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45" yWindow="435" windowWidth="13890" windowHeight="7905" tabRatio="686"/>
  </bookViews>
  <sheets>
    <sheet name="stata" sheetId="19" r:id="rId1"/>
    <sheet name="notes" sheetId="15" r:id="rId2"/>
    <sheet name="studies" sheetId="17" r:id="rId3"/>
    <sheet name="Dataset0" sheetId="10" r:id="rId4"/>
    <sheet name="Dataset1" sheetId="12" r:id="rId5"/>
    <sheet name="Dataset2" sheetId="13" r:id="rId6"/>
    <sheet name="Dataset2 ad" sheetId="14" r:id="rId7"/>
    <sheet name="SCC" sheetId="1" r:id="rId8"/>
    <sheet name="CPI" sheetId="4" r:id="rId9"/>
  </sheets>
  <definedNames>
    <definedName name="_xlnm._FilterDatabase" localSheetId="7" hidden="1">SCC!$A$1:$BA$1135</definedName>
    <definedName name="solver_eng" localSheetId="7" hidden="1">1</definedName>
    <definedName name="solver_neg" localSheetId="7" hidden="1">1</definedName>
    <definedName name="solver_num" localSheetId="7" hidden="1">0</definedName>
    <definedName name="solver_opt" localSheetId="7" hidden="1">SCC!$M$91</definedName>
    <definedName name="solver_typ" localSheetId="7" hidden="1">2</definedName>
    <definedName name="solver_val" localSheetId="7" hidden="1">0</definedName>
    <definedName name="solver_ver" localSheetId="7" hidden="1">3</definedName>
  </definedNames>
  <calcPr calcId="145621"/>
</workbook>
</file>

<file path=xl/calcChain.xml><?xml version="1.0" encoding="utf-8"?>
<calcChain xmlns="http://schemas.openxmlformats.org/spreadsheetml/2006/main">
  <c r="A3" i="13" l="1"/>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437" i="14"/>
  <c r="A438" i="14"/>
  <c r="A439" i="14"/>
  <c r="A440" i="14"/>
  <c r="A441" i="14"/>
  <c r="A442" i="14"/>
  <c r="A443" i="14"/>
  <c r="A444" i="14"/>
  <c r="A445" i="14"/>
  <c r="A446" i="14"/>
  <c r="A447" i="14"/>
  <c r="A448" i="14"/>
  <c r="A449" i="14"/>
  <c r="A450" i="14"/>
  <c r="A451" i="14"/>
  <c r="A452" i="14"/>
  <c r="A453" i="14"/>
  <c r="A454" i="14"/>
  <c r="A455" i="14"/>
  <c r="A456" i="14"/>
  <c r="A457" i="14"/>
  <c r="A458" i="14"/>
  <c r="A459" i="14"/>
  <c r="A460" i="14"/>
  <c r="A461" i="14"/>
  <c r="A462" i="14"/>
  <c r="A463" i="14"/>
  <c r="A464" i="14"/>
  <c r="A465" i="14"/>
  <c r="A466" i="14"/>
  <c r="A467" i="14"/>
  <c r="A468" i="14"/>
  <c r="A469" i="14"/>
  <c r="A470" i="14"/>
  <c r="A471" i="14"/>
  <c r="A472" i="14"/>
  <c r="A473" i="14"/>
  <c r="A474" i="14"/>
  <c r="A475" i="14"/>
  <c r="A476" i="14"/>
  <c r="A477" i="14"/>
  <c r="A478" i="14"/>
  <c r="A479" i="14"/>
  <c r="A480" i="14"/>
  <c r="A481" i="14"/>
  <c r="A482" i="14"/>
  <c r="A483" i="14"/>
  <c r="A484" i="14"/>
  <c r="A485" i="14"/>
  <c r="A486" i="14"/>
  <c r="A487" i="14"/>
  <c r="A488" i="14"/>
  <c r="A489" i="14"/>
  <c r="A490" i="14"/>
  <c r="A491" i="14"/>
  <c r="A492" i="14"/>
  <c r="A493" i="14"/>
  <c r="A494" i="14"/>
  <c r="A495" i="14"/>
  <c r="A496" i="14"/>
  <c r="A497" i="14"/>
  <c r="A498" i="14"/>
  <c r="A499" i="14"/>
  <c r="A500" i="14"/>
  <c r="A501" i="14"/>
  <c r="A502" i="14"/>
  <c r="A503" i="14"/>
  <c r="A504" i="14"/>
  <c r="A505" i="14"/>
  <c r="A506" i="14"/>
  <c r="A507" i="14"/>
  <c r="A508" i="14"/>
  <c r="A509" i="14"/>
  <c r="A510" i="14"/>
  <c r="A511" i="14"/>
  <c r="A512" i="14"/>
  <c r="A513" i="14"/>
  <c r="A514" i="14"/>
  <c r="A515" i="14"/>
  <c r="A516" i="14"/>
  <c r="A517" i="14"/>
  <c r="A518" i="14"/>
  <c r="A519" i="14"/>
  <c r="A520" i="14"/>
  <c r="A521" i="14"/>
  <c r="A522" i="14"/>
  <c r="A523" i="14"/>
  <c r="A524" i="14"/>
  <c r="A525" i="14"/>
  <c r="A526" i="14"/>
  <c r="A527" i="14"/>
  <c r="A528" i="14"/>
  <c r="A529" i="14"/>
  <c r="A530" i="14"/>
  <c r="A531" i="14"/>
  <c r="A532" i="14"/>
  <c r="A533" i="14"/>
  <c r="A534" i="14"/>
  <c r="A535" i="14"/>
  <c r="A536" i="14"/>
  <c r="A537" i="14"/>
  <c r="A538" i="14"/>
  <c r="A539" i="14"/>
  <c r="A540" i="14"/>
  <c r="A541" i="14"/>
  <c r="A542" i="14"/>
  <c r="A543" i="14"/>
  <c r="A544" i="14"/>
  <c r="A545" i="14"/>
  <c r="A546" i="14"/>
  <c r="A547" i="14"/>
  <c r="A548" i="14"/>
  <c r="A549" i="14"/>
  <c r="A550" i="14"/>
  <c r="A551" i="14"/>
  <c r="A552" i="14"/>
  <c r="A553" i="14"/>
  <c r="A554" i="14"/>
  <c r="A555" i="14"/>
  <c r="A556" i="14"/>
  <c r="A557" i="14"/>
  <c r="A558" i="14"/>
  <c r="A559" i="14"/>
  <c r="A560" i="14"/>
  <c r="A561" i="14"/>
  <c r="A562" i="14"/>
  <c r="A563" i="14"/>
  <c r="A564" i="14"/>
  <c r="A565" i="14"/>
  <c r="A566" i="14"/>
  <c r="A567" i="14"/>
  <c r="A568" i="14"/>
  <c r="A569" i="14"/>
  <c r="A570" i="14"/>
  <c r="A571" i="14"/>
  <c r="A572" i="14"/>
  <c r="A573" i="14"/>
  <c r="A574" i="14"/>
  <c r="A575" i="14"/>
  <c r="A576" i="14"/>
  <c r="A577" i="14"/>
  <c r="A578" i="14"/>
  <c r="A579" i="14"/>
  <c r="A580" i="14"/>
  <c r="A581" i="14"/>
  <c r="A582" i="14"/>
  <c r="A583" i="14"/>
  <c r="A584" i="14"/>
  <c r="A585" i="14"/>
  <c r="A586" i="14"/>
  <c r="A587" i="14"/>
  <c r="A588" i="14"/>
  <c r="A589" i="14"/>
  <c r="A590" i="14"/>
  <c r="A591" i="14"/>
  <c r="A592" i="14"/>
  <c r="A593" i="14"/>
  <c r="A594" i="14"/>
  <c r="A595" i="14"/>
  <c r="A596" i="14"/>
  <c r="A597" i="14"/>
  <c r="A598" i="14"/>
  <c r="A599" i="14"/>
  <c r="A600" i="14"/>
  <c r="A601" i="14"/>
  <c r="A602" i="14"/>
  <c r="A603" i="14"/>
  <c r="A604" i="14"/>
  <c r="A605" i="14"/>
  <c r="A606" i="14"/>
  <c r="A607" i="14"/>
  <c r="A608" i="14"/>
  <c r="A609" i="14"/>
  <c r="A610" i="14"/>
  <c r="A611" i="14"/>
  <c r="A612" i="14"/>
  <c r="A613" i="14"/>
  <c r="A614" i="14"/>
  <c r="A615" i="14"/>
  <c r="A616" i="14"/>
  <c r="A617" i="14"/>
  <c r="A618" i="14"/>
  <c r="A619" i="14"/>
  <c r="A620" i="14"/>
  <c r="A621" i="14"/>
  <c r="A622" i="14"/>
  <c r="A623" i="14"/>
  <c r="A624" i="14"/>
  <c r="A625" i="14"/>
  <c r="A626" i="14"/>
  <c r="A627" i="14"/>
  <c r="A628" i="14"/>
  <c r="A629" i="14"/>
  <c r="A630" i="14"/>
  <c r="A631" i="14"/>
  <c r="A632" i="14"/>
  <c r="A633" i="14"/>
  <c r="A634" i="14"/>
  <c r="A635" i="14"/>
  <c r="A636" i="14"/>
  <c r="A637" i="14"/>
  <c r="A638" i="14"/>
  <c r="A639" i="14"/>
  <c r="A640" i="14"/>
  <c r="A641" i="14"/>
  <c r="A642" i="14"/>
  <c r="A643" i="14"/>
  <c r="A644" i="14"/>
  <c r="A645" i="14"/>
  <c r="A646" i="14"/>
  <c r="A647" i="14"/>
  <c r="A648" i="14"/>
  <c r="A649" i="14"/>
  <c r="A650" i="14"/>
  <c r="A651" i="14"/>
  <c r="A652" i="14"/>
  <c r="A653" i="14"/>
  <c r="A654" i="14"/>
  <c r="A655" i="14"/>
  <c r="A656" i="14"/>
  <c r="A657" i="14"/>
  <c r="A658" i="14"/>
  <c r="A659" i="14"/>
  <c r="A660" i="14"/>
  <c r="A661" i="14"/>
  <c r="A662" i="14"/>
  <c r="A663" i="14"/>
  <c r="A664" i="14"/>
  <c r="A665" i="14"/>
  <c r="A666" i="14"/>
  <c r="A667" i="14"/>
  <c r="A668" i="14"/>
  <c r="A669" i="14"/>
  <c r="A670" i="14"/>
  <c r="A671" i="14"/>
  <c r="A672" i="14"/>
  <c r="A673" i="14"/>
  <c r="A674" i="14"/>
  <c r="A675" i="14"/>
  <c r="A676" i="14"/>
  <c r="A677" i="14"/>
  <c r="A678" i="14"/>
  <c r="A679" i="14"/>
  <c r="A680" i="14"/>
  <c r="A681" i="14"/>
  <c r="A682" i="14"/>
  <c r="A683" i="14"/>
  <c r="A684" i="14"/>
  <c r="A685" i="14"/>
  <c r="A686" i="14"/>
  <c r="A687" i="14"/>
  <c r="A688" i="14"/>
  <c r="A689" i="14"/>
  <c r="A690" i="14"/>
  <c r="A691" i="14"/>
  <c r="A692" i="14"/>
  <c r="A693" i="14"/>
  <c r="A694" i="14"/>
  <c r="A695" i="14"/>
  <c r="A696" i="14"/>
  <c r="A697" i="14"/>
  <c r="A698" i="14"/>
  <c r="A699" i="14"/>
  <c r="A700" i="14"/>
  <c r="A701" i="14"/>
  <c r="A702" i="14"/>
  <c r="A703" i="14"/>
  <c r="A704" i="14"/>
  <c r="A705" i="14"/>
  <c r="A706" i="14"/>
  <c r="A707" i="14"/>
  <c r="A708" i="14"/>
  <c r="A709" i="14"/>
  <c r="A710" i="14"/>
  <c r="A711" i="14"/>
  <c r="A712" i="14"/>
  <c r="A713" i="14"/>
  <c r="A714" i="14"/>
  <c r="A715" i="14"/>
  <c r="A716" i="14"/>
  <c r="A717" i="14"/>
  <c r="A718" i="14"/>
  <c r="A719" i="14"/>
  <c r="A720" i="14"/>
  <c r="A721" i="14"/>
  <c r="A722" i="14"/>
  <c r="A723" i="14"/>
  <c r="A724" i="14"/>
  <c r="A725" i="14"/>
  <c r="A726" i="14"/>
  <c r="A727" i="14"/>
  <c r="A728" i="14"/>
  <c r="A729" i="14"/>
  <c r="A730" i="14"/>
  <c r="A731" i="14"/>
  <c r="A732" i="14"/>
  <c r="A733" i="14"/>
  <c r="A734" i="14"/>
  <c r="A735" i="14"/>
  <c r="A736" i="14"/>
  <c r="A737" i="14"/>
  <c r="A738" i="14"/>
  <c r="A739" i="14"/>
  <c r="A740" i="14"/>
  <c r="A741" i="14"/>
  <c r="A742" i="14"/>
  <c r="A743" i="14"/>
  <c r="A744" i="14"/>
  <c r="A745" i="14"/>
  <c r="A746" i="14"/>
  <c r="A747" i="14"/>
  <c r="A748" i="14"/>
  <c r="A749" i="14"/>
  <c r="A750" i="14"/>
  <c r="A751" i="14"/>
  <c r="A752" i="14"/>
  <c r="A753" i="14"/>
  <c r="A754" i="14"/>
  <c r="A755" i="14"/>
  <c r="A756" i="14"/>
  <c r="A757" i="14"/>
  <c r="A758" i="14"/>
  <c r="A759" i="14"/>
  <c r="A760" i="14"/>
  <c r="A761" i="14"/>
  <c r="A762" i="14"/>
  <c r="A763" i="14"/>
  <c r="A764" i="14"/>
  <c r="A765" i="14"/>
  <c r="A766" i="14"/>
  <c r="A767" i="14"/>
  <c r="A768" i="14"/>
  <c r="A769" i="14"/>
  <c r="A770" i="14"/>
  <c r="A771" i="14"/>
  <c r="A772" i="14"/>
  <c r="A773" i="14"/>
  <c r="A774" i="14"/>
  <c r="A775" i="14"/>
  <c r="A776" i="14"/>
  <c r="A777" i="14"/>
  <c r="A778" i="14"/>
  <c r="A779" i="14"/>
  <c r="A780" i="14"/>
  <c r="A781" i="14"/>
  <c r="A782" i="14"/>
  <c r="A783" i="14"/>
  <c r="A784" i="14"/>
  <c r="A785" i="14"/>
  <c r="A786" i="14"/>
  <c r="A787" i="14"/>
  <c r="A788" i="14"/>
  <c r="A789" i="14"/>
  <c r="A790" i="14"/>
  <c r="A791" i="14"/>
  <c r="A792" i="14"/>
  <c r="A793" i="14"/>
  <c r="A794" i="14"/>
  <c r="A795" i="14"/>
  <c r="A796" i="14"/>
  <c r="A797" i="14"/>
  <c r="A798" i="14"/>
  <c r="A799" i="14"/>
  <c r="A800" i="14"/>
  <c r="A801" i="14"/>
  <c r="A802" i="14"/>
  <c r="A803" i="14"/>
  <c r="A804" i="14"/>
  <c r="A805" i="14"/>
  <c r="A806" i="14"/>
  <c r="A807" i="14"/>
  <c r="A808" i="14"/>
  <c r="A809" i="14"/>
  <c r="A810" i="14"/>
  <c r="A811" i="14"/>
  <c r="A812" i="14"/>
  <c r="A813" i="14"/>
  <c r="A814" i="14"/>
  <c r="A815" i="14"/>
  <c r="A816" i="14"/>
  <c r="A817" i="14"/>
  <c r="A818" i="14"/>
  <c r="A819" i="14"/>
  <c r="A820" i="14"/>
  <c r="A821" i="14"/>
  <c r="A822" i="14"/>
  <c r="A823" i="14"/>
  <c r="A824" i="14"/>
  <c r="A825" i="14"/>
  <c r="A826" i="14"/>
  <c r="A827" i="14"/>
  <c r="A828" i="14"/>
  <c r="A829" i="14"/>
  <c r="A830" i="14"/>
  <c r="A831" i="14"/>
  <c r="A832" i="14"/>
  <c r="A833" i="14"/>
  <c r="A834" i="14"/>
  <c r="A835" i="14"/>
  <c r="A836" i="14"/>
  <c r="A837" i="14"/>
  <c r="A838" i="14"/>
  <c r="A839" i="14"/>
  <c r="A840" i="14"/>
  <c r="A841" i="14"/>
  <c r="A842" i="14"/>
  <c r="A843" i="14"/>
  <c r="A844" i="14"/>
  <c r="A845" i="14"/>
  <c r="A846" i="14"/>
  <c r="A847" i="14"/>
  <c r="A848" i="14"/>
  <c r="A849" i="14"/>
  <c r="A850" i="14"/>
  <c r="A851" i="14"/>
  <c r="A852" i="14"/>
  <c r="A853" i="14"/>
  <c r="A854" i="14"/>
  <c r="A855" i="14"/>
  <c r="A3" i="14"/>
  <c r="A2" i="13"/>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3" i="12"/>
  <c r="A4" i="12"/>
  <c r="A5" i="12"/>
  <c r="A6" i="12"/>
  <c r="A7" i="12"/>
  <c r="A8" i="12"/>
  <c r="A9" i="12"/>
  <c r="A10" i="12"/>
  <c r="A11" i="12"/>
  <c r="A12" i="12"/>
  <c r="A13" i="12"/>
  <c r="A14" i="12"/>
  <c r="A15" i="12"/>
  <c r="A16" i="12"/>
  <c r="A17" i="12"/>
  <c r="A18" i="12"/>
  <c r="A19" i="12"/>
  <c r="A20" i="12"/>
  <c r="A21" i="12"/>
  <c r="A22" i="12"/>
  <c r="A2" i="12"/>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2" i="10"/>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714" i="19"/>
  <c r="A715" i="19"/>
  <c r="A716" i="19"/>
  <c r="A717" i="19"/>
  <c r="A718" i="19"/>
  <c r="A719" i="19"/>
  <c r="A720" i="19"/>
  <c r="A721" i="19"/>
  <c r="A722" i="19"/>
  <c r="A723" i="19"/>
  <c r="A724" i="19"/>
  <c r="A725" i="19"/>
  <c r="A726" i="19"/>
  <c r="A727" i="19"/>
  <c r="A728" i="19"/>
  <c r="A729" i="19"/>
  <c r="A730" i="19"/>
  <c r="A731" i="19"/>
  <c r="A732" i="19"/>
  <c r="A733" i="19"/>
  <c r="A734" i="19"/>
  <c r="A735" i="19"/>
  <c r="A736" i="19"/>
  <c r="A737" i="19"/>
  <c r="A738" i="19"/>
  <c r="A739" i="19"/>
  <c r="A740" i="19"/>
  <c r="A741" i="19"/>
  <c r="A742" i="19"/>
  <c r="A743" i="19"/>
  <c r="A744" i="19"/>
  <c r="A745" i="19"/>
  <c r="A746" i="19"/>
  <c r="A747" i="19"/>
  <c r="A748" i="19"/>
  <c r="A749" i="19"/>
  <c r="A750" i="19"/>
  <c r="A751" i="19"/>
  <c r="A752" i="19"/>
  <c r="A753" i="19"/>
  <c r="A754" i="19"/>
  <c r="A755" i="19"/>
  <c r="A756" i="19"/>
  <c r="A757" i="19"/>
  <c r="A758" i="19"/>
  <c r="A759" i="19"/>
  <c r="A760" i="19"/>
  <c r="A761" i="19"/>
  <c r="A762" i="19"/>
  <c r="A763" i="19"/>
  <c r="A764" i="19"/>
  <c r="A765" i="19"/>
  <c r="A766" i="19"/>
  <c r="A767" i="19"/>
  <c r="A768" i="19"/>
  <c r="A769" i="19"/>
  <c r="A770" i="19"/>
  <c r="A771" i="19"/>
  <c r="A772" i="19"/>
  <c r="A773" i="19"/>
  <c r="A774" i="19"/>
  <c r="A775" i="19"/>
  <c r="A776" i="19"/>
  <c r="A777" i="19"/>
  <c r="A778" i="19"/>
  <c r="A779" i="19"/>
  <c r="A780" i="19"/>
  <c r="A781" i="19"/>
  <c r="A782" i="19"/>
  <c r="A783" i="19"/>
  <c r="A784" i="19"/>
  <c r="A785" i="19"/>
  <c r="A786" i="19"/>
  <c r="A787" i="19"/>
  <c r="A788" i="19"/>
  <c r="A789" i="19"/>
  <c r="A790" i="19"/>
  <c r="A791" i="19"/>
  <c r="A792" i="19"/>
  <c r="A793" i="19"/>
  <c r="A794" i="19"/>
  <c r="A795" i="19"/>
  <c r="A796" i="19"/>
  <c r="A797" i="19"/>
  <c r="A798" i="19"/>
  <c r="A799" i="19"/>
  <c r="A800" i="19"/>
  <c r="A801" i="19"/>
  <c r="A802" i="19"/>
  <c r="A803" i="19"/>
  <c r="A804" i="19"/>
  <c r="A805" i="19"/>
  <c r="A806" i="19"/>
  <c r="A807" i="19"/>
  <c r="A808" i="19"/>
  <c r="A809" i="19"/>
  <c r="A810" i="19"/>
  <c r="A811" i="19"/>
  <c r="A812" i="19"/>
  <c r="A813" i="19"/>
  <c r="A814" i="19"/>
  <c r="A815" i="19"/>
  <c r="A816" i="19"/>
  <c r="A817" i="19"/>
  <c r="A818" i="19"/>
  <c r="A819" i="19"/>
  <c r="A820" i="19"/>
  <c r="A821" i="19"/>
  <c r="A822" i="19"/>
  <c r="A823" i="19"/>
  <c r="A824" i="19"/>
  <c r="A825" i="19"/>
  <c r="A826" i="19"/>
  <c r="A827" i="19"/>
  <c r="A828" i="19"/>
  <c r="A829" i="19"/>
  <c r="A830" i="19"/>
  <c r="A831" i="19"/>
  <c r="A832" i="19"/>
  <c r="A833" i="19"/>
  <c r="A834" i="19"/>
  <c r="A835" i="19"/>
  <c r="A836" i="19"/>
  <c r="A837" i="19"/>
  <c r="A838" i="19"/>
  <c r="A839" i="19"/>
  <c r="A840" i="19"/>
  <c r="A841" i="19"/>
  <c r="A842" i="19"/>
  <c r="A843" i="19"/>
  <c r="A844" i="19"/>
  <c r="A845" i="19"/>
  <c r="A846" i="19"/>
  <c r="A847" i="19"/>
  <c r="A848" i="19"/>
  <c r="A849" i="19"/>
  <c r="A850" i="19"/>
  <c r="A851" i="19"/>
  <c r="A852" i="19"/>
  <c r="A853" i="19"/>
  <c r="A854" i="19"/>
  <c r="A855" i="19"/>
  <c r="A856" i="19"/>
  <c r="A857" i="19"/>
  <c r="A858" i="19"/>
  <c r="A859" i="19"/>
  <c r="A860" i="19"/>
  <c r="A861" i="19"/>
  <c r="A862" i="19"/>
  <c r="A863" i="19"/>
  <c r="A864" i="19"/>
  <c r="A865" i="19"/>
  <c r="A866" i="19"/>
  <c r="A867" i="19"/>
  <c r="A868" i="19"/>
  <c r="A869" i="19"/>
  <c r="A870" i="19"/>
  <c r="A871" i="19"/>
  <c r="A872" i="19"/>
  <c r="A873" i="19"/>
  <c r="A874" i="19"/>
  <c r="A875" i="19"/>
  <c r="A876" i="19"/>
  <c r="A877" i="19"/>
  <c r="A878" i="19"/>
  <c r="A879" i="19"/>
  <c r="A880" i="19"/>
  <c r="A881" i="19"/>
  <c r="A882" i="19"/>
  <c r="A883" i="19"/>
  <c r="A884" i="19"/>
  <c r="A885" i="19"/>
  <c r="A886" i="19"/>
  <c r="A887" i="19"/>
  <c r="A888" i="19"/>
  <c r="A889" i="19"/>
  <c r="A890" i="19"/>
  <c r="A891" i="19"/>
  <c r="A892" i="19"/>
  <c r="A893" i="19"/>
  <c r="A894" i="19"/>
  <c r="A895" i="19"/>
  <c r="A896" i="19"/>
  <c r="A897" i="19"/>
  <c r="A898" i="19"/>
  <c r="A899" i="19"/>
  <c r="A900" i="19"/>
  <c r="A901" i="19"/>
  <c r="A902" i="19"/>
  <c r="A903" i="19"/>
  <c r="A904" i="19"/>
  <c r="A905" i="19"/>
  <c r="A906" i="19"/>
  <c r="A907" i="19"/>
  <c r="A908" i="19"/>
  <c r="A909" i="19"/>
  <c r="A910" i="19"/>
  <c r="A911" i="19"/>
  <c r="A912" i="19"/>
  <c r="A913" i="19"/>
  <c r="A914" i="19"/>
  <c r="A915" i="19"/>
  <c r="A916" i="19"/>
  <c r="A917" i="19"/>
  <c r="A918" i="19"/>
  <c r="A919" i="19"/>
  <c r="A920" i="19"/>
  <c r="A921" i="19"/>
  <c r="A922" i="19"/>
  <c r="A923" i="19"/>
  <c r="A924" i="19"/>
  <c r="A925" i="19"/>
  <c r="A926" i="19"/>
  <c r="A927" i="19"/>
  <c r="A928" i="19"/>
  <c r="A929" i="19"/>
  <c r="A930" i="19"/>
  <c r="A931" i="19"/>
  <c r="A932" i="19"/>
  <c r="A933" i="19"/>
  <c r="A934" i="19"/>
  <c r="A935" i="19"/>
  <c r="A936" i="19"/>
  <c r="A937" i="19"/>
  <c r="A938" i="19"/>
  <c r="A939" i="19"/>
  <c r="A940" i="19"/>
  <c r="A941" i="19"/>
  <c r="A942" i="19"/>
  <c r="A943" i="19"/>
  <c r="A944" i="19"/>
  <c r="A945" i="19"/>
  <c r="A946" i="19"/>
  <c r="A947" i="19"/>
  <c r="A948" i="19"/>
  <c r="A949" i="19"/>
  <c r="A950" i="19"/>
  <c r="A951" i="19"/>
  <c r="A952" i="19"/>
  <c r="A953" i="19"/>
  <c r="A954" i="19"/>
  <c r="A955" i="19"/>
  <c r="A956" i="19"/>
  <c r="A957" i="19"/>
  <c r="A958" i="19"/>
  <c r="A959" i="19"/>
  <c r="A960" i="19"/>
  <c r="A961" i="19"/>
  <c r="A962" i="19"/>
  <c r="A963" i="19"/>
  <c r="A964" i="19"/>
  <c r="A965" i="19"/>
  <c r="A966" i="19"/>
  <c r="A967" i="19"/>
  <c r="A968" i="19"/>
  <c r="A969" i="19"/>
  <c r="A970" i="19"/>
  <c r="A971" i="19"/>
  <c r="A972" i="19"/>
  <c r="A973" i="19"/>
  <c r="A974" i="19"/>
  <c r="A975" i="19"/>
  <c r="A976" i="19"/>
  <c r="A977" i="19"/>
  <c r="A978" i="19"/>
  <c r="A979" i="19"/>
  <c r="A980" i="19"/>
  <c r="A981" i="19"/>
  <c r="A982" i="19"/>
  <c r="A983" i="19"/>
  <c r="A984" i="19"/>
  <c r="A985" i="19"/>
  <c r="A986" i="19"/>
  <c r="A987" i="19"/>
  <c r="A988" i="19"/>
  <c r="A989" i="19"/>
  <c r="A990" i="19"/>
  <c r="A991" i="19"/>
  <c r="A992" i="19"/>
  <c r="A993" i="19"/>
  <c r="A994" i="19"/>
  <c r="A995" i="19"/>
  <c r="A996" i="19"/>
  <c r="A997" i="19"/>
  <c r="A998" i="19"/>
  <c r="A999" i="19"/>
  <c r="A1000" i="19"/>
  <c r="A1001" i="19"/>
  <c r="A1002" i="19"/>
  <c r="A1003" i="19"/>
  <c r="A1004" i="19"/>
  <c r="A1005" i="19"/>
  <c r="A1006" i="19"/>
  <c r="A1007" i="19"/>
  <c r="A1008" i="19"/>
  <c r="A1009" i="19"/>
  <c r="A1010" i="19"/>
  <c r="A1011" i="19"/>
  <c r="A1012" i="19"/>
  <c r="A1013" i="19"/>
  <c r="A1014" i="19"/>
  <c r="A1015" i="19"/>
  <c r="A1016" i="19"/>
  <c r="A1017" i="19"/>
  <c r="A1018" i="19"/>
  <c r="A1019" i="19"/>
  <c r="A1020" i="19"/>
  <c r="A1021" i="19"/>
  <c r="A1022" i="19"/>
  <c r="A1023" i="19"/>
  <c r="A1024" i="19"/>
  <c r="A1025" i="19"/>
  <c r="A1026" i="19"/>
  <c r="A1027" i="19"/>
  <c r="A1028" i="19"/>
  <c r="A1029" i="19"/>
  <c r="A1030" i="19"/>
  <c r="A1031" i="19"/>
  <c r="A1032" i="19"/>
  <c r="A1033" i="19"/>
  <c r="A1034" i="19"/>
  <c r="A1035" i="19"/>
  <c r="A1036" i="19"/>
  <c r="A1037" i="19"/>
  <c r="A1038" i="19"/>
  <c r="A1039" i="19"/>
  <c r="A1040" i="19"/>
  <c r="A1041" i="19"/>
  <c r="A1042" i="19"/>
  <c r="A1043" i="19"/>
  <c r="A1044" i="19"/>
  <c r="A1045" i="19"/>
  <c r="A1046" i="19"/>
  <c r="A1047" i="19"/>
  <c r="A1048" i="19"/>
  <c r="A1049" i="19"/>
  <c r="A1050" i="19"/>
  <c r="A1051" i="19"/>
  <c r="A1052" i="19"/>
  <c r="A1053" i="19"/>
  <c r="A1054" i="19"/>
  <c r="A1055" i="19"/>
  <c r="A1056" i="19"/>
  <c r="A1057" i="19"/>
  <c r="A1058" i="19"/>
  <c r="A1059" i="19"/>
  <c r="A1060" i="19"/>
  <c r="A1061" i="19"/>
  <c r="A1062" i="19"/>
  <c r="A1063" i="19"/>
  <c r="A1064" i="19"/>
  <c r="A1065" i="19"/>
  <c r="A1066" i="19"/>
  <c r="A1067" i="19"/>
  <c r="A1068" i="19"/>
  <c r="A1069" i="19"/>
  <c r="A1070" i="19"/>
  <c r="A1071" i="19"/>
  <c r="A1072" i="19"/>
  <c r="A1073" i="19"/>
  <c r="A1074" i="19"/>
  <c r="A1075" i="19"/>
  <c r="A1076" i="19"/>
  <c r="A1077" i="19"/>
  <c r="A1078" i="19"/>
  <c r="A1079" i="19"/>
  <c r="A1080" i="19"/>
  <c r="A1081" i="19"/>
  <c r="A1082" i="19"/>
  <c r="A1083" i="19"/>
  <c r="A1084" i="19"/>
  <c r="A1085" i="19"/>
  <c r="A1086" i="19"/>
  <c r="A1087" i="19"/>
  <c r="A1088" i="19"/>
  <c r="A1089" i="19"/>
  <c r="A1090" i="19"/>
  <c r="A1091" i="19"/>
  <c r="A1092" i="19"/>
  <c r="A1093" i="19"/>
  <c r="A1094" i="19"/>
  <c r="A1095" i="19"/>
  <c r="A1096" i="19"/>
  <c r="A1097" i="19"/>
  <c r="A1098" i="19"/>
  <c r="A1099" i="19"/>
  <c r="A1100" i="19"/>
  <c r="A1101" i="19"/>
  <c r="A1102" i="19"/>
  <c r="A1103" i="19"/>
  <c r="A1104" i="19"/>
  <c r="A1105" i="19"/>
  <c r="A1106" i="19"/>
  <c r="A1107" i="19"/>
  <c r="A1108" i="19"/>
  <c r="A1109" i="19"/>
  <c r="A1110" i="19"/>
  <c r="A1111" i="19"/>
  <c r="A1112" i="19"/>
  <c r="A1113" i="19"/>
  <c r="A1114" i="19"/>
  <c r="A1115" i="19"/>
  <c r="A1116" i="19"/>
  <c r="A1117" i="19"/>
  <c r="A1118" i="19"/>
  <c r="A1119" i="19"/>
  <c r="A1120" i="19"/>
  <c r="A1121" i="19"/>
  <c r="A1122" i="19"/>
  <c r="A1123" i="19"/>
  <c r="A1124" i="19"/>
  <c r="A1125" i="19"/>
  <c r="A1126" i="19"/>
  <c r="A1127" i="19"/>
  <c r="A1128" i="19"/>
  <c r="A1129" i="19"/>
  <c r="A1130" i="19"/>
  <c r="A1131" i="19"/>
  <c r="A1132" i="19"/>
  <c r="A1133" i="19"/>
  <c r="A1134" i="19"/>
  <c r="A1135" i="19"/>
  <c r="A1136" i="19"/>
  <c r="A1137" i="19"/>
  <c r="A1138" i="19"/>
  <c r="A1139" i="19"/>
  <c r="A1140" i="19"/>
  <c r="A1141" i="19"/>
  <c r="A1142" i="19"/>
  <c r="A1143" i="19"/>
  <c r="A1144" i="19"/>
  <c r="A1145" i="19"/>
  <c r="A2" i="19"/>
  <c r="Z62" i="13" l="1"/>
  <c r="Z66" i="13"/>
  <c r="X66" i="13"/>
  <c r="X65" i="13" l="1"/>
  <c r="Z65" i="13" s="1"/>
  <c r="X64" i="13"/>
  <c r="V63" i="13"/>
  <c r="AB62" i="13"/>
  <c r="Z61" i="13"/>
  <c r="Z29" i="13"/>
  <c r="Z27" i="13"/>
  <c r="Z14" i="13"/>
  <c r="Z4" i="13"/>
  <c r="Z2" i="12"/>
  <c r="Y61" i="13"/>
  <c r="X59" i="13"/>
  <c r="Y59" i="13"/>
  <c r="W59" i="13"/>
  <c r="V58" i="13"/>
  <c r="Z57" i="13"/>
  <c r="V56" i="13"/>
  <c r="X55" i="13"/>
  <c r="Z55" i="13" s="1"/>
  <c r="W55" i="13"/>
  <c r="V53" i="13"/>
  <c r="V54" i="13"/>
  <c r="W53" i="13"/>
  <c r="V52" i="13"/>
  <c r="AF51" i="13"/>
  <c r="AB50" i="13"/>
  <c r="W50" i="13"/>
  <c r="X50" i="13"/>
  <c r="Y50" i="13"/>
  <c r="Z50" i="13"/>
  <c r="V50" i="13"/>
  <c r="W47" i="13"/>
  <c r="V47" i="13"/>
  <c r="V59" i="13" l="1"/>
  <c r="Z59" i="13"/>
  <c r="W45" i="13"/>
  <c r="X42" i="13"/>
  <c r="Z42" i="13" s="1"/>
  <c r="W42" i="13"/>
  <c r="J41" i="13"/>
  <c r="I41" i="13"/>
  <c r="W41" i="13"/>
  <c r="W40" i="13"/>
  <c r="W39" i="13"/>
  <c r="AA37" i="13"/>
  <c r="W37" i="13"/>
  <c r="W36" i="13"/>
  <c r="V35" i="13"/>
  <c r="AQ958" i="1" l="1"/>
  <c r="AQ959" i="1" s="1"/>
  <c r="AQ960" i="1" s="1"/>
  <c r="AQ961" i="1" s="1"/>
  <c r="AQ962" i="1" s="1"/>
  <c r="AQ963" i="1" s="1"/>
  <c r="AQ964" i="1" s="1"/>
  <c r="AQ965" i="1" s="1"/>
  <c r="AQ957" i="1"/>
  <c r="AA33" i="13"/>
  <c r="W32" i="13"/>
  <c r="W31" i="13"/>
  <c r="X31" i="13"/>
  <c r="Y31" i="13"/>
  <c r="Z31" i="13"/>
  <c r="V31" i="13"/>
  <c r="W30" i="13" l="1"/>
  <c r="AB29" i="13" l="1"/>
  <c r="N34" i="13" l="1"/>
  <c r="M34" i="13"/>
  <c r="N33" i="13"/>
  <c r="M33" i="13"/>
  <c r="H34" i="13"/>
  <c r="H33" i="13"/>
  <c r="W27" i="13"/>
  <c r="W26" i="13"/>
  <c r="W25" i="13"/>
  <c r="V25" i="13"/>
  <c r="W22" i="13"/>
  <c r="W21" i="13"/>
  <c r="W20" i="13"/>
  <c r="W19" i="13"/>
  <c r="W18" i="13"/>
  <c r="V18" i="13"/>
  <c r="W16" i="13"/>
  <c r="V16" i="13"/>
  <c r="W15" i="13" l="1"/>
  <c r="V15" i="13"/>
  <c r="W13" i="13"/>
  <c r="V13" i="13"/>
  <c r="W10" i="13"/>
  <c r="V10" i="13"/>
  <c r="W7" i="13"/>
  <c r="V7" i="13"/>
  <c r="V3" i="13"/>
  <c r="W3" i="13"/>
  <c r="X3" i="13"/>
  <c r="Z3" i="13" s="1"/>
  <c r="Y3" i="13"/>
  <c r="Y2" i="13"/>
  <c r="Y4" i="13"/>
  <c r="K7" i="14"/>
  <c r="L7" i="14"/>
  <c r="K8" i="14"/>
  <c r="L8" i="14"/>
  <c r="K9" i="14"/>
  <c r="L9" i="14"/>
  <c r="K10" i="14"/>
  <c r="L10" i="14"/>
  <c r="K11" i="14"/>
  <c r="L11" i="14"/>
  <c r="K12" i="14"/>
  <c r="L12" i="14"/>
  <c r="K13" i="14"/>
  <c r="L13" i="14"/>
  <c r="K14" i="14"/>
  <c r="L14" i="14"/>
  <c r="K15" i="14"/>
  <c r="L15" i="14"/>
  <c r="K16" i="14"/>
  <c r="L16" i="14"/>
  <c r="K17" i="14"/>
  <c r="L17" i="14"/>
  <c r="K18" i="14"/>
  <c r="L18" i="14"/>
  <c r="K20" i="14"/>
  <c r="L20" i="14"/>
  <c r="K21" i="14"/>
  <c r="L21" i="14"/>
  <c r="K22" i="14"/>
  <c r="L22" i="14"/>
  <c r="K24" i="14"/>
  <c r="L24" i="14"/>
  <c r="K25" i="14"/>
  <c r="L25" i="14"/>
  <c r="K26" i="14"/>
  <c r="L26" i="14"/>
  <c r="K27" i="14"/>
  <c r="L27" i="14"/>
  <c r="K28" i="14"/>
  <c r="L28" i="14"/>
  <c r="K29" i="14"/>
  <c r="L29" i="14"/>
  <c r="K30" i="14"/>
  <c r="L30" i="14"/>
  <c r="K31" i="14"/>
  <c r="L31" i="14"/>
  <c r="K32" i="14"/>
  <c r="L32" i="14"/>
  <c r="K33" i="14"/>
  <c r="L33" i="14"/>
  <c r="K34" i="14"/>
  <c r="L34" i="14"/>
  <c r="K35" i="14"/>
  <c r="L35" i="14"/>
  <c r="K36" i="14"/>
  <c r="L36" i="14"/>
  <c r="K37" i="14"/>
  <c r="L37" i="14"/>
  <c r="K38" i="14"/>
  <c r="L38" i="14"/>
  <c r="K39" i="14"/>
  <c r="L39" i="14"/>
  <c r="K40" i="14"/>
  <c r="L40" i="14"/>
  <c r="K41" i="14"/>
  <c r="L41" i="14"/>
  <c r="K42" i="14"/>
  <c r="L42" i="14"/>
  <c r="K43" i="14"/>
  <c r="L43" i="14"/>
  <c r="K44" i="14"/>
  <c r="L44" i="14"/>
  <c r="K45" i="14"/>
  <c r="L45" i="14"/>
  <c r="K46" i="14"/>
  <c r="L46" i="14"/>
  <c r="K47" i="14"/>
  <c r="L47" i="14"/>
  <c r="K48" i="14"/>
  <c r="L48" i="14"/>
  <c r="K49" i="14"/>
  <c r="L49" i="14"/>
  <c r="K50" i="14"/>
  <c r="L50" i="14"/>
  <c r="K51" i="14"/>
  <c r="L51" i="14"/>
  <c r="K52" i="14"/>
  <c r="L52" i="14"/>
  <c r="K53" i="14"/>
  <c r="L53" i="14"/>
  <c r="K54" i="14"/>
  <c r="L54" i="14"/>
  <c r="K55" i="14"/>
  <c r="L55" i="14"/>
  <c r="K56" i="14"/>
  <c r="L56" i="14"/>
  <c r="K57" i="14"/>
  <c r="L57" i="14"/>
  <c r="K58" i="14"/>
  <c r="L58" i="14"/>
  <c r="K59" i="14"/>
  <c r="L59" i="14"/>
  <c r="K60" i="14"/>
  <c r="L60" i="14"/>
  <c r="K61" i="14"/>
  <c r="L61" i="14"/>
  <c r="K62" i="14"/>
  <c r="L62" i="14"/>
  <c r="K63" i="14"/>
  <c r="L63" i="14"/>
  <c r="K64" i="14"/>
  <c r="L64" i="14"/>
  <c r="K65" i="14"/>
  <c r="L65" i="14"/>
  <c r="K66" i="14"/>
  <c r="L66" i="14"/>
  <c r="K67" i="14"/>
  <c r="L67" i="14"/>
  <c r="K68" i="14"/>
  <c r="L68" i="14"/>
  <c r="K69" i="14"/>
  <c r="L69" i="14"/>
  <c r="K70" i="14"/>
  <c r="L70" i="14"/>
  <c r="K71" i="14"/>
  <c r="L71" i="14"/>
  <c r="K72" i="14"/>
  <c r="L72" i="14"/>
  <c r="K73" i="14"/>
  <c r="L73" i="14"/>
  <c r="K74" i="14"/>
  <c r="L74" i="14"/>
  <c r="K75" i="14"/>
  <c r="L75" i="14"/>
  <c r="K76" i="14"/>
  <c r="L76" i="14"/>
  <c r="K77" i="14"/>
  <c r="L77" i="14"/>
  <c r="K78" i="14"/>
  <c r="L78" i="14"/>
  <c r="K79" i="14"/>
  <c r="L79" i="14"/>
  <c r="K80" i="14"/>
  <c r="L80" i="14"/>
  <c r="K81" i="14"/>
  <c r="L81" i="14"/>
  <c r="K82" i="14"/>
  <c r="L82" i="14"/>
  <c r="K84" i="14"/>
  <c r="L84" i="14"/>
  <c r="K85" i="14"/>
  <c r="L85" i="14"/>
  <c r="K86" i="14"/>
  <c r="L86" i="14"/>
  <c r="K87" i="14"/>
  <c r="L87" i="14"/>
  <c r="K88" i="14"/>
  <c r="L88" i="14"/>
  <c r="K89" i="14"/>
  <c r="L89" i="14"/>
  <c r="K90" i="14"/>
  <c r="L90" i="14"/>
  <c r="K91" i="14"/>
  <c r="L91" i="14"/>
  <c r="K92" i="14"/>
  <c r="L92" i="14"/>
  <c r="K93" i="14"/>
  <c r="L93" i="14"/>
  <c r="K94" i="14"/>
  <c r="L94" i="14"/>
  <c r="K95" i="14"/>
  <c r="L95" i="14"/>
  <c r="K96" i="14"/>
  <c r="L96" i="14"/>
  <c r="K97" i="14"/>
  <c r="L97" i="14"/>
  <c r="K98" i="14"/>
  <c r="L98" i="14"/>
  <c r="K99" i="14"/>
  <c r="L99" i="14"/>
  <c r="K100" i="14"/>
  <c r="L100" i="14"/>
  <c r="K101" i="14"/>
  <c r="L101" i="14"/>
  <c r="K102" i="14"/>
  <c r="L102" i="14"/>
  <c r="K103" i="14"/>
  <c r="L103" i="14"/>
  <c r="K104" i="14"/>
  <c r="L104" i="14"/>
  <c r="K105" i="14"/>
  <c r="L105" i="14"/>
  <c r="K106" i="14"/>
  <c r="L106" i="14"/>
  <c r="K107" i="14"/>
  <c r="L107" i="14"/>
  <c r="K108" i="14"/>
  <c r="L108" i="14"/>
  <c r="K109" i="14"/>
  <c r="L109" i="14"/>
  <c r="K111" i="14"/>
  <c r="L111" i="14"/>
  <c r="K112" i="14"/>
  <c r="L112" i="14"/>
  <c r="K113" i="14"/>
  <c r="L113" i="14"/>
  <c r="K114" i="14"/>
  <c r="L114" i="14"/>
  <c r="K115" i="14"/>
  <c r="L115" i="14"/>
  <c r="K116" i="14"/>
  <c r="L116" i="14"/>
  <c r="K117" i="14"/>
  <c r="L117" i="14"/>
  <c r="K119" i="14"/>
  <c r="L119" i="14"/>
  <c r="K120" i="14"/>
  <c r="L120" i="14"/>
  <c r="K121" i="14"/>
  <c r="L121" i="14"/>
  <c r="K122" i="14"/>
  <c r="L122" i="14"/>
  <c r="K123" i="14"/>
  <c r="L123" i="14"/>
  <c r="K125" i="14"/>
  <c r="L125" i="14"/>
  <c r="K127" i="14"/>
  <c r="L127" i="14"/>
  <c r="K128" i="14"/>
  <c r="L128" i="14"/>
  <c r="K129" i="14"/>
  <c r="L129" i="14"/>
  <c r="K130" i="14"/>
  <c r="L130" i="14"/>
  <c r="K131" i="14"/>
  <c r="L131" i="14"/>
  <c r="K132" i="14"/>
  <c r="L132" i="14"/>
  <c r="K133" i="14"/>
  <c r="L133" i="14"/>
  <c r="K134" i="14"/>
  <c r="L134" i="14"/>
  <c r="K135" i="14"/>
  <c r="L135" i="14"/>
  <c r="K136" i="14"/>
  <c r="L136" i="14"/>
  <c r="K137" i="14"/>
  <c r="L137" i="14"/>
  <c r="K138" i="14"/>
  <c r="L138" i="14"/>
  <c r="K139" i="14"/>
  <c r="L139" i="14"/>
  <c r="K140" i="14"/>
  <c r="L140" i="14"/>
  <c r="K141" i="14"/>
  <c r="L141" i="14"/>
  <c r="K143" i="14"/>
  <c r="L143" i="14"/>
  <c r="K144" i="14"/>
  <c r="L144" i="14"/>
  <c r="K146" i="14"/>
  <c r="L146" i="14"/>
  <c r="K147" i="14"/>
  <c r="L147" i="14"/>
  <c r="K148" i="14"/>
  <c r="L148" i="14"/>
  <c r="K149" i="14"/>
  <c r="L149" i="14"/>
  <c r="K150" i="14"/>
  <c r="L150" i="14"/>
  <c r="K151" i="14"/>
  <c r="L151" i="14"/>
  <c r="K153" i="14"/>
  <c r="L153" i="14"/>
  <c r="K154" i="14"/>
  <c r="L154" i="14"/>
  <c r="K155" i="14"/>
  <c r="L155" i="14"/>
  <c r="K156" i="14"/>
  <c r="L156" i="14"/>
  <c r="K157" i="14"/>
  <c r="L157" i="14"/>
  <c r="K158" i="14"/>
  <c r="L158" i="14"/>
  <c r="K159" i="14"/>
  <c r="L159" i="14"/>
  <c r="K160" i="14"/>
  <c r="L160" i="14"/>
  <c r="K162" i="14"/>
  <c r="L162" i="14"/>
  <c r="K164" i="14"/>
  <c r="L164" i="14"/>
  <c r="K165" i="14"/>
  <c r="L165" i="14"/>
  <c r="K166" i="14"/>
  <c r="L166" i="14"/>
  <c r="K167" i="14"/>
  <c r="L167" i="14"/>
  <c r="K169" i="14"/>
  <c r="L169" i="14"/>
  <c r="K170" i="14"/>
  <c r="L170" i="14"/>
  <c r="K171" i="14"/>
  <c r="L171" i="14"/>
  <c r="K172" i="14"/>
  <c r="L172" i="14"/>
  <c r="K173" i="14"/>
  <c r="L173" i="14"/>
  <c r="K174" i="14"/>
  <c r="L174" i="14"/>
  <c r="K175" i="14"/>
  <c r="L175" i="14"/>
  <c r="K176" i="14"/>
  <c r="L176" i="14"/>
  <c r="K177" i="14"/>
  <c r="L177" i="14"/>
  <c r="K178" i="14"/>
  <c r="L178" i="14"/>
  <c r="K179" i="14"/>
  <c r="L179" i="14"/>
  <c r="K180" i="14"/>
  <c r="L180" i="14"/>
  <c r="K181" i="14"/>
  <c r="L181" i="14"/>
  <c r="K182" i="14"/>
  <c r="L182" i="14"/>
  <c r="K183" i="14"/>
  <c r="L183" i="14"/>
  <c r="K184" i="14"/>
  <c r="L184" i="14"/>
  <c r="K185" i="14"/>
  <c r="L185" i="14"/>
  <c r="K186" i="14"/>
  <c r="L186" i="14"/>
  <c r="K187" i="14"/>
  <c r="L187" i="14"/>
  <c r="K188" i="14"/>
  <c r="L188" i="14"/>
  <c r="K189" i="14"/>
  <c r="L189" i="14"/>
  <c r="K190" i="14"/>
  <c r="L190" i="14"/>
  <c r="K191" i="14"/>
  <c r="L191" i="14"/>
  <c r="K192" i="14"/>
  <c r="L192" i="14"/>
  <c r="K193" i="14"/>
  <c r="L193" i="14"/>
  <c r="K194" i="14"/>
  <c r="L194" i="14"/>
  <c r="K195" i="14"/>
  <c r="L195" i="14"/>
  <c r="K196" i="14"/>
  <c r="L196" i="14"/>
  <c r="K197" i="14"/>
  <c r="L197" i="14"/>
  <c r="K198" i="14"/>
  <c r="L198" i="14"/>
  <c r="K200" i="14"/>
  <c r="L200" i="14"/>
  <c r="K201" i="14"/>
  <c r="L201" i="14"/>
  <c r="K202" i="14"/>
  <c r="L202" i="14"/>
  <c r="K203" i="14"/>
  <c r="L203" i="14"/>
  <c r="K205" i="14"/>
  <c r="L205" i="14"/>
  <c r="K206" i="14"/>
  <c r="L206" i="14"/>
  <c r="K207" i="14"/>
  <c r="L207" i="14"/>
  <c r="K208" i="14"/>
  <c r="L208" i="14"/>
  <c r="K209" i="14"/>
  <c r="L209" i="14"/>
  <c r="K210" i="14"/>
  <c r="L210" i="14"/>
  <c r="K211" i="14"/>
  <c r="L211" i="14"/>
  <c r="K212" i="14"/>
  <c r="L212" i="14"/>
  <c r="K213" i="14"/>
  <c r="L213" i="14"/>
  <c r="K214" i="14"/>
  <c r="L214" i="14"/>
  <c r="K216" i="14"/>
  <c r="L216" i="14"/>
  <c r="K217" i="14"/>
  <c r="L217" i="14"/>
  <c r="K218" i="14"/>
  <c r="L218" i="14"/>
  <c r="K219" i="14"/>
  <c r="L219" i="14"/>
  <c r="K220" i="14"/>
  <c r="L220" i="14"/>
  <c r="K221" i="14"/>
  <c r="L221" i="14"/>
  <c r="K222" i="14"/>
  <c r="L222" i="14"/>
  <c r="K223" i="14"/>
  <c r="L223" i="14"/>
  <c r="K225" i="14"/>
  <c r="L225" i="14"/>
  <c r="K227" i="14"/>
  <c r="L227" i="14"/>
  <c r="K228" i="14"/>
  <c r="L228" i="14"/>
  <c r="K229" i="14"/>
  <c r="L229" i="14"/>
  <c r="K230" i="14"/>
  <c r="L230" i="14"/>
  <c r="K231" i="14"/>
  <c r="L231" i="14"/>
  <c r="K232" i="14"/>
  <c r="L232" i="14"/>
  <c r="K233" i="14"/>
  <c r="L233" i="14"/>
  <c r="K234" i="14"/>
  <c r="L234" i="14"/>
  <c r="K235" i="14"/>
  <c r="L235" i="14"/>
  <c r="K236" i="14"/>
  <c r="L236" i="14"/>
  <c r="K237" i="14"/>
  <c r="L237" i="14"/>
  <c r="K239" i="14"/>
  <c r="L239" i="14"/>
  <c r="K240" i="14"/>
  <c r="L240" i="14"/>
  <c r="K242" i="14"/>
  <c r="L242" i="14"/>
  <c r="K243" i="14"/>
  <c r="L243" i="14"/>
  <c r="K244" i="14"/>
  <c r="L244" i="14"/>
  <c r="K245" i="14"/>
  <c r="L245" i="14"/>
  <c r="K246" i="14"/>
  <c r="L246" i="14"/>
  <c r="K247" i="14"/>
  <c r="L247" i="14"/>
  <c r="K248" i="14"/>
  <c r="L248" i="14"/>
  <c r="K249" i="14"/>
  <c r="L249" i="14"/>
  <c r="K250" i="14"/>
  <c r="L250" i="14"/>
  <c r="K251" i="14"/>
  <c r="L251" i="14"/>
  <c r="K252" i="14"/>
  <c r="L252" i="14"/>
  <c r="K253" i="14"/>
  <c r="L253" i="14"/>
  <c r="K254" i="14"/>
  <c r="L254" i="14"/>
  <c r="K255" i="14"/>
  <c r="L255" i="14"/>
  <c r="K256" i="14"/>
  <c r="L256" i="14"/>
  <c r="K257" i="14"/>
  <c r="L257" i="14"/>
  <c r="K258" i="14"/>
  <c r="L258" i="14"/>
  <c r="K259" i="14"/>
  <c r="L259" i="14"/>
  <c r="K260" i="14"/>
  <c r="L260" i="14"/>
  <c r="K261" i="14"/>
  <c r="L261" i="14"/>
  <c r="K262" i="14"/>
  <c r="L262" i="14"/>
  <c r="K263" i="14"/>
  <c r="L263" i="14"/>
  <c r="K264" i="14"/>
  <c r="L264" i="14"/>
  <c r="K265" i="14"/>
  <c r="L265" i="14"/>
  <c r="K266" i="14"/>
  <c r="L266" i="14"/>
  <c r="K267" i="14"/>
  <c r="L267" i="14"/>
  <c r="K268" i="14"/>
  <c r="L268" i="14"/>
  <c r="K269" i="14"/>
  <c r="L269" i="14"/>
  <c r="K270" i="14"/>
  <c r="L270" i="14"/>
  <c r="K271" i="14"/>
  <c r="L271" i="14"/>
  <c r="K272" i="14"/>
  <c r="L272" i="14"/>
  <c r="K273" i="14"/>
  <c r="L273" i="14"/>
  <c r="K274" i="14"/>
  <c r="L274" i="14"/>
  <c r="K275" i="14"/>
  <c r="L275" i="14"/>
  <c r="K276" i="14"/>
  <c r="L276" i="14"/>
  <c r="K277" i="14"/>
  <c r="L277" i="14"/>
  <c r="K278" i="14"/>
  <c r="L278" i="14"/>
  <c r="K279" i="14"/>
  <c r="L279" i="14"/>
  <c r="K280" i="14"/>
  <c r="L280" i="14"/>
  <c r="K281" i="14"/>
  <c r="L281" i="14"/>
  <c r="K282" i="14"/>
  <c r="L282" i="14"/>
  <c r="K283" i="14"/>
  <c r="L283" i="14"/>
  <c r="K284" i="14"/>
  <c r="L284" i="14"/>
  <c r="K285" i="14"/>
  <c r="L285" i="14"/>
  <c r="K287" i="14"/>
  <c r="L287" i="14"/>
  <c r="K288" i="14"/>
  <c r="L288" i="14"/>
  <c r="K289" i="14"/>
  <c r="L289" i="14"/>
  <c r="K290" i="14"/>
  <c r="L290" i="14"/>
  <c r="K291" i="14"/>
  <c r="L291" i="14"/>
  <c r="K292" i="14"/>
  <c r="L292" i="14"/>
  <c r="K294" i="14"/>
  <c r="L294" i="14"/>
  <c r="K295" i="14"/>
  <c r="L295" i="14"/>
  <c r="K296" i="14"/>
  <c r="L296" i="14"/>
  <c r="K297" i="14"/>
  <c r="L297" i="14"/>
  <c r="K298" i="14"/>
  <c r="L298" i="14"/>
  <c r="K300" i="14"/>
  <c r="L300" i="14"/>
  <c r="K301" i="14"/>
  <c r="L301" i="14"/>
  <c r="K302" i="14"/>
  <c r="L302" i="14"/>
  <c r="K303" i="14"/>
  <c r="L303" i="14"/>
  <c r="K304" i="14"/>
  <c r="L304" i="14"/>
  <c r="K305" i="14"/>
  <c r="L305" i="14"/>
  <c r="K306" i="14"/>
  <c r="L306" i="14"/>
  <c r="K307" i="14"/>
  <c r="L307" i="14"/>
  <c r="K308" i="14"/>
  <c r="L308" i="14"/>
  <c r="K309" i="14"/>
  <c r="L309" i="14"/>
  <c r="K310" i="14"/>
  <c r="L310" i="14"/>
  <c r="K311" i="14"/>
  <c r="L311" i="14"/>
  <c r="K312" i="14"/>
  <c r="L312" i="14"/>
  <c r="K313" i="14"/>
  <c r="L313" i="14"/>
  <c r="K314" i="14"/>
  <c r="L314" i="14"/>
  <c r="K315" i="14"/>
  <c r="L315" i="14"/>
  <c r="K316" i="14"/>
  <c r="L316" i="14"/>
  <c r="K317" i="14"/>
  <c r="L317" i="14"/>
  <c r="K318" i="14"/>
  <c r="L318" i="14"/>
  <c r="K319" i="14"/>
  <c r="L319" i="14"/>
  <c r="K320" i="14"/>
  <c r="L320" i="14"/>
  <c r="K321" i="14"/>
  <c r="L321" i="14"/>
  <c r="K322" i="14"/>
  <c r="L322" i="14"/>
  <c r="K323" i="14"/>
  <c r="L323" i="14"/>
  <c r="K324" i="14"/>
  <c r="L324" i="14"/>
  <c r="K326" i="14"/>
  <c r="L326" i="14"/>
  <c r="K328" i="14"/>
  <c r="L328" i="14"/>
  <c r="K329" i="14"/>
  <c r="L329" i="14"/>
  <c r="K330" i="14"/>
  <c r="L330" i="14"/>
  <c r="K331" i="14"/>
  <c r="L331" i="14"/>
  <c r="K333" i="14"/>
  <c r="L333" i="14"/>
  <c r="K334" i="14"/>
  <c r="L334" i="14"/>
  <c r="K335" i="14"/>
  <c r="L335" i="14"/>
  <c r="K336" i="14"/>
  <c r="L336" i="14"/>
  <c r="K337" i="14"/>
  <c r="L337" i="14"/>
  <c r="K338" i="14"/>
  <c r="L338" i="14"/>
  <c r="K339" i="14"/>
  <c r="L339" i="14"/>
  <c r="K340" i="14"/>
  <c r="L340" i="14"/>
  <c r="K341" i="14"/>
  <c r="L341" i="14"/>
  <c r="K343" i="14"/>
  <c r="L343" i="14"/>
  <c r="K344" i="14"/>
  <c r="L344" i="14"/>
  <c r="K345" i="14"/>
  <c r="L345" i="14"/>
  <c r="K346" i="14"/>
  <c r="K347" i="14"/>
  <c r="L347" i="14"/>
  <c r="K348" i="14"/>
  <c r="L348" i="14"/>
  <c r="K349" i="14"/>
  <c r="L349" i="14"/>
  <c r="K350" i="14"/>
  <c r="L350" i="14"/>
  <c r="K351" i="14"/>
  <c r="L351" i="14"/>
  <c r="K352" i="14"/>
  <c r="L352" i="14"/>
  <c r="K353" i="14"/>
  <c r="L353" i="14"/>
  <c r="K354" i="14"/>
  <c r="L354" i="14"/>
  <c r="K355" i="14"/>
  <c r="L355" i="14"/>
  <c r="K356" i="14"/>
  <c r="L356" i="14"/>
  <c r="K357" i="14"/>
  <c r="L357" i="14"/>
  <c r="K358" i="14"/>
  <c r="L358" i="14"/>
  <c r="K359" i="14"/>
  <c r="L359" i="14"/>
  <c r="K360" i="14"/>
  <c r="L360" i="14"/>
  <c r="K361" i="14"/>
  <c r="L361" i="14"/>
  <c r="K362" i="14"/>
  <c r="L362" i="14"/>
  <c r="K363" i="14"/>
  <c r="L363" i="14"/>
  <c r="K364" i="14"/>
  <c r="L364" i="14"/>
  <c r="K365" i="14"/>
  <c r="L365" i="14"/>
  <c r="K366" i="14"/>
  <c r="L366" i="14"/>
  <c r="K367" i="14"/>
  <c r="L367" i="14"/>
  <c r="K368" i="14"/>
  <c r="L368" i="14"/>
  <c r="K369" i="14"/>
  <c r="L369" i="14"/>
  <c r="K370" i="14"/>
  <c r="L370" i="14"/>
  <c r="K371" i="14"/>
  <c r="L371" i="14"/>
  <c r="K372" i="14"/>
  <c r="L372" i="14"/>
  <c r="K373" i="14"/>
  <c r="L373" i="14"/>
  <c r="K374" i="14"/>
  <c r="L374" i="14"/>
  <c r="K375" i="14"/>
  <c r="L375" i="14"/>
  <c r="K376" i="14"/>
  <c r="L376" i="14"/>
  <c r="K377" i="14"/>
  <c r="L377" i="14"/>
  <c r="K378" i="14"/>
  <c r="L378" i="14"/>
  <c r="K380" i="14"/>
  <c r="L380" i="14"/>
  <c r="K381" i="14"/>
  <c r="L381" i="14"/>
  <c r="K382" i="14"/>
  <c r="L382" i="14"/>
  <c r="K384" i="14"/>
  <c r="L384" i="14"/>
  <c r="K385" i="14"/>
  <c r="L385" i="14"/>
  <c r="K386" i="14"/>
  <c r="L386" i="14"/>
  <c r="K387" i="14"/>
  <c r="L387" i="14"/>
  <c r="K388" i="14"/>
  <c r="L388" i="14"/>
  <c r="K389" i="14"/>
  <c r="L389" i="14"/>
  <c r="K390" i="14"/>
  <c r="L390" i="14"/>
  <c r="K391" i="14"/>
  <c r="L391" i="14"/>
  <c r="K392" i="14"/>
  <c r="L392" i="14"/>
  <c r="K393" i="14"/>
  <c r="L393" i="14"/>
  <c r="K394" i="14"/>
  <c r="L394" i="14"/>
  <c r="K396" i="14"/>
  <c r="L396" i="14"/>
  <c r="K397" i="14"/>
  <c r="L397" i="14"/>
  <c r="K398" i="14"/>
  <c r="L398" i="14"/>
  <c r="K399" i="14"/>
  <c r="L399" i="14"/>
  <c r="K401" i="14"/>
  <c r="L401" i="14"/>
  <c r="K402" i="14"/>
  <c r="L402" i="14"/>
  <c r="K404" i="14"/>
  <c r="L404" i="14"/>
  <c r="K405" i="14"/>
  <c r="L405" i="14"/>
  <c r="K406" i="14"/>
  <c r="L406" i="14"/>
  <c r="K407" i="14"/>
  <c r="L407" i="14"/>
  <c r="K408" i="14"/>
  <c r="L408" i="14"/>
  <c r="K409" i="14"/>
  <c r="L409" i="14"/>
  <c r="K410" i="14"/>
  <c r="L410" i="14"/>
  <c r="K411" i="14"/>
  <c r="L411" i="14"/>
  <c r="K412" i="14"/>
  <c r="L412" i="14"/>
  <c r="K413" i="14"/>
  <c r="L413" i="14"/>
  <c r="K414" i="14"/>
  <c r="L414" i="14"/>
  <c r="K415" i="14"/>
  <c r="L415" i="14"/>
  <c r="K416" i="14"/>
  <c r="L416" i="14"/>
  <c r="K417" i="14"/>
  <c r="L417" i="14"/>
  <c r="K418" i="14"/>
  <c r="L418" i="14"/>
  <c r="K420" i="14"/>
  <c r="L420" i="14"/>
  <c r="K421" i="14"/>
  <c r="L421" i="14"/>
  <c r="K423" i="14"/>
  <c r="L423" i="14"/>
  <c r="K424" i="14"/>
  <c r="L424" i="14"/>
  <c r="K425" i="14"/>
  <c r="L425" i="14"/>
  <c r="K426" i="14"/>
  <c r="L426" i="14"/>
  <c r="K427" i="14"/>
  <c r="L427" i="14"/>
  <c r="K429" i="14"/>
  <c r="L429" i="14"/>
  <c r="K430" i="14"/>
  <c r="L430" i="14"/>
  <c r="K431" i="14"/>
  <c r="L431" i="14"/>
  <c r="K432" i="14"/>
  <c r="L432" i="14"/>
  <c r="K433" i="14"/>
  <c r="L433" i="14"/>
  <c r="K434" i="14"/>
  <c r="L434" i="14"/>
  <c r="K435" i="14"/>
  <c r="L435" i="14"/>
  <c r="K436" i="14"/>
  <c r="L436" i="14"/>
  <c r="K437" i="14"/>
  <c r="L437" i="14"/>
  <c r="K438" i="14"/>
  <c r="L438" i="14"/>
  <c r="K439" i="14"/>
  <c r="L439" i="14"/>
  <c r="K440" i="14"/>
  <c r="L440" i="14"/>
  <c r="K441" i="14"/>
  <c r="L441" i="14"/>
  <c r="K442" i="14"/>
  <c r="L442" i="14"/>
  <c r="K443" i="14"/>
  <c r="L443" i="14"/>
  <c r="K444" i="14"/>
  <c r="L444" i="14"/>
  <c r="K445" i="14"/>
  <c r="L445" i="14"/>
  <c r="K446" i="14"/>
  <c r="L446" i="14"/>
  <c r="K447" i="14"/>
  <c r="L447" i="14"/>
  <c r="K448" i="14"/>
  <c r="L448" i="14"/>
  <c r="K449" i="14"/>
  <c r="L449" i="14"/>
  <c r="K451" i="14"/>
  <c r="L451" i="14"/>
  <c r="K452" i="14"/>
  <c r="L452" i="14"/>
  <c r="K453" i="14"/>
  <c r="L453" i="14"/>
  <c r="K454" i="14"/>
  <c r="L454" i="14"/>
  <c r="K455" i="14"/>
  <c r="L455" i="14"/>
  <c r="K456" i="14"/>
  <c r="L456" i="14"/>
  <c r="K457" i="14"/>
  <c r="L457" i="14"/>
  <c r="K458" i="14"/>
  <c r="L458" i="14"/>
  <c r="K459" i="14"/>
  <c r="L459" i="14"/>
  <c r="K460" i="14"/>
  <c r="L460" i="14"/>
  <c r="K461" i="14"/>
  <c r="L461" i="14"/>
  <c r="K462" i="14"/>
  <c r="L462" i="14"/>
  <c r="K463" i="14"/>
  <c r="L463" i="14"/>
  <c r="K464" i="14"/>
  <c r="L464" i="14"/>
  <c r="K465" i="14"/>
  <c r="L465" i="14"/>
  <c r="K466" i="14"/>
  <c r="L466" i="14"/>
  <c r="K467" i="14"/>
  <c r="L467" i="14"/>
  <c r="K468" i="14"/>
  <c r="L468" i="14"/>
  <c r="K469" i="14"/>
  <c r="L469" i="14"/>
  <c r="K470" i="14"/>
  <c r="L470" i="14"/>
  <c r="K471" i="14"/>
  <c r="L471" i="14"/>
  <c r="K472" i="14"/>
  <c r="L472" i="14"/>
  <c r="K473" i="14"/>
  <c r="L473" i="14"/>
  <c r="K474" i="14"/>
  <c r="L474" i="14"/>
  <c r="K475" i="14"/>
  <c r="L475" i="14"/>
  <c r="K476" i="14"/>
  <c r="L476" i="14"/>
  <c r="K477" i="14"/>
  <c r="L477" i="14"/>
  <c r="K478" i="14"/>
  <c r="L478" i="14"/>
  <c r="K479" i="14"/>
  <c r="L479" i="14"/>
  <c r="K480" i="14"/>
  <c r="L480" i="14"/>
  <c r="K481" i="14"/>
  <c r="L481" i="14"/>
  <c r="K482" i="14"/>
  <c r="L482" i="14"/>
  <c r="K483" i="14"/>
  <c r="L483" i="14"/>
  <c r="K484" i="14"/>
  <c r="L484" i="14"/>
  <c r="K485" i="14"/>
  <c r="L485" i="14"/>
  <c r="K486" i="14"/>
  <c r="L486" i="14"/>
  <c r="K487" i="14"/>
  <c r="L487" i="14"/>
  <c r="K488" i="14"/>
  <c r="L488" i="14"/>
  <c r="K489" i="14"/>
  <c r="L489" i="14"/>
  <c r="K490" i="14"/>
  <c r="L490" i="14"/>
  <c r="K491" i="14"/>
  <c r="L491" i="14"/>
  <c r="K492" i="14"/>
  <c r="L492" i="14"/>
  <c r="K493" i="14"/>
  <c r="L493" i="14"/>
  <c r="K494" i="14"/>
  <c r="L494" i="14"/>
  <c r="K495" i="14"/>
  <c r="L495" i="14"/>
  <c r="K496" i="14"/>
  <c r="L496" i="14"/>
  <c r="K497" i="14"/>
  <c r="L497" i="14"/>
  <c r="K499" i="14"/>
  <c r="L499" i="14"/>
  <c r="K501" i="14"/>
  <c r="L501" i="14"/>
  <c r="K502" i="14"/>
  <c r="L502" i="14"/>
  <c r="L503" i="14"/>
  <c r="K504" i="14"/>
  <c r="L504" i="14"/>
  <c r="K505" i="14"/>
  <c r="L505" i="14"/>
  <c r="K506" i="14"/>
  <c r="L506" i="14"/>
  <c r="K507" i="14"/>
  <c r="L507" i="14"/>
  <c r="K508" i="14"/>
  <c r="L508" i="14"/>
  <c r="K509" i="14"/>
  <c r="L509" i="14"/>
  <c r="K510" i="14"/>
  <c r="L510" i="14"/>
  <c r="K511" i="14"/>
  <c r="L511" i="14"/>
  <c r="K512" i="14"/>
  <c r="L512" i="14"/>
  <c r="K513" i="14"/>
  <c r="L513" i="14"/>
  <c r="K515" i="14"/>
  <c r="L515" i="14"/>
  <c r="K516" i="14"/>
  <c r="L516" i="14"/>
  <c r="K517" i="14"/>
  <c r="L517" i="14"/>
  <c r="K518" i="14"/>
  <c r="L518" i="14"/>
  <c r="K519" i="14"/>
  <c r="L519" i="14"/>
  <c r="K520" i="14"/>
  <c r="L520" i="14"/>
  <c r="K521" i="14"/>
  <c r="L521" i="14"/>
  <c r="K522" i="14"/>
  <c r="L522" i="14"/>
  <c r="K523" i="14"/>
  <c r="L523" i="14"/>
  <c r="K524" i="14"/>
  <c r="L524" i="14"/>
  <c r="K525" i="14"/>
  <c r="L525" i="14"/>
  <c r="K526" i="14"/>
  <c r="L526" i="14"/>
  <c r="K527" i="14"/>
  <c r="L527" i="14"/>
  <c r="K528" i="14"/>
  <c r="L528" i="14"/>
  <c r="K529" i="14"/>
  <c r="L529" i="14"/>
  <c r="K531" i="14"/>
  <c r="L531" i="14"/>
  <c r="K532" i="14"/>
  <c r="L532" i="14"/>
  <c r="K533" i="14"/>
  <c r="L533" i="14"/>
  <c r="K534" i="14"/>
  <c r="L534" i="14"/>
  <c r="K535" i="14"/>
  <c r="L535" i="14"/>
  <c r="K536" i="14"/>
  <c r="L536" i="14"/>
  <c r="K537" i="14"/>
  <c r="L537" i="14"/>
  <c r="K539" i="14"/>
  <c r="L539" i="14"/>
  <c r="K541" i="14"/>
  <c r="L541" i="14"/>
  <c r="K543" i="14"/>
  <c r="L543" i="14"/>
  <c r="K545" i="14"/>
  <c r="L545" i="14"/>
  <c r="K546" i="14"/>
  <c r="L546" i="14"/>
  <c r="K547" i="14"/>
  <c r="L547" i="14"/>
  <c r="K548" i="14"/>
  <c r="L548" i="14"/>
  <c r="K549" i="14"/>
  <c r="L549" i="14"/>
  <c r="K550" i="14"/>
  <c r="L550" i="14"/>
  <c r="K551" i="14"/>
  <c r="L551" i="14"/>
  <c r="K552" i="14"/>
  <c r="L552" i="14"/>
  <c r="K553" i="14"/>
  <c r="L553" i="14"/>
  <c r="K554" i="14"/>
  <c r="L554" i="14"/>
  <c r="K555" i="14"/>
  <c r="L555" i="14"/>
  <c r="K556" i="14"/>
  <c r="L556" i="14"/>
  <c r="K557" i="14"/>
  <c r="L557" i="14"/>
  <c r="K558" i="14"/>
  <c r="L558" i="14"/>
  <c r="K559" i="14"/>
  <c r="L559" i="14"/>
  <c r="K560" i="14"/>
  <c r="L560" i="14"/>
  <c r="K562" i="14"/>
  <c r="L562" i="14"/>
  <c r="K563" i="14"/>
  <c r="L563" i="14"/>
  <c r="K564" i="14"/>
  <c r="L564" i="14"/>
  <c r="K565" i="14"/>
  <c r="L565" i="14"/>
  <c r="K566" i="14"/>
  <c r="L566" i="14"/>
  <c r="K567" i="14"/>
  <c r="L567" i="14"/>
  <c r="K568" i="14"/>
  <c r="L568" i="14"/>
  <c r="K569" i="14"/>
  <c r="L569" i="14"/>
  <c r="K570" i="14"/>
  <c r="L570" i="14"/>
  <c r="K571" i="14"/>
  <c r="L571" i="14"/>
  <c r="K572" i="14"/>
  <c r="L572" i="14"/>
  <c r="K573" i="14"/>
  <c r="L573" i="14"/>
  <c r="K574" i="14"/>
  <c r="L574" i="14"/>
  <c r="K575" i="14"/>
  <c r="L575" i="14"/>
  <c r="K576" i="14"/>
  <c r="L576" i="14"/>
  <c r="K577" i="14"/>
  <c r="L577" i="14"/>
  <c r="K578" i="14"/>
  <c r="L578" i="14"/>
  <c r="K579" i="14"/>
  <c r="L579" i="14"/>
  <c r="K580" i="14"/>
  <c r="L580" i="14"/>
  <c r="K581" i="14"/>
  <c r="L581" i="14"/>
  <c r="K582" i="14"/>
  <c r="L582" i="14"/>
  <c r="K583" i="14"/>
  <c r="L583" i="14"/>
  <c r="K584" i="14"/>
  <c r="L584" i="14"/>
  <c r="K585" i="14"/>
  <c r="L585" i="14"/>
  <c r="K586" i="14"/>
  <c r="L586" i="14"/>
  <c r="K587" i="14"/>
  <c r="L587" i="14"/>
  <c r="K588" i="14"/>
  <c r="L588" i="14"/>
  <c r="K589" i="14"/>
  <c r="L589" i="14"/>
  <c r="K590" i="14"/>
  <c r="L590" i="14"/>
  <c r="K591" i="14"/>
  <c r="L591" i="14"/>
  <c r="K592" i="14"/>
  <c r="L592" i="14"/>
  <c r="K593" i="14"/>
  <c r="L593" i="14"/>
  <c r="K594" i="14"/>
  <c r="L594" i="14"/>
  <c r="K595" i="14"/>
  <c r="L595" i="14"/>
  <c r="K596" i="14"/>
  <c r="L596" i="14"/>
  <c r="K597" i="14"/>
  <c r="L597" i="14"/>
  <c r="K598" i="14"/>
  <c r="L598" i="14"/>
  <c r="K599" i="14"/>
  <c r="L599" i="14"/>
  <c r="K600" i="14"/>
  <c r="L600" i="14"/>
  <c r="K601" i="14"/>
  <c r="L601" i="14"/>
  <c r="K602" i="14"/>
  <c r="L602" i="14"/>
  <c r="K603" i="14"/>
  <c r="L603" i="14"/>
  <c r="K604" i="14"/>
  <c r="L604" i="14"/>
  <c r="K605" i="14"/>
  <c r="L605" i="14"/>
  <c r="K606" i="14"/>
  <c r="L606" i="14"/>
  <c r="K607" i="14"/>
  <c r="L607" i="14"/>
  <c r="K608" i="14"/>
  <c r="L608" i="14"/>
  <c r="K609" i="14"/>
  <c r="L609" i="14"/>
  <c r="K610" i="14"/>
  <c r="L610" i="14"/>
  <c r="K611" i="14"/>
  <c r="L611" i="14"/>
  <c r="K612" i="14"/>
  <c r="L612" i="14"/>
  <c r="K613" i="14"/>
  <c r="L613" i="14"/>
  <c r="K614" i="14"/>
  <c r="L614" i="14"/>
  <c r="K615" i="14"/>
  <c r="L615" i="14"/>
  <c r="K616" i="14"/>
  <c r="L616" i="14"/>
  <c r="K617" i="14"/>
  <c r="L617" i="14"/>
  <c r="K618" i="14"/>
  <c r="L618" i="14"/>
  <c r="K619" i="14"/>
  <c r="L619" i="14"/>
  <c r="K620" i="14"/>
  <c r="L620" i="14"/>
  <c r="K621" i="14"/>
  <c r="L621" i="14"/>
  <c r="K622" i="14"/>
  <c r="L622" i="14"/>
  <c r="K623" i="14"/>
  <c r="L623" i="14"/>
  <c r="K624" i="14"/>
  <c r="L624" i="14"/>
  <c r="K625" i="14"/>
  <c r="L625" i="14"/>
  <c r="K626" i="14"/>
  <c r="L626" i="14"/>
  <c r="K627" i="14"/>
  <c r="L627" i="14"/>
  <c r="K628" i="14"/>
  <c r="L628" i="14"/>
  <c r="K629" i="14"/>
  <c r="L629" i="14"/>
  <c r="K630" i="14"/>
  <c r="L630" i="14"/>
  <c r="K631" i="14"/>
  <c r="L631" i="14"/>
  <c r="K632" i="14"/>
  <c r="L632" i="14"/>
  <c r="K633" i="14"/>
  <c r="L633" i="14"/>
  <c r="K634" i="14"/>
  <c r="L634" i="14"/>
  <c r="K635" i="14"/>
  <c r="L635" i="14"/>
  <c r="K636" i="14"/>
  <c r="L636" i="14"/>
  <c r="K637" i="14"/>
  <c r="L637" i="14"/>
  <c r="K638" i="14"/>
  <c r="L638" i="14"/>
  <c r="K639" i="14"/>
  <c r="L639" i="14"/>
  <c r="K640" i="14"/>
  <c r="L640" i="14"/>
  <c r="K641" i="14"/>
  <c r="L641" i="14"/>
  <c r="K642" i="14"/>
  <c r="L642" i="14"/>
  <c r="K643" i="14"/>
  <c r="L643" i="14"/>
  <c r="K644" i="14"/>
  <c r="L644" i="14"/>
  <c r="K645" i="14"/>
  <c r="L645" i="14"/>
  <c r="K646" i="14"/>
  <c r="L646" i="14"/>
  <c r="K647" i="14"/>
  <c r="L647" i="14"/>
  <c r="K648" i="14"/>
  <c r="L648" i="14"/>
  <c r="K649" i="14"/>
  <c r="L649" i="14"/>
  <c r="K650" i="14"/>
  <c r="L650" i="14"/>
  <c r="K651" i="14"/>
  <c r="L651" i="14"/>
  <c r="K652" i="14"/>
  <c r="L652" i="14"/>
  <c r="K653" i="14"/>
  <c r="L653" i="14"/>
  <c r="K654" i="14"/>
  <c r="L654" i="14"/>
  <c r="K655" i="14"/>
  <c r="L655" i="14"/>
  <c r="K656" i="14"/>
  <c r="L656" i="14"/>
  <c r="K657" i="14"/>
  <c r="L657" i="14"/>
  <c r="K658" i="14"/>
  <c r="L658" i="14"/>
  <c r="K659" i="14"/>
  <c r="L659" i="14"/>
  <c r="K660" i="14"/>
  <c r="L660" i="14"/>
  <c r="K661" i="14"/>
  <c r="L661" i="14"/>
  <c r="K662" i="14"/>
  <c r="L662" i="14"/>
  <c r="K663" i="14"/>
  <c r="L663" i="14"/>
  <c r="K664" i="14"/>
  <c r="L664" i="14"/>
  <c r="K665" i="14"/>
  <c r="L665" i="14"/>
  <c r="K666" i="14"/>
  <c r="L666" i="14"/>
  <c r="K667" i="14"/>
  <c r="L667" i="14"/>
  <c r="K668" i="14"/>
  <c r="L668" i="14"/>
  <c r="K669" i="14"/>
  <c r="L669" i="14"/>
  <c r="K670" i="14"/>
  <c r="L670" i="14"/>
  <c r="K671" i="14"/>
  <c r="L671" i="14"/>
  <c r="K672" i="14"/>
  <c r="L672" i="14"/>
  <c r="K673" i="14"/>
  <c r="L673" i="14"/>
  <c r="K674" i="14"/>
  <c r="L674" i="14"/>
  <c r="K675" i="14"/>
  <c r="L675" i="14"/>
  <c r="K676" i="14"/>
  <c r="L676" i="14"/>
  <c r="K677" i="14"/>
  <c r="L677" i="14"/>
  <c r="K678" i="14"/>
  <c r="L678" i="14"/>
  <c r="K679" i="14"/>
  <c r="L679" i="14"/>
  <c r="K680" i="14"/>
  <c r="L680" i="14"/>
  <c r="K681" i="14"/>
  <c r="L681" i="14"/>
  <c r="K682" i="14"/>
  <c r="L682" i="14"/>
  <c r="K683" i="14"/>
  <c r="L683" i="14"/>
  <c r="K684" i="14"/>
  <c r="L684" i="14"/>
  <c r="K685" i="14"/>
  <c r="L685" i="14"/>
  <c r="K686" i="14"/>
  <c r="L686" i="14"/>
  <c r="K687" i="14"/>
  <c r="L687" i="14"/>
  <c r="K688" i="14"/>
  <c r="L688" i="14"/>
  <c r="K689" i="14"/>
  <c r="L689" i="14"/>
  <c r="K690" i="14"/>
  <c r="L690" i="14"/>
  <c r="K691" i="14"/>
  <c r="L691" i="14"/>
  <c r="K692" i="14"/>
  <c r="L692" i="14"/>
  <c r="K693" i="14"/>
  <c r="L693" i="14"/>
  <c r="K694" i="14"/>
  <c r="L694" i="14"/>
  <c r="K695" i="14"/>
  <c r="L695" i="14"/>
  <c r="K696" i="14"/>
  <c r="L696" i="14"/>
  <c r="K697" i="14"/>
  <c r="L697" i="14"/>
  <c r="K698" i="14"/>
  <c r="L698" i="14"/>
  <c r="K699" i="14"/>
  <c r="L699" i="14"/>
  <c r="K700" i="14"/>
  <c r="L700" i="14"/>
  <c r="K701" i="14"/>
  <c r="L701" i="14"/>
  <c r="K702" i="14"/>
  <c r="L702" i="14"/>
  <c r="K703" i="14"/>
  <c r="L703" i="14"/>
  <c r="K704" i="14"/>
  <c r="L704" i="14"/>
  <c r="K706" i="14"/>
  <c r="L706" i="14"/>
  <c r="K707" i="14"/>
  <c r="L707" i="14"/>
  <c r="K708" i="14"/>
  <c r="L708" i="14"/>
  <c r="K709" i="14"/>
  <c r="L709" i="14"/>
  <c r="K711" i="14"/>
  <c r="L711" i="14"/>
  <c r="K712" i="14"/>
  <c r="L712" i="14"/>
  <c r="K713" i="14"/>
  <c r="L713" i="14"/>
  <c r="K714" i="14"/>
  <c r="L714" i="14"/>
  <c r="K715" i="14"/>
  <c r="L715" i="14"/>
  <c r="K716" i="14"/>
  <c r="L716" i="14"/>
  <c r="K717" i="14"/>
  <c r="L717" i="14"/>
  <c r="K718" i="14"/>
  <c r="L718" i="14"/>
  <c r="K719" i="14"/>
  <c r="L719" i="14"/>
  <c r="K720" i="14"/>
  <c r="L720" i="14"/>
  <c r="K722" i="14"/>
  <c r="L722" i="14"/>
  <c r="K723" i="14"/>
  <c r="L723" i="14"/>
  <c r="K724" i="14"/>
  <c r="L724" i="14"/>
  <c r="K726" i="14"/>
  <c r="L726" i="14"/>
  <c r="K727" i="14"/>
  <c r="L727" i="14"/>
  <c r="K728" i="14"/>
  <c r="L728" i="14"/>
  <c r="K729" i="14"/>
  <c r="L729" i="14"/>
  <c r="L730" i="14"/>
  <c r="K731" i="14"/>
  <c r="L731" i="14"/>
  <c r="K732" i="14"/>
  <c r="L732" i="14"/>
  <c r="K733" i="14"/>
  <c r="L733" i="14"/>
  <c r="K734" i="14"/>
  <c r="L734" i="14"/>
  <c r="K735" i="14"/>
  <c r="L735" i="14"/>
  <c r="K736" i="14"/>
  <c r="L736" i="14"/>
  <c r="K737" i="14"/>
  <c r="L737" i="14"/>
  <c r="K738" i="14"/>
  <c r="L738" i="14"/>
  <c r="K739" i="14"/>
  <c r="L739" i="14"/>
  <c r="K740" i="14"/>
  <c r="L740" i="14"/>
  <c r="K741" i="14"/>
  <c r="L741" i="14"/>
  <c r="K742" i="14"/>
  <c r="L742" i="14"/>
  <c r="K743" i="14"/>
  <c r="L743" i="14"/>
  <c r="K744" i="14"/>
  <c r="L744" i="14"/>
  <c r="K745" i="14"/>
  <c r="L745" i="14"/>
  <c r="K746" i="14"/>
  <c r="L746" i="14"/>
  <c r="K747" i="14"/>
  <c r="L747" i="14"/>
  <c r="K748" i="14"/>
  <c r="L748" i="14"/>
  <c r="K749" i="14"/>
  <c r="L749" i="14"/>
  <c r="K750" i="14"/>
  <c r="L750" i="14"/>
  <c r="K751" i="14"/>
  <c r="L751" i="14"/>
  <c r="K752" i="14"/>
  <c r="L752" i="14"/>
  <c r="K753" i="14"/>
  <c r="L753" i="14"/>
  <c r="K754" i="14"/>
  <c r="L754" i="14"/>
  <c r="K755" i="14"/>
  <c r="L755" i="14"/>
  <c r="K756" i="14"/>
  <c r="L756" i="14"/>
  <c r="K757" i="14"/>
  <c r="L757" i="14"/>
  <c r="K758" i="14"/>
  <c r="L758" i="14"/>
  <c r="K759" i="14"/>
  <c r="L759" i="14"/>
  <c r="K760" i="14"/>
  <c r="L760" i="14"/>
  <c r="K761" i="14"/>
  <c r="L761" i="14"/>
  <c r="K762" i="14"/>
  <c r="L762" i="14"/>
  <c r="K763" i="14"/>
  <c r="L763" i="14"/>
  <c r="K764" i="14"/>
  <c r="L764" i="14"/>
  <c r="K765" i="14"/>
  <c r="L765" i="14"/>
  <c r="K766" i="14"/>
  <c r="L766" i="14"/>
  <c r="K767" i="14"/>
  <c r="L767" i="14"/>
  <c r="K768" i="14"/>
  <c r="L768" i="14"/>
  <c r="K769" i="14"/>
  <c r="L769" i="14"/>
  <c r="K770" i="14"/>
  <c r="L770" i="14"/>
  <c r="K771" i="14"/>
  <c r="L771" i="14"/>
  <c r="K772" i="14"/>
  <c r="L772" i="14"/>
  <c r="K773" i="14"/>
  <c r="L773" i="14"/>
  <c r="K774" i="14"/>
  <c r="L774" i="14"/>
  <c r="K775" i="14"/>
  <c r="L775" i="14"/>
  <c r="K776" i="14"/>
  <c r="L776" i="14"/>
  <c r="K778" i="14"/>
  <c r="L778" i="14"/>
  <c r="K779" i="14"/>
  <c r="L779" i="14"/>
  <c r="K780" i="14"/>
  <c r="L780" i="14"/>
  <c r="K781" i="14"/>
  <c r="L781" i="14"/>
  <c r="K782" i="14"/>
  <c r="L782" i="14"/>
  <c r="K783" i="14"/>
  <c r="L783" i="14"/>
  <c r="K784" i="14"/>
  <c r="L784" i="14"/>
  <c r="K785" i="14"/>
  <c r="L785" i="14"/>
  <c r="K786" i="14"/>
  <c r="L786" i="14"/>
  <c r="K787" i="14"/>
  <c r="L787" i="14"/>
  <c r="K788" i="14"/>
  <c r="L788" i="14"/>
  <c r="K789" i="14"/>
  <c r="L789" i="14"/>
  <c r="K790" i="14"/>
  <c r="L790" i="14"/>
  <c r="K792" i="14"/>
  <c r="L792" i="14"/>
  <c r="K794" i="14"/>
  <c r="L794" i="14"/>
  <c r="K795" i="14"/>
  <c r="L795" i="14"/>
  <c r="K796" i="14"/>
  <c r="L796" i="14"/>
  <c r="K798" i="14"/>
  <c r="L798" i="14"/>
  <c r="K799" i="14"/>
  <c r="L799" i="14"/>
  <c r="K800" i="14"/>
  <c r="L800" i="14"/>
  <c r="K801" i="14"/>
  <c r="L801" i="14"/>
  <c r="K802" i="14"/>
  <c r="L802" i="14"/>
  <c r="K803" i="14"/>
  <c r="L803" i="14"/>
  <c r="K804" i="14"/>
  <c r="L804" i="14"/>
  <c r="K805" i="14"/>
  <c r="L805" i="14"/>
  <c r="K806" i="14"/>
  <c r="L806" i="14"/>
  <c r="K807" i="14"/>
  <c r="L807" i="14"/>
  <c r="K808" i="14"/>
  <c r="L808" i="14"/>
  <c r="K809" i="14"/>
  <c r="L809" i="14"/>
  <c r="K810" i="14"/>
  <c r="L810" i="14"/>
  <c r="L811" i="14"/>
  <c r="K812" i="14"/>
  <c r="L812" i="14"/>
  <c r="K813" i="14"/>
  <c r="L813" i="14"/>
  <c r="K814" i="14"/>
  <c r="L814" i="14"/>
  <c r="K815" i="14"/>
  <c r="L815" i="14"/>
  <c r="K816" i="14"/>
  <c r="L816" i="14"/>
  <c r="K817" i="14"/>
  <c r="L817" i="14"/>
  <c r="K818" i="14"/>
  <c r="L818" i="14"/>
  <c r="K819" i="14"/>
  <c r="L819" i="14"/>
  <c r="K820" i="14"/>
  <c r="L820" i="14"/>
  <c r="K821" i="14"/>
  <c r="L821" i="14"/>
  <c r="K822" i="14"/>
  <c r="L822" i="14"/>
  <c r="K823" i="14"/>
  <c r="L823" i="14"/>
  <c r="K824" i="14"/>
  <c r="L824" i="14"/>
  <c r="K826" i="14"/>
  <c r="L826" i="14"/>
  <c r="K827" i="14"/>
  <c r="L827" i="14"/>
  <c r="K828" i="14"/>
  <c r="L828" i="14"/>
  <c r="K829" i="14"/>
  <c r="L829" i="14"/>
  <c r="K830" i="14"/>
  <c r="L830" i="14"/>
  <c r="K831" i="14"/>
  <c r="L831" i="14"/>
  <c r="K833" i="14"/>
  <c r="L833" i="14"/>
  <c r="K835" i="14"/>
  <c r="L835" i="14"/>
  <c r="K836" i="14"/>
  <c r="L836" i="14"/>
  <c r="K837" i="14"/>
  <c r="L837" i="14"/>
  <c r="K838" i="14"/>
  <c r="L838" i="14"/>
  <c r="K839" i="14"/>
  <c r="L839" i="14"/>
  <c r="K840" i="14"/>
  <c r="L840" i="14"/>
  <c r="K841" i="14"/>
  <c r="L841" i="14"/>
  <c r="K842" i="14"/>
  <c r="L842" i="14"/>
  <c r="K843" i="14"/>
  <c r="L843" i="14"/>
  <c r="K844" i="14"/>
  <c r="L844" i="14"/>
  <c r="K845" i="14"/>
  <c r="L845" i="14"/>
  <c r="K847" i="14"/>
  <c r="L847" i="14"/>
  <c r="K848" i="14"/>
  <c r="L848" i="14"/>
  <c r="K849" i="14"/>
  <c r="L849" i="14"/>
  <c r="K850" i="14"/>
  <c r="L850" i="14"/>
  <c r="K851" i="14"/>
  <c r="L851" i="14"/>
  <c r="K852" i="14"/>
  <c r="L852" i="14"/>
  <c r="K853" i="14"/>
  <c r="L853" i="14"/>
  <c r="K855" i="14"/>
  <c r="L855" i="14"/>
  <c r="J542" i="14"/>
  <c r="J540" i="14"/>
  <c r="J538" i="14"/>
  <c r="J500" i="14"/>
  <c r="J498" i="14"/>
  <c r="J846" i="14"/>
  <c r="J840" i="14"/>
  <c r="J834" i="14"/>
  <c r="J825" i="14"/>
  <c r="J811" i="14"/>
  <c r="J797" i="14"/>
  <c r="J793" i="14"/>
  <c r="J777" i="14"/>
  <c r="J730" i="14"/>
  <c r="J725" i="14"/>
  <c r="J721" i="14"/>
  <c r="J710" i="14"/>
  <c r="J705" i="14"/>
  <c r="J561" i="14"/>
  <c r="J547" i="14"/>
  <c r="J544" i="14"/>
  <c r="J530" i="14"/>
  <c r="J527" i="14"/>
  <c r="J514" i="14"/>
  <c r="J503" i="14"/>
  <c r="J450" i="14"/>
  <c r="J428" i="14"/>
  <c r="J422" i="14"/>
  <c r="J419" i="14"/>
  <c r="J403" i="14"/>
  <c r="J400" i="14"/>
  <c r="J395" i="14"/>
  <c r="J383" i="14"/>
  <c r="J379" i="14"/>
  <c r="J346" i="14"/>
  <c r="J342" i="14"/>
  <c r="J332" i="14"/>
  <c r="J327" i="14"/>
  <c r="J317" i="14"/>
  <c r="J299" i="14"/>
  <c r="J293" i="14"/>
  <c r="J286" i="14"/>
  <c r="J241" i="14"/>
  <c r="J226" i="14"/>
  <c r="J215" i="14"/>
  <c r="J204" i="14"/>
  <c r="J199" i="14"/>
  <c r="J168" i="14"/>
  <c r="J163" i="14"/>
  <c r="J152" i="14"/>
  <c r="J145" i="14"/>
  <c r="J126" i="14"/>
  <c r="J118" i="14"/>
  <c r="J110" i="14"/>
  <c r="J83" i="14"/>
  <c r="J23" i="14"/>
  <c r="J19" i="14"/>
  <c r="J6" i="14"/>
  <c r="J854" i="14"/>
  <c r="J832" i="14"/>
  <c r="J791" i="14"/>
  <c r="J325" i="14"/>
  <c r="J238" i="14"/>
  <c r="J224" i="14"/>
  <c r="J161" i="14"/>
  <c r="J142" i="14"/>
  <c r="J124" i="14"/>
  <c r="J3" i="14"/>
  <c r="H854" i="14"/>
  <c r="L854" i="14" s="1"/>
  <c r="G854" i="14"/>
  <c r="K854" i="14" s="1"/>
  <c r="F854" i="14"/>
  <c r="F846" i="14"/>
  <c r="G846" i="14"/>
  <c r="H846" i="14"/>
  <c r="I846" i="14"/>
  <c r="K846" i="14" s="1"/>
  <c r="E846" i="14"/>
  <c r="F840" i="14"/>
  <c r="G840" i="14"/>
  <c r="H840" i="14"/>
  <c r="I840" i="14"/>
  <c r="E840" i="14"/>
  <c r="F834" i="14"/>
  <c r="G834" i="14"/>
  <c r="L834" i="14" s="1"/>
  <c r="H834" i="14"/>
  <c r="I834" i="14"/>
  <c r="K834" i="14" s="1"/>
  <c r="E834" i="14"/>
  <c r="G832" i="14"/>
  <c r="K832" i="14" s="1"/>
  <c r="H832" i="14"/>
  <c r="L832" i="14" s="1"/>
  <c r="F832" i="14"/>
  <c r="F825" i="14"/>
  <c r="G825" i="14"/>
  <c r="L825" i="14" s="1"/>
  <c r="H825" i="14"/>
  <c r="I825" i="14"/>
  <c r="K825" i="14" s="1"/>
  <c r="E825" i="14"/>
  <c r="I811" i="14"/>
  <c r="H811" i="14"/>
  <c r="G811" i="14"/>
  <c r="K811" i="14" s="1"/>
  <c r="F811" i="14"/>
  <c r="E811" i="14"/>
  <c r="F797" i="14"/>
  <c r="G797" i="14"/>
  <c r="H797" i="14"/>
  <c r="I797" i="14"/>
  <c r="K797" i="14" s="1"/>
  <c r="E797" i="14"/>
  <c r="I793" i="14"/>
  <c r="K793" i="14" s="1"/>
  <c r="H793" i="14"/>
  <c r="G793" i="14"/>
  <c r="F793" i="14"/>
  <c r="E793" i="14"/>
  <c r="G791" i="14"/>
  <c r="K791" i="14" s="1"/>
  <c r="H791" i="14"/>
  <c r="L791" i="14" s="1"/>
  <c r="F791" i="14"/>
  <c r="F777" i="14"/>
  <c r="G777" i="14"/>
  <c r="H777" i="14"/>
  <c r="I777" i="14"/>
  <c r="L777" i="14" s="1"/>
  <c r="E777" i="14"/>
  <c r="F730" i="14"/>
  <c r="G730" i="14"/>
  <c r="H730" i="14"/>
  <c r="I730" i="14"/>
  <c r="K730" i="14" s="1"/>
  <c r="E730" i="14"/>
  <c r="I725" i="14"/>
  <c r="L725" i="14" s="1"/>
  <c r="H725" i="14"/>
  <c r="G725" i="14"/>
  <c r="F725" i="14"/>
  <c r="E725" i="14"/>
  <c r="F710" i="14"/>
  <c r="G710" i="14"/>
  <c r="H710" i="14"/>
  <c r="I710" i="14"/>
  <c r="L710" i="14" s="1"/>
  <c r="E710" i="14"/>
  <c r="F721" i="14"/>
  <c r="G721" i="14"/>
  <c r="H721" i="14"/>
  <c r="I721" i="14"/>
  <c r="L721" i="14" s="1"/>
  <c r="E721" i="14"/>
  <c r="I705" i="14"/>
  <c r="L705" i="14" s="1"/>
  <c r="H705" i="14"/>
  <c r="G705" i="14"/>
  <c r="F705" i="14"/>
  <c r="E705" i="14"/>
  <c r="F561" i="14"/>
  <c r="G561" i="14"/>
  <c r="H561" i="14"/>
  <c r="I561" i="14"/>
  <c r="L561" i="14" s="1"/>
  <c r="E561" i="14"/>
  <c r="F547" i="14"/>
  <c r="G547" i="14"/>
  <c r="H547" i="14"/>
  <c r="I547" i="14"/>
  <c r="E547" i="14"/>
  <c r="I544" i="14"/>
  <c r="K544" i="14" s="1"/>
  <c r="H544" i="14"/>
  <c r="G544" i="14"/>
  <c r="F544" i="14"/>
  <c r="E544" i="14"/>
  <c r="H542" i="14"/>
  <c r="L542" i="14" s="1"/>
  <c r="G542" i="14"/>
  <c r="K542" i="14" s="1"/>
  <c r="F542" i="14"/>
  <c r="H540" i="14"/>
  <c r="L540" i="14" s="1"/>
  <c r="G540" i="14"/>
  <c r="K540" i="14" s="1"/>
  <c r="F540" i="14"/>
  <c r="F538" i="14"/>
  <c r="H538" i="14"/>
  <c r="L538" i="14" s="1"/>
  <c r="G538" i="14"/>
  <c r="K538" i="14" s="1"/>
  <c r="F530" i="14"/>
  <c r="G530" i="14"/>
  <c r="H530" i="14"/>
  <c r="I530" i="14"/>
  <c r="L530" i="14" s="1"/>
  <c r="E530" i="14"/>
  <c r="F527" i="14"/>
  <c r="G527" i="14"/>
  <c r="H527" i="14"/>
  <c r="I527" i="14"/>
  <c r="E527" i="14"/>
  <c r="F514" i="14"/>
  <c r="G514" i="14"/>
  <c r="H514" i="14"/>
  <c r="I514" i="14"/>
  <c r="L514" i="14" s="1"/>
  <c r="E514" i="14"/>
  <c r="F503" i="14"/>
  <c r="G503" i="14"/>
  <c r="H503" i="14"/>
  <c r="I503" i="14"/>
  <c r="K503" i="14" s="1"/>
  <c r="E503" i="14"/>
  <c r="H500" i="14"/>
  <c r="L500" i="14" s="1"/>
  <c r="G500" i="14"/>
  <c r="K500" i="14" s="1"/>
  <c r="F500" i="14"/>
  <c r="H498" i="14"/>
  <c r="L498" i="14" s="1"/>
  <c r="F498" i="14"/>
  <c r="G498" i="14"/>
  <c r="K498" i="14" s="1"/>
  <c r="F450" i="14"/>
  <c r="G450" i="14"/>
  <c r="H450" i="14"/>
  <c r="I450" i="14"/>
  <c r="L450" i="14" s="1"/>
  <c r="E450" i="14"/>
  <c r="F428" i="14"/>
  <c r="G428" i="14"/>
  <c r="H428" i="14"/>
  <c r="I428" i="14"/>
  <c r="L428" i="14" s="1"/>
  <c r="E428" i="14"/>
  <c r="I422" i="14"/>
  <c r="K422" i="14" s="1"/>
  <c r="H422" i="14"/>
  <c r="G422" i="14"/>
  <c r="F422" i="14"/>
  <c r="E422" i="14"/>
  <c r="F403" i="14"/>
  <c r="G403" i="14"/>
  <c r="H403" i="14"/>
  <c r="I403" i="14"/>
  <c r="K403" i="14" s="1"/>
  <c r="E403" i="14"/>
  <c r="F419" i="14"/>
  <c r="G419" i="14"/>
  <c r="H419" i="14"/>
  <c r="I419" i="14"/>
  <c r="K419" i="14" s="1"/>
  <c r="E419" i="14"/>
  <c r="F395" i="14"/>
  <c r="G395" i="14"/>
  <c r="H395" i="14"/>
  <c r="I395" i="14"/>
  <c r="K395" i="14" s="1"/>
  <c r="F400" i="14"/>
  <c r="G400" i="14"/>
  <c r="H400" i="14"/>
  <c r="I400" i="14"/>
  <c r="L400" i="14" s="1"/>
  <c r="E395" i="14"/>
  <c r="E400" i="14"/>
  <c r="F383" i="14"/>
  <c r="G383" i="14"/>
  <c r="H383" i="14"/>
  <c r="I383" i="14"/>
  <c r="K383" i="14" s="1"/>
  <c r="E383" i="14"/>
  <c r="F379" i="14"/>
  <c r="G379" i="14"/>
  <c r="H379" i="14"/>
  <c r="I379" i="14"/>
  <c r="K379" i="14" s="1"/>
  <c r="E379" i="14"/>
  <c r="F346" i="14"/>
  <c r="G346" i="14"/>
  <c r="H346" i="14"/>
  <c r="I346" i="14"/>
  <c r="L346" i="14" s="1"/>
  <c r="E346" i="14"/>
  <c r="F342" i="14"/>
  <c r="G342" i="14"/>
  <c r="K342" i="14" s="1"/>
  <c r="H342" i="14"/>
  <c r="I342" i="14"/>
  <c r="E342" i="14"/>
  <c r="F332" i="14"/>
  <c r="G332" i="14"/>
  <c r="H332" i="14"/>
  <c r="I332" i="14"/>
  <c r="L332" i="14" s="1"/>
  <c r="E332" i="14"/>
  <c r="F327" i="14"/>
  <c r="G327" i="14"/>
  <c r="H327" i="14"/>
  <c r="I327" i="14"/>
  <c r="K327" i="14" s="1"/>
  <c r="E327" i="14"/>
  <c r="H325" i="14"/>
  <c r="L325" i="14" s="1"/>
  <c r="F325" i="14"/>
  <c r="G325" i="14"/>
  <c r="K325" i="14" s="1"/>
  <c r="F317" i="14"/>
  <c r="G317" i="14"/>
  <c r="H317" i="14"/>
  <c r="I317" i="14"/>
  <c r="E317" i="14"/>
  <c r="F299" i="14"/>
  <c r="G299" i="14"/>
  <c r="H299" i="14"/>
  <c r="I299" i="14"/>
  <c r="L299" i="14" s="1"/>
  <c r="E299" i="14"/>
  <c r="F293" i="14"/>
  <c r="G293" i="14"/>
  <c r="H293" i="14"/>
  <c r="I293" i="14"/>
  <c r="L293" i="14" s="1"/>
  <c r="E293" i="14"/>
  <c r="K293" i="14" s="1"/>
  <c r="F286" i="14"/>
  <c r="G286" i="14"/>
  <c r="H286" i="14"/>
  <c r="I286" i="14"/>
  <c r="K286" i="14" s="1"/>
  <c r="E286" i="14"/>
  <c r="F241" i="14"/>
  <c r="G241" i="14"/>
  <c r="H241" i="14"/>
  <c r="I241" i="14"/>
  <c r="K241" i="14" s="1"/>
  <c r="E241" i="14"/>
  <c r="H238" i="14"/>
  <c r="L238" i="14" s="1"/>
  <c r="F238" i="14"/>
  <c r="G238" i="14"/>
  <c r="K238" i="14" s="1"/>
  <c r="F226" i="14"/>
  <c r="G226" i="14"/>
  <c r="H226" i="14"/>
  <c r="I226" i="14"/>
  <c r="L226" i="14" s="1"/>
  <c r="E226" i="14"/>
  <c r="H224" i="14"/>
  <c r="L224" i="14" s="1"/>
  <c r="F224" i="14"/>
  <c r="G224" i="14"/>
  <c r="K224" i="14" s="1"/>
  <c r="I215" i="14"/>
  <c r="K215" i="14" s="1"/>
  <c r="H215" i="14"/>
  <c r="G215" i="14"/>
  <c r="F215" i="14"/>
  <c r="E215" i="14"/>
  <c r="F204" i="14"/>
  <c r="G204" i="14"/>
  <c r="H204" i="14"/>
  <c r="I204" i="14"/>
  <c r="K204" i="14" s="1"/>
  <c r="E204" i="14"/>
  <c r="F199" i="14"/>
  <c r="G199" i="14"/>
  <c r="H199" i="14"/>
  <c r="I199" i="14"/>
  <c r="K199" i="14" s="1"/>
  <c r="E199" i="14"/>
  <c r="F168" i="14"/>
  <c r="G168" i="14"/>
  <c r="H168" i="14"/>
  <c r="I168" i="14"/>
  <c r="K168" i="14" s="1"/>
  <c r="E168" i="14"/>
  <c r="F163" i="14"/>
  <c r="G163" i="14"/>
  <c r="H163" i="14"/>
  <c r="I163" i="14"/>
  <c r="K163" i="14" s="1"/>
  <c r="E163" i="14"/>
  <c r="H161" i="14"/>
  <c r="L161" i="14" s="1"/>
  <c r="G161" i="14"/>
  <c r="K161" i="14" s="1"/>
  <c r="F161" i="14"/>
  <c r="F152" i="14"/>
  <c r="G152" i="14"/>
  <c r="H152" i="14"/>
  <c r="I152" i="14"/>
  <c r="L152" i="14" s="1"/>
  <c r="E152" i="14"/>
  <c r="F145" i="14"/>
  <c r="G145" i="14"/>
  <c r="H145" i="14"/>
  <c r="I145" i="14"/>
  <c r="K145" i="14" s="1"/>
  <c r="E145" i="14"/>
  <c r="H142" i="14"/>
  <c r="L142" i="14" s="1"/>
  <c r="F142" i="14"/>
  <c r="G142" i="14"/>
  <c r="K142" i="14" s="1"/>
  <c r="F126" i="14"/>
  <c r="G126" i="14"/>
  <c r="H126" i="14"/>
  <c r="I126" i="14"/>
  <c r="K126" i="14" s="1"/>
  <c r="E126" i="14"/>
  <c r="H124" i="14"/>
  <c r="L124" i="14" s="1"/>
  <c r="F124" i="14"/>
  <c r="G124" i="14"/>
  <c r="K124" i="14" s="1"/>
  <c r="I118" i="14"/>
  <c r="L118" i="14" s="1"/>
  <c r="H118" i="14"/>
  <c r="G118" i="14"/>
  <c r="F118" i="14"/>
  <c r="E118" i="14"/>
  <c r="F110" i="14"/>
  <c r="G110" i="14"/>
  <c r="H110" i="14"/>
  <c r="I110" i="14"/>
  <c r="L110" i="14" s="1"/>
  <c r="F83" i="14"/>
  <c r="G83" i="14"/>
  <c r="H83" i="14"/>
  <c r="I83" i="14"/>
  <c r="K83" i="14" s="1"/>
  <c r="F23" i="14"/>
  <c r="G23" i="14"/>
  <c r="H23" i="14"/>
  <c r="I23" i="14"/>
  <c r="K23" i="14" s="1"/>
  <c r="F19" i="14"/>
  <c r="G19" i="14"/>
  <c r="H19" i="14"/>
  <c r="I19" i="14"/>
  <c r="K19" i="14" s="1"/>
  <c r="F6" i="14"/>
  <c r="G6" i="14"/>
  <c r="H6" i="14"/>
  <c r="I6" i="14"/>
  <c r="L6" i="14" s="1"/>
  <c r="E110" i="14"/>
  <c r="E83" i="14"/>
  <c r="E23" i="14"/>
  <c r="E19" i="14"/>
  <c r="E6" i="14"/>
  <c r="G3" i="14"/>
  <c r="K3" i="14" s="1"/>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4" i="14"/>
  <c r="D3" i="14"/>
  <c r="M31" i="13" s="1"/>
  <c r="H3" i="14"/>
  <c r="L3" i="14" s="1"/>
  <c r="F3" i="14"/>
  <c r="N68" i="13" l="1"/>
  <c r="N64" i="13"/>
  <c r="N60" i="13"/>
  <c r="N56" i="13"/>
  <c r="N52" i="13"/>
  <c r="N48" i="13"/>
  <c r="N44" i="13"/>
  <c r="N40" i="13"/>
  <c r="N36" i="13"/>
  <c r="N29" i="13"/>
  <c r="N25" i="13"/>
  <c r="N21" i="13"/>
  <c r="N17" i="13"/>
  <c r="N13" i="13"/>
  <c r="N9" i="13"/>
  <c r="N5" i="13"/>
  <c r="H68" i="13"/>
  <c r="H60" i="13"/>
  <c r="H52" i="13"/>
  <c r="H44" i="13"/>
  <c r="H36" i="13"/>
  <c r="H25" i="13"/>
  <c r="H17" i="13"/>
  <c r="M68" i="13"/>
  <c r="M64" i="13"/>
  <c r="M60" i="13"/>
  <c r="M56" i="13"/>
  <c r="M52" i="13"/>
  <c r="M48" i="13"/>
  <c r="M44" i="13"/>
  <c r="M40" i="13"/>
  <c r="M36" i="13"/>
  <c r="M29" i="13"/>
  <c r="M25" i="13"/>
  <c r="M21" i="13"/>
  <c r="M17" i="13"/>
  <c r="M13" i="13"/>
  <c r="M9" i="13"/>
  <c r="M5" i="13"/>
  <c r="H67" i="13"/>
  <c r="H59" i="13"/>
  <c r="H51" i="13"/>
  <c r="H43" i="13"/>
  <c r="H35" i="13"/>
  <c r="H24" i="13"/>
  <c r="H16" i="13"/>
  <c r="H8" i="13"/>
  <c r="M66" i="13"/>
  <c r="M54" i="13"/>
  <c r="M42" i="13"/>
  <c r="M27" i="13"/>
  <c r="M11" i="13"/>
  <c r="H55" i="13"/>
  <c r="H28" i="13"/>
  <c r="H4" i="13"/>
  <c r="N69" i="13"/>
  <c r="N61" i="13"/>
  <c r="N49" i="13"/>
  <c r="N37" i="13"/>
  <c r="N22" i="13"/>
  <c r="N10" i="13"/>
  <c r="H62" i="13"/>
  <c r="H46" i="13"/>
  <c r="H11" i="13"/>
  <c r="M69" i="13"/>
  <c r="M57" i="13"/>
  <c r="M53" i="13"/>
  <c r="M41" i="13"/>
  <c r="M30" i="13"/>
  <c r="M22" i="13"/>
  <c r="M14" i="13"/>
  <c r="M6" i="13"/>
  <c r="H61" i="13"/>
  <c r="H45" i="13"/>
  <c r="H37" i="13"/>
  <c r="H26" i="13"/>
  <c r="H18" i="13"/>
  <c r="N67" i="13"/>
  <c r="N63" i="13"/>
  <c r="N59" i="13"/>
  <c r="N55" i="13"/>
  <c r="N51" i="13"/>
  <c r="N47" i="13"/>
  <c r="N43" i="13"/>
  <c r="N39" i="13"/>
  <c r="N35" i="13"/>
  <c r="N28" i="13"/>
  <c r="N24" i="13"/>
  <c r="N20" i="13"/>
  <c r="N16" i="13"/>
  <c r="N12" i="13"/>
  <c r="N8" i="13"/>
  <c r="N4" i="13"/>
  <c r="H66" i="13"/>
  <c r="H58" i="13"/>
  <c r="H50" i="13"/>
  <c r="H42" i="13"/>
  <c r="H32" i="13"/>
  <c r="H23" i="13"/>
  <c r="H15" i="13"/>
  <c r="H7" i="13"/>
  <c r="M58" i="13"/>
  <c r="M46" i="13"/>
  <c r="M32" i="13"/>
  <c r="M19" i="13"/>
  <c r="M7" i="13"/>
  <c r="H63" i="13"/>
  <c r="H39" i="13"/>
  <c r="H12" i="13"/>
  <c r="N57" i="13"/>
  <c r="N45" i="13"/>
  <c r="N30" i="13"/>
  <c r="N18" i="13"/>
  <c r="N6" i="13"/>
  <c r="H54" i="13"/>
  <c r="H27" i="13"/>
  <c r="H19" i="13"/>
  <c r="M61" i="13"/>
  <c r="M49" i="13"/>
  <c r="M37" i="13"/>
  <c r="M26" i="13"/>
  <c r="M18" i="13"/>
  <c r="M10" i="13"/>
  <c r="H69" i="13"/>
  <c r="H53" i="13"/>
  <c r="H9" i="13"/>
  <c r="M67" i="13"/>
  <c r="M63" i="13"/>
  <c r="M59" i="13"/>
  <c r="M55" i="13"/>
  <c r="M51" i="13"/>
  <c r="M47" i="13"/>
  <c r="M43" i="13"/>
  <c r="M39" i="13"/>
  <c r="M35" i="13"/>
  <c r="M28" i="13"/>
  <c r="M24" i="13"/>
  <c r="M20" i="13"/>
  <c r="M16" i="13"/>
  <c r="M12" i="13"/>
  <c r="M8" i="13"/>
  <c r="M4" i="13"/>
  <c r="H65" i="13"/>
  <c r="H57" i="13"/>
  <c r="H49" i="13"/>
  <c r="H41" i="13"/>
  <c r="H30" i="13"/>
  <c r="H22" i="13"/>
  <c r="H14" i="13"/>
  <c r="H6" i="13"/>
  <c r="N2" i="13"/>
  <c r="M62" i="13"/>
  <c r="M50" i="13"/>
  <c r="M38" i="13"/>
  <c r="M23" i="13"/>
  <c r="M15" i="13"/>
  <c r="M3" i="13"/>
  <c r="H47" i="13"/>
  <c r="H20" i="13"/>
  <c r="N65" i="13"/>
  <c r="N53" i="13"/>
  <c r="N41" i="13"/>
  <c r="N26" i="13"/>
  <c r="N14" i="13"/>
  <c r="H2" i="13"/>
  <c r="H38" i="13"/>
  <c r="H3" i="13"/>
  <c r="M65" i="13"/>
  <c r="M45" i="13"/>
  <c r="H10" i="13"/>
  <c r="M2" i="13"/>
  <c r="N66" i="13"/>
  <c r="N62" i="13"/>
  <c r="N58" i="13"/>
  <c r="N54" i="13"/>
  <c r="N50" i="13"/>
  <c r="N46" i="13"/>
  <c r="N42" i="13"/>
  <c r="N38" i="13"/>
  <c r="N32" i="13"/>
  <c r="N27" i="13"/>
  <c r="N23" i="13"/>
  <c r="N19" i="13"/>
  <c r="N15" i="13"/>
  <c r="N11" i="13"/>
  <c r="N7" i="13"/>
  <c r="N3" i="13"/>
  <c r="H64" i="13"/>
  <c r="H56" i="13"/>
  <c r="H48" i="13"/>
  <c r="H40" i="13"/>
  <c r="H29" i="13"/>
  <c r="H21" i="13"/>
  <c r="H13" i="13"/>
  <c r="H5" i="13"/>
  <c r="H31" i="13"/>
  <c r="K6" i="14"/>
  <c r="K777" i="14"/>
  <c r="K725" i="14"/>
  <c r="K721" i="14"/>
  <c r="K705" i="14"/>
  <c r="K561" i="14"/>
  <c r="K530" i="14"/>
  <c r="K514" i="14"/>
  <c r="K428" i="14"/>
  <c r="K400" i="14"/>
  <c r="K332" i="14"/>
  <c r="K299" i="14"/>
  <c r="K226" i="14"/>
  <c r="K152" i="14"/>
  <c r="K118" i="14"/>
  <c r="K110" i="14"/>
  <c r="K710" i="14"/>
  <c r="L846" i="14"/>
  <c r="L797" i="14"/>
  <c r="L793" i="14"/>
  <c r="L544" i="14"/>
  <c r="L419" i="14"/>
  <c r="L403" i="14"/>
  <c r="L395" i="14"/>
  <c r="L383" i="14"/>
  <c r="L379" i="14"/>
  <c r="L327" i="14"/>
  <c r="L286" i="14"/>
  <c r="L204" i="14"/>
  <c r="L168" i="14"/>
  <c r="L126" i="14"/>
  <c r="K450" i="14"/>
  <c r="L422" i="14"/>
  <c r="L342" i="14"/>
  <c r="N31" i="13" s="1"/>
  <c r="L241" i="14"/>
  <c r="L215" i="14"/>
  <c r="L199" i="14"/>
  <c r="L163" i="14"/>
  <c r="L145" i="14"/>
  <c r="L83" i="14"/>
  <c r="L23" i="14"/>
  <c r="L19" i="14"/>
  <c r="N368" i="1"/>
  <c r="B6" i="1"/>
  <c r="B7" i="1" s="1"/>
  <c r="B8" i="1" s="1"/>
  <c r="B9" i="1" s="1"/>
  <c r="B10" i="1" s="1"/>
  <c r="B11" i="1" s="1"/>
  <c r="B12" i="1" s="1"/>
  <c r="B13" i="1" s="1"/>
  <c r="B14" i="1" s="1"/>
  <c r="B15" i="1"/>
  <c r="B16" i="1"/>
  <c r="B17" i="1" s="1"/>
  <c r="B18" i="1"/>
  <c r="B19" i="1"/>
  <c r="B20" i="1"/>
  <c r="B21" i="1" s="1"/>
  <c r="B22" i="1" s="1"/>
  <c r="B23" i="1" s="1"/>
  <c r="B24" i="1" s="1"/>
  <c r="B25" i="1" s="1"/>
  <c r="B26" i="1"/>
  <c r="B27" i="1" s="1"/>
  <c r="B28" i="1" s="1"/>
  <c r="B29" i="1" s="1"/>
  <c r="B30" i="1" s="1"/>
  <c r="B31" i="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c r="B146" i="1" s="1"/>
  <c r="B147" i="1" s="1"/>
  <c r="B148" i="1" s="1"/>
  <c r="B149" i="1" s="1"/>
  <c r="B150" i="1" s="1"/>
  <c r="B151" i="1" s="1"/>
  <c r="B152" i="1" s="1"/>
  <c r="B153" i="1"/>
  <c r="B154" i="1" s="1"/>
  <c r="B155" i="1" s="1"/>
  <c r="B156" i="1"/>
  <c r="B157" i="1" s="1"/>
  <c r="B158" i="1" s="1"/>
  <c r="B159" i="1" s="1"/>
  <c r="B160" i="1"/>
  <c r="B161" i="1" s="1"/>
  <c r="B162" i="1" s="1"/>
  <c r="B163" i="1"/>
  <c r="B164" i="1" s="1"/>
  <c r="B165" i="1" s="1"/>
  <c r="B166" i="1" s="1"/>
  <c r="B167" i="1" s="1"/>
  <c r="B168" i="1" s="1"/>
  <c r="B169" i="1" s="1"/>
  <c r="B170" i="1" s="1"/>
  <c r="B171" i="1" s="1"/>
  <c r="B172" i="1" s="1"/>
  <c r="B173" i="1" s="1"/>
  <c r="B174" i="1"/>
  <c r="B175" i="1" s="1"/>
  <c r="B176" i="1"/>
  <c r="B177" i="1" s="1"/>
  <c r="B178" i="1" s="1"/>
  <c r="B179" i="1" s="1"/>
  <c r="B180" i="1" s="1"/>
  <c r="B181" i="1" s="1"/>
  <c r="B182" i="1" s="1"/>
  <c r="B183" i="1" s="1"/>
  <c r="B184" i="1" s="1"/>
  <c r="B185" i="1" s="1"/>
  <c r="B186" i="1" s="1"/>
  <c r="B187" i="1" s="1"/>
  <c r="B188" i="1" s="1"/>
  <c r="B189" i="1" s="1"/>
  <c r="B190" i="1" s="1"/>
  <c r="B191" i="1" s="1"/>
  <c r="B192" i="1"/>
  <c r="B193" i="1" s="1"/>
  <c r="B194" i="1"/>
  <c r="B195" i="1"/>
  <c r="B196" i="1" s="1"/>
  <c r="B197" i="1" s="1"/>
  <c r="B198" i="1" s="1"/>
  <c r="B199" i="1" s="1"/>
  <c r="B200" i="1" s="1"/>
  <c r="B201" i="1"/>
  <c r="B202" i="1" s="1"/>
  <c r="B203" i="1" s="1"/>
  <c r="B204" i="1" s="1"/>
  <c r="B205" i="1" s="1"/>
  <c r="B206" i="1" s="1"/>
  <c r="B207" i="1"/>
  <c r="B208" i="1" s="1"/>
  <c r="B209" i="1" s="1"/>
  <c r="B210" i="1" s="1"/>
  <c r="B211" i="1" s="1"/>
  <c r="B212" i="1" s="1"/>
  <c r="B213" i="1" s="1"/>
  <c r="B214" i="1" s="1"/>
  <c r="B215" i="1"/>
  <c r="B216" i="1" s="1"/>
  <c r="B217" i="1"/>
  <c r="B218" i="1" s="1"/>
  <c r="B219" i="1" s="1"/>
  <c r="B220" i="1" s="1"/>
  <c r="B221" i="1" s="1"/>
  <c r="B222" i="1" s="1"/>
  <c r="B223" i="1" s="1"/>
  <c r="B224" i="1" s="1"/>
  <c r="B225" i="1" s="1"/>
  <c r="B226" i="1"/>
  <c r="B227" i="1" s="1"/>
  <c r="B228" i="1" s="1"/>
  <c r="B229" i="1" s="1"/>
  <c r="B230" i="1"/>
  <c r="B231" i="1" s="1"/>
  <c r="B232" i="1" s="1"/>
  <c r="B233" i="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c r="B264" i="1" s="1"/>
  <c r="B265" i="1" s="1"/>
  <c r="B266" i="1" s="1"/>
  <c r="B267" i="1" s="1"/>
  <c r="B268" i="1" s="1"/>
  <c r="B269" i="1" s="1"/>
  <c r="B270" i="1" s="1"/>
  <c r="B271" i="1" s="1"/>
  <c r="B272" i="1" s="1"/>
  <c r="B273" i="1" s="1"/>
  <c r="B274" i="1" s="1"/>
  <c r="B275" i="1"/>
  <c r="B276" i="1" s="1"/>
  <c r="B277" i="1" s="1"/>
  <c r="B278" i="1" s="1"/>
  <c r="B279" i="1"/>
  <c r="B280" i="1"/>
  <c r="B281" i="1" s="1"/>
  <c r="B282" i="1" s="1"/>
  <c r="B283" i="1" s="1"/>
  <c r="B284" i="1" s="1"/>
  <c r="B285" i="1" s="1"/>
  <c r="B286" i="1" s="1"/>
  <c r="B287" i="1" s="1"/>
  <c r="B288" i="1" s="1"/>
  <c r="B289" i="1"/>
  <c r="B290" i="1"/>
  <c r="B291" i="1"/>
  <c r="B292" i="1" s="1"/>
  <c r="B293" i="1" s="1"/>
  <c r="B294" i="1" s="1"/>
  <c r="B295" i="1" s="1"/>
  <c r="B296" i="1" s="1"/>
  <c r="B297" i="1" s="1"/>
  <c r="B298" i="1" s="1"/>
  <c r="B299" i="1" s="1"/>
  <c r="B300" i="1" s="1"/>
  <c r="B301" i="1" s="1"/>
  <c r="B302" i="1" s="1"/>
  <c r="B303" i="1" s="1"/>
  <c r="B304" i="1" s="1"/>
  <c r="B305" i="1" s="1"/>
  <c r="B306" i="1"/>
  <c r="B307" i="1" s="1"/>
  <c r="B308" i="1"/>
  <c r="B309" i="1" s="1"/>
  <c r="B310" i="1" s="1"/>
  <c r="B311" i="1" s="1"/>
  <c r="B312" i="1" s="1"/>
  <c r="B313" i="1" s="1"/>
  <c r="B314" i="1" s="1"/>
  <c r="B315" i="1" s="1"/>
  <c r="B316" i="1" s="1"/>
  <c r="B317" i="1" s="1"/>
  <c r="B318" i="1" s="1"/>
  <c r="B319" i="1" s="1"/>
  <c r="B320" i="1"/>
  <c r="B321" i="1" s="1"/>
  <c r="B322" i="1"/>
  <c r="B323" i="1" s="1"/>
  <c r="B324" i="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c r="B369" i="1"/>
  <c r="B370" i="1" s="1"/>
  <c r="B371" i="1" s="1"/>
  <c r="B372" i="1" s="1"/>
  <c r="B373" i="1" s="1"/>
  <c r="B374" i="1" s="1"/>
  <c r="B375" i="1"/>
  <c r="B376" i="1"/>
  <c r="B377" i="1" s="1"/>
  <c r="B378" i="1" s="1"/>
  <c r="B379" i="1" s="1"/>
  <c r="B380" i="1" s="1"/>
  <c r="B381" i="1" s="1"/>
  <c r="B382" i="1"/>
  <c r="B383" i="1" s="1"/>
  <c r="B384" i="1" s="1"/>
  <c r="B385" i="1" s="1"/>
  <c r="B386" i="1" s="1"/>
  <c r="B387" i="1" s="1"/>
  <c r="B388" i="1" s="1"/>
  <c r="B389" i="1" s="1"/>
  <c r="B390" i="1" s="1"/>
  <c r="B391" i="1" s="1"/>
  <c r="B392" i="1" s="1"/>
  <c r="B393" i="1" s="1"/>
  <c r="B394" i="1" s="1"/>
  <c r="B395" i="1" s="1"/>
  <c r="B396" i="1" s="1"/>
  <c r="B397" i="1" s="1"/>
  <c r="B398" i="1"/>
  <c r="B399" i="1"/>
  <c r="B400" i="1"/>
  <c r="B401" i="1" s="1"/>
  <c r="B402" i="1" s="1"/>
  <c r="B403" i="1" s="1"/>
  <c r="B404" i="1" s="1"/>
  <c r="B405" i="1" s="1"/>
  <c r="B406" i="1" s="1"/>
  <c r="B407" i="1" s="1"/>
  <c r="B408" i="1" s="1"/>
  <c r="B409" i="1" s="1"/>
  <c r="B410" i="1" s="1"/>
  <c r="B411" i="1" s="1"/>
  <c r="B412" i="1" s="1"/>
  <c r="B413" i="1" s="1"/>
  <c r="B414" i="1" s="1"/>
  <c r="B415" i="1" s="1"/>
  <c r="B416" i="1" s="1"/>
  <c r="B417" i="1" s="1"/>
  <c r="B418" i="1" s="1"/>
  <c r="B419" i="1" s="1"/>
  <c r="B420" i="1"/>
  <c r="B421" i="1" s="1"/>
  <c r="B422" i="1"/>
  <c r="B423" i="1" s="1"/>
  <c r="B424" i="1" s="1"/>
  <c r="B425" i="1" s="1"/>
  <c r="B426" i="1" s="1"/>
  <c r="B427" i="1"/>
  <c r="B428" i="1" s="1"/>
  <c r="B429" i="1" s="1"/>
  <c r="B430" i="1" s="1"/>
  <c r="B431" i="1" s="1"/>
  <c r="B432" i="1" s="1"/>
  <c r="B433" i="1" s="1"/>
  <c r="B434" i="1" s="1"/>
  <c r="B435" i="1" s="1"/>
  <c r="B436" i="1" s="1"/>
  <c r="B437" i="1"/>
  <c r="B438" i="1" s="1"/>
  <c r="B451" i="1" s="1"/>
  <c r="B452" i="1" s="1"/>
  <c r="B439" i="1" s="1"/>
  <c r="B440" i="1" s="1"/>
  <c r="B441" i="1" s="1"/>
  <c r="B442" i="1" s="1"/>
  <c r="B443" i="1" s="1"/>
  <c r="B444" i="1" s="1"/>
  <c r="B445" i="1" s="1"/>
  <c r="B446" i="1" s="1"/>
  <c r="B447" i="1" s="1"/>
  <c r="B448" i="1" s="1"/>
  <c r="B449" i="1" s="1"/>
  <c r="B450" i="1" s="1"/>
  <c r="B453" i="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c r="B487" i="1" s="1"/>
  <c r="B488" i="1" s="1"/>
  <c r="B489" i="1" s="1"/>
  <c r="B490" i="1"/>
  <c r="B491" i="1" s="1"/>
  <c r="B492" i="1" s="1"/>
  <c r="B493" i="1" s="1"/>
  <c r="B494" i="1" s="1"/>
  <c r="B495" i="1" s="1"/>
  <c r="B496" i="1" s="1"/>
  <c r="B497" i="1" s="1"/>
  <c r="B498" i="1" s="1"/>
  <c r="B499" i="1" s="1"/>
  <c r="B500" i="1" s="1"/>
  <c r="B501" i="1" s="1"/>
  <c r="B502" i="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c r="B533" i="1" s="1"/>
  <c r="B534" i="1" s="1"/>
  <c r="B535" i="1"/>
  <c r="B536" i="1" s="1"/>
  <c r="B537" i="1" s="1"/>
  <c r="B538" i="1" s="1"/>
  <c r="B539" i="1" s="1"/>
  <c r="B540" i="1" s="1"/>
  <c r="B541" i="1" s="1"/>
  <c r="B542" i="1" s="1"/>
  <c r="B543" i="1" s="1"/>
  <c r="B544" i="1" s="1"/>
  <c r="B545" i="1" s="1"/>
  <c r="B546" i="1" s="1"/>
  <c r="B547" i="1" s="1"/>
  <c r="B548" i="1" s="1"/>
  <c r="B549" i="1" s="1"/>
  <c r="B550" i="1" s="1"/>
  <c r="B551" i="1"/>
  <c r="B552" i="1" s="1"/>
  <c r="B553" i="1" s="1"/>
  <c r="B554" i="1"/>
  <c r="B555" i="1" s="1"/>
  <c r="B556" i="1" s="1"/>
  <c r="B557" i="1"/>
  <c r="B558" i="1" s="1"/>
  <c r="B559" i="1" s="1"/>
  <c r="B560" i="1" s="1"/>
  <c r="B561" i="1" s="1"/>
  <c r="B562" i="1" s="1"/>
  <c r="B563" i="1"/>
  <c r="B564" i="1" s="1"/>
  <c r="B565" i="1" s="1"/>
  <c r="B566" i="1" s="1"/>
  <c r="B567" i="1" s="1"/>
  <c r="B568" i="1" s="1"/>
  <c r="B569" i="1" s="1"/>
  <c r="B570" i="1" s="1"/>
  <c r="B571" i="1" s="1"/>
  <c r="B572" i="1" s="1"/>
  <c r="B573" i="1"/>
  <c r="B574" i="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c r="B659" i="1" s="1"/>
  <c r="B660" i="1"/>
  <c r="B661" i="1" s="1"/>
  <c r="B662" i="1"/>
  <c r="B663" i="1"/>
  <c r="B664" i="1" s="1"/>
  <c r="B665" i="1" s="1"/>
  <c r="B666" i="1" s="1"/>
  <c r="B667" i="1" s="1"/>
  <c r="B668" i="1" s="1"/>
  <c r="B669" i="1" s="1"/>
  <c r="B670" i="1" s="1"/>
  <c r="B671" i="1" s="1"/>
  <c r="B672" i="1" s="1"/>
  <c r="B673" i="1" s="1"/>
  <c r="B674" i="1"/>
  <c r="B675" i="1" s="1"/>
  <c r="B676" i="1" s="1"/>
  <c r="B677" i="1" s="1"/>
  <c r="B678" i="1" s="1"/>
  <c r="B679" i="1" s="1"/>
  <c r="B680" i="1" s="1"/>
  <c r="B681" i="1" s="1"/>
  <c r="B682" i="1" s="1"/>
  <c r="B683" i="1" s="1"/>
  <c r="B684" i="1" s="1"/>
  <c r="B685" i="1" s="1"/>
  <c r="B686" i="1" s="1"/>
  <c r="B687" i="1"/>
  <c r="B688" i="1" s="1"/>
  <c r="B689" i="1" s="1"/>
  <c r="B690" i="1"/>
  <c r="B691" i="1" s="1"/>
  <c r="B692" i="1" s="1"/>
  <c r="B693" i="1" s="1"/>
  <c r="B694" i="1" s="1"/>
  <c r="B695" i="1" s="1"/>
  <c r="B696" i="1" s="1"/>
  <c r="B697" i="1" s="1"/>
  <c r="B698" i="1" s="1"/>
  <c r="B699" i="1" s="1"/>
  <c r="B700" i="1" s="1"/>
  <c r="B701" i="1" s="1"/>
  <c r="B702" i="1" s="1"/>
  <c r="B703" i="1" s="1"/>
  <c r="B704" i="1" s="1"/>
  <c r="B705" i="1" s="1"/>
  <c r="B706" i="1"/>
  <c r="B707" i="1" s="1"/>
  <c r="B708" i="1" s="1"/>
  <c r="B709" i="1" s="1"/>
  <c r="B710" i="1" s="1"/>
  <c r="B711" i="1" s="1"/>
  <c r="B712" i="1" s="1"/>
  <c r="B713" i="1" s="1"/>
  <c r="B714" i="1" s="1"/>
  <c r="B715" i="1" s="1"/>
  <c r="B716" i="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c r="B757" i="1" s="1"/>
  <c r="B758" i="1" s="1"/>
  <c r="B759" i="1" s="1"/>
  <c r="B760" i="1"/>
  <c r="B761" i="1" s="1"/>
  <c r="B762" i="1" s="1"/>
  <c r="B763" i="1" s="1"/>
  <c r="B764" i="1" s="1"/>
  <c r="B765" i="1" s="1"/>
  <c r="B766" i="1"/>
  <c r="B767" i="1" s="1"/>
  <c r="B768" i="1" s="1"/>
  <c r="B769" i="1" s="1"/>
  <c r="B770" i="1" s="1"/>
  <c r="B771" i="1" s="1"/>
  <c r="B772" i="1" s="1"/>
  <c r="B773" i="1" s="1"/>
  <c r="B774" i="1" s="1"/>
  <c r="B775" i="1" s="1"/>
  <c r="B776" i="1" s="1"/>
  <c r="B777" i="1" s="1"/>
  <c r="B778" i="1" s="1"/>
  <c r="B779" i="1" s="1"/>
  <c r="B780" i="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c r="B925" i="1" s="1"/>
  <c r="B926" i="1" s="1"/>
  <c r="B927" i="1" s="1"/>
  <c r="B928" i="1" s="1"/>
  <c r="B929" i="1" s="1"/>
  <c r="B930" i="1"/>
  <c r="B931" i="1" s="1"/>
  <c r="B932" i="1"/>
  <c r="B933" i="1" s="1"/>
  <c r="B934" i="1" s="1"/>
  <c r="B935" i="1" s="1"/>
  <c r="B936" i="1"/>
  <c r="B937" i="1" s="1"/>
  <c r="B938" i="1" s="1"/>
  <c r="B939" i="1" s="1"/>
  <c r="B940" i="1" s="1"/>
  <c r="B941" i="1" s="1"/>
  <c r="B942" i="1" s="1"/>
  <c r="B943" i="1" s="1"/>
  <c r="B944" i="1" s="1"/>
  <c r="B945" i="1" s="1"/>
  <c r="B946" i="1" s="1"/>
  <c r="B947" i="1"/>
  <c r="B948" i="1" s="1"/>
  <c r="B949" i="1" s="1"/>
  <c r="B950" i="1" s="1"/>
  <c r="B951" i="1"/>
  <c r="B952" i="1" s="1"/>
  <c r="B953" i="1" s="1"/>
  <c r="B954" i="1" s="1"/>
  <c r="B955" i="1" s="1"/>
  <c r="B956" i="1" s="1"/>
  <c r="B957" i="1"/>
  <c r="B958" i="1" s="1"/>
  <c r="B959" i="1" s="1"/>
  <c r="B960" i="1" s="1"/>
  <c r="B961" i="1" s="1"/>
  <c r="B962" i="1" s="1"/>
  <c r="B963" i="1" s="1"/>
  <c r="B964" i="1" s="1"/>
  <c r="B965" i="1" s="1"/>
  <c r="B966" i="1"/>
  <c r="B967" i="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c r="B1037" i="1" s="1"/>
  <c r="B1038" i="1" s="1"/>
  <c r="B1039" i="1" s="1"/>
  <c r="B1040" i="1" s="1"/>
  <c r="B1041" i="1" s="1"/>
  <c r="B1042" i="1" s="1"/>
  <c r="B1043" i="1" s="1"/>
  <c r="B1044" i="1" s="1"/>
  <c r="B1045" i="1" s="1"/>
  <c r="B1046" i="1" s="1"/>
  <c r="B1047" i="1" s="1"/>
  <c r="B1048" i="1"/>
  <c r="B1049" i="1"/>
  <c r="B1050" i="1"/>
  <c r="B1051" i="1" s="1"/>
  <c r="B1052" i="1"/>
  <c r="B1053" i="1" s="1"/>
  <c r="B1054" i="1" s="1"/>
  <c r="B1055" i="1" s="1"/>
  <c r="B1056" i="1" s="1"/>
  <c r="B1057" i="1" s="1"/>
  <c r="B1058" i="1" s="1"/>
  <c r="B1059" i="1" s="1"/>
  <c r="B1060" i="1" s="1"/>
  <c r="B1061" i="1" s="1"/>
  <c r="B1062" i="1" s="1"/>
  <c r="B1063" i="1" s="1"/>
  <c r="B1064" i="1" s="1"/>
  <c r="B1065" i="1"/>
  <c r="B1066" i="1" s="1"/>
  <c r="B1067" i="1" s="1"/>
  <c r="B1068" i="1" s="1"/>
  <c r="B1069" i="1" s="1"/>
  <c r="B1070" i="1" s="1"/>
  <c r="B1071" i="1" s="1"/>
  <c r="B1072" i="1"/>
  <c r="B1073" i="1" s="1"/>
  <c r="B1074" i="1" s="1"/>
  <c r="B1075" i="1" s="1"/>
  <c r="B1076" i="1" s="1"/>
  <c r="B1077" i="1" s="1"/>
  <c r="B1078" i="1" s="1"/>
  <c r="B1079" i="1" s="1"/>
  <c r="B1080" i="1" s="1"/>
  <c r="B1081" i="1" s="1"/>
  <c r="B1082" i="1" s="1"/>
  <c r="B1083" i="1" s="1"/>
  <c r="B1084" i="1" s="1"/>
  <c r="B1085" i="1" s="1"/>
  <c r="B1086" i="1"/>
  <c r="B1087" i="1" s="1"/>
  <c r="B1088" i="1" s="1"/>
  <c r="B1089" i="1" s="1"/>
  <c r="B1090" i="1" s="1"/>
  <c r="B1091" i="1" s="1"/>
  <c r="B1092" i="1" s="1"/>
  <c r="B1093" i="1" s="1"/>
  <c r="B1094" i="1" s="1"/>
  <c r="B1095" i="1" s="1"/>
  <c r="B1096" i="1" s="1"/>
  <c r="B1097" i="1" s="1"/>
  <c r="B1098" i="1" s="1"/>
  <c r="B1099" i="1" s="1"/>
  <c r="B1100" i="1"/>
  <c r="B1101" i="1" s="1"/>
  <c r="B1102" i="1" s="1"/>
  <c r="B1103" i="1" s="1"/>
  <c r="B1104" i="1" s="1"/>
  <c r="B1105" i="1" s="1"/>
  <c r="B1106" i="1" s="1"/>
  <c r="B1107" i="1"/>
  <c r="B1108" i="1" s="1"/>
  <c r="B1109" i="1"/>
  <c r="B1110" i="1" s="1"/>
  <c r="B1111" i="1" s="1"/>
  <c r="B1112" i="1" s="1"/>
  <c r="B1113" i="1" s="1"/>
  <c r="B1114" i="1" s="1"/>
  <c r="B1115" i="1"/>
  <c r="B1116" i="1" s="1"/>
  <c r="B1117" i="1" s="1"/>
  <c r="B1118" i="1" s="1"/>
  <c r="B1119" i="1" s="1"/>
  <c r="B1120" i="1" s="1"/>
  <c r="B1121" i="1" s="1"/>
  <c r="B1122" i="1" s="1"/>
  <c r="B1123" i="1" s="1"/>
  <c r="B1124" i="1" s="1"/>
  <c r="B1125" i="1"/>
  <c r="B1126" i="1"/>
  <c r="B1127" i="1" s="1"/>
  <c r="B1128" i="1" s="1"/>
  <c r="B1129" i="1" s="1"/>
  <c r="B1130" i="1" s="1"/>
  <c r="B1131" i="1" s="1"/>
  <c r="B1132" i="1" s="1"/>
  <c r="B1133" i="1" s="1"/>
  <c r="B1134" i="1"/>
  <c r="B1135" i="1" s="1"/>
  <c r="N18" i="1"/>
  <c r="AA1134" i="1" l="1"/>
  <c r="AA1135" i="1"/>
  <c r="H1071" i="1"/>
  <c r="H1134" i="1"/>
  <c r="H1135" i="1"/>
  <c r="H1066" i="1" l="1"/>
  <c r="H1067" i="1"/>
  <c r="H1068" i="1"/>
  <c r="H1069" i="1"/>
  <c r="H1070" i="1"/>
  <c r="N1066" i="1"/>
  <c r="AA1066" i="1" s="1"/>
  <c r="N1065" i="1"/>
  <c r="AA1065" i="1" s="1"/>
  <c r="N1071" i="1"/>
  <c r="AA1071" i="1" s="1"/>
  <c r="N1070" i="1"/>
  <c r="AA1070" i="1" s="1"/>
  <c r="N1069" i="1"/>
  <c r="AA1069" i="1" s="1"/>
  <c r="N1068" i="1"/>
  <c r="AA1068" i="1" s="1"/>
  <c r="N1067" i="1"/>
  <c r="AA1067" i="1" s="1"/>
  <c r="H1065" i="1"/>
  <c r="H1051" i="1"/>
  <c r="N1051" i="1"/>
  <c r="AA1051" i="1" s="1"/>
  <c r="N1050" i="1"/>
  <c r="AA1050" i="1" s="1"/>
  <c r="H1050" i="1"/>
  <c r="H1049" i="1"/>
  <c r="N1049" i="1"/>
  <c r="AA1049" i="1" s="1"/>
  <c r="H1048" i="1"/>
  <c r="N1048" i="1"/>
  <c r="AA1048" i="1" s="1"/>
  <c r="O765" i="1"/>
  <c r="AA765" i="1" s="1"/>
  <c r="O764" i="1"/>
  <c r="AA764" i="1" s="1"/>
  <c r="O763" i="1"/>
  <c r="AA763" i="1" s="1"/>
  <c r="O762" i="1"/>
  <c r="AA762" i="1" s="1"/>
  <c r="O761" i="1"/>
  <c r="AA761" i="1" s="1"/>
  <c r="H761" i="1"/>
  <c r="H762" i="1"/>
  <c r="H763" i="1"/>
  <c r="H764" i="1"/>
  <c r="H765" i="1"/>
  <c r="O760" i="1"/>
  <c r="AA760" i="1" s="1"/>
  <c r="H760" i="1"/>
  <c r="H966" i="1" l="1"/>
  <c r="N966" i="1" l="1"/>
  <c r="AA966" i="1" s="1"/>
  <c r="H757" i="1" l="1"/>
  <c r="H758" i="1"/>
  <c r="H759" i="1"/>
  <c r="O759" i="1"/>
  <c r="AA759" i="1" s="1"/>
  <c r="O758" i="1"/>
  <c r="AA758" i="1" s="1"/>
  <c r="O757" i="1"/>
  <c r="AA757" i="1" s="1"/>
  <c r="O756" i="1"/>
  <c r="AA756" i="1" s="1"/>
  <c r="H756" i="1"/>
  <c r="AA958" i="1"/>
  <c r="AA959" i="1"/>
  <c r="AA960" i="1"/>
  <c r="AA961" i="1"/>
  <c r="AA962" i="1"/>
  <c r="AA963" i="1"/>
  <c r="AA964" i="1"/>
  <c r="AA965" i="1"/>
  <c r="AA957" i="1"/>
  <c r="I959" i="1"/>
  <c r="I960" i="1" s="1"/>
  <c r="I961" i="1" s="1"/>
  <c r="I962" i="1" s="1"/>
  <c r="I963" i="1" s="1"/>
  <c r="I964" i="1" s="1"/>
  <c r="I965" i="1" s="1"/>
  <c r="H957" i="1"/>
  <c r="H958" i="1"/>
  <c r="H959" i="1"/>
  <c r="H960" i="1"/>
  <c r="H961" i="1"/>
  <c r="H962" i="1"/>
  <c r="H963" i="1"/>
  <c r="H964" i="1"/>
  <c r="H965" i="1"/>
  <c r="S950" i="1"/>
  <c r="S949" i="1"/>
  <c r="S948" i="1"/>
  <c r="S947" i="1"/>
  <c r="O950" i="1"/>
  <c r="O949" i="1"/>
  <c r="O948" i="1"/>
  <c r="O947" i="1"/>
  <c r="N956" i="1"/>
  <c r="AA956" i="1" s="1"/>
  <c r="N955" i="1"/>
  <c r="AA955" i="1" s="1"/>
  <c r="N954" i="1"/>
  <c r="AA954" i="1" s="1"/>
  <c r="N953" i="1"/>
  <c r="AA953" i="1" s="1"/>
  <c r="N952" i="1"/>
  <c r="AA952" i="1" s="1"/>
  <c r="N951" i="1"/>
  <c r="AA951" i="1" s="1"/>
  <c r="H951" i="1"/>
  <c r="H952" i="1"/>
  <c r="H953" i="1"/>
  <c r="H954" i="1"/>
  <c r="H955" i="1"/>
  <c r="H956" i="1"/>
  <c r="AQ954" i="1"/>
  <c r="AQ956" i="1"/>
  <c r="AQ955" i="1"/>
  <c r="AQ953" i="1"/>
  <c r="L957" i="1" l="1"/>
  <c r="L953" i="1"/>
  <c r="L951" i="1"/>
  <c r="L955" i="1"/>
  <c r="AA950" i="1" l="1"/>
  <c r="AA949" i="1"/>
  <c r="AA948" i="1"/>
  <c r="AA947" i="1"/>
  <c r="H948" i="1"/>
  <c r="H949" i="1"/>
  <c r="H950" i="1"/>
  <c r="H947" i="1"/>
  <c r="AA1104" i="1"/>
  <c r="AA1105" i="1"/>
  <c r="AA1106" i="1"/>
  <c r="H1102" i="1"/>
  <c r="H1103" i="1"/>
  <c r="H1104" i="1"/>
  <c r="H1105" i="1"/>
  <c r="H1106" i="1"/>
  <c r="AA1102" i="1"/>
  <c r="AA1103" i="1"/>
  <c r="AA1101" i="1" l="1"/>
  <c r="AA1100" i="1"/>
  <c r="H1101" i="1"/>
  <c r="H1100" i="1" l="1"/>
  <c r="AA1073" i="1" l="1"/>
  <c r="AA1074" i="1"/>
  <c r="AA1075" i="1"/>
  <c r="AA1076" i="1"/>
  <c r="AA1077" i="1"/>
  <c r="AA1078" i="1"/>
  <c r="AA1079" i="1"/>
  <c r="AA1080" i="1"/>
  <c r="AA1081" i="1"/>
  <c r="AA1082" i="1"/>
  <c r="AA1083" i="1"/>
  <c r="AA1084" i="1"/>
  <c r="AA1085" i="1"/>
  <c r="AA1072" i="1"/>
  <c r="H1073" i="1"/>
  <c r="H1074" i="1"/>
  <c r="H1075" i="1"/>
  <c r="H1076" i="1"/>
  <c r="H1077" i="1"/>
  <c r="H1078" i="1"/>
  <c r="H1079" i="1"/>
  <c r="H1080" i="1"/>
  <c r="H1081" i="1"/>
  <c r="H1082" i="1"/>
  <c r="H1083" i="1"/>
  <c r="H1084" i="1"/>
  <c r="H1085" i="1"/>
  <c r="H1072" i="1"/>
  <c r="C4" i="1"/>
  <c r="C5" i="1" s="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51" i="1" s="1"/>
  <c r="C452" i="1" s="1"/>
  <c r="C439" i="1" s="1"/>
  <c r="C440" i="1" s="1"/>
  <c r="C441" i="1" s="1"/>
  <c r="C442" i="1" s="1"/>
  <c r="C443" i="1" s="1"/>
  <c r="C444" i="1" s="1"/>
  <c r="C445" i="1" s="1"/>
  <c r="C446" i="1" s="1"/>
  <c r="C447" i="1" s="1"/>
  <c r="C448" i="1" s="1"/>
  <c r="C449" i="1" s="1"/>
  <c r="C450"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C1048" i="1" s="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1097" i="1" s="1"/>
  <c r="C1098" i="1" s="1"/>
  <c r="C1099" i="1" s="1"/>
  <c r="C1100" i="1" s="1"/>
  <c r="C1101" i="1" s="1"/>
  <c r="C1102" i="1" s="1"/>
  <c r="C1103" i="1" s="1"/>
  <c r="C1104" i="1" s="1"/>
  <c r="C1105" i="1" s="1"/>
  <c r="C1106" i="1" s="1"/>
  <c r="C1107" i="1" s="1"/>
  <c r="C1108" i="1" s="1"/>
  <c r="C1109" i="1" s="1"/>
  <c r="C1110" i="1" s="1"/>
  <c r="C1111" i="1" s="1"/>
  <c r="C1112" i="1" s="1"/>
  <c r="C1113" i="1" s="1"/>
  <c r="C1114" i="1" s="1"/>
  <c r="C1115" i="1" s="1"/>
  <c r="C1116" i="1" s="1"/>
  <c r="C1117" i="1" s="1"/>
  <c r="C1118" i="1" s="1"/>
  <c r="C1119" i="1" s="1"/>
  <c r="C1120" i="1" s="1"/>
  <c r="C1121" i="1" s="1"/>
  <c r="C1122" i="1" s="1"/>
  <c r="C1123" i="1" s="1"/>
  <c r="C1124" i="1" s="1"/>
  <c r="C1125" i="1" s="1"/>
  <c r="C1126" i="1" s="1"/>
  <c r="C1127" i="1" s="1"/>
  <c r="C1128" i="1" s="1"/>
  <c r="C1129" i="1" s="1"/>
  <c r="C1130" i="1" s="1"/>
  <c r="C1131" i="1" s="1"/>
  <c r="C1132" i="1" s="1"/>
  <c r="C1133" i="1" s="1"/>
  <c r="C1134" i="1" s="1"/>
  <c r="C1135" i="1" s="1"/>
  <c r="X1126" i="1"/>
  <c r="AD1133" i="1"/>
  <c r="AA1133" i="1"/>
  <c r="X1133" i="1"/>
  <c r="AD1132" i="1"/>
  <c r="AA1132" i="1"/>
  <c r="X1132" i="1"/>
  <c r="AD1131" i="1"/>
  <c r="AA1131" i="1"/>
  <c r="X1131" i="1"/>
  <c r="AD1130" i="1"/>
  <c r="AA1130" i="1"/>
  <c r="X1130" i="1"/>
  <c r="AD1129" i="1"/>
  <c r="AA1129" i="1"/>
  <c r="X1129" i="1"/>
  <c r="AD1128" i="1"/>
  <c r="AA1128" i="1"/>
  <c r="X1128" i="1"/>
  <c r="AD1127" i="1"/>
  <c r="AA1127" i="1"/>
  <c r="X1127" i="1"/>
  <c r="AD1126" i="1"/>
  <c r="AA1126" i="1"/>
  <c r="H1127" i="1"/>
  <c r="H1128" i="1"/>
  <c r="H1129" i="1"/>
  <c r="H1130" i="1"/>
  <c r="H1131" i="1"/>
  <c r="H1132" i="1"/>
  <c r="H1133" i="1"/>
  <c r="H1126" i="1"/>
  <c r="H1125" i="1"/>
  <c r="N1125" i="1"/>
  <c r="AA1125" i="1" s="1"/>
  <c r="H662" i="1" l="1"/>
  <c r="AE1064" i="1" l="1"/>
  <c r="AD1064" i="1"/>
  <c r="AC1064" i="1"/>
  <c r="AA1064" i="1"/>
  <c r="O1064" i="1"/>
  <c r="N1064" i="1" s="1"/>
  <c r="H1064" i="1"/>
  <c r="N1124" i="1"/>
  <c r="O1124" i="1" s="1"/>
  <c r="AA1124" i="1" s="1"/>
  <c r="N1123" i="1"/>
  <c r="O1123" i="1" s="1"/>
  <c r="N1122" i="1"/>
  <c r="O1122" i="1" s="1"/>
  <c r="N1121" i="1"/>
  <c r="O1121" i="1" s="1"/>
  <c r="N1120" i="1"/>
  <c r="O1120" i="1" s="1"/>
  <c r="N1119" i="1"/>
  <c r="O1119" i="1" s="1"/>
  <c r="N1118" i="1"/>
  <c r="O1118" i="1" s="1"/>
  <c r="N1117" i="1"/>
  <c r="O1117" i="1" s="1"/>
  <c r="N1116" i="1"/>
  <c r="O1116" i="1" s="1"/>
  <c r="AA1116" i="1" s="1"/>
  <c r="N1115" i="1"/>
  <c r="O1115" i="1" s="1"/>
  <c r="AA1115" i="1" s="1"/>
  <c r="H1058" i="1"/>
  <c r="H1059" i="1"/>
  <c r="H1060" i="1"/>
  <c r="H1061" i="1"/>
  <c r="H1062" i="1"/>
  <c r="H1063" i="1"/>
  <c r="O1063" i="1"/>
  <c r="N1063" i="1" s="1"/>
  <c r="O1062" i="1"/>
  <c r="N1062" i="1" s="1"/>
  <c r="O1061" i="1"/>
  <c r="N1061" i="1" s="1"/>
  <c r="O1060" i="1"/>
  <c r="N1060" i="1" s="1"/>
  <c r="O1059" i="1"/>
  <c r="N1059" i="1" s="1"/>
  <c r="O1058" i="1"/>
  <c r="N1058" i="1" s="1"/>
  <c r="O1057" i="1"/>
  <c r="N1057" i="1" s="1"/>
  <c r="O1056" i="1"/>
  <c r="N1056" i="1" s="1"/>
  <c r="O1055" i="1"/>
  <c r="N1055" i="1" s="1"/>
  <c r="O1054" i="1"/>
  <c r="O1053" i="1"/>
  <c r="O1052" i="1"/>
  <c r="N1052" i="1" s="1"/>
  <c r="AA1057" i="1"/>
  <c r="AA1056" i="1"/>
  <c r="AA1055" i="1"/>
  <c r="AA1054" i="1"/>
  <c r="AA1053" i="1"/>
  <c r="AA1052" i="1"/>
  <c r="H1053" i="1"/>
  <c r="H1054" i="1"/>
  <c r="H1055" i="1"/>
  <c r="H1056" i="1"/>
  <c r="H1057" i="1"/>
  <c r="H1052" i="1"/>
  <c r="H1115" i="1"/>
  <c r="H1116" i="1"/>
  <c r="H1117" i="1"/>
  <c r="H1118" i="1"/>
  <c r="H1119" i="1"/>
  <c r="H1120" i="1"/>
  <c r="H1121" i="1"/>
  <c r="H1122" i="1"/>
  <c r="H1123" i="1"/>
  <c r="H1124" i="1"/>
  <c r="H1110" i="1"/>
  <c r="H1111" i="1"/>
  <c r="H1112" i="1"/>
  <c r="H1113" i="1"/>
  <c r="H1114" i="1"/>
  <c r="O1110" i="1"/>
  <c r="O1111" i="1"/>
  <c r="AA1111" i="1" s="1"/>
  <c r="O1112" i="1"/>
  <c r="AA1112" i="1" s="1"/>
  <c r="O1113" i="1"/>
  <c r="AA1113" i="1" s="1"/>
  <c r="O1114" i="1"/>
  <c r="AA1114" i="1" s="1"/>
  <c r="AQ1114" i="1"/>
  <c r="AQ1113" i="1"/>
  <c r="AQ1111" i="1"/>
  <c r="AQ1110" i="1"/>
  <c r="AQ1112" i="1"/>
  <c r="AQ1109" i="1"/>
  <c r="O1109" i="1"/>
  <c r="AA1109" i="1" s="1"/>
  <c r="H1109" i="1"/>
  <c r="L1115" i="1" l="1"/>
  <c r="N1054" i="1"/>
  <c r="AA1119" i="1"/>
  <c r="AA1122" i="1"/>
  <c r="N1053" i="1"/>
  <c r="AA1118" i="1"/>
  <c r="AA1117" i="1"/>
  <c r="AA1121" i="1"/>
  <c r="AA1123" i="1"/>
  <c r="AA1120" i="1"/>
  <c r="AA1110" i="1"/>
  <c r="H1037" i="1"/>
  <c r="H1038" i="1"/>
  <c r="H1039" i="1"/>
  <c r="H1040" i="1"/>
  <c r="H1041" i="1"/>
  <c r="H1042" i="1"/>
  <c r="H1043" i="1"/>
  <c r="H1044" i="1"/>
  <c r="H1045" i="1"/>
  <c r="H1046" i="1"/>
  <c r="H1047" i="1"/>
  <c r="O1037" i="1"/>
  <c r="O1038" i="1"/>
  <c r="AA1038" i="1" s="1"/>
  <c r="O1039" i="1"/>
  <c r="AA1039" i="1" s="1"/>
  <c r="O1040" i="1"/>
  <c r="AA1040" i="1" s="1"/>
  <c r="O1041" i="1"/>
  <c r="AA1041" i="1" s="1"/>
  <c r="O1042" i="1"/>
  <c r="AA1042" i="1" s="1"/>
  <c r="O1043" i="1"/>
  <c r="AA1043" i="1" s="1"/>
  <c r="O1044" i="1"/>
  <c r="O1045" i="1"/>
  <c r="O1046" i="1"/>
  <c r="AA1046" i="1" s="1"/>
  <c r="O1047" i="1"/>
  <c r="AA1047" i="1" s="1"/>
  <c r="O1036" i="1"/>
  <c r="AA1036" i="1" s="1"/>
  <c r="H1036" i="1"/>
  <c r="N1108" i="1"/>
  <c r="O1108" i="1" s="1"/>
  <c r="H1108" i="1"/>
  <c r="N1107" i="1"/>
  <c r="O1107" i="1" s="1"/>
  <c r="H1107" i="1"/>
  <c r="S661" i="1"/>
  <c r="O661" i="1"/>
  <c r="O660" i="1"/>
  <c r="S660" i="1"/>
  <c r="AD661" i="1"/>
  <c r="AD660" i="1"/>
  <c r="X661" i="1"/>
  <c r="X660" i="1"/>
  <c r="L1123" i="1" l="1"/>
  <c r="L1121" i="1"/>
  <c r="L1119" i="1"/>
  <c r="L1117" i="1"/>
  <c r="AA1044" i="1"/>
  <c r="AA1045" i="1"/>
  <c r="AA1107" i="1"/>
  <c r="AA1037" i="1"/>
  <c r="AA1108" i="1"/>
  <c r="O101" i="4"/>
  <c r="O102" i="4"/>
  <c r="O103" i="4"/>
  <c r="N103" i="4"/>
  <c r="N101" i="4"/>
  <c r="N102" i="4"/>
  <c r="N100" i="4"/>
  <c r="O1035" i="1"/>
  <c r="AA1035" i="1" s="1"/>
  <c r="O1034" i="1"/>
  <c r="AA1034" i="1" s="1"/>
  <c r="O1033" i="1"/>
  <c r="AA1033" i="1" s="1"/>
  <c r="O1032" i="1"/>
  <c r="AA1032" i="1" s="1"/>
  <c r="O1031" i="1"/>
  <c r="AA1031" i="1" s="1"/>
  <c r="O1030" i="1"/>
  <c r="AA1030" i="1" s="1"/>
  <c r="O1029" i="1"/>
  <c r="AA1029" i="1" s="1"/>
  <c r="O1028" i="1"/>
  <c r="AA1028" i="1" s="1"/>
  <c r="O1027" i="1"/>
  <c r="AA1027" i="1" s="1"/>
  <c r="O1026" i="1"/>
  <c r="AA1026" i="1" s="1"/>
  <c r="O1025" i="1"/>
  <c r="AA1025" i="1" s="1"/>
  <c r="O1024" i="1"/>
  <c r="AA1024" i="1" s="1"/>
  <c r="O1023" i="1"/>
  <c r="AA1023" i="1" s="1"/>
  <c r="O1022" i="1"/>
  <c r="AA1022" i="1" s="1"/>
  <c r="O1021" i="1"/>
  <c r="AA1021" i="1" s="1"/>
  <c r="O1020" i="1"/>
  <c r="AA1020" i="1" s="1"/>
  <c r="O1019" i="1"/>
  <c r="AA1019" i="1" s="1"/>
  <c r="O1018" i="1"/>
  <c r="AA1018" i="1" s="1"/>
  <c r="O1017" i="1"/>
  <c r="AA1017" i="1" s="1"/>
  <c r="O1016" i="1"/>
  <c r="AA1016" i="1" s="1"/>
  <c r="O1015" i="1"/>
  <c r="AA1015" i="1" s="1"/>
  <c r="O1014" i="1"/>
  <c r="AA1014" i="1" s="1"/>
  <c r="O1013" i="1"/>
  <c r="AA1013" i="1" s="1"/>
  <c r="O1012" i="1"/>
  <c r="AA1012" i="1" s="1"/>
  <c r="O1011" i="1"/>
  <c r="AA1011" i="1" s="1"/>
  <c r="O1010" i="1"/>
  <c r="AA1010" i="1" s="1"/>
  <c r="O1009" i="1"/>
  <c r="AA1009" i="1" s="1"/>
  <c r="O1008" i="1"/>
  <c r="AA1008" i="1" s="1"/>
  <c r="O1007" i="1"/>
  <c r="AA1007" i="1" s="1"/>
  <c r="O1006" i="1"/>
  <c r="AA1006" i="1" s="1"/>
  <c r="O1005" i="1"/>
  <c r="AA1005" i="1" s="1"/>
  <c r="O1004" i="1"/>
  <c r="AA1004" i="1" s="1"/>
  <c r="O1003" i="1"/>
  <c r="AA1003" i="1" s="1"/>
  <c r="O1002" i="1"/>
  <c r="AA1002" i="1" s="1"/>
  <c r="O1001" i="1"/>
  <c r="AA1001" i="1" s="1"/>
  <c r="O1000" i="1"/>
  <c r="AA1000" i="1" s="1"/>
  <c r="O999" i="1"/>
  <c r="AA999" i="1" s="1"/>
  <c r="O998" i="1"/>
  <c r="AA998" i="1" s="1"/>
  <c r="O997" i="1"/>
  <c r="AA997" i="1" s="1"/>
  <c r="O996" i="1"/>
  <c r="AA996" i="1" s="1"/>
  <c r="O995" i="1"/>
  <c r="AA995" i="1" s="1"/>
  <c r="O994" i="1"/>
  <c r="AA994" i="1" s="1"/>
  <c r="O993" i="1"/>
  <c r="AA993" i="1" s="1"/>
  <c r="O992" i="1"/>
  <c r="AA992" i="1" s="1"/>
  <c r="O991" i="1"/>
  <c r="AA991" i="1" s="1"/>
  <c r="O990" i="1"/>
  <c r="AA990" i="1" s="1"/>
  <c r="O989" i="1"/>
  <c r="AA989" i="1" s="1"/>
  <c r="O988" i="1"/>
  <c r="AA988" i="1" s="1"/>
  <c r="O987" i="1"/>
  <c r="AA987" i="1" s="1"/>
  <c r="O986" i="1"/>
  <c r="AA986" i="1" s="1"/>
  <c r="O985" i="1"/>
  <c r="AA985" i="1" s="1"/>
  <c r="O984" i="1"/>
  <c r="AA984" i="1" s="1"/>
  <c r="O983" i="1"/>
  <c r="AA983" i="1" s="1"/>
  <c r="O982" i="1"/>
  <c r="AA982" i="1" s="1"/>
  <c r="O981" i="1"/>
  <c r="AA981" i="1" s="1"/>
  <c r="O980" i="1"/>
  <c r="AA980" i="1" s="1"/>
  <c r="O979" i="1"/>
  <c r="AA979" i="1" s="1"/>
  <c r="O978" i="1"/>
  <c r="AA978" i="1" s="1"/>
  <c r="O977" i="1"/>
  <c r="AA977" i="1" s="1"/>
  <c r="O976" i="1"/>
  <c r="AA976" i="1" s="1"/>
  <c r="O975" i="1"/>
  <c r="AA975" i="1" s="1"/>
  <c r="O974" i="1"/>
  <c r="AA974" i="1" s="1"/>
  <c r="O973" i="1"/>
  <c r="AA973" i="1" s="1"/>
  <c r="O972" i="1"/>
  <c r="AA972" i="1" s="1"/>
  <c r="O971" i="1"/>
  <c r="AA971" i="1" s="1"/>
  <c r="O970" i="1"/>
  <c r="AA970" i="1" s="1"/>
  <c r="O969" i="1"/>
  <c r="AA969" i="1" s="1"/>
  <c r="O968" i="1"/>
  <c r="AA968" i="1" s="1"/>
  <c r="O967" i="1"/>
  <c r="AD996" i="1"/>
  <c r="AD995" i="1"/>
  <c r="AD994" i="1"/>
  <c r="AD993" i="1"/>
  <c r="AD992" i="1"/>
  <c r="AD991" i="1"/>
  <c r="AD990" i="1"/>
  <c r="AD989" i="1"/>
  <c r="AD988" i="1"/>
  <c r="AD987" i="1"/>
  <c r="AD986" i="1"/>
  <c r="AD985" i="1"/>
  <c r="AD984" i="1"/>
  <c r="AD983" i="1"/>
  <c r="AD982" i="1"/>
  <c r="AD1027" i="1"/>
  <c r="AD1026" i="1"/>
  <c r="AD1025" i="1"/>
  <c r="AD1024" i="1"/>
  <c r="AD1023" i="1"/>
  <c r="AD1022" i="1"/>
  <c r="AD1021" i="1"/>
  <c r="AD1020" i="1"/>
  <c r="AA967" i="1"/>
  <c r="O929" i="1"/>
  <c r="O928" i="1"/>
  <c r="O927" i="1"/>
  <c r="O926" i="1"/>
  <c r="O925" i="1"/>
  <c r="O924" i="1"/>
  <c r="AD923" i="1" l="1"/>
  <c r="AA923" i="1"/>
  <c r="X923" i="1"/>
  <c r="AD922" i="1"/>
  <c r="AA922" i="1"/>
  <c r="X922" i="1"/>
  <c r="AD921" i="1"/>
  <c r="AA921" i="1"/>
  <c r="X921" i="1"/>
  <c r="AD920" i="1"/>
  <c r="AA920" i="1"/>
  <c r="X920" i="1"/>
  <c r="AD919" i="1"/>
  <c r="AA919" i="1"/>
  <c r="X919" i="1"/>
  <c r="AD918" i="1"/>
  <c r="AA918" i="1"/>
  <c r="X918" i="1"/>
  <c r="AD917" i="1"/>
  <c r="AA917" i="1"/>
  <c r="X917" i="1"/>
  <c r="AD916" i="1"/>
  <c r="AA916" i="1"/>
  <c r="X916" i="1"/>
  <c r="AD915" i="1"/>
  <c r="AA915" i="1"/>
  <c r="X915" i="1"/>
  <c r="AD914" i="1"/>
  <c r="AA914" i="1"/>
  <c r="X914" i="1"/>
  <c r="AD913" i="1"/>
  <c r="AA913" i="1"/>
  <c r="X913" i="1"/>
  <c r="AD912" i="1"/>
  <c r="AA912" i="1"/>
  <c r="X912" i="1"/>
  <c r="AD911" i="1"/>
  <c r="AA911" i="1"/>
  <c r="X911" i="1"/>
  <c r="AD910" i="1"/>
  <c r="AA910" i="1"/>
  <c r="X910" i="1"/>
  <c r="AD909" i="1"/>
  <c r="AA909" i="1"/>
  <c r="X909" i="1"/>
  <c r="AD908" i="1"/>
  <c r="AA908" i="1"/>
  <c r="X908" i="1"/>
  <c r="AD907" i="1"/>
  <c r="AA907" i="1"/>
  <c r="X907" i="1"/>
  <c r="AD906" i="1"/>
  <c r="AA906" i="1"/>
  <c r="X906" i="1"/>
  <c r="AD905" i="1"/>
  <c r="AA905" i="1"/>
  <c r="X905" i="1"/>
  <c r="AD904" i="1"/>
  <c r="AA904" i="1"/>
  <c r="X904" i="1"/>
  <c r="AD903" i="1"/>
  <c r="AA903" i="1"/>
  <c r="X903" i="1"/>
  <c r="AD902" i="1"/>
  <c r="AA902" i="1"/>
  <c r="X902" i="1"/>
  <c r="AD901" i="1"/>
  <c r="AA901" i="1"/>
  <c r="X901" i="1"/>
  <c r="AD900" i="1"/>
  <c r="AA900" i="1"/>
  <c r="X900" i="1"/>
  <c r="AD899" i="1"/>
  <c r="AA899" i="1"/>
  <c r="X899" i="1"/>
  <c r="AD898" i="1"/>
  <c r="AA898" i="1"/>
  <c r="X898" i="1"/>
  <c r="AD897" i="1"/>
  <c r="AA897" i="1"/>
  <c r="X897" i="1"/>
  <c r="AD896" i="1"/>
  <c r="AA896" i="1"/>
  <c r="X896" i="1"/>
  <c r="AD895" i="1"/>
  <c r="AA895" i="1"/>
  <c r="X895" i="1"/>
  <c r="AD894" i="1"/>
  <c r="AA894" i="1"/>
  <c r="X894" i="1"/>
  <c r="AD893" i="1"/>
  <c r="AA893" i="1"/>
  <c r="X893" i="1"/>
  <c r="AD892" i="1"/>
  <c r="AA892" i="1"/>
  <c r="X892" i="1"/>
  <c r="AD891" i="1"/>
  <c r="AA891" i="1"/>
  <c r="X891" i="1"/>
  <c r="AD890" i="1"/>
  <c r="AA890" i="1"/>
  <c r="X890" i="1"/>
  <c r="AD889" i="1"/>
  <c r="AA889" i="1"/>
  <c r="X889" i="1"/>
  <c r="AD888" i="1"/>
  <c r="AA888" i="1"/>
  <c r="X888" i="1"/>
  <c r="AD887" i="1"/>
  <c r="AA887" i="1"/>
  <c r="X887" i="1"/>
  <c r="AD886" i="1"/>
  <c r="AA886" i="1"/>
  <c r="X886" i="1"/>
  <c r="AD885" i="1"/>
  <c r="AA885" i="1"/>
  <c r="X885" i="1"/>
  <c r="AD884" i="1"/>
  <c r="AA884" i="1"/>
  <c r="X884" i="1"/>
  <c r="AD883" i="1"/>
  <c r="AA883" i="1"/>
  <c r="X883" i="1"/>
  <c r="AD882" i="1"/>
  <c r="AA882" i="1"/>
  <c r="X882" i="1"/>
  <c r="AD881" i="1"/>
  <c r="AA881" i="1"/>
  <c r="X881" i="1"/>
  <c r="AD880" i="1"/>
  <c r="AA880" i="1"/>
  <c r="X880" i="1"/>
  <c r="AD879" i="1"/>
  <c r="AA879" i="1"/>
  <c r="X879" i="1"/>
  <c r="AD878" i="1"/>
  <c r="AA878" i="1"/>
  <c r="X878" i="1"/>
  <c r="AD877" i="1"/>
  <c r="AA877" i="1"/>
  <c r="X877" i="1"/>
  <c r="AD876" i="1"/>
  <c r="AA876" i="1"/>
  <c r="X876" i="1"/>
  <c r="AD875" i="1"/>
  <c r="AA875" i="1"/>
  <c r="X875" i="1"/>
  <c r="AD874" i="1"/>
  <c r="AA874" i="1"/>
  <c r="X874" i="1"/>
  <c r="AD873" i="1"/>
  <c r="AA873" i="1"/>
  <c r="X873" i="1"/>
  <c r="AD872" i="1"/>
  <c r="AA872" i="1"/>
  <c r="X872" i="1"/>
  <c r="AD871" i="1"/>
  <c r="AA871" i="1"/>
  <c r="X871" i="1"/>
  <c r="AD870" i="1"/>
  <c r="AA870" i="1"/>
  <c r="X870" i="1"/>
  <c r="AD869" i="1"/>
  <c r="AA869" i="1"/>
  <c r="X869" i="1"/>
  <c r="AD868" i="1"/>
  <c r="AA868" i="1"/>
  <c r="X868" i="1"/>
  <c r="AD867" i="1"/>
  <c r="AA867" i="1"/>
  <c r="X867" i="1"/>
  <c r="AD866" i="1"/>
  <c r="AA866" i="1"/>
  <c r="X866" i="1"/>
  <c r="AD865" i="1"/>
  <c r="AA865" i="1"/>
  <c r="X865" i="1"/>
  <c r="AD864" i="1"/>
  <c r="AA864" i="1"/>
  <c r="X864" i="1"/>
  <c r="AD863" i="1"/>
  <c r="AA863" i="1"/>
  <c r="X863" i="1"/>
  <c r="AD862" i="1"/>
  <c r="AA862" i="1"/>
  <c r="X862" i="1"/>
  <c r="AD861" i="1"/>
  <c r="AA861" i="1"/>
  <c r="X861" i="1"/>
  <c r="AD860" i="1"/>
  <c r="AA860" i="1"/>
  <c r="X860" i="1"/>
  <c r="AD859" i="1"/>
  <c r="AA859" i="1"/>
  <c r="X859" i="1"/>
  <c r="AD858" i="1"/>
  <c r="AA858" i="1"/>
  <c r="X858" i="1"/>
  <c r="AD857" i="1"/>
  <c r="AA857" i="1"/>
  <c r="X857" i="1"/>
  <c r="AD856" i="1"/>
  <c r="AA856" i="1"/>
  <c r="X856" i="1"/>
  <c r="AD855" i="1"/>
  <c r="AA855" i="1"/>
  <c r="X855" i="1"/>
  <c r="AD854" i="1"/>
  <c r="AA854" i="1"/>
  <c r="X854" i="1"/>
  <c r="AD853" i="1"/>
  <c r="AA853" i="1"/>
  <c r="X853" i="1"/>
  <c r="AD852" i="1"/>
  <c r="AA852" i="1"/>
  <c r="X852" i="1"/>
  <c r="AD851" i="1"/>
  <c r="AA851" i="1"/>
  <c r="X851" i="1"/>
  <c r="AD850" i="1"/>
  <c r="AA850" i="1"/>
  <c r="X850" i="1"/>
  <c r="AD849" i="1"/>
  <c r="AA849" i="1"/>
  <c r="X849" i="1"/>
  <c r="AD848" i="1"/>
  <c r="AA848" i="1"/>
  <c r="X848" i="1"/>
  <c r="AD847" i="1"/>
  <c r="AA847" i="1"/>
  <c r="X847" i="1"/>
  <c r="AD846" i="1"/>
  <c r="AA846" i="1"/>
  <c r="X846" i="1"/>
  <c r="AD845" i="1"/>
  <c r="AA845" i="1"/>
  <c r="X845" i="1"/>
  <c r="AD844" i="1"/>
  <c r="AA844" i="1"/>
  <c r="X844" i="1"/>
  <c r="AD843" i="1"/>
  <c r="AA843" i="1"/>
  <c r="X843" i="1"/>
  <c r="AD842" i="1"/>
  <c r="AA842" i="1"/>
  <c r="X842" i="1"/>
  <c r="AD841" i="1"/>
  <c r="AA841" i="1"/>
  <c r="X841" i="1"/>
  <c r="AD840" i="1"/>
  <c r="AA840" i="1"/>
  <c r="X840" i="1"/>
  <c r="AD839" i="1"/>
  <c r="AA839" i="1"/>
  <c r="X839" i="1"/>
  <c r="AD838" i="1"/>
  <c r="AA838" i="1"/>
  <c r="X838" i="1"/>
  <c r="AD837" i="1"/>
  <c r="AA837" i="1"/>
  <c r="X837" i="1"/>
  <c r="AD836" i="1"/>
  <c r="AA836" i="1"/>
  <c r="X836" i="1"/>
  <c r="AD835" i="1"/>
  <c r="AA835" i="1"/>
  <c r="X835" i="1"/>
  <c r="AD834" i="1"/>
  <c r="AA834" i="1"/>
  <c r="X834" i="1"/>
  <c r="AD833" i="1"/>
  <c r="AA833" i="1"/>
  <c r="X833" i="1"/>
  <c r="AD832" i="1"/>
  <c r="AA832" i="1"/>
  <c r="X832" i="1"/>
  <c r="AD831" i="1"/>
  <c r="AA831" i="1"/>
  <c r="X831" i="1"/>
  <c r="AD830" i="1"/>
  <c r="AA830" i="1"/>
  <c r="X830" i="1"/>
  <c r="AD829" i="1"/>
  <c r="AA829" i="1"/>
  <c r="X829" i="1"/>
  <c r="AD828" i="1"/>
  <c r="AA828" i="1"/>
  <c r="X828" i="1"/>
  <c r="AD827" i="1"/>
  <c r="AA827" i="1"/>
  <c r="X827" i="1"/>
  <c r="AD826" i="1"/>
  <c r="AA826" i="1"/>
  <c r="X826" i="1"/>
  <c r="AD825" i="1"/>
  <c r="AA825" i="1"/>
  <c r="X825" i="1"/>
  <c r="AD824" i="1"/>
  <c r="AA824" i="1"/>
  <c r="X824" i="1"/>
  <c r="AD823" i="1"/>
  <c r="AA823" i="1"/>
  <c r="X823" i="1"/>
  <c r="AD822" i="1"/>
  <c r="AA822" i="1"/>
  <c r="X822" i="1"/>
  <c r="AD821" i="1"/>
  <c r="AA821" i="1"/>
  <c r="X821" i="1"/>
  <c r="AD820" i="1"/>
  <c r="AA820" i="1"/>
  <c r="X820" i="1"/>
  <c r="AD819" i="1"/>
  <c r="AA819" i="1"/>
  <c r="X819" i="1"/>
  <c r="AD818" i="1"/>
  <c r="AA818" i="1"/>
  <c r="X818" i="1"/>
  <c r="AD817" i="1"/>
  <c r="AA817" i="1"/>
  <c r="X817" i="1"/>
  <c r="AD816" i="1"/>
  <c r="AA816" i="1"/>
  <c r="X816" i="1"/>
  <c r="AD815" i="1"/>
  <c r="AA815" i="1"/>
  <c r="X815" i="1"/>
  <c r="AD814" i="1"/>
  <c r="AA814" i="1"/>
  <c r="X814" i="1"/>
  <c r="AD813" i="1"/>
  <c r="AA813" i="1"/>
  <c r="X813" i="1"/>
  <c r="AD812" i="1"/>
  <c r="AA812" i="1"/>
  <c r="X812" i="1"/>
  <c r="AD811" i="1"/>
  <c r="AA811" i="1"/>
  <c r="X811" i="1"/>
  <c r="AD810" i="1"/>
  <c r="AA810" i="1"/>
  <c r="X810" i="1"/>
  <c r="AD809" i="1"/>
  <c r="AA809" i="1"/>
  <c r="X809" i="1"/>
  <c r="AD808" i="1"/>
  <c r="AA808" i="1"/>
  <c r="X808" i="1"/>
  <c r="AD807" i="1"/>
  <c r="AA807" i="1"/>
  <c r="X807" i="1"/>
  <c r="AD806" i="1"/>
  <c r="AA806" i="1"/>
  <c r="X806" i="1"/>
  <c r="AD805" i="1"/>
  <c r="AA805" i="1"/>
  <c r="X805" i="1"/>
  <c r="AD804" i="1"/>
  <c r="AA804" i="1"/>
  <c r="X804" i="1"/>
  <c r="AD803" i="1"/>
  <c r="AA803" i="1"/>
  <c r="X803" i="1"/>
  <c r="AD802" i="1"/>
  <c r="AA802" i="1"/>
  <c r="X802" i="1"/>
  <c r="AD801" i="1"/>
  <c r="AA801" i="1"/>
  <c r="X801" i="1"/>
  <c r="AD800" i="1"/>
  <c r="AA800" i="1"/>
  <c r="X800" i="1"/>
  <c r="AD799" i="1"/>
  <c r="AA799" i="1"/>
  <c r="X799" i="1"/>
  <c r="AD798" i="1"/>
  <c r="AA798" i="1"/>
  <c r="X798" i="1"/>
  <c r="AD797" i="1"/>
  <c r="AA797" i="1"/>
  <c r="X797" i="1"/>
  <c r="AD796" i="1"/>
  <c r="AA796" i="1"/>
  <c r="X796" i="1"/>
  <c r="AD795" i="1"/>
  <c r="AA795" i="1"/>
  <c r="X795" i="1"/>
  <c r="AD794" i="1"/>
  <c r="AA794" i="1"/>
  <c r="X794" i="1"/>
  <c r="AD793" i="1"/>
  <c r="AA793" i="1"/>
  <c r="X793" i="1"/>
  <c r="AD792" i="1"/>
  <c r="AA792" i="1"/>
  <c r="X792" i="1"/>
  <c r="AD791" i="1"/>
  <c r="AA791" i="1"/>
  <c r="X791" i="1"/>
  <c r="AD790" i="1"/>
  <c r="AA790" i="1"/>
  <c r="X790" i="1"/>
  <c r="AD789" i="1"/>
  <c r="AA789" i="1"/>
  <c r="X789" i="1"/>
  <c r="AD788" i="1"/>
  <c r="AA788" i="1"/>
  <c r="X788" i="1"/>
  <c r="AD787" i="1"/>
  <c r="AA787" i="1"/>
  <c r="X787" i="1"/>
  <c r="AD786" i="1"/>
  <c r="AA786" i="1"/>
  <c r="X786" i="1"/>
  <c r="AD785" i="1"/>
  <c r="AA785" i="1"/>
  <c r="X785" i="1"/>
  <c r="AD784" i="1"/>
  <c r="AA784" i="1"/>
  <c r="X784" i="1"/>
  <c r="AD783" i="1"/>
  <c r="AA783" i="1"/>
  <c r="X783" i="1"/>
  <c r="AD782" i="1"/>
  <c r="AA782" i="1"/>
  <c r="X782" i="1"/>
  <c r="AD781" i="1"/>
  <c r="AA781" i="1"/>
  <c r="X781" i="1"/>
  <c r="AD780" i="1"/>
  <c r="AA780" i="1"/>
  <c r="X780"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AE773" i="1"/>
  <c r="AD773" i="1"/>
  <c r="AE772" i="1"/>
  <c r="AD772" i="1"/>
  <c r="AE771" i="1"/>
  <c r="AD771" i="1"/>
  <c r="AE770" i="1"/>
  <c r="AD770" i="1"/>
  <c r="AE769" i="1"/>
  <c r="AD769" i="1"/>
  <c r="AE768" i="1"/>
  <c r="AD768" i="1"/>
  <c r="AE767" i="1"/>
  <c r="AD767" i="1"/>
  <c r="AE766" i="1"/>
  <c r="AD766" i="1"/>
  <c r="N779" i="1"/>
  <c r="N778" i="1"/>
  <c r="N777" i="1"/>
  <c r="N776" i="1"/>
  <c r="N775" i="1"/>
  <c r="N774" i="1"/>
  <c r="N773" i="1"/>
  <c r="N772" i="1"/>
  <c r="N771" i="1"/>
  <c r="N770" i="1"/>
  <c r="N769" i="1"/>
  <c r="N768" i="1"/>
  <c r="N767" i="1"/>
  <c r="N766" i="1"/>
  <c r="O715" i="1"/>
  <c r="O714" i="1"/>
  <c r="O713" i="1"/>
  <c r="O712" i="1"/>
  <c r="AA707" i="1"/>
  <c r="AA708" i="1"/>
  <c r="AA709" i="1"/>
  <c r="AA710" i="1"/>
  <c r="AA711" i="1"/>
  <c r="AA712" i="1"/>
  <c r="AA713" i="1"/>
  <c r="AA714" i="1"/>
  <c r="AA715" i="1"/>
  <c r="O707" i="1"/>
  <c r="O708" i="1"/>
  <c r="O709" i="1"/>
  <c r="O710" i="1"/>
  <c r="N689" i="1"/>
  <c r="N688" i="1"/>
  <c r="N687" i="1"/>
  <c r="N705" i="1"/>
  <c r="N704" i="1"/>
  <c r="N703" i="1"/>
  <c r="N702" i="1"/>
  <c r="N701" i="1"/>
  <c r="N700" i="1"/>
  <c r="N699" i="1"/>
  <c r="N698" i="1"/>
  <c r="N697" i="1"/>
  <c r="N696" i="1"/>
  <c r="N695" i="1"/>
  <c r="N694" i="1"/>
  <c r="N693" i="1"/>
  <c r="N692" i="1"/>
  <c r="N691" i="1"/>
  <c r="N690" i="1"/>
  <c r="AD705" i="1"/>
  <c r="AD704" i="1"/>
  <c r="AD703" i="1"/>
  <c r="AD702" i="1"/>
  <c r="AD701" i="1"/>
  <c r="AD700" i="1"/>
  <c r="AD699" i="1"/>
  <c r="AD698" i="1"/>
  <c r="AD697" i="1"/>
  <c r="AD696" i="1"/>
  <c r="AD695" i="1"/>
  <c r="AD694" i="1"/>
  <c r="AD693" i="1"/>
  <c r="AD692" i="1"/>
  <c r="AD691" i="1"/>
  <c r="AD690" i="1"/>
  <c r="N1099" i="1" l="1"/>
  <c r="N1098" i="1"/>
  <c r="N1097" i="1"/>
  <c r="N1096" i="1"/>
  <c r="N1095" i="1"/>
  <c r="N1094" i="1"/>
  <c r="N1093" i="1"/>
  <c r="N1092" i="1"/>
  <c r="N1091" i="1"/>
  <c r="N1090" i="1"/>
  <c r="N1089" i="1"/>
  <c r="N1088" i="1"/>
  <c r="N1087" i="1"/>
  <c r="N1086" i="1"/>
  <c r="O659" i="1"/>
  <c r="AA659" i="1" s="1"/>
  <c r="O658" i="1"/>
  <c r="AA658" i="1" s="1"/>
  <c r="AD659" i="1"/>
  <c r="X659" i="1"/>
  <c r="AD658" i="1"/>
  <c r="X658" i="1"/>
  <c r="X664" i="1"/>
  <c r="N941" i="1"/>
  <c r="AA941" i="1" s="1"/>
  <c r="N942" i="1"/>
  <c r="AA942" i="1" s="1"/>
  <c r="J942" i="1"/>
  <c r="J941" i="1"/>
  <c r="T21" i="1" l="1"/>
  <c r="V21" i="1" s="1"/>
  <c r="U21" i="1" s="1"/>
  <c r="T23" i="1"/>
  <c r="V23" i="1" s="1"/>
  <c r="U23" i="1" s="1"/>
  <c r="T25" i="1"/>
  <c r="V25" i="1" s="1"/>
  <c r="U25" i="1" s="1"/>
  <c r="T27" i="1"/>
  <c r="V27" i="1" s="1"/>
  <c r="U27" i="1" s="1"/>
  <c r="T28" i="1"/>
  <c r="V28" i="1" s="1"/>
  <c r="U28" i="1" s="1"/>
  <c r="T29" i="1"/>
  <c r="V29" i="1" s="1"/>
  <c r="U29" i="1" s="1"/>
  <c r="T30" i="1"/>
  <c r="V30" i="1" s="1"/>
  <c r="U30" i="1" s="1"/>
  <c r="T92" i="1"/>
  <c r="V92" i="1" s="1"/>
  <c r="U92" i="1" s="1"/>
  <c r="T94" i="1"/>
  <c r="V94" i="1" s="1"/>
  <c r="U94" i="1" s="1"/>
  <c r="T96" i="1"/>
  <c r="V96" i="1" s="1"/>
  <c r="U96" i="1" s="1"/>
  <c r="T98" i="1"/>
  <c r="V98" i="1" s="1"/>
  <c r="U98" i="1" s="1"/>
  <c r="T100" i="1"/>
  <c r="V100" i="1" s="1"/>
  <c r="U100" i="1" s="1"/>
  <c r="T102" i="1"/>
  <c r="V102" i="1" s="1"/>
  <c r="U102" i="1" s="1"/>
  <c r="T104" i="1"/>
  <c r="V104" i="1" s="1"/>
  <c r="U104" i="1" s="1"/>
  <c r="T106" i="1"/>
  <c r="V106" i="1" s="1"/>
  <c r="U106" i="1" s="1"/>
  <c r="T108" i="1"/>
  <c r="V108" i="1" s="1"/>
  <c r="U108" i="1" s="1"/>
  <c r="T110" i="1"/>
  <c r="V110" i="1" s="1"/>
  <c r="U110" i="1" s="1"/>
  <c r="T112" i="1"/>
  <c r="V112" i="1" s="1"/>
  <c r="U112" i="1" s="1"/>
  <c r="T114" i="1"/>
  <c r="V114" i="1" s="1"/>
  <c r="U114" i="1" s="1"/>
  <c r="T116" i="1"/>
  <c r="V116" i="1" s="1"/>
  <c r="U116" i="1" s="1"/>
  <c r="T118" i="1"/>
  <c r="V118" i="1" s="1"/>
  <c r="U118" i="1" s="1"/>
  <c r="T120" i="1"/>
  <c r="V120" i="1" s="1"/>
  <c r="U120" i="1" s="1"/>
  <c r="T122" i="1"/>
  <c r="V122" i="1" s="1"/>
  <c r="U122" i="1" s="1"/>
  <c r="T124" i="1"/>
  <c r="V124" i="1" s="1"/>
  <c r="U124" i="1" s="1"/>
  <c r="T126" i="1"/>
  <c r="V126" i="1" s="1"/>
  <c r="U126" i="1" s="1"/>
  <c r="T128" i="1"/>
  <c r="V128" i="1" s="1"/>
  <c r="U128" i="1" s="1"/>
  <c r="T130" i="1"/>
  <c r="V130" i="1" s="1"/>
  <c r="U130" i="1" s="1"/>
  <c r="T132" i="1"/>
  <c r="V132" i="1" s="1"/>
  <c r="U132" i="1" s="1"/>
  <c r="T134" i="1"/>
  <c r="V134" i="1" s="1"/>
  <c r="U134" i="1" s="1"/>
  <c r="T136" i="1"/>
  <c r="V136" i="1" s="1"/>
  <c r="U136" i="1" s="1"/>
  <c r="T138" i="1"/>
  <c r="V138" i="1" s="1"/>
  <c r="U138" i="1" s="1"/>
  <c r="T140" i="1"/>
  <c r="V140" i="1" s="1"/>
  <c r="U140" i="1" s="1"/>
  <c r="T142" i="1"/>
  <c r="V142" i="1" s="1"/>
  <c r="U142" i="1" s="1"/>
  <c r="T144" i="1"/>
  <c r="V144" i="1" s="1"/>
  <c r="U144" i="1" s="1"/>
  <c r="T156" i="1"/>
  <c r="V156" i="1" s="1"/>
  <c r="U156" i="1" s="1"/>
  <c r="T157" i="1"/>
  <c r="V157" i="1" s="1"/>
  <c r="U157" i="1" s="1"/>
  <c r="T159" i="1"/>
  <c r="V159" i="1" s="1"/>
  <c r="U159" i="1" s="1"/>
  <c r="T162" i="1"/>
  <c r="V162" i="1" s="1"/>
  <c r="U162" i="1" s="1"/>
  <c r="T163" i="1"/>
  <c r="V163" i="1" s="1"/>
  <c r="U163" i="1" s="1"/>
  <c r="T165" i="1"/>
  <c r="V165" i="1" s="1"/>
  <c r="U165" i="1" s="1"/>
  <c r="T166" i="1"/>
  <c r="V166" i="1" s="1"/>
  <c r="U166" i="1" s="1"/>
  <c r="T167" i="1"/>
  <c r="V167" i="1" s="1"/>
  <c r="U167" i="1" s="1"/>
  <c r="T168" i="1"/>
  <c r="V168" i="1" s="1"/>
  <c r="U168" i="1" s="1"/>
  <c r="T169" i="1"/>
  <c r="V169" i="1" s="1"/>
  <c r="U169" i="1" s="1"/>
  <c r="T170" i="1"/>
  <c r="V170" i="1" s="1"/>
  <c r="U170" i="1" s="1"/>
  <c r="T171" i="1"/>
  <c r="V171" i="1" s="1"/>
  <c r="U171" i="1" s="1"/>
  <c r="T172" i="1"/>
  <c r="V172" i="1" s="1"/>
  <c r="U172" i="1" s="1"/>
  <c r="T173" i="1"/>
  <c r="V173" i="1" s="1"/>
  <c r="U173" i="1" s="1"/>
  <c r="T201" i="1"/>
  <c r="V201" i="1" s="1"/>
  <c r="U201" i="1" s="1"/>
  <c r="T203" i="1"/>
  <c r="V203" i="1" s="1"/>
  <c r="U203" i="1" s="1"/>
  <c r="T204" i="1"/>
  <c r="V204" i="1" s="1"/>
  <c r="U204" i="1" s="1"/>
  <c r="T205" i="1"/>
  <c r="V205" i="1" s="1"/>
  <c r="U205" i="1" s="1"/>
  <c r="T206" i="1"/>
  <c r="V206" i="1" s="1"/>
  <c r="U206" i="1" s="1"/>
  <c r="T218" i="1"/>
  <c r="V218" i="1" s="1"/>
  <c r="U218" i="1" s="1"/>
  <c r="T219" i="1"/>
  <c r="V219" i="1" s="1"/>
  <c r="U219" i="1" s="1"/>
  <c r="T220" i="1"/>
  <c r="V220" i="1" s="1"/>
  <c r="U220" i="1" s="1"/>
  <c r="T222" i="1"/>
  <c r="V222" i="1" s="1"/>
  <c r="U222" i="1" s="1"/>
  <c r="T223" i="1"/>
  <c r="V223" i="1" s="1"/>
  <c r="U223" i="1" s="1"/>
  <c r="T224" i="1"/>
  <c r="V224" i="1" s="1"/>
  <c r="U224" i="1" s="1"/>
  <c r="T225" i="1"/>
  <c r="V225" i="1" s="1"/>
  <c r="U225" i="1" s="1"/>
  <c r="T231" i="1"/>
  <c r="V231" i="1" s="1"/>
  <c r="U231" i="1" s="1"/>
  <c r="T232" i="1"/>
  <c r="V232" i="1" s="1"/>
  <c r="U232" i="1" s="1"/>
  <c r="T263" i="1"/>
  <c r="V263" i="1" s="1"/>
  <c r="U263" i="1" s="1"/>
  <c r="T264" i="1"/>
  <c r="V264" i="1" s="1"/>
  <c r="U264" i="1" s="1"/>
  <c r="T266" i="1"/>
  <c r="V266" i="1" s="1"/>
  <c r="U266" i="1" s="1"/>
  <c r="T267" i="1"/>
  <c r="V267" i="1" s="1"/>
  <c r="U267" i="1" s="1"/>
  <c r="T268" i="1"/>
  <c r="V268" i="1" s="1"/>
  <c r="U268" i="1" s="1"/>
  <c r="T269" i="1"/>
  <c r="V269" i="1" s="1"/>
  <c r="U269" i="1" s="1"/>
  <c r="T270" i="1"/>
  <c r="V270" i="1" s="1"/>
  <c r="U270" i="1" s="1"/>
  <c r="T271" i="1"/>
  <c r="V271" i="1" s="1"/>
  <c r="U271" i="1" s="1"/>
  <c r="T272" i="1"/>
  <c r="V272" i="1" s="1"/>
  <c r="U272" i="1" s="1"/>
  <c r="T273" i="1"/>
  <c r="V273" i="1" s="1"/>
  <c r="U273" i="1" s="1"/>
  <c r="T274" i="1"/>
  <c r="V274" i="1" s="1"/>
  <c r="U274" i="1" s="1"/>
  <c r="T292" i="1"/>
  <c r="V292" i="1" s="1"/>
  <c r="U292" i="1" s="1"/>
  <c r="T293" i="1"/>
  <c r="V293" i="1" s="1"/>
  <c r="U293" i="1" s="1"/>
  <c r="T294" i="1"/>
  <c r="V294" i="1" s="1"/>
  <c r="U294" i="1" s="1"/>
  <c r="T295" i="1"/>
  <c r="V295" i="1" s="1"/>
  <c r="U295" i="1" s="1"/>
  <c r="T297" i="1"/>
  <c r="V297" i="1" s="1"/>
  <c r="U297" i="1" s="1"/>
  <c r="T299" i="1"/>
  <c r="V299" i="1" s="1"/>
  <c r="U299" i="1" s="1"/>
  <c r="T323" i="1"/>
  <c r="V323" i="1" s="1"/>
  <c r="U323" i="1" s="1"/>
  <c r="T409" i="1"/>
  <c r="V409" i="1" s="1"/>
  <c r="U409" i="1" s="1"/>
  <c r="T410" i="1"/>
  <c r="V410" i="1" s="1"/>
  <c r="U410" i="1" s="1"/>
  <c r="T411" i="1"/>
  <c r="V411" i="1" s="1"/>
  <c r="U411" i="1" s="1"/>
  <c r="T412" i="1"/>
  <c r="V412" i="1" s="1"/>
  <c r="U412" i="1" s="1"/>
  <c r="T413" i="1"/>
  <c r="V413" i="1" s="1"/>
  <c r="U413" i="1" s="1"/>
  <c r="T414" i="1"/>
  <c r="V414" i="1" s="1"/>
  <c r="U414" i="1" s="1"/>
  <c r="T415" i="1"/>
  <c r="V415" i="1" s="1"/>
  <c r="U415" i="1" s="1"/>
  <c r="T416" i="1"/>
  <c r="V416" i="1" s="1"/>
  <c r="U416" i="1" s="1"/>
  <c r="T417" i="1"/>
  <c r="V417" i="1" s="1"/>
  <c r="U417" i="1" s="1"/>
  <c r="T418" i="1"/>
  <c r="V418" i="1" s="1"/>
  <c r="U418" i="1" s="1"/>
  <c r="T419" i="1"/>
  <c r="V419" i="1" s="1"/>
  <c r="U419" i="1" s="1"/>
  <c r="T439" i="1"/>
  <c r="V439" i="1" s="1"/>
  <c r="U439" i="1" s="1"/>
  <c r="T441" i="1"/>
  <c r="V441" i="1" s="1"/>
  <c r="U441" i="1" s="1"/>
  <c r="T442" i="1"/>
  <c r="V442" i="1" s="1"/>
  <c r="U442" i="1" s="1"/>
  <c r="T443" i="1"/>
  <c r="V443" i="1" s="1"/>
  <c r="U443" i="1" s="1"/>
  <c r="T444" i="1"/>
  <c r="V444" i="1" s="1"/>
  <c r="U444" i="1" s="1"/>
  <c r="T445" i="1"/>
  <c r="V445" i="1" s="1"/>
  <c r="U445" i="1" s="1"/>
  <c r="T446" i="1"/>
  <c r="V446" i="1" s="1"/>
  <c r="U446" i="1" s="1"/>
  <c r="T447" i="1"/>
  <c r="V447" i="1" s="1"/>
  <c r="U447" i="1" s="1"/>
  <c r="T448" i="1"/>
  <c r="V448" i="1" s="1"/>
  <c r="U448" i="1" s="1"/>
  <c r="T449" i="1"/>
  <c r="V449" i="1" s="1"/>
  <c r="U449" i="1" s="1"/>
  <c r="T450" i="1"/>
  <c r="V450" i="1" s="1"/>
  <c r="U450" i="1" s="1"/>
  <c r="T502" i="1"/>
  <c r="V502" i="1" s="1"/>
  <c r="U502" i="1" s="1"/>
  <c r="T504" i="1"/>
  <c r="V504" i="1" s="1"/>
  <c r="U504" i="1" s="1"/>
  <c r="T505" i="1"/>
  <c r="V505" i="1" s="1"/>
  <c r="U505" i="1" s="1"/>
  <c r="T506" i="1"/>
  <c r="V506" i="1" s="1"/>
  <c r="U506" i="1" s="1"/>
  <c r="T507" i="1"/>
  <c r="V507" i="1" s="1"/>
  <c r="U507" i="1" s="1"/>
  <c r="T508" i="1"/>
  <c r="V508" i="1" s="1"/>
  <c r="U508" i="1" s="1"/>
  <c r="T510" i="1"/>
  <c r="V510" i="1" s="1"/>
  <c r="U510" i="1" s="1"/>
  <c r="T511" i="1"/>
  <c r="V511" i="1" s="1"/>
  <c r="U511" i="1" s="1"/>
  <c r="T512" i="1"/>
  <c r="V512" i="1" s="1"/>
  <c r="U512" i="1" s="1"/>
  <c r="T513" i="1"/>
  <c r="V513" i="1" s="1"/>
  <c r="U513" i="1" s="1"/>
  <c r="T514" i="1"/>
  <c r="V514" i="1" s="1"/>
  <c r="U514" i="1" s="1"/>
  <c r="T516" i="1"/>
  <c r="V516" i="1" s="1"/>
  <c r="U516" i="1" s="1"/>
  <c r="T517" i="1"/>
  <c r="V517" i="1" s="1"/>
  <c r="U517" i="1" s="1"/>
  <c r="T518" i="1"/>
  <c r="V518" i="1" s="1"/>
  <c r="U518" i="1" s="1"/>
  <c r="T519" i="1"/>
  <c r="V519" i="1" s="1"/>
  <c r="U519" i="1" s="1"/>
  <c r="T520" i="1"/>
  <c r="V520" i="1" s="1"/>
  <c r="U520" i="1" s="1"/>
  <c r="T522" i="1"/>
  <c r="V522" i="1" s="1"/>
  <c r="U522" i="1" s="1"/>
  <c r="T523" i="1"/>
  <c r="V523" i="1" s="1"/>
  <c r="U523" i="1" s="1"/>
  <c r="T524" i="1"/>
  <c r="V524" i="1" s="1"/>
  <c r="U524" i="1" s="1"/>
  <c r="T525" i="1"/>
  <c r="V525" i="1" s="1"/>
  <c r="U525" i="1" s="1"/>
  <c r="T526" i="1"/>
  <c r="V526" i="1" s="1"/>
  <c r="U526" i="1" s="1"/>
  <c r="T528" i="1"/>
  <c r="V528" i="1" s="1"/>
  <c r="U528" i="1" s="1"/>
  <c r="T529" i="1"/>
  <c r="V529" i="1" s="1"/>
  <c r="U529" i="1" s="1"/>
  <c r="T530" i="1"/>
  <c r="V530" i="1" s="1"/>
  <c r="U530" i="1" s="1"/>
  <c r="T531" i="1"/>
  <c r="V531" i="1" s="1"/>
  <c r="U531" i="1" s="1"/>
  <c r="T557" i="1"/>
  <c r="V557" i="1" s="1"/>
  <c r="U557" i="1" s="1"/>
  <c r="T559" i="1"/>
  <c r="V559" i="1" s="1"/>
  <c r="U559" i="1" s="1"/>
  <c r="T560" i="1"/>
  <c r="V560" i="1" s="1"/>
  <c r="U560" i="1" s="1"/>
  <c r="T561" i="1"/>
  <c r="V561" i="1" s="1"/>
  <c r="U561" i="1" s="1"/>
  <c r="T562" i="1"/>
  <c r="V562" i="1" s="1"/>
  <c r="U562" i="1" s="1"/>
  <c r="T564" i="1"/>
  <c r="V564" i="1" s="1"/>
  <c r="U564" i="1" s="1"/>
  <c r="T565" i="1"/>
  <c r="V565" i="1" s="1"/>
  <c r="U565" i="1" s="1"/>
  <c r="T566" i="1"/>
  <c r="V566" i="1" s="1"/>
  <c r="U566" i="1" s="1"/>
  <c r="T567" i="1"/>
  <c r="V567" i="1" s="1"/>
  <c r="U567" i="1" s="1"/>
  <c r="T568" i="1"/>
  <c r="V568" i="1" s="1"/>
  <c r="U568" i="1" s="1"/>
  <c r="T569" i="1"/>
  <c r="V569" i="1" s="1"/>
  <c r="U569" i="1" s="1"/>
  <c r="T570" i="1"/>
  <c r="V570" i="1" s="1"/>
  <c r="U570" i="1" s="1"/>
  <c r="T571" i="1"/>
  <c r="V571" i="1" s="1"/>
  <c r="U571" i="1" s="1"/>
  <c r="T572" i="1"/>
  <c r="V572" i="1" s="1"/>
  <c r="U572" i="1" s="1"/>
  <c r="T575" i="1"/>
  <c r="V575" i="1" s="1"/>
  <c r="U575" i="1" s="1"/>
  <c r="T577" i="1"/>
  <c r="V577" i="1" s="1"/>
  <c r="U577" i="1" s="1"/>
  <c r="T579" i="1"/>
  <c r="V579" i="1" s="1"/>
  <c r="U579" i="1" s="1"/>
  <c r="T583" i="1"/>
  <c r="V583" i="1" s="1"/>
  <c r="U583" i="1" s="1"/>
  <c r="T585" i="1"/>
  <c r="V585" i="1" s="1"/>
  <c r="U585" i="1" s="1"/>
  <c r="T591" i="1"/>
  <c r="V591" i="1" s="1"/>
  <c r="U591" i="1" s="1"/>
  <c r="T593" i="1"/>
  <c r="V593" i="1" s="1"/>
  <c r="U593" i="1" s="1"/>
  <c r="T597" i="1"/>
  <c r="V597" i="1" s="1"/>
  <c r="U597" i="1" s="1"/>
  <c r="T599" i="1"/>
  <c r="V599" i="1" s="1"/>
  <c r="U599" i="1" s="1"/>
  <c r="T601" i="1"/>
  <c r="V601" i="1" s="1"/>
  <c r="U601" i="1" s="1"/>
  <c r="T603" i="1"/>
  <c r="V603" i="1" s="1"/>
  <c r="U603" i="1" s="1"/>
  <c r="T605" i="1"/>
  <c r="V605" i="1" s="1"/>
  <c r="U605" i="1" s="1"/>
  <c r="T607" i="1"/>
  <c r="V607" i="1" s="1"/>
  <c r="U607" i="1" s="1"/>
  <c r="T609" i="1"/>
  <c r="V609" i="1" s="1"/>
  <c r="U609" i="1" s="1"/>
  <c r="T690" i="1"/>
  <c r="T692" i="1"/>
  <c r="T694" i="1"/>
  <c r="T696" i="1"/>
  <c r="T698" i="1"/>
  <c r="T700" i="1"/>
  <c r="T702" i="1"/>
  <c r="T704" i="1"/>
  <c r="T717" i="1"/>
  <c r="V717" i="1" s="1"/>
  <c r="U717" i="1" s="1"/>
  <c r="T718" i="1"/>
  <c r="V718" i="1" s="1"/>
  <c r="U718" i="1" s="1"/>
  <c r="T719" i="1"/>
  <c r="V719" i="1" s="1"/>
  <c r="U719" i="1" s="1"/>
  <c r="T720" i="1"/>
  <c r="V720" i="1" s="1"/>
  <c r="U720" i="1" s="1"/>
  <c r="T721" i="1"/>
  <c r="V721" i="1" s="1"/>
  <c r="U721" i="1" s="1"/>
  <c r="T722" i="1"/>
  <c r="V722" i="1" s="1"/>
  <c r="U722" i="1" s="1"/>
  <c r="T723" i="1"/>
  <c r="V723" i="1" s="1"/>
  <c r="U723" i="1" s="1"/>
  <c r="T724" i="1"/>
  <c r="V724" i="1" s="1"/>
  <c r="U724" i="1" s="1"/>
  <c r="T725" i="1"/>
  <c r="V725" i="1" s="1"/>
  <c r="U725" i="1" s="1"/>
  <c r="T726" i="1"/>
  <c r="V726" i="1" s="1"/>
  <c r="U726" i="1" s="1"/>
  <c r="T727" i="1"/>
  <c r="V727" i="1" s="1"/>
  <c r="U727" i="1" s="1"/>
  <c r="T728" i="1"/>
  <c r="V728" i="1" s="1"/>
  <c r="U728" i="1" s="1"/>
  <c r="T729" i="1"/>
  <c r="V729" i="1" s="1"/>
  <c r="U729" i="1" s="1"/>
  <c r="T730" i="1"/>
  <c r="V730" i="1" s="1"/>
  <c r="U730" i="1" s="1"/>
  <c r="T731" i="1"/>
  <c r="V731" i="1" s="1"/>
  <c r="U731" i="1" s="1"/>
  <c r="T732" i="1"/>
  <c r="V732" i="1" s="1"/>
  <c r="U732" i="1" s="1"/>
  <c r="T733" i="1"/>
  <c r="V733" i="1" s="1"/>
  <c r="U733" i="1" s="1"/>
  <c r="T734" i="1"/>
  <c r="V734" i="1" s="1"/>
  <c r="U734" i="1" s="1"/>
  <c r="T735" i="1"/>
  <c r="V735" i="1" s="1"/>
  <c r="U735" i="1" s="1"/>
  <c r="T737" i="1"/>
  <c r="V737" i="1" s="1"/>
  <c r="U737" i="1" s="1"/>
  <c r="T738" i="1"/>
  <c r="V738" i="1" s="1"/>
  <c r="U738" i="1" s="1"/>
  <c r="T739" i="1"/>
  <c r="V739" i="1" s="1"/>
  <c r="U739" i="1" s="1"/>
  <c r="T740" i="1"/>
  <c r="V740" i="1" s="1"/>
  <c r="U740" i="1" s="1"/>
  <c r="T741" i="1"/>
  <c r="V741" i="1" s="1"/>
  <c r="U741" i="1" s="1"/>
  <c r="T742" i="1"/>
  <c r="V742" i="1" s="1"/>
  <c r="U742" i="1" s="1"/>
  <c r="T743" i="1"/>
  <c r="V743" i="1" s="1"/>
  <c r="U743" i="1" s="1"/>
  <c r="T744" i="1"/>
  <c r="V744" i="1" s="1"/>
  <c r="U744" i="1" s="1"/>
  <c r="T745" i="1"/>
  <c r="V745" i="1" s="1"/>
  <c r="U745" i="1" s="1"/>
  <c r="T746" i="1"/>
  <c r="V746" i="1" s="1"/>
  <c r="U746" i="1" s="1"/>
  <c r="T747" i="1"/>
  <c r="V747" i="1" s="1"/>
  <c r="U747" i="1" s="1"/>
  <c r="T748" i="1"/>
  <c r="V748" i="1" s="1"/>
  <c r="U748" i="1" s="1"/>
  <c r="T749" i="1"/>
  <c r="V749" i="1" s="1"/>
  <c r="U749" i="1" s="1"/>
  <c r="T750" i="1"/>
  <c r="V750" i="1" s="1"/>
  <c r="U750" i="1" s="1"/>
  <c r="T751" i="1"/>
  <c r="V751" i="1" s="1"/>
  <c r="U751" i="1" s="1"/>
  <c r="T752" i="1"/>
  <c r="V752" i="1" s="1"/>
  <c r="U752" i="1" s="1"/>
  <c r="T753" i="1"/>
  <c r="V753" i="1" s="1"/>
  <c r="U753" i="1" s="1"/>
  <c r="T754" i="1"/>
  <c r="V754" i="1" s="1"/>
  <c r="U754" i="1" s="1"/>
  <c r="T755" i="1"/>
  <c r="V755" i="1" s="1"/>
  <c r="U755" i="1" s="1"/>
  <c r="T931" i="1"/>
  <c r="T933" i="1"/>
  <c r="T934" i="1"/>
  <c r="T935" i="1"/>
  <c r="T1011" i="1"/>
  <c r="V1011" i="1" s="1"/>
  <c r="U1011" i="1" s="1"/>
  <c r="T1013" i="1"/>
  <c r="V1013" i="1" s="1"/>
  <c r="U1013" i="1" s="1"/>
  <c r="T1014" i="1"/>
  <c r="V1014" i="1" s="1"/>
  <c r="U1014" i="1" s="1"/>
  <c r="T1015" i="1"/>
  <c r="V1015" i="1" s="1"/>
  <c r="U1015" i="1" s="1"/>
  <c r="T1016" i="1"/>
  <c r="V1016" i="1" s="1"/>
  <c r="U1016" i="1" s="1"/>
  <c r="T1017" i="1"/>
  <c r="V1017" i="1" s="1"/>
  <c r="U1017" i="1" s="1"/>
  <c r="T1018" i="1"/>
  <c r="V1018" i="1" s="1"/>
  <c r="U1018" i="1" s="1"/>
  <c r="T1019" i="1"/>
  <c r="V1019" i="1" s="1"/>
  <c r="U1019" i="1" s="1"/>
  <c r="T1021" i="1"/>
  <c r="V1021" i="1" s="1"/>
  <c r="U1021" i="1" s="1"/>
  <c r="T1022" i="1"/>
  <c r="V1022" i="1" s="1"/>
  <c r="U1022" i="1" s="1"/>
  <c r="T1023" i="1"/>
  <c r="V1023" i="1" s="1"/>
  <c r="U1023" i="1" s="1"/>
  <c r="T1024" i="1"/>
  <c r="V1024" i="1" s="1"/>
  <c r="U1024" i="1" s="1"/>
  <c r="T1025" i="1"/>
  <c r="V1025" i="1" s="1"/>
  <c r="U1025" i="1" s="1"/>
  <c r="T1026" i="1"/>
  <c r="V1026" i="1" s="1"/>
  <c r="U1026" i="1" s="1"/>
  <c r="T1027" i="1"/>
  <c r="V1027" i="1" s="1"/>
  <c r="U1027" i="1" s="1"/>
  <c r="T1029" i="1"/>
  <c r="V1029" i="1" s="1"/>
  <c r="U1029" i="1" s="1"/>
  <c r="T1030" i="1"/>
  <c r="V1030" i="1" s="1"/>
  <c r="U1030" i="1" s="1"/>
  <c r="T1031" i="1"/>
  <c r="V1031" i="1" s="1"/>
  <c r="U1031" i="1" s="1"/>
  <c r="T1032" i="1"/>
  <c r="V1032" i="1" s="1"/>
  <c r="U1032" i="1" s="1"/>
  <c r="T1033" i="1"/>
  <c r="V1033" i="1" s="1"/>
  <c r="U1033" i="1" s="1"/>
  <c r="T1034" i="1"/>
  <c r="V1034" i="1" s="1"/>
  <c r="U1034" i="1" s="1"/>
  <c r="T1035" i="1"/>
  <c r="V1035" i="1" s="1"/>
  <c r="U1035" i="1" s="1"/>
  <c r="T17" i="1"/>
  <c r="V17" i="1" s="1"/>
  <c r="U17" i="1" s="1"/>
  <c r="O1087" i="1" l="1"/>
  <c r="AA1087" i="1" s="1"/>
  <c r="O1088" i="1"/>
  <c r="AA1088" i="1" s="1"/>
  <c r="O1089" i="1"/>
  <c r="AA1089" i="1" s="1"/>
  <c r="O1090" i="1"/>
  <c r="AA1090" i="1" s="1"/>
  <c r="O1091" i="1"/>
  <c r="AA1091" i="1" s="1"/>
  <c r="O1092" i="1"/>
  <c r="AA1092" i="1" s="1"/>
  <c r="O1093" i="1"/>
  <c r="O1094" i="1"/>
  <c r="AA1094" i="1" s="1"/>
  <c r="O1095" i="1"/>
  <c r="AA1095" i="1" s="1"/>
  <c r="O1096" i="1"/>
  <c r="O1097" i="1"/>
  <c r="AA1097" i="1" s="1"/>
  <c r="O1098" i="1"/>
  <c r="O1099" i="1"/>
  <c r="AA1099" i="1" s="1"/>
  <c r="O1086" i="1"/>
  <c r="AA1086" i="1" s="1"/>
  <c r="AA768" i="1"/>
  <c r="AA769" i="1"/>
  <c r="AA770" i="1"/>
  <c r="AA771" i="1"/>
  <c r="AA772" i="1"/>
  <c r="AA773" i="1"/>
  <c r="AA774" i="1"/>
  <c r="AA775" i="1"/>
  <c r="AA776" i="1"/>
  <c r="AA777" i="1"/>
  <c r="AA778" i="1"/>
  <c r="AA779" i="1"/>
  <c r="AA766" i="1"/>
  <c r="AA767" i="1"/>
  <c r="N585" i="1"/>
  <c r="B5" i="1"/>
  <c r="B3" i="1"/>
  <c r="B4" i="1" s="1"/>
  <c r="AA1098" i="1" l="1"/>
  <c r="AA1096" i="1"/>
  <c r="AA1093" i="1"/>
  <c r="AA323" i="1" l="1"/>
  <c r="AA320" i="1"/>
  <c r="AA321" i="1"/>
  <c r="AA322" i="1"/>
  <c r="L230"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L105" i="1" l="1"/>
  <c r="L135" i="1"/>
  <c r="L143" i="1"/>
  <c r="L127" i="1"/>
  <c r="L119" i="1"/>
  <c r="L111" i="1"/>
  <c r="L103" i="1"/>
  <c r="L139" i="1"/>
  <c r="L131" i="1"/>
  <c r="L123" i="1"/>
  <c r="L115" i="1"/>
  <c r="L107" i="1"/>
  <c r="L99" i="1"/>
  <c r="L95" i="1"/>
  <c r="L322" i="1"/>
  <c r="L141" i="1"/>
  <c r="L133" i="1"/>
  <c r="L125" i="1"/>
  <c r="L117" i="1"/>
  <c r="L109" i="1"/>
  <c r="L101" i="1"/>
  <c r="L137" i="1"/>
  <c r="L121" i="1"/>
  <c r="L93" i="1"/>
  <c r="L129" i="1"/>
  <c r="L113" i="1"/>
  <c r="L97" i="1"/>
  <c r="AB931" i="1"/>
  <c r="AB930" i="1"/>
  <c r="Z931" i="1"/>
  <c r="Z930" i="1"/>
  <c r="N1012" i="1" l="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968" i="1"/>
  <c r="N969" i="1"/>
  <c r="N970" i="1"/>
  <c r="N971" i="1"/>
  <c r="N972" i="1"/>
  <c r="N973" i="1"/>
  <c r="N974" i="1"/>
  <c r="N975" i="1"/>
  <c r="N976" i="1"/>
  <c r="N977" i="1"/>
  <c r="N978" i="1"/>
  <c r="N979" i="1"/>
  <c r="N980" i="1"/>
  <c r="N981" i="1"/>
  <c r="N967" i="1"/>
  <c r="L1028" i="1" l="1"/>
  <c r="L1020" i="1"/>
  <c r="L1012" i="1"/>
  <c r="L967" i="1" l="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O323" i="1"/>
  <c r="G323" i="1"/>
  <c r="AA931" i="1"/>
  <c r="AA930" i="1"/>
  <c r="O931" i="1"/>
  <c r="N933" i="1"/>
  <c r="AA933" i="1" s="1"/>
  <c r="N934" i="1"/>
  <c r="AA934" i="1" s="1"/>
  <c r="N935" i="1"/>
  <c r="AA935" i="1" s="1"/>
  <c r="G933" i="1"/>
  <c r="G934" i="1"/>
  <c r="G935" i="1"/>
  <c r="AA576" i="1"/>
  <c r="AA578" i="1"/>
  <c r="AA580" i="1"/>
  <c r="AA581" i="1"/>
  <c r="AA582" i="1"/>
  <c r="AA584" i="1"/>
  <c r="AA586" i="1"/>
  <c r="AA587" i="1"/>
  <c r="AA588" i="1"/>
  <c r="AA589" i="1"/>
  <c r="AA590" i="1"/>
  <c r="AA592" i="1"/>
  <c r="AA594" i="1"/>
  <c r="AA595" i="1"/>
  <c r="AA596" i="1"/>
  <c r="AA598" i="1"/>
  <c r="AA600" i="1"/>
  <c r="AA602" i="1"/>
  <c r="AA603" i="1"/>
  <c r="AA604" i="1"/>
  <c r="AA606" i="1"/>
  <c r="AA608" i="1"/>
  <c r="N575" i="1"/>
  <c r="N577" i="1"/>
  <c r="AA577" i="1" s="1"/>
  <c r="N579" i="1"/>
  <c r="O579" i="1" s="1"/>
  <c r="N583" i="1"/>
  <c r="N609" i="1"/>
  <c r="N607" i="1"/>
  <c r="N605" i="1"/>
  <c r="N601" i="1"/>
  <c r="O601" i="1" s="1"/>
  <c r="N599" i="1"/>
  <c r="N597" i="1"/>
  <c r="AA597" i="1" s="1"/>
  <c r="N593" i="1"/>
  <c r="O593" i="1" s="1"/>
  <c r="N591" i="1"/>
  <c r="O603" i="1"/>
  <c r="O576" i="1"/>
  <c r="O578" i="1"/>
  <c r="O580" i="1"/>
  <c r="O581" i="1"/>
  <c r="O582" i="1"/>
  <c r="O584" i="1"/>
  <c r="O586" i="1"/>
  <c r="O587" i="1"/>
  <c r="O588" i="1"/>
  <c r="O589" i="1"/>
  <c r="O590" i="1"/>
  <c r="O592" i="1"/>
  <c r="O594" i="1"/>
  <c r="O595" i="1"/>
  <c r="O596" i="1"/>
  <c r="O598" i="1"/>
  <c r="O600" i="1"/>
  <c r="O602" i="1"/>
  <c r="O604" i="1"/>
  <c r="O606" i="1"/>
  <c r="O608" i="1"/>
  <c r="AA690" i="1"/>
  <c r="O690" i="1"/>
  <c r="AA755" i="1"/>
  <c r="O755" i="1"/>
  <c r="AA754" i="1"/>
  <c r="O754" i="1"/>
  <c r="AA753" i="1"/>
  <c r="O753" i="1"/>
  <c r="AA752" i="1"/>
  <c r="O752" i="1"/>
  <c r="AA751" i="1"/>
  <c r="O751" i="1"/>
  <c r="AA750" i="1"/>
  <c r="O750" i="1"/>
  <c r="AA749" i="1"/>
  <c r="O749" i="1"/>
  <c r="AA748" i="1"/>
  <c r="O748" i="1"/>
  <c r="AA747" i="1"/>
  <c r="O747" i="1"/>
  <c r="AA746" i="1"/>
  <c r="O746" i="1"/>
  <c r="AA745" i="1"/>
  <c r="O745" i="1"/>
  <c r="AA744" i="1"/>
  <c r="O744" i="1"/>
  <c r="AA743" i="1"/>
  <c r="O743" i="1"/>
  <c r="AA742" i="1"/>
  <c r="O742" i="1"/>
  <c r="AA741" i="1"/>
  <c r="O741" i="1"/>
  <c r="AA740" i="1"/>
  <c r="O740" i="1"/>
  <c r="AA739" i="1"/>
  <c r="O739" i="1"/>
  <c r="AA738" i="1"/>
  <c r="O738" i="1"/>
  <c r="AA737" i="1"/>
  <c r="O737" i="1"/>
  <c r="AA717" i="1"/>
  <c r="AA718" i="1"/>
  <c r="AA719" i="1"/>
  <c r="AA720" i="1"/>
  <c r="AA721" i="1"/>
  <c r="AA722" i="1"/>
  <c r="AA723" i="1"/>
  <c r="AA724" i="1"/>
  <c r="AA725" i="1"/>
  <c r="AA726" i="1"/>
  <c r="AA727" i="1"/>
  <c r="AA728" i="1"/>
  <c r="AA729" i="1"/>
  <c r="AA730" i="1"/>
  <c r="AA731" i="1"/>
  <c r="AA732" i="1"/>
  <c r="AA733" i="1"/>
  <c r="AA734" i="1"/>
  <c r="AA735" i="1"/>
  <c r="O717" i="1"/>
  <c r="O718" i="1"/>
  <c r="O719" i="1"/>
  <c r="O720" i="1"/>
  <c r="O721" i="1"/>
  <c r="O722" i="1"/>
  <c r="O723" i="1"/>
  <c r="O724" i="1"/>
  <c r="O725" i="1"/>
  <c r="O726" i="1"/>
  <c r="O727" i="1"/>
  <c r="O728" i="1"/>
  <c r="O729" i="1"/>
  <c r="O730" i="1"/>
  <c r="O731" i="1"/>
  <c r="O732" i="1"/>
  <c r="O733" i="1"/>
  <c r="O734" i="1"/>
  <c r="O735" i="1"/>
  <c r="AA706" i="1"/>
  <c r="O562" i="1"/>
  <c r="AA562" i="1"/>
  <c r="O561" i="1"/>
  <c r="AA561" i="1"/>
  <c r="O560" i="1"/>
  <c r="AA560" i="1"/>
  <c r="O559" i="1"/>
  <c r="AA559" i="1"/>
  <c r="O558" i="1"/>
  <c r="AA558" i="1"/>
  <c r="N531" i="1"/>
  <c r="N530" i="1"/>
  <c r="O530" i="1" s="1"/>
  <c r="N529" i="1"/>
  <c r="AA529" i="1" s="1"/>
  <c r="N528" i="1"/>
  <c r="O528" i="1" s="1"/>
  <c r="N527" i="1"/>
  <c r="O527" i="1" s="1"/>
  <c r="N525" i="1"/>
  <c r="AA525" i="1" s="1"/>
  <c r="N524" i="1"/>
  <c r="AA524" i="1" s="1"/>
  <c r="N523" i="1"/>
  <c r="AA523" i="1" s="1"/>
  <c r="N522" i="1"/>
  <c r="N521" i="1"/>
  <c r="N519" i="1"/>
  <c r="AA519" i="1" s="1"/>
  <c r="N518" i="1"/>
  <c r="AA518" i="1" s="1"/>
  <c r="N517" i="1"/>
  <c r="AA517" i="1" s="1"/>
  <c r="N516" i="1"/>
  <c r="AA516" i="1" s="1"/>
  <c r="N515" i="1"/>
  <c r="AA515" i="1" s="1"/>
  <c r="N513" i="1"/>
  <c r="AA513" i="1" s="1"/>
  <c r="N512" i="1"/>
  <c r="O512" i="1" s="1"/>
  <c r="N511" i="1"/>
  <c r="AA511" i="1" s="1"/>
  <c r="N510" i="1"/>
  <c r="AA510" i="1" s="1"/>
  <c r="N509" i="1"/>
  <c r="AA509" i="1" s="1"/>
  <c r="N507" i="1"/>
  <c r="O507" i="1" s="1"/>
  <c r="N506" i="1"/>
  <c r="AA506" i="1" s="1"/>
  <c r="N505" i="1"/>
  <c r="AA505" i="1" s="1"/>
  <c r="N504" i="1"/>
  <c r="O504" i="1" s="1"/>
  <c r="N503" i="1"/>
  <c r="O503" i="1" s="1"/>
  <c r="N502" i="1"/>
  <c r="N572" i="1"/>
  <c r="O572" i="1" s="1"/>
  <c r="O92" i="1"/>
  <c r="O94" i="1"/>
  <c r="O96" i="1"/>
  <c r="O98" i="1"/>
  <c r="O100" i="1"/>
  <c r="O102" i="1"/>
  <c r="O104" i="1"/>
  <c r="O106" i="1"/>
  <c r="O108" i="1"/>
  <c r="O110" i="1"/>
  <c r="O112" i="1"/>
  <c r="O114" i="1"/>
  <c r="O116" i="1"/>
  <c r="O118" i="1"/>
  <c r="O120" i="1"/>
  <c r="O122" i="1"/>
  <c r="O124" i="1"/>
  <c r="O126" i="1"/>
  <c r="O128" i="1"/>
  <c r="O130" i="1"/>
  <c r="O132" i="1"/>
  <c r="O134" i="1"/>
  <c r="O136" i="1"/>
  <c r="O138" i="1"/>
  <c r="O140" i="1"/>
  <c r="O142" i="1"/>
  <c r="O144" i="1"/>
  <c r="N571" i="1"/>
  <c r="N570" i="1"/>
  <c r="AA570" i="1" s="1"/>
  <c r="N569" i="1"/>
  <c r="AA569" i="1" s="1"/>
  <c r="N568" i="1"/>
  <c r="N567" i="1"/>
  <c r="AA567" i="1" s="1"/>
  <c r="N566" i="1"/>
  <c r="N565" i="1"/>
  <c r="O565" i="1" s="1"/>
  <c r="N564" i="1"/>
  <c r="O564" i="1" s="1"/>
  <c r="AA439" i="1"/>
  <c r="AA440" i="1"/>
  <c r="AA441" i="1"/>
  <c r="AA442" i="1"/>
  <c r="AA443" i="1"/>
  <c r="AA444" i="1"/>
  <c r="AA445" i="1"/>
  <c r="AA446" i="1"/>
  <c r="AA447" i="1"/>
  <c r="AA448" i="1"/>
  <c r="AA449" i="1"/>
  <c r="AA450" i="1"/>
  <c r="O449" i="1"/>
  <c r="O440" i="1"/>
  <c r="O441" i="1"/>
  <c r="O442" i="1"/>
  <c r="O443" i="1"/>
  <c r="O444" i="1"/>
  <c r="O445" i="1"/>
  <c r="O446" i="1"/>
  <c r="O447" i="1"/>
  <c r="O448" i="1"/>
  <c r="O450" i="1"/>
  <c r="N414" i="1"/>
  <c r="AA414" i="1" s="1"/>
  <c r="N415" i="1"/>
  <c r="AA415" i="1" s="1"/>
  <c r="N416" i="1"/>
  <c r="AA416" i="1" s="1"/>
  <c r="N417" i="1"/>
  <c r="N418" i="1"/>
  <c r="AA418" i="1" s="1"/>
  <c r="N419" i="1"/>
  <c r="I419" i="1"/>
  <c r="I418" i="1"/>
  <c r="I417" i="1"/>
  <c r="I416" i="1"/>
  <c r="I415" i="1"/>
  <c r="I414" i="1"/>
  <c r="N408" i="1"/>
  <c r="N409" i="1"/>
  <c r="AA409" i="1" s="1"/>
  <c r="N410" i="1"/>
  <c r="AA410" i="1" s="1"/>
  <c r="N411" i="1"/>
  <c r="AA411" i="1" s="1"/>
  <c r="N412" i="1"/>
  <c r="N413" i="1"/>
  <c r="AA413" i="1" s="1"/>
  <c r="I409" i="1"/>
  <c r="I410" i="1"/>
  <c r="I411" i="1"/>
  <c r="I412" i="1"/>
  <c r="I413" i="1"/>
  <c r="I408" i="1"/>
  <c r="AA274" i="1"/>
  <c r="AA273" i="1"/>
  <c r="AA272" i="1"/>
  <c r="AA271" i="1"/>
  <c r="AA270" i="1"/>
  <c r="AA269" i="1"/>
  <c r="AA268" i="1"/>
  <c r="O268" i="1"/>
  <c r="O269" i="1"/>
  <c r="O270" i="1"/>
  <c r="O271" i="1"/>
  <c r="O272" i="1"/>
  <c r="O273" i="1"/>
  <c r="O274" i="1"/>
  <c r="AA294" i="1"/>
  <c r="AA295" i="1"/>
  <c r="O294" i="1"/>
  <c r="O295" i="1"/>
  <c r="O293" i="1"/>
  <c r="AA293" i="1"/>
  <c r="O292" i="1"/>
  <c r="AA292" i="1"/>
  <c r="G295" i="1"/>
  <c r="G294" i="1"/>
  <c r="G293" i="1"/>
  <c r="G292" i="1"/>
  <c r="J297" i="1"/>
  <c r="O297" i="1"/>
  <c r="AA297" i="1"/>
  <c r="G297" i="1"/>
  <c r="AA299" i="1"/>
  <c r="O299" i="1"/>
  <c r="G299" i="1"/>
  <c r="N231" i="1"/>
  <c r="N232" i="1"/>
  <c r="AA221" i="1"/>
  <c r="AA222" i="1"/>
  <c r="AA223" i="1"/>
  <c r="AA224" i="1"/>
  <c r="AA225" i="1"/>
  <c r="AA220" i="1"/>
  <c r="AA1061" i="1" l="1"/>
  <c r="AA1059" i="1"/>
  <c r="AA1063" i="1"/>
  <c r="L930" i="1"/>
  <c r="L576" i="1"/>
  <c r="N931" i="1"/>
  <c r="L221" i="1"/>
  <c r="L596" i="1"/>
  <c r="AA521" i="1"/>
  <c r="O597" i="1"/>
  <c r="AA599" i="1"/>
  <c r="O607" i="1"/>
  <c r="AA583" i="1"/>
  <c r="O511" i="1"/>
  <c r="O577" i="1"/>
  <c r="AA607" i="1"/>
  <c r="O605" i="1"/>
  <c r="AA575" i="1"/>
  <c r="AA605" i="1"/>
  <c r="O583" i="1"/>
  <c r="AA609" i="1"/>
  <c r="AA601" i="1"/>
  <c r="AA593" i="1"/>
  <c r="AA585" i="1"/>
  <c r="O609" i="1"/>
  <c r="AA579" i="1"/>
  <c r="AA591" i="1"/>
  <c r="O575" i="1"/>
  <c r="O585" i="1"/>
  <c r="O599" i="1"/>
  <c r="O591" i="1"/>
  <c r="O515" i="1"/>
  <c r="AA503" i="1"/>
  <c r="AA522" i="1"/>
  <c r="O519" i="1"/>
  <c r="O567" i="1"/>
  <c r="AA530" i="1"/>
  <c r="AA571" i="1"/>
  <c r="O566" i="1"/>
  <c r="AA564" i="1"/>
  <c r="AA566" i="1"/>
  <c r="O571" i="1"/>
  <c r="O570" i="1"/>
  <c r="AA572" i="1"/>
  <c r="O521" i="1"/>
  <c r="O505" i="1"/>
  <c r="AA507" i="1"/>
  <c r="AA531" i="1"/>
  <c r="AA568" i="1"/>
  <c r="O506" i="1"/>
  <c r="O529" i="1"/>
  <c r="O516" i="1"/>
  <c r="O569" i="1"/>
  <c r="AA527" i="1"/>
  <c r="O568" i="1"/>
  <c r="O525" i="1"/>
  <c r="O518" i="1"/>
  <c r="O523" i="1"/>
  <c r="AA504" i="1"/>
  <c r="AA528" i="1"/>
  <c r="O531" i="1"/>
  <c r="O524" i="1"/>
  <c r="O522" i="1"/>
  <c r="O517" i="1"/>
  <c r="AA512" i="1"/>
  <c r="O510" i="1"/>
  <c r="O509" i="1"/>
  <c r="O513" i="1"/>
  <c r="AA565" i="1"/>
  <c r="AA412" i="1"/>
  <c r="O439" i="1"/>
  <c r="AA419" i="1"/>
  <c r="AA417" i="1"/>
  <c r="AA408" i="1"/>
  <c r="L608" i="1" l="1"/>
  <c r="L582" i="1"/>
  <c r="L604" i="1"/>
  <c r="L598" i="1"/>
  <c r="L578" i="1"/>
  <c r="L584" i="1"/>
  <c r="L606" i="1"/>
  <c r="L592" i="1"/>
  <c r="L590" i="1"/>
  <c r="L600" i="1"/>
  <c r="L408" i="1"/>
  <c r="N222" i="1"/>
  <c r="N223" i="1"/>
  <c r="N224" i="1"/>
  <c r="N225" i="1"/>
  <c r="N219" i="1"/>
  <c r="N218" i="1"/>
  <c r="AA218" i="1" l="1"/>
  <c r="AA219" i="1"/>
  <c r="N221" i="1"/>
  <c r="AA203" i="1"/>
  <c r="AA204" i="1"/>
  <c r="AA205" i="1"/>
  <c r="AA206" i="1"/>
  <c r="O202" i="1"/>
  <c r="O203" i="1"/>
  <c r="O204" i="1"/>
  <c r="O205" i="1"/>
  <c r="O206" i="1"/>
  <c r="AA202" i="1"/>
  <c r="AA164" i="1"/>
  <c r="AA165" i="1"/>
  <c r="AA166" i="1"/>
  <c r="AA167" i="1"/>
  <c r="AA168" i="1"/>
  <c r="AA169" i="1"/>
  <c r="AA170" i="1"/>
  <c r="AA171" i="1"/>
  <c r="AA172" i="1"/>
  <c r="AA173" i="1"/>
  <c r="O164" i="1"/>
  <c r="O165" i="1"/>
  <c r="O166" i="1"/>
  <c r="O167" i="1"/>
  <c r="O168" i="1"/>
  <c r="O169" i="1"/>
  <c r="O170" i="1"/>
  <c r="O171" i="1"/>
  <c r="O172" i="1"/>
  <c r="O173" i="1"/>
  <c r="AA161" i="1"/>
  <c r="AA162" i="1"/>
  <c r="O161" i="1"/>
  <c r="O162" i="1"/>
  <c r="L202" i="1" l="1"/>
  <c r="L161" i="1"/>
  <c r="L164" i="1"/>
  <c r="X216" i="1" l="1"/>
  <c r="N216" i="1" s="1"/>
  <c r="AA216" i="1" s="1"/>
  <c r="O91" i="1"/>
  <c r="AA91" i="1"/>
  <c r="O93" i="1"/>
  <c r="O95" i="1"/>
  <c r="O97" i="1"/>
  <c r="O99" i="1"/>
  <c r="O101" i="1"/>
  <c r="O103" i="1"/>
  <c r="O105" i="1"/>
  <c r="O107" i="1"/>
  <c r="O109" i="1"/>
  <c r="O111" i="1"/>
  <c r="O113" i="1"/>
  <c r="O115" i="1"/>
  <c r="O117" i="1"/>
  <c r="O119" i="1"/>
  <c r="O121" i="1"/>
  <c r="O123" i="1"/>
  <c r="O125" i="1"/>
  <c r="O127" i="1"/>
  <c r="O129" i="1"/>
  <c r="O131" i="1"/>
  <c r="O133" i="1"/>
  <c r="O135" i="1"/>
  <c r="O137" i="1"/>
  <c r="O139" i="1"/>
  <c r="O141" i="1"/>
  <c r="O143" i="1"/>
  <c r="AA28" i="1"/>
  <c r="AA29" i="1"/>
  <c r="AA30" i="1"/>
  <c r="O28" i="1"/>
  <c r="O29" i="1"/>
  <c r="O30" i="1"/>
  <c r="O27" i="1"/>
  <c r="AA27" i="1"/>
  <c r="AO22" i="1"/>
  <c r="AO24" i="1"/>
  <c r="AO21" i="1"/>
  <c r="AO23" i="1"/>
  <c r="AO25" i="1"/>
  <c r="AO20" i="1"/>
  <c r="AA21" i="1"/>
  <c r="AA23" i="1"/>
  <c r="AA25" i="1"/>
  <c r="O21" i="1"/>
  <c r="O23" i="1"/>
  <c r="O25" i="1"/>
  <c r="AA1062" i="1" l="1"/>
  <c r="AA1060" i="1"/>
  <c r="AA1058" i="1"/>
  <c r="L91" i="1"/>
  <c r="S216" i="1"/>
  <c r="T216" i="1" s="1"/>
  <c r="V216" i="1" s="1"/>
  <c r="U216" i="1" s="1"/>
  <c r="O216" i="1"/>
  <c r="N17" i="1" l="1"/>
  <c r="O17" i="1" s="1"/>
  <c r="AA17" i="1" l="1"/>
  <c r="AO17" i="1"/>
  <c r="N157" i="1"/>
  <c r="N158" i="1"/>
  <c r="N159" i="1"/>
  <c r="AA264" i="1"/>
  <c r="AA265" i="1"/>
  <c r="AA266" i="1"/>
  <c r="AA267" i="1"/>
  <c r="O266" i="1"/>
  <c r="O267" i="1"/>
  <c r="O265" i="1"/>
  <c r="O264" i="1"/>
  <c r="L264" i="1" l="1"/>
  <c r="AE673" i="1"/>
  <c r="AD673" i="1"/>
  <c r="AA673" i="1"/>
  <c r="X673" i="1"/>
  <c r="O673" i="1"/>
  <c r="AE672" i="1"/>
  <c r="AD672" i="1"/>
  <c r="AA672" i="1"/>
  <c r="X672" i="1"/>
  <c r="O672" i="1"/>
  <c r="AE671" i="1"/>
  <c r="AD671" i="1"/>
  <c r="AA671" i="1"/>
  <c r="X671" i="1"/>
  <c r="O671" i="1"/>
  <c r="AE670" i="1"/>
  <c r="AD670" i="1"/>
  <c r="AA670" i="1"/>
  <c r="X670" i="1"/>
  <c r="O670" i="1"/>
  <c r="AE669" i="1"/>
  <c r="AD669" i="1"/>
  <c r="AA669" i="1"/>
  <c r="X669" i="1"/>
  <c r="O669" i="1"/>
  <c r="AE668" i="1"/>
  <c r="AD668" i="1"/>
  <c r="AA668" i="1"/>
  <c r="X668" i="1"/>
  <c r="O668" i="1"/>
  <c r="AE667" i="1"/>
  <c r="AD667" i="1"/>
  <c r="AA667" i="1"/>
  <c r="X667" i="1"/>
  <c r="O667" i="1"/>
  <c r="AE666" i="1"/>
  <c r="AD666" i="1"/>
  <c r="AA666" i="1"/>
  <c r="X666" i="1"/>
  <c r="O666" i="1"/>
  <c r="AE665" i="1"/>
  <c r="AD665" i="1"/>
  <c r="AA665" i="1"/>
  <c r="X665" i="1"/>
  <c r="O665" i="1"/>
  <c r="AE664" i="1"/>
  <c r="AD664" i="1"/>
  <c r="AA664" i="1"/>
  <c r="O664" i="1"/>
  <c r="AE663" i="1"/>
  <c r="AD663" i="1"/>
  <c r="AA663" i="1"/>
  <c r="X663" i="1"/>
  <c r="O663" i="1"/>
  <c r="O923" i="1"/>
  <c r="J923" i="1"/>
  <c r="O922" i="1"/>
  <c r="J922" i="1"/>
  <c r="O921" i="1"/>
  <c r="J921" i="1"/>
  <c r="O920" i="1"/>
  <c r="J920" i="1"/>
  <c r="O919" i="1"/>
  <c r="J919" i="1"/>
  <c r="O918" i="1"/>
  <c r="J918" i="1"/>
  <c r="O917" i="1"/>
  <c r="J917" i="1"/>
  <c r="O916" i="1"/>
  <c r="J916" i="1"/>
  <c r="O915" i="1"/>
  <c r="J915" i="1"/>
  <c r="O914" i="1"/>
  <c r="J914" i="1"/>
  <c r="O913" i="1"/>
  <c r="J913" i="1"/>
  <c r="O912" i="1"/>
  <c r="J912" i="1"/>
  <c r="O911" i="1"/>
  <c r="J911" i="1"/>
  <c r="O910" i="1"/>
  <c r="J910" i="1"/>
  <c r="O909" i="1"/>
  <c r="J909" i="1"/>
  <c r="O908" i="1"/>
  <c r="J908" i="1"/>
  <c r="O907" i="1"/>
  <c r="J907" i="1"/>
  <c r="O906" i="1"/>
  <c r="J906" i="1"/>
  <c r="O905" i="1"/>
  <c r="J905" i="1"/>
  <c r="O904" i="1"/>
  <c r="J904" i="1"/>
  <c r="O903" i="1"/>
  <c r="J903" i="1"/>
  <c r="O902" i="1"/>
  <c r="J902" i="1"/>
  <c r="O901" i="1"/>
  <c r="J901" i="1"/>
  <c r="O900" i="1"/>
  <c r="J900" i="1"/>
  <c r="O899" i="1"/>
  <c r="J899" i="1"/>
  <c r="O898" i="1"/>
  <c r="J898" i="1"/>
  <c r="O897" i="1"/>
  <c r="J897" i="1"/>
  <c r="O896" i="1"/>
  <c r="J896" i="1"/>
  <c r="O895" i="1"/>
  <c r="J895" i="1"/>
  <c r="O894" i="1"/>
  <c r="J894" i="1"/>
  <c r="O893" i="1"/>
  <c r="J893" i="1"/>
  <c r="O892" i="1"/>
  <c r="J892" i="1"/>
  <c r="O891" i="1"/>
  <c r="J891" i="1"/>
  <c r="O890" i="1"/>
  <c r="J890" i="1"/>
  <c r="O889" i="1"/>
  <c r="J889" i="1"/>
  <c r="O888" i="1"/>
  <c r="J888" i="1"/>
  <c r="O887" i="1"/>
  <c r="J887" i="1"/>
  <c r="O886" i="1"/>
  <c r="J886" i="1"/>
  <c r="O885" i="1"/>
  <c r="J885" i="1"/>
  <c r="O884" i="1"/>
  <c r="J884" i="1"/>
  <c r="O883" i="1"/>
  <c r="J883" i="1"/>
  <c r="O882" i="1"/>
  <c r="J882" i="1"/>
  <c r="O881" i="1"/>
  <c r="J881" i="1"/>
  <c r="O880" i="1"/>
  <c r="J880" i="1"/>
  <c r="O879" i="1"/>
  <c r="J879" i="1"/>
  <c r="O878" i="1"/>
  <c r="J878" i="1"/>
  <c r="O877" i="1"/>
  <c r="J877" i="1"/>
  <c r="O876" i="1"/>
  <c r="J876" i="1"/>
  <c r="O875" i="1"/>
  <c r="J875" i="1"/>
  <c r="O874" i="1"/>
  <c r="J874" i="1"/>
  <c r="O873" i="1"/>
  <c r="J873" i="1"/>
  <c r="O872" i="1"/>
  <c r="J872" i="1"/>
  <c r="O871" i="1"/>
  <c r="J871" i="1"/>
  <c r="O870" i="1"/>
  <c r="J870" i="1"/>
  <c r="O869" i="1"/>
  <c r="J869" i="1"/>
  <c r="O868" i="1"/>
  <c r="J868" i="1"/>
  <c r="O867" i="1"/>
  <c r="J867" i="1"/>
  <c r="O866" i="1"/>
  <c r="J866" i="1"/>
  <c r="O865" i="1"/>
  <c r="J865" i="1"/>
  <c r="O864" i="1"/>
  <c r="J864" i="1"/>
  <c r="O863" i="1"/>
  <c r="J863" i="1"/>
  <c r="O862" i="1"/>
  <c r="J862" i="1"/>
  <c r="O861" i="1"/>
  <c r="J861" i="1"/>
  <c r="O860" i="1"/>
  <c r="J860" i="1"/>
  <c r="O859" i="1"/>
  <c r="J859" i="1"/>
  <c r="O858" i="1"/>
  <c r="J858" i="1"/>
  <c r="O857" i="1"/>
  <c r="J857" i="1"/>
  <c r="O856" i="1"/>
  <c r="J856" i="1"/>
  <c r="O855" i="1"/>
  <c r="J855" i="1"/>
  <c r="O854" i="1"/>
  <c r="J854" i="1"/>
  <c r="O853" i="1"/>
  <c r="J853" i="1"/>
  <c r="O852" i="1"/>
  <c r="J852" i="1"/>
  <c r="O851" i="1"/>
  <c r="J851" i="1"/>
  <c r="O850" i="1"/>
  <c r="J850" i="1"/>
  <c r="O849" i="1"/>
  <c r="J849" i="1"/>
  <c r="O848" i="1"/>
  <c r="J848" i="1"/>
  <c r="O847" i="1"/>
  <c r="J847" i="1"/>
  <c r="O846" i="1"/>
  <c r="J846" i="1"/>
  <c r="O845" i="1"/>
  <c r="J845" i="1"/>
  <c r="O844" i="1"/>
  <c r="J844" i="1"/>
  <c r="O843" i="1"/>
  <c r="J843" i="1"/>
  <c r="O842" i="1"/>
  <c r="J842" i="1"/>
  <c r="O841" i="1"/>
  <c r="J841" i="1"/>
  <c r="O840" i="1"/>
  <c r="J840" i="1"/>
  <c r="O839" i="1"/>
  <c r="J839" i="1"/>
  <c r="O838" i="1"/>
  <c r="J838" i="1"/>
  <c r="O837" i="1"/>
  <c r="J837" i="1"/>
  <c r="O836" i="1"/>
  <c r="J836" i="1"/>
  <c r="O835" i="1"/>
  <c r="J835" i="1"/>
  <c r="O834" i="1"/>
  <c r="J834" i="1"/>
  <c r="O833" i="1"/>
  <c r="J833" i="1"/>
  <c r="O832" i="1"/>
  <c r="J832" i="1"/>
  <c r="O831" i="1"/>
  <c r="J831" i="1"/>
  <c r="O830" i="1"/>
  <c r="J830" i="1"/>
  <c r="O829" i="1"/>
  <c r="J829" i="1"/>
  <c r="O828" i="1"/>
  <c r="J828" i="1"/>
  <c r="O827" i="1"/>
  <c r="J827" i="1"/>
  <c r="O826" i="1"/>
  <c r="J826" i="1"/>
  <c r="O825" i="1"/>
  <c r="J825" i="1"/>
  <c r="O824" i="1"/>
  <c r="J824" i="1"/>
  <c r="O823" i="1"/>
  <c r="J823" i="1"/>
  <c r="O822" i="1"/>
  <c r="J822" i="1"/>
  <c r="O821" i="1"/>
  <c r="J821" i="1"/>
  <c r="O820" i="1"/>
  <c r="J820" i="1"/>
  <c r="O819" i="1"/>
  <c r="J819" i="1"/>
  <c r="O818" i="1"/>
  <c r="J818" i="1"/>
  <c r="O817" i="1"/>
  <c r="J817" i="1"/>
  <c r="O816" i="1"/>
  <c r="J816" i="1"/>
  <c r="O815" i="1"/>
  <c r="J815" i="1"/>
  <c r="O814" i="1"/>
  <c r="J814" i="1"/>
  <c r="O813" i="1"/>
  <c r="J813" i="1"/>
  <c r="O812" i="1"/>
  <c r="J812" i="1"/>
  <c r="O811" i="1"/>
  <c r="J811" i="1"/>
  <c r="O810" i="1"/>
  <c r="J810" i="1"/>
  <c r="O809" i="1"/>
  <c r="J809" i="1"/>
  <c r="O808" i="1"/>
  <c r="J808" i="1"/>
  <c r="O807" i="1"/>
  <c r="J807" i="1"/>
  <c r="O806" i="1"/>
  <c r="J806" i="1"/>
  <c r="O805" i="1"/>
  <c r="J805" i="1"/>
  <c r="O804" i="1"/>
  <c r="J804" i="1"/>
  <c r="O803" i="1"/>
  <c r="J803" i="1"/>
  <c r="O802" i="1"/>
  <c r="J802" i="1"/>
  <c r="O801" i="1"/>
  <c r="J801" i="1"/>
  <c r="O800" i="1"/>
  <c r="J800" i="1"/>
  <c r="O799" i="1"/>
  <c r="J799" i="1"/>
  <c r="O798" i="1"/>
  <c r="J798" i="1"/>
  <c r="O797" i="1"/>
  <c r="J797" i="1"/>
  <c r="O796" i="1"/>
  <c r="J796" i="1"/>
  <c r="O795" i="1"/>
  <c r="J795" i="1"/>
  <c r="O794" i="1"/>
  <c r="J794" i="1"/>
  <c r="O793" i="1"/>
  <c r="J793" i="1"/>
  <c r="O792" i="1"/>
  <c r="J792" i="1"/>
  <c r="O791" i="1"/>
  <c r="J791" i="1"/>
  <c r="O790" i="1"/>
  <c r="J790" i="1"/>
  <c r="O789" i="1"/>
  <c r="J789" i="1"/>
  <c r="O788" i="1"/>
  <c r="J788" i="1"/>
  <c r="O787" i="1"/>
  <c r="J787" i="1"/>
  <c r="O786" i="1"/>
  <c r="J786" i="1"/>
  <c r="O785" i="1"/>
  <c r="J785" i="1"/>
  <c r="O784" i="1"/>
  <c r="J784" i="1"/>
  <c r="O783" i="1"/>
  <c r="J783" i="1"/>
  <c r="O782" i="1"/>
  <c r="J782" i="1"/>
  <c r="O781" i="1"/>
  <c r="J781" i="1"/>
  <c r="O780" i="1"/>
  <c r="J780" i="1"/>
  <c r="O711" i="1"/>
  <c r="O706" i="1"/>
  <c r="O779" i="1"/>
  <c r="J779" i="1"/>
  <c r="O778" i="1"/>
  <c r="J778" i="1"/>
  <c r="O777" i="1"/>
  <c r="J777" i="1"/>
  <c r="O776" i="1"/>
  <c r="J776" i="1"/>
  <c r="O775" i="1"/>
  <c r="J775" i="1"/>
  <c r="O774" i="1"/>
  <c r="J774" i="1"/>
  <c r="O773" i="1"/>
  <c r="J773" i="1"/>
  <c r="O772" i="1"/>
  <c r="J772" i="1"/>
  <c r="O771" i="1"/>
  <c r="J771" i="1"/>
  <c r="O770" i="1"/>
  <c r="J770" i="1"/>
  <c r="O769" i="1"/>
  <c r="J769" i="1"/>
  <c r="O768" i="1"/>
  <c r="J768" i="1"/>
  <c r="O767" i="1"/>
  <c r="J767" i="1"/>
  <c r="O766" i="1"/>
  <c r="J766" i="1"/>
  <c r="N665" i="1" l="1"/>
  <c r="N669" i="1"/>
  <c r="N673" i="1"/>
  <c r="N670" i="1"/>
  <c r="N663" i="1"/>
  <c r="N667" i="1"/>
  <c r="N671" i="1"/>
  <c r="N664" i="1"/>
  <c r="N668" i="1"/>
  <c r="N672" i="1"/>
  <c r="N666" i="1"/>
  <c r="AA159" i="1"/>
  <c r="AA158" i="1"/>
  <c r="AA157" i="1"/>
  <c r="I157" i="1"/>
  <c r="I158" i="1"/>
  <c r="I159" i="1"/>
  <c r="I156" i="1"/>
  <c r="N16" i="1" l="1"/>
  <c r="AO16" i="1"/>
  <c r="AP7" i="1"/>
  <c r="AP8" i="1"/>
  <c r="AP9" i="1"/>
  <c r="AP10" i="1"/>
  <c r="AP11" i="1"/>
  <c r="AP6" i="1"/>
  <c r="AO12" i="1"/>
  <c r="AO13" i="1"/>
  <c r="AO14" i="1"/>
  <c r="AW5" i="1"/>
  <c r="N5" i="1"/>
  <c r="J929" i="1" l="1"/>
  <c r="J928" i="1"/>
  <c r="J927" i="1"/>
  <c r="J926" i="1"/>
  <c r="J925" i="1"/>
  <c r="J924" i="1"/>
  <c r="N929" i="1"/>
  <c r="N928" i="1"/>
  <c r="O322" i="1"/>
  <c r="N927" i="1"/>
  <c r="N926" i="1"/>
  <c r="N925" i="1"/>
  <c r="N924" i="1"/>
  <c r="AA19" i="1"/>
  <c r="O19" i="1"/>
  <c r="O930" i="1"/>
  <c r="J930" i="1"/>
  <c r="N932" i="1"/>
  <c r="J932" i="1"/>
  <c r="G932" i="1"/>
  <c r="N930" i="1" l="1"/>
  <c r="AA932" i="1"/>
  <c r="AA924" i="1"/>
  <c r="AA927" i="1"/>
  <c r="AA929" i="1"/>
  <c r="AA925" i="1"/>
  <c r="AA928" i="1"/>
  <c r="AA926" i="1"/>
  <c r="AD289" i="1"/>
  <c r="X289" i="1"/>
  <c r="L932" i="1" l="1"/>
  <c r="G305" i="1"/>
  <c r="G304" i="1"/>
  <c r="G303" i="1"/>
  <c r="G302" i="1"/>
  <c r="G301" i="1"/>
  <c r="G300" i="1"/>
  <c r="G298" i="1"/>
  <c r="G296" i="1"/>
  <c r="G291" i="1"/>
  <c r="J305" i="1"/>
  <c r="J304" i="1"/>
  <c r="J303" i="1"/>
  <c r="J298" i="1"/>
  <c r="J296" i="1"/>
  <c r="J302" i="1"/>
  <c r="J301" i="1"/>
  <c r="J300" i="1"/>
  <c r="J291" i="1"/>
  <c r="O305" i="1"/>
  <c r="AA305" i="1"/>
  <c r="O304" i="1"/>
  <c r="AA304" i="1"/>
  <c r="O303" i="1"/>
  <c r="AA303" i="1"/>
  <c r="O302" i="1"/>
  <c r="AA302" i="1"/>
  <c r="O301" i="1"/>
  <c r="AA301" i="1"/>
  <c r="O300" i="1"/>
  <c r="AA300" i="1"/>
  <c r="G322"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O657" i="1"/>
  <c r="AA657" i="1"/>
  <c r="O656" i="1"/>
  <c r="AA656" i="1"/>
  <c r="O655" i="1"/>
  <c r="AA655" i="1"/>
  <c r="O654" i="1"/>
  <c r="AA654" i="1"/>
  <c r="O653" i="1"/>
  <c r="AA653" i="1"/>
  <c r="O652" i="1"/>
  <c r="AA652" i="1"/>
  <c r="O651" i="1"/>
  <c r="AA651" i="1"/>
  <c r="O650" i="1"/>
  <c r="AA650" i="1"/>
  <c r="O649" i="1"/>
  <c r="AA649" i="1"/>
  <c r="O648" i="1"/>
  <c r="AA648" i="1"/>
  <c r="O647" i="1"/>
  <c r="AA647" i="1"/>
  <c r="O646" i="1"/>
  <c r="AA646" i="1"/>
  <c r="O645" i="1"/>
  <c r="AA645" i="1"/>
  <c r="O644" i="1"/>
  <c r="AA644" i="1"/>
  <c r="O643" i="1"/>
  <c r="AA643" i="1"/>
  <c r="O642" i="1"/>
  <c r="AA642" i="1"/>
  <c r="O641" i="1"/>
  <c r="AA641" i="1"/>
  <c r="O640" i="1"/>
  <c r="AA640" i="1"/>
  <c r="O639" i="1"/>
  <c r="AA639" i="1"/>
  <c r="O638" i="1"/>
  <c r="AA638" i="1"/>
  <c r="O637" i="1"/>
  <c r="AA637" i="1"/>
  <c r="O636" i="1"/>
  <c r="AA636" i="1"/>
  <c r="O635" i="1"/>
  <c r="AA635" i="1"/>
  <c r="O634" i="1"/>
  <c r="AA634" i="1"/>
  <c r="O633" i="1"/>
  <c r="AA633" i="1"/>
  <c r="O632" i="1"/>
  <c r="AA632" i="1"/>
  <c r="O631" i="1"/>
  <c r="AA631" i="1"/>
  <c r="O630" i="1"/>
  <c r="AA630" i="1"/>
  <c r="O629" i="1"/>
  <c r="AA629" i="1"/>
  <c r="O628" i="1"/>
  <c r="AA628" i="1"/>
  <c r="O627" i="1"/>
  <c r="AA627" i="1"/>
  <c r="O626" i="1"/>
  <c r="AA626" i="1"/>
  <c r="O625" i="1"/>
  <c r="AA625" i="1"/>
  <c r="O624" i="1"/>
  <c r="AA624" i="1"/>
  <c r="O623" i="1"/>
  <c r="AA623" i="1"/>
  <c r="O622" i="1"/>
  <c r="AA622" i="1"/>
  <c r="O621" i="1"/>
  <c r="AA621" i="1"/>
  <c r="O620" i="1"/>
  <c r="AA620" i="1"/>
  <c r="O619" i="1"/>
  <c r="AA619" i="1"/>
  <c r="O618" i="1"/>
  <c r="AA618" i="1"/>
  <c r="O617" i="1"/>
  <c r="AA617" i="1"/>
  <c r="O616" i="1"/>
  <c r="AA616" i="1"/>
  <c r="O615" i="1"/>
  <c r="AA615" i="1"/>
  <c r="O614" i="1"/>
  <c r="AA614" i="1"/>
  <c r="O613" i="1"/>
  <c r="AA613" i="1"/>
  <c r="O612" i="1"/>
  <c r="AA612" i="1"/>
  <c r="O611" i="1"/>
  <c r="AA611" i="1"/>
  <c r="O610" i="1"/>
  <c r="AA610" i="1"/>
  <c r="I368" i="1"/>
  <c r="G368" i="1"/>
  <c r="N421" i="1"/>
  <c r="N420" i="1"/>
  <c r="N553" i="1" l="1"/>
  <c r="N552" i="1"/>
  <c r="N551" i="1"/>
  <c r="N563" i="1"/>
  <c r="J526" i="1"/>
  <c r="J520" i="1"/>
  <c r="J514" i="1"/>
  <c r="J508" i="1"/>
  <c r="J502" i="1"/>
  <c r="N526" i="1"/>
  <c r="N520" i="1"/>
  <c r="N514" i="1"/>
  <c r="N508" i="1"/>
  <c r="O508" i="1" l="1"/>
  <c r="O514" i="1"/>
  <c r="O552" i="1"/>
  <c r="AA514" i="1"/>
  <c r="AA508"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N90" i="1"/>
  <c r="N89" i="1"/>
  <c r="N88" i="1"/>
  <c r="N87" i="1"/>
  <c r="O87" i="1" s="1"/>
  <c r="N86" i="1"/>
  <c r="N85" i="1"/>
  <c r="AA85" i="1" s="1"/>
  <c r="N84" i="1"/>
  <c r="AA84" i="1" s="1"/>
  <c r="N83" i="1"/>
  <c r="N82" i="1"/>
  <c r="N81" i="1"/>
  <c r="AA81" i="1" s="1"/>
  <c r="N80" i="1"/>
  <c r="AA80" i="1" s="1"/>
  <c r="N79" i="1"/>
  <c r="AA79" i="1" s="1"/>
  <c r="N78" i="1"/>
  <c r="AA78" i="1" s="1"/>
  <c r="N77" i="1"/>
  <c r="O77" i="1" s="1"/>
  <c r="N76" i="1"/>
  <c r="O76" i="1" s="1"/>
  <c r="N75" i="1"/>
  <c r="AA75" i="1" s="1"/>
  <c r="N74" i="1"/>
  <c r="N73" i="1"/>
  <c r="N72" i="1"/>
  <c r="N71" i="1"/>
  <c r="O71" i="1" s="1"/>
  <c r="N70" i="1"/>
  <c r="O70" i="1" s="1"/>
  <c r="N69" i="1"/>
  <c r="AA69" i="1" s="1"/>
  <c r="N68" i="1"/>
  <c r="AA68" i="1" s="1"/>
  <c r="N67" i="1"/>
  <c r="N66" i="1"/>
  <c r="N65" i="1"/>
  <c r="AA65" i="1" s="1"/>
  <c r="N64" i="1"/>
  <c r="AA64" i="1" s="1"/>
  <c r="N63" i="1"/>
  <c r="AA63" i="1" s="1"/>
  <c r="N62" i="1"/>
  <c r="N61" i="1"/>
  <c r="O61" i="1" s="1"/>
  <c r="N60" i="1"/>
  <c r="O60" i="1" s="1"/>
  <c r="N59" i="1"/>
  <c r="AA59" i="1" s="1"/>
  <c r="N58" i="1"/>
  <c r="N57" i="1"/>
  <c r="N56" i="1"/>
  <c r="N55" i="1"/>
  <c r="O55" i="1" s="1"/>
  <c r="N54" i="1"/>
  <c r="N53" i="1"/>
  <c r="AA53" i="1" s="1"/>
  <c r="N52" i="1"/>
  <c r="AA52" i="1" s="1"/>
  <c r="N51" i="1"/>
  <c r="N50" i="1"/>
  <c r="N49" i="1"/>
  <c r="AA49" i="1" s="1"/>
  <c r="N48" i="1"/>
  <c r="AA48" i="1" s="1"/>
  <c r="N47" i="1"/>
  <c r="AA47" i="1" s="1"/>
  <c r="N46" i="1"/>
  <c r="AA46" i="1" s="1"/>
  <c r="N45" i="1"/>
  <c r="O45" i="1" s="1"/>
  <c r="N44" i="1"/>
  <c r="O44" i="1" s="1"/>
  <c r="N43" i="1"/>
  <c r="AA43" i="1" s="1"/>
  <c r="N42" i="1"/>
  <c r="N41" i="1"/>
  <c r="N40" i="1"/>
  <c r="N39" i="1"/>
  <c r="O39" i="1" s="1"/>
  <c r="N38" i="1"/>
  <c r="O38" i="1" s="1"/>
  <c r="N37" i="1"/>
  <c r="AA37" i="1" s="1"/>
  <c r="N36" i="1"/>
  <c r="AA36" i="1" s="1"/>
  <c r="N35" i="1"/>
  <c r="N34" i="1"/>
  <c r="N33" i="1"/>
  <c r="AA33" i="1" s="1"/>
  <c r="N32" i="1"/>
  <c r="AA32" i="1" s="1"/>
  <c r="N31" i="1"/>
  <c r="AA31" i="1" s="1"/>
  <c r="J608" i="1"/>
  <c r="J606" i="1"/>
  <c r="J604" i="1"/>
  <c r="J602" i="1"/>
  <c r="J595" i="1"/>
  <c r="J594" i="1"/>
  <c r="J592" i="1"/>
  <c r="J590" i="1"/>
  <c r="J589" i="1"/>
  <c r="J588" i="1"/>
  <c r="J600" i="1"/>
  <c r="J598" i="1"/>
  <c r="J596" i="1"/>
  <c r="J587" i="1"/>
  <c r="J586" i="1"/>
  <c r="J584" i="1"/>
  <c r="J582" i="1"/>
  <c r="J581" i="1"/>
  <c r="J580" i="1"/>
  <c r="J578" i="1"/>
  <c r="J576" i="1"/>
  <c r="J574" i="1"/>
  <c r="AA574" i="1"/>
  <c r="O574" i="1"/>
  <c r="J678" i="1"/>
  <c r="J677" i="1"/>
  <c r="J676" i="1"/>
  <c r="J675" i="1"/>
  <c r="J686" i="1"/>
  <c r="J685" i="1"/>
  <c r="J684" i="1"/>
  <c r="J683" i="1"/>
  <c r="J682" i="1"/>
  <c r="J681" i="1"/>
  <c r="J680" i="1"/>
  <c r="J679" i="1"/>
  <c r="J674" i="1"/>
  <c r="N685" i="1"/>
  <c r="N684" i="1"/>
  <c r="N683" i="1"/>
  <c r="N682" i="1"/>
  <c r="N681" i="1"/>
  <c r="N680" i="1"/>
  <c r="N679" i="1"/>
  <c r="N678" i="1"/>
  <c r="N677" i="1"/>
  <c r="N676" i="1"/>
  <c r="N675" i="1"/>
  <c r="N686" i="1"/>
  <c r="N674" i="1"/>
  <c r="J946" i="1"/>
  <c r="J945" i="1"/>
  <c r="J944" i="1"/>
  <c r="J943" i="1"/>
  <c r="J940" i="1"/>
  <c r="J939" i="1"/>
  <c r="J938" i="1"/>
  <c r="J937" i="1"/>
  <c r="J936" i="1"/>
  <c r="N946" i="1"/>
  <c r="N945" i="1"/>
  <c r="N944" i="1"/>
  <c r="N943" i="1"/>
  <c r="N940" i="1"/>
  <c r="N939" i="1"/>
  <c r="N938" i="1"/>
  <c r="N937" i="1"/>
  <c r="L508" i="1" l="1"/>
  <c r="L514" i="1"/>
  <c r="L574" i="1"/>
  <c r="O677" i="1"/>
  <c r="AA685" i="1"/>
  <c r="AA946" i="1"/>
  <c r="O678" i="1"/>
  <c r="O683" i="1"/>
  <c r="O676" i="1"/>
  <c r="AA937" i="1"/>
  <c r="AA679" i="1"/>
  <c r="AA938" i="1"/>
  <c r="O680" i="1"/>
  <c r="O675" i="1"/>
  <c r="AA944" i="1"/>
  <c r="O684" i="1"/>
  <c r="AA945" i="1"/>
  <c r="AA939" i="1"/>
  <c r="AA674" i="1"/>
  <c r="AA681" i="1"/>
  <c r="AA943" i="1"/>
  <c r="AA940" i="1"/>
  <c r="O686" i="1"/>
  <c r="O682" i="1"/>
  <c r="AA684" i="1"/>
  <c r="O33" i="1"/>
  <c r="AA682" i="1"/>
  <c r="O679" i="1"/>
  <c r="AA683" i="1"/>
  <c r="AA676" i="1"/>
  <c r="AA51" i="1"/>
  <c r="AA73" i="1"/>
  <c r="O80" i="1"/>
  <c r="AA89" i="1"/>
  <c r="O32" i="1"/>
  <c r="AA41" i="1"/>
  <c r="O48" i="1"/>
  <c r="AA57" i="1"/>
  <c r="O64" i="1"/>
  <c r="O75" i="1"/>
  <c r="O81" i="1"/>
  <c r="O43" i="1"/>
  <c r="O49" i="1"/>
  <c r="O59" i="1"/>
  <c r="O65" i="1"/>
  <c r="AA72" i="1"/>
  <c r="AA88" i="1"/>
  <c r="AA35" i="1"/>
  <c r="AA40" i="1"/>
  <c r="AA56" i="1"/>
  <c r="AA67" i="1"/>
  <c r="AA83" i="1"/>
  <c r="O34" i="1"/>
  <c r="AA34" i="1"/>
  <c r="AA38" i="1"/>
  <c r="AA42" i="1"/>
  <c r="O42" i="1"/>
  <c r="O46" i="1"/>
  <c r="O50" i="1"/>
  <c r="AA50" i="1"/>
  <c r="AA54" i="1"/>
  <c r="AA58" i="1"/>
  <c r="O58" i="1"/>
  <c r="O62" i="1"/>
  <c r="O66" i="1"/>
  <c r="AA66" i="1"/>
  <c r="AA70" i="1"/>
  <c r="AA74" i="1"/>
  <c r="O74" i="1"/>
  <c r="O78" i="1"/>
  <c r="O82" i="1"/>
  <c r="AA82" i="1"/>
  <c r="AA86" i="1"/>
  <c r="AA90" i="1"/>
  <c r="O90" i="1"/>
  <c r="O54" i="1"/>
  <c r="AA62" i="1"/>
  <c r="O86" i="1"/>
  <c r="O31" i="1"/>
  <c r="O36" i="1"/>
  <c r="O37" i="1"/>
  <c r="AA39" i="1"/>
  <c r="AA44" i="1"/>
  <c r="AA45" i="1"/>
  <c r="O47" i="1"/>
  <c r="O52" i="1"/>
  <c r="O53" i="1"/>
  <c r="AA55" i="1"/>
  <c r="AA60" i="1"/>
  <c r="AA61" i="1"/>
  <c r="O63" i="1"/>
  <c r="O68" i="1"/>
  <c r="O69" i="1"/>
  <c r="AA71" i="1"/>
  <c r="AA76" i="1"/>
  <c r="AA77" i="1"/>
  <c r="O79" i="1"/>
  <c r="O84" i="1"/>
  <c r="O85" i="1"/>
  <c r="AA87" i="1"/>
  <c r="O35" i="1"/>
  <c r="O40" i="1"/>
  <c r="O41" i="1"/>
  <c r="O51" i="1"/>
  <c r="O56" i="1"/>
  <c r="O57" i="1"/>
  <c r="O67" i="1"/>
  <c r="O72" i="1"/>
  <c r="O73" i="1"/>
  <c r="O83" i="1"/>
  <c r="O88" i="1"/>
  <c r="O89" i="1"/>
  <c r="AA686" i="1"/>
  <c r="AA680" i="1"/>
  <c r="AA678" i="1"/>
  <c r="AA675" i="1"/>
  <c r="AA677" i="1"/>
  <c r="O681" i="1"/>
  <c r="O685" i="1"/>
  <c r="O674" i="1"/>
  <c r="O98" i="4"/>
  <c r="O97" i="4"/>
  <c r="O96" i="4"/>
  <c r="O95" i="4"/>
  <c r="O94" i="4"/>
  <c r="O93" i="4"/>
  <c r="O92" i="4"/>
  <c r="O91" i="4"/>
  <c r="O90" i="4"/>
  <c r="O89" i="4"/>
  <c r="O88" i="4"/>
  <c r="O87" i="4"/>
  <c r="O86" i="4"/>
  <c r="O85" i="4"/>
  <c r="H603" i="1" s="1"/>
  <c r="O84" i="4"/>
  <c r="O83" i="4"/>
  <c r="O82" i="4"/>
  <c r="O81" i="4"/>
  <c r="O80" i="4"/>
  <c r="O79" i="4"/>
  <c r="O78" i="4"/>
  <c r="O77" i="4"/>
  <c r="O76" i="4"/>
  <c r="O75" i="4"/>
  <c r="O74" i="4"/>
  <c r="O73" i="4"/>
  <c r="O72" i="4"/>
  <c r="O71" i="4"/>
  <c r="O70" i="4"/>
  <c r="O69" i="4"/>
  <c r="H3" i="1" s="1"/>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O2" i="4"/>
  <c r="O100" i="4"/>
  <c r="O99" i="4"/>
  <c r="O689" i="1"/>
  <c r="AA689" i="1"/>
  <c r="O688" i="1"/>
  <c r="AA688" i="1"/>
  <c r="O687" i="1"/>
  <c r="AA687" i="1"/>
  <c r="J705" i="1"/>
  <c r="J703" i="1"/>
  <c r="J701" i="1"/>
  <c r="J699" i="1"/>
  <c r="J697" i="1"/>
  <c r="J695" i="1"/>
  <c r="J693" i="1"/>
  <c r="J691" i="1"/>
  <c r="AA705" i="1"/>
  <c r="O705" i="1"/>
  <c r="AA704" i="1"/>
  <c r="O704" i="1"/>
  <c r="AA703" i="1"/>
  <c r="O703" i="1"/>
  <c r="AA702" i="1"/>
  <c r="O702" i="1"/>
  <c r="AA701" i="1"/>
  <c r="O701" i="1"/>
  <c r="AA700" i="1"/>
  <c r="O700" i="1"/>
  <c r="AA699" i="1"/>
  <c r="O699" i="1"/>
  <c r="AA698" i="1"/>
  <c r="O698" i="1"/>
  <c r="AA697" i="1"/>
  <c r="O697" i="1"/>
  <c r="AA696" i="1"/>
  <c r="O696" i="1"/>
  <c r="AA695" i="1"/>
  <c r="O695" i="1"/>
  <c r="AA694" i="1"/>
  <c r="O694" i="1"/>
  <c r="AA693" i="1"/>
  <c r="O693" i="1"/>
  <c r="AA692" i="1"/>
  <c r="O692" i="1"/>
  <c r="AA691" i="1"/>
  <c r="O691" i="1"/>
  <c r="N661" i="1"/>
  <c r="N660" i="1"/>
  <c r="N198" i="1"/>
  <c r="AA198" i="1" s="1"/>
  <c r="N197" i="1"/>
  <c r="AA197" i="1" s="1"/>
  <c r="J214" i="1"/>
  <c r="J211" i="1"/>
  <c r="J213" i="1"/>
  <c r="J212" i="1"/>
  <c r="J210" i="1"/>
  <c r="J209" i="1"/>
  <c r="J208" i="1"/>
  <c r="J207" i="1"/>
  <c r="N214" i="1"/>
  <c r="AA214" i="1" s="1"/>
  <c r="N208" i="1"/>
  <c r="AA208" i="1" s="1"/>
  <c r="H1099" i="1" l="1"/>
  <c r="H1088" i="1"/>
  <c r="H1096" i="1"/>
  <c r="H1089" i="1"/>
  <c r="H1097" i="1"/>
  <c r="H1090" i="1"/>
  <c r="H1098" i="1"/>
  <c r="H1091" i="1"/>
  <c r="H1092" i="1"/>
  <c r="H1093" i="1"/>
  <c r="H1087" i="1"/>
  <c r="H1095" i="1"/>
  <c r="H1086" i="1"/>
  <c r="H1094" i="1"/>
  <c r="H1013" i="1"/>
  <c r="H1021" i="1"/>
  <c r="H1029" i="1"/>
  <c r="H983" i="1"/>
  <c r="H991" i="1"/>
  <c r="H999" i="1"/>
  <c r="H1007" i="1"/>
  <c r="H975" i="1"/>
  <c r="H968" i="1"/>
  <c r="H1015" i="1"/>
  <c r="H1031" i="1"/>
  <c r="H993" i="1"/>
  <c r="H1009" i="1"/>
  <c r="H977" i="1"/>
  <c r="H1024" i="1"/>
  <c r="H986" i="1"/>
  <c r="H1002" i="1"/>
  <c r="H970" i="1"/>
  <c r="H1025" i="1"/>
  <c r="H995" i="1"/>
  <c r="H979" i="1"/>
  <c r="H1014" i="1"/>
  <c r="H1022" i="1"/>
  <c r="H1030" i="1"/>
  <c r="H984" i="1"/>
  <c r="H992" i="1"/>
  <c r="H1000" i="1"/>
  <c r="H1008" i="1"/>
  <c r="H976" i="1"/>
  <c r="H1023" i="1"/>
  <c r="H985" i="1"/>
  <c r="H1001" i="1"/>
  <c r="H969" i="1"/>
  <c r="H1016" i="1"/>
  <c r="H1032" i="1"/>
  <c r="H994" i="1"/>
  <c r="H1010" i="1"/>
  <c r="H978" i="1"/>
  <c r="H1033" i="1"/>
  <c r="H1003" i="1"/>
  <c r="H971" i="1"/>
  <c r="H1018" i="1"/>
  <c r="H1026" i="1"/>
  <c r="H1034" i="1"/>
  <c r="H988" i="1"/>
  <c r="H996" i="1"/>
  <c r="H1004" i="1"/>
  <c r="H972" i="1"/>
  <c r="H980" i="1"/>
  <c r="H1019" i="1"/>
  <c r="H1027" i="1"/>
  <c r="H1035" i="1"/>
  <c r="H989" i="1"/>
  <c r="H997" i="1"/>
  <c r="H1005" i="1"/>
  <c r="H973" i="1"/>
  <c r="H981" i="1"/>
  <c r="H1012" i="1"/>
  <c r="H1020" i="1"/>
  <c r="H1028" i="1"/>
  <c r="H982" i="1"/>
  <c r="H990" i="1"/>
  <c r="H998" i="1"/>
  <c r="H1006" i="1"/>
  <c r="H974" i="1"/>
  <c r="H1017" i="1"/>
  <c r="H987" i="1"/>
  <c r="H1011" i="1"/>
  <c r="H967" i="1"/>
  <c r="H527" i="1"/>
  <c r="H517" i="1"/>
  <c r="H525" i="1"/>
  <c r="H516" i="1"/>
  <c r="H503" i="1"/>
  <c r="H524" i="1"/>
  <c r="H515" i="1"/>
  <c r="H504" i="1"/>
  <c r="H519" i="1"/>
  <c r="H518" i="1"/>
  <c r="H523" i="1"/>
  <c r="H513" i="1"/>
  <c r="H505" i="1"/>
  <c r="H531" i="1"/>
  <c r="H522" i="1"/>
  <c r="H512" i="1"/>
  <c r="H506" i="1"/>
  <c r="H530" i="1"/>
  <c r="H521" i="1"/>
  <c r="H511" i="1"/>
  <c r="H507" i="1"/>
  <c r="H529" i="1"/>
  <c r="H510" i="1"/>
  <c r="H528" i="1"/>
  <c r="H509" i="1"/>
  <c r="H770" i="1"/>
  <c r="H778" i="1"/>
  <c r="H775" i="1"/>
  <c r="H771" i="1"/>
  <c r="H779" i="1"/>
  <c r="H773" i="1"/>
  <c r="H774" i="1"/>
  <c r="H772" i="1"/>
  <c r="H768" i="1"/>
  <c r="H776" i="1"/>
  <c r="H766" i="1"/>
  <c r="H769" i="1"/>
  <c r="H777" i="1"/>
  <c r="H767" i="1"/>
  <c r="H162" i="1"/>
  <c r="H161" i="1"/>
  <c r="H92" i="1"/>
  <c r="H108" i="1"/>
  <c r="H124" i="1"/>
  <c r="H140" i="1"/>
  <c r="H110" i="1"/>
  <c r="H126" i="1"/>
  <c r="H142" i="1"/>
  <c r="H96" i="1"/>
  <c r="H144" i="1"/>
  <c r="H21" i="1"/>
  <c r="H114" i="1"/>
  <c r="H30" i="1"/>
  <c r="H100" i="1"/>
  <c r="H102" i="1"/>
  <c r="H94" i="1"/>
  <c r="H112" i="1"/>
  <c r="H27" i="1"/>
  <c r="H98" i="1"/>
  <c r="H130" i="1"/>
  <c r="H23" i="1"/>
  <c r="H116" i="1"/>
  <c r="H25" i="1"/>
  <c r="H118" i="1"/>
  <c r="H128" i="1"/>
  <c r="H132" i="1"/>
  <c r="H134" i="1"/>
  <c r="H104" i="1"/>
  <c r="H120" i="1"/>
  <c r="H136" i="1"/>
  <c r="H28" i="1"/>
  <c r="H106" i="1"/>
  <c r="H122" i="1"/>
  <c r="H138" i="1"/>
  <c r="H29" i="1"/>
  <c r="H717" i="1"/>
  <c r="H710" i="1"/>
  <c r="H713" i="1"/>
  <c r="H714" i="1"/>
  <c r="H707" i="1"/>
  <c r="H716" i="1"/>
  <c r="H711" i="1"/>
  <c r="H712" i="1"/>
  <c r="H715" i="1"/>
  <c r="H708" i="1"/>
  <c r="H709" i="1"/>
  <c r="H726" i="1"/>
  <c r="H734" i="1"/>
  <c r="H559" i="1"/>
  <c r="H565" i="1"/>
  <c r="H443" i="1"/>
  <c r="H755" i="1"/>
  <c r="H753" i="1"/>
  <c r="H751" i="1"/>
  <c r="H749" i="1"/>
  <c r="H747" i="1"/>
  <c r="H745" i="1"/>
  <c r="H743" i="1"/>
  <c r="H741" i="1"/>
  <c r="H739" i="1"/>
  <c r="H737" i="1"/>
  <c r="H727" i="1"/>
  <c r="H735" i="1"/>
  <c r="H560" i="1"/>
  <c r="H566" i="1"/>
  <c r="H449" i="1"/>
  <c r="H444" i="1"/>
  <c r="H728" i="1"/>
  <c r="H718" i="1"/>
  <c r="H567" i="1"/>
  <c r="H439" i="1"/>
  <c r="H445" i="1"/>
  <c r="H440" i="1"/>
  <c r="H724" i="1"/>
  <c r="H562" i="1"/>
  <c r="H571" i="1"/>
  <c r="H450" i="1"/>
  <c r="H725" i="1"/>
  <c r="H558" i="1"/>
  <c r="H564" i="1"/>
  <c r="H729" i="1"/>
  <c r="H719" i="1"/>
  <c r="H568" i="1"/>
  <c r="H446" i="1"/>
  <c r="H722" i="1"/>
  <c r="H730" i="1"/>
  <c r="H720" i="1"/>
  <c r="H569" i="1"/>
  <c r="H447" i="1"/>
  <c r="H754" i="1"/>
  <c r="H752" i="1"/>
  <c r="H750" i="1"/>
  <c r="H748" i="1"/>
  <c r="H746" i="1"/>
  <c r="H744" i="1"/>
  <c r="H742" i="1"/>
  <c r="H740" i="1"/>
  <c r="H738" i="1"/>
  <c r="H723" i="1"/>
  <c r="H731" i="1"/>
  <c r="H721" i="1"/>
  <c r="H561" i="1"/>
  <c r="H570" i="1"/>
  <c r="H448" i="1"/>
  <c r="H732" i="1"/>
  <c r="H441" i="1"/>
  <c r="H733" i="1"/>
  <c r="H572" i="1"/>
  <c r="H442" i="1"/>
  <c r="H785" i="1"/>
  <c r="H793" i="1"/>
  <c r="H801" i="1"/>
  <c r="H809" i="1"/>
  <c r="H817" i="1"/>
  <c r="H825" i="1"/>
  <c r="H833" i="1"/>
  <c r="H841" i="1"/>
  <c r="H849" i="1"/>
  <c r="H857" i="1"/>
  <c r="H865" i="1"/>
  <c r="H873" i="1"/>
  <c r="H881" i="1"/>
  <c r="H889" i="1"/>
  <c r="H897" i="1"/>
  <c r="H905" i="1"/>
  <c r="H913" i="1"/>
  <c r="H921" i="1"/>
  <c r="H668" i="1"/>
  <c r="H780" i="1"/>
  <c r="H804" i="1"/>
  <c r="H828" i="1"/>
  <c r="H852" i="1"/>
  <c r="H868" i="1"/>
  <c r="H892" i="1"/>
  <c r="H916" i="1"/>
  <c r="H789" i="1"/>
  <c r="H797" i="1"/>
  <c r="H821" i="1"/>
  <c r="H845" i="1"/>
  <c r="H869" i="1"/>
  <c r="H893" i="1"/>
  <c r="H917" i="1"/>
  <c r="H814" i="1"/>
  <c r="H846" i="1"/>
  <c r="H878" i="1"/>
  <c r="H910" i="1"/>
  <c r="H786" i="1"/>
  <c r="H794" i="1"/>
  <c r="H802" i="1"/>
  <c r="H810" i="1"/>
  <c r="H818" i="1"/>
  <c r="H826" i="1"/>
  <c r="H834" i="1"/>
  <c r="H842" i="1"/>
  <c r="H850" i="1"/>
  <c r="H858" i="1"/>
  <c r="H866" i="1"/>
  <c r="H874" i="1"/>
  <c r="H882" i="1"/>
  <c r="H890" i="1"/>
  <c r="H898" i="1"/>
  <c r="H906" i="1"/>
  <c r="H914" i="1"/>
  <c r="H922" i="1"/>
  <c r="H669" i="1"/>
  <c r="H812" i="1"/>
  <c r="H836" i="1"/>
  <c r="H860" i="1"/>
  <c r="H884" i="1"/>
  <c r="H908" i="1"/>
  <c r="H671" i="1"/>
  <c r="H813" i="1"/>
  <c r="H837" i="1"/>
  <c r="H861" i="1"/>
  <c r="H885" i="1"/>
  <c r="H909" i="1"/>
  <c r="H672" i="1"/>
  <c r="H782" i="1"/>
  <c r="H806" i="1"/>
  <c r="H838" i="1"/>
  <c r="H870" i="1"/>
  <c r="H902" i="1"/>
  <c r="H673" i="1"/>
  <c r="H706" i="1"/>
  <c r="H787" i="1"/>
  <c r="H795" i="1"/>
  <c r="H803" i="1"/>
  <c r="H811" i="1"/>
  <c r="H819" i="1"/>
  <c r="H827" i="1"/>
  <c r="H835" i="1"/>
  <c r="H843" i="1"/>
  <c r="H851" i="1"/>
  <c r="H859" i="1"/>
  <c r="H867" i="1"/>
  <c r="H875" i="1"/>
  <c r="H883" i="1"/>
  <c r="H891" i="1"/>
  <c r="H899" i="1"/>
  <c r="H907" i="1"/>
  <c r="H915" i="1"/>
  <c r="H923" i="1"/>
  <c r="H670" i="1"/>
  <c r="H788" i="1"/>
  <c r="H796" i="1"/>
  <c r="H820" i="1"/>
  <c r="H844" i="1"/>
  <c r="H876" i="1"/>
  <c r="H900" i="1"/>
  <c r="H663" i="1"/>
  <c r="H781" i="1"/>
  <c r="H805" i="1"/>
  <c r="H829" i="1"/>
  <c r="H853" i="1"/>
  <c r="H877" i="1"/>
  <c r="H901" i="1"/>
  <c r="H664" i="1"/>
  <c r="H790" i="1"/>
  <c r="H822" i="1"/>
  <c r="H854" i="1"/>
  <c r="H886" i="1"/>
  <c r="H918" i="1"/>
  <c r="H783" i="1"/>
  <c r="H791" i="1"/>
  <c r="H799" i="1"/>
  <c r="H807" i="1"/>
  <c r="H815" i="1"/>
  <c r="H823" i="1"/>
  <c r="H831" i="1"/>
  <c r="H839" i="1"/>
  <c r="H847" i="1"/>
  <c r="H855" i="1"/>
  <c r="H863" i="1"/>
  <c r="H871" i="1"/>
  <c r="H879" i="1"/>
  <c r="H887" i="1"/>
  <c r="H895" i="1"/>
  <c r="H903" i="1"/>
  <c r="H911" i="1"/>
  <c r="H919" i="1"/>
  <c r="H666" i="1"/>
  <c r="H784" i="1"/>
  <c r="H792" i="1"/>
  <c r="H800" i="1"/>
  <c r="H808" i="1"/>
  <c r="H816" i="1"/>
  <c r="H824" i="1"/>
  <c r="H832" i="1"/>
  <c r="H840" i="1"/>
  <c r="H848" i="1"/>
  <c r="H856" i="1"/>
  <c r="H864" i="1"/>
  <c r="H872" i="1"/>
  <c r="H880" i="1"/>
  <c r="H888" i="1"/>
  <c r="H896" i="1"/>
  <c r="H904" i="1"/>
  <c r="H912" i="1"/>
  <c r="H920" i="1"/>
  <c r="H667" i="1"/>
  <c r="H798" i="1"/>
  <c r="H830" i="1"/>
  <c r="H862" i="1"/>
  <c r="H894" i="1"/>
  <c r="H665" i="1"/>
  <c r="H272" i="1"/>
  <c r="H231" i="1"/>
  <c r="H273" i="1"/>
  <c r="H232" i="1"/>
  <c r="H274" i="1"/>
  <c r="H269" i="1"/>
  <c r="H268" i="1"/>
  <c r="H270" i="1"/>
  <c r="H271" i="1"/>
  <c r="H297" i="1"/>
  <c r="H294" i="1"/>
  <c r="H934" i="1"/>
  <c r="H292" i="1"/>
  <c r="H933" i="1"/>
  <c r="H295" i="1"/>
  <c r="H299" i="1"/>
  <c r="H293" i="1"/>
  <c r="H935" i="1"/>
  <c r="H323" i="1"/>
  <c r="H204" i="1"/>
  <c r="H224" i="1"/>
  <c r="H205" i="1"/>
  <c r="H206" i="1"/>
  <c r="H222" i="1"/>
  <c r="H223" i="1"/>
  <c r="H225" i="1"/>
  <c r="H218" i="1"/>
  <c r="H203" i="1"/>
  <c r="H219" i="1"/>
  <c r="H220" i="1"/>
  <c r="H221" i="1"/>
  <c r="H217" i="1"/>
  <c r="H172" i="1"/>
  <c r="H164" i="1"/>
  <c r="H168" i="1"/>
  <c r="H169" i="1"/>
  <c r="H170" i="1"/>
  <c r="H171" i="1"/>
  <c r="H202" i="1"/>
  <c r="H165" i="1"/>
  <c r="H173" i="1"/>
  <c r="H166" i="1"/>
  <c r="H167" i="1"/>
  <c r="H264" i="1"/>
  <c r="H265" i="1"/>
  <c r="H266" i="1"/>
  <c r="H267" i="1"/>
  <c r="H290" i="1"/>
  <c r="H419" i="1"/>
  <c r="H408" i="1"/>
  <c r="H409" i="1"/>
  <c r="H416" i="1"/>
  <c r="H413" i="1"/>
  <c r="H418" i="1"/>
  <c r="H414" i="1"/>
  <c r="H410" i="1"/>
  <c r="H415" i="1"/>
  <c r="H411" i="1"/>
  <c r="H412" i="1"/>
  <c r="H417" i="1"/>
  <c r="H930" i="1"/>
  <c r="H931" i="1"/>
  <c r="H659" i="1"/>
  <c r="H658" i="1"/>
  <c r="H942" i="1"/>
  <c r="H941" i="1"/>
  <c r="H582" i="1"/>
  <c r="H590" i="1"/>
  <c r="H598" i="1"/>
  <c r="H607" i="1"/>
  <c r="H575" i="1"/>
  <c r="H583" i="1"/>
  <c r="H591" i="1"/>
  <c r="H599" i="1"/>
  <c r="H608" i="1"/>
  <c r="H576" i="1"/>
  <c r="H584" i="1"/>
  <c r="H592" i="1"/>
  <c r="H600" i="1"/>
  <c r="H609" i="1"/>
  <c r="H588" i="1"/>
  <c r="H605" i="1"/>
  <c r="H581" i="1"/>
  <c r="H597" i="1"/>
  <c r="H577" i="1"/>
  <c r="H585" i="1"/>
  <c r="H593" i="1"/>
  <c r="H601" i="1"/>
  <c r="H574" i="1"/>
  <c r="H578" i="1"/>
  <c r="H586" i="1"/>
  <c r="H594" i="1"/>
  <c r="H602" i="1"/>
  <c r="H579" i="1"/>
  <c r="H587" i="1"/>
  <c r="H595" i="1"/>
  <c r="H604" i="1"/>
  <c r="H580" i="1"/>
  <c r="H596" i="1"/>
  <c r="H589" i="1"/>
  <c r="H606" i="1"/>
  <c r="H216" i="1"/>
  <c r="H215" i="1"/>
  <c r="H16" i="1"/>
  <c r="H17" i="1"/>
  <c r="H156" i="1"/>
  <c r="H159" i="1"/>
  <c r="H158" i="1"/>
  <c r="H157" i="1"/>
  <c r="L691" i="1"/>
  <c r="L705" i="1"/>
  <c r="L695" i="1"/>
  <c r="L699" i="1"/>
  <c r="L703" i="1"/>
  <c r="L693" i="1"/>
  <c r="L697" i="1"/>
  <c r="L701" i="1"/>
  <c r="H229" i="1"/>
  <c r="H276" i="1"/>
  <c r="H275" i="1"/>
  <c r="H278" i="1"/>
  <c r="H226" i="1"/>
  <c r="H277" i="1"/>
  <c r="H228" i="1"/>
  <c r="H227" i="1"/>
  <c r="H928" i="1"/>
  <c r="H924" i="1"/>
  <c r="H929" i="1"/>
  <c r="H926" i="1"/>
  <c r="H925" i="1"/>
  <c r="H927" i="1"/>
  <c r="H932" i="1"/>
  <c r="H192" i="1"/>
  <c r="H194" i="1"/>
  <c r="H18" i="1"/>
  <c r="H230" i="1"/>
  <c r="H193" i="1"/>
  <c r="H19" i="1"/>
  <c r="H160" i="1"/>
  <c r="H657" i="1"/>
  <c r="H649" i="1"/>
  <c r="H641" i="1"/>
  <c r="H633" i="1"/>
  <c r="H625" i="1"/>
  <c r="H617" i="1"/>
  <c r="H656" i="1"/>
  <c r="H652" i="1"/>
  <c r="H648" i="1"/>
  <c r="H644" i="1"/>
  <c r="H640" i="1"/>
  <c r="H636" i="1"/>
  <c r="H632" i="1"/>
  <c r="H628" i="1"/>
  <c r="H624" i="1"/>
  <c r="H620" i="1"/>
  <c r="H616" i="1"/>
  <c r="H612" i="1"/>
  <c r="H655" i="1"/>
  <c r="H651" i="1"/>
  <c r="H647" i="1"/>
  <c r="H643" i="1"/>
  <c r="H639" i="1"/>
  <c r="H635" i="1"/>
  <c r="H631" i="1"/>
  <c r="H627" i="1"/>
  <c r="H623" i="1"/>
  <c r="H619" i="1"/>
  <c r="H615" i="1"/>
  <c r="H611" i="1"/>
  <c r="H654" i="1"/>
  <c r="H650" i="1"/>
  <c r="H646" i="1"/>
  <c r="H642" i="1"/>
  <c r="H638" i="1"/>
  <c r="H634" i="1"/>
  <c r="H630" i="1"/>
  <c r="H626" i="1"/>
  <c r="H622" i="1"/>
  <c r="H618" i="1"/>
  <c r="H614" i="1"/>
  <c r="H610" i="1"/>
  <c r="H653" i="1"/>
  <c r="H645" i="1"/>
  <c r="H637" i="1"/>
  <c r="H629" i="1"/>
  <c r="H621" i="1"/>
  <c r="H613" i="1"/>
  <c r="H87" i="1"/>
  <c r="H83" i="1"/>
  <c r="H79" i="1"/>
  <c r="H75" i="1"/>
  <c r="H71" i="1"/>
  <c r="H67" i="1"/>
  <c r="H63" i="1"/>
  <c r="H59" i="1"/>
  <c r="H55" i="1"/>
  <c r="H51" i="1"/>
  <c r="H47" i="1"/>
  <c r="H43" i="1"/>
  <c r="H39" i="1"/>
  <c r="H35" i="1"/>
  <c r="H31" i="1"/>
  <c r="H90" i="1"/>
  <c r="H86" i="1"/>
  <c r="H82" i="1"/>
  <c r="H78" i="1"/>
  <c r="H74" i="1"/>
  <c r="H70" i="1"/>
  <c r="H66" i="1"/>
  <c r="H62" i="1"/>
  <c r="H58" i="1"/>
  <c r="H54" i="1"/>
  <c r="H50" i="1"/>
  <c r="H46" i="1"/>
  <c r="H42" i="1"/>
  <c r="H38" i="1"/>
  <c r="H34" i="1"/>
  <c r="H89" i="1"/>
  <c r="H85" i="1"/>
  <c r="H81" i="1"/>
  <c r="H77" i="1"/>
  <c r="H73" i="1"/>
  <c r="H69" i="1"/>
  <c r="H65" i="1"/>
  <c r="H61" i="1"/>
  <c r="H57" i="1"/>
  <c r="H53" i="1"/>
  <c r="H49" i="1"/>
  <c r="H45" i="1"/>
  <c r="H41" i="1"/>
  <c r="H37" i="1"/>
  <c r="H88" i="1"/>
  <c r="H84" i="1"/>
  <c r="H80" i="1"/>
  <c r="H76" i="1"/>
  <c r="H72" i="1"/>
  <c r="H68" i="1"/>
  <c r="H64" i="1"/>
  <c r="H60" i="1"/>
  <c r="H56" i="1"/>
  <c r="H52" i="1"/>
  <c r="H48" i="1"/>
  <c r="H44" i="1"/>
  <c r="H40" i="1"/>
  <c r="H36" i="1"/>
  <c r="H32" i="1"/>
  <c r="H33" i="1"/>
  <c r="H365" i="1"/>
  <c r="H361" i="1"/>
  <c r="H357" i="1"/>
  <c r="H353" i="1"/>
  <c r="H349" i="1"/>
  <c r="H345" i="1"/>
  <c r="H341" i="1"/>
  <c r="H337" i="1"/>
  <c r="H333" i="1"/>
  <c r="H329" i="1"/>
  <c r="H325" i="1"/>
  <c r="H318" i="1"/>
  <c r="H314" i="1"/>
  <c r="H310" i="1"/>
  <c r="H379" i="1"/>
  <c r="H261" i="1"/>
  <c r="H257" i="1"/>
  <c r="H253" i="1"/>
  <c r="H249" i="1"/>
  <c r="H245" i="1"/>
  <c r="H241" i="1"/>
  <c r="H237" i="1"/>
  <c r="H233" i="1"/>
  <c r="H943" i="1"/>
  <c r="H364" i="1"/>
  <c r="H360" i="1"/>
  <c r="H356" i="1"/>
  <c r="H352" i="1"/>
  <c r="H348" i="1"/>
  <c r="H344" i="1"/>
  <c r="H340" i="1"/>
  <c r="H336" i="1"/>
  <c r="H332" i="1"/>
  <c r="H328" i="1"/>
  <c r="H324" i="1"/>
  <c r="H317" i="1"/>
  <c r="H313" i="1"/>
  <c r="H309" i="1"/>
  <c r="H378" i="1"/>
  <c r="H260" i="1"/>
  <c r="H256" i="1"/>
  <c r="H252" i="1"/>
  <c r="H248" i="1"/>
  <c r="H244" i="1"/>
  <c r="H240" i="1"/>
  <c r="H236" i="1"/>
  <c r="H946" i="1"/>
  <c r="H940" i="1"/>
  <c r="H936" i="1"/>
  <c r="H683" i="1"/>
  <c r="H679" i="1"/>
  <c r="H675" i="1"/>
  <c r="H367" i="1"/>
  <c r="H363" i="1"/>
  <c r="H359" i="1"/>
  <c r="H355" i="1"/>
  <c r="H351" i="1"/>
  <c r="H347" i="1"/>
  <c r="H343" i="1"/>
  <c r="H339" i="1"/>
  <c r="H335" i="1"/>
  <c r="H331" i="1"/>
  <c r="H327" i="1"/>
  <c r="H316" i="1"/>
  <c r="H312" i="1"/>
  <c r="H308" i="1"/>
  <c r="H381" i="1"/>
  <c r="H377" i="1"/>
  <c r="H259" i="1"/>
  <c r="H255" i="1"/>
  <c r="H251" i="1"/>
  <c r="H247" i="1"/>
  <c r="H243" i="1"/>
  <c r="H239" i="1"/>
  <c r="H235" i="1"/>
  <c r="H366" i="1"/>
  <c r="H362" i="1"/>
  <c r="H358" i="1"/>
  <c r="H354" i="1"/>
  <c r="H350" i="1"/>
  <c r="H346" i="1"/>
  <c r="H342" i="1"/>
  <c r="H338" i="1"/>
  <c r="H334" i="1"/>
  <c r="H330" i="1"/>
  <c r="H326" i="1"/>
  <c r="H319" i="1"/>
  <c r="H315" i="1"/>
  <c r="H311" i="1"/>
  <c r="H380" i="1"/>
  <c r="H376" i="1"/>
  <c r="H262" i="1"/>
  <c r="H258" i="1"/>
  <c r="H254" i="1"/>
  <c r="H250" i="1"/>
  <c r="H246" i="1"/>
  <c r="H242" i="1"/>
  <c r="H238" i="1"/>
  <c r="H234" i="1"/>
  <c r="H944" i="1"/>
  <c r="H938" i="1"/>
  <c r="H685" i="1"/>
  <c r="H681" i="1"/>
  <c r="H677" i="1"/>
  <c r="H939" i="1"/>
  <c r="H682" i="1"/>
  <c r="H674" i="1"/>
  <c r="H550" i="1"/>
  <c r="H546" i="1"/>
  <c r="H542" i="1"/>
  <c r="H538" i="1"/>
  <c r="H500" i="1"/>
  <c r="H496" i="1"/>
  <c r="H492" i="1"/>
  <c r="H488" i="1"/>
  <c r="H484" i="1"/>
  <c r="H480" i="1"/>
  <c r="H476" i="1"/>
  <c r="H472" i="1"/>
  <c r="H468" i="1"/>
  <c r="H464" i="1"/>
  <c r="H460" i="1"/>
  <c r="H456" i="1"/>
  <c r="H573" i="1"/>
  <c r="H393" i="1"/>
  <c r="H389" i="1"/>
  <c r="H937" i="1"/>
  <c r="H680" i="1"/>
  <c r="H549" i="1"/>
  <c r="H545" i="1"/>
  <c r="H541" i="1"/>
  <c r="H537" i="1"/>
  <c r="H499" i="1"/>
  <c r="H495" i="1"/>
  <c r="H491" i="1"/>
  <c r="H487" i="1"/>
  <c r="H483" i="1"/>
  <c r="H479" i="1"/>
  <c r="H475" i="1"/>
  <c r="H471" i="1"/>
  <c r="H467" i="1"/>
  <c r="H463" i="1"/>
  <c r="H459" i="1"/>
  <c r="H455" i="1"/>
  <c r="H396" i="1"/>
  <c r="H392" i="1"/>
  <c r="H388" i="1"/>
  <c r="H384" i="1"/>
  <c r="H686" i="1"/>
  <c r="H678" i="1"/>
  <c r="H548" i="1"/>
  <c r="H544" i="1"/>
  <c r="H540" i="1"/>
  <c r="H536" i="1"/>
  <c r="H498" i="1"/>
  <c r="H494" i="1"/>
  <c r="H490" i="1"/>
  <c r="H486" i="1"/>
  <c r="H482" i="1"/>
  <c r="H478" i="1"/>
  <c r="H474" i="1"/>
  <c r="H470" i="1"/>
  <c r="H466" i="1"/>
  <c r="H462" i="1"/>
  <c r="H458" i="1"/>
  <c r="H454" i="1"/>
  <c r="H395" i="1"/>
  <c r="H391" i="1"/>
  <c r="H387" i="1"/>
  <c r="H383" i="1"/>
  <c r="H945" i="1"/>
  <c r="H684" i="1"/>
  <c r="H676" i="1"/>
  <c r="H547" i="1"/>
  <c r="H543" i="1"/>
  <c r="H539" i="1"/>
  <c r="H535" i="1"/>
  <c r="H501" i="1"/>
  <c r="H497" i="1"/>
  <c r="H493" i="1"/>
  <c r="H489" i="1"/>
  <c r="H485" i="1"/>
  <c r="H481" i="1"/>
  <c r="H477" i="1"/>
  <c r="H473" i="1"/>
  <c r="H469" i="1"/>
  <c r="H465" i="1"/>
  <c r="H461" i="1"/>
  <c r="H457" i="1"/>
  <c r="H453" i="1"/>
  <c r="H394" i="1"/>
  <c r="H390" i="1"/>
  <c r="H386" i="1"/>
  <c r="H382" i="1"/>
  <c r="H397" i="1"/>
  <c r="H385" i="1"/>
  <c r="H704" i="1"/>
  <c r="H700" i="1"/>
  <c r="H696" i="1"/>
  <c r="H692" i="1"/>
  <c r="H526" i="1"/>
  <c r="H502" i="1"/>
  <c r="H703" i="1"/>
  <c r="H699" i="1"/>
  <c r="H695" i="1"/>
  <c r="H691" i="1"/>
  <c r="H520" i="1"/>
  <c r="H702" i="1"/>
  <c r="H698" i="1"/>
  <c r="H694" i="1"/>
  <c r="H690" i="1"/>
  <c r="H514" i="1"/>
  <c r="H705" i="1"/>
  <c r="H701" i="1"/>
  <c r="H697" i="1"/>
  <c r="H693" i="1"/>
  <c r="H508" i="1"/>
  <c r="H4" i="1"/>
  <c r="H289" i="1"/>
  <c r="H279" i="1"/>
  <c r="H321" i="1"/>
  <c r="H320" i="1"/>
  <c r="H551" i="1"/>
  <c r="H433" i="1"/>
  <c r="H429" i="1"/>
  <c r="H425" i="1"/>
  <c r="H421" i="1"/>
  <c r="H371" i="1"/>
  <c r="H407" i="1"/>
  <c r="H403" i="1"/>
  <c r="H436" i="1"/>
  <c r="H432" i="1"/>
  <c r="H428" i="1"/>
  <c r="H424" i="1"/>
  <c r="H420" i="1"/>
  <c r="H374" i="1"/>
  <c r="H370" i="1"/>
  <c r="H406" i="1"/>
  <c r="H402" i="1"/>
  <c r="H553" i="1"/>
  <c r="H435" i="1"/>
  <c r="H431" i="1"/>
  <c r="H427" i="1"/>
  <c r="H423" i="1"/>
  <c r="H399" i="1"/>
  <c r="H373" i="1"/>
  <c r="H369" i="1"/>
  <c r="H405" i="1"/>
  <c r="H401" i="1"/>
  <c r="H552" i="1"/>
  <c r="H434" i="1"/>
  <c r="H430" i="1"/>
  <c r="H426" i="1"/>
  <c r="H422" i="1"/>
  <c r="H375" i="1"/>
  <c r="H372" i="1"/>
  <c r="H398" i="1"/>
  <c r="H404" i="1"/>
  <c r="H400" i="1"/>
  <c r="H368" i="1"/>
  <c r="H285" i="1"/>
  <c r="H281" i="1"/>
  <c r="H137" i="1"/>
  <c r="H129" i="1"/>
  <c r="H121" i="1"/>
  <c r="H113" i="1"/>
  <c r="H105" i="1"/>
  <c r="H97" i="1"/>
  <c r="H26" i="1"/>
  <c r="H14" i="1"/>
  <c r="H10" i="1"/>
  <c r="H6" i="1"/>
  <c r="H288" i="1"/>
  <c r="H284" i="1"/>
  <c r="H280" i="1"/>
  <c r="H143" i="1"/>
  <c r="H135" i="1"/>
  <c r="H127" i="1"/>
  <c r="H119" i="1"/>
  <c r="H111" i="1"/>
  <c r="H103" i="1"/>
  <c r="H95" i="1"/>
  <c r="H24" i="1"/>
  <c r="H13" i="1"/>
  <c r="H9" i="1"/>
  <c r="H5" i="1"/>
  <c r="H287" i="1"/>
  <c r="H283" i="1"/>
  <c r="H141" i="1"/>
  <c r="H133" i="1"/>
  <c r="H125" i="1"/>
  <c r="H117" i="1"/>
  <c r="H109" i="1"/>
  <c r="H101" i="1"/>
  <c r="H93" i="1"/>
  <c r="H286" i="1"/>
  <c r="H282" i="1"/>
  <c r="H139" i="1"/>
  <c r="H131" i="1"/>
  <c r="H123" i="1"/>
  <c r="H115" i="1"/>
  <c r="H107" i="1"/>
  <c r="H99" i="1"/>
  <c r="H91" i="1"/>
  <c r="H20" i="1"/>
  <c r="H11" i="1"/>
  <c r="H7" i="1"/>
  <c r="H22" i="1"/>
  <c r="H12" i="1"/>
  <c r="H8" i="1"/>
  <c r="H15" i="1"/>
  <c r="H689" i="1"/>
  <c r="H660" i="1"/>
  <c r="H534" i="1"/>
  <c r="H452" i="1"/>
  <c r="H688" i="1"/>
  <c r="H736" i="1"/>
  <c r="H556" i="1"/>
  <c r="H533" i="1"/>
  <c r="H563" i="1"/>
  <c r="H451" i="1"/>
  <c r="H687" i="1"/>
  <c r="H555" i="1"/>
  <c r="H532" i="1"/>
  <c r="H438" i="1"/>
  <c r="H661" i="1"/>
  <c r="H557" i="1"/>
  <c r="H554" i="1"/>
  <c r="H437" i="1"/>
  <c r="H296" i="1"/>
  <c r="H200" i="1"/>
  <c r="H196" i="1"/>
  <c r="H188" i="1"/>
  <c r="H184" i="1"/>
  <c r="H180" i="1"/>
  <c r="H176" i="1"/>
  <c r="H213" i="1"/>
  <c r="H209" i="1"/>
  <c r="H155" i="1"/>
  <c r="H149" i="1"/>
  <c r="H145" i="1"/>
  <c r="H322" i="1"/>
  <c r="H300" i="1"/>
  <c r="H307" i="1"/>
  <c r="H263" i="1"/>
  <c r="H199" i="1"/>
  <c r="H195" i="1"/>
  <c r="H191" i="1"/>
  <c r="H187" i="1"/>
  <c r="H183" i="1"/>
  <c r="H179" i="1"/>
  <c r="H175" i="1"/>
  <c r="H212" i="1"/>
  <c r="H208" i="1"/>
  <c r="H154" i="1"/>
  <c r="H152" i="1"/>
  <c r="H148" i="1"/>
  <c r="H306" i="1"/>
  <c r="H198" i="1"/>
  <c r="H190" i="1"/>
  <c r="H186" i="1"/>
  <c r="H182" i="1"/>
  <c r="H178" i="1"/>
  <c r="H174" i="1"/>
  <c r="H211" i="1"/>
  <c r="H207" i="1"/>
  <c r="H153" i="1"/>
  <c r="H151" i="1"/>
  <c r="H147" i="1"/>
  <c r="H201" i="1"/>
  <c r="H197" i="1"/>
  <c r="H189" i="1"/>
  <c r="H185" i="1"/>
  <c r="H181" i="1"/>
  <c r="H177" i="1"/>
  <c r="H214" i="1"/>
  <c r="H210" i="1"/>
  <c r="H163" i="1"/>
  <c r="H150" i="1"/>
  <c r="H146" i="1"/>
  <c r="H291" i="1"/>
  <c r="H302" i="1"/>
  <c r="H301" i="1"/>
  <c r="H298" i="1"/>
  <c r="H305" i="1"/>
  <c r="H303" i="1"/>
  <c r="H304" i="1"/>
  <c r="AA660" i="1"/>
  <c r="AA661" i="1"/>
  <c r="J143" i="1" l="1"/>
  <c r="J141" i="1"/>
  <c r="J139" i="1"/>
  <c r="J137" i="1"/>
  <c r="J135" i="1"/>
  <c r="J133" i="1"/>
  <c r="J131" i="1"/>
  <c r="J129" i="1"/>
  <c r="J127" i="1"/>
  <c r="J125" i="1"/>
  <c r="J123" i="1"/>
  <c r="J121" i="1"/>
  <c r="J119" i="1"/>
  <c r="J117" i="1"/>
  <c r="J115" i="1"/>
  <c r="J113" i="1"/>
  <c r="J111" i="1"/>
  <c r="J109" i="1"/>
  <c r="J107" i="1"/>
  <c r="J105" i="1"/>
  <c r="J103" i="1"/>
  <c r="J101" i="1"/>
  <c r="J99" i="1"/>
  <c r="J97" i="1"/>
  <c r="J95" i="1"/>
  <c r="J93" i="1"/>
  <c r="N152" i="1"/>
  <c r="N151" i="1"/>
  <c r="N150" i="1"/>
  <c r="AA150" i="1" s="1"/>
  <c r="N149" i="1"/>
  <c r="O149" i="1" s="1"/>
  <c r="N145" i="1"/>
  <c r="N146" i="1"/>
  <c r="N147" i="1"/>
  <c r="O147" i="1" s="1"/>
  <c r="N148" i="1"/>
  <c r="AA148" i="1" s="1"/>
  <c r="O152" i="1" l="1"/>
  <c r="O151" i="1"/>
  <c r="AA152" i="1"/>
  <c r="AA151" i="1"/>
  <c r="AA147" i="1"/>
  <c r="AA149" i="1"/>
  <c r="O148" i="1"/>
  <c r="O150" i="1"/>
  <c r="N4" i="1" l="1"/>
  <c r="N3" i="1"/>
  <c r="O3" i="1" s="1"/>
  <c r="J11" i="1"/>
  <c r="J10" i="1"/>
  <c r="J9" i="1"/>
  <c r="J14" i="1"/>
  <c r="J13" i="1"/>
  <c r="J12" i="1"/>
  <c r="J8" i="1"/>
  <c r="J7" i="1"/>
  <c r="J6" i="1"/>
  <c r="N14" i="1"/>
  <c r="O14" i="1" s="1"/>
  <c r="N13" i="1"/>
  <c r="N12" i="1"/>
  <c r="AA12" i="1" s="1"/>
  <c r="N11" i="1"/>
  <c r="N10" i="1"/>
  <c r="N9" i="1"/>
  <c r="AA9" i="1" s="1"/>
  <c r="N8" i="1"/>
  <c r="O8" i="1" s="1"/>
  <c r="N7" i="1"/>
  <c r="N6" i="1"/>
  <c r="O736" i="1"/>
  <c r="AA736" i="1"/>
  <c r="O716" i="1"/>
  <c r="AA716" i="1"/>
  <c r="L736" i="1" l="1"/>
  <c r="L716" i="1"/>
  <c r="AA4" i="1"/>
  <c r="O4" i="1"/>
  <c r="AA7" i="1"/>
  <c r="O7" i="1"/>
  <c r="AA11" i="1"/>
  <c r="AA10" i="1"/>
  <c r="O11" i="1"/>
  <c r="O12" i="1"/>
  <c r="AA8" i="1"/>
  <c r="O9" i="1"/>
  <c r="AA14" i="1"/>
  <c r="O10" i="1"/>
  <c r="O13" i="1"/>
  <c r="AA13" i="1"/>
  <c r="O557" i="1" l="1"/>
  <c r="AA557" i="1"/>
  <c r="O526" i="1"/>
  <c r="AA520" i="1"/>
  <c r="AA502" i="1"/>
  <c r="AA526" i="1"/>
  <c r="AA550" i="1"/>
  <c r="AA549" i="1"/>
  <c r="AA548" i="1"/>
  <c r="AA547" i="1"/>
  <c r="AA546" i="1"/>
  <c r="AA545" i="1"/>
  <c r="AA544" i="1"/>
  <c r="AA543" i="1"/>
  <c r="AA542" i="1"/>
  <c r="AA541" i="1"/>
  <c r="AA540" i="1"/>
  <c r="AA539" i="1"/>
  <c r="AA538" i="1"/>
  <c r="J550" i="1"/>
  <c r="J549" i="1"/>
  <c r="J548" i="1"/>
  <c r="J547" i="1"/>
  <c r="J546" i="1"/>
  <c r="J545" i="1"/>
  <c r="J544" i="1"/>
  <c r="J543" i="1"/>
  <c r="J542" i="1"/>
  <c r="J541" i="1"/>
  <c r="J540" i="1"/>
  <c r="J539" i="1"/>
  <c r="J538" i="1"/>
  <c r="J537" i="1"/>
  <c r="J536" i="1"/>
  <c r="J535" i="1"/>
  <c r="O550" i="1"/>
  <c r="O549" i="1"/>
  <c r="O547" i="1"/>
  <c r="O548" i="1"/>
  <c r="O546" i="1"/>
  <c r="O545" i="1"/>
  <c r="O544" i="1"/>
  <c r="O543" i="1"/>
  <c r="O542" i="1"/>
  <c r="O541" i="1"/>
  <c r="O540" i="1"/>
  <c r="O539" i="1"/>
  <c r="O538" i="1"/>
  <c r="O537" i="1"/>
  <c r="AA537" i="1"/>
  <c r="O536" i="1"/>
  <c r="AA536" i="1"/>
  <c r="O535" i="1"/>
  <c r="AA535" i="1"/>
  <c r="AA556" i="1"/>
  <c r="O556" i="1"/>
  <c r="J556" i="1"/>
  <c r="AA555" i="1"/>
  <c r="O555" i="1"/>
  <c r="J555" i="1"/>
  <c r="AA554" i="1"/>
  <c r="O554" i="1"/>
  <c r="J554" i="1"/>
  <c r="O534" i="1"/>
  <c r="AA534" i="1"/>
  <c r="O533" i="1"/>
  <c r="AA533" i="1"/>
  <c r="O532" i="1"/>
  <c r="AA532" i="1"/>
  <c r="J534" i="1"/>
  <c r="J533" i="1"/>
  <c r="J532" i="1"/>
  <c r="J501" i="1"/>
  <c r="J500" i="1"/>
  <c r="J499" i="1"/>
  <c r="J498" i="1"/>
  <c r="J497" i="1"/>
  <c r="J496" i="1"/>
  <c r="J495" i="1"/>
  <c r="J494" i="1"/>
  <c r="J493" i="1"/>
  <c r="J492" i="1"/>
  <c r="J491" i="1"/>
  <c r="J490" i="1"/>
  <c r="O501" i="1"/>
  <c r="AA501" i="1"/>
  <c r="O500" i="1"/>
  <c r="AA500" i="1"/>
  <c r="O499" i="1"/>
  <c r="AA499" i="1"/>
  <c r="O498" i="1"/>
  <c r="AA498" i="1"/>
  <c r="O497" i="1"/>
  <c r="AA497" i="1"/>
  <c r="O496" i="1"/>
  <c r="AA496" i="1"/>
  <c r="O495" i="1"/>
  <c r="AA495" i="1"/>
  <c r="O494" i="1"/>
  <c r="AA494" i="1"/>
  <c r="O493" i="1"/>
  <c r="AA493" i="1"/>
  <c r="O492" i="1"/>
  <c r="AA492" i="1"/>
  <c r="O491" i="1"/>
  <c r="AA491" i="1"/>
  <c r="O490" i="1"/>
  <c r="AA490" i="1"/>
  <c r="O489" i="1"/>
  <c r="AA489" i="1"/>
  <c r="O488" i="1"/>
  <c r="AA488" i="1"/>
  <c r="O487" i="1"/>
  <c r="AA487" i="1"/>
  <c r="O486" i="1"/>
  <c r="AA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AA485" i="1"/>
  <c r="AA484" i="1"/>
  <c r="AA483" i="1"/>
  <c r="AA482" i="1"/>
  <c r="AA48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AA553" i="1"/>
  <c r="AA552" i="1"/>
  <c r="AA551" i="1"/>
  <c r="O551" i="1"/>
  <c r="O553" i="1"/>
  <c r="AA563" i="1"/>
  <c r="O563" i="1"/>
  <c r="AA573" i="1"/>
  <c r="O573" i="1"/>
  <c r="J397" i="1"/>
  <c r="J396" i="1"/>
  <c r="J395" i="1"/>
  <c r="J394" i="1"/>
  <c r="J393" i="1"/>
  <c r="J392" i="1"/>
  <c r="J391" i="1"/>
  <c r="J390" i="1"/>
  <c r="J389" i="1"/>
  <c r="J388" i="1"/>
  <c r="J387" i="1"/>
  <c r="J386" i="1"/>
  <c r="J385" i="1"/>
  <c r="J384" i="1"/>
  <c r="J383" i="1"/>
  <c r="J382"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19" i="1"/>
  <c r="J318" i="1"/>
  <c r="J317" i="1"/>
  <c r="J316" i="1"/>
  <c r="J315" i="1"/>
  <c r="J314" i="1"/>
  <c r="J313" i="1"/>
  <c r="J312" i="1"/>
  <c r="J311" i="1"/>
  <c r="J310" i="1"/>
  <c r="J309" i="1"/>
  <c r="J308" i="1"/>
  <c r="J288" i="1"/>
  <c r="J287" i="1"/>
  <c r="J286" i="1"/>
  <c r="J285" i="1"/>
  <c r="J284" i="1"/>
  <c r="J283" i="1"/>
  <c r="J282" i="1"/>
  <c r="J281" i="1"/>
  <c r="J280" i="1"/>
  <c r="J381" i="1"/>
  <c r="J380" i="1"/>
  <c r="J379" i="1"/>
  <c r="J378" i="1"/>
  <c r="J377" i="1"/>
  <c r="J376"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191" i="1"/>
  <c r="J190" i="1"/>
  <c r="J189" i="1"/>
  <c r="J188" i="1"/>
  <c r="J187" i="1"/>
  <c r="J186" i="1"/>
  <c r="J185" i="1"/>
  <c r="J184" i="1"/>
  <c r="J183" i="1"/>
  <c r="J182" i="1"/>
  <c r="J181" i="1"/>
  <c r="J180" i="1"/>
  <c r="J179" i="1"/>
  <c r="J178" i="1"/>
  <c r="J177" i="1"/>
  <c r="J176" i="1"/>
  <c r="N402" i="1"/>
  <c r="AA402" i="1" s="1"/>
  <c r="N403" i="1"/>
  <c r="N404" i="1"/>
  <c r="N405" i="1"/>
  <c r="N406" i="1"/>
  <c r="AA406" i="1" s="1"/>
  <c r="N407" i="1"/>
  <c r="N398" i="1"/>
  <c r="AA398" i="1" s="1"/>
  <c r="N369" i="1"/>
  <c r="N370" i="1"/>
  <c r="N371" i="1"/>
  <c r="N372" i="1"/>
  <c r="AA372" i="1" s="1"/>
  <c r="N373" i="1"/>
  <c r="AA373" i="1" s="1"/>
  <c r="N374" i="1"/>
  <c r="AA374" i="1" s="1"/>
  <c r="N375" i="1"/>
  <c r="O368" i="1"/>
  <c r="N451" i="1"/>
  <c r="N452" i="1"/>
  <c r="N422" i="1"/>
  <c r="N423" i="1"/>
  <c r="AA423" i="1" s="1"/>
  <c r="N424" i="1"/>
  <c r="N425" i="1"/>
  <c r="N426" i="1"/>
  <c r="N427" i="1"/>
  <c r="N428" i="1"/>
  <c r="AA428" i="1" s="1"/>
  <c r="N429" i="1"/>
  <c r="AA429" i="1" s="1"/>
  <c r="N430" i="1"/>
  <c r="N431" i="1"/>
  <c r="N432" i="1"/>
  <c r="AA432" i="1" s="1"/>
  <c r="N433" i="1"/>
  <c r="AA433" i="1" s="1"/>
  <c r="N434" i="1"/>
  <c r="AA434" i="1" s="1"/>
  <c r="N435" i="1"/>
  <c r="N436" i="1"/>
  <c r="N15" i="1"/>
  <c r="O15" i="1" s="1"/>
  <c r="N215" i="1"/>
  <c r="N156" i="1"/>
  <c r="N207" i="1"/>
  <c r="AA207" i="1" s="1"/>
  <c r="N209" i="1"/>
  <c r="N210" i="1"/>
  <c r="N211" i="1"/>
  <c r="AA211" i="1" s="1"/>
  <c r="N212" i="1"/>
  <c r="AA212" i="1" s="1"/>
  <c r="N213" i="1"/>
  <c r="O174" i="1"/>
  <c r="O175" i="1"/>
  <c r="N195" i="1"/>
  <c r="AA195" i="1" s="1"/>
  <c r="N196" i="1"/>
  <c r="N199" i="1"/>
  <c r="N200" i="1"/>
  <c r="N217" i="1"/>
  <c r="AA217" i="1" s="1"/>
  <c r="N220" i="1"/>
  <c r="N230" i="1"/>
  <c r="N400" i="1"/>
  <c r="N401" i="1"/>
  <c r="AA401" i="1" s="1"/>
  <c r="O20" i="1"/>
  <c r="AA20" i="1"/>
  <c r="O22" i="1"/>
  <c r="AA22" i="1"/>
  <c r="O24" i="1"/>
  <c r="AA24" i="1"/>
  <c r="O26" i="1"/>
  <c r="AA26" i="1"/>
  <c r="AA145" i="1"/>
  <c r="O160" i="1"/>
  <c r="AA160" i="1"/>
  <c r="O153" i="1"/>
  <c r="AA153" i="1"/>
  <c r="O154" i="1"/>
  <c r="AA154" i="1"/>
  <c r="O155" i="1"/>
  <c r="AA155" i="1"/>
  <c r="O163" i="1"/>
  <c r="AA163" i="1"/>
  <c r="O176" i="1"/>
  <c r="AA176" i="1"/>
  <c r="O177" i="1"/>
  <c r="AA177" i="1"/>
  <c r="O178" i="1"/>
  <c r="AA178" i="1"/>
  <c r="O179" i="1"/>
  <c r="AA179" i="1"/>
  <c r="O180" i="1"/>
  <c r="AA180" i="1"/>
  <c r="O181" i="1"/>
  <c r="AA181" i="1"/>
  <c r="O182" i="1"/>
  <c r="AA182" i="1"/>
  <c r="O183" i="1"/>
  <c r="AA183" i="1"/>
  <c r="O184" i="1"/>
  <c r="AA184" i="1"/>
  <c r="O185" i="1"/>
  <c r="AA185" i="1"/>
  <c r="O186" i="1"/>
  <c r="AA186" i="1"/>
  <c r="O187" i="1"/>
  <c r="AA187" i="1"/>
  <c r="O188" i="1"/>
  <c r="AA188" i="1"/>
  <c r="O189" i="1"/>
  <c r="AA189" i="1"/>
  <c r="O190" i="1"/>
  <c r="AA190" i="1"/>
  <c r="O191" i="1"/>
  <c r="AA191" i="1"/>
  <c r="O192" i="1"/>
  <c r="AA192" i="1"/>
  <c r="O193" i="1"/>
  <c r="AA193" i="1"/>
  <c r="O194" i="1"/>
  <c r="AA194" i="1"/>
  <c r="O201" i="1"/>
  <c r="AA201" i="1"/>
  <c r="O226" i="1"/>
  <c r="AA226" i="1"/>
  <c r="O227" i="1"/>
  <c r="AA227" i="1"/>
  <c r="O228" i="1"/>
  <c r="AA228" i="1"/>
  <c r="O229" i="1"/>
  <c r="AA229" i="1"/>
  <c r="O234" i="1"/>
  <c r="AA234" i="1"/>
  <c r="O235" i="1"/>
  <c r="AA235" i="1"/>
  <c r="O236" i="1"/>
  <c r="AA236" i="1"/>
  <c r="O237" i="1"/>
  <c r="AA237" i="1"/>
  <c r="O238" i="1"/>
  <c r="AA238" i="1"/>
  <c r="O240" i="1"/>
  <c r="AA240" i="1"/>
  <c r="O241" i="1"/>
  <c r="AA241" i="1"/>
  <c r="O242" i="1"/>
  <c r="AA242" i="1"/>
  <c r="O243" i="1"/>
  <c r="AA243" i="1"/>
  <c r="O244" i="1"/>
  <c r="AA244" i="1"/>
  <c r="O246" i="1"/>
  <c r="AA246" i="1"/>
  <c r="O247" i="1"/>
  <c r="AA247" i="1"/>
  <c r="O248" i="1"/>
  <c r="AA248" i="1"/>
  <c r="O249" i="1"/>
  <c r="AA249" i="1"/>
  <c r="O250" i="1"/>
  <c r="AA250" i="1"/>
  <c r="O252" i="1"/>
  <c r="AA252" i="1"/>
  <c r="O253" i="1"/>
  <c r="AA253" i="1"/>
  <c r="O254" i="1"/>
  <c r="AA254" i="1"/>
  <c r="O255" i="1"/>
  <c r="AA255" i="1"/>
  <c r="O256" i="1"/>
  <c r="AA256" i="1"/>
  <c r="O258" i="1"/>
  <c r="AA258" i="1"/>
  <c r="O259" i="1"/>
  <c r="AA259" i="1"/>
  <c r="O260" i="1"/>
  <c r="AA260" i="1"/>
  <c r="O261" i="1"/>
  <c r="AA261" i="1"/>
  <c r="O262" i="1"/>
  <c r="AA262" i="1"/>
  <c r="O263" i="1"/>
  <c r="AA263" i="1"/>
  <c r="O275" i="1"/>
  <c r="AA275" i="1"/>
  <c r="O276" i="1"/>
  <c r="AA276" i="1"/>
  <c r="O277" i="1"/>
  <c r="AA277" i="1"/>
  <c r="O279" i="1"/>
  <c r="AA279" i="1"/>
  <c r="O376" i="1"/>
  <c r="AA376" i="1"/>
  <c r="O377" i="1"/>
  <c r="AA377" i="1"/>
  <c r="O378" i="1"/>
  <c r="AA378" i="1"/>
  <c r="O379" i="1"/>
  <c r="AA379" i="1"/>
  <c r="O380" i="1"/>
  <c r="AA380" i="1"/>
  <c r="O381" i="1"/>
  <c r="AA381" i="1"/>
  <c r="O280" i="1"/>
  <c r="AA280" i="1"/>
  <c r="O281" i="1"/>
  <c r="AA281" i="1"/>
  <c r="O282" i="1"/>
  <c r="AA282" i="1"/>
  <c r="O283" i="1"/>
  <c r="AA283" i="1"/>
  <c r="O284" i="1"/>
  <c r="AA284" i="1"/>
  <c r="O285" i="1"/>
  <c r="AA285" i="1"/>
  <c r="O286" i="1"/>
  <c r="AA286" i="1"/>
  <c r="O287" i="1"/>
  <c r="AA287" i="1"/>
  <c r="O288" i="1"/>
  <c r="AA288" i="1"/>
  <c r="O290" i="1"/>
  <c r="AA290" i="1"/>
  <c r="O308" i="1"/>
  <c r="AA308" i="1"/>
  <c r="O309" i="1"/>
  <c r="AA309" i="1"/>
  <c r="O310" i="1"/>
  <c r="AA310" i="1"/>
  <c r="O311" i="1"/>
  <c r="AA311" i="1"/>
  <c r="O312" i="1"/>
  <c r="AA312" i="1"/>
  <c r="O313" i="1"/>
  <c r="AA313" i="1"/>
  <c r="O314" i="1"/>
  <c r="AA314" i="1"/>
  <c r="O315" i="1"/>
  <c r="AA315" i="1"/>
  <c r="O316" i="1"/>
  <c r="AA316" i="1"/>
  <c r="O317" i="1"/>
  <c r="AA317" i="1"/>
  <c r="O318" i="1"/>
  <c r="AA318" i="1"/>
  <c r="O319" i="1"/>
  <c r="AA319" i="1"/>
  <c r="O306" i="1"/>
  <c r="AA306" i="1"/>
  <c r="O307" i="1"/>
  <c r="AA307" i="1"/>
  <c r="O291" i="1"/>
  <c r="AA291" i="1"/>
  <c r="O296" i="1"/>
  <c r="AA296" i="1"/>
  <c r="O298" i="1"/>
  <c r="AA298" i="1"/>
  <c r="O320" i="1"/>
  <c r="O321" i="1"/>
  <c r="O324" i="1"/>
  <c r="AA324" i="1"/>
  <c r="O325" i="1"/>
  <c r="AA325" i="1"/>
  <c r="O326" i="1"/>
  <c r="AA326" i="1"/>
  <c r="O327" i="1"/>
  <c r="AA327" i="1"/>
  <c r="O328" i="1"/>
  <c r="AA328" i="1"/>
  <c r="O329" i="1"/>
  <c r="AA329" i="1"/>
  <c r="O330" i="1"/>
  <c r="AA330" i="1"/>
  <c r="O331" i="1"/>
  <c r="AA331" i="1"/>
  <c r="O332" i="1"/>
  <c r="AA332" i="1"/>
  <c r="O333" i="1"/>
  <c r="AA333" i="1"/>
  <c r="O334" i="1"/>
  <c r="AA334" i="1"/>
  <c r="O335" i="1"/>
  <c r="AA335" i="1"/>
  <c r="O336" i="1"/>
  <c r="AA336" i="1"/>
  <c r="O337" i="1"/>
  <c r="AA337" i="1"/>
  <c r="O338" i="1"/>
  <c r="AA338" i="1"/>
  <c r="O339" i="1"/>
  <c r="AA339" i="1"/>
  <c r="O340" i="1"/>
  <c r="AA340" i="1"/>
  <c r="O341" i="1"/>
  <c r="AA341" i="1"/>
  <c r="O342" i="1"/>
  <c r="AA342" i="1"/>
  <c r="O343" i="1"/>
  <c r="AA343" i="1"/>
  <c r="O344" i="1"/>
  <c r="AA344" i="1"/>
  <c r="O345" i="1"/>
  <c r="AA345" i="1"/>
  <c r="O346" i="1"/>
  <c r="AA346" i="1"/>
  <c r="O347" i="1"/>
  <c r="AA347" i="1"/>
  <c r="O348" i="1"/>
  <c r="AA348" i="1"/>
  <c r="O349" i="1"/>
  <c r="AA349" i="1"/>
  <c r="O350" i="1"/>
  <c r="AA350" i="1"/>
  <c r="O351" i="1"/>
  <c r="AA351" i="1"/>
  <c r="O352" i="1"/>
  <c r="AA352" i="1"/>
  <c r="O353" i="1"/>
  <c r="AA353" i="1"/>
  <c r="O354" i="1"/>
  <c r="AA354" i="1"/>
  <c r="O355" i="1"/>
  <c r="AA355" i="1"/>
  <c r="O356" i="1"/>
  <c r="AA356" i="1"/>
  <c r="O357" i="1"/>
  <c r="AA357" i="1"/>
  <c r="O358" i="1"/>
  <c r="AA358" i="1"/>
  <c r="O359" i="1"/>
  <c r="AA359" i="1"/>
  <c r="O360" i="1"/>
  <c r="AA360" i="1"/>
  <c r="O361" i="1"/>
  <c r="AA361" i="1"/>
  <c r="O362" i="1"/>
  <c r="AA362" i="1"/>
  <c r="O363" i="1"/>
  <c r="AA363" i="1"/>
  <c r="O364" i="1"/>
  <c r="AA364" i="1"/>
  <c r="O365" i="1"/>
  <c r="AA365" i="1"/>
  <c r="O366" i="1"/>
  <c r="AA366" i="1"/>
  <c r="O367" i="1"/>
  <c r="AA367" i="1"/>
  <c r="O382" i="1"/>
  <c r="AA382" i="1"/>
  <c r="O383" i="1"/>
  <c r="AA383" i="1"/>
  <c r="O384" i="1"/>
  <c r="AA384" i="1"/>
  <c r="O385" i="1"/>
  <c r="AA385" i="1"/>
  <c r="O386" i="1"/>
  <c r="AA386" i="1"/>
  <c r="O387" i="1"/>
  <c r="AA387" i="1"/>
  <c r="O388" i="1"/>
  <c r="AA388" i="1"/>
  <c r="O389" i="1"/>
  <c r="AA389" i="1"/>
  <c r="O390" i="1"/>
  <c r="AA390" i="1"/>
  <c r="O391" i="1"/>
  <c r="AA391" i="1"/>
  <c r="O392" i="1"/>
  <c r="AA392" i="1"/>
  <c r="O393" i="1"/>
  <c r="AA393" i="1"/>
  <c r="O394" i="1"/>
  <c r="AA394" i="1"/>
  <c r="O395" i="1"/>
  <c r="AA395" i="1"/>
  <c r="O396" i="1"/>
  <c r="AA396" i="1"/>
  <c r="O397" i="1"/>
  <c r="AA397" i="1"/>
  <c r="O399" i="1"/>
  <c r="AA399" i="1"/>
  <c r="O437" i="1"/>
  <c r="AA437" i="1"/>
  <c r="O438" i="1"/>
  <c r="AA438" i="1"/>
  <c r="AA146" i="1"/>
  <c r="O146" i="1"/>
  <c r="AA421" i="1"/>
  <c r="AA3" i="1"/>
  <c r="O5" i="1"/>
  <c r="AA420" i="1"/>
  <c r="AA16" i="1"/>
  <c r="AA5" i="1"/>
  <c r="O420" i="1"/>
  <c r="O16" i="1"/>
  <c r="AA6" i="1"/>
  <c r="O6" i="1"/>
  <c r="O145" i="1"/>
  <c r="O520" i="1"/>
  <c r="L296" i="1" l="1"/>
  <c r="L298" i="1"/>
  <c r="L520" i="1"/>
  <c r="L563" i="1"/>
  <c r="L557" i="1"/>
  <c r="L526" i="1"/>
  <c r="L502" i="1"/>
  <c r="L291" i="1"/>
  <c r="N174" i="1"/>
  <c r="L217" i="1"/>
  <c r="N175" i="1"/>
  <c r="L26" i="1"/>
  <c r="L20" i="1"/>
  <c r="L24" i="1"/>
  <c r="L16" i="1"/>
  <c r="L22" i="1"/>
  <c r="AA435" i="1"/>
  <c r="AA451" i="1"/>
  <c r="AA436" i="1"/>
  <c r="AA427" i="1"/>
  <c r="O451" i="1"/>
  <c r="AA424" i="1"/>
  <c r="O18" i="1"/>
  <c r="AA371" i="1"/>
  <c r="AA403" i="1"/>
  <c r="AA426" i="1"/>
  <c r="AA213" i="1"/>
  <c r="AA430" i="1"/>
  <c r="AA431" i="1"/>
  <c r="AA422" i="1"/>
  <c r="AA369" i="1"/>
  <c r="AA15" i="1"/>
  <c r="AA156" i="1"/>
  <c r="AA404" i="1"/>
  <c r="AA452" i="1"/>
  <c r="AA199" i="1"/>
  <c r="AA407" i="1"/>
  <c r="AA210" i="1"/>
  <c r="AA209" i="1"/>
  <c r="AA200" i="1"/>
  <c r="AA375" i="1"/>
  <c r="AA425" i="1"/>
  <c r="O215" i="1"/>
  <c r="AA400" i="1"/>
  <c r="O502" i="1"/>
  <c r="AA196" i="1"/>
  <c r="AA18" i="1"/>
  <c r="AA215" i="1"/>
  <c r="O452" i="1"/>
  <c r="O421" i="1"/>
  <c r="AA370" i="1"/>
  <c r="AA368" i="1"/>
  <c r="AA405" i="1"/>
  <c r="O289" i="1"/>
  <c r="L439" i="1" l="1"/>
  <c r="L438" i="1" s="1"/>
  <c r="S15" i="1"/>
  <c r="N289" i="1"/>
  <c r="AA289" i="1" s="1"/>
  <c r="L157" i="1"/>
  <c r="S215" i="1"/>
  <c r="L215" i="1"/>
  <c r="L437" i="1" l="1"/>
  <c r="L451" i="1"/>
  <c r="L2" i="1" s="1"/>
  <c r="M452" i="1" s="1"/>
  <c r="T452" i="1" s="1"/>
  <c r="V452" i="1" s="1"/>
  <c r="U452" i="1" s="1"/>
  <c r="M1134" i="1" l="1"/>
  <c r="M1135" i="1"/>
  <c r="M1071" i="1"/>
  <c r="M1065" i="1"/>
  <c r="M1070" i="1"/>
  <c r="M1068" i="1"/>
  <c r="M1069" i="1"/>
  <c r="M1067" i="1"/>
  <c r="M1066" i="1"/>
  <c r="M1048" i="1"/>
  <c r="M1049" i="1"/>
  <c r="M1051" i="1"/>
  <c r="M1050" i="1"/>
  <c r="M762" i="1"/>
  <c r="M760" i="1"/>
  <c r="M764" i="1"/>
  <c r="M966" i="1"/>
  <c r="M756" i="1"/>
  <c r="M758" i="1"/>
  <c r="M957" i="1"/>
  <c r="M954" i="1"/>
  <c r="M952" i="1"/>
  <c r="M956" i="1"/>
  <c r="M949" i="1"/>
  <c r="T949" i="1" s="1"/>
  <c r="V949" i="1" s="1"/>
  <c r="U949" i="1" s="1"/>
  <c r="V1130" i="1"/>
  <c r="U1126" i="1"/>
  <c r="U1127" i="1"/>
  <c r="U1131" i="1"/>
  <c r="V1132" i="1"/>
  <c r="U1128" i="1"/>
  <c r="V1127" i="1"/>
  <c r="U1129" i="1"/>
  <c r="U1133" i="1"/>
  <c r="V1129" i="1"/>
  <c r="V1133" i="1"/>
  <c r="M948" i="1"/>
  <c r="T948" i="1" s="1"/>
  <c r="V948" i="1" s="1"/>
  <c r="U948" i="1" s="1"/>
  <c r="U1130" i="1"/>
  <c r="V1126" i="1"/>
  <c r="V1131" i="1"/>
  <c r="M947" i="1"/>
  <c r="T947" i="1" s="1"/>
  <c r="V947" i="1" s="1"/>
  <c r="U947" i="1" s="1"/>
  <c r="U1132" i="1"/>
  <c r="V1128" i="1"/>
  <c r="M950" i="1"/>
  <c r="T950" i="1" s="1"/>
  <c r="V950" i="1" s="1"/>
  <c r="U950" i="1" s="1"/>
  <c r="M1104" i="1"/>
  <c r="M1103" i="1"/>
  <c r="M1102" i="1"/>
  <c r="M1105" i="1"/>
  <c r="M1106" i="1"/>
  <c r="M1101" i="1"/>
  <c r="M1129" i="1"/>
  <c r="M1100" i="1"/>
  <c r="M1130" i="1"/>
  <c r="M1084" i="1"/>
  <c r="M1080" i="1"/>
  <c r="M1076" i="1"/>
  <c r="M1082" i="1"/>
  <c r="M1079" i="1"/>
  <c r="M1083" i="1"/>
  <c r="M1074" i="1"/>
  <c r="M1128" i="1"/>
  <c r="M1075" i="1"/>
  <c r="M1072" i="1"/>
  <c r="M1078" i="1"/>
  <c r="M1077" i="1"/>
  <c r="M1126" i="1"/>
  <c r="M1131" i="1"/>
  <c r="M1127" i="1"/>
  <c r="M1132" i="1"/>
  <c r="M1081" i="1"/>
  <c r="M1133" i="1"/>
  <c r="M1073" i="1"/>
  <c r="M1085" i="1"/>
  <c r="M662" i="1"/>
  <c r="T662" i="1" s="1"/>
  <c r="M1125" i="1"/>
  <c r="M1064" i="1"/>
  <c r="V1064" i="1"/>
  <c r="U1064" i="1" s="1"/>
  <c r="M1121" i="1"/>
  <c r="M1115" i="1"/>
  <c r="M1053" i="1"/>
  <c r="M1059" i="1"/>
  <c r="M1123" i="1"/>
  <c r="M1117" i="1"/>
  <c r="M1119" i="1"/>
  <c r="M1113" i="1"/>
  <c r="M1114" i="1"/>
  <c r="M1112" i="1"/>
  <c r="M1111" i="1"/>
  <c r="M1110" i="1"/>
  <c r="M1109" i="1"/>
  <c r="M1038" i="1"/>
  <c r="M1040" i="1"/>
  <c r="M1047" i="1"/>
  <c r="M1046" i="1"/>
  <c r="M1037" i="1"/>
  <c r="M1039" i="1"/>
  <c r="M1044" i="1"/>
  <c r="M1043" i="1"/>
  <c r="M1036" i="1"/>
  <c r="M1045" i="1"/>
  <c r="M1042" i="1"/>
  <c r="M1041" i="1"/>
  <c r="M1107" i="1"/>
  <c r="M1108" i="1"/>
  <c r="V927" i="1"/>
  <c r="U927" i="1" s="1"/>
  <c r="M715" i="1"/>
  <c r="M713" i="1"/>
  <c r="M714" i="1"/>
  <c r="M712" i="1"/>
  <c r="M709" i="1"/>
  <c r="T709" i="1" s="1"/>
  <c r="V709" i="1" s="1"/>
  <c r="U709" i="1" s="1"/>
  <c r="M707" i="1"/>
  <c r="T707" i="1" s="1"/>
  <c r="V707" i="1" s="1"/>
  <c r="U707" i="1" s="1"/>
  <c r="M708" i="1"/>
  <c r="T708" i="1" s="1"/>
  <c r="V708" i="1" s="1"/>
  <c r="U708" i="1" s="1"/>
  <c r="M710" i="1"/>
  <c r="T710" i="1" s="1"/>
  <c r="V710" i="1" s="1"/>
  <c r="U710" i="1" s="1"/>
  <c r="M658" i="1"/>
  <c r="T658" i="1" s="1"/>
  <c r="U658" i="1"/>
  <c r="V659" i="1"/>
  <c r="M659" i="1"/>
  <c r="V658" i="1"/>
  <c r="U659" i="1"/>
  <c r="M941" i="1"/>
  <c r="T941" i="1" s="1"/>
  <c r="V941" i="1" s="1"/>
  <c r="U941" i="1" s="1"/>
  <c r="M942" i="1"/>
  <c r="T942" i="1" s="1"/>
  <c r="V942" i="1" s="1"/>
  <c r="U942" i="1" s="1"/>
  <c r="V982" i="1"/>
  <c r="V991" i="1"/>
  <c r="V995" i="1"/>
  <c r="V1020" i="1"/>
  <c r="V994" i="1"/>
  <c r="V986" i="1"/>
  <c r="V992" i="1"/>
  <c r="V996" i="1"/>
  <c r="V984" i="1"/>
  <c r="V990" i="1"/>
  <c r="V993" i="1"/>
  <c r="V983" i="1"/>
  <c r="V985" i="1"/>
  <c r="V989" i="1"/>
  <c r="V988" i="1"/>
  <c r="V987" i="1"/>
  <c r="U664" i="1"/>
  <c r="U813" i="1"/>
  <c r="V919" i="1"/>
  <c r="V887" i="1"/>
  <c r="V855" i="1"/>
  <c r="V823" i="1"/>
  <c r="V791" i="1"/>
  <c r="V918" i="1"/>
  <c r="V886" i="1"/>
  <c r="V854" i="1"/>
  <c r="V822" i="1"/>
  <c r="V790" i="1"/>
  <c r="V901" i="1"/>
  <c r="U892" i="1"/>
  <c r="U923" i="1"/>
  <c r="U835" i="1"/>
  <c r="V922" i="1"/>
  <c r="V890" i="1"/>
  <c r="V858" i="1"/>
  <c r="V826" i="1"/>
  <c r="V794" i="1"/>
  <c r="V885" i="1"/>
  <c r="U671" i="1"/>
  <c r="V836" i="1"/>
  <c r="V891" i="1"/>
  <c r="V803" i="1"/>
  <c r="U913" i="1"/>
  <c r="U881" i="1"/>
  <c r="U849" i="1"/>
  <c r="U817" i="1"/>
  <c r="U785" i="1"/>
  <c r="V845" i="1"/>
  <c r="V900" i="1"/>
  <c r="V804" i="1"/>
  <c r="V907" i="1"/>
  <c r="U667" i="1"/>
  <c r="V864" i="1"/>
  <c r="V664" i="1"/>
  <c r="V813" i="1"/>
  <c r="U911" i="1"/>
  <c r="U879" i="1"/>
  <c r="U847" i="1"/>
  <c r="U815" i="1"/>
  <c r="U783" i="1"/>
  <c r="U918" i="1"/>
  <c r="U886" i="1"/>
  <c r="U854" i="1"/>
  <c r="U822" i="1"/>
  <c r="U790" i="1"/>
  <c r="U861" i="1"/>
  <c r="V892" i="1"/>
  <c r="V923" i="1"/>
  <c r="V835" i="1"/>
  <c r="U922" i="1"/>
  <c r="U890" i="1"/>
  <c r="U858" i="1"/>
  <c r="U826" i="1"/>
  <c r="U794" i="1"/>
  <c r="U853" i="1"/>
  <c r="U908" i="1"/>
  <c r="U820" i="1"/>
  <c r="U867" i="1"/>
  <c r="U787" i="1"/>
  <c r="V913" i="1"/>
  <c r="V881" i="1"/>
  <c r="V849" i="1"/>
  <c r="V817" i="1"/>
  <c r="V785" i="1"/>
  <c r="U805" i="1"/>
  <c r="U876" i="1"/>
  <c r="U788" i="1"/>
  <c r="U883" i="1"/>
  <c r="U920" i="1"/>
  <c r="U888" i="1"/>
  <c r="U856" i="1"/>
  <c r="U824" i="1"/>
  <c r="U792" i="1"/>
  <c r="U893" i="1"/>
  <c r="U781" i="1"/>
  <c r="V911" i="1"/>
  <c r="V879" i="1"/>
  <c r="V847" i="1"/>
  <c r="V815" i="1"/>
  <c r="V783" i="1"/>
  <c r="V910" i="1"/>
  <c r="V878" i="1"/>
  <c r="V846" i="1"/>
  <c r="V814" i="1"/>
  <c r="V782" i="1"/>
  <c r="V861" i="1"/>
  <c r="U868" i="1"/>
  <c r="U899" i="1"/>
  <c r="U811" i="1"/>
  <c r="V914" i="1"/>
  <c r="V882" i="1"/>
  <c r="V850" i="1"/>
  <c r="V818" i="1"/>
  <c r="V786" i="1"/>
  <c r="V853" i="1"/>
  <c r="V908" i="1"/>
  <c r="V820" i="1"/>
  <c r="V867" i="1"/>
  <c r="V787" i="1"/>
  <c r="U905" i="1"/>
  <c r="U873" i="1"/>
  <c r="U841" i="1"/>
  <c r="U809" i="1"/>
  <c r="V771" i="1"/>
  <c r="V805" i="1"/>
  <c r="V876" i="1"/>
  <c r="V788" i="1"/>
  <c r="V883" i="1"/>
  <c r="V920" i="1"/>
  <c r="V888" i="1"/>
  <c r="V856" i="1"/>
  <c r="V824" i="1"/>
  <c r="V792" i="1"/>
  <c r="V781" i="1"/>
  <c r="V769" i="1"/>
  <c r="U837" i="1"/>
  <c r="V666" i="1"/>
  <c r="V895" i="1"/>
  <c r="V863" i="1"/>
  <c r="V831" i="1"/>
  <c r="V799" i="1"/>
  <c r="U665" i="1"/>
  <c r="V894" i="1"/>
  <c r="V862" i="1"/>
  <c r="V830" i="1"/>
  <c r="V798" i="1"/>
  <c r="V672" i="1"/>
  <c r="U916" i="1"/>
  <c r="U812" i="1"/>
  <c r="U859" i="1"/>
  <c r="U669" i="1"/>
  <c r="V898" i="1"/>
  <c r="V866" i="1"/>
  <c r="V834" i="1"/>
  <c r="V802" i="1"/>
  <c r="V917" i="1"/>
  <c r="V797" i="1"/>
  <c r="V860" i="1"/>
  <c r="V915" i="1"/>
  <c r="V827" i="1"/>
  <c r="U921" i="1"/>
  <c r="U889" i="1"/>
  <c r="U857" i="1"/>
  <c r="U825" i="1"/>
  <c r="U793" i="1"/>
  <c r="V877" i="1"/>
  <c r="U663" i="1"/>
  <c r="V828" i="1"/>
  <c r="V670" i="1"/>
  <c r="V819" i="1"/>
  <c r="V904" i="1"/>
  <c r="V872" i="1"/>
  <c r="V840" i="1"/>
  <c r="V808" i="1"/>
  <c r="V837" i="1"/>
  <c r="U919" i="1"/>
  <c r="U887" i="1"/>
  <c r="U855" i="1"/>
  <c r="U823" i="1"/>
  <c r="U791" i="1"/>
  <c r="V665" i="1"/>
  <c r="U894" i="1"/>
  <c r="U862" i="1"/>
  <c r="U830" i="1"/>
  <c r="U798" i="1"/>
  <c r="U901" i="1"/>
  <c r="V916" i="1"/>
  <c r="V812" i="1"/>
  <c r="V859" i="1"/>
  <c r="V669" i="1"/>
  <c r="U898" i="1"/>
  <c r="U866" i="1"/>
  <c r="U834" i="1"/>
  <c r="U802" i="1"/>
  <c r="U885" i="1"/>
  <c r="V671" i="1"/>
  <c r="U836" i="1"/>
  <c r="U891" i="1"/>
  <c r="U803" i="1"/>
  <c r="V921" i="1"/>
  <c r="V889" i="1"/>
  <c r="V857" i="1"/>
  <c r="V825" i="1"/>
  <c r="V793" i="1"/>
  <c r="U845" i="1"/>
  <c r="U900" i="1"/>
  <c r="U804" i="1"/>
  <c r="U907" i="1"/>
  <c r="V667" i="1"/>
  <c r="U896" i="1"/>
  <c r="U864" i="1"/>
  <c r="U832" i="1"/>
  <c r="U800" i="1"/>
  <c r="V896" i="1"/>
  <c r="V832" i="1"/>
  <c r="V800" i="1"/>
  <c r="V893" i="1"/>
  <c r="U871" i="1"/>
  <c r="U839" i="1"/>
  <c r="U807" i="1"/>
  <c r="U850" i="1"/>
  <c r="U782" i="1"/>
  <c r="U797" i="1"/>
  <c r="V852" i="1"/>
  <c r="U903" i="1"/>
  <c r="U906" i="1"/>
  <c r="U909" i="1"/>
  <c r="V903" i="1"/>
  <c r="U875" i="1"/>
  <c r="V865" i="1"/>
  <c r="V816" i="1"/>
  <c r="V869" i="1"/>
  <c r="V839" i="1"/>
  <c r="U902" i="1"/>
  <c r="V868" i="1"/>
  <c r="U829" i="1"/>
  <c r="V809" i="1"/>
  <c r="U848" i="1"/>
  <c r="V801" i="1"/>
  <c r="V768" i="1"/>
  <c r="U884" i="1"/>
  <c r="U828" i="1"/>
  <c r="U673" i="1"/>
  <c r="U810" i="1"/>
  <c r="V909" i="1"/>
  <c r="V766" i="1"/>
  <c r="U831" i="1"/>
  <c r="U878" i="1"/>
  <c r="U806" i="1"/>
  <c r="U844" i="1"/>
  <c r="U914" i="1"/>
  <c r="U842" i="1"/>
  <c r="V829" i="1"/>
  <c r="U843" i="1"/>
  <c r="V897" i="1"/>
  <c r="U801" i="1"/>
  <c r="V848" i="1"/>
  <c r="V807" i="1"/>
  <c r="V906" i="1"/>
  <c r="V843" i="1"/>
  <c r="U912" i="1"/>
  <c r="U799" i="1"/>
  <c r="V810" i="1"/>
  <c r="U865" i="1"/>
  <c r="U816" i="1"/>
  <c r="U672" i="1"/>
  <c r="V884" i="1"/>
  <c r="V780" i="1"/>
  <c r="U895" i="1"/>
  <c r="V673" i="1"/>
  <c r="V838" i="1"/>
  <c r="U821" i="1"/>
  <c r="V875" i="1"/>
  <c r="V874" i="1"/>
  <c r="U786" i="1"/>
  <c r="U860" i="1"/>
  <c r="U668" i="1"/>
  <c r="V841" i="1"/>
  <c r="U877" i="1"/>
  <c r="U780" i="1"/>
  <c r="U880" i="1"/>
  <c r="U808" i="1"/>
  <c r="V871" i="1"/>
  <c r="U910" i="1"/>
  <c r="U838" i="1"/>
  <c r="V821" i="1"/>
  <c r="V811" i="1"/>
  <c r="U874" i="1"/>
  <c r="V772" i="1"/>
  <c r="U796" i="1"/>
  <c r="V668" i="1"/>
  <c r="U833" i="1"/>
  <c r="U789" i="1"/>
  <c r="U670" i="1"/>
  <c r="V880" i="1"/>
  <c r="U784" i="1"/>
  <c r="U869" i="1"/>
  <c r="U863" i="1"/>
  <c r="V902" i="1"/>
  <c r="U814" i="1"/>
  <c r="V767" i="1"/>
  <c r="U795" i="1"/>
  <c r="U917" i="1"/>
  <c r="V796" i="1"/>
  <c r="V905" i="1"/>
  <c r="V833" i="1"/>
  <c r="V789" i="1"/>
  <c r="U851" i="1"/>
  <c r="U872" i="1"/>
  <c r="V784" i="1"/>
  <c r="V806" i="1"/>
  <c r="V795" i="1"/>
  <c r="V842" i="1"/>
  <c r="U915" i="1"/>
  <c r="U897" i="1"/>
  <c r="V663" i="1"/>
  <c r="V851" i="1"/>
  <c r="V770" i="1"/>
  <c r="U852" i="1"/>
  <c r="U819" i="1"/>
  <c r="U666" i="1"/>
  <c r="V870" i="1"/>
  <c r="V844" i="1"/>
  <c r="U818" i="1"/>
  <c r="V873" i="1"/>
  <c r="U840" i="1"/>
  <c r="U870" i="1"/>
  <c r="V899" i="1"/>
  <c r="U827" i="1"/>
  <c r="V912" i="1"/>
  <c r="U846" i="1"/>
  <c r="U882" i="1"/>
  <c r="V773" i="1"/>
  <c r="U904" i="1"/>
  <c r="V691" i="1"/>
  <c r="V698" i="1"/>
  <c r="U698" i="1" s="1"/>
  <c r="V701" i="1"/>
  <c r="V699" i="1"/>
  <c r="V692" i="1"/>
  <c r="U692" i="1" s="1"/>
  <c r="U930" i="1"/>
  <c r="V930" i="1"/>
  <c r="V703" i="1"/>
  <c r="V695" i="1"/>
  <c r="U322" i="1"/>
  <c r="V694" i="1"/>
  <c r="U694" i="1" s="1"/>
  <c r="V704" i="1"/>
  <c r="U704" i="1" s="1"/>
  <c r="V932" i="1"/>
  <c r="V690" i="1"/>
  <c r="U690" i="1" s="1"/>
  <c r="U661" i="1"/>
  <c r="V697" i="1"/>
  <c r="V700" i="1"/>
  <c r="U700" i="1" s="1"/>
  <c r="U660" i="1"/>
  <c r="V705" i="1"/>
  <c r="V322" i="1"/>
  <c r="V693" i="1"/>
  <c r="U932" i="1"/>
  <c r="V702" i="1"/>
  <c r="U702" i="1" s="1"/>
  <c r="V661" i="1"/>
  <c r="V696" i="1"/>
  <c r="U696" i="1" s="1"/>
  <c r="V660" i="1"/>
  <c r="U372" i="1"/>
  <c r="U433" i="1"/>
  <c r="U428" i="1"/>
  <c r="U374" i="1"/>
  <c r="U373" i="1"/>
  <c r="U401" i="1"/>
  <c r="V372" i="1"/>
  <c r="V433" i="1"/>
  <c r="V428" i="1"/>
  <c r="V374" i="1"/>
  <c r="V373" i="1"/>
  <c r="U429" i="1"/>
  <c r="V398" i="1"/>
  <c r="V423" i="1"/>
  <c r="V429" i="1"/>
  <c r="U398" i="1"/>
  <c r="U423" i="1"/>
  <c r="U434" i="1"/>
  <c r="U432" i="1"/>
  <c r="V434" i="1"/>
  <c r="V432" i="1"/>
  <c r="V401" i="1"/>
  <c r="U400" i="1"/>
  <c r="V422" i="1"/>
  <c r="V375" i="1"/>
  <c r="V371" i="1"/>
  <c r="V400" i="1"/>
  <c r="U422" i="1"/>
  <c r="U375" i="1"/>
  <c r="U371" i="1"/>
  <c r="V430" i="1"/>
  <c r="U369" i="1"/>
  <c r="V427" i="1"/>
  <c r="U425" i="1"/>
  <c r="U427" i="1"/>
  <c r="U431" i="1"/>
  <c r="U430" i="1"/>
  <c r="U424" i="1"/>
  <c r="V435" i="1"/>
  <c r="V369" i="1"/>
  <c r="U435" i="1"/>
  <c r="V431" i="1"/>
  <c r="U436" i="1"/>
  <c r="U426" i="1"/>
  <c r="U370" i="1"/>
  <c r="V436" i="1"/>
  <c r="V426" i="1"/>
  <c r="V370" i="1"/>
  <c r="V424" i="1"/>
  <c r="V425" i="1"/>
  <c r="V158" i="1"/>
  <c r="U158" i="1"/>
  <c r="V208" i="1"/>
  <c r="V197" i="1"/>
  <c r="U198" i="1"/>
  <c r="V233" i="1"/>
  <c r="U239" i="1"/>
  <c r="U208" i="1"/>
  <c r="U197" i="1"/>
  <c r="V251" i="1"/>
  <c r="U214" i="1"/>
  <c r="U230" i="1"/>
  <c r="V239" i="1"/>
  <c r="U245" i="1"/>
  <c r="V198" i="1"/>
  <c r="U251" i="1"/>
  <c r="V245" i="1"/>
  <c r="V230" i="1"/>
  <c r="V257" i="1"/>
  <c r="V214" i="1"/>
  <c r="U233" i="1"/>
  <c r="U257" i="1"/>
  <c r="V217" i="1"/>
  <c r="V195" i="1"/>
  <c r="U207" i="1"/>
  <c r="U217" i="1"/>
  <c r="U195" i="1"/>
  <c r="V212" i="1"/>
  <c r="U279" i="1"/>
  <c r="U212" i="1"/>
  <c r="V207" i="1"/>
  <c r="U211" i="1"/>
  <c r="V211" i="1"/>
  <c r="V279" i="1"/>
  <c r="V209" i="1"/>
  <c r="U213" i="1"/>
  <c r="U215" i="1"/>
  <c r="U15" i="1"/>
  <c r="U209" i="1"/>
  <c r="V213" i="1"/>
  <c r="V200" i="1"/>
  <c r="V15" i="1"/>
  <c r="U200" i="1"/>
  <c r="V215" i="1"/>
  <c r="V210" i="1"/>
  <c r="U210" i="1"/>
  <c r="U199" i="1"/>
  <c r="U196" i="1"/>
  <c r="V199" i="1"/>
  <c r="V196" i="1"/>
  <c r="V289" i="1"/>
  <c r="U289" i="1"/>
  <c r="M1094" i="1"/>
  <c r="T1094" i="1" s="1"/>
  <c r="V1094" i="1" s="1"/>
  <c r="U1094" i="1" s="1"/>
  <c r="M1092" i="1"/>
  <c r="T1092" i="1" s="1"/>
  <c r="V1092" i="1" s="1"/>
  <c r="U1092" i="1" s="1"/>
  <c r="M1088" i="1"/>
  <c r="T1088" i="1" s="1"/>
  <c r="V1088" i="1" s="1"/>
  <c r="U1088" i="1" s="1"/>
  <c r="M1090" i="1"/>
  <c r="T1090" i="1" s="1"/>
  <c r="V1090" i="1" s="1"/>
  <c r="U1090" i="1" s="1"/>
  <c r="M1098" i="1"/>
  <c r="T1098" i="1" s="1"/>
  <c r="V1098" i="1" s="1"/>
  <c r="U1098" i="1" s="1"/>
  <c r="M1095" i="1"/>
  <c r="T1095" i="1" s="1"/>
  <c r="V1095" i="1" s="1"/>
  <c r="U1095" i="1" s="1"/>
  <c r="M1097" i="1"/>
  <c r="T1097" i="1" s="1"/>
  <c r="V1097" i="1" s="1"/>
  <c r="U1097" i="1" s="1"/>
  <c r="M1087" i="1"/>
  <c r="T1087" i="1" s="1"/>
  <c r="V1087" i="1" s="1"/>
  <c r="U1087" i="1" s="1"/>
  <c r="M1089" i="1"/>
  <c r="T1089" i="1" s="1"/>
  <c r="V1089" i="1" s="1"/>
  <c r="U1089" i="1" s="1"/>
  <c r="M1099" i="1"/>
  <c r="T1099" i="1" s="1"/>
  <c r="V1099" i="1" s="1"/>
  <c r="U1099" i="1" s="1"/>
  <c r="M1091" i="1"/>
  <c r="T1091" i="1" s="1"/>
  <c r="V1091" i="1" s="1"/>
  <c r="U1091" i="1" s="1"/>
  <c r="M1086" i="1"/>
  <c r="T1086" i="1" s="1"/>
  <c r="V1086" i="1" s="1"/>
  <c r="U1086" i="1" s="1"/>
  <c r="M1093" i="1"/>
  <c r="T1093" i="1" s="1"/>
  <c r="V1093" i="1" s="1"/>
  <c r="U1093" i="1" s="1"/>
  <c r="M1096" i="1"/>
  <c r="T1096" i="1" s="1"/>
  <c r="V1096" i="1" s="1"/>
  <c r="U1096" i="1" s="1"/>
  <c r="M974" i="1"/>
  <c r="T974" i="1" s="1"/>
  <c r="V974" i="1" s="1"/>
  <c r="U974" i="1" s="1"/>
  <c r="M993" i="1"/>
  <c r="T993" i="1" s="1"/>
  <c r="M991" i="1"/>
  <c r="T991" i="1" s="1"/>
  <c r="M970" i="1"/>
  <c r="T970" i="1" s="1"/>
  <c r="V970" i="1" s="1"/>
  <c r="U970" i="1" s="1"/>
  <c r="M1020" i="1"/>
  <c r="T1020" i="1" s="1"/>
  <c r="M988" i="1"/>
  <c r="T988" i="1" s="1"/>
  <c r="M995" i="1"/>
  <c r="T995" i="1" s="1"/>
  <c r="M994" i="1"/>
  <c r="T994" i="1" s="1"/>
  <c r="M1001" i="1"/>
  <c r="T1001" i="1" s="1"/>
  <c r="V1001" i="1" s="1"/>
  <c r="U1001" i="1" s="1"/>
  <c r="M1008" i="1"/>
  <c r="T1008" i="1" s="1"/>
  <c r="V1008" i="1" s="1"/>
  <c r="U1008" i="1" s="1"/>
  <c r="M999" i="1"/>
  <c r="T999" i="1" s="1"/>
  <c r="V999" i="1" s="1"/>
  <c r="U999" i="1" s="1"/>
  <c r="M984" i="1"/>
  <c r="T984" i="1" s="1"/>
  <c r="M1006" i="1"/>
  <c r="T1006" i="1" s="1"/>
  <c r="V1006" i="1" s="1"/>
  <c r="U1006" i="1" s="1"/>
  <c r="M975" i="1"/>
  <c r="T975" i="1" s="1"/>
  <c r="V975" i="1" s="1"/>
  <c r="U975" i="1" s="1"/>
  <c r="M981" i="1"/>
  <c r="T981" i="1" s="1"/>
  <c r="V981" i="1" s="1"/>
  <c r="U981" i="1" s="1"/>
  <c r="M980" i="1"/>
  <c r="T980" i="1" s="1"/>
  <c r="V980" i="1" s="1"/>
  <c r="U980" i="1" s="1"/>
  <c r="M998" i="1"/>
  <c r="T998" i="1" s="1"/>
  <c r="V998" i="1" s="1"/>
  <c r="U998" i="1" s="1"/>
  <c r="M1005" i="1"/>
  <c r="T1005" i="1" s="1"/>
  <c r="V1005" i="1" s="1"/>
  <c r="U1005" i="1" s="1"/>
  <c r="M982" i="1"/>
  <c r="T982" i="1" s="1"/>
  <c r="M1004" i="1"/>
  <c r="T1004" i="1" s="1"/>
  <c r="V1004" i="1" s="1"/>
  <c r="U1004" i="1" s="1"/>
  <c r="M973" i="1"/>
  <c r="T973" i="1" s="1"/>
  <c r="V973" i="1" s="1"/>
  <c r="U973" i="1" s="1"/>
  <c r="M972" i="1"/>
  <c r="T972" i="1" s="1"/>
  <c r="V972" i="1" s="1"/>
  <c r="U972" i="1" s="1"/>
  <c r="M1010" i="1"/>
  <c r="T1010" i="1" s="1"/>
  <c r="V1010" i="1" s="1"/>
  <c r="U1010" i="1" s="1"/>
  <c r="M971" i="1"/>
  <c r="T971" i="1" s="1"/>
  <c r="V971" i="1" s="1"/>
  <c r="U971" i="1" s="1"/>
  <c r="M986" i="1"/>
  <c r="T986" i="1" s="1"/>
  <c r="M969" i="1"/>
  <c r="T969" i="1" s="1"/>
  <c r="V969" i="1" s="1"/>
  <c r="U969" i="1" s="1"/>
  <c r="M976" i="1"/>
  <c r="T976" i="1" s="1"/>
  <c r="V976" i="1" s="1"/>
  <c r="U976" i="1" s="1"/>
  <c r="M990" i="1"/>
  <c r="T990" i="1" s="1"/>
  <c r="M1000" i="1"/>
  <c r="T1000" i="1" s="1"/>
  <c r="V1000" i="1" s="1"/>
  <c r="U1000" i="1" s="1"/>
  <c r="M997" i="1"/>
  <c r="T997" i="1" s="1"/>
  <c r="M1028" i="1"/>
  <c r="T1028" i="1" s="1"/>
  <c r="V1028" i="1" s="1"/>
  <c r="U1028" i="1" s="1"/>
  <c r="M996" i="1"/>
  <c r="T996" i="1" s="1"/>
  <c r="M1003" i="1"/>
  <c r="T1003" i="1" s="1"/>
  <c r="V1003" i="1" s="1"/>
  <c r="U1003" i="1" s="1"/>
  <c r="M1002" i="1"/>
  <c r="T1002" i="1" s="1"/>
  <c r="V1002" i="1" s="1"/>
  <c r="U1002" i="1" s="1"/>
  <c r="M987" i="1"/>
  <c r="T987" i="1" s="1"/>
  <c r="M1009" i="1"/>
  <c r="T1009" i="1" s="1"/>
  <c r="V1009" i="1" s="1"/>
  <c r="U1009" i="1" s="1"/>
  <c r="M985" i="1"/>
  <c r="T985" i="1" s="1"/>
  <c r="M1007" i="1"/>
  <c r="T1007" i="1" s="1"/>
  <c r="V1007" i="1" s="1"/>
  <c r="U1007" i="1" s="1"/>
  <c r="M968" i="1"/>
  <c r="T968" i="1" s="1"/>
  <c r="V968" i="1" s="1"/>
  <c r="U968" i="1" s="1"/>
  <c r="M978" i="1"/>
  <c r="T978" i="1" s="1"/>
  <c r="V978" i="1" s="1"/>
  <c r="U978" i="1" s="1"/>
  <c r="M992" i="1"/>
  <c r="T992" i="1" s="1"/>
  <c r="M989" i="1"/>
  <c r="T989" i="1" s="1"/>
  <c r="M1012" i="1"/>
  <c r="T1012" i="1" s="1"/>
  <c r="V1012" i="1" s="1"/>
  <c r="U1012" i="1" s="1"/>
  <c r="M979" i="1"/>
  <c r="T979" i="1" s="1"/>
  <c r="V979" i="1" s="1"/>
  <c r="U979" i="1" s="1"/>
  <c r="M977" i="1"/>
  <c r="T977" i="1" s="1"/>
  <c r="V977" i="1" s="1"/>
  <c r="U977" i="1" s="1"/>
  <c r="M983" i="1"/>
  <c r="T983" i="1" s="1"/>
  <c r="M608" i="1"/>
  <c r="T608" i="1" s="1"/>
  <c r="V608" i="1" s="1"/>
  <c r="U608" i="1" s="1"/>
  <c r="M589" i="1"/>
  <c r="T589" i="1" s="1"/>
  <c r="V589" i="1" s="1"/>
  <c r="U589" i="1" s="1"/>
  <c r="M606" i="1"/>
  <c r="T606" i="1" s="1"/>
  <c r="V606" i="1" s="1"/>
  <c r="U606" i="1" s="1"/>
  <c r="M598" i="1"/>
  <c r="T598" i="1" s="1"/>
  <c r="V598" i="1" s="1"/>
  <c r="U598" i="1" s="1"/>
  <c r="M592" i="1"/>
  <c r="T592" i="1" s="1"/>
  <c r="V592" i="1" s="1"/>
  <c r="U592" i="1" s="1"/>
  <c r="M596" i="1"/>
  <c r="T596" i="1" s="1"/>
  <c r="V596" i="1" s="1"/>
  <c r="U596" i="1" s="1"/>
  <c r="M581" i="1"/>
  <c r="T581" i="1" s="1"/>
  <c r="V581" i="1" s="1"/>
  <c r="U581" i="1" s="1"/>
  <c r="M595" i="1"/>
  <c r="T595" i="1" s="1"/>
  <c r="V595" i="1" s="1"/>
  <c r="U595" i="1" s="1"/>
  <c r="M578" i="1"/>
  <c r="T578" i="1" s="1"/>
  <c r="V578" i="1" s="1"/>
  <c r="U578" i="1" s="1"/>
  <c r="M580" i="1"/>
  <c r="T580" i="1" s="1"/>
  <c r="V580" i="1" s="1"/>
  <c r="U580" i="1" s="1"/>
  <c r="M584" i="1"/>
  <c r="T584" i="1" s="1"/>
  <c r="V584" i="1" s="1"/>
  <c r="U584" i="1" s="1"/>
  <c r="M582" i="1"/>
  <c r="T582" i="1" s="1"/>
  <c r="V582" i="1" s="1"/>
  <c r="U582" i="1" s="1"/>
  <c r="M515" i="1"/>
  <c r="T515" i="1" s="1"/>
  <c r="V515" i="1" s="1"/>
  <c r="U515" i="1" s="1"/>
  <c r="M600" i="1"/>
  <c r="T600" i="1" s="1"/>
  <c r="V600" i="1" s="1"/>
  <c r="U600" i="1" s="1"/>
  <c r="M588" i="1"/>
  <c r="T588" i="1" s="1"/>
  <c r="V588" i="1" s="1"/>
  <c r="U588" i="1" s="1"/>
  <c r="M590" i="1"/>
  <c r="T590" i="1" s="1"/>
  <c r="V590" i="1" s="1"/>
  <c r="U590" i="1" s="1"/>
  <c r="M576" i="1"/>
  <c r="T576" i="1" s="1"/>
  <c r="V576" i="1" s="1"/>
  <c r="U576" i="1" s="1"/>
  <c r="M587" i="1"/>
  <c r="T587" i="1" s="1"/>
  <c r="V587" i="1" s="1"/>
  <c r="U587" i="1" s="1"/>
  <c r="M604" i="1"/>
  <c r="T604" i="1" s="1"/>
  <c r="V604" i="1" s="1"/>
  <c r="U604" i="1" s="1"/>
  <c r="M586" i="1"/>
  <c r="T586" i="1" s="1"/>
  <c r="V586" i="1" s="1"/>
  <c r="U586" i="1" s="1"/>
  <c r="M509" i="1"/>
  <c r="T509" i="1" s="1"/>
  <c r="V509" i="1" s="1"/>
  <c r="U509" i="1" s="1"/>
  <c r="M594" i="1"/>
  <c r="T594" i="1" s="1"/>
  <c r="V594" i="1" s="1"/>
  <c r="U594" i="1" s="1"/>
  <c r="M558" i="1"/>
  <c r="T558" i="1" s="1"/>
  <c r="V558" i="1" s="1"/>
  <c r="U558" i="1" s="1"/>
  <c r="M602" i="1"/>
  <c r="T602" i="1" s="1"/>
  <c r="V602" i="1" s="1"/>
  <c r="U602" i="1" s="1"/>
  <c r="M440" i="1"/>
  <c r="T440" i="1" s="1"/>
  <c r="V440" i="1" s="1"/>
  <c r="U440" i="1" s="1"/>
  <c r="M967" i="1"/>
  <c r="T967" i="1" s="1"/>
  <c r="V967" i="1" s="1"/>
  <c r="U967" i="1" s="1"/>
  <c r="M408" i="1"/>
  <c r="T408" i="1" s="1"/>
  <c r="V408" i="1" s="1"/>
  <c r="U408" i="1" s="1"/>
  <c r="M503" i="1"/>
  <c r="T503" i="1" s="1"/>
  <c r="V503" i="1" s="1"/>
  <c r="U503" i="1" s="1"/>
  <c r="M521" i="1"/>
  <c r="T521" i="1" s="1"/>
  <c r="V521" i="1" s="1"/>
  <c r="U521" i="1" s="1"/>
  <c r="M527" i="1"/>
  <c r="T527" i="1" s="1"/>
  <c r="V527" i="1" s="1"/>
  <c r="U527" i="1" s="1"/>
  <c r="M221" i="1"/>
  <c r="T221" i="1" s="1"/>
  <c r="V221" i="1" s="1"/>
  <c r="U221" i="1" s="1"/>
  <c r="M161" i="1"/>
  <c r="T161" i="1" s="1"/>
  <c r="V161" i="1" s="1"/>
  <c r="U161" i="1" s="1"/>
  <c r="M164" i="1"/>
  <c r="T164" i="1" s="1"/>
  <c r="V164" i="1" s="1"/>
  <c r="U164" i="1" s="1"/>
  <c r="M202" i="1"/>
  <c r="T202" i="1" s="1"/>
  <c r="V202" i="1" s="1"/>
  <c r="U202" i="1" s="1"/>
  <c r="M265" i="1"/>
  <c r="T265" i="1" s="1"/>
  <c r="V265" i="1" s="1"/>
  <c r="U265" i="1" s="1"/>
  <c r="M916" i="1"/>
  <c r="T916" i="1" s="1"/>
  <c r="M891" i="1"/>
  <c r="T891" i="1" s="1"/>
  <c r="M874" i="1"/>
  <c r="T874" i="1" s="1"/>
  <c r="M857" i="1"/>
  <c r="T857" i="1" s="1"/>
  <c r="M880" i="1"/>
  <c r="T880" i="1" s="1"/>
  <c r="M800" i="1"/>
  <c r="T800" i="1" s="1"/>
  <c r="M911" i="1"/>
  <c r="T911" i="1" s="1"/>
  <c r="M847" i="1"/>
  <c r="T847" i="1" s="1"/>
  <c r="M783" i="1"/>
  <c r="T783" i="1" s="1"/>
  <c r="M812" i="1"/>
  <c r="T812" i="1" s="1"/>
  <c r="M914" i="1"/>
  <c r="T914" i="1" s="1"/>
  <c r="M897" i="1"/>
  <c r="T897" i="1" s="1"/>
  <c r="M673" i="1"/>
  <c r="T673" i="1" s="1"/>
  <c r="M870" i="1"/>
  <c r="T870" i="1" s="1"/>
  <c r="M806" i="1"/>
  <c r="T806" i="1" s="1"/>
  <c r="M876" i="1"/>
  <c r="T876" i="1" s="1"/>
  <c r="M859" i="1"/>
  <c r="T859" i="1" s="1"/>
  <c r="M866" i="1"/>
  <c r="T866" i="1" s="1"/>
  <c r="M817" i="1"/>
  <c r="T817" i="1" s="1"/>
  <c r="M909" i="1"/>
  <c r="T909" i="1" s="1"/>
  <c r="M845" i="1"/>
  <c r="T845" i="1" s="1"/>
  <c r="M781" i="1"/>
  <c r="T781" i="1" s="1"/>
  <c r="M892" i="1"/>
  <c r="T892" i="1" s="1"/>
  <c r="M875" i="1"/>
  <c r="T875" i="1" s="1"/>
  <c r="M850" i="1"/>
  <c r="T850" i="1" s="1"/>
  <c r="M833" i="1"/>
  <c r="T833" i="1" s="1"/>
  <c r="M872" i="1"/>
  <c r="T872" i="1" s="1"/>
  <c r="M792" i="1"/>
  <c r="T792" i="1" s="1"/>
  <c r="M903" i="1"/>
  <c r="T903" i="1" s="1"/>
  <c r="M839" i="1"/>
  <c r="T839" i="1" s="1"/>
  <c r="M777" i="1"/>
  <c r="T777" i="1" s="1"/>
  <c r="V777" i="1" s="1"/>
  <c r="U777" i="1" s="1"/>
  <c r="M780" i="1"/>
  <c r="T780" i="1" s="1"/>
  <c r="M890" i="1"/>
  <c r="T890" i="1" s="1"/>
  <c r="M873" i="1"/>
  <c r="T873" i="1" s="1"/>
  <c r="M665" i="1"/>
  <c r="T665" i="1" s="1"/>
  <c r="M862" i="1"/>
  <c r="T862" i="1" s="1"/>
  <c r="M798" i="1"/>
  <c r="T798" i="1" s="1"/>
  <c r="M852" i="1"/>
  <c r="T852" i="1" s="1"/>
  <c r="M835" i="1"/>
  <c r="T835" i="1" s="1"/>
  <c r="M834" i="1"/>
  <c r="T834" i="1" s="1"/>
  <c r="M793" i="1"/>
  <c r="T793" i="1" s="1"/>
  <c r="M901" i="1"/>
  <c r="T901" i="1" s="1"/>
  <c r="M837" i="1"/>
  <c r="T837" i="1" s="1"/>
  <c r="M775" i="1"/>
  <c r="T775" i="1" s="1"/>
  <c r="V775" i="1" s="1"/>
  <c r="U775" i="1" s="1"/>
  <c r="M868" i="1"/>
  <c r="T868" i="1" s="1"/>
  <c r="M851" i="1"/>
  <c r="T851" i="1" s="1"/>
  <c r="M826" i="1"/>
  <c r="T826" i="1" s="1"/>
  <c r="M809" i="1"/>
  <c r="T809" i="1" s="1"/>
  <c r="M864" i="1"/>
  <c r="T864" i="1" s="1"/>
  <c r="M784" i="1"/>
  <c r="T784" i="1" s="1"/>
  <c r="M895" i="1"/>
  <c r="T895" i="1" s="1"/>
  <c r="M831" i="1"/>
  <c r="T831" i="1" s="1"/>
  <c r="M769" i="1"/>
  <c r="T769" i="1" s="1"/>
  <c r="M670" i="1"/>
  <c r="T670" i="1" s="1"/>
  <c r="M858" i="1"/>
  <c r="T858" i="1" s="1"/>
  <c r="M849" i="1"/>
  <c r="T849" i="1" s="1"/>
  <c r="M918" i="1"/>
  <c r="T918" i="1" s="1"/>
  <c r="M854" i="1"/>
  <c r="T854" i="1" s="1"/>
  <c r="M790" i="1"/>
  <c r="T790" i="1" s="1"/>
  <c r="M828" i="1"/>
  <c r="T828" i="1" s="1"/>
  <c r="M819" i="1"/>
  <c r="T819" i="1" s="1"/>
  <c r="M802" i="1"/>
  <c r="T802" i="1" s="1"/>
  <c r="M771" i="1"/>
  <c r="T771" i="1" s="1"/>
  <c r="M893" i="1"/>
  <c r="T893" i="1" s="1"/>
  <c r="M829" i="1"/>
  <c r="T829" i="1" s="1"/>
  <c r="M767" i="1"/>
  <c r="T767" i="1" s="1"/>
  <c r="M844" i="1"/>
  <c r="T844" i="1" s="1"/>
  <c r="M827" i="1"/>
  <c r="T827" i="1" s="1"/>
  <c r="M810" i="1"/>
  <c r="T810" i="1" s="1"/>
  <c r="M785" i="1"/>
  <c r="T785" i="1" s="1"/>
  <c r="M856" i="1"/>
  <c r="T856" i="1" s="1"/>
  <c r="M778" i="1"/>
  <c r="T778" i="1" s="1"/>
  <c r="V778" i="1" s="1"/>
  <c r="U778" i="1" s="1"/>
  <c r="M887" i="1"/>
  <c r="T887" i="1" s="1"/>
  <c r="M823" i="1"/>
  <c r="T823" i="1" s="1"/>
  <c r="M671" i="1"/>
  <c r="T671" i="1" s="1"/>
  <c r="M907" i="1"/>
  <c r="T907" i="1" s="1"/>
  <c r="M842" i="1"/>
  <c r="T842" i="1" s="1"/>
  <c r="M825" i="1"/>
  <c r="T825" i="1" s="1"/>
  <c r="M910" i="1"/>
  <c r="T910" i="1" s="1"/>
  <c r="M846" i="1"/>
  <c r="T846" i="1" s="1"/>
  <c r="M782" i="1"/>
  <c r="T782" i="1" s="1"/>
  <c r="M804" i="1"/>
  <c r="T804" i="1" s="1"/>
  <c r="M803" i="1"/>
  <c r="T803" i="1" s="1"/>
  <c r="M706" i="1"/>
  <c r="T706" i="1" s="1"/>
  <c r="V706" i="1" s="1"/>
  <c r="U706" i="1" s="1"/>
  <c r="M667" i="1"/>
  <c r="T667" i="1" s="1"/>
  <c r="M885" i="1"/>
  <c r="T885" i="1" s="1"/>
  <c r="M821" i="1"/>
  <c r="T821" i="1" s="1"/>
  <c r="M820" i="1"/>
  <c r="T820" i="1" s="1"/>
  <c r="M795" i="1"/>
  <c r="T795" i="1" s="1"/>
  <c r="M786" i="1"/>
  <c r="T786" i="1" s="1"/>
  <c r="M912" i="1"/>
  <c r="T912" i="1" s="1"/>
  <c r="M840" i="1"/>
  <c r="T840" i="1" s="1"/>
  <c r="M770" i="1"/>
  <c r="T770" i="1" s="1"/>
  <c r="M879" i="1"/>
  <c r="T879" i="1" s="1"/>
  <c r="M815" i="1"/>
  <c r="T815" i="1" s="1"/>
  <c r="M908" i="1"/>
  <c r="T908" i="1" s="1"/>
  <c r="M867" i="1"/>
  <c r="T867" i="1" s="1"/>
  <c r="M818" i="1"/>
  <c r="T818" i="1" s="1"/>
  <c r="M801" i="1"/>
  <c r="T801" i="1" s="1"/>
  <c r="M902" i="1"/>
  <c r="T902" i="1" s="1"/>
  <c r="M838" i="1"/>
  <c r="T838" i="1" s="1"/>
  <c r="M776" i="1"/>
  <c r="T776" i="1" s="1"/>
  <c r="V776" i="1" s="1"/>
  <c r="U776" i="1" s="1"/>
  <c r="M788" i="1"/>
  <c r="T788" i="1" s="1"/>
  <c r="M711" i="1"/>
  <c r="T711" i="1" s="1"/>
  <c r="V711" i="1" s="1"/>
  <c r="U711" i="1" s="1"/>
  <c r="M913" i="1"/>
  <c r="T913" i="1" s="1"/>
  <c r="M832" i="1"/>
  <c r="T832" i="1" s="1"/>
  <c r="M877" i="1"/>
  <c r="T877" i="1" s="1"/>
  <c r="M813" i="1"/>
  <c r="T813" i="1" s="1"/>
  <c r="M796" i="1"/>
  <c r="T796" i="1" s="1"/>
  <c r="M773" i="1"/>
  <c r="T773" i="1" s="1"/>
  <c r="M668" i="1"/>
  <c r="T668" i="1" s="1"/>
  <c r="M904" i="1"/>
  <c r="T904" i="1" s="1"/>
  <c r="M824" i="1"/>
  <c r="T824" i="1" s="1"/>
  <c r="M766" i="1"/>
  <c r="T766" i="1" s="1"/>
  <c r="M871" i="1"/>
  <c r="T871" i="1" s="1"/>
  <c r="M807" i="1"/>
  <c r="T807" i="1" s="1"/>
  <c r="M884" i="1"/>
  <c r="T884" i="1" s="1"/>
  <c r="M843" i="1"/>
  <c r="T843" i="1" s="1"/>
  <c r="M794" i="1"/>
  <c r="T794" i="1" s="1"/>
  <c r="M779" i="1"/>
  <c r="T779" i="1" s="1"/>
  <c r="V779" i="1" s="1"/>
  <c r="U779" i="1" s="1"/>
  <c r="M894" i="1"/>
  <c r="T894" i="1" s="1"/>
  <c r="M830" i="1"/>
  <c r="T830" i="1" s="1"/>
  <c r="M768" i="1"/>
  <c r="T768" i="1" s="1"/>
  <c r="M923" i="1"/>
  <c r="T923" i="1" s="1"/>
  <c r="M922" i="1"/>
  <c r="T922" i="1" s="1"/>
  <c r="M889" i="1"/>
  <c r="T889" i="1" s="1"/>
  <c r="M672" i="1"/>
  <c r="T672" i="1" s="1"/>
  <c r="M869" i="1"/>
  <c r="T869" i="1" s="1"/>
  <c r="M915" i="1"/>
  <c r="T915" i="1" s="1"/>
  <c r="M878" i="1"/>
  <c r="T878" i="1" s="1"/>
  <c r="M669" i="1"/>
  <c r="T669" i="1" s="1"/>
  <c r="M666" i="1"/>
  <c r="T666" i="1" s="1"/>
  <c r="M811" i="1"/>
  <c r="T811" i="1" s="1"/>
  <c r="M822" i="1"/>
  <c r="T822" i="1" s="1"/>
  <c r="M865" i="1"/>
  <c r="T865" i="1" s="1"/>
  <c r="M789" i="1"/>
  <c r="T789" i="1" s="1"/>
  <c r="M898" i="1"/>
  <c r="T898" i="1" s="1"/>
  <c r="M919" i="1"/>
  <c r="T919" i="1" s="1"/>
  <c r="M787" i="1"/>
  <c r="T787" i="1" s="1"/>
  <c r="M814" i="1"/>
  <c r="T814" i="1" s="1"/>
  <c r="M841" i="1"/>
  <c r="T841" i="1" s="1"/>
  <c r="M905" i="1"/>
  <c r="T905" i="1" s="1"/>
  <c r="M863" i="1"/>
  <c r="T863" i="1" s="1"/>
  <c r="M772" i="1"/>
  <c r="T772" i="1" s="1"/>
  <c r="M663" i="1"/>
  <c r="T663" i="1" s="1"/>
  <c r="M664" i="1"/>
  <c r="T664" i="1" s="1"/>
  <c r="M881" i="1"/>
  <c r="T881" i="1" s="1"/>
  <c r="M855" i="1"/>
  <c r="T855" i="1" s="1"/>
  <c r="M921" i="1"/>
  <c r="T921" i="1" s="1"/>
  <c r="M900" i="1"/>
  <c r="T900" i="1" s="1"/>
  <c r="M917" i="1"/>
  <c r="T917" i="1" s="1"/>
  <c r="M896" i="1"/>
  <c r="T896" i="1" s="1"/>
  <c r="M799" i="1"/>
  <c r="T799" i="1" s="1"/>
  <c r="M920" i="1"/>
  <c r="T920" i="1" s="1"/>
  <c r="M899" i="1"/>
  <c r="T899" i="1" s="1"/>
  <c r="M861" i="1"/>
  <c r="T861" i="1" s="1"/>
  <c r="M888" i="1"/>
  <c r="T888" i="1" s="1"/>
  <c r="M791" i="1"/>
  <c r="T791" i="1" s="1"/>
  <c r="M848" i="1"/>
  <c r="T848" i="1" s="1"/>
  <c r="M883" i="1"/>
  <c r="T883" i="1" s="1"/>
  <c r="M853" i="1"/>
  <c r="T853" i="1" s="1"/>
  <c r="M774" i="1"/>
  <c r="T774" i="1" s="1"/>
  <c r="V774" i="1" s="1"/>
  <c r="U774" i="1" s="1"/>
  <c r="M816" i="1"/>
  <c r="T816" i="1" s="1"/>
  <c r="M860" i="1"/>
  <c r="T860" i="1" s="1"/>
  <c r="M886" i="1"/>
  <c r="T886" i="1" s="1"/>
  <c r="M906" i="1"/>
  <c r="T906" i="1" s="1"/>
  <c r="M805" i="1"/>
  <c r="T805" i="1" s="1"/>
  <c r="M808" i="1"/>
  <c r="T808" i="1" s="1"/>
  <c r="M836" i="1"/>
  <c r="T836" i="1" s="1"/>
  <c r="M882" i="1"/>
  <c r="T882" i="1" s="1"/>
  <c r="M797" i="1"/>
  <c r="T797" i="1" s="1"/>
  <c r="M158" i="1"/>
  <c r="T158" i="1" s="1"/>
  <c r="M574" i="1"/>
  <c r="T574" i="1" s="1"/>
  <c r="V574" i="1" s="1"/>
  <c r="U574" i="1" s="1"/>
  <c r="M60" i="1"/>
  <c r="T60" i="1" s="1"/>
  <c r="V60" i="1" s="1"/>
  <c r="U60" i="1" s="1"/>
  <c r="M71" i="1"/>
  <c r="T71" i="1" s="1"/>
  <c r="V71" i="1" s="1"/>
  <c r="U71" i="1" s="1"/>
  <c r="M62" i="1"/>
  <c r="T62" i="1" s="1"/>
  <c r="V62" i="1" s="1"/>
  <c r="U62" i="1" s="1"/>
  <c r="M38" i="1"/>
  <c r="T38" i="1" s="1"/>
  <c r="V38" i="1" s="1"/>
  <c r="U38" i="1" s="1"/>
  <c r="M677" i="1"/>
  <c r="T677" i="1" s="1"/>
  <c r="V677" i="1" s="1"/>
  <c r="U677" i="1" s="1"/>
  <c r="M944" i="1"/>
  <c r="T944" i="1" s="1"/>
  <c r="V944" i="1" s="1"/>
  <c r="U944" i="1" s="1"/>
  <c r="M66" i="1"/>
  <c r="T66" i="1" s="1"/>
  <c r="V66" i="1" s="1"/>
  <c r="U66" i="1" s="1"/>
  <c r="M57" i="1"/>
  <c r="T57" i="1" s="1"/>
  <c r="V57" i="1" s="1"/>
  <c r="U57" i="1" s="1"/>
  <c r="M70" i="1"/>
  <c r="T70" i="1" s="1"/>
  <c r="V70" i="1" s="1"/>
  <c r="U70" i="1" s="1"/>
  <c r="M208" i="1"/>
  <c r="T208" i="1" s="1"/>
  <c r="M89" i="1"/>
  <c r="T89" i="1" s="1"/>
  <c r="V89" i="1" s="1"/>
  <c r="U89" i="1" s="1"/>
  <c r="M56" i="1"/>
  <c r="T56" i="1" s="1"/>
  <c r="V56" i="1" s="1"/>
  <c r="U56" i="1" s="1"/>
  <c r="M82" i="1"/>
  <c r="T82" i="1" s="1"/>
  <c r="V82" i="1" s="1"/>
  <c r="U82" i="1" s="1"/>
  <c r="M74" i="1"/>
  <c r="T74" i="1" s="1"/>
  <c r="V74" i="1" s="1"/>
  <c r="U74" i="1" s="1"/>
  <c r="M676" i="1"/>
  <c r="T676" i="1" s="1"/>
  <c r="V676" i="1" s="1"/>
  <c r="U676" i="1" s="1"/>
  <c r="M67" i="1"/>
  <c r="T67" i="1" s="1"/>
  <c r="V67" i="1" s="1"/>
  <c r="U67" i="1" s="1"/>
  <c r="M930" i="1"/>
  <c r="T930" i="1" s="1"/>
  <c r="M693" i="1"/>
  <c r="T693" i="1" s="1"/>
  <c r="M679" i="1"/>
  <c r="T679" i="1" s="1"/>
  <c r="V679" i="1" s="1"/>
  <c r="U679" i="1" s="1"/>
  <c r="M940" i="1"/>
  <c r="T940" i="1" s="1"/>
  <c r="V940" i="1" s="1"/>
  <c r="U940" i="1" s="1"/>
  <c r="M34" i="1"/>
  <c r="T34" i="1" s="1"/>
  <c r="V34" i="1" s="1"/>
  <c r="U34" i="1" s="1"/>
  <c r="M684" i="1"/>
  <c r="T684" i="1" s="1"/>
  <c r="V684" i="1" s="1"/>
  <c r="U684" i="1" s="1"/>
  <c r="M55" i="1"/>
  <c r="T55" i="1" s="1"/>
  <c r="V55" i="1" s="1"/>
  <c r="U55" i="1" s="1"/>
  <c r="M58" i="1"/>
  <c r="T58" i="1" s="1"/>
  <c r="V58" i="1" s="1"/>
  <c r="U58" i="1" s="1"/>
  <c r="M42" i="1"/>
  <c r="T42" i="1" s="1"/>
  <c r="V42" i="1" s="1"/>
  <c r="U42" i="1" s="1"/>
  <c r="M680" i="1"/>
  <c r="T680" i="1" s="1"/>
  <c r="V680" i="1" s="1"/>
  <c r="U680" i="1" s="1"/>
  <c r="M945" i="1"/>
  <c r="T945" i="1" s="1"/>
  <c r="V945" i="1" s="1"/>
  <c r="U945" i="1" s="1"/>
  <c r="M695" i="1"/>
  <c r="T695" i="1" s="1"/>
  <c r="M701" i="1"/>
  <c r="T701" i="1" s="1"/>
  <c r="M703" i="1"/>
  <c r="T703" i="1" s="1"/>
  <c r="M943" i="1"/>
  <c r="T943" i="1" s="1"/>
  <c r="V943" i="1" s="1"/>
  <c r="U943" i="1" s="1"/>
  <c r="M86" i="1"/>
  <c r="T86" i="1" s="1"/>
  <c r="V86" i="1" s="1"/>
  <c r="U86" i="1" s="1"/>
  <c r="M41" i="1"/>
  <c r="T41" i="1" s="1"/>
  <c r="V41" i="1" s="1"/>
  <c r="U41" i="1" s="1"/>
  <c r="M54" i="1"/>
  <c r="T54" i="1" s="1"/>
  <c r="V54" i="1" s="1"/>
  <c r="U54" i="1" s="1"/>
  <c r="M35" i="1"/>
  <c r="T35" i="1" s="1"/>
  <c r="V35" i="1" s="1"/>
  <c r="U35" i="1" s="1"/>
  <c r="M638" i="1"/>
  <c r="T638" i="1" s="1"/>
  <c r="V638" i="1" s="1"/>
  <c r="U638" i="1" s="1"/>
  <c r="M105" i="1"/>
  <c r="T105" i="1" s="1"/>
  <c r="V105" i="1" s="1"/>
  <c r="U105" i="1" s="1"/>
  <c r="M928" i="1"/>
  <c r="T928" i="1" s="1"/>
  <c r="V928" i="1" s="1"/>
  <c r="U928" i="1" s="1"/>
  <c r="M257" i="1"/>
  <c r="T257" i="1" s="1"/>
  <c r="M230" i="1"/>
  <c r="T230" i="1" s="1"/>
  <c r="M653" i="1"/>
  <c r="T653" i="1" s="1"/>
  <c r="V653" i="1" s="1"/>
  <c r="U653" i="1" s="1"/>
  <c r="M649" i="1"/>
  <c r="T649" i="1" s="1"/>
  <c r="V649" i="1" s="1"/>
  <c r="U649" i="1" s="1"/>
  <c r="M932" i="1"/>
  <c r="T932" i="1" s="1"/>
  <c r="M84" i="1"/>
  <c r="T84" i="1" s="1"/>
  <c r="V84" i="1" s="1"/>
  <c r="U84" i="1" s="1"/>
  <c r="M322" i="1"/>
  <c r="T322" i="1" s="1"/>
  <c r="M69" i="1"/>
  <c r="T69" i="1" s="1"/>
  <c r="V69" i="1" s="1"/>
  <c r="U69" i="1" s="1"/>
  <c r="M633" i="1"/>
  <c r="T633" i="1" s="1"/>
  <c r="V633" i="1" s="1"/>
  <c r="U633" i="1" s="1"/>
  <c r="M127" i="1"/>
  <c r="T127" i="1" s="1"/>
  <c r="V127" i="1" s="1"/>
  <c r="U127" i="1" s="1"/>
  <c r="M174" i="1"/>
  <c r="T174" i="1" s="1"/>
  <c r="V174" i="1" s="1"/>
  <c r="U174" i="1" s="1"/>
  <c r="M117" i="1"/>
  <c r="T117" i="1" s="1"/>
  <c r="V117" i="1" s="1"/>
  <c r="U117" i="1" s="1"/>
  <c r="M53" i="1"/>
  <c r="T53" i="1" s="1"/>
  <c r="V53" i="1" s="1"/>
  <c r="U53" i="1" s="1"/>
  <c r="M652" i="1"/>
  <c r="T652" i="1" s="1"/>
  <c r="V652" i="1" s="1"/>
  <c r="U652" i="1" s="1"/>
  <c r="M139" i="1"/>
  <c r="T139" i="1" s="1"/>
  <c r="V139" i="1" s="1"/>
  <c r="U139" i="1" s="1"/>
  <c r="M63" i="1"/>
  <c r="T63" i="1" s="1"/>
  <c r="V63" i="1" s="1"/>
  <c r="U63" i="1" s="1"/>
  <c r="M927" i="1"/>
  <c r="T927" i="1" s="1"/>
  <c r="M939" i="1"/>
  <c r="T939" i="1" s="1"/>
  <c r="V939" i="1" s="1"/>
  <c r="U939" i="1" s="1"/>
  <c r="M678" i="1"/>
  <c r="T678" i="1" s="1"/>
  <c r="V678" i="1" s="1"/>
  <c r="U678" i="1" s="1"/>
  <c r="M648" i="1"/>
  <c r="T648" i="1" s="1"/>
  <c r="V648" i="1" s="1"/>
  <c r="U648" i="1" s="1"/>
  <c r="M630" i="1"/>
  <c r="T630" i="1" s="1"/>
  <c r="V630" i="1" s="1"/>
  <c r="U630" i="1" s="1"/>
  <c r="M113" i="1"/>
  <c r="T113" i="1" s="1"/>
  <c r="V113" i="1" s="1"/>
  <c r="U113" i="1" s="1"/>
  <c r="M88" i="1"/>
  <c r="T88" i="1" s="1"/>
  <c r="V88" i="1" s="1"/>
  <c r="U88" i="1" s="1"/>
  <c r="M45" i="1"/>
  <c r="T45" i="1" s="1"/>
  <c r="V45" i="1" s="1"/>
  <c r="U45" i="1" s="1"/>
  <c r="M36" i="1"/>
  <c r="T36" i="1" s="1"/>
  <c r="V36" i="1" s="1"/>
  <c r="U36" i="1" s="1"/>
  <c r="M643" i="1"/>
  <c r="T643" i="1" s="1"/>
  <c r="V643" i="1" s="1"/>
  <c r="U643" i="1" s="1"/>
  <c r="M175" i="1"/>
  <c r="T175" i="1" s="1"/>
  <c r="V175" i="1" s="1"/>
  <c r="U175" i="1" s="1"/>
  <c r="M634" i="1"/>
  <c r="T634" i="1" s="1"/>
  <c r="V634" i="1" s="1"/>
  <c r="U634" i="1" s="1"/>
  <c r="M642" i="1"/>
  <c r="T642" i="1" s="1"/>
  <c r="V642" i="1" s="1"/>
  <c r="U642" i="1" s="1"/>
  <c r="M39" i="1"/>
  <c r="T39" i="1" s="1"/>
  <c r="V39" i="1" s="1"/>
  <c r="U39" i="1" s="1"/>
  <c r="M937" i="1"/>
  <c r="T937" i="1" s="1"/>
  <c r="V937" i="1" s="1"/>
  <c r="U937" i="1" s="1"/>
  <c r="M233" i="1"/>
  <c r="T233" i="1" s="1"/>
  <c r="M617" i="1"/>
  <c r="T617" i="1" s="1"/>
  <c r="V617" i="1" s="1"/>
  <c r="U617" i="1" s="1"/>
  <c r="M321" i="1"/>
  <c r="T321" i="1" s="1"/>
  <c r="V321" i="1" s="1"/>
  <c r="U321" i="1" s="1"/>
  <c r="M137" i="1"/>
  <c r="T137" i="1" s="1"/>
  <c r="V137" i="1" s="1"/>
  <c r="U137" i="1" s="1"/>
  <c r="M641" i="1"/>
  <c r="T641" i="1" s="1"/>
  <c r="V641" i="1" s="1"/>
  <c r="U641" i="1" s="1"/>
  <c r="M650" i="1"/>
  <c r="T650" i="1" s="1"/>
  <c r="V650" i="1" s="1"/>
  <c r="U650" i="1" s="1"/>
  <c r="M624" i="1"/>
  <c r="T624" i="1" s="1"/>
  <c r="V624" i="1" s="1"/>
  <c r="U624" i="1" s="1"/>
  <c r="M686" i="1"/>
  <c r="T686" i="1" s="1"/>
  <c r="V686" i="1" s="1"/>
  <c r="U686" i="1" s="1"/>
  <c r="M644" i="1"/>
  <c r="T644" i="1" s="1"/>
  <c r="V644" i="1" s="1"/>
  <c r="U644" i="1" s="1"/>
  <c r="M632" i="1"/>
  <c r="T632" i="1" s="1"/>
  <c r="V632" i="1" s="1"/>
  <c r="U632" i="1" s="1"/>
  <c r="M614" i="1"/>
  <c r="T614" i="1" s="1"/>
  <c r="V614" i="1" s="1"/>
  <c r="U614" i="1" s="1"/>
  <c r="M33" i="1"/>
  <c r="T33" i="1" s="1"/>
  <c r="V33" i="1" s="1"/>
  <c r="U33" i="1" s="1"/>
  <c r="M80" i="1"/>
  <c r="T80" i="1" s="1"/>
  <c r="V80" i="1" s="1"/>
  <c r="U80" i="1" s="1"/>
  <c r="M938" i="1"/>
  <c r="T938" i="1" s="1"/>
  <c r="V938" i="1" s="1"/>
  <c r="U938" i="1" s="1"/>
  <c r="M627" i="1"/>
  <c r="T627" i="1" s="1"/>
  <c r="V627" i="1" s="1"/>
  <c r="U627" i="1" s="1"/>
  <c r="M302" i="1"/>
  <c r="T302" i="1" s="1"/>
  <c r="V302" i="1" s="1"/>
  <c r="U302" i="1" s="1"/>
  <c r="M107" i="1"/>
  <c r="T107" i="1" s="1"/>
  <c r="V107" i="1" s="1"/>
  <c r="U107" i="1" s="1"/>
  <c r="M304" i="1"/>
  <c r="T304" i="1" s="1"/>
  <c r="V304" i="1" s="1"/>
  <c r="U304" i="1" s="1"/>
  <c r="M620" i="1"/>
  <c r="T620" i="1" s="1"/>
  <c r="V620" i="1" s="1"/>
  <c r="U620" i="1" s="1"/>
  <c r="M19" i="1"/>
  <c r="T19" i="1" s="1"/>
  <c r="V19" i="1" s="1"/>
  <c r="U19" i="1" s="1"/>
  <c r="M77" i="1"/>
  <c r="T77" i="1" s="1"/>
  <c r="V77" i="1" s="1"/>
  <c r="U77" i="1" s="1"/>
  <c r="M198" i="1"/>
  <c r="T198" i="1" s="1"/>
  <c r="M90" i="1"/>
  <c r="T90" i="1" s="1"/>
  <c r="V90" i="1" s="1"/>
  <c r="U90" i="1" s="1"/>
  <c r="M73" i="1"/>
  <c r="T73" i="1" s="1"/>
  <c r="V73" i="1" s="1"/>
  <c r="U73" i="1" s="1"/>
  <c r="M699" i="1"/>
  <c r="T699" i="1" s="1"/>
  <c r="M640" i="1"/>
  <c r="T640" i="1" s="1"/>
  <c r="V640" i="1" s="1"/>
  <c r="U640" i="1" s="1"/>
  <c r="M49" i="1"/>
  <c r="T49" i="1" s="1"/>
  <c r="V49" i="1" s="1"/>
  <c r="U49" i="1" s="1"/>
  <c r="M103" i="1"/>
  <c r="T103" i="1" s="1"/>
  <c r="V103" i="1" s="1"/>
  <c r="U103" i="1" s="1"/>
  <c r="M301" i="1"/>
  <c r="T301" i="1" s="1"/>
  <c r="V301" i="1" s="1"/>
  <c r="U301" i="1" s="1"/>
  <c r="M65" i="1"/>
  <c r="T65" i="1" s="1"/>
  <c r="V65" i="1" s="1"/>
  <c r="U65" i="1" s="1"/>
  <c r="M655" i="1"/>
  <c r="T655" i="1" s="1"/>
  <c r="V655" i="1" s="1"/>
  <c r="U655" i="1" s="1"/>
  <c r="M629" i="1"/>
  <c r="T629" i="1" s="1"/>
  <c r="V629" i="1" s="1"/>
  <c r="U629" i="1" s="1"/>
  <c r="M43" i="1"/>
  <c r="T43" i="1" s="1"/>
  <c r="V43" i="1" s="1"/>
  <c r="U43" i="1" s="1"/>
  <c r="M64" i="1"/>
  <c r="T64" i="1" s="1"/>
  <c r="V64" i="1" s="1"/>
  <c r="U64" i="1" s="1"/>
  <c r="M115" i="1"/>
  <c r="T115" i="1" s="1"/>
  <c r="V115" i="1" s="1"/>
  <c r="U115" i="1" s="1"/>
  <c r="M143" i="1"/>
  <c r="T143" i="1" s="1"/>
  <c r="V143" i="1" s="1"/>
  <c r="U143" i="1" s="1"/>
  <c r="M85" i="1"/>
  <c r="T85" i="1" s="1"/>
  <c r="V85" i="1" s="1"/>
  <c r="U85" i="1" s="1"/>
  <c r="M133" i="1"/>
  <c r="T133" i="1" s="1"/>
  <c r="V133" i="1" s="1"/>
  <c r="U133" i="1" s="1"/>
  <c r="M621" i="1"/>
  <c r="T621" i="1" s="1"/>
  <c r="V621" i="1" s="1"/>
  <c r="U621" i="1" s="1"/>
  <c r="M50" i="1"/>
  <c r="T50" i="1" s="1"/>
  <c r="V50" i="1" s="1"/>
  <c r="U50" i="1" s="1"/>
  <c r="M101" i="1"/>
  <c r="T101" i="1" s="1"/>
  <c r="V101" i="1" s="1"/>
  <c r="U101" i="1" s="1"/>
  <c r="M626" i="1"/>
  <c r="T626" i="1" s="1"/>
  <c r="V626" i="1" s="1"/>
  <c r="U626" i="1" s="1"/>
  <c r="M93" i="1"/>
  <c r="T93" i="1" s="1"/>
  <c r="V93" i="1" s="1"/>
  <c r="U93" i="1" s="1"/>
  <c r="M68" i="1"/>
  <c r="T68" i="1" s="1"/>
  <c r="V68" i="1" s="1"/>
  <c r="U68" i="1" s="1"/>
  <c r="M613" i="1"/>
  <c r="T613" i="1" s="1"/>
  <c r="V613" i="1" s="1"/>
  <c r="U613" i="1" s="1"/>
  <c r="M654" i="1"/>
  <c r="T654" i="1" s="1"/>
  <c r="V654" i="1" s="1"/>
  <c r="U654" i="1" s="1"/>
  <c r="M197" i="1"/>
  <c r="T197" i="1" s="1"/>
  <c r="M251" i="1"/>
  <c r="T251" i="1" s="1"/>
  <c r="M111" i="1"/>
  <c r="T111" i="1" s="1"/>
  <c r="V111" i="1" s="1"/>
  <c r="U111" i="1" s="1"/>
  <c r="M97" i="1"/>
  <c r="T97" i="1" s="1"/>
  <c r="V97" i="1" s="1"/>
  <c r="U97" i="1" s="1"/>
  <c r="M119" i="1"/>
  <c r="T119" i="1" s="1"/>
  <c r="V119" i="1" s="1"/>
  <c r="U119" i="1" s="1"/>
  <c r="M623" i="1"/>
  <c r="T623" i="1" s="1"/>
  <c r="V623" i="1" s="1"/>
  <c r="U623" i="1" s="1"/>
  <c r="M618" i="1"/>
  <c r="T618" i="1" s="1"/>
  <c r="V618" i="1" s="1"/>
  <c r="U618" i="1" s="1"/>
  <c r="M639" i="1"/>
  <c r="T639" i="1" s="1"/>
  <c r="V639" i="1" s="1"/>
  <c r="U639" i="1" s="1"/>
  <c r="M688" i="1"/>
  <c r="T688" i="1" s="1"/>
  <c r="V688" i="1" s="1"/>
  <c r="U688" i="1" s="1"/>
  <c r="M682" i="1"/>
  <c r="T682" i="1" s="1"/>
  <c r="V682" i="1" s="1"/>
  <c r="U682" i="1" s="1"/>
  <c r="M647" i="1"/>
  <c r="T647" i="1" s="1"/>
  <c r="V647" i="1" s="1"/>
  <c r="U647" i="1" s="1"/>
  <c r="M141" i="1"/>
  <c r="T141" i="1" s="1"/>
  <c r="V141" i="1" s="1"/>
  <c r="U141" i="1" s="1"/>
  <c r="M619" i="1"/>
  <c r="T619" i="1" s="1"/>
  <c r="V619" i="1" s="1"/>
  <c r="U619" i="1" s="1"/>
  <c r="M612" i="1"/>
  <c r="T612" i="1" s="1"/>
  <c r="V612" i="1" s="1"/>
  <c r="U612" i="1" s="1"/>
  <c r="M683" i="1"/>
  <c r="T683" i="1" s="1"/>
  <c r="V683" i="1" s="1"/>
  <c r="U683" i="1" s="1"/>
  <c r="M303" i="1"/>
  <c r="T303" i="1" s="1"/>
  <c r="V303" i="1" s="1"/>
  <c r="U303" i="1" s="1"/>
  <c r="M320" i="1"/>
  <c r="T320" i="1" s="1"/>
  <c r="V320" i="1" s="1"/>
  <c r="U320" i="1" s="1"/>
  <c r="M924" i="1"/>
  <c r="T924" i="1" s="1"/>
  <c r="V924" i="1" s="1"/>
  <c r="U924" i="1" s="1"/>
  <c r="M635" i="1"/>
  <c r="T635" i="1" s="1"/>
  <c r="V635" i="1" s="1"/>
  <c r="U635" i="1" s="1"/>
  <c r="M656" i="1"/>
  <c r="T656" i="1" s="1"/>
  <c r="V656" i="1" s="1"/>
  <c r="U656" i="1" s="1"/>
  <c r="M40" i="1"/>
  <c r="T40" i="1" s="1"/>
  <c r="V40" i="1" s="1"/>
  <c r="U40" i="1" s="1"/>
  <c r="M61" i="1"/>
  <c r="T61" i="1" s="1"/>
  <c r="V61" i="1" s="1"/>
  <c r="U61" i="1" s="1"/>
  <c r="M125" i="1"/>
  <c r="T125" i="1" s="1"/>
  <c r="V125" i="1" s="1"/>
  <c r="U125" i="1" s="1"/>
  <c r="M625" i="1"/>
  <c r="T625" i="1" s="1"/>
  <c r="V625" i="1" s="1"/>
  <c r="U625" i="1" s="1"/>
  <c r="M616" i="1"/>
  <c r="T616" i="1" s="1"/>
  <c r="V616" i="1" s="1"/>
  <c r="U616" i="1" s="1"/>
  <c r="M37" i="1"/>
  <c r="T37" i="1" s="1"/>
  <c r="V37" i="1" s="1"/>
  <c r="U37" i="1" s="1"/>
  <c r="M929" i="1"/>
  <c r="T929" i="1" s="1"/>
  <c r="V929" i="1" s="1"/>
  <c r="U929" i="1" s="1"/>
  <c r="M305" i="1"/>
  <c r="T305" i="1" s="1"/>
  <c r="V305" i="1" s="1"/>
  <c r="U305" i="1" s="1"/>
  <c r="M83" i="1"/>
  <c r="T83" i="1" s="1"/>
  <c r="V83" i="1" s="1"/>
  <c r="U83" i="1" s="1"/>
  <c r="M689" i="1"/>
  <c r="T689" i="1" s="1"/>
  <c r="V689" i="1" s="1"/>
  <c r="U689" i="1" s="1"/>
  <c r="M685" i="1"/>
  <c r="T685" i="1" s="1"/>
  <c r="V685" i="1" s="1"/>
  <c r="U685" i="1" s="1"/>
  <c r="M674" i="1"/>
  <c r="T674" i="1" s="1"/>
  <c r="V674" i="1" s="1"/>
  <c r="U674" i="1" s="1"/>
  <c r="M691" i="1"/>
  <c r="T691" i="1" s="1"/>
  <c r="M76" i="1"/>
  <c r="T76" i="1" s="1"/>
  <c r="V76" i="1" s="1"/>
  <c r="U76" i="1" s="1"/>
  <c r="M661" i="1"/>
  <c r="T661" i="1" s="1"/>
  <c r="M646" i="1"/>
  <c r="T646" i="1" s="1"/>
  <c r="V646" i="1" s="1"/>
  <c r="U646" i="1" s="1"/>
  <c r="M52" i="1"/>
  <c r="T52" i="1" s="1"/>
  <c r="V52" i="1" s="1"/>
  <c r="U52" i="1" s="1"/>
  <c r="M300" i="1"/>
  <c r="T300" i="1" s="1"/>
  <c r="V300" i="1" s="1"/>
  <c r="U300" i="1" s="1"/>
  <c r="M637" i="1"/>
  <c r="T637" i="1" s="1"/>
  <c r="V637" i="1" s="1"/>
  <c r="U637" i="1" s="1"/>
  <c r="M131" i="1"/>
  <c r="T131" i="1" s="1"/>
  <c r="V131" i="1" s="1"/>
  <c r="U131" i="1" s="1"/>
  <c r="M611" i="1"/>
  <c r="T611" i="1" s="1"/>
  <c r="V611" i="1" s="1"/>
  <c r="U611" i="1" s="1"/>
  <c r="M99" i="1"/>
  <c r="T99" i="1" s="1"/>
  <c r="V99" i="1" s="1"/>
  <c r="U99" i="1" s="1"/>
  <c r="M75" i="1"/>
  <c r="T75" i="1" s="1"/>
  <c r="V75" i="1" s="1"/>
  <c r="U75" i="1" s="1"/>
  <c r="M925" i="1"/>
  <c r="T925" i="1" s="1"/>
  <c r="V925" i="1" s="1"/>
  <c r="U925" i="1" s="1"/>
  <c r="M46" i="1"/>
  <c r="T46" i="1" s="1"/>
  <c r="V46" i="1" s="1"/>
  <c r="U46" i="1" s="1"/>
  <c r="M135" i="1"/>
  <c r="T135" i="1" s="1"/>
  <c r="V135" i="1" s="1"/>
  <c r="U135" i="1" s="1"/>
  <c r="M81" i="1"/>
  <c r="T81" i="1" s="1"/>
  <c r="V81" i="1" s="1"/>
  <c r="U81" i="1" s="1"/>
  <c r="M59" i="1"/>
  <c r="T59" i="1" s="1"/>
  <c r="V59" i="1" s="1"/>
  <c r="U59" i="1" s="1"/>
  <c r="M95" i="1"/>
  <c r="T95" i="1" s="1"/>
  <c r="V95" i="1" s="1"/>
  <c r="U95" i="1" s="1"/>
  <c r="M622" i="1"/>
  <c r="T622" i="1" s="1"/>
  <c r="V622" i="1" s="1"/>
  <c r="U622" i="1" s="1"/>
  <c r="M697" i="1"/>
  <c r="T697" i="1" s="1"/>
  <c r="M687" i="1"/>
  <c r="T687" i="1" s="1"/>
  <c r="V687" i="1" s="1"/>
  <c r="U687" i="1" s="1"/>
  <c r="M91" i="1"/>
  <c r="T91" i="1" s="1"/>
  <c r="V91" i="1" s="1"/>
  <c r="U91" i="1" s="1"/>
  <c r="M123" i="1"/>
  <c r="T123" i="1" s="1"/>
  <c r="V123" i="1" s="1"/>
  <c r="U123" i="1" s="1"/>
  <c r="M628" i="1"/>
  <c r="T628" i="1" s="1"/>
  <c r="V628" i="1" s="1"/>
  <c r="U628" i="1" s="1"/>
  <c r="M645" i="1"/>
  <c r="T645" i="1" s="1"/>
  <c r="V645" i="1" s="1"/>
  <c r="U645" i="1" s="1"/>
  <c r="M79" i="1"/>
  <c r="T79" i="1" s="1"/>
  <c r="V79" i="1" s="1"/>
  <c r="U79" i="1" s="1"/>
  <c r="M631" i="1"/>
  <c r="T631" i="1" s="1"/>
  <c r="V631" i="1" s="1"/>
  <c r="U631" i="1" s="1"/>
  <c r="M72" i="1"/>
  <c r="T72" i="1" s="1"/>
  <c r="V72" i="1" s="1"/>
  <c r="U72" i="1" s="1"/>
  <c r="M214" i="1"/>
  <c r="T214" i="1" s="1"/>
  <c r="M615" i="1"/>
  <c r="T615" i="1" s="1"/>
  <c r="V615" i="1" s="1"/>
  <c r="U615" i="1" s="1"/>
  <c r="M660" i="1"/>
  <c r="T660" i="1" s="1"/>
  <c r="M657" i="1"/>
  <c r="T657" i="1" s="1"/>
  <c r="V657" i="1" s="1"/>
  <c r="U657" i="1" s="1"/>
  <c r="M87" i="1"/>
  <c r="T87" i="1" s="1"/>
  <c r="V87" i="1" s="1"/>
  <c r="U87" i="1" s="1"/>
  <c r="M51" i="1"/>
  <c r="T51" i="1" s="1"/>
  <c r="V51" i="1" s="1"/>
  <c r="U51" i="1" s="1"/>
  <c r="M610" i="1"/>
  <c r="T610" i="1" s="1"/>
  <c r="V610" i="1" s="1"/>
  <c r="U610" i="1" s="1"/>
  <c r="M129" i="1"/>
  <c r="T129" i="1" s="1"/>
  <c r="V129" i="1" s="1"/>
  <c r="U129" i="1" s="1"/>
  <c r="M109" i="1"/>
  <c r="T109" i="1" s="1"/>
  <c r="V109" i="1" s="1"/>
  <c r="U109" i="1" s="1"/>
  <c r="M48" i="1"/>
  <c r="T48" i="1" s="1"/>
  <c r="V48" i="1" s="1"/>
  <c r="U48" i="1" s="1"/>
  <c r="M675" i="1"/>
  <c r="T675" i="1" s="1"/>
  <c r="V675" i="1" s="1"/>
  <c r="U675" i="1" s="1"/>
  <c r="M681" i="1"/>
  <c r="T681" i="1" s="1"/>
  <c r="V681" i="1" s="1"/>
  <c r="U681" i="1" s="1"/>
  <c r="M705" i="1"/>
  <c r="T705" i="1" s="1"/>
  <c r="M32" i="1"/>
  <c r="T32" i="1" s="1"/>
  <c r="V32" i="1" s="1"/>
  <c r="U32" i="1" s="1"/>
  <c r="M121" i="1"/>
  <c r="T121" i="1" s="1"/>
  <c r="V121" i="1" s="1"/>
  <c r="U121" i="1" s="1"/>
  <c r="M651" i="1"/>
  <c r="T651" i="1" s="1"/>
  <c r="V651" i="1" s="1"/>
  <c r="U651" i="1" s="1"/>
  <c r="M926" i="1"/>
  <c r="T926" i="1" s="1"/>
  <c r="M278" i="1"/>
  <c r="T278" i="1" s="1"/>
  <c r="V278" i="1" s="1"/>
  <c r="U278" i="1" s="1"/>
  <c r="M44" i="1"/>
  <c r="T44" i="1" s="1"/>
  <c r="V44" i="1" s="1"/>
  <c r="U44" i="1" s="1"/>
  <c r="M946" i="1"/>
  <c r="T946" i="1" s="1"/>
  <c r="V946" i="1" s="1"/>
  <c r="U946" i="1" s="1"/>
  <c r="M47" i="1"/>
  <c r="T47" i="1" s="1"/>
  <c r="V47" i="1" s="1"/>
  <c r="U47" i="1" s="1"/>
  <c r="M78" i="1"/>
  <c r="T78" i="1" s="1"/>
  <c r="V78" i="1" s="1"/>
  <c r="U78" i="1" s="1"/>
  <c r="M239" i="1"/>
  <c r="T239" i="1" s="1"/>
  <c r="M636" i="1"/>
  <c r="T636" i="1" s="1"/>
  <c r="V636" i="1" s="1"/>
  <c r="U636" i="1" s="1"/>
  <c r="M245" i="1"/>
  <c r="T245" i="1" s="1"/>
  <c r="M31" i="1"/>
  <c r="T31" i="1" s="1"/>
  <c r="V31" i="1" s="1"/>
  <c r="U31" i="1" s="1"/>
  <c r="M148" i="1"/>
  <c r="T148" i="1" s="1"/>
  <c r="V148" i="1" s="1"/>
  <c r="U148" i="1" s="1"/>
  <c r="M150" i="1"/>
  <c r="T150" i="1" s="1"/>
  <c r="V150" i="1" s="1"/>
  <c r="U150" i="1" s="1"/>
  <c r="M149" i="1"/>
  <c r="T149" i="1" s="1"/>
  <c r="V149" i="1" s="1"/>
  <c r="U149" i="1" s="1"/>
  <c r="M147" i="1"/>
  <c r="T147" i="1" s="1"/>
  <c r="V147" i="1" s="1"/>
  <c r="U147" i="1" s="1"/>
  <c r="M151" i="1"/>
  <c r="T151" i="1" s="1"/>
  <c r="V151" i="1" s="1"/>
  <c r="U151" i="1" s="1"/>
  <c r="M152" i="1"/>
  <c r="T152" i="1" s="1"/>
  <c r="V152" i="1" s="1"/>
  <c r="U152" i="1" s="1"/>
  <c r="M9" i="1"/>
  <c r="T9" i="1" s="1"/>
  <c r="V9" i="1" s="1"/>
  <c r="U9" i="1" s="1"/>
  <c r="M716" i="1"/>
  <c r="T716" i="1" s="1"/>
  <c r="V716" i="1" s="1"/>
  <c r="U716" i="1" s="1"/>
  <c r="M736" i="1"/>
  <c r="T736" i="1" s="1"/>
  <c r="V736" i="1" s="1"/>
  <c r="U736" i="1" s="1"/>
  <c r="M12" i="1"/>
  <c r="T12" i="1" s="1"/>
  <c r="V12" i="1" s="1"/>
  <c r="U12" i="1" s="1"/>
  <c r="M11" i="1"/>
  <c r="T11" i="1" s="1"/>
  <c r="V11" i="1" s="1"/>
  <c r="U11" i="1" s="1"/>
  <c r="M4" i="1"/>
  <c r="T4" i="1" s="1"/>
  <c r="V4" i="1" s="1"/>
  <c r="U4" i="1" s="1"/>
  <c r="M14" i="1"/>
  <c r="T14" i="1" s="1"/>
  <c r="V14" i="1" s="1"/>
  <c r="U14" i="1" s="1"/>
  <c r="M7" i="1"/>
  <c r="T7" i="1" s="1"/>
  <c r="V7" i="1" s="1"/>
  <c r="U7" i="1" s="1"/>
  <c r="M10" i="1"/>
  <c r="T10" i="1" s="1"/>
  <c r="V10" i="1" s="1"/>
  <c r="U10" i="1" s="1"/>
  <c r="M13" i="1"/>
  <c r="T13" i="1" s="1"/>
  <c r="V13" i="1" s="1"/>
  <c r="U13" i="1" s="1"/>
  <c r="M8" i="1"/>
  <c r="T8" i="1" s="1"/>
  <c r="V8" i="1" s="1"/>
  <c r="U8" i="1" s="1"/>
  <c r="M420" i="1"/>
  <c r="T420" i="1" s="1"/>
  <c r="V420" i="1" s="1"/>
  <c r="U420" i="1" s="1"/>
  <c r="M379" i="1"/>
  <c r="T379" i="1" s="1"/>
  <c r="V379" i="1" s="1"/>
  <c r="U379" i="1" s="1"/>
  <c r="M340" i="1"/>
  <c r="T340" i="1" s="1"/>
  <c r="V340" i="1" s="1"/>
  <c r="U340" i="1" s="1"/>
  <c r="M188" i="1"/>
  <c r="T188" i="1" s="1"/>
  <c r="V188" i="1" s="1"/>
  <c r="U188" i="1" s="1"/>
  <c r="M453" i="1"/>
  <c r="T453" i="1" s="1"/>
  <c r="V453" i="1" s="1"/>
  <c r="U453" i="1" s="1"/>
  <c r="M387" i="1"/>
  <c r="T387" i="1" s="1"/>
  <c r="V387" i="1" s="1"/>
  <c r="U387" i="1" s="1"/>
  <c r="M259" i="1"/>
  <c r="T259" i="1" s="1"/>
  <c r="V259" i="1" s="1"/>
  <c r="U259" i="1" s="1"/>
  <c r="M328" i="1"/>
  <c r="T328" i="1" s="1"/>
  <c r="V328" i="1" s="1"/>
  <c r="U328" i="1" s="1"/>
  <c r="M176" i="1"/>
  <c r="T176" i="1" s="1"/>
  <c r="V176" i="1" s="1"/>
  <c r="U176" i="1" s="1"/>
  <c r="M469" i="1"/>
  <c r="T469" i="1" s="1"/>
  <c r="V469" i="1" s="1"/>
  <c r="U469" i="1" s="1"/>
  <c r="M342" i="1"/>
  <c r="T342" i="1" s="1"/>
  <c r="V342" i="1" s="1"/>
  <c r="U342" i="1" s="1"/>
  <c r="M316" i="1"/>
  <c r="T316" i="1" s="1"/>
  <c r="V316" i="1" s="1"/>
  <c r="U316" i="1" s="1"/>
  <c r="M260" i="1"/>
  <c r="T260" i="1" s="1"/>
  <c r="V260" i="1" s="1"/>
  <c r="U260" i="1" s="1"/>
  <c r="M190" i="1"/>
  <c r="T190" i="1" s="1"/>
  <c r="V190" i="1" s="1"/>
  <c r="U190" i="1" s="1"/>
  <c r="M551" i="1"/>
  <c r="T551" i="1" s="1"/>
  <c r="V551" i="1" s="1"/>
  <c r="U551" i="1" s="1"/>
  <c r="M499" i="1"/>
  <c r="T499" i="1" s="1"/>
  <c r="V499" i="1" s="1"/>
  <c r="U499" i="1" s="1"/>
  <c r="M349" i="1"/>
  <c r="T349" i="1" s="1"/>
  <c r="V349" i="1" s="1"/>
  <c r="U349" i="1" s="1"/>
  <c r="M553" i="1"/>
  <c r="T553" i="1" s="1"/>
  <c r="V553" i="1" s="1"/>
  <c r="U553" i="1" s="1"/>
  <c r="M280" i="1"/>
  <c r="T280" i="1" s="1"/>
  <c r="V280" i="1" s="1"/>
  <c r="U280" i="1" s="1"/>
  <c r="M487" i="1"/>
  <c r="T487" i="1" s="1"/>
  <c r="V487" i="1" s="1"/>
  <c r="U487" i="1" s="1"/>
  <c r="M544" i="1"/>
  <c r="T544" i="1" s="1"/>
  <c r="V544" i="1" s="1"/>
  <c r="U544" i="1" s="1"/>
  <c r="M26" i="1"/>
  <c r="T26" i="1" s="1"/>
  <c r="V26" i="1" s="1"/>
  <c r="U26" i="1" s="1"/>
  <c r="M471" i="1"/>
  <c r="T471" i="1" s="1"/>
  <c r="V471" i="1" s="1"/>
  <c r="U471" i="1" s="1"/>
  <c r="M325" i="1"/>
  <c r="T325" i="1" s="1"/>
  <c r="V325" i="1" s="1"/>
  <c r="U325" i="1" s="1"/>
  <c r="M472" i="1"/>
  <c r="T472" i="1" s="1"/>
  <c r="V472" i="1" s="1"/>
  <c r="U472" i="1" s="1"/>
  <c r="M547" i="1"/>
  <c r="T547" i="1" s="1"/>
  <c r="V547" i="1" s="1"/>
  <c r="U547" i="1" s="1"/>
  <c r="M540" i="1"/>
  <c r="T540" i="1" s="1"/>
  <c r="V540" i="1" s="1"/>
  <c r="U540" i="1" s="1"/>
  <c r="M314" i="1"/>
  <c r="T314" i="1" s="1"/>
  <c r="V314" i="1" s="1"/>
  <c r="U314" i="1" s="1"/>
  <c r="M556" i="1"/>
  <c r="T556" i="1" s="1"/>
  <c r="V556" i="1" s="1"/>
  <c r="U556" i="1" s="1"/>
  <c r="M459" i="1"/>
  <c r="T459" i="1" s="1"/>
  <c r="V459" i="1" s="1"/>
  <c r="U459" i="1" s="1"/>
  <c r="M355" i="1"/>
  <c r="T355" i="1" s="1"/>
  <c r="V355" i="1" s="1"/>
  <c r="U355" i="1" s="1"/>
  <c r="M307" i="1"/>
  <c r="T307" i="1" s="1"/>
  <c r="V307" i="1" s="1"/>
  <c r="U307" i="1" s="1"/>
  <c r="M276" i="1"/>
  <c r="T276" i="1" s="1"/>
  <c r="V276" i="1" s="1"/>
  <c r="U276" i="1" s="1"/>
  <c r="M401" i="1"/>
  <c r="T401" i="1" s="1"/>
  <c r="M374" i="1"/>
  <c r="T374" i="1" s="1"/>
  <c r="M490" i="1"/>
  <c r="T490" i="1" s="1"/>
  <c r="V490" i="1" s="1"/>
  <c r="U490" i="1" s="1"/>
  <c r="M277" i="1"/>
  <c r="T277" i="1" s="1"/>
  <c r="V277" i="1" s="1"/>
  <c r="U277" i="1" s="1"/>
  <c r="M211" i="1"/>
  <c r="T211" i="1" s="1"/>
  <c r="M22" i="1"/>
  <c r="T22" i="1" s="1"/>
  <c r="V22" i="1" s="1"/>
  <c r="U22" i="1" s="1"/>
  <c r="M252" i="1"/>
  <c r="T252" i="1" s="1"/>
  <c r="V252" i="1" s="1"/>
  <c r="U252" i="1" s="1"/>
  <c r="M535" i="1"/>
  <c r="T535" i="1" s="1"/>
  <c r="V535" i="1" s="1"/>
  <c r="U535" i="1" s="1"/>
  <c r="M253" i="1"/>
  <c r="T253" i="1" s="1"/>
  <c r="V253" i="1" s="1"/>
  <c r="U253" i="1" s="1"/>
  <c r="M384" i="1"/>
  <c r="T384" i="1" s="1"/>
  <c r="V384" i="1" s="1"/>
  <c r="U384" i="1" s="1"/>
  <c r="M546" i="1"/>
  <c r="T546" i="1" s="1"/>
  <c r="V546" i="1" s="1"/>
  <c r="U546" i="1" s="1"/>
  <c r="M458" i="1"/>
  <c r="T458" i="1" s="1"/>
  <c r="V458" i="1" s="1"/>
  <c r="U458" i="1" s="1"/>
  <c r="M287" i="1"/>
  <c r="T287" i="1" s="1"/>
  <c r="V287" i="1" s="1"/>
  <c r="U287" i="1" s="1"/>
  <c r="M207" i="1"/>
  <c r="T207" i="1" s="1"/>
  <c r="M357" i="1"/>
  <c r="T357" i="1" s="1"/>
  <c r="V357" i="1" s="1"/>
  <c r="U357" i="1" s="1"/>
  <c r="M244" i="1"/>
  <c r="T244" i="1" s="1"/>
  <c r="V244" i="1" s="1"/>
  <c r="U244" i="1" s="1"/>
  <c r="M318" i="1"/>
  <c r="T318" i="1" s="1"/>
  <c r="V318" i="1" s="1"/>
  <c r="U318" i="1" s="1"/>
  <c r="M474" i="1"/>
  <c r="T474" i="1" s="1"/>
  <c r="V474" i="1" s="1"/>
  <c r="U474" i="1" s="1"/>
  <c r="M485" i="1"/>
  <c r="T485" i="1" s="1"/>
  <c r="V485" i="1" s="1"/>
  <c r="U485" i="1" s="1"/>
  <c r="M338" i="1"/>
  <c r="T338" i="1" s="1"/>
  <c r="V338" i="1" s="1"/>
  <c r="U338" i="1" s="1"/>
  <c r="M312" i="1"/>
  <c r="T312" i="1" s="1"/>
  <c r="V312" i="1" s="1"/>
  <c r="U312" i="1" s="1"/>
  <c r="M255" i="1"/>
  <c r="T255" i="1" s="1"/>
  <c r="V255" i="1" s="1"/>
  <c r="U255" i="1" s="1"/>
  <c r="M186" i="1"/>
  <c r="T186" i="1" s="1"/>
  <c r="V186" i="1" s="1"/>
  <c r="U186" i="1" s="1"/>
  <c r="M454" i="1"/>
  <c r="T454" i="1" s="1"/>
  <c r="V454" i="1" s="1"/>
  <c r="U454" i="1" s="1"/>
  <c r="M555" i="1"/>
  <c r="T555" i="1" s="1"/>
  <c r="V555" i="1" s="1"/>
  <c r="U555" i="1" s="1"/>
  <c r="M329" i="1"/>
  <c r="T329" i="1" s="1"/>
  <c r="V329" i="1" s="1"/>
  <c r="U329" i="1" s="1"/>
  <c r="M399" i="1"/>
  <c r="T399" i="1" s="1"/>
  <c r="V399" i="1" s="1"/>
  <c r="U399" i="1" s="1"/>
  <c r="M258" i="1"/>
  <c r="T258" i="1" s="1"/>
  <c r="V258" i="1" s="1"/>
  <c r="U258" i="1" s="1"/>
  <c r="M501" i="1"/>
  <c r="T501" i="1" s="1"/>
  <c r="V501" i="1" s="1"/>
  <c r="U501" i="1" s="1"/>
  <c r="M5" i="1"/>
  <c r="T5" i="1" s="1"/>
  <c r="V5" i="1" s="1"/>
  <c r="U5" i="1" s="1"/>
  <c r="M479" i="1"/>
  <c r="T479" i="1" s="1"/>
  <c r="V479" i="1" s="1"/>
  <c r="U479" i="1" s="1"/>
  <c r="M311" i="1"/>
  <c r="T311" i="1" s="1"/>
  <c r="V311" i="1" s="1"/>
  <c r="U311" i="1" s="1"/>
  <c r="M212" i="1"/>
  <c r="T212" i="1" s="1"/>
  <c r="M480" i="1"/>
  <c r="T480" i="1" s="1"/>
  <c r="V480" i="1" s="1"/>
  <c r="U480" i="1" s="1"/>
  <c r="M24" i="1"/>
  <c r="T24" i="1" s="1"/>
  <c r="V24" i="1" s="1"/>
  <c r="U24" i="1" s="1"/>
  <c r="M457" i="1"/>
  <c r="T457" i="1" s="1"/>
  <c r="V457" i="1" s="1"/>
  <c r="U457" i="1" s="1"/>
  <c r="M548" i="1"/>
  <c r="T548" i="1" s="1"/>
  <c r="V548" i="1" s="1"/>
  <c r="U548" i="1" s="1"/>
  <c r="M227" i="1"/>
  <c r="T227" i="1" s="1"/>
  <c r="V227" i="1" s="1"/>
  <c r="U227" i="1" s="1"/>
  <c r="M288" i="1"/>
  <c r="T288" i="1" s="1"/>
  <c r="V288" i="1" s="1"/>
  <c r="U288" i="1" s="1"/>
  <c r="M434" i="1"/>
  <c r="T434" i="1" s="1"/>
  <c r="M549" i="1"/>
  <c r="T549" i="1" s="1"/>
  <c r="V549" i="1" s="1"/>
  <c r="U549" i="1" s="1"/>
  <c r="M467" i="1"/>
  <c r="T467" i="1" s="1"/>
  <c r="V467" i="1" s="1"/>
  <c r="U467" i="1" s="1"/>
  <c r="M397" i="1"/>
  <c r="T397" i="1" s="1"/>
  <c r="V397" i="1" s="1"/>
  <c r="U397" i="1" s="1"/>
  <c r="M351" i="1"/>
  <c r="T351" i="1" s="1"/>
  <c r="V351" i="1" s="1"/>
  <c r="U351" i="1" s="1"/>
  <c r="M317" i="1"/>
  <c r="T317" i="1" s="1"/>
  <c r="V317" i="1" s="1"/>
  <c r="U317" i="1" s="1"/>
  <c r="M261" i="1"/>
  <c r="T261" i="1" s="1"/>
  <c r="V261" i="1" s="1"/>
  <c r="U261" i="1" s="1"/>
  <c r="M191" i="1"/>
  <c r="T191" i="1" s="1"/>
  <c r="V191" i="1" s="1"/>
  <c r="U191" i="1" s="1"/>
  <c r="M494" i="1"/>
  <c r="T494" i="1" s="1"/>
  <c r="V494" i="1" s="1"/>
  <c r="U494" i="1" s="1"/>
  <c r="M341" i="1"/>
  <c r="T341" i="1" s="1"/>
  <c r="V341" i="1" s="1"/>
  <c r="U341" i="1" s="1"/>
  <c r="M193" i="1"/>
  <c r="T193" i="1" s="1"/>
  <c r="V193" i="1" s="1"/>
  <c r="U193" i="1" s="1"/>
  <c r="M284" i="1"/>
  <c r="T284" i="1" s="1"/>
  <c r="V284" i="1" s="1"/>
  <c r="U284" i="1" s="1"/>
  <c r="M493" i="1"/>
  <c r="T493" i="1" s="1"/>
  <c r="V493" i="1" s="1"/>
  <c r="U493" i="1" s="1"/>
  <c r="M438" i="1"/>
  <c r="T438" i="1" s="1"/>
  <c r="V438" i="1" s="1"/>
  <c r="U438" i="1" s="1"/>
  <c r="M334" i="1"/>
  <c r="T334" i="1" s="1"/>
  <c r="V334" i="1" s="1"/>
  <c r="U334" i="1" s="1"/>
  <c r="M308" i="1"/>
  <c r="T308" i="1" s="1"/>
  <c r="V308" i="1" s="1"/>
  <c r="U308" i="1" s="1"/>
  <c r="M250" i="1"/>
  <c r="T250" i="1" s="1"/>
  <c r="V250" i="1" s="1"/>
  <c r="U250" i="1" s="1"/>
  <c r="M182" i="1"/>
  <c r="T182" i="1" s="1"/>
  <c r="V182" i="1" s="1"/>
  <c r="U182" i="1" s="1"/>
  <c r="M462" i="1"/>
  <c r="T462" i="1" s="1"/>
  <c r="V462" i="1" s="1"/>
  <c r="U462" i="1" s="1"/>
  <c r="M536" i="1"/>
  <c r="T536" i="1" s="1"/>
  <c r="V536" i="1" s="1"/>
  <c r="U536" i="1" s="1"/>
  <c r="M315" i="1"/>
  <c r="T315" i="1" s="1"/>
  <c r="V315" i="1" s="1"/>
  <c r="U315" i="1" s="1"/>
  <c r="M386" i="1"/>
  <c r="T386" i="1" s="1"/>
  <c r="V386" i="1" s="1"/>
  <c r="U386" i="1" s="1"/>
  <c r="M238" i="1"/>
  <c r="T238" i="1" s="1"/>
  <c r="V238" i="1" s="1"/>
  <c r="U238" i="1" s="1"/>
  <c r="M146" i="1"/>
  <c r="T146" i="1" s="1"/>
  <c r="V146" i="1" s="1"/>
  <c r="U146" i="1" s="1"/>
  <c r="M396" i="1"/>
  <c r="T396" i="1" s="1"/>
  <c r="V396" i="1" s="1"/>
  <c r="U396" i="1" s="1"/>
  <c r="M429" i="1"/>
  <c r="T429" i="1" s="1"/>
  <c r="M532" i="1"/>
  <c r="T532" i="1" s="1"/>
  <c r="V532" i="1" s="1"/>
  <c r="U532" i="1" s="1"/>
  <c r="M279" i="1"/>
  <c r="T279" i="1" s="1"/>
  <c r="M486" i="1"/>
  <c r="T486" i="1" s="1"/>
  <c r="V486" i="1" s="1"/>
  <c r="U486" i="1" s="1"/>
  <c r="M465" i="1"/>
  <c r="T465" i="1" s="1"/>
  <c r="V465" i="1" s="1"/>
  <c r="U465" i="1" s="1"/>
  <c r="M437" i="1"/>
  <c r="T437" i="1" s="1"/>
  <c r="V437" i="1" s="1"/>
  <c r="U437" i="1" s="1"/>
  <c r="M394" i="1"/>
  <c r="T394" i="1" s="1"/>
  <c r="V394" i="1" s="1"/>
  <c r="U394" i="1" s="1"/>
  <c r="M378" i="1"/>
  <c r="T378" i="1" s="1"/>
  <c r="V378" i="1" s="1"/>
  <c r="U378" i="1" s="1"/>
  <c r="M6" i="1"/>
  <c r="T6" i="1" s="1"/>
  <c r="V6" i="1" s="1"/>
  <c r="U6" i="1" s="1"/>
  <c r="M475" i="1"/>
  <c r="T475" i="1" s="1"/>
  <c r="V475" i="1" s="1"/>
  <c r="U475" i="1" s="1"/>
  <c r="M393" i="1"/>
  <c r="T393" i="1" s="1"/>
  <c r="V393" i="1" s="1"/>
  <c r="U393" i="1" s="1"/>
  <c r="M347" i="1"/>
  <c r="T347" i="1" s="1"/>
  <c r="V347" i="1" s="1"/>
  <c r="U347" i="1" s="1"/>
  <c r="M313" i="1"/>
  <c r="T313" i="1" s="1"/>
  <c r="V313" i="1" s="1"/>
  <c r="U313" i="1" s="1"/>
  <c r="M256" i="1"/>
  <c r="T256" i="1" s="1"/>
  <c r="V256" i="1" s="1"/>
  <c r="U256" i="1" s="1"/>
  <c r="M187" i="1"/>
  <c r="T187" i="1" s="1"/>
  <c r="V187" i="1" s="1"/>
  <c r="U187" i="1" s="1"/>
  <c r="M195" i="1"/>
  <c r="T195" i="1" s="1"/>
  <c r="M406" i="1"/>
  <c r="T406" i="1" s="1"/>
  <c r="V406" i="1" s="1"/>
  <c r="U406" i="1" s="1"/>
  <c r="M498" i="1"/>
  <c r="T498" i="1" s="1"/>
  <c r="V498" i="1" s="1"/>
  <c r="U498" i="1" s="1"/>
  <c r="M541" i="1"/>
  <c r="T541" i="1" s="1"/>
  <c r="V541" i="1" s="1"/>
  <c r="U541" i="1" s="1"/>
  <c r="M286" i="1"/>
  <c r="T286" i="1" s="1"/>
  <c r="V286" i="1" s="1"/>
  <c r="U286" i="1" s="1"/>
  <c r="M470" i="1"/>
  <c r="T470" i="1" s="1"/>
  <c r="V470" i="1" s="1"/>
  <c r="U470" i="1" s="1"/>
  <c r="M360" i="1"/>
  <c r="T360" i="1" s="1"/>
  <c r="V360" i="1" s="1"/>
  <c r="U360" i="1" s="1"/>
  <c r="M392" i="1"/>
  <c r="T392" i="1" s="1"/>
  <c r="V392" i="1" s="1"/>
  <c r="U392" i="1" s="1"/>
  <c r="M249" i="1"/>
  <c r="T249" i="1" s="1"/>
  <c r="V249" i="1" s="1"/>
  <c r="U249" i="1" s="1"/>
  <c r="M473" i="1"/>
  <c r="T473" i="1" s="1"/>
  <c r="V473" i="1" s="1"/>
  <c r="U473" i="1" s="1"/>
  <c r="M262" i="1"/>
  <c r="T262" i="1" s="1"/>
  <c r="V262" i="1" s="1"/>
  <c r="U262" i="1" s="1"/>
  <c r="M389" i="1"/>
  <c r="T389" i="1" s="1"/>
  <c r="V389" i="1" s="1"/>
  <c r="U389" i="1" s="1"/>
  <c r="M183" i="1"/>
  <c r="T183" i="1" s="1"/>
  <c r="V183" i="1" s="1"/>
  <c r="U183" i="1" s="1"/>
  <c r="M421" i="1"/>
  <c r="T421" i="1" s="1"/>
  <c r="V421" i="1" s="1"/>
  <c r="U421" i="1" s="1"/>
  <c r="M326" i="1"/>
  <c r="T326" i="1" s="1"/>
  <c r="V326" i="1" s="1"/>
  <c r="U326" i="1" s="1"/>
  <c r="M241" i="1"/>
  <c r="T241" i="1" s="1"/>
  <c r="V241" i="1" s="1"/>
  <c r="U241" i="1" s="1"/>
  <c r="M478" i="1"/>
  <c r="T478" i="1" s="1"/>
  <c r="V478" i="1" s="1"/>
  <c r="U478" i="1" s="1"/>
  <c r="M348" i="1"/>
  <c r="T348" i="1" s="1"/>
  <c r="V348" i="1" s="1"/>
  <c r="U348" i="1" s="1"/>
  <c r="M481" i="1"/>
  <c r="T481" i="1" s="1"/>
  <c r="V481" i="1" s="1"/>
  <c r="U481" i="1" s="1"/>
  <c r="M248" i="1"/>
  <c r="T248" i="1" s="1"/>
  <c r="V248" i="1" s="1"/>
  <c r="U248" i="1" s="1"/>
  <c r="M534" i="1"/>
  <c r="T534" i="1" s="1"/>
  <c r="V534" i="1" s="1"/>
  <c r="U534" i="1" s="1"/>
  <c r="M339" i="1"/>
  <c r="T339" i="1" s="1"/>
  <c r="V339" i="1" s="1"/>
  <c r="U339" i="1" s="1"/>
  <c r="M247" i="1"/>
  <c r="T247" i="1" s="1"/>
  <c r="V247" i="1" s="1"/>
  <c r="U247" i="1" s="1"/>
  <c r="M468" i="1"/>
  <c r="T468" i="1" s="1"/>
  <c r="V468" i="1" s="1"/>
  <c r="U468" i="1" s="1"/>
  <c r="M296" i="1"/>
  <c r="T296" i="1" s="1"/>
  <c r="V296" i="1" s="1"/>
  <c r="U296" i="1" s="1"/>
  <c r="M364" i="1"/>
  <c r="T364" i="1" s="1"/>
  <c r="V364" i="1" s="1"/>
  <c r="U364" i="1" s="1"/>
  <c r="M243" i="1"/>
  <c r="T243" i="1" s="1"/>
  <c r="V243" i="1" s="1"/>
  <c r="U243" i="1" s="1"/>
  <c r="M358" i="1"/>
  <c r="T358" i="1" s="1"/>
  <c r="V358" i="1" s="1"/>
  <c r="U358" i="1" s="1"/>
  <c r="M380" i="1"/>
  <c r="T380" i="1" s="1"/>
  <c r="V380" i="1" s="1"/>
  <c r="U380" i="1" s="1"/>
  <c r="M236" i="1"/>
  <c r="T236" i="1" s="1"/>
  <c r="V236" i="1" s="1"/>
  <c r="U236" i="1" s="1"/>
  <c r="M145" i="1"/>
  <c r="T145" i="1" s="1"/>
  <c r="V145" i="1" s="1"/>
  <c r="U145" i="1" s="1"/>
  <c r="M489" i="1"/>
  <c r="T489" i="1" s="1"/>
  <c r="V489" i="1" s="1"/>
  <c r="U489" i="1" s="1"/>
  <c r="M235" i="1"/>
  <c r="T235" i="1" s="1"/>
  <c r="V235" i="1" s="1"/>
  <c r="U235" i="1" s="1"/>
  <c r="M332" i="1"/>
  <c r="T332" i="1" s="1"/>
  <c r="V332" i="1" s="1"/>
  <c r="U332" i="1" s="1"/>
  <c r="M373" i="1"/>
  <c r="T373" i="1" s="1"/>
  <c r="M362" i="1"/>
  <c r="T362" i="1" s="1"/>
  <c r="V362" i="1" s="1"/>
  <c r="U362" i="1" s="1"/>
  <c r="M552" i="1"/>
  <c r="T552" i="1" s="1"/>
  <c r="V552" i="1" s="1"/>
  <c r="U552" i="1" s="1"/>
  <c r="M395" i="1"/>
  <c r="T395" i="1" s="1"/>
  <c r="V395" i="1" s="1"/>
  <c r="U395" i="1" s="1"/>
  <c r="M189" i="1"/>
  <c r="T189" i="1" s="1"/>
  <c r="V189" i="1" s="1"/>
  <c r="U189" i="1" s="1"/>
  <c r="M402" i="1"/>
  <c r="T402" i="1" s="1"/>
  <c r="V402" i="1" s="1"/>
  <c r="U402" i="1" s="1"/>
  <c r="M500" i="1"/>
  <c r="T500" i="1" s="1"/>
  <c r="V500" i="1" s="1"/>
  <c r="U500" i="1" s="1"/>
  <c r="M533" i="1"/>
  <c r="T533" i="1" s="1"/>
  <c r="V533" i="1" s="1"/>
  <c r="U533" i="1" s="1"/>
  <c r="M337" i="1"/>
  <c r="T337" i="1" s="1"/>
  <c r="V337" i="1" s="1"/>
  <c r="U337" i="1" s="1"/>
  <c r="M344" i="1"/>
  <c r="T344" i="1" s="1"/>
  <c r="V344" i="1" s="1"/>
  <c r="U344" i="1" s="1"/>
  <c r="M226" i="1"/>
  <c r="T226" i="1" s="1"/>
  <c r="V226" i="1" s="1"/>
  <c r="U226" i="1" s="1"/>
  <c r="M482" i="1"/>
  <c r="T482" i="1" s="1"/>
  <c r="V482" i="1" s="1"/>
  <c r="U482" i="1" s="1"/>
  <c r="M433" i="1"/>
  <c r="T433" i="1" s="1"/>
  <c r="M542" i="1"/>
  <c r="T542" i="1" s="1"/>
  <c r="V542" i="1" s="1"/>
  <c r="U542" i="1" s="1"/>
  <c r="M367" i="1"/>
  <c r="T367" i="1" s="1"/>
  <c r="V367" i="1" s="1"/>
  <c r="U367" i="1" s="1"/>
  <c r="M335" i="1"/>
  <c r="T335" i="1" s="1"/>
  <c r="V335" i="1" s="1"/>
  <c r="U335" i="1" s="1"/>
  <c r="M283" i="1"/>
  <c r="T283" i="1" s="1"/>
  <c r="V283" i="1" s="1"/>
  <c r="U283" i="1" s="1"/>
  <c r="M242" i="1"/>
  <c r="T242" i="1" s="1"/>
  <c r="V242" i="1" s="1"/>
  <c r="U242" i="1" s="1"/>
  <c r="M476" i="1"/>
  <c r="T476" i="1" s="1"/>
  <c r="V476" i="1" s="1"/>
  <c r="U476" i="1" s="1"/>
  <c r="M306" i="1"/>
  <c r="T306" i="1" s="1"/>
  <c r="V306" i="1" s="1"/>
  <c r="U306" i="1" s="1"/>
  <c r="M477" i="1"/>
  <c r="T477" i="1" s="1"/>
  <c r="V477" i="1" s="1"/>
  <c r="U477" i="1" s="1"/>
  <c r="M345" i="1"/>
  <c r="T345" i="1" s="1"/>
  <c r="V345" i="1" s="1"/>
  <c r="U345" i="1" s="1"/>
  <c r="M464" i="1"/>
  <c r="T464" i="1" s="1"/>
  <c r="V464" i="1" s="1"/>
  <c r="U464" i="1" s="1"/>
  <c r="M285" i="1"/>
  <c r="T285" i="1" s="1"/>
  <c r="V285" i="1" s="1"/>
  <c r="U285" i="1" s="1"/>
  <c r="M153" i="1"/>
  <c r="T153" i="1" s="1"/>
  <c r="V153" i="1" s="1"/>
  <c r="U153" i="1" s="1"/>
  <c r="M359" i="1"/>
  <c r="T359" i="1" s="1"/>
  <c r="V359" i="1" s="1"/>
  <c r="U359" i="1" s="1"/>
  <c r="M327" i="1"/>
  <c r="T327" i="1" s="1"/>
  <c r="V327" i="1" s="1"/>
  <c r="U327" i="1" s="1"/>
  <c r="M377" i="1"/>
  <c r="T377" i="1" s="1"/>
  <c r="V377" i="1" s="1"/>
  <c r="U377" i="1" s="1"/>
  <c r="M488" i="1"/>
  <c r="T488" i="1" s="1"/>
  <c r="V488" i="1" s="1"/>
  <c r="U488" i="1" s="1"/>
  <c r="M181" i="1"/>
  <c r="T181" i="1" s="1"/>
  <c r="V181" i="1" s="1"/>
  <c r="U181" i="1" s="1"/>
  <c r="M388" i="1"/>
  <c r="T388" i="1" s="1"/>
  <c r="V388" i="1" s="1"/>
  <c r="U388" i="1" s="1"/>
  <c r="M246" i="1"/>
  <c r="T246" i="1" s="1"/>
  <c r="V246" i="1" s="1"/>
  <c r="U246" i="1" s="1"/>
  <c r="M545" i="1"/>
  <c r="T545" i="1" s="1"/>
  <c r="V545" i="1" s="1"/>
  <c r="U545" i="1" s="1"/>
  <c r="M192" i="1"/>
  <c r="T192" i="1" s="1"/>
  <c r="V192" i="1" s="1"/>
  <c r="U192" i="1" s="1"/>
  <c r="M573" i="1"/>
  <c r="T573" i="1" s="1"/>
  <c r="V573" i="1" s="1"/>
  <c r="U573" i="1" s="1"/>
  <c r="M428" i="1"/>
  <c r="T428" i="1" s="1"/>
  <c r="M383" i="1"/>
  <c r="T383" i="1" s="1"/>
  <c r="V383" i="1" s="1"/>
  <c r="U383" i="1" s="1"/>
  <c r="M563" i="1"/>
  <c r="T563" i="1" s="1"/>
  <c r="V563" i="1" s="1"/>
  <c r="U563" i="1" s="1"/>
  <c r="M343" i="1"/>
  <c r="T343" i="1" s="1"/>
  <c r="V343" i="1" s="1"/>
  <c r="U343" i="1" s="1"/>
  <c r="M390" i="1"/>
  <c r="T390" i="1" s="1"/>
  <c r="V390" i="1" s="1"/>
  <c r="U390" i="1" s="1"/>
  <c r="M366" i="1"/>
  <c r="T366" i="1" s="1"/>
  <c r="V366" i="1" s="1"/>
  <c r="U366" i="1" s="1"/>
  <c r="M282" i="1"/>
  <c r="T282" i="1" s="1"/>
  <c r="V282" i="1" s="1"/>
  <c r="U282" i="1" s="1"/>
  <c r="M155" i="1"/>
  <c r="T155" i="1" s="1"/>
  <c r="V155" i="1" s="1"/>
  <c r="U155" i="1" s="1"/>
  <c r="M254" i="1"/>
  <c r="T254" i="1" s="1"/>
  <c r="V254" i="1" s="1"/>
  <c r="U254" i="1" s="1"/>
  <c r="M180" i="1"/>
  <c r="T180" i="1" s="1"/>
  <c r="V180" i="1" s="1"/>
  <c r="U180" i="1" s="1"/>
  <c r="M496" i="1"/>
  <c r="T496" i="1" s="1"/>
  <c r="V496" i="1" s="1"/>
  <c r="U496" i="1" s="1"/>
  <c r="M353" i="1"/>
  <c r="T353" i="1" s="1"/>
  <c r="V353" i="1" s="1"/>
  <c r="U353" i="1" s="1"/>
  <c r="M356" i="1"/>
  <c r="T356" i="1" s="1"/>
  <c r="V356" i="1" s="1"/>
  <c r="U356" i="1" s="1"/>
  <c r="M290" i="1"/>
  <c r="T290" i="1" s="1"/>
  <c r="V290" i="1" s="1"/>
  <c r="U290" i="1" s="1"/>
  <c r="M352" i="1"/>
  <c r="T352" i="1" s="1"/>
  <c r="V352" i="1" s="1"/>
  <c r="U352" i="1" s="1"/>
  <c r="M234" i="1"/>
  <c r="T234" i="1" s="1"/>
  <c r="V234" i="1" s="1"/>
  <c r="U234" i="1" s="1"/>
  <c r="M423" i="1"/>
  <c r="T423" i="1" s="1"/>
  <c r="M354" i="1"/>
  <c r="T354" i="1" s="1"/>
  <c r="V354" i="1" s="1"/>
  <c r="U354" i="1" s="1"/>
  <c r="M298" i="1"/>
  <c r="T298" i="1" s="1"/>
  <c r="V298" i="1" s="1"/>
  <c r="U298" i="1" s="1"/>
  <c r="M376" i="1"/>
  <c r="T376" i="1" s="1"/>
  <c r="V376" i="1" s="1"/>
  <c r="U376" i="1" s="1"/>
  <c r="M228" i="1"/>
  <c r="T228" i="1" s="1"/>
  <c r="V228" i="1" s="1"/>
  <c r="U228" i="1" s="1"/>
  <c r="M491" i="1"/>
  <c r="T491" i="1" s="1"/>
  <c r="V491" i="1" s="1"/>
  <c r="U491" i="1" s="1"/>
  <c r="M391" i="1"/>
  <c r="T391" i="1" s="1"/>
  <c r="V391" i="1" s="1"/>
  <c r="U391" i="1" s="1"/>
  <c r="M185" i="1"/>
  <c r="T185" i="1" s="1"/>
  <c r="V185" i="1" s="1"/>
  <c r="U185" i="1" s="1"/>
  <c r="M291" i="1"/>
  <c r="T291" i="1" s="1"/>
  <c r="V291" i="1" s="1"/>
  <c r="U291" i="1" s="1"/>
  <c r="M398" i="1"/>
  <c r="T398" i="1" s="1"/>
  <c r="M461" i="1"/>
  <c r="T461" i="1" s="1"/>
  <c r="V461" i="1" s="1"/>
  <c r="U461" i="1" s="1"/>
  <c r="M350" i="1"/>
  <c r="T350" i="1" s="1"/>
  <c r="V350" i="1" s="1"/>
  <c r="U350" i="1" s="1"/>
  <c r="M455" i="1"/>
  <c r="T455" i="1" s="1"/>
  <c r="V455" i="1" s="1"/>
  <c r="U455" i="1" s="1"/>
  <c r="M365" i="1"/>
  <c r="T365" i="1" s="1"/>
  <c r="V365" i="1" s="1"/>
  <c r="U365" i="1" s="1"/>
  <c r="M177" i="1"/>
  <c r="T177" i="1" s="1"/>
  <c r="V177" i="1" s="1"/>
  <c r="U177" i="1" s="1"/>
  <c r="M456" i="1"/>
  <c r="T456" i="1" s="1"/>
  <c r="V456" i="1" s="1"/>
  <c r="U456" i="1" s="1"/>
  <c r="M537" i="1"/>
  <c r="T537" i="1" s="1"/>
  <c r="V537" i="1" s="1"/>
  <c r="U537" i="1" s="1"/>
  <c r="M319" i="1"/>
  <c r="T319" i="1" s="1"/>
  <c r="V319" i="1" s="1"/>
  <c r="U319" i="1" s="1"/>
  <c r="M336" i="1"/>
  <c r="T336" i="1" s="1"/>
  <c r="V336" i="1" s="1"/>
  <c r="U336" i="1" s="1"/>
  <c r="M184" i="1"/>
  <c r="T184" i="1" s="1"/>
  <c r="V184" i="1" s="1"/>
  <c r="U184" i="1" s="1"/>
  <c r="M497" i="1"/>
  <c r="T497" i="1" s="1"/>
  <c r="V497" i="1" s="1"/>
  <c r="U497" i="1" s="1"/>
  <c r="M550" i="1"/>
  <c r="T550" i="1" s="1"/>
  <c r="V550" i="1" s="1"/>
  <c r="U550" i="1" s="1"/>
  <c r="M363" i="1"/>
  <c r="T363" i="1" s="1"/>
  <c r="V363" i="1" s="1"/>
  <c r="U363" i="1" s="1"/>
  <c r="M331" i="1"/>
  <c r="T331" i="1" s="1"/>
  <c r="V331" i="1" s="1"/>
  <c r="U331" i="1" s="1"/>
  <c r="M381" i="1"/>
  <c r="T381" i="1" s="1"/>
  <c r="V381" i="1" s="1"/>
  <c r="U381" i="1" s="1"/>
  <c r="M237" i="1"/>
  <c r="T237" i="1" s="1"/>
  <c r="V237" i="1" s="1"/>
  <c r="U237" i="1" s="1"/>
  <c r="M160" i="1"/>
  <c r="T160" i="1" s="1"/>
  <c r="V160" i="1" s="1"/>
  <c r="U160" i="1" s="1"/>
  <c r="M432" i="1"/>
  <c r="T432" i="1" s="1"/>
  <c r="M484" i="1"/>
  <c r="T484" i="1" s="1"/>
  <c r="V484" i="1" s="1"/>
  <c r="U484" i="1" s="1"/>
  <c r="M346" i="1"/>
  <c r="T346" i="1" s="1"/>
  <c r="V346" i="1" s="1"/>
  <c r="U346" i="1" s="1"/>
  <c r="M275" i="1"/>
  <c r="T275" i="1" s="1"/>
  <c r="V275" i="1" s="1"/>
  <c r="U275" i="1" s="1"/>
  <c r="M194" i="1"/>
  <c r="T194" i="1" s="1"/>
  <c r="V194" i="1" s="1"/>
  <c r="U194" i="1" s="1"/>
  <c r="M372" i="1"/>
  <c r="T372" i="1" s="1"/>
  <c r="M495" i="1"/>
  <c r="T495" i="1" s="1"/>
  <c r="V495" i="1" s="1"/>
  <c r="U495" i="1" s="1"/>
  <c r="M361" i="1"/>
  <c r="T361" i="1" s="1"/>
  <c r="V361" i="1" s="1"/>
  <c r="U361" i="1" s="1"/>
  <c r="M154" i="1"/>
  <c r="T154" i="1" s="1"/>
  <c r="V154" i="1" s="1"/>
  <c r="U154" i="1" s="1"/>
  <c r="M310" i="1"/>
  <c r="T310" i="1" s="1"/>
  <c r="V310" i="1" s="1"/>
  <c r="U310" i="1" s="1"/>
  <c r="M466" i="1"/>
  <c r="T466" i="1" s="1"/>
  <c r="V466" i="1" s="1"/>
  <c r="U466" i="1" s="1"/>
  <c r="M16" i="1"/>
  <c r="T16" i="1" s="1"/>
  <c r="V16" i="1" s="1"/>
  <c r="U16" i="1" s="1"/>
  <c r="M463" i="1"/>
  <c r="T463" i="1" s="1"/>
  <c r="V463" i="1" s="1"/>
  <c r="U463" i="1" s="1"/>
  <c r="M217" i="1"/>
  <c r="T217" i="1" s="1"/>
  <c r="M539" i="1"/>
  <c r="T539" i="1" s="1"/>
  <c r="V539" i="1" s="1"/>
  <c r="U539" i="1" s="1"/>
  <c r="M324" i="1"/>
  <c r="T324" i="1" s="1"/>
  <c r="V324" i="1" s="1"/>
  <c r="U324" i="1" s="1"/>
  <c r="M554" i="1"/>
  <c r="T554" i="1" s="1"/>
  <c r="V554" i="1" s="1"/>
  <c r="U554" i="1" s="1"/>
  <c r="M229" i="1"/>
  <c r="T229" i="1" s="1"/>
  <c r="V229" i="1" s="1"/>
  <c r="U229" i="1" s="1"/>
  <c r="M333" i="1"/>
  <c r="T333" i="1" s="1"/>
  <c r="V333" i="1" s="1"/>
  <c r="U333" i="1" s="1"/>
  <c r="M330" i="1"/>
  <c r="T330" i="1" s="1"/>
  <c r="V330" i="1" s="1"/>
  <c r="U330" i="1" s="1"/>
  <c r="M178" i="1"/>
  <c r="T178" i="1" s="1"/>
  <c r="V178" i="1" s="1"/>
  <c r="U178" i="1" s="1"/>
  <c r="M281" i="1"/>
  <c r="T281" i="1" s="1"/>
  <c r="V281" i="1" s="1"/>
  <c r="U281" i="1" s="1"/>
  <c r="M20" i="1"/>
  <c r="T20" i="1" s="1"/>
  <c r="V20" i="1" s="1"/>
  <c r="U20" i="1" s="1"/>
  <c r="M538" i="1"/>
  <c r="T538" i="1" s="1"/>
  <c r="V538" i="1" s="1"/>
  <c r="U538" i="1" s="1"/>
  <c r="M492" i="1"/>
  <c r="T492" i="1" s="1"/>
  <c r="V492" i="1" s="1"/>
  <c r="U492" i="1" s="1"/>
  <c r="M382" i="1"/>
  <c r="T382" i="1" s="1"/>
  <c r="V382" i="1" s="1"/>
  <c r="U382" i="1" s="1"/>
  <c r="M483" i="1"/>
  <c r="T483" i="1" s="1"/>
  <c r="V483" i="1" s="1"/>
  <c r="U483" i="1" s="1"/>
  <c r="M309" i="1"/>
  <c r="T309" i="1" s="1"/>
  <c r="V309" i="1" s="1"/>
  <c r="U309" i="1" s="1"/>
  <c r="M460" i="1"/>
  <c r="T460" i="1" s="1"/>
  <c r="V460" i="1" s="1"/>
  <c r="U460" i="1" s="1"/>
  <c r="M240" i="1"/>
  <c r="T240" i="1" s="1"/>
  <c r="V240" i="1" s="1"/>
  <c r="U240" i="1" s="1"/>
  <c r="M385" i="1"/>
  <c r="T385" i="1" s="1"/>
  <c r="V385" i="1" s="1"/>
  <c r="U385" i="1" s="1"/>
  <c r="M179" i="1"/>
  <c r="T179" i="1" s="1"/>
  <c r="V179" i="1" s="1"/>
  <c r="U179" i="1" s="1"/>
  <c r="M543" i="1"/>
  <c r="T543" i="1" s="1"/>
  <c r="V543" i="1" s="1"/>
  <c r="U543" i="1" s="1"/>
  <c r="M215" i="1"/>
  <c r="T215" i="1" s="1"/>
  <c r="M451" i="1"/>
  <c r="T451" i="1" s="1"/>
  <c r="V451" i="1" s="1"/>
  <c r="U451" i="1" s="1"/>
  <c r="M213" i="1"/>
  <c r="T213" i="1" s="1"/>
  <c r="M435" i="1"/>
  <c r="T435" i="1" s="1"/>
  <c r="M199" i="1"/>
  <c r="T199" i="1" s="1"/>
  <c r="M369" i="1"/>
  <c r="T369" i="1" s="1"/>
  <c r="M196" i="1"/>
  <c r="T196" i="1" s="1"/>
  <c r="M407" i="1"/>
  <c r="T407" i="1" s="1"/>
  <c r="V407" i="1" s="1"/>
  <c r="U407" i="1" s="1"/>
  <c r="M15" i="1"/>
  <c r="T15" i="1" s="1"/>
  <c r="M430" i="1"/>
  <c r="T430" i="1" s="1"/>
  <c r="M210" i="1"/>
  <c r="T210" i="1" s="1"/>
  <c r="M371" i="1"/>
  <c r="T371" i="1" s="1"/>
  <c r="M427" i="1"/>
  <c r="T427" i="1" s="1"/>
  <c r="M403" i="1"/>
  <c r="T403" i="1" s="1"/>
  <c r="V403" i="1" s="1"/>
  <c r="U403" i="1" s="1"/>
  <c r="M368" i="1"/>
  <c r="T368" i="1" s="1"/>
  <c r="V368" i="1" s="1"/>
  <c r="U368" i="1" s="1"/>
  <c r="M436" i="1"/>
  <c r="T436" i="1" s="1"/>
  <c r="M209" i="1"/>
  <c r="T209" i="1" s="1"/>
  <c r="M424" i="1"/>
  <c r="T424" i="1" s="1"/>
  <c r="M405" i="1"/>
  <c r="T405" i="1" s="1"/>
  <c r="V405" i="1" s="1"/>
  <c r="U405" i="1" s="1"/>
  <c r="M375" i="1"/>
  <c r="T375" i="1" s="1"/>
  <c r="M18" i="1"/>
  <c r="T18" i="1" s="1"/>
  <c r="V18" i="1" s="1"/>
  <c r="U18" i="1" s="1"/>
  <c r="M400" i="1"/>
  <c r="T400" i="1" s="1"/>
  <c r="M422" i="1"/>
  <c r="T422" i="1" s="1"/>
  <c r="M404" i="1"/>
  <c r="T404" i="1" s="1"/>
  <c r="V404" i="1" s="1"/>
  <c r="U404" i="1" s="1"/>
  <c r="M370" i="1"/>
  <c r="T370" i="1" s="1"/>
  <c r="M200" i="1"/>
  <c r="T200" i="1" s="1"/>
  <c r="M426" i="1"/>
  <c r="T426" i="1" s="1"/>
  <c r="M431" i="1"/>
  <c r="T431" i="1" s="1"/>
  <c r="M425" i="1"/>
  <c r="T425" i="1" s="1"/>
  <c r="M289" i="1"/>
  <c r="T289" i="1" s="1"/>
  <c r="M3" i="1"/>
  <c r="T3" i="1" s="1"/>
  <c r="V3" i="1" s="1"/>
  <c r="U3" i="1" s="1"/>
  <c r="U699" i="1" l="1"/>
  <c r="U705" i="1"/>
  <c r="U701" i="1"/>
  <c r="U982" i="1"/>
  <c r="U772" i="1"/>
  <c r="U992" i="1"/>
  <c r="U773" i="1"/>
  <c r="U769" i="1"/>
  <c r="U990" i="1"/>
  <c r="U991" i="1"/>
  <c r="U996" i="1"/>
  <c r="U988" i="1"/>
  <c r="U983" i="1"/>
  <c r="U770" i="1"/>
  <c r="U994" i="1"/>
  <c r="U985" i="1"/>
  <c r="U767" i="1"/>
  <c r="U986" i="1"/>
  <c r="U768" i="1"/>
  <c r="U987" i="1"/>
  <c r="U693" i="1"/>
  <c r="U984" i="1"/>
  <c r="U1020" i="1"/>
  <c r="U695" i="1"/>
  <c r="U989" i="1"/>
  <c r="U993" i="1"/>
  <c r="U771" i="1"/>
  <c r="U697" i="1"/>
  <c r="U691" i="1"/>
  <c r="U995" i="1"/>
  <c r="U703" i="1"/>
  <c r="U766" i="1"/>
  <c r="N936" i="1"/>
  <c r="AA936" i="1" s="1"/>
  <c r="M936" i="1" l="1"/>
  <c r="T936" i="1" s="1"/>
  <c r="V936" i="1" s="1"/>
  <c r="U936" i="1" s="1"/>
</calcChain>
</file>

<file path=xl/sharedStrings.xml><?xml version="1.0" encoding="utf-8"?>
<sst xmlns="http://schemas.openxmlformats.org/spreadsheetml/2006/main" count="6940" uniqueCount="550">
  <si>
    <t>Tol</t>
  </si>
  <si>
    <t>Author</t>
  </si>
  <si>
    <t>Cline</t>
  </si>
  <si>
    <t>Fankhauser</t>
  </si>
  <si>
    <t>Hope &amp; Maul</t>
  </si>
  <si>
    <t>Plambeck &amp; Hope</t>
  </si>
  <si>
    <t>Ayres &amp; Walter</t>
  </si>
  <si>
    <t>Nordhaus &amp; Yang</t>
  </si>
  <si>
    <t>Nordhaus &amp; Popp</t>
  </si>
  <si>
    <t>Nordhaus</t>
  </si>
  <si>
    <t>Maddison</t>
  </si>
  <si>
    <t>Tol &amp; Downing</t>
  </si>
  <si>
    <t>Eyre et al.</t>
  </si>
  <si>
    <t>Downing et al.</t>
  </si>
  <si>
    <t>Nordhaus &amp; Boyer</t>
  </si>
  <si>
    <t>Hohmeyer</t>
  </si>
  <si>
    <t xml:space="preserve">Tol </t>
  </si>
  <si>
    <t>PRTP</t>
  </si>
  <si>
    <t>CDR</t>
  </si>
  <si>
    <t>EW</t>
  </si>
  <si>
    <t>Schauer</t>
  </si>
  <si>
    <t>Pearce</t>
  </si>
  <si>
    <t>Mendelsohn</t>
  </si>
  <si>
    <t>Haradan</t>
  </si>
  <si>
    <t>Azar</t>
  </si>
  <si>
    <t>NA</t>
  </si>
  <si>
    <t>Manne</t>
  </si>
  <si>
    <t>Uzawa</t>
  </si>
  <si>
    <t>Hope</t>
  </si>
  <si>
    <t>Stern et al.</t>
  </si>
  <si>
    <t>Sohngen</t>
  </si>
  <si>
    <t>Anthoff et al.</t>
  </si>
  <si>
    <t>Narita et al.</t>
  </si>
  <si>
    <t>EPA &amp; NHTSA</t>
  </si>
  <si>
    <t>EWinPaper</t>
  </si>
  <si>
    <t>Pigou</t>
  </si>
  <si>
    <t>Hohmeyer &amp; Gaertner</t>
  </si>
  <si>
    <t>Ackerman &amp; Stanton</t>
  </si>
  <si>
    <t>Ackerman &amp; Munitz</t>
  </si>
  <si>
    <t>Year</t>
  </si>
  <si>
    <t>Jan.</t>
  </si>
  <si>
    <t>Feb.</t>
  </si>
  <si>
    <t>Mar.</t>
  </si>
  <si>
    <t>Apr.</t>
  </si>
  <si>
    <t>May</t>
  </si>
  <si>
    <t>June</t>
  </si>
  <si>
    <t>July</t>
  </si>
  <si>
    <t>Aug.</t>
  </si>
  <si>
    <t>Sep.</t>
  </si>
  <si>
    <t>Oct.</t>
  </si>
  <si>
    <t>Nov.</t>
  </si>
  <si>
    <t>Dec.</t>
  </si>
  <si>
    <t>Avg.</t>
  </si>
  <si>
    <t>CPI</t>
  </si>
  <si>
    <t>Waldhoff et al.</t>
  </si>
  <si>
    <t>Parry</t>
  </si>
  <si>
    <t>Ceronsky et al.</t>
  </si>
  <si>
    <t>Penner et al.</t>
  </si>
  <si>
    <t>Marten &amp; Newbold</t>
  </si>
  <si>
    <t>year</t>
  </si>
  <si>
    <t>Citation</t>
  </si>
  <si>
    <t>Percentile</t>
  </si>
  <si>
    <t>STDEV</t>
  </si>
  <si>
    <t>Group relation</t>
  </si>
  <si>
    <t>RRA</t>
  </si>
  <si>
    <t>IIE</t>
  </si>
  <si>
    <t>MMI</t>
  </si>
  <si>
    <t>DIM</t>
  </si>
  <si>
    <t>SCE</t>
  </si>
  <si>
    <t>Nordhaus, W. (1982): "How Fast Should We Graze the Global Commons?," American Economic Review, American Economic Association 72(2), 242-46.</t>
  </si>
  <si>
    <t>Ayres, R.U. and J. Walter (1991): "The Greenhouse Effect: Damages, Costs and Abatement," Environmental and Resource Economics 1(3), 237-270.</t>
  </si>
  <si>
    <t>Nordhaus, W.D. (1991): "To Slow or Not to Slow: The Economics of the Greenhouse Effect," Economic Journal 101(407), 920-937.</t>
  </si>
  <si>
    <t>Haraden</t>
  </si>
  <si>
    <t>Hohmeyer, O. and M.Gaertner (1992), The Costs of Climate Change - A Rough Estimate of Orders of Magnitude, Fraunhofer-Institut fur Systemtechnik und Innovationsforschung, Karlsruhe.</t>
  </si>
  <si>
    <t>Haraden, J. (1992): "An improved shadow price for CO2," Energy 17(5), 419-426.</t>
  </si>
  <si>
    <t>Nordhaus, W.D. (1993), 'Rolling the 'DICE': An Optimal Transition Path for Controlling Greenhouse Gases', Resource and Energy Economics, 15, 27-50.</t>
  </si>
  <si>
    <t>Fankhauser, S. (1994), 'The Social Costs of Greenhouse Gas Emissions: An Expected Value Approach', The Energy Journal, 15, (2), 157-184</t>
  </si>
  <si>
    <t>Nordhaus, W.D. (1994), Managing the Global Commons: The Economics of Climate Change The MIT Press, Cambridge</t>
  </si>
  <si>
    <t>Azar, C. (1994), “The Marginal Cost of CO2 Emissions”, Energy 19(12), 1255-1261.</t>
  </si>
  <si>
    <t>Maddison, D.J. (1995), 'A Cost-Benefit Analysis of Slowing Climate Change', Energy Policy, 23, (4/5), 337-346</t>
  </si>
  <si>
    <t>Plambeck, E.L. and C.W.Hope (1996), 'PAGE95: An Updated Valuation of the Impacts of Global Warming', Energy Policy, 24, (9), 783-793.</t>
  </si>
  <si>
    <t>Schauer, M.J. (1995), “Estimation of the Greenhouse Gas Externality with Uncertainty”, Environmental and Resource Economics 5(1), 71-82.</t>
  </si>
  <si>
    <t>Azar, C. and T.Sterner (1996), 'Discounting and Distributional Considerations in the Context of Global Warming', Ecological Economics 19(2), 169-184.</t>
  </si>
  <si>
    <t>Downing, T.E., N.Eyre, R.Greener, and D.Blackwell (1996), Projected Costs of Climate Change for Two Reference Scenarios and Fossil Fuel Cycles, Environmental Change Unit, Oxford.</t>
  </si>
  <si>
    <t>Hohmeyer, O. (1996), 'Social Costs of Climate Change -- Strong Sustainability and Social Costs', in Social Costs and Sustainability -- Valuation and Implementation in the Energy and Transport Sector, O. Hohmeyer, R.L. Ottinger, and K. Rennings (eds.), Springer, Berlin, pp. 61-83.</t>
  </si>
  <si>
    <t>Hope, C.W., Maul, P., 1996. Valuing the impact of CO2 emissions. Energy Policy 24 (3), 211–219.</t>
  </si>
  <si>
    <t>Nordhaus, W.D., Yang, Z., 1996. RICE:a regional dynamic general equilibrium model of optimal climate-change policy. American Economic Review 86 (4), 741–765.</t>
  </si>
  <si>
    <t>Nordhaus, W.D., Popp, D., 1997. What is the value of scientiﬁc knowledge? an application to global warming using the PRICE model. Energy Journal 18 (1), 1–45.</t>
  </si>
  <si>
    <t>Cline, W.R. (1997), “Modelling Economically Efficient Abatement of Greenhouse Gases”, in Environment, Energy, and Economy, Y. Kaya and K. Yokobori (eds.), United Nations University Press, Tokyo, pp. 99-122.</t>
  </si>
  <si>
    <t>Eyre, N., Downing, T.E., Hoekstra, R., Rennings, K., 1999. Externalities of Energy, Vol. 8:Global Warming. Ofﬁce for Ofﬁcial Publications of the European Communities, Luxembourg, pp. 1–50.</t>
  </si>
  <si>
    <t>Tol, R.S.J., 1999. The marginal costs of greenhouse gas emissions. The Energy Journal 20 (1), 61–81.</t>
  </si>
  <si>
    <t>Roughgarden, T., Schneider, S.H., 1999. Climate change policy:quantifying uncertainties for damages and optimal carbon taxes. Energy Policy 27, 415–429.</t>
  </si>
  <si>
    <t>Clarkson, R., Deyes, K., 2002. Estimating the social cost of carbon emissions. The Public Enquiry Unit—HM Treasury, London, Working Paper 140.</t>
  </si>
  <si>
    <t>Pearce, D.W. (2003), “The Social Cost of Carbon and its Policy Implications”, Oxford Review of Economic Policy 19(3), 1-32.</t>
  </si>
  <si>
    <t>Uzawa, H. 2003. Economic Theory and Global Warming. Cambridge: Cambridge University Press.</t>
  </si>
  <si>
    <t>Link, P.M. and R.S.J. Tol. 2004. ʻPossible economic impacts of a shutdown of the thermohaline circulation: an application of FUNDʼ. Portuguese Economic Journal 3: 99–114</t>
  </si>
  <si>
    <t>Hohmeyer, O. 2004. ʻVerguetung nach dem EEG: Subvention oder fairer Ausgleich externer Kosten?ʼ, in H.J. Ziesing (ed.), Externe Kosten in der Stromerzeugung (Frankfurt am Main: VWEW Energieverlag), pp. 11–24.</t>
  </si>
  <si>
    <t>Manne, A.S. 2004. ʻClimate changeʼ, in B. Lomborg (ed.), Global Crises, Global Solutions (Cambridge, UK: Cambridge University Press).</t>
  </si>
  <si>
    <t>Ceronsky, M., D. Anthoff, C. Hepburn and R.S.J. Tol. 2005. ʻChecking the price tag on catastrophe: the social cost of carbon under non-linear climate responseʼ, Research unit Sustainability and Global Change FNU-87, Hamburg University and Centre for Marine and Atmospheric Science, Hamburg (submitted, Climatic Change).</t>
  </si>
  <si>
    <t>Downing, T.E., D. Anthoff, R. Butterfield, M. Ceronsky, M.J. Grubb, J. Guo, C. Hepburn, C.W. Hope, A. Hunt, A. Li, A. Markandya, S. Moss, A. Nyong, R.S.J. Tol, and P. Watkiss. 2005. Social Cost of Carbon: A Closer Look at Uncertainty. London: Department of Environment, Food and Rural Affairs.</t>
  </si>
  <si>
    <t>Guo, Jiehan, Hepburn, Cameron J, Tol, Richard S J and Anthoff, David (2006) Discounting and the social cost of carbon: A closer look at uncertainty. Environmental Science and Policy 9 (3). pp. 205-216</t>
  </si>
  <si>
    <t>Wahba, M. and C.W. Hope. 2006. ʻThe marginal impact of carbon dioxide under two scenarios of future emissionsʼ. Energy Policy 34: 3305–3316</t>
  </si>
  <si>
    <t>Stern, N.H., S.Peters, V.Bakhshi, A.Bowen, C.Cameron, S.Catovsky, D.Crane, S.Cruickshank, S.Dietz, N.Edmonson, S.-L.Garbett, L.Hamid, G.Hoffman, D.Ingram, B.Jones, N.Patmore, H.Radcliffe, R.Sathiyarajah, M.Stock, C.Taylor, T.Vernon, H.Wanjie, and D.Zenghelis (2006), Stern Review: The Economics of Climate Change Cambridge University Press, Cambridge</t>
  </si>
  <si>
    <t>Publication
year</t>
  </si>
  <si>
    <t>Penner, S.S., J.Haraden, and S.Mates (1992), 'Long-term global energy supplies with acceptable environmental impacts', Energy, 17, (10), pp. 883-899.</t>
  </si>
  <si>
    <t>Parry, I.W.H. (1993), 'Some Estimates of the Insurance Value against Climate Change from Reducing Greenhouse Gas Emissions', Resource and Energy Economics, 15, 99-115.</t>
  </si>
  <si>
    <t>Peck, S.C. and T.J.Teisberg (1993), 'Global Warming Uncertainties and the Value of Information: An Analysis using CETA', Resource and Energy Economics, 15, 71-97.</t>
  </si>
  <si>
    <t>Reilly, J.M. and K.R.Richards (1993), 'Climate Change Damage and the Trace Gas Index Issue',  Environmental and Resource Economics, 3, 41-61.</t>
  </si>
  <si>
    <t>Nordhaus, W.D., Boyer, J.G., 2000. Warming the World: economic models of global warming. The MIT Press, Cambridge.</t>
  </si>
  <si>
    <t>Newell, R.G., Pizer, W.A., 2003. Discounting the distant future: how much do uncertain rates increase valuations? Journal of Environmental Economics and Management 46(1), 52–71.</t>
  </si>
  <si>
    <t>Cline, W.R. (2004), Meeting the Challenge of Global Warming, Copenhagen Consensus Challenge Paper ,National Environmental Assessment Institute, Copenhagen.</t>
  </si>
  <si>
    <t>Tol, R.S.J. (2005), 'Emission Abatement versus Development as Strategies to Reduce Vulnerability to Climate Change: An Application of FUND', Environment and Development Economics, 10, (5), 615-629.</t>
  </si>
  <si>
    <t>Hope, C.W. 2005a. Exchange Rates and the Social Cost of Carbon. WP05/2005, Cambridge, UK: Judge Institute of Management.</t>
  </si>
  <si>
    <t>Hope, C.W. (2005b), 'The climate change benefits of reducing methane emissions', Climatic Change, 68, 21-39.</t>
  </si>
  <si>
    <t>Hope, C.W. (2006), 'The Marginal Impact of CO2 from PAGE2002: An Integrated Assessment Model Incorporating the IPCC's Five Reasons for Concern', Integrated Assessment Journal, 6, (1), 19-56.</t>
  </si>
  <si>
    <t>Anthoff, D., C.J.Hepburn, and R.S.J.Tol (2009a), 'Equity weighting and the marginal damage costs of climate change', Ecological Economics, 68, (3), pp. 836-849.</t>
  </si>
  <si>
    <t>Narita, D., D.Anthoff, and R.S.J.Tol (2009), 'Damage Costs of Climate Change through Intensification of Tropical Cyclone Activities: An Application of FUND', Climate Research, 39, pp. 87-97.</t>
  </si>
  <si>
    <t>Narita, D., D.Anthoff, and R.S.J.Tol (2010), 'Economic Costs of Extratropical Storms under Climate Change: An Application of FUND', Journal of Environmental Planning and Management, 53, (3), pp. 371-384.</t>
  </si>
  <si>
    <t>Perrissin Fabert, B., P.Dumas, and J.-C.Hourcade (2012), What Social Cost of Carbon? A Mapping of the Climate Debate, Nota di Lavoro 34.2012 ,Fondazione Eni Enrico Mattei, Milan.</t>
  </si>
  <si>
    <t>Marten, Alex L. &amp; Newbold, Stephen C., 2012. "Estimating the social cost of non-CO2 GHG emissions: Methane and nitrous oxide," Energy Policy, Elsevier, vol. 51(C), pages 957-972.</t>
  </si>
  <si>
    <t xml:space="preserve">Cai, Y., K.L.Judd, and T.S.Lontzek (2012), 'Open science is necessary', Nature Climate Change, 2, (5), p. 299. 
</t>
  </si>
  <si>
    <t xml:space="preserve">Ackerman, F. and C.Munitz (2012), 'Climate damages in the FUND model: A disaggregated analysis', Ecological Economics, 77, (0), pp. 219-224. 
</t>
  </si>
  <si>
    <t xml:space="preserve">Ackerman, F. and E.A.Stanton (2012), 'Climate Risks and Carbon Prices: Revising the Social Cost of Carbon', Economics -- the Open-Access, Open-Assessment E-Journal, 6, (10), pp. 1-27. 
</t>
  </si>
  <si>
    <t xml:space="preserve">Hope, C.W. (2011), The Social Cost of CO2 from the PAGE09 Model, Discussion Papers 2011-39 ,Economics - The Open Access, Open Assessment E-Journal, Kiel. 
</t>
  </si>
  <si>
    <t>Ceronsky, M., D.Anthoff, C.J.Hepburn, and R.S.J.Tol (2011), Checking the Price Tag on Catastrophe: The Social Cost of Carbon under Non-linear Climate Response, Working Paper 392 ,Economic and Social Research Institute, Dublin.</t>
  </si>
  <si>
    <t>Anthoff, D., S.K.Rose, R.S.J.Tol, and S.Waldhoff (2011b), The Time Evolution of the Social Cost of Carbon: An Application of FUND, Working Paper 405 ,Economic and Social Research Institute, Dublin.</t>
  </si>
  <si>
    <t xml:space="preserve">Tol, R.S.J. (2010), 'Carbon Dioxide Mitigation', in Smart Solutions to Climate Change, B. Lomborg (ed.), Cambridge University Press, Cambridge. 
</t>
  </si>
  <si>
    <t xml:space="preserve">Sohngen, B.L. (2010), 'Forestry Carbon Sequestration', in Smart Solutions to Climate Change, B. Lomborg (ed.), Cambridge University Press, Cambridge, pp. 114-132. 
</t>
  </si>
  <si>
    <t xml:space="preserve">Nordhaus, W.D. (2010), 'Economic aspects of global warming in a post-Copenhagen environment', Proceedings of the National Academy of Sciences of the United States of America, 107, (26), pp. 11721-11726. 
</t>
  </si>
  <si>
    <t xml:space="preserve">Kemfert, C. and W.-P.Schill (2010), 'Methane Mitigation', in Smart Solutions to Climate Change, B. Lomborg (ed.), Cambridge University Press, Cambridge, pp. 172-197. 
</t>
  </si>
  <si>
    <t>Anthoff, D. and R.S.J.Tol (2010), 'On international equity weights and national decision making on climate change', Journal of Environmental Economics and Management, 60, (1), pp. 14-20.</t>
  </si>
  <si>
    <t xml:space="preserve">EPA and NHTSA (2009), 'Proposed Rulemaking to Establish Light-Duty Vehicle Greenhouse Gas Emission Standards and Corporate Average Fuel Efficiency Standards', Federal Register, 74, (187), 49454-49789. 
</t>
  </si>
  <si>
    <t xml:space="preserve">Anthoff, D., R.S.J.Tol, and G.W.Yohe (2009c), 'Risk Aversion, Time Preference, and the Social Cost of Carbon', Environmental Research Letters, 4, (2-2), 1-7. 
</t>
  </si>
  <si>
    <t xml:space="preserve">Anthoff, D., R.S.J.Tol, and G.W.Yohe (2009b), 'Discounting for Climate Change', Economics -- the Open-Access, Open-Assessment E-Journal, 3, (2009-24), pp. 1-24. 
</t>
  </si>
  <si>
    <t>Haraden, J. 1993. ʻAn updated shadow price for CO2ʼ. Energy 18(3): 303–307</t>
  </si>
  <si>
    <t>Stern, N.H., C.Taylor (2007), Climate Change: Risk, Ethics, and the Stern Review, Science, 317, 5835, pp. 203-204.</t>
  </si>
  <si>
    <t>Nordhaus, W.D. (2008), A Question of Balance -- Weighing the Options on Global Warming Policies, Yale University Press, New Haven</t>
  </si>
  <si>
    <t xml:space="preserve">Waldhoff, S., D.Anthoff, S.K.Rose, and R.S.J.Tol (2011), The marginal damage costs of different greenhouse gases: An application of FUND, Discussion Papers 2011-43 ,Economics - The Open Access, Open Assessment E-Journal, Kiel. </t>
  </si>
  <si>
    <t>Tol, R.S.J. (2012), 'On The Uncertainty about the Total Economic Impact of Climate Change', Environmental and Resource Economics, 53, pp. 97–116.</t>
  </si>
  <si>
    <t>Methods</t>
  </si>
  <si>
    <t>COV</t>
  </si>
  <si>
    <t>From</t>
  </si>
  <si>
    <t>Till</t>
  </si>
  <si>
    <r>
      <t>Best guess
[$/tC</t>
    </r>
    <r>
      <rPr>
        <sz val="10"/>
        <rFont val="Calibri"/>
        <family val="2"/>
        <charset val="238"/>
        <scheme val="minor"/>
      </rPr>
      <t>]</t>
    </r>
  </si>
  <si>
    <r>
      <t>Mean value
[$/tC</t>
    </r>
    <r>
      <rPr>
        <sz val="10"/>
        <rFont val="Calibri"/>
        <family val="2"/>
        <charset val="238"/>
        <scheme val="minor"/>
      </rPr>
      <t>]</t>
    </r>
  </si>
  <si>
    <t>growth rate</t>
  </si>
  <si>
    <t>[%/year]</t>
  </si>
  <si>
    <t>Period of emission</t>
  </si>
  <si>
    <t>Johnson &amp; Hope</t>
  </si>
  <si>
    <t>Botzen &amp; vd Bergh</t>
  </si>
  <si>
    <t>Kopp et al.</t>
  </si>
  <si>
    <t>Johnson, L, Hope, Ch., 2012,The social cost of carbon in U.S. regulatory impact analyses: an introduction and critique, Journal of Environmental Studies and Sciences, September 2012, Volume 2, Issue 3, pp 205-221</t>
  </si>
  <si>
    <t>Botzen, W.J. &amp; van den Bergh, Jeroen C.J.M., 2012. "How sensitive is Nordhaus to Weitzman? Climate policy in DICE with an alternative damage function," Economics Letters, Elsevier, vol. 117(1), pages 372-374.</t>
  </si>
  <si>
    <t>Kopp, Robert E.; Golub, Alexander; Keohane, Nathaniel O.; Onda, Chikara (2012) : The influence of the specification of climate change damages on the social cost of
carbon, Economics, No. 2012-13, Economics: The Open-Access, Open-Assessment E-Journal, Vol. 6, Iss. 2012-13, pp. 1-40, http://dx.doi.org/10.5018/economics-ejournal.ja.2012-13</t>
  </si>
  <si>
    <t xml:space="preserve">Pycroft, Jonathan &amp; Vergano, Lucia &amp; Hope, Chris &amp; Paci, Daniele &amp; Ciscar, Juan Carlos, 2011. "A tale of tails: Uncertainty and the social cost of carbon dioxide," Economics - The Open-Access, Open-Assessment E-Journal, Kiel Institute for the World Economy, vol. 5(22), pages 1-29.
</t>
  </si>
  <si>
    <t>Pycroft et al.</t>
  </si>
  <si>
    <t>Cline, W.R. (1992), Optimal Carbon Emissions over Time: Experiments with the Nordhaus DICE Model ,Institute for International Economics, Washington, D.C. ----l ---------------------Cline, W.R. (1992): The Economics of Global Warming, Institute for International Economics, Washington, D.C.</t>
  </si>
  <si>
    <t>Tol, R.S.J., Downing, TE., 2000. The marginal costs of climate changing emissions. Institute for Environmental Studies D00/08, Vrije Universiteit, Amsterdam.--------------------Tol R. and Downing T., (2001) The marginal costs of climate changing emissions. In : Friedrich and Bickel (ed.) Environmental External Costs of Transport, Springer Verlag Heidelberg, 2001.</t>
  </si>
  <si>
    <t>Greenstone, M., Kopitsy, E. and A. Wolverton (2013): Developing a Social Cost of Carbon for US Regulatory Analysis: A Methodology and Interpretation, Review of Environmental Economics and Policy, volume 7, issue 1, winter 2013, pp. 23–46</t>
  </si>
  <si>
    <t>Dollar</t>
  </si>
  <si>
    <t>Emission</t>
  </si>
  <si>
    <t>Peer-rev</t>
  </si>
  <si>
    <t xml:space="preserve">Climate </t>
  </si>
  <si>
    <r>
      <rPr>
        <sz val="10"/>
        <rFont val="Calibri"/>
        <family val="2"/>
        <charset val="238"/>
      </rPr>
      <t>sensitivity in °</t>
    </r>
    <r>
      <rPr>
        <sz val="10"/>
        <rFont val="Calibri"/>
        <family val="2"/>
        <charset val="238"/>
        <scheme val="minor"/>
      </rPr>
      <t>C</t>
    </r>
  </si>
  <si>
    <t>Weitzman</t>
  </si>
  <si>
    <t>Weitzman, ML, 2013: Tail-Hedge Discounting and the Social Cost of Carbon, Journal of Economic Literature 2013, 51(3), 873–882</t>
  </si>
  <si>
    <t>Growth 2015</t>
  </si>
  <si>
    <r>
      <t>Median recalc 2015
[$/tC</t>
    </r>
    <r>
      <rPr>
        <sz val="10"/>
        <rFont val="Calibri"/>
        <family val="2"/>
        <charset val="238"/>
        <scheme val="minor"/>
      </rPr>
      <t>]</t>
    </r>
  </si>
  <si>
    <t>ID</t>
  </si>
  <si>
    <t>Weight</t>
  </si>
  <si>
    <t>for growth</t>
  </si>
  <si>
    <t>Cai et al.</t>
  </si>
  <si>
    <t>Greenstone et al.</t>
  </si>
  <si>
    <t>Perrisin Fabert et al.</t>
  </si>
  <si>
    <t>Anthoff &amp; Tol</t>
  </si>
  <si>
    <t>Kemfert &amp; Schill</t>
  </si>
  <si>
    <t>Stern &amp; Taylor</t>
  </si>
  <si>
    <t>Wahba &amp; Hope</t>
  </si>
  <si>
    <t>Guo et al.</t>
  </si>
  <si>
    <t>Link &amp; Tol</t>
  </si>
  <si>
    <t>Newell &amp; Pizer</t>
  </si>
  <si>
    <t>Clarkson &amp; Deyes</t>
  </si>
  <si>
    <t>Roughgarden &amp; Schneider</t>
  </si>
  <si>
    <t>Azar &amp; Sterner</t>
  </si>
  <si>
    <t>Reilly &amp; Richards</t>
  </si>
  <si>
    <t>Peck &amp; Teisberg</t>
  </si>
  <si>
    <t>Author year</t>
  </si>
  <si>
    <t>STDEV recalc 2015</t>
  </si>
  <si>
    <t>STDup</t>
  </si>
  <si>
    <t>STDlow</t>
  </si>
  <si>
    <t>Hope, C.W. (2008a), 'Optimal Carbon Emissions and the Social Cost of Carbon over Time under Uncertainty', Integrated Assessment Journal, 8, (1), 107-122.</t>
  </si>
  <si>
    <t>Hope, C.W. (2008b), 'Discount rates, equity weights and the social cost of carbon', Energy Economics, 30, (3), 1011-1019.</t>
  </si>
  <si>
    <t>recalc 2015</t>
  </si>
  <si>
    <t>Anthoff, D. and R.S.J.Tol (2013), The uncertainty about the social cost of carbon: A decomposition analysis using FUND, Climatic Change (2013) 117:515–530.</t>
  </si>
  <si>
    <t>Dietz</t>
  </si>
  <si>
    <t>Dietz 2011: High impact, low probability? An empirical analysis of risk in the economics of climate change, Climatic Change (2011) 108:519–541</t>
  </si>
  <si>
    <t>Howarth et al.</t>
  </si>
  <si>
    <t>Howarth Richard B.,  Michael D. Gerst , Mark E. Borsuk (2014): Risk mitigation and the social cost of carbon, Global Environmental Change 24 (2014) 123–131</t>
  </si>
  <si>
    <t>Hwang et al.</t>
  </si>
  <si>
    <t>Hwang In Chang, Frédéric Reynès, Richard S. J. Tol, 2013, Climate Policy Under Fat-Tailed Risk: An Application of Dice, Environ Resource Econ (2013) 56:415–436</t>
  </si>
  <si>
    <t>FUND</t>
  </si>
  <si>
    <t>DICE/RICE</t>
  </si>
  <si>
    <t>PAGE</t>
  </si>
  <si>
    <t>Jensen &amp; Traeger</t>
  </si>
  <si>
    <t>IES</t>
  </si>
  <si>
    <t>Lemoine &amp; Traeger</t>
  </si>
  <si>
    <t xml:space="preserve">Jensen A, Traeger Ch. P. (2014f) Optimal climate change mitigation under long-term growth uncertainty: Stochastic integrated assessment and analytic findings, forthcoming in European Economic Review
</t>
  </si>
  <si>
    <t>Lemoine, D., Traeger, Ch (2014): Watch Your Step: Optimal Policy in a Tipping Climte, American Economic Journal: Economic Policy 2014, 6(1): 137–166</t>
  </si>
  <si>
    <t>Newbold et al.</t>
  </si>
  <si>
    <t xml:space="preserve">William D. Nordhaus, 2011. "Estimates of the Social Cost of Carbon: Background and Results from the RICE-2011 Model," NBER Working Papers 17540, National Bureau of Economic Research, Inc.
</t>
  </si>
  <si>
    <t xml:space="preserve">Newbold Stephen C. &amp; Charles Griffiths &amp; Chris Moore &amp; Ann Wolverton &amp; Elizabeth Kopits, 2013. "A Rapid Assessment Model For Understanding The Social Cost Of Carbon," Climate Change Economics (CCE), World Scientific Publishing Co. Pte. Ltd., vol. 4(01), pages 1350001-1-1.
</t>
  </si>
  <si>
    <t>Derivation of:</t>
  </si>
  <si>
    <t xml:space="preserve">Pycroft, Jonathan &amp; Vergano, Lucia &amp; Hope, Chris ,2014. "The economic impact of extreme sea-level rise: Ice sheet vulnerability and the social cost of carbon dioxide, Global Environmental Change 24 (2014) 99–107
</t>
  </si>
  <si>
    <t>Tol RSJ, 2013: Climate policy with Bentham–Rawls preferences, Economics Letters 118 (2013) 424–428</t>
  </si>
  <si>
    <t>Golosov</t>
  </si>
  <si>
    <t>Newbold Stephen C. , Alex L. Marten, 2014f: The value of information for integrated assessment models of climate change, Journal of Environmental Economics and Management, http://dx.doi.org/10.1016/j.jeem.2014.01.002</t>
  </si>
  <si>
    <t>GOLOSOV M., JOHN HASSLER, PER KRUSELL,
AND ALEH TSYVINSKI, 2014: OPTIMAL TAXES ON FOSSIL FUEL IN GENERAL EQUILIBRIUM, Econometrica, Vol. 82, No. 1 (January, 2014), 41–88</t>
  </si>
  <si>
    <t>Bijgaard</t>
  </si>
  <si>
    <t xml:space="preserve">van den Bijgaart, Inge and Gerlagh, Reyer and Korsten, Luuk and Liski, Matti, A Simple Formula for the Social Cost of Carbon (October 15, 2013). FEEM Working Paper No. 83.2013. </t>
  </si>
  <si>
    <t>Cai, Yongyang and Judd, Kenneth L. and Lontzek, Thomas S., The Social Cost of Stochastic and Irreversible Climate Change (January 2013). NBER Working Paper No. w18704.</t>
  </si>
  <si>
    <t>Dennig</t>
  </si>
  <si>
    <t xml:space="preserve">Dennig, F. 2013: Inequality in Climate Change: a modification of RICE, paper presented at 20th Annual Conference European Association of Environmental and Resource Economists, Toulouse 2013
</t>
  </si>
  <si>
    <t>Espagne</t>
  </si>
  <si>
    <t>Etienne, Espagne and Perrissin Fabert, Baptiste and Pottier, Antonin and Nadaud, Franck and Dumas, Patrice, Disentangling the Stern/Nordhaus Controversy: Beyond the Discounting Clash (October 12, 2012). FEEM Working Paper No. 61.2012</t>
  </si>
  <si>
    <t>Foley et al.</t>
  </si>
  <si>
    <t>Foley, Duncan K., Rezai, Armon and Taylor, Lance, (2013), The social cost of carbon emissions: Seven propositions, Economics Letters, 121, issue 1, p. 90-97.</t>
  </si>
  <si>
    <t>Gerlagh &amp; Liski</t>
  </si>
  <si>
    <t>Gerlagh, Reyer; Liski, Matti (2012) : Carbon prices for the next thousand years, CESifo Working Paper: Energy and Climate Economics, No. 3855</t>
  </si>
  <si>
    <t>Jensen, S., Traeger, Ch (2014): Optimally Climate Sensitive Policy under uncertainty and learning, Job market paper version Nov 2013, mimeo.</t>
  </si>
  <si>
    <t>Lintunen &amp; Vilmi</t>
  </si>
  <si>
    <t>Lintunen, Jussi and Vilmi, Lauri, On Optimal Emission Control – Taxes, Substitution and Business Cycles (October 9, 2013). Bank of Finland Research Discussion Paper No. 24/2013.</t>
  </si>
  <si>
    <t>Moyer et al.</t>
  </si>
  <si>
    <t>Moyer, Elisabeth J. and Woolley, Mark D. and Glotter, Michael and Weisbach, David A., Climate Impacts on Economic Growth as Drivers of Uncertainty in the Social Cost of Carbon (July 31, 2013). RDCEP Working Paper No. 13-02</t>
  </si>
  <si>
    <t>Nordhaus &amp; Sztorc</t>
  </si>
  <si>
    <t>Nordhaus, W., Sztorc, P. (2013): DICE 2013: Introduction and users manual, May 2014, mimeo</t>
  </si>
  <si>
    <t>Rezai Armon &amp; Frederick van der Ploeg, 2014. "Abandoning Fossil Fuel; How fast and how much?," OxCarre Working Papers 123, Oxford Centre for the Analysis of Resource Rich Economies, University of Oxford.</t>
  </si>
  <si>
    <t>Rezai &amp; vd Ploeg</t>
  </si>
  <si>
    <t>Mendelsohn, R.O. (2004), 'Global Climate Change: An Opponent's Notes', in Global Crises, Global Solutions, B. Lomborg (ed.), Cambridge University Press, Cambridge University</t>
  </si>
  <si>
    <t/>
  </si>
  <si>
    <t>Name</t>
  </si>
  <si>
    <t>$/tC</t>
  </si>
  <si>
    <t>eweight</t>
  </si>
  <si>
    <t>SCC</t>
  </si>
  <si>
    <t>percentile</t>
  </si>
  <si>
    <t xml:space="preserve">STDEV </t>
  </si>
  <si>
    <t>Dataset 0</t>
  </si>
  <si>
    <t>Dataset 1</t>
  </si>
  <si>
    <t>our preference for SCC reporting: median&gt;best guess&gt;mean; mean and median usually reported when Monte Carlo simulations</t>
  </si>
  <si>
    <t>standard deviations and confidence intervals also recalculated to 2010/2015 USD/emission</t>
  </si>
  <si>
    <t>confidence intervals recalculated to upper and lower standard deviation (preferentially for 5% and 95% CI)</t>
  </si>
  <si>
    <t>SCC recalculated to 2010 USD/tC using consumer price index (CPI) from here (http://research.stlouisfed.org/fred2/series/CPIAUCNS/downloaddata)</t>
  </si>
  <si>
    <t>query</t>
  </si>
  <si>
    <t xml:space="preserve">keyword: integrated assessment, social cost of carbon, climate damages, marginal damage costs, climate change, emissions, greenhouse, carbon dioxide, marginal impacts </t>
  </si>
  <si>
    <t>only studies reporting standard deviation or confidence intervals</t>
  </si>
  <si>
    <t>sometimes only upper interval present (then we assume upper = lower), sometimes only stdev reported (then we assume stdev = upper = lower)</t>
  </si>
  <si>
    <t>Dataset 2</t>
  </si>
  <si>
    <t>for all studies with 2 or more estimates, we create a distribution from these estimates and calculate upper and lower CI so that final outcome is one estimate per study</t>
  </si>
  <si>
    <t>SCC recalculated for the 2015 year of emission using SCC growth rate of 3.11% per year (calculated from the literature, see sheet SCC: yearly growth rate between the closest two time points reported in the article)</t>
  </si>
  <si>
    <t>we use excel function "percentile" to calculate CI, final SCC estimate is a median value of reported original estimates (see sheet Dataset2 ad)</t>
  </si>
  <si>
    <t>if only two estimates per study are at disposal, we take lower value for 25% CI, upper value for 75% CI and median/mean</t>
  </si>
  <si>
    <t>Variables</t>
  </si>
  <si>
    <t>SCCmean</t>
  </si>
  <si>
    <t>SCCbg</t>
  </si>
  <si>
    <t>SCCmed</t>
  </si>
  <si>
    <t>base dataset used from Richard Tols web: https://sites.google.com/site/climateconomics/data/06-economic-impacts, file marginaldamagecosts.xlsx as of March 5, 2013</t>
  </si>
  <si>
    <t>dataset 0 is a whole dataset without curvature (future emissions not included), future SCC are on sheet SCC (with average growth rate of SCC estimation)</t>
  </si>
  <si>
    <t>SCC are associated with a one-ton increase in CO2 emissions in a particular year</t>
  </si>
  <si>
    <t xml:space="preserve">SCC are reported in US dollar of a particular year per ton of CO2 (or C) </t>
  </si>
  <si>
    <t xml:space="preserve"> = identification number of a study</t>
  </si>
  <si>
    <t>estimate of the social cost of carbon in USD per ton of carbon</t>
  </si>
  <si>
    <t xml:space="preserve"> = 1 if SCC estimate is a mean value</t>
  </si>
  <si>
    <t xml:space="preserve"> = 1 if SCC estimate is a median value</t>
  </si>
  <si>
    <t xml:space="preserve"> = 1 if SCC estimate is a best guess value</t>
  </si>
  <si>
    <t>standard deviation of a SCC estimate</t>
  </si>
  <si>
    <t>standard deviation from confidence interval, lower limit of 5%</t>
  </si>
  <si>
    <t>standard deviation from confidence interval, upper limit of 95%</t>
  </si>
  <si>
    <t>if authors used FUND model or derived their model from FUND or adjusted FUNDs base case variables</t>
  </si>
  <si>
    <t>if authors used DICE/RICE model or derived their model from DICE/RICE or adjusted DICE/RICEs base case variables</t>
  </si>
  <si>
    <t>if authors used PAGE model or derived their model from PAGE or adjusted PAGEs base case variables</t>
  </si>
  <si>
    <t>if study includes both estimates with stdev or CI and without stdev or CI, we delete estimates that do not have stdev or CI</t>
  </si>
  <si>
    <t>if a study reports inly one estimate but with stdev or CI, it is excluded as well</t>
  </si>
  <si>
    <t xml:space="preserve"> = 1 if author or coauthor or group relation to Hope</t>
  </si>
  <si>
    <t xml:space="preserve"> = 1 if author or coauthor or group relation to Nordhaus, Tol (2008): Nordhaus and Mendelsohn are colleagues and collaborators; </t>
  </si>
  <si>
    <t xml:space="preserve"> = 1if author or coauthor or group relation to Tol, Tol (2008): Fankhauser, Maddison and Tol all worked with David Pearce and one another; Rehdanz was a student of Maddison and Tol.</t>
  </si>
  <si>
    <t>intertemporal elasticity of substitution</t>
  </si>
  <si>
    <t>variables PRTP, CDR, RRA, growth rate, EIS, EW estimated at the study mean</t>
  </si>
  <si>
    <t>estimates within one study are not weighted in any way (Tols weights not applied)</t>
  </si>
  <si>
    <t>pubyear</t>
  </si>
  <si>
    <t>citations</t>
  </si>
  <si>
    <t>sjr</t>
  </si>
  <si>
    <t>idstudy</t>
  </si>
  <si>
    <t>reviewed</t>
  </si>
  <si>
    <t>stdev</t>
  </si>
  <si>
    <t>dollaryear</t>
  </si>
  <si>
    <t>emissionyear</t>
  </si>
  <si>
    <t>tolweight</t>
  </si>
  <si>
    <t>scc</t>
  </si>
  <si>
    <t>sccmean</t>
  </si>
  <si>
    <t>sccbg</t>
  </si>
  <si>
    <t>sccmed</t>
  </si>
  <si>
    <t>stdlow</t>
  </si>
  <si>
    <t>stdup</t>
  </si>
  <si>
    <t>iie</t>
  </si>
  <si>
    <t>mmi</t>
  </si>
  <si>
    <t>dim</t>
  </si>
  <si>
    <t>sce</t>
  </si>
  <si>
    <t>fund</t>
  </si>
  <si>
    <t>dicerice</t>
  </si>
  <si>
    <t>page</t>
  </si>
  <si>
    <t>cdr</t>
  </si>
  <si>
    <t>prtp</t>
  </si>
  <si>
    <t>rra</t>
  </si>
  <si>
    <t>growth</t>
  </si>
  <si>
    <t>ies</t>
  </si>
  <si>
    <t>climatesens</t>
  </si>
  <si>
    <t>hope</t>
  </si>
  <si>
    <t>nordhaus</t>
  </si>
  <si>
    <t>pigou</t>
  </si>
  <si>
    <t>tol</t>
  </si>
  <si>
    <t xml:space="preserve"> = no. of Google Scholar citations</t>
  </si>
  <si>
    <t xml:space="preserve"> = SciMago journal rank based on impact factor from Scopus</t>
  </si>
  <si>
    <t>label</t>
  </si>
  <si>
    <t>dataset</t>
  </si>
  <si>
    <t>Cline, W.R. (1992): The Economics of Global Warming, Institute for International Economics, Washington, D.C.</t>
  </si>
  <si>
    <t>Tol R. and Downing T., (2001) The marginal costs of climate changing emissions. In : Friedrich and Bickel (ed.) Environmental External Costs of Transport, Springer Verlag Heidelberg, 2001.</t>
  </si>
  <si>
    <t xml:space="preserve">EPA and NHTSA (2009), 'Proposed Rulemaking to Establish Light-Duty Vehicle Greenhouse Gas Emission Standards and Corporate Average Fuel Economy Standards', Federal Register, 74, (187), 49454-49789. 
</t>
  </si>
  <si>
    <t>Nordhaus, W., Sztorc, P. (2014): DICE 2013: Introduction and users manual, May 2014, mimeo</t>
  </si>
  <si>
    <t>Nordhaus, W.D., Yang, Z., 1996. A regional dynamic general-equilibrium model of alternative climate-change strategies. American Economic Review 86 (4), 741–765.</t>
  </si>
  <si>
    <t>perstudy</t>
  </si>
  <si>
    <t xml:space="preserve"> = 1 if study was published in a peer-reviewed outlet.</t>
  </si>
  <si>
    <t>The year of publication of the study.</t>
  </si>
  <si>
    <t>Ackerman2012</t>
  </si>
  <si>
    <t>Ackerman2012a</t>
  </si>
  <si>
    <t>Anthoff2009</t>
  </si>
  <si>
    <t>Anthoff2009a</t>
  </si>
  <si>
    <t>Anthoff2009b</t>
  </si>
  <si>
    <t>Anthoff2010</t>
  </si>
  <si>
    <t>Anthoff2011</t>
  </si>
  <si>
    <t>Anthoff2013</t>
  </si>
  <si>
    <t>Ayres1991</t>
  </si>
  <si>
    <t>Azar1994</t>
  </si>
  <si>
    <t>Azar1996</t>
  </si>
  <si>
    <t>Bijgaart2013</t>
  </si>
  <si>
    <t>Botzen2012</t>
  </si>
  <si>
    <t>Cai2012</t>
  </si>
  <si>
    <t>Cai2013</t>
  </si>
  <si>
    <t>Ceronsky2011</t>
  </si>
  <si>
    <t>Clarkson2002</t>
  </si>
  <si>
    <t>Cline1992</t>
  </si>
  <si>
    <t>Cline1997</t>
  </si>
  <si>
    <t>Cline2004</t>
  </si>
  <si>
    <t>Dennig2013</t>
  </si>
  <si>
    <t>Dietz2011</t>
  </si>
  <si>
    <t>Downing1996</t>
  </si>
  <si>
    <t>Downing2005</t>
  </si>
  <si>
    <t>EPA2009</t>
  </si>
  <si>
    <t>Espagne2012</t>
  </si>
  <si>
    <t>Eyre1999</t>
  </si>
  <si>
    <t>Fankhauser1994</t>
  </si>
  <si>
    <t>Foley2013</t>
  </si>
  <si>
    <t>Gerlagh2012</t>
  </si>
  <si>
    <t>Golosov2014</t>
  </si>
  <si>
    <t>Greenstone2013</t>
  </si>
  <si>
    <t>Guo2006</t>
  </si>
  <si>
    <t>Haraden1992</t>
  </si>
  <si>
    <t>Haraden1993</t>
  </si>
  <si>
    <t>Hohmeyer1992</t>
  </si>
  <si>
    <t>Hohmeyer1996</t>
  </si>
  <si>
    <t>Hohmeyer2004</t>
  </si>
  <si>
    <t>Hope1996</t>
  </si>
  <si>
    <t>Hope2005</t>
  </si>
  <si>
    <t>Hope2005a</t>
  </si>
  <si>
    <t>Hope2006</t>
  </si>
  <si>
    <t>Hope2008</t>
  </si>
  <si>
    <t>Hope2008a</t>
  </si>
  <si>
    <t>Hope2011</t>
  </si>
  <si>
    <t>Howarth2014</t>
  </si>
  <si>
    <t>Hwang2013</t>
  </si>
  <si>
    <t>Jensen2014</t>
  </si>
  <si>
    <t>Jensen2014a</t>
  </si>
  <si>
    <t>Johnson2012</t>
  </si>
  <si>
    <t>Kemfert2010</t>
  </si>
  <si>
    <t>Kopp2012</t>
  </si>
  <si>
    <t>Lemoine2014</t>
  </si>
  <si>
    <t>Link2004</t>
  </si>
  <si>
    <t>Lintunen2013</t>
  </si>
  <si>
    <t>Maddison1995</t>
  </si>
  <si>
    <t>Manne2004</t>
  </si>
  <si>
    <t>Marten2012</t>
  </si>
  <si>
    <t>Mendelsohn2004</t>
  </si>
  <si>
    <t>Moyer2013</t>
  </si>
  <si>
    <t>Narita2009</t>
  </si>
  <si>
    <t>Narita2010</t>
  </si>
  <si>
    <t>Newbold2013</t>
  </si>
  <si>
    <t>Newbold2014</t>
  </si>
  <si>
    <t>Newell2003</t>
  </si>
  <si>
    <t>Nordhaus1982</t>
  </si>
  <si>
    <t>Nordhaus1991</t>
  </si>
  <si>
    <t>Nordhaus1993</t>
  </si>
  <si>
    <t>Nordhaus1994</t>
  </si>
  <si>
    <t>Nordhaus1996</t>
  </si>
  <si>
    <t>Nordhaus1997</t>
  </si>
  <si>
    <t>Nordhaus2000</t>
  </si>
  <si>
    <t>Nordhaus2008</t>
  </si>
  <si>
    <t>Nordhaus2010</t>
  </si>
  <si>
    <t>Nordhaus2011</t>
  </si>
  <si>
    <t>Nordhaus2014</t>
  </si>
  <si>
    <t>Parry1993</t>
  </si>
  <si>
    <t>Pearce2003</t>
  </si>
  <si>
    <t>Peck1993</t>
  </si>
  <si>
    <t>Penner1992</t>
  </si>
  <si>
    <t>Perrissin-Fabert2012</t>
  </si>
  <si>
    <t>Plambeck1996</t>
  </si>
  <si>
    <t>Pycroft2011</t>
  </si>
  <si>
    <t>Pycroft2014</t>
  </si>
  <si>
    <t>Reilly1993</t>
  </si>
  <si>
    <t>Rezai2014</t>
  </si>
  <si>
    <t>Roughgarden1999</t>
  </si>
  <si>
    <t>Schauer1995</t>
  </si>
  <si>
    <t>Sohngen2010</t>
  </si>
  <si>
    <t>Stern2006</t>
  </si>
  <si>
    <t>Stern2007</t>
  </si>
  <si>
    <t>Tol1999</t>
  </si>
  <si>
    <t>Tol2001</t>
  </si>
  <si>
    <t>Tol2005</t>
  </si>
  <si>
    <t>Tol2010</t>
  </si>
  <si>
    <t>Tol2012</t>
  </si>
  <si>
    <t>Tol2013</t>
  </si>
  <si>
    <t>Uzawa2003</t>
  </si>
  <si>
    <t>Wahba2006</t>
  </si>
  <si>
    <t>Waldhoff2011</t>
  </si>
  <si>
    <t>Weitzman2013</t>
  </si>
  <si>
    <t xml:space="preserve">Nordhaus, William D. 2011. "Estimates of the Social Cost of Carbon: Background and Results from the RICE-2011 Model," NBER Working Papers 17540, National Bureau of Economic Research, Inc.
</t>
  </si>
  <si>
    <t>citation</t>
  </si>
  <si>
    <t>Ackerman &amp; Munitz (2012)</t>
  </si>
  <si>
    <t>Ackerman &amp; Stanton (2012)</t>
  </si>
  <si>
    <t>Anthoff et al. (2009a)</t>
  </si>
  <si>
    <t>Anthoff et al. (2009b)</t>
  </si>
  <si>
    <t>Anthoff &amp; Tol (2010)</t>
  </si>
  <si>
    <t>Anthoff et al. (2011)</t>
  </si>
  <si>
    <t>Anthoff &amp; Tol (2013)</t>
  </si>
  <si>
    <t>Ayres &amp; Walter (1991)</t>
  </si>
  <si>
    <t>Azar (1994)</t>
  </si>
  <si>
    <t>Azar &amp; Sterner (1996)</t>
  </si>
  <si>
    <t>van den Bijgaart et al. (2013)</t>
  </si>
  <si>
    <t>Botzen &amp; van den Bergh (2012)</t>
  </si>
  <si>
    <t>Cai et al. (2012)</t>
  </si>
  <si>
    <t>Cai et al. (2013)</t>
  </si>
  <si>
    <t>Ceronsky et al. (2011)</t>
  </si>
  <si>
    <t>Clarkson &amp; Deyes (2002)</t>
  </si>
  <si>
    <t>Cline (1992)</t>
  </si>
  <si>
    <t>Cline (1997)</t>
  </si>
  <si>
    <t>Cline (2004)</t>
  </si>
  <si>
    <t>Dennig (2013)</t>
  </si>
  <si>
    <t>Dietz (2011)</t>
  </si>
  <si>
    <t>Downing et al. (1996)</t>
  </si>
  <si>
    <t>Downing et al. (2005)</t>
  </si>
  <si>
    <t>EPA &amp; NHTSA (2009)</t>
  </si>
  <si>
    <t>Espagne et al. (2012)</t>
  </si>
  <si>
    <t>Eyre et al. (1999)</t>
  </si>
  <si>
    <t>Fankhauser (1994)</t>
  </si>
  <si>
    <t>Foley et al. (2013)</t>
  </si>
  <si>
    <t>Gerlagh &amp; Liski (2012)</t>
  </si>
  <si>
    <t>Golosov et al. (2014)</t>
  </si>
  <si>
    <t>Greenstone et al. (2013)</t>
  </si>
  <si>
    <t>Guo et al. (2006)</t>
  </si>
  <si>
    <t>Haraden (1992)</t>
  </si>
  <si>
    <t>Haraden (1993)</t>
  </si>
  <si>
    <t>Hohmeyer &amp; Gaertner (1992)</t>
  </si>
  <si>
    <t>Hohmeyer (1996)</t>
  </si>
  <si>
    <t>Hohmeyer (2004)</t>
  </si>
  <si>
    <t>Hope &amp; Maul (1996)</t>
  </si>
  <si>
    <t>Hope (2005a)</t>
  </si>
  <si>
    <t>Hope (2005b)</t>
  </si>
  <si>
    <t>Hope (2006)</t>
  </si>
  <si>
    <t>Hope (2008b)</t>
  </si>
  <si>
    <t>Hope (2008a)</t>
  </si>
  <si>
    <t>Hope (2011)</t>
  </si>
  <si>
    <t>Howarth et al. (2014)</t>
  </si>
  <si>
    <t>Hwang et al. (2013)</t>
  </si>
  <si>
    <t>Jensen &amp; Traeger (2014a)</t>
  </si>
  <si>
    <t>Jensen &amp; Traeger (2014b)</t>
  </si>
  <si>
    <t>Johnson &amp; Hope (2012)</t>
  </si>
  <si>
    <t>Kemfert &amp; Schill (2010)</t>
  </si>
  <si>
    <t>Lemoine &amp; Traeger (2014)</t>
  </si>
  <si>
    <t>Link &amp; Tol (2004)</t>
  </si>
  <si>
    <t>Lintunen &amp; Vilmi (2013)</t>
  </si>
  <si>
    <t>Maddison (1995)</t>
  </si>
  <si>
    <t>Manne (2004)</t>
  </si>
  <si>
    <t>Marten &amp; Newbold (2012)</t>
  </si>
  <si>
    <t>Mendelsohn (2004)</t>
  </si>
  <si>
    <t>Moyer et al. (2013)</t>
  </si>
  <si>
    <t>Narita et al. (2009)</t>
  </si>
  <si>
    <t>Narita et al. (2010)</t>
  </si>
  <si>
    <t>Newbold et al. (2013)</t>
  </si>
  <si>
    <t>Newbold &amp; Marten (2014)</t>
  </si>
  <si>
    <t>Newell &amp; Pizer (2003)</t>
  </si>
  <si>
    <t>Nordhaus (1982)</t>
  </si>
  <si>
    <t>Nordhaus (1991)</t>
  </si>
  <si>
    <t>Nordhaus (1993)</t>
  </si>
  <si>
    <t>Nordhaus (1994)</t>
  </si>
  <si>
    <t>Nordhaus &amp; Yang (1996)</t>
  </si>
  <si>
    <t>Nordhaus &amp; Popp (1997)</t>
  </si>
  <si>
    <t>Nordhaus &amp; Boyer (2000)</t>
  </si>
  <si>
    <t>Nordhaus (2008)</t>
  </si>
  <si>
    <t>Nordhaus (2010)</t>
  </si>
  <si>
    <t>Nordhaus (2011)</t>
  </si>
  <si>
    <t>Nordhaus &amp; Sztorc (2014)</t>
  </si>
  <si>
    <t>Parry (1993)</t>
  </si>
  <si>
    <t>Pearce (2003)</t>
  </si>
  <si>
    <t>Peck &amp; Teisberg (1993)</t>
  </si>
  <si>
    <t>Penner et al. (1992)</t>
  </si>
  <si>
    <t>Perrissin-Fabert et al. (2012)</t>
  </si>
  <si>
    <t>Plambeck &amp; Hope (1996)</t>
  </si>
  <si>
    <t>Pycroft et al. (2011)</t>
  </si>
  <si>
    <t>Pycroft et al. (2014)</t>
  </si>
  <si>
    <t>Reilly &amp; Richards (1993)</t>
  </si>
  <si>
    <t>Rezai &amp; van der Ploeg (2014)</t>
  </si>
  <si>
    <t>Roughgarden &amp; Schneider (1999)</t>
  </si>
  <si>
    <t>Schauer (1995)</t>
  </si>
  <si>
    <t>Sohngen (2010)</t>
  </si>
  <si>
    <t>Stern et al. (2006)</t>
  </si>
  <si>
    <t>Stern &amp; Taylor (2007)</t>
  </si>
  <si>
    <t>Tol (1999)</t>
  </si>
  <si>
    <t>Tol &amp; Downing (2001)</t>
  </si>
  <si>
    <t>Tol (2005)</t>
  </si>
  <si>
    <t>Tol (2010)</t>
  </si>
  <si>
    <t>Tol (2012)</t>
  </si>
  <si>
    <t>Tol (2013)</t>
  </si>
  <si>
    <t>Uzawa (2003)</t>
  </si>
  <si>
    <t>Wahba &amp; Hope (2006)</t>
  </si>
  <si>
    <t>Waldhoff et al. (2011)</t>
  </si>
  <si>
    <t>Weitzman (2013)</t>
  </si>
  <si>
    <t>label bib</t>
  </si>
  <si>
    <t>Anthoff et al. (2009c)</t>
  </si>
  <si>
    <t>Kopp et al. (2012)</t>
  </si>
  <si>
    <t>more studies picked using this query from Google scholar, additionally papers references checked for more papers, search finished on August 1, 2014</t>
  </si>
  <si>
    <t>Tols dataset included these variables: peer-rev, years, SCC mean, bg, med, stdev, iie, mmi, dim, sce, cdr, prtp,eweight, group relation T/N/H, pigou</t>
  </si>
  <si>
    <t>Tol put weights across different estimates within each study</t>
  </si>
  <si>
    <t xml:space="preserve"> = 1 if method for marginal impacts: the study estimates the marginal damage costs rather than average costs</t>
  </si>
  <si>
    <t xml:space="preserve"> = 1 if dynamic impact study, study based on dynamic climate change scenarios rather than equilibrium responses included </t>
  </si>
  <si>
    <t xml:space="preserve"> = 1 if scenarios of climate and economy used (realistic and internally consistent climate scenarios)</t>
  </si>
  <si>
    <t>consumption discount rate</t>
  </si>
  <si>
    <t>pure rate of time preference</t>
  </si>
  <si>
    <t>relative risk aversion</t>
  </si>
  <si>
    <t>annual growth rate</t>
  </si>
  <si>
    <t xml:space="preserve"> = 1 if equity weighting applied</t>
  </si>
  <si>
    <t>climate sensitivity</t>
  </si>
  <si>
    <t xml:space="preserve"> = 1 if estimate along the optimal trajectory</t>
  </si>
  <si>
    <t xml:space="preserve"> = 1 if the study is based on an independent impact assessment (study uses its own total welfare estimates)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</si>
</sst>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
    <numFmt numFmtId="165" formatCode="0.000"/>
    <numFmt numFmtId="166" formatCode="0.0000"/>
    <numFmt numFmtId="167" formatCode="0.0%"/>
    <numFmt numFmtId="168" formatCode="0.00000"/>
    <numFmt numFmtId="169" formatCode="_-* #,##0.00\ &quot;Kč&quot;_-;\-* #,##0.00\ &quot;Kč&quot;_-;_-* &quot;-&quot;??\ &quot;Kč&quot;_-;_-@_-"/>
    <numFmt numFmtId="170" formatCode="yyyy\-mm\-dd"/>
  </numFmts>
  <fonts count="17" x14ac:knownFonts="1">
    <font>
      <sz val="10"/>
      <name val="Arial"/>
    </font>
    <font>
      <sz val="11"/>
      <color theme="1"/>
      <name val="Calibri"/>
      <family val="2"/>
      <scheme val="minor"/>
    </font>
    <font>
      <sz val="10"/>
      <name val="Calibri"/>
      <family val="2"/>
      <charset val="238"/>
      <scheme val="minor"/>
    </font>
    <font>
      <sz val="10"/>
      <color indexed="10"/>
      <name val="Calibri"/>
      <family val="2"/>
      <charset val="238"/>
      <scheme val="minor"/>
    </font>
    <font>
      <sz val="10"/>
      <color rgb="FFFF0000"/>
      <name val="Calibri"/>
      <family val="2"/>
      <charset val="238"/>
      <scheme val="minor"/>
    </font>
    <font>
      <sz val="10"/>
      <color theme="1"/>
      <name val="Calibri"/>
      <family val="2"/>
      <charset val="238"/>
      <scheme val="minor"/>
    </font>
    <font>
      <sz val="10"/>
      <name val="Arial"/>
      <family val="2"/>
      <charset val="238"/>
    </font>
    <font>
      <sz val="10"/>
      <color theme="1"/>
      <name val="Calibri"/>
      <family val="2"/>
      <scheme val="minor"/>
    </font>
    <font>
      <sz val="10"/>
      <color rgb="FFFFFF00"/>
      <name val="Calibri"/>
      <family val="2"/>
      <charset val="238"/>
      <scheme val="minor"/>
    </font>
    <font>
      <u/>
      <sz val="10"/>
      <color theme="10"/>
      <name val="Arial"/>
      <family val="2"/>
      <charset val="238"/>
    </font>
    <font>
      <sz val="11"/>
      <color theme="1"/>
      <name val="Calibri"/>
      <family val="2"/>
      <charset val="238"/>
      <scheme val="minor"/>
    </font>
    <font>
      <sz val="10"/>
      <name val="Arial"/>
      <family val="2"/>
      <charset val="238"/>
    </font>
    <font>
      <sz val="10"/>
      <name val="Calibri"/>
      <family val="2"/>
      <charset val="238"/>
    </font>
    <font>
      <b/>
      <i/>
      <u/>
      <sz val="10"/>
      <name val="Calibri"/>
      <family val="2"/>
      <charset val="238"/>
      <scheme val="minor"/>
    </font>
    <font>
      <sz val="10"/>
      <color rgb="FF7030A0"/>
      <name val="Calibri"/>
      <family val="2"/>
      <charset val="238"/>
      <scheme val="minor"/>
    </font>
    <font>
      <sz val="10"/>
      <color rgb="FF00B050"/>
      <name val="Calibri"/>
      <family val="2"/>
      <charset val="238"/>
      <scheme val="minor"/>
    </font>
    <font>
      <b/>
      <sz val="10"/>
      <name val="Arial"/>
      <family val="2"/>
      <charset val="238"/>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0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s>
  <borders count="6">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xf numFmtId="0" fontId="9" fillId="0" borderId="0" applyNumberFormat="0" applyFill="0" applyBorder="0" applyAlignment="0" applyProtection="0"/>
    <xf numFmtId="0" fontId="10" fillId="0" borderId="0"/>
    <xf numFmtId="169" fontId="10" fillId="0" borderId="0" applyFont="0" applyFill="0" applyBorder="0" applyAlignment="0" applyProtection="0"/>
    <xf numFmtId="9" fontId="11" fillId="0" borderId="0" applyFont="0" applyFill="0" applyBorder="0" applyAlignment="0" applyProtection="0"/>
    <xf numFmtId="0" fontId="6" fillId="0" borderId="0"/>
  </cellStyleXfs>
  <cellXfs count="132">
    <xf numFmtId="0" fontId="0" fillId="0" borderId="0" xfId="0"/>
    <xf numFmtId="164" fontId="2" fillId="0" borderId="0" xfId="0" applyNumberFormat="1" applyFont="1"/>
    <xf numFmtId="166" fontId="2" fillId="0" borderId="0" xfId="0" applyNumberFormat="1" applyFont="1"/>
    <xf numFmtId="164" fontId="2" fillId="0" borderId="0" xfId="0" applyNumberFormat="1" applyFont="1" applyFill="1"/>
    <xf numFmtId="2" fontId="2" fillId="0" borderId="0" xfId="0" applyNumberFormat="1" applyFont="1"/>
    <xf numFmtId="1" fontId="2" fillId="0" borderId="0" xfId="0" applyNumberFormat="1" applyFont="1" applyFill="1"/>
    <xf numFmtId="164" fontId="2" fillId="0" borderId="0" xfId="0" applyNumberFormat="1" applyFont="1" applyFill="1" applyAlignment="1"/>
    <xf numFmtId="164" fontId="2" fillId="2" borderId="0" xfId="0" applyNumberFormat="1" applyFont="1" applyFill="1"/>
    <xf numFmtId="164" fontId="2" fillId="2" borderId="0" xfId="0" applyNumberFormat="1" applyFont="1" applyFill="1" applyAlignment="1">
      <alignment horizontal="right"/>
    </xf>
    <xf numFmtId="164" fontId="2" fillId="0" borderId="0" xfId="0" applyNumberFormat="1" applyFont="1" applyAlignment="1">
      <alignment horizontal="right"/>
    </xf>
    <xf numFmtId="0" fontId="2" fillId="2" borderId="0" xfId="0" applyNumberFormat="1" applyFont="1" applyFill="1" applyAlignment="1">
      <alignment horizontal="right"/>
    </xf>
    <xf numFmtId="0" fontId="5" fillId="2" borderId="0" xfId="1" applyFont="1" applyFill="1" applyBorder="1" applyAlignment="1">
      <alignment vertical="center"/>
    </xf>
    <xf numFmtId="164" fontId="2" fillId="2" borderId="0" xfId="0" applyNumberFormat="1" applyFont="1" applyFill="1" applyAlignment="1"/>
    <xf numFmtId="164" fontId="2" fillId="0" borderId="0" xfId="0" applyNumberFormat="1" applyFont="1" applyFill="1" applyAlignment="1">
      <alignment horizontal="right"/>
    </xf>
    <xf numFmtId="164" fontId="2" fillId="3" borderId="0" xfId="0" applyNumberFormat="1" applyFont="1" applyFill="1"/>
    <xf numFmtId="2" fontId="2" fillId="3" borderId="0" xfId="0" applyNumberFormat="1" applyFont="1" applyFill="1"/>
    <xf numFmtId="1" fontId="2" fillId="3" borderId="0" xfId="0" applyNumberFormat="1" applyFont="1" applyFill="1"/>
    <xf numFmtId="1" fontId="2" fillId="3" borderId="0" xfId="0" applyNumberFormat="1" applyFont="1" applyFill="1" applyAlignment="1"/>
    <xf numFmtId="164" fontId="3" fillId="3" borderId="0" xfId="0" applyNumberFormat="1" applyFont="1" applyFill="1"/>
    <xf numFmtId="0" fontId="2" fillId="3" borderId="0" xfId="0" applyNumberFormat="1" applyFont="1" applyFill="1"/>
    <xf numFmtId="164" fontId="2" fillId="3" borderId="0" xfId="0" applyNumberFormat="1" applyFont="1" applyFill="1" applyAlignment="1">
      <alignment horizontal="right"/>
    </xf>
    <xf numFmtId="168" fontId="2" fillId="3" borderId="0" xfId="0" applyNumberFormat="1" applyFont="1" applyFill="1"/>
    <xf numFmtId="1" fontId="4" fillId="3" borderId="0" xfId="0" applyNumberFormat="1" applyFont="1" applyFill="1"/>
    <xf numFmtId="165" fontId="2" fillId="3" borderId="0" xfId="0" applyNumberFormat="1" applyFont="1" applyFill="1"/>
    <xf numFmtId="164" fontId="2" fillId="3" borderId="0" xfId="0" applyNumberFormat="1" applyFont="1" applyFill="1" applyAlignment="1"/>
    <xf numFmtId="9" fontId="2" fillId="3" borderId="0" xfId="0" applyNumberFormat="1" applyFont="1" applyFill="1"/>
    <xf numFmtId="164" fontId="4" fillId="3" borderId="0" xfId="0" applyNumberFormat="1" applyFont="1" applyFill="1"/>
    <xf numFmtId="166" fontId="2" fillId="3" borderId="0" xfId="0" applyNumberFormat="1" applyFont="1" applyFill="1"/>
    <xf numFmtId="1" fontId="8" fillId="0" borderId="0" xfId="0" applyNumberFormat="1" applyFont="1" applyFill="1"/>
    <xf numFmtId="164" fontId="2" fillId="3" borderId="0" xfId="0" applyNumberFormat="1" applyFont="1" applyFill="1" applyBorder="1"/>
    <xf numFmtId="2" fontId="2" fillId="3" borderId="0" xfId="0" applyNumberFormat="1" applyFont="1" applyFill="1" applyBorder="1"/>
    <xf numFmtId="1" fontId="2" fillId="3" borderId="0" xfId="0" applyNumberFormat="1" applyFont="1" applyFill="1" applyBorder="1"/>
    <xf numFmtId="1" fontId="2" fillId="3" borderId="0" xfId="0" applyNumberFormat="1" applyFont="1" applyFill="1" applyBorder="1" applyAlignment="1"/>
    <xf numFmtId="1" fontId="2" fillId="0" borderId="0" xfId="0" applyNumberFormat="1" applyFont="1" applyFill="1" applyBorder="1"/>
    <xf numFmtId="164" fontId="3" fillId="3" borderId="0" xfId="0" applyNumberFormat="1" applyFont="1" applyFill="1" applyBorder="1"/>
    <xf numFmtId="164" fontId="2" fillId="3" borderId="0" xfId="0" applyNumberFormat="1" applyFont="1" applyFill="1" applyBorder="1" applyAlignment="1">
      <alignment horizontal="right"/>
    </xf>
    <xf numFmtId="164" fontId="2" fillId="0" borderId="0" xfId="0" applyNumberFormat="1" applyFont="1" applyBorder="1"/>
    <xf numFmtId="164" fontId="3" fillId="0" borderId="0" xfId="0" applyNumberFormat="1" applyFont="1" applyFill="1"/>
    <xf numFmtId="1" fontId="2" fillId="0" borderId="0" xfId="0" applyNumberFormat="1" applyFont="1" applyFill="1" applyAlignment="1"/>
    <xf numFmtId="0" fontId="6" fillId="0" borderId="0" xfId="0" applyFont="1"/>
    <xf numFmtId="0" fontId="9" fillId="0" borderId="0" xfId="2"/>
    <xf numFmtId="164" fontId="2" fillId="0" borderId="0" xfId="0" applyNumberFormat="1" applyFont="1" applyFill="1" applyBorder="1"/>
    <xf numFmtId="164" fontId="3" fillId="0" borderId="0" xfId="0" applyNumberFormat="1" applyFont="1" applyFill="1" applyBorder="1"/>
    <xf numFmtId="2" fontId="2" fillId="0" borderId="0" xfId="0" applyNumberFormat="1" applyFont="1" applyFill="1" applyBorder="1"/>
    <xf numFmtId="2" fontId="2" fillId="0" borderId="0" xfId="0" applyNumberFormat="1" applyFont="1" applyFill="1"/>
    <xf numFmtId="1" fontId="2" fillId="2" borderId="0" xfId="0" applyNumberFormat="1" applyFont="1" applyFill="1" applyAlignment="1">
      <alignment wrapText="1"/>
    </xf>
    <xf numFmtId="1" fontId="2" fillId="2" borderId="0" xfId="0" applyNumberFormat="1" applyFont="1" applyFill="1" applyAlignment="1"/>
    <xf numFmtId="164" fontId="2" fillId="0" borderId="0" xfId="5" applyNumberFormat="1" applyFont="1" applyFill="1"/>
    <xf numFmtId="1" fontId="4" fillId="0" borderId="0" xfId="0" applyNumberFormat="1" applyFont="1" applyFill="1"/>
    <xf numFmtId="164" fontId="4" fillId="0" borderId="0" xfId="0" applyNumberFormat="1" applyFont="1" applyFill="1"/>
    <xf numFmtId="164" fontId="4" fillId="0" borderId="0" xfId="0" applyNumberFormat="1" applyFont="1" applyFill="1" applyBorder="1"/>
    <xf numFmtId="0" fontId="3" fillId="0" borderId="0" xfId="0" applyNumberFormat="1" applyFont="1" applyFill="1" applyBorder="1"/>
    <xf numFmtId="1" fontId="2" fillId="2" borderId="0" xfId="0" applyNumberFormat="1" applyFont="1" applyFill="1"/>
    <xf numFmtId="164" fontId="2" fillId="2" borderId="0" xfId="0" applyNumberFormat="1" applyFont="1" applyFill="1" applyAlignment="1">
      <alignment horizontal="center"/>
    </xf>
    <xf numFmtId="164" fontId="2" fillId="4" borderId="0" xfId="0" applyNumberFormat="1" applyFont="1" applyFill="1" applyAlignment="1">
      <alignment horizontal="right"/>
    </xf>
    <xf numFmtId="164" fontId="2" fillId="4" borderId="0" xfId="0" applyNumberFormat="1" applyFont="1" applyFill="1" applyAlignment="1">
      <alignment horizontal="center"/>
    </xf>
    <xf numFmtId="164" fontId="2" fillId="5" borderId="0" xfId="0" applyNumberFormat="1" applyFont="1" applyFill="1"/>
    <xf numFmtId="9" fontId="2" fillId="0" borderId="0" xfId="5" applyFont="1" applyFill="1" applyBorder="1"/>
    <xf numFmtId="1" fontId="2" fillId="5" borderId="0" xfId="0" applyNumberFormat="1" applyFont="1" applyFill="1"/>
    <xf numFmtId="2" fontId="2" fillId="0" borderId="0" xfId="5" applyNumberFormat="1" applyFont="1" applyFill="1" applyBorder="1"/>
    <xf numFmtId="2" fontId="2" fillId="0" borderId="0" xfId="0" applyNumberFormat="1" applyFont="1" applyBorder="1"/>
    <xf numFmtId="0" fontId="2" fillId="5" borderId="0" xfId="0" applyNumberFormat="1" applyFont="1" applyFill="1"/>
    <xf numFmtId="9" fontId="2" fillId="3" borderId="0" xfId="5" applyFont="1" applyFill="1"/>
    <xf numFmtId="9" fontId="2" fillId="0" borderId="0" xfId="5" applyFont="1" applyBorder="1"/>
    <xf numFmtId="9" fontId="2" fillId="0" borderId="0" xfId="5" applyFont="1"/>
    <xf numFmtId="9" fontId="2" fillId="0" borderId="0" xfId="5" applyFont="1" applyFill="1"/>
    <xf numFmtId="1" fontId="2" fillId="2" borderId="0" xfId="0" applyNumberFormat="1" applyFont="1" applyFill="1" applyBorder="1"/>
    <xf numFmtId="0" fontId="5" fillId="5" borderId="0" xfId="1" applyFont="1" applyFill="1" applyBorder="1" applyAlignment="1">
      <alignment horizontal="center" vertical="center" wrapText="1"/>
    </xf>
    <xf numFmtId="0" fontId="5" fillId="5" borderId="0" xfId="1" applyFont="1" applyFill="1" applyBorder="1" applyAlignment="1">
      <alignment horizontal="center" vertical="center"/>
    </xf>
    <xf numFmtId="1" fontId="4" fillId="2" borderId="0" xfId="0" applyNumberFormat="1" applyFont="1" applyFill="1"/>
    <xf numFmtId="164" fontId="2" fillId="5" borderId="0" xfId="0" applyNumberFormat="1" applyFont="1" applyFill="1" applyAlignment="1">
      <alignment horizontal="left"/>
    </xf>
    <xf numFmtId="0" fontId="2" fillId="5" borderId="0" xfId="0" applyNumberFormat="1" applyFont="1" applyFill="1" applyBorder="1"/>
    <xf numFmtId="1" fontId="2" fillId="5" borderId="0" xfId="0" applyNumberFormat="1" applyFont="1" applyFill="1" applyBorder="1"/>
    <xf numFmtId="164" fontId="2" fillId="5" borderId="0" xfId="0" applyNumberFormat="1" applyFont="1" applyFill="1" applyAlignment="1">
      <alignment horizontal="center"/>
    </xf>
    <xf numFmtId="164" fontId="2" fillId="3" borderId="0" xfId="0" applyNumberFormat="1" applyFont="1" applyFill="1" applyAlignment="1">
      <alignment horizontal="left"/>
    </xf>
    <xf numFmtId="167" fontId="2" fillId="3" borderId="0" xfId="5" applyNumberFormat="1" applyFont="1" applyFill="1" applyAlignment="1">
      <alignment horizontal="right"/>
    </xf>
    <xf numFmtId="10" fontId="13" fillId="3" borderId="0" xfId="5" applyNumberFormat="1" applyFont="1" applyFill="1" applyAlignment="1">
      <alignment horizontal="right"/>
    </xf>
    <xf numFmtId="164" fontId="2" fillId="5" borderId="0" xfId="0" applyNumberFormat="1" applyFont="1" applyFill="1" applyBorder="1"/>
    <xf numFmtId="1" fontId="14" fillId="3" borderId="0" xfId="0" applyNumberFormat="1" applyFont="1" applyFill="1" applyAlignment="1"/>
    <xf numFmtId="164" fontId="2" fillId="4" borderId="1" xfId="0" applyNumberFormat="1" applyFont="1" applyFill="1" applyBorder="1" applyAlignment="1">
      <alignment horizontal="center"/>
    </xf>
    <xf numFmtId="166" fontId="2" fillId="0" borderId="0" xfId="0" applyNumberFormat="1" applyFont="1" applyFill="1"/>
    <xf numFmtId="2" fontId="2" fillId="3" borderId="0" xfId="5" applyNumberFormat="1" applyFont="1" applyFill="1"/>
    <xf numFmtId="170" fontId="6" fillId="0" borderId="0" xfId="6" applyNumberFormat="1" applyFont="1" applyFill="1" applyBorder="1" applyAlignment="1" applyProtection="1"/>
    <xf numFmtId="165" fontId="6" fillId="0" borderId="0" xfId="6" applyNumberFormat="1" applyFont="1" applyFill="1" applyBorder="1" applyAlignment="1" applyProtection="1"/>
    <xf numFmtId="164" fontId="2" fillId="4" borderId="3" xfId="0" applyNumberFormat="1" applyFont="1" applyFill="1" applyBorder="1" applyAlignment="1">
      <alignment horizontal="left"/>
    </xf>
    <xf numFmtId="164" fontId="2" fillId="4" borderId="2" xfId="0" applyNumberFormat="1" applyFont="1" applyFill="1" applyBorder="1" applyAlignment="1">
      <alignment horizontal="right"/>
    </xf>
    <xf numFmtId="2" fontId="4" fillId="0" borderId="0" xfId="0" applyNumberFormat="1" applyFont="1" applyFill="1" applyBorder="1"/>
    <xf numFmtId="0" fontId="2" fillId="0" borderId="0" xfId="0" applyNumberFormat="1" applyFont="1" applyFill="1"/>
    <xf numFmtId="164" fontId="2" fillId="0" borderId="0" xfId="0" applyNumberFormat="1" applyFont="1" applyFill="1" applyBorder="1" applyAlignment="1">
      <alignment horizontal="right"/>
    </xf>
    <xf numFmtId="164" fontId="2" fillId="0" borderId="1" xfId="0" applyNumberFormat="1" applyFont="1" applyFill="1" applyBorder="1" applyAlignment="1"/>
    <xf numFmtId="0" fontId="2" fillId="0" borderId="0" xfId="0" applyFont="1"/>
    <xf numFmtId="0" fontId="2" fillId="0" borderId="0" xfId="0" applyFont="1" applyFill="1"/>
    <xf numFmtId="0" fontId="2" fillId="0" borderId="1" xfId="0" applyFont="1" applyFill="1" applyBorder="1" applyAlignment="1"/>
    <xf numFmtId="0" fontId="2" fillId="0" borderId="1" xfId="0" applyFont="1" applyBorder="1" applyAlignment="1"/>
    <xf numFmtId="164" fontId="2" fillId="0" borderId="0" xfId="0" applyNumberFormat="1" applyFont="1" applyFill="1" applyBorder="1" applyAlignment="1"/>
    <xf numFmtId="164" fontId="2" fillId="0" borderId="0" xfId="0" applyNumberFormat="1" applyFont="1" applyFill="1" applyBorder="1" applyAlignment="1">
      <alignment vertical="center"/>
    </xf>
    <xf numFmtId="0" fontId="2" fillId="0" borderId="0" xfId="0" applyFont="1" applyBorder="1" applyAlignment="1"/>
    <xf numFmtId="164" fontId="2" fillId="2" borderId="4" xfId="0" applyNumberFormat="1" applyFont="1" applyFill="1" applyBorder="1" applyAlignment="1"/>
    <xf numFmtId="0" fontId="2" fillId="2" borderId="0" xfId="0" applyFont="1" applyFill="1"/>
    <xf numFmtId="0" fontId="2" fillId="0" borderId="0" xfId="1" applyFont="1" applyFill="1" applyBorder="1" applyAlignment="1">
      <alignment vertical="center" wrapText="1"/>
    </xf>
    <xf numFmtId="0" fontId="2" fillId="2" borderId="0" xfId="1" applyFont="1" applyFill="1" applyBorder="1" applyAlignment="1">
      <alignment vertical="center" wrapText="1"/>
    </xf>
    <xf numFmtId="0" fontId="2" fillId="2" borderId="1" xfId="1" applyFont="1" applyFill="1" applyBorder="1" applyAlignment="1">
      <alignment vertical="center"/>
    </xf>
    <xf numFmtId="164" fontId="2" fillId="2" borderId="0" xfId="0" applyNumberFormat="1" applyFont="1" applyFill="1" applyBorder="1"/>
    <xf numFmtId="9" fontId="2" fillId="0" borderId="1" xfId="0" applyNumberFormat="1" applyFont="1" applyBorder="1" applyAlignment="1"/>
    <xf numFmtId="9" fontId="2" fillId="2" borderId="1" xfId="0" applyNumberFormat="1" applyFont="1" applyFill="1" applyBorder="1" applyAlignment="1"/>
    <xf numFmtId="166" fontId="2" fillId="2" borderId="0" xfId="0" applyNumberFormat="1" applyFont="1" applyFill="1"/>
    <xf numFmtId="0" fontId="2" fillId="2" borderId="1" xfId="0" applyFont="1" applyFill="1" applyBorder="1" applyAlignment="1"/>
    <xf numFmtId="164" fontId="15" fillId="0" borderId="0" xfId="0" applyNumberFormat="1" applyFont="1" applyFill="1" applyAlignment="1">
      <alignment horizontal="right"/>
    </xf>
    <xf numFmtId="164" fontId="15" fillId="0" borderId="0" xfId="0" applyNumberFormat="1" applyFont="1" applyFill="1"/>
    <xf numFmtId="164" fontId="15" fillId="0" borderId="0" xfId="0" applyNumberFormat="1" applyFont="1" applyFill="1" applyBorder="1"/>
    <xf numFmtId="1" fontId="15" fillId="0" borderId="0" xfId="0" applyNumberFormat="1" applyFont="1" applyFill="1"/>
    <xf numFmtId="0" fontId="16" fillId="0" borderId="0" xfId="0" applyFont="1"/>
    <xf numFmtId="164" fontId="4" fillId="0" borderId="0" xfId="0" applyNumberFormat="1" applyFont="1" applyFill="1" applyAlignment="1">
      <alignment horizontal="right"/>
    </xf>
    <xf numFmtId="165" fontId="2" fillId="0" borderId="0" xfId="0" applyNumberFormat="1" applyFont="1" applyFill="1"/>
    <xf numFmtId="165" fontId="2" fillId="0" borderId="0" xfId="0" applyNumberFormat="1" applyFont="1" applyFill="1" applyBorder="1"/>
    <xf numFmtId="165" fontId="4" fillId="0" borderId="0" xfId="0" applyNumberFormat="1" applyFont="1" applyFill="1"/>
    <xf numFmtId="0" fontId="0" fillId="6" borderId="0" xfId="0" applyFill="1"/>
    <xf numFmtId="0" fontId="0" fillId="2" borderId="0" xfId="0" applyFill="1"/>
    <xf numFmtId="0" fontId="0" fillId="7" borderId="0" xfId="0" applyFill="1" applyBorder="1"/>
    <xf numFmtId="0" fontId="0" fillId="7" borderId="0" xfId="0" applyFill="1"/>
    <xf numFmtId="164" fontId="2" fillId="2" borderId="5" xfId="0" applyNumberFormat="1" applyFont="1" applyFill="1" applyBorder="1" applyAlignment="1"/>
    <xf numFmtId="0" fontId="0" fillId="8" borderId="0" xfId="0" applyFill="1"/>
    <xf numFmtId="0" fontId="2" fillId="0" borderId="0" xfId="0" applyNumberFormat="1" applyFont="1" applyFill="1" applyBorder="1"/>
    <xf numFmtId="164" fontId="2" fillId="2" borderId="0" xfId="0" applyNumberFormat="1" applyFont="1" applyFill="1" applyAlignment="1">
      <alignment horizontal="center" vertical="center"/>
    </xf>
    <xf numFmtId="0" fontId="7" fillId="4" borderId="1" xfId="1" applyFont="1" applyFill="1" applyBorder="1" applyAlignment="1">
      <alignment horizontal="center"/>
    </xf>
    <xf numFmtId="164" fontId="2" fillId="2" borderId="1" xfId="0" applyNumberFormat="1" applyFont="1" applyFill="1" applyBorder="1" applyAlignment="1">
      <alignment horizontal="center"/>
    </xf>
    <xf numFmtId="0" fontId="5" fillId="5" borderId="0" xfId="1" applyFont="1" applyFill="1" applyBorder="1" applyAlignment="1">
      <alignment horizontal="center" vertical="center" wrapText="1"/>
    </xf>
    <xf numFmtId="0" fontId="5" fillId="5" borderId="0" xfId="1" applyFont="1" applyFill="1" applyBorder="1" applyAlignment="1">
      <alignment horizontal="center" vertical="center"/>
    </xf>
    <xf numFmtId="0" fontId="5" fillId="2" borderId="0" xfId="1" applyFont="1" applyFill="1" applyBorder="1" applyAlignment="1">
      <alignment horizontal="center" vertical="center" wrapText="1"/>
    </xf>
    <xf numFmtId="0" fontId="5" fillId="2" borderId="0" xfId="1" applyFont="1" applyFill="1" applyBorder="1" applyAlignment="1">
      <alignment horizontal="center" vertical="center"/>
    </xf>
    <xf numFmtId="164" fontId="2" fillId="4" borderId="1" xfId="0" applyNumberFormat="1" applyFont="1" applyFill="1" applyBorder="1" applyAlignment="1">
      <alignment horizontal="center"/>
    </xf>
    <xf numFmtId="164" fontId="2" fillId="3" borderId="1" xfId="0" applyNumberFormat="1" applyFont="1" applyFill="1" applyBorder="1" applyAlignment="1">
      <alignment horizontal="center"/>
    </xf>
  </cellXfs>
  <cellStyles count="7">
    <cellStyle name="Currency 2" xfId="4"/>
    <cellStyle name="Hyperlink" xfId="2" builtinId="8"/>
    <cellStyle name="Normal" xfId="0" builtinId="0"/>
    <cellStyle name="Normal 2" xfId="1"/>
    <cellStyle name="Normal 3" xfId="3"/>
    <cellStyle name="Normal 4" xfId="6"/>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holar.google.cz/scholar?as_sdt=1,5&amp;q=%22social+costs+of+carbon%22+OR+%22social+cost+of+carbon%22+carbon+climate+change+marginal+damage+costs+emissions+greenhouse+impacts&amp;hl=en&amp;as_ylo=2012&amp;as_vis=1" TargetMode="External"/></Relationships>
</file>

<file path=xl/worksheets/_rels/sheet8.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J1145"/>
  <sheetViews>
    <sheetView tabSelected="1" zoomScale="85" zoomScaleNormal="85" workbookViewId="0"/>
  </sheetViews>
  <sheetFormatPr defaultRowHeight="12.75" x14ac:dyDescent="0.2"/>
  <cols>
    <col min="1" max="1" width="27.7109375" bestFit="1" customWidth="1"/>
  </cols>
  <sheetData>
    <row r="1" spans="1:36" x14ac:dyDescent="0.2">
      <c r="A1" t="s">
        <v>321</v>
      </c>
      <c r="B1" t="s">
        <v>290</v>
      </c>
      <c r="C1" t="s">
        <v>287</v>
      </c>
      <c r="D1" t="s">
        <v>291</v>
      </c>
      <c r="E1" t="s">
        <v>293</v>
      </c>
      <c r="F1" t="s">
        <v>294</v>
      </c>
      <c r="G1" t="s">
        <v>295</v>
      </c>
      <c r="H1" t="s">
        <v>296</v>
      </c>
      <c r="I1" t="s">
        <v>297</v>
      </c>
      <c r="J1" t="s">
        <v>298</v>
      </c>
      <c r="K1" t="s">
        <v>299</v>
      </c>
      <c r="L1" t="s">
        <v>292</v>
      </c>
      <c r="M1" t="s">
        <v>300</v>
      </c>
      <c r="N1" t="s">
        <v>301</v>
      </c>
      <c r="O1" t="s">
        <v>302</v>
      </c>
      <c r="P1" t="s">
        <v>303</v>
      </c>
      <c r="Q1" t="s">
        <v>304</v>
      </c>
      <c r="R1" t="s">
        <v>305</v>
      </c>
      <c r="S1" t="s">
        <v>306</v>
      </c>
      <c r="T1" t="s">
        <v>307</v>
      </c>
      <c r="U1" t="s">
        <v>308</v>
      </c>
      <c r="V1" t="s">
        <v>309</v>
      </c>
      <c r="W1" t="s">
        <v>310</v>
      </c>
      <c r="X1" t="s">
        <v>311</v>
      </c>
      <c r="Y1" t="s">
        <v>312</v>
      </c>
      <c r="Z1" t="s">
        <v>313</v>
      </c>
      <c r="AA1" t="s">
        <v>241</v>
      </c>
      <c r="AB1" t="s">
        <v>314</v>
      </c>
      <c r="AC1" t="s">
        <v>315</v>
      </c>
      <c r="AD1" t="s">
        <v>316</v>
      </c>
      <c r="AE1" t="s">
        <v>318</v>
      </c>
      <c r="AF1" t="s">
        <v>317</v>
      </c>
      <c r="AG1" t="s">
        <v>322</v>
      </c>
      <c r="AH1" t="s">
        <v>288</v>
      </c>
      <c r="AI1" t="s">
        <v>289</v>
      </c>
      <c r="AJ1" t="s">
        <v>328</v>
      </c>
    </row>
    <row r="2" spans="1:36" x14ac:dyDescent="0.2">
      <c r="A2" t="str">
        <f>+VLOOKUP(B2,studies!$A$2:$C$102,3)</f>
        <v>Nordhaus (1982)</v>
      </c>
      <c r="B2">
        <v>1</v>
      </c>
      <c r="C2">
        <v>1982</v>
      </c>
      <c r="D2">
        <v>1</v>
      </c>
      <c r="E2">
        <v>1980</v>
      </c>
      <c r="F2">
        <v>1980</v>
      </c>
      <c r="G2">
        <v>0.5</v>
      </c>
      <c r="H2">
        <v>1984.9986943646254</v>
      </c>
      <c r="I2">
        <v>0</v>
      </c>
      <c r="J2">
        <v>1</v>
      </c>
      <c r="K2">
        <v>0</v>
      </c>
      <c r="L2" t="s">
        <v>238</v>
      </c>
      <c r="M2" t="s">
        <v>238</v>
      </c>
      <c r="N2" t="s">
        <v>238</v>
      </c>
      <c r="O2">
        <v>1</v>
      </c>
      <c r="P2">
        <v>0</v>
      </c>
      <c r="Q2">
        <v>0</v>
      </c>
      <c r="R2">
        <v>0</v>
      </c>
      <c r="S2">
        <v>0</v>
      </c>
      <c r="T2">
        <v>0</v>
      </c>
      <c r="U2">
        <v>0</v>
      </c>
      <c r="W2">
        <v>1</v>
      </c>
      <c r="Y2">
        <v>4</v>
      </c>
      <c r="AA2">
        <v>0</v>
      </c>
      <c r="AC2">
        <v>0</v>
      </c>
      <c r="AD2">
        <v>1</v>
      </c>
      <c r="AE2">
        <v>0</v>
      </c>
      <c r="AF2">
        <v>0</v>
      </c>
      <c r="AG2">
        <v>0</v>
      </c>
      <c r="AH2">
        <v>132</v>
      </c>
      <c r="AI2">
        <v>6.46</v>
      </c>
      <c r="AJ2">
        <v>2</v>
      </c>
    </row>
    <row r="3" spans="1:36" x14ac:dyDescent="0.2">
      <c r="A3" t="str">
        <f>+VLOOKUP(B3,studies!$A$2:$C$102,3)</f>
        <v>Nordhaus (1982)</v>
      </c>
      <c r="B3">
        <v>1</v>
      </c>
      <c r="C3">
        <v>1982</v>
      </c>
      <c r="D3">
        <v>1</v>
      </c>
      <c r="E3">
        <v>1980</v>
      </c>
      <c r="F3">
        <v>1980</v>
      </c>
      <c r="G3">
        <v>0.5</v>
      </c>
      <c r="H3">
        <v>283.5712420520893</v>
      </c>
      <c r="I3">
        <v>0</v>
      </c>
      <c r="J3">
        <v>1</v>
      </c>
      <c r="K3">
        <v>0</v>
      </c>
      <c r="L3" t="s">
        <v>238</v>
      </c>
      <c r="M3" t="s">
        <v>238</v>
      </c>
      <c r="N3" t="s">
        <v>238</v>
      </c>
      <c r="O3">
        <v>1</v>
      </c>
      <c r="P3">
        <v>0</v>
      </c>
      <c r="Q3">
        <v>0</v>
      </c>
      <c r="R3">
        <v>0</v>
      </c>
      <c r="S3">
        <v>0</v>
      </c>
      <c r="T3">
        <v>0</v>
      </c>
      <c r="U3">
        <v>0</v>
      </c>
      <c r="W3">
        <v>1</v>
      </c>
      <c r="Y3">
        <v>1</v>
      </c>
      <c r="AA3">
        <v>0</v>
      </c>
      <c r="AC3">
        <v>0</v>
      </c>
      <c r="AD3">
        <v>1</v>
      </c>
      <c r="AE3">
        <v>0</v>
      </c>
      <c r="AF3">
        <v>0</v>
      </c>
      <c r="AG3">
        <v>0</v>
      </c>
      <c r="AH3">
        <v>132</v>
      </c>
      <c r="AI3">
        <v>6.46</v>
      </c>
      <c r="AJ3">
        <v>2</v>
      </c>
    </row>
    <row r="4" spans="1:36" x14ac:dyDescent="0.2">
      <c r="A4" t="str">
        <f>+VLOOKUP(B4,studies!$A$2:$C$102,3)</f>
        <v>Ayres &amp; Walter (1991)</v>
      </c>
      <c r="B4">
        <v>2</v>
      </c>
      <c r="C4">
        <v>1991</v>
      </c>
      <c r="D4">
        <v>1</v>
      </c>
      <c r="E4">
        <v>1989</v>
      </c>
      <c r="F4">
        <v>1990</v>
      </c>
      <c r="G4">
        <v>1</v>
      </c>
      <c r="H4">
        <v>450.79559708797814</v>
      </c>
      <c r="I4">
        <v>0</v>
      </c>
      <c r="J4">
        <v>1</v>
      </c>
      <c r="K4">
        <v>0</v>
      </c>
      <c r="L4" t="s">
        <v>238</v>
      </c>
      <c r="M4" t="s">
        <v>238</v>
      </c>
      <c r="N4" t="s">
        <v>238</v>
      </c>
      <c r="O4">
        <v>1</v>
      </c>
      <c r="P4">
        <v>0</v>
      </c>
      <c r="Q4">
        <v>0</v>
      </c>
      <c r="R4">
        <v>0</v>
      </c>
      <c r="S4">
        <v>0</v>
      </c>
      <c r="T4">
        <v>0</v>
      </c>
      <c r="U4">
        <v>0</v>
      </c>
      <c r="V4">
        <v>3</v>
      </c>
      <c r="W4">
        <v>1</v>
      </c>
      <c r="Y4">
        <v>0</v>
      </c>
      <c r="AA4">
        <v>0</v>
      </c>
      <c r="AC4">
        <v>0</v>
      </c>
      <c r="AD4">
        <v>0</v>
      </c>
      <c r="AE4">
        <v>0</v>
      </c>
      <c r="AF4">
        <v>0</v>
      </c>
      <c r="AG4">
        <v>0</v>
      </c>
      <c r="AH4">
        <v>220</v>
      </c>
      <c r="AI4">
        <v>1.65</v>
      </c>
      <c r="AJ4">
        <v>1</v>
      </c>
    </row>
    <row r="5" spans="1:36" x14ac:dyDescent="0.2">
      <c r="A5" t="str">
        <f>+VLOOKUP(B5,studies!$A$2:$C$102,3)</f>
        <v>Nordhaus (1991)</v>
      </c>
      <c r="B5">
        <v>3</v>
      </c>
      <c r="C5">
        <v>1991</v>
      </c>
      <c r="D5">
        <v>1</v>
      </c>
      <c r="E5">
        <v>1989</v>
      </c>
      <c r="F5">
        <v>1990</v>
      </c>
      <c r="G5">
        <v>6.25E-2</v>
      </c>
      <c r="H5">
        <v>914.62958990711616</v>
      </c>
      <c r="I5">
        <v>0</v>
      </c>
      <c r="J5">
        <v>1</v>
      </c>
      <c r="K5">
        <v>0</v>
      </c>
      <c r="L5" t="s">
        <v>238</v>
      </c>
      <c r="M5" t="s">
        <v>238</v>
      </c>
      <c r="N5" t="s">
        <v>238</v>
      </c>
      <c r="O5">
        <v>1</v>
      </c>
      <c r="P5">
        <v>0</v>
      </c>
      <c r="Q5">
        <v>0</v>
      </c>
      <c r="R5">
        <v>0</v>
      </c>
      <c r="S5">
        <v>0</v>
      </c>
      <c r="T5">
        <v>1</v>
      </c>
      <c r="U5">
        <v>0</v>
      </c>
      <c r="V5">
        <v>1</v>
      </c>
      <c r="W5">
        <v>0</v>
      </c>
      <c r="X5">
        <v>1</v>
      </c>
      <c r="Y5">
        <v>1</v>
      </c>
      <c r="AA5">
        <v>0</v>
      </c>
      <c r="AC5">
        <v>0</v>
      </c>
      <c r="AD5">
        <v>1</v>
      </c>
      <c r="AE5">
        <v>0</v>
      </c>
      <c r="AF5">
        <v>0</v>
      </c>
      <c r="AG5">
        <v>0</v>
      </c>
      <c r="AH5">
        <v>1166</v>
      </c>
      <c r="AI5">
        <v>3.46</v>
      </c>
      <c r="AJ5">
        <v>9</v>
      </c>
    </row>
    <row r="6" spans="1:36" x14ac:dyDescent="0.2">
      <c r="A6" t="str">
        <f>+VLOOKUP(B6,studies!$A$2:$C$102,3)</f>
        <v>Nordhaus (1991)</v>
      </c>
      <c r="B6">
        <v>3</v>
      </c>
      <c r="C6">
        <v>1991</v>
      </c>
      <c r="D6">
        <v>1</v>
      </c>
      <c r="E6">
        <v>1989</v>
      </c>
      <c r="F6">
        <v>1990</v>
      </c>
      <c r="G6">
        <v>0.125</v>
      </c>
      <c r="H6">
        <v>457.31479495355808</v>
      </c>
      <c r="I6">
        <v>0</v>
      </c>
      <c r="J6">
        <v>1</v>
      </c>
      <c r="K6">
        <v>0</v>
      </c>
      <c r="L6" t="s">
        <v>238</v>
      </c>
      <c r="M6" t="s">
        <v>238</v>
      </c>
      <c r="N6" t="s">
        <v>238</v>
      </c>
      <c r="O6">
        <v>1</v>
      </c>
      <c r="P6">
        <v>0</v>
      </c>
      <c r="Q6">
        <v>0</v>
      </c>
      <c r="R6">
        <v>0</v>
      </c>
      <c r="S6">
        <v>0</v>
      </c>
      <c r="T6">
        <v>1</v>
      </c>
      <c r="U6">
        <v>0</v>
      </c>
      <c r="V6">
        <v>1</v>
      </c>
      <c r="W6">
        <v>0</v>
      </c>
      <c r="X6">
        <v>1</v>
      </c>
      <c r="Y6">
        <v>1</v>
      </c>
      <c r="AA6">
        <v>0</v>
      </c>
      <c r="AC6">
        <v>0</v>
      </c>
      <c r="AD6">
        <v>1</v>
      </c>
      <c r="AE6">
        <v>0</v>
      </c>
      <c r="AF6">
        <v>0</v>
      </c>
      <c r="AG6">
        <v>0</v>
      </c>
      <c r="AH6">
        <v>1166</v>
      </c>
      <c r="AI6">
        <v>3.46</v>
      </c>
      <c r="AJ6">
        <v>9</v>
      </c>
    </row>
    <row r="7" spans="1:36" x14ac:dyDescent="0.2">
      <c r="A7" t="str">
        <f>+VLOOKUP(B7,studies!$A$2:$C$102,3)</f>
        <v>Nordhaus (1991)</v>
      </c>
      <c r="B7">
        <v>3</v>
      </c>
      <c r="C7">
        <v>1991</v>
      </c>
      <c r="D7">
        <v>1</v>
      </c>
      <c r="E7">
        <v>1989</v>
      </c>
      <c r="F7">
        <v>1990</v>
      </c>
      <c r="G7">
        <v>6.25E-2</v>
      </c>
      <c r="H7">
        <v>114.29402215399814</v>
      </c>
      <c r="I7">
        <v>0</v>
      </c>
      <c r="J7">
        <v>1</v>
      </c>
      <c r="K7">
        <v>0</v>
      </c>
      <c r="L7" t="s">
        <v>238</v>
      </c>
      <c r="M7" t="s">
        <v>238</v>
      </c>
      <c r="N7" t="s">
        <v>238</v>
      </c>
      <c r="O7">
        <v>1</v>
      </c>
      <c r="P7">
        <v>0</v>
      </c>
      <c r="Q7">
        <v>0</v>
      </c>
      <c r="R7">
        <v>0</v>
      </c>
      <c r="S7">
        <v>0</v>
      </c>
      <c r="T7">
        <v>1</v>
      </c>
      <c r="U7">
        <v>0</v>
      </c>
      <c r="V7">
        <v>1</v>
      </c>
      <c r="W7">
        <v>0</v>
      </c>
      <c r="X7">
        <v>1</v>
      </c>
      <c r="Y7">
        <v>1</v>
      </c>
      <c r="AA7">
        <v>0</v>
      </c>
      <c r="AC7">
        <v>0</v>
      </c>
      <c r="AD7">
        <v>1</v>
      </c>
      <c r="AE7">
        <v>0</v>
      </c>
      <c r="AF7">
        <v>0</v>
      </c>
      <c r="AG7">
        <v>0</v>
      </c>
      <c r="AH7">
        <v>1166</v>
      </c>
      <c r="AI7">
        <v>3.46</v>
      </c>
      <c r="AJ7">
        <v>9</v>
      </c>
    </row>
    <row r="8" spans="1:36" x14ac:dyDescent="0.2">
      <c r="A8" t="str">
        <f>+VLOOKUP(B8,studies!$A$2:$C$102,3)</f>
        <v>Nordhaus (1991)</v>
      </c>
      <c r="B8">
        <v>3</v>
      </c>
      <c r="C8">
        <v>1991</v>
      </c>
      <c r="D8">
        <v>1</v>
      </c>
      <c r="E8">
        <v>1989</v>
      </c>
      <c r="F8">
        <v>1990</v>
      </c>
      <c r="G8">
        <v>0.125</v>
      </c>
      <c r="H8">
        <v>203.20478453350398</v>
      </c>
      <c r="I8">
        <v>0</v>
      </c>
      <c r="J8">
        <v>1</v>
      </c>
      <c r="K8">
        <v>0</v>
      </c>
      <c r="L8" t="s">
        <v>238</v>
      </c>
      <c r="M8" t="s">
        <v>238</v>
      </c>
      <c r="N8" t="s">
        <v>238</v>
      </c>
      <c r="O8">
        <v>1</v>
      </c>
      <c r="P8">
        <v>0</v>
      </c>
      <c r="Q8">
        <v>0</v>
      </c>
      <c r="R8">
        <v>0</v>
      </c>
      <c r="S8">
        <v>0</v>
      </c>
      <c r="T8">
        <v>1</v>
      </c>
      <c r="U8">
        <v>0</v>
      </c>
      <c r="V8">
        <v>3</v>
      </c>
      <c r="W8">
        <v>1</v>
      </c>
      <c r="X8">
        <v>1</v>
      </c>
      <c r="Y8">
        <v>2</v>
      </c>
      <c r="AA8">
        <v>0</v>
      </c>
      <c r="AC8">
        <v>0</v>
      </c>
      <c r="AD8">
        <v>1</v>
      </c>
      <c r="AE8">
        <v>0</v>
      </c>
      <c r="AF8">
        <v>0</v>
      </c>
      <c r="AG8">
        <v>0</v>
      </c>
      <c r="AH8">
        <v>1166</v>
      </c>
      <c r="AI8">
        <v>3.46</v>
      </c>
      <c r="AJ8">
        <v>9</v>
      </c>
    </row>
    <row r="9" spans="1:36" x14ac:dyDescent="0.2">
      <c r="A9" t="str">
        <f>+VLOOKUP(B9,studies!$A$2:$C$102,3)</f>
        <v>Nordhaus (1991)</v>
      </c>
      <c r="B9">
        <v>3</v>
      </c>
      <c r="C9">
        <v>1991</v>
      </c>
      <c r="D9">
        <v>1</v>
      </c>
      <c r="E9">
        <v>1989</v>
      </c>
      <c r="F9">
        <v>1990</v>
      </c>
      <c r="G9">
        <v>0.25</v>
      </c>
      <c r="H9">
        <v>101.67174543553476</v>
      </c>
      <c r="I9">
        <v>0</v>
      </c>
      <c r="J9">
        <v>1</v>
      </c>
      <c r="K9">
        <v>0</v>
      </c>
      <c r="L9" t="s">
        <v>238</v>
      </c>
      <c r="M9" t="s">
        <v>238</v>
      </c>
      <c r="N9" t="s">
        <v>238</v>
      </c>
      <c r="O9">
        <v>1</v>
      </c>
      <c r="P9">
        <v>0</v>
      </c>
      <c r="Q9">
        <v>0</v>
      </c>
      <c r="R9">
        <v>0</v>
      </c>
      <c r="S9">
        <v>0</v>
      </c>
      <c r="T9">
        <v>1</v>
      </c>
      <c r="U9">
        <v>0</v>
      </c>
      <c r="V9">
        <v>3</v>
      </c>
      <c r="W9">
        <v>1</v>
      </c>
      <c r="X9">
        <v>1</v>
      </c>
      <c r="Y9">
        <v>2</v>
      </c>
      <c r="AA9">
        <v>0</v>
      </c>
      <c r="AC9">
        <v>0</v>
      </c>
      <c r="AD9">
        <v>1</v>
      </c>
      <c r="AE9">
        <v>0</v>
      </c>
      <c r="AF9">
        <v>0</v>
      </c>
      <c r="AG9">
        <v>0</v>
      </c>
      <c r="AH9">
        <v>1166</v>
      </c>
      <c r="AI9">
        <v>3.46</v>
      </c>
      <c r="AJ9">
        <v>9</v>
      </c>
    </row>
    <row r="10" spans="1:36" x14ac:dyDescent="0.2">
      <c r="A10" t="str">
        <f>+VLOOKUP(B10,studies!$A$2:$C$102,3)</f>
        <v>Nordhaus (1991)</v>
      </c>
      <c r="B10">
        <v>3</v>
      </c>
      <c r="C10">
        <v>1991</v>
      </c>
      <c r="D10">
        <v>1</v>
      </c>
      <c r="E10">
        <v>1989</v>
      </c>
      <c r="F10">
        <v>1990</v>
      </c>
      <c r="G10">
        <v>0.125</v>
      </c>
      <c r="H10">
        <v>25.383259774492309</v>
      </c>
      <c r="I10">
        <v>0</v>
      </c>
      <c r="J10">
        <v>1</v>
      </c>
      <c r="K10">
        <v>0</v>
      </c>
      <c r="L10" t="s">
        <v>238</v>
      </c>
      <c r="M10" t="s">
        <v>238</v>
      </c>
      <c r="N10" t="s">
        <v>238</v>
      </c>
      <c r="O10">
        <v>1</v>
      </c>
      <c r="P10">
        <v>0</v>
      </c>
      <c r="Q10">
        <v>0</v>
      </c>
      <c r="R10">
        <v>0</v>
      </c>
      <c r="S10">
        <v>0</v>
      </c>
      <c r="T10">
        <v>1</v>
      </c>
      <c r="U10">
        <v>0</v>
      </c>
      <c r="V10">
        <v>3</v>
      </c>
      <c r="W10">
        <v>1</v>
      </c>
      <c r="X10">
        <v>1</v>
      </c>
      <c r="Y10">
        <v>2</v>
      </c>
      <c r="AA10">
        <v>0</v>
      </c>
      <c r="AC10">
        <v>0</v>
      </c>
      <c r="AD10">
        <v>1</v>
      </c>
      <c r="AE10">
        <v>0</v>
      </c>
      <c r="AF10">
        <v>0</v>
      </c>
      <c r="AG10">
        <v>0</v>
      </c>
      <c r="AH10">
        <v>1166</v>
      </c>
      <c r="AI10">
        <v>3.46</v>
      </c>
      <c r="AJ10">
        <v>9</v>
      </c>
    </row>
    <row r="11" spans="1:36" x14ac:dyDescent="0.2">
      <c r="A11" t="str">
        <f>+VLOOKUP(B11,studies!$A$2:$C$102,3)</f>
        <v>Nordhaus (1991)</v>
      </c>
      <c r="B11">
        <v>3</v>
      </c>
      <c r="C11">
        <v>1991</v>
      </c>
      <c r="D11">
        <v>1</v>
      </c>
      <c r="E11">
        <v>1989</v>
      </c>
      <c r="F11">
        <v>1990</v>
      </c>
      <c r="G11">
        <v>6.25E-2</v>
      </c>
      <c r="H11">
        <v>33.844346365989743</v>
      </c>
      <c r="I11">
        <v>0</v>
      </c>
      <c r="J11">
        <v>1</v>
      </c>
      <c r="K11">
        <v>0</v>
      </c>
      <c r="L11" t="s">
        <v>238</v>
      </c>
      <c r="M11" t="s">
        <v>238</v>
      </c>
      <c r="N11" t="s">
        <v>238</v>
      </c>
      <c r="O11">
        <v>1</v>
      </c>
      <c r="P11">
        <v>0</v>
      </c>
      <c r="Q11">
        <v>0</v>
      </c>
      <c r="R11">
        <v>0</v>
      </c>
      <c r="S11">
        <v>0</v>
      </c>
      <c r="T11">
        <v>1</v>
      </c>
      <c r="U11">
        <v>0</v>
      </c>
      <c r="V11">
        <v>7</v>
      </c>
      <c r="W11">
        <v>4</v>
      </c>
      <c r="X11">
        <v>1</v>
      </c>
      <c r="Y11">
        <v>3</v>
      </c>
      <c r="AA11">
        <v>0</v>
      </c>
      <c r="AC11">
        <v>0</v>
      </c>
      <c r="AD11">
        <v>1</v>
      </c>
      <c r="AE11">
        <v>0</v>
      </c>
      <c r="AF11">
        <v>0</v>
      </c>
      <c r="AG11">
        <v>0</v>
      </c>
      <c r="AH11">
        <v>1166</v>
      </c>
      <c r="AI11">
        <v>3.46</v>
      </c>
      <c r="AJ11">
        <v>9</v>
      </c>
    </row>
    <row r="12" spans="1:36" x14ac:dyDescent="0.2">
      <c r="A12" t="str">
        <f>+VLOOKUP(B12,studies!$A$2:$C$102,3)</f>
        <v>Nordhaus (1991)</v>
      </c>
      <c r="B12">
        <v>3</v>
      </c>
      <c r="C12">
        <v>1991</v>
      </c>
      <c r="D12">
        <v>1</v>
      </c>
      <c r="E12">
        <v>1989</v>
      </c>
      <c r="F12">
        <v>1990</v>
      </c>
      <c r="G12">
        <v>0.125</v>
      </c>
      <c r="H12">
        <v>16.922173182994872</v>
      </c>
      <c r="I12">
        <v>0</v>
      </c>
      <c r="J12">
        <v>1</v>
      </c>
      <c r="K12">
        <v>0</v>
      </c>
      <c r="L12" t="s">
        <v>238</v>
      </c>
      <c r="M12" t="s">
        <v>238</v>
      </c>
      <c r="N12" t="s">
        <v>238</v>
      </c>
      <c r="O12">
        <v>1</v>
      </c>
      <c r="P12">
        <v>0</v>
      </c>
      <c r="Q12">
        <v>0</v>
      </c>
      <c r="R12">
        <v>0</v>
      </c>
      <c r="S12">
        <v>0</v>
      </c>
      <c r="T12">
        <v>1</v>
      </c>
      <c r="U12">
        <v>0</v>
      </c>
      <c r="V12">
        <v>7</v>
      </c>
      <c r="W12">
        <v>4</v>
      </c>
      <c r="X12">
        <v>1</v>
      </c>
      <c r="Y12">
        <v>3</v>
      </c>
      <c r="AA12">
        <v>0</v>
      </c>
      <c r="AC12">
        <v>0</v>
      </c>
      <c r="AD12">
        <v>1</v>
      </c>
      <c r="AE12">
        <v>0</v>
      </c>
      <c r="AF12">
        <v>0</v>
      </c>
      <c r="AG12">
        <v>0</v>
      </c>
      <c r="AH12">
        <v>1166</v>
      </c>
      <c r="AI12">
        <v>3.46</v>
      </c>
      <c r="AJ12">
        <v>9</v>
      </c>
    </row>
    <row r="13" spans="1:36" x14ac:dyDescent="0.2">
      <c r="A13" t="str">
        <f>+VLOOKUP(B13,studies!$A$2:$C$102,3)</f>
        <v>Nordhaus (1991)</v>
      </c>
      <c r="B13">
        <v>3</v>
      </c>
      <c r="C13">
        <v>1991</v>
      </c>
      <c r="D13">
        <v>1</v>
      </c>
      <c r="E13">
        <v>1989</v>
      </c>
      <c r="F13">
        <v>1990</v>
      </c>
      <c r="G13">
        <v>6.25E-2</v>
      </c>
      <c r="H13">
        <v>4.2998964645314839</v>
      </c>
      <c r="I13">
        <v>0</v>
      </c>
      <c r="J13">
        <v>1</v>
      </c>
      <c r="K13">
        <v>0</v>
      </c>
      <c r="L13" t="s">
        <v>238</v>
      </c>
      <c r="M13" t="s">
        <v>238</v>
      </c>
      <c r="N13" t="s">
        <v>238</v>
      </c>
      <c r="O13">
        <v>1</v>
      </c>
      <c r="P13">
        <v>0</v>
      </c>
      <c r="Q13">
        <v>0</v>
      </c>
      <c r="R13">
        <v>0</v>
      </c>
      <c r="S13">
        <v>0</v>
      </c>
      <c r="T13">
        <v>1</v>
      </c>
      <c r="U13">
        <v>0</v>
      </c>
      <c r="V13">
        <v>7</v>
      </c>
      <c r="W13">
        <v>4</v>
      </c>
      <c r="X13">
        <v>1</v>
      </c>
      <c r="Y13">
        <v>3</v>
      </c>
      <c r="AA13">
        <v>0</v>
      </c>
      <c r="AC13">
        <v>0</v>
      </c>
      <c r="AD13">
        <v>1</v>
      </c>
      <c r="AE13">
        <v>0</v>
      </c>
      <c r="AF13">
        <v>0</v>
      </c>
      <c r="AG13">
        <v>0</v>
      </c>
      <c r="AH13">
        <v>1166</v>
      </c>
      <c r="AI13">
        <v>3.46</v>
      </c>
      <c r="AJ13">
        <v>9</v>
      </c>
    </row>
    <row r="14" spans="1:36" x14ac:dyDescent="0.2">
      <c r="A14" t="str">
        <f>+VLOOKUP(B14,studies!$A$2:$C$102,3)</f>
        <v>Cline (1992)</v>
      </c>
      <c r="B14">
        <v>4</v>
      </c>
      <c r="C14">
        <v>1992</v>
      </c>
      <c r="D14">
        <v>0</v>
      </c>
      <c r="E14">
        <v>1989</v>
      </c>
      <c r="F14">
        <v>1990</v>
      </c>
      <c r="G14">
        <v>1</v>
      </c>
      <c r="H14">
        <v>245.51021749099118</v>
      </c>
      <c r="I14">
        <v>0</v>
      </c>
      <c r="J14">
        <v>1</v>
      </c>
      <c r="K14">
        <v>0</v>
      </c>
      <c r="L14">
        <v>111.78469841076718</v>
      </c>
      <c r="M14">
        <v>114.06601878649712</v>
      </c>
      <c r="N14">
        <v>114.06601878649708</v>
      </c>
      <c r="O14">
        <v>1</v>
      </c>
      <c r="P14">
        <v>1</v>
      </c>
      <c r="Q14">
        <v>0</v>
      </c>
      <c r="R14">
        <v>1</v>
      </c>
      <c r="S14">
        <v>0</v>
      </c>
      <c r="T14">
        <v>0</v>
      </c>
      <c r="U14">
        <v>0</v>
      </c>
      <c r="V14">
        <v>1.5</v>
      </c>
      <c r="W14">
        <v>0</v>
      </c>
      <c r="X14">
        <v>1.5</v>
      </c>
      <c r="Y14">
        <v>1</v>
      </c>
      <c r="AA14">
        <v>0</v>
      </c>
      <c r="AC14">
        <v>0</v>
      </c>
      <c r="AD14">
        <v>0</v>
      </c>
      <c r="AE14">
        <v>0</v>
      </c>
      <c r="AF14">
        <v>0</v>
      </c>
      <c r="AG14">
        <v>0</v>
      </c>
      <c r="AH14">
        <v>39</v>
      </c>
      <c r="AI14">
        <v>0</v>
      </c>
      <c r="AJ14">
        <v>1</v>
      </c>
    </row>
    <row r="15" spans="1:36" x14ac:dyDescent="0.2">
      <c r="A15" t="str">
        <f>+VLOOKUP(B15,studies!$A$2:$C$102,3)</f>
        <v>Haraden (1992)</v>
      </c>
      <c r="B15">
        <v>5</v>
      </c>
      <c r="C15">
        <v>1992</v>
      </c>
      <c r="D15">
        <v>1</v>
      </c>
      <c r="E15">
        <v>1984</v>
      </c>
      <c r="F15">
        <v>1987</v>
      </c>
      <c r="G15">
        <v>1</v>
      </c>
      <c r="H15">
        <v>72.59117994842812</v>
      </c>
      <c r="I15">
        <v>0</v>
      </c>
      <c r="J15">
        <v>1</v>
      </c>
      <c r="K15">
        <v>0</v>
      </c>
      <c r="L15" t="s">
        <v>238</v>
      </c>
      <c r="M15" t="s">
        <v>238</v>
      </c>
      <c r="N15" t="s">
        <v>238</v>
      </c>
      <c r="O15">
        <v>1</v>
      </c>
      <c r="P15">
        <v>0</v>
      </c>
      <c r="Q15">
        <v>0</v>
      </c>
      <c r="R15">
        <v>0</v>
      </c>
      <c r="S15">
        <v>0</v>
      </c>
      <c r="T15">
        <v>0</v>
      </c>
      <c r="U15">
        <v>0</v>
      </c>
      <c r="V15">
        <v>4</v>
      </c>
      <c r="W15">
        <v>2</v>
      </c>
      <c r="X15">
        <v>1</v>
      </c>
      <c r="Y15">
        <v>2</v>
      </c>
      <c r="AA15">
        <v>0</v>
      </c>
      <c r="AC15">
        <v>0</v>
      </c>
      <c r="AD15">
        <v>0</v>
      </c>
      <c r="AE15">
        <v>0</v>
      </c>
      <c r="AF15">
        <v>0</v>
      </c>
      <c r="AG15">
        <v>0</v>
      </c>
      <c r="AH15">
        <v>12</v>
      </c>
      <c r="AI15">
        <v>1.85</v>
      </c>
      <c r="AJ15">
        <v>1</v>
      </c>
    </row>
    <row r="16" spans="1:36" x14ac:dyDescent="0.2">
      <c r="A16" t="str">
        <f>+VLOOKUP(B16,studies!$A$2:$C$102,3)</f>
        <v>Hohmeyer &amp; Gaertner (1992)</v>
      </c>
      <c r="B16">
        <v>6</v>
      </c>
      <c r="C16">
        <v>1992</v>
      </c>
      <c r="D16">
        <v>0</v>
      </c>
      <c r="E16">
        <v>1990</v>
      </c>
      <c r="F16">
        <v>1990</v>
      </c>
      <c r="G16">
        <v>1</v>
      </c>
      <c r="H16">
        <v>6383.0400952804375</v>
      </c>
      <c r="I16">
        <v>0</v>
      </c>
      <c r="J16">
        <v>1</v>
      </c>
      <c r="K16">
        <v>0</v>
      </c>
      <c r="L16" t="s">
        <v>238</v>
      </c>
      <c r="M16" t="s">
        <v>238</v>
      </c>
      <c r="N16" t="s">
        <v>238</v>
      </c>
      <c r="O16">
        <v>1</v>
      </c>
      <c r="P16">
        <v>0</v>
      </c>
      <c r="Q16">
        <v>0</v>
      </c>
      <c r="R16">
        <v>1</v>
      </c>
      <c r="S16">
        <v>0</v>
      </c>
      <c r="T16">
        <v>0</v>
      </c>
      <c r="U16">
        <v>0</v>
      </c>
      <c r="V16">
        <v>0</v>
      </c>
      <c r="W16">
        <v>2</v>
      </c>
      <c r="AA16">
        <v>0</v>
      </c>
      <c r="AC16">
        <v>0</v>
      </c>
      <c r="AD16">
        <v>0</v>
      </c>
      <c r="AE16">
        <v>0</v>
      </c>
      <c r="AF16">
        <v>0</v>
      </c>
      <c r="AG16">
        <v>0</v>
      </c>
      <c r="AH16">
        <v>37</v>
      </c>
      <c r="AI16">
        <v>0</v>
      </c>
      <c r="AJ16">
        <v>1</v>
      </c>
    </row>
    <row r="17" spans="1:36" x14ac:dyDescent="0.2">
      <c r="A17" t="str">
        <f>+VLOOKUP(B17,studies!$A$2:$C$102,3)</f>
        <v>Penner et al. (1992)</v>
      </c>
      <c r="B17">
        <v>7</v>
      </c>
      <c r="C17">
        <v>1992</v>
      </c>
      <c r="D17">
        <v>1</v>
      </c>
      <c r="E17">
        <v>1989</v>
      </c>
      <c r="F17">
        <v>1989</v>
      </c>
      <c r="G17">
        <v>0.25</v>
      </c>
      <c r="H17">
        <v>65.023091613690866</v>
      </c>
      <c r="I17">
        <v>0</v>
      </c>
      <c r="J17">
        <v>1</v>
      </c>
      <c r="K17">
        <v>0</v>
      </c>
      <c r="L17" t="s">
        <v>238</v>
      </c>
      <c r="M17" t="s">
        <v>238</v>
      </c>
      <c r="N17" t="s">
        <v>238</v>
      </c>
      <c r="O17">
        <v>0</v>
      </c>
      <c r="P17">
        <v>0</v>
      </c>
      <c r="Q17">
        <v>0</v>
      </c>
      <c r="R17">
        <v>0</v>
      </c>
      <c r="S17">
        <v>0</v>
      </c>
      <c r="T17">
        <v>1</v>
      </c>
      <c r="U17">
        <v>0</v>
      </c>
      <c r="V17">
        <v>4</v>
      </c>
      <c r="W17">
        <v>2</v>
      </c>
      <c r="AA17">
        <v>0</v>
      </c>
      <c r="AC17">
        <v>0</v>
      </c>
      <c r="AD17">
        <v>0</v>
      </c>
      <c r="AE17">
        <v>0</v>
      </c>
      <c r="AF17">
        <v>0</v>
      </c>
      <c r="AG17">
        <v>0</v>
      </c>
      <c r="AH17">
        <v>7</v>
      </c>
      <c r="AI17">
        <v>1.85</v>
      </c>
      <c r="AJ17">
        <v>1</v>
      </c>
    </row>
    <row r="18" spans="1:36" x14ac:dyDescent="0.2">
      <c r="A18" t="str">
        <f>+VLOOKUP(B18,studies!$A$2:$C$102,3)</f>
        <v>Haraden (1993)</v>
      </c>
      <c r="B18">
        <v>8</v>
      </c>
      <c r="C18">
        <v>1993</v>
      </c>
      <c r="D18">
        <v>1</v>
      </c>
      <c r="E18">
        <v>1989</v>
      </c>
      <c r="F18">
        <v>1989</v>
      </c>
      <c r="G18">
        <v>0.25</v>
      </c>
      <c r="H18">
        <v>7.2161199451306608</v>
      </c>
      <c r="I18">
        <v>0</v>
      </c>
      <c r="J18">
        <v>1</v>
      </c>
      <c r="K18">
        <v>0</v>
      </c>
      <c r="L18" t="s">
        <v>238</v>
      </c>
      <c r="M18" t="s">
        <v>238</v>
      </c>
      <c r="N18" t="s">
        <v>238</v>
      </c>
      <c r="O18">
        <v>0</v>
      </c>
      <c r="P18">
        <v>0</v>
      </c>
      <c r="Q18">
        <v>0</v>
      </c>
      <c r="R18">
        <v>0</v>
      </c>
      <c r="S18">
        <v>0</v>
      </c>
      <c r="T18">
        <v>0</v>
      </c>
      <c r="U18">
        <v>0</v>
      </c>
      <c r="V18">
        <v>4</v>
      </c>
      <c r="W18">
        <v>2</v>
      </c>
      <c r="X18">
        <v>1.25</v>
      </c>
      <c r="Y18">
        <v>1.6</v>
      </c>
      <c r="AA18">
        <v>0</v>
      </c>
      <c r="AC18">
        <v>0</v>
      </c>
      <c r="AD18">
        <v>0</v>
      </c>
      <c r="AE18">
        <v>0</v>
      </c>
      <c r="AF18">
        <v>0</v>
      </c>
      <c r="AG18">
        <v>0</v>
      </c>
      <c r="AH18">
        <v>9</v>
      </c>
      <c r="AI18">
        <v>1.85</v>
      </c>
      <c r="AJ18">
        <v>3</v>
      </c>
    </row>
    <row r="19" spans="1:36" x14ac:dyDescent="0.2">
      <c r="A19" t="str">
        <f>+VLOOKUP(B19,studies!$A$2:$C$102,3)</f>
        <v>Haraden (1993)</v>
      </c>
      <c r="B19">
        <v>8</v>
      </c>
      <c r="C19">
        <v>1993</v>
      </c>
      <c r="D19">
        <v>1</v>
      </c>
      <c r="E19">
        <v>1989</v>
      </c>
      <c r="F19">
        <v>1989</v>
      </c>
      <c r="G19">
        <v>0.5</v>
      </c>
      <c r="H19">
        <v>11.623804019723982</v>
      </c>
      <c r="I19">
        <v>0</v>
      </c>
      <c r="J19">
        <v>1</v>
      </c>
      <c r="K19">
        <v>0</v>
      </c>
      <c r="L19" t="s">
        <v>238</v>
      </c>
      <c r="M19" t="s">
        <v>238</v>
      </c>
      <c r="N19" t="s">
        <v>238</v>
      </c>
      <c r="O19">
        <v>0</v>
      </c>
      <c r="P19">
        <v>0</v>
      </c>
      <c r="Q19">
        <v>0</v>
      </c>
      <c r="R19">
        <v>0</v>
      </c>
      <c r="S19">
        <v>0</v>
      </c>
      <c r="T19">
        <v>0</v>
      </c>
      <c r="U19">
        <v>0</v>
      </c>
      <c r="V19">
        <v>4</v>
      </c>
      <c r="W19">
        <v>2</v>
      </c>
      <c r="X19">
        <v>0.86956521739130443</v>
      </c>
      <c r="Y19">
        <v>2.2999999999999998</v>
      </c>
      <c r="AA19">
        <v>0</v>
      </c>
      <c r="AC19">
        <v>0</v>
      </c>
      <c r="AD19">
        <v>0</v>
      </c>
      <c r="AE19">
        <v>0</v>
      </c>
      <c r="AF19">
        <v>0</v>
      </c>
      <c r="AG19">
        <v>0</v>
      </c>
      <c r="AH19">
        <v>9</v>
      </c>
      <c r="AI19">
        <v>1.85</v>
      </c>
      <c r="AJ19">
        <v>3</v>
      </c>
    </row>
    <row r="20" spans="1:36" x14ac:dyDescent="0.2">
      <c r="A20" t="str">
        <f>+VLOOKUP(B20,studies!$A$2:$C$102,3)</f>
        <v>Haraden (1993)</v>
      </c>
      <c r="B20">
        <v>8</v>
      </c>
      <c r="C20">
        <v>1993</v>
      </c>
      <c r="D20">
        <v>1</v>
      </c>
      <c r="E20">
        <v>1989</v>
      </c>
      <c r="F20">
        <v>1989</v>
      </c>
      <c r="G20">
        <v>0.25</v>
      </c>
      <c r="H20">
        <v>34.247315199052537</v>
      </c>
      <c r="I20">
        <v>0</v>
      </c>
      <c r="J20">
        <v>1</v>
      </c>
      <c r="K20">
        <v>0</v>
      </c>
      <c r="L20" t="s">
        <v>238</v>
      </c>
      <c r="M20" t="s">
        <v>238</v>
      </c>
      <c r="N20" t="s">
        <v>238</v>
      </c>
      <c r="O20">
        <v>0</v>
      </c>
      <c r="P20">
        <v>0</v>
      </c>
      <c r="Q20">
        <v>0</v>
      </c>
      <c r="R20">
        <v>0</v>
      </c>
      <c r="S20">
        <v>0</v>
      </c>
      <c r="T20">
        <v>0</v>
      </c>
      <c r="U20">
        <v>0</v>
      </c>
      <c r="V20">
        <v>4</v>
      </c>
      <c r="W20">
        <v>2</v>
      </c>
      <c r="X20">
        <v>0.5</v>
      </c>
      <c r="Y20">
        <v>4</v>
      </c>
      <c r="AA20">
        <v>0</v>
      </c>
      <c r="AC20">
        <v>0</v>
      </c>
      <c r="AD20">
        <v>0</v>
      </c>
      <c r="AE20">
        <v>0</v>
      </c>
      <c r="AF20">
        <v>0</v>
      </c>
      <c r="AG20">
        <v>0</v>
      </c>
      <c r="AH20">
        <v>9</v>
      </c>
      <c r="AI20">
        <v>1.85</v>
      </c>
      <c r="AJ20">
        <v>3</v>
      </c>
    </row>
    <row r="21" spans="1:36" x14ac:dyDescent="0.2">
      <c r="A21" t="str">
        <f>+VLOOKUP(B21,studies!$A$2:$C$102,3)</f>
        <v>Nordhaus (1993)</v>
      </c>
      <c r="B21">
        <v>9</v>
      </c>
      <c r="C21">
        <v>1993</v>
      </c>
      <c r="D21">
        <v>1</v>
      </c>
      <c r="E21">
        <v>1989</v>
      </c>
      <c r="F21">
        <v>1990</v>
      </c>
      <c r="G21">
        <v>1</v>
      </c>
      <c r="H21">
        <v>18.914500577117963</v>
      </c>
      <c r="I21">
        <v>0</v>
      </c>
      <c r="J21">
        <v>1</v>
      </c>
      <c r="K21">
        <v>0</v>
      </c>
      <c r="L21" t="s">
        <v>238</v>
      </c>
      <c r="M21" t="s">
        <v>238</v>
      </c>
      <c r="N21" t="s">
        <v>238</v>
      </c>
      <c r="O21">
        <v>0</v>
      </c>
      <c r="P21">
        <v>1</v>
      </c>
      <c r="Q21">
        <v>0</v>
      </c>
      <c r="R21">
        <v>1</v>
      </c>
      <c r="S21">
        <v>0</v>
      </c>
      <c r="T21">
        <v>1</v>
      </c>
      <c r="U21">
        <v>0</v>
      </c>
      <c r="V21">
        <v>5</v>
      </c>
      <c r="W21">
        <v>3</v>
      </c>
      <c r="AA21">
        <v>0</v>
      </c>
      <c r="AC21">
        <v>0</v>
      </c>
      <c r="AD21">
        <v>1</v>
      </c>
      <c r="AE21">
        <v>0</v>
      </c>
      <c r="AF21">
        <v>1</v>
      </c>
      <c r="AG21">
        <v>0</v>
      </c>
      <c r="AH21">
        <v>386</v>
      </c>
      <c r="AI21">
        <v>1.1299999999999999</v>
      </c>
      <c r="AJ21">
        <v>1</v>
      </c>
    </row>
    <row r="22" spans="1:36" x14ac:dyDescent="0.2">
      <c r="A22" t="str">
        <f>+VLOOKUP(B22,studies!$A$2:$C$102,3)</f>
        <v>Parry (1993)</v>
      </c>
      <c r="B22">
        <v>10</v>
      </c>
      <c r="C22">
        <v>1993</v>
      </c>
      <c r="D22">
        <v>1</v>
      </c>
      <c r="E22">
        <v>1991</v>
      </c>
      <c r="F22">
        <v>1990</v>
      </c>
      <c r="G22">
        <v>8.9285714285714281E-3</v>
      </c>
      <c r="H22">
        <v>2.525636689886334E-2</v>
      </c>
      <c r="I22">
        <v>0</v>
      </c>
      <c r="J22">
        <v>1</v>
      </c>
      <c r="K22">
        <v>0</v>
      </c>
      <c r="L22" t="s">
        <v>238</v>
      </c>
      <c r="M22" t="s">
        <v>238</v>
      </c>
      <c r="N22" t="s">
        <v>238</v>
      </c>
      <c r="O22">
        <v>0</v>
      </c>
      <c r="P22">
        <v>1</v>
      </c>
      <c r="Q22">
        <v>0</v>
      </c>
      <c r="R22">
        <v>0</v>
      </c>
      <c r="S22">
        <v>0</v>
      </c>
      <c r="T22">
        <v>1</v>
      </c>
      <c r="U22">
        <v>0</v>
      </c>
      <c r="W22">
        <v>0</v>
      </c>
      <c r="AA22">
        <v>0</v>
      </c>
      <c r="AC22">
        <v>0</v>
      </c>
      <c r="AD22">
        <v>0</v>
      </c>
      <c r="AE22">
        <v>0</v>
      </c>
      <c r="AF22">
        <v>0</v>
      </c>
      <c r="AG22">
        <v>0</v>
      </c>
      <c r="AH22">
        <v>23</v>
      </c>
      <c r="AI22">
        <v>1.1299999999999999</v>
      </c>
      <c r="AJ22">
        <v>60</v>
      </c>
    </row>
    <row r="23" spans="1:36" x14ac:dyDescent="0.2">
      <c r="A23" t="str">
        <f>+VLOOKUP(B23,studies!$A$2:$C$102,3)</f>
        <v>Parry (1993)</v>
      </c>
      <c r="B23">
        <v>10</v>
      </c>
      <c r="C23">
        <v>1993</v>
      </c>
      <c r="D23">
        <v>1</v>
      </c>
      <c r="E23">
        <v>1991</v>
      </c>
      <c r="F23">
        <v>1990</v>
      </c>
      <c r="G23">
        <v>8.9285714285714281E-3</v>
      </c>
      <c r="H23">
        <v>0.15153820139318003</v>
      </c>
      <c r="I23">
        <v>0</v>
      </c>
      <c r="J23">
        <v>1</v>
      </c>
      <c r="K23">
        <v>0</v>
      </c>
      <c r="L23" t="s">
        <v>238</v>
      </c>
      <c r="M23" t="s">
        <v>238</v>
      </c>
      <c r="N23" t="s">
        <v>238</v>
      </c>
      <c r="O23">
        <v>0</v>
      </c>
      <c r="P23">
        <v>1</v>
      </c>
      <c r="Q23">
        <v>0</v>
      </c>
      <c r="R23">
        <v>0</v>
      </c>
      <c r="S23">
        <v>0</v>
      </c>
      <c r="T23">
        <v>1</v>
      </c>
      <c r="U23">
        <v>0</v>
      </c>
      <c r="W23">
        <v>0</v>
      </c>
      <c r="AA23">
        <v>0</v>
      </c>
      <c r="AC23">
        <v>0</v>
      </c>
      <c r="AD23">
        <v>0</v>
      </c>
      <c r="AE23">
        <v>0</v>
      </c>
      <c r="AF23">
        <v>0</v>
      </c>
      <c r="AG23">
        <v>0</v>
      </c>
      <c r="AH23">
        <v>23</v>
      </c>
      <c r="AI23">
        <v>1.1299999999999999</v>
      </c>
      <c r="AJ23">
        <v>60</v>
      </c>
    </row>
    <row r="24" spans="1:36" x14ac:dyDescent="0.2">
      <c r="A24" t="str">
        <f>+VLOOKUP(B24,studies!$A$2:$C$102,3)</f>
        <v>Parry (1993)</v>
      </c>
      <c r="B24">
        <v>10</v>
      </c>
      <c r="C24">
        <v>1993</v>
      </c>
      <c r="D24">
        <v>1</v>
      </c>
      <c r="E24">
        <v>1991</v>
      </c>
      <c r="F24">
        <v>1990</v>
      </c>
      <c r="G24">
        <v>1.7857142857142856E-2</v>
      </c>
      <c r="H24">
        <v>3.7884550348295007E-2</v>
      </c>
      <c r="I24">
        <v>0</v>
      </c>
      <c r="J24">
        <v>1</v>
      </c>
      <c r="K24">
        <v>0</v>
      </c>
      <c r="L24" t="s">
        <v>238</v>
      </c>
      <c r="M24" t="s">
        <v>238</v>
      </c>
      <c r="N24" t="s">
        <v>238</v>
      </c>
      <c r="O24">
        <v>0</v>
      </c>
      <c r="P24">
        <v>1</v>
      </c>
      <c r="Q24">
        <v>0</v>
      </c>
      <c r="R24">
        <v>0</v>
      </c>
      <c r="S24">
        <v>0</v>
      </c>
      <c r="T24">
        <v>1</v>
      </c>
      <c r="U24">
        <v>0</v>
      </c>
      <c r="W24">
        <v>0</v>
      </c>
      <c r="AA24">
        <v>0</v>
      </c>
      <c r="AC24">
        <v>0</v>
      </c>
      <c r="AD24">
        <v>0</v>
      </c>
      <c r="AE24">
        <v>0</v>
      </c>
      <c r="AF24">
        <v>0</v>
      </c>
      <c r="AG24">
        <v>0</v>
      </c>
      <c r="AH24">
        <v>23</v>
      </c>
      <c r="AI24">
        <v>1.1299999999999999</v>
      </c>
      <c r="AJ24">
        <v>60</v>
      </c>
    </row>
    <row r="25" spans="1:36" x14ac:dyDescent="0.2">
      <c r="A25" t="str">
        <f>+VLOOKUP(B25,studies!$A$2:$C$102,3)</f>
        <v>Parry (1993)</v>
      </c>
      <c r="B25">
        <v>10</v>
      </c>
      <c r="C25">
        <v>1993</v>
      </c>
      <c r="D25">
        <v>1</v>
      </c>
      <c r="E25">
        <v>1991</v>
      </c>
      <c r="F25">
        <v>1990</v>
      </c>
      <c r="G25">
        <v>1.7857142857142856E-2</v>
      </c>
      <c r="H25">
        <v>0.22730730208977004</v>
      </c>
      <c r="I25">
        <v>0</v>
      </c>
      <c r="J25">
        <v>1</v>
      </c>
      <c r="K25">
        <v>0</v>
      </c>
      <c r="L25" t="s">
        <v>238</v>
      </c>
      <c r="M25" t="s">
        <v>238</v>
      </c>
      <c r="N25" t="s">
        <v>238</v>
      </c>
      <c r="O25">
        <v>0</v>
      </c>
      <c r="P25">
        <v>1</v>
      </c>
      <c r="Q25">
        <v>0</v>
      </c>
      <c r="R25">
        <v>0</v>
      </c>
      <c r="S25">
        <v>0</v>
      </c>
      <c r="T25">
        <v>1</v>
      </c>
      <c r="U25">
        <v>0</v>
      </c>
      <c r="W25">
        <v>0</v>
      </c>
      <c r="AA25">
        <v>0</v>
      </c>
      <c r="AC25">
        <v>0</v>
      </c>
      <c r="AD25">
        <v>0</v>
      </c>
      <c r="AE25">
        <v>0</v>
      </c>
      <c r="AF25">
        <v>0</v>
      </c>
      <c r="AG25">
        <v>0</v>
      </c>
      <c r="AH25">
        <v>23</v>
      </c>
      <c r="AI25">
        <v>1.1299999999999999</v>
      </c>
      <c r="AJ25">
        <v>60</v>
      </c>
    </row>
    <row r="26" spans="1:36" x14ac:dyDescent="0.2">
      <c r="A26" t="str">
        <f>+VLOOKUP(B26,studies!$A$2:$C$102,3)</f>
        <v>Parry (1993)</v>
      </c>
      <c r="B26">
        <v>10</v>
      </c>
      <c r="C26">
        <v>1993</v>
      </c>
      <c r="D26">
        <v>1</v>
      </c>
      <c r="E26">
        <v>1991</v>
      </c>
      <c r="F26">
        <v>1990</v>
      </c>
      <c r="G26">
        <v>1.7857142857142856E-2</v>
      </c>
      <c r="H26">
        <v>7.5769100696590014E-2</v>
      </c>
      <c r="I26">
        <v>0</v>
      </c>
      <c r="J26">
        <v>1</v>
      </c>
      <c r="K26">
        <v>0</v>
      </c>
      <c r="L26" t="s">
        <v>238</v>
      </c>
      <c r="M26" t="s">
        <v>238</v>
      </c>
      <c r="N26" t="s">
        <v>238</v>
      </c>
      <c r="O26">
        <v>0</v>
      </c>
      <c r="P26">
        <v>1</v>
      </c>
      <c r="Q26">
        <v>0</v>
      </c>
      <c r="R26">
        <v>0</v>
      </c>
      <c r="S26">
        <v>0</v>
      </c>
      <c r="T26">
        <v>1</v>
      </c>
      <c r="U26">
        <v>0</v>
      </c>
      <c r="W26">
        <v>0</v>
      </c>
      <c r="AA26">
        <v>0</v>
      </c>
      <c r="AC26">
        <v>0</v>
      </c>
      <c r="AD26">
        <v>0</v>
      </c>
      <c r="AE26">
        <v>0</v>
      </c>
      <c r="AF26">
        <v>0</v>
      </c>
      <c r="AG26">
        <v>0</v>
      </c>
      <c r="AH26">
        <v>23</v>
      </c>
      <c r="AI26">
        <v>1.1299999999999999</v>
      </c>
      <c r="AJ26">
        <v>60</v>
      </c>
    </row>
    <row r="27" spans="1:36" x14ac:dyDescent="0.2">
      <c r="A27" t="str">
        <f>+VLOOKUP(B27,studies!$A$2:$C$102,3)</f>
        <v>Parry (1993)</v>
      </c>
      <c r="B27">
        <v>10</v>
      </c>
      <c r="C27">
        <v>1993</v>
      </c>
      <c r="D27">
        <v>1</v>
      </c>
      <c r="E27">
        <v>1991</v>
      </c>
      <c r="F27">
        <v>1990</v>
      </c>
      <c r="G27">
        <v>1.7857142857142856E-2</v>
      </c>
      <c r="H27">
        <v>0.45461460417954008</v>
      </c>
      <c r="I27">
        <v>0</v>
      </c>
      <c r="J27">
        <v>1</v>
      </c>
      <c r="K27">
        <v>0</v>
      </c>
      <c r="L27" t="s">
        <v>238</v>
      </c>
      <c r="M27" t="s">
        <v>238</v>
      </c>
      <c r="N27" t="s">
        <v>238</v>
      </c>
      <c r="O27">
        <v>0</v>
      </c>
      <c r="P27">
        <v>1</v>
      </c>
      <c r="Q27">
        <v>0</v>
      </c>
      <c r="R27">
        <v>0</v>
      </c>
      <c r="S27">
        <v>0</v>
      </c>
      <c r="T27">
        <v>1</v>
      </c>
      <c r="U27">
        <v>0</v>
      </c>
      <c r="W27">
        <v>0</v>
      </c>
      <c r="AA27">
        <v>0</v>
      </c>
      <c r="AC27">
        <v>0</v>
      </c>
      <c r="AD27">
        <v>0</v>
      </c>
      <c r="AE27">
        <v>0</v>
      </c>
      <c r="AF27">
        <v>0</v>
      </c>
      <c r="AG27">
        <v>0</v>
      </c>
      <c r="AH27">
        <v>23</v>
      </c>
      <c r="AI27">
        <v>1.1299999999999999</v>
      </c>
      <c r="AJ27">
        <v>60</v>
      </c>
    </row>
    <row r="28" spans="1:36" x14ac:dyDescent="0.2">
      <c r="A28" t="str">
        <f>+VLOOKUP(B28,studies!$A$2:$C$102,3)</f>
        <v>Parry (1993)</v>
      </c>
      <c r="B28">
        <v>10</v>
      </c>
      <c r="C28">
        <v>1993</v>
      </c>
      <c r="D28">
        <v>1</v>
      </c>
      <c r="E28">
        <v>1991</v>
      </c>
      <c r="F28">
        <v>1990</v>
      </c>
      <c r="G28">
        <v>8.9285714285714281E-3</v>
      </c>
      <c r="H28">
        <v>0.13891001794374835</v>
      </c>
      <c r="I28">
        <v>0</v>
      </c>
      <c r="J28">
        <v>1</v>
      </c>
      <c r="K28">
        <v>0</v>
      </c>
      <c r="L28" t="s">
        <v>238</v>
      </c>
      <c r="M28" t="s">
        <v>238</v>
      </c>
      <c r="N28" t="s">
        <v>238</v>
      </c>
      <c r="O28">
        <v>0</v>
      </c>
      <c r="P28">
        <v>1</v>
      </c>
      <c r="Q28">
        <v>0</v>
      </c>
      <c r="R28">
        <v>0</v>
      </c>
      <c r="S28">
        <v>0</v>
      </c>
      <c r="T28">
        <v>1</v>
      </c>
      <c r="U28">
        <v>0</v>
      </c>
      <c r="W28">
        <v>0</v>
      </c>
      <c r="AA28">
        <v>0</v>
      </c>
      <c r="AC28">
        <v>0</v>
      </c>
      <c r="AD28">
        <v>0</v>
      </c>
      <c r="AE28">
        <v>0</v>
      </c>
      <c r="AF28">
        <v>0</v>
      </c>
      <c r="AG28">
        <v>0</v>
      </c>
      <c r="AH28">
        <v>23</v>
      </c>
      <c r="AI28">
        <v>1.1299999999999999</v>
      </c>
      <c r="AJ28">
        <v>60</v>
      </c>
    </row>
    <row r="29" spans="1:36" x14ac:dyDescent="0.2">
      <c r="A29" t="str">
        <f>+VLOOKUP(B29,studies!$A$2:$C$102,3)</f>
        <v>Parry (1993)</v>
      </c>
      <c r="B29">
        <v>10</v>
      </c>
      <c r="C29">
        <v>1993</v>
      </c>
      <c r="D29">
        <v>1</v>
      </c>
      <c r="E29">
        <v>1991</v>
      </c>
      <c r="F29">
        <v>1990</v>
      </c>
      <c r="G29">
        <v>8.9285714285714281E-3</v>
      </c>
      <c r="H29">
        <v>0.83346010766249012</v>
      </c>
      <c r="I29">
        <v>0</v>
      </c>
      <c r="J29">
        <v>1</v>
      </c>
      <c r="K29">
        <v>0</v>
      </c>
      <c r="L29" t="s">
        <v>238</v>
      </c>
      <c r="M29" t="s">
        <v>238</v>
      </c>
      <c r="N29" t="s">
        <v>238</v>
      </c>
      <c r="O29">
        <v>0</v>
      </c>
      <c r="P29">
        <v>1</v>
      </c>
      <c r="Q29">
        <v>0</v>
      </c>
      <c r="R29">
        <v>0</v>
      </c>
      <c r="S29">
        <v>0</v>
      </c>
      <c r="T29">
        <v>1</v>
      </c>
      <c r="U29">
        <v>0</v>
      </c>
      <c r="W29">
        <v>0</v>
      </c>
      <c r="AA29">
        <v>0</v>
      </c>
      <c r="AC29">
        <v>0</v>
      </c>
      <c r="AD29">
        <v>0</v>
      </c>
      <c r="AE29">
        <v>0</v>
      </c>
      <c r="AF29">
        <v>0</v>
      </c>
      <c r="AG29">
        <v>0</v>
      </c>
      <c r="AH29">
        <v>23</v>
      </c>
      <c r="AI29">
        <v>1.1299999999999999</v>
      </c>
      <c r="AJ29">
        <v>60</v>
      </c>
    </row>
    <row r="30" spans="1:36" x14ac:dyDescent="0.2">
      <c r="A30" t="str">
        <f>+VLOOKUP(B30,studies!$A$2:$C$102,3)</f>
        <v>Parry (1993)</v>
      </c>
      <c r="B30">
        <v>10</v>
      </c>
      <c r="C30">
        <v>1993</v>
      </c>
      <c r="D30">
        <v>1</v>
      </c>
      <c r="E30">
        <v>1991</v>
      </c>
      <c r="F30">
        <v>1990</v>
      </c>
      <c r="G30">
        <v>8.9285714285714281E-3</v>
      </c>
      <c r="H30">
        <v>0.34096095313465508</v>
      </c>
      <c r="I30">
        <v>0</v>
      </c>
      <c r="J30">
        <v>1</v>
      </c>
      <c r="K30">
        <v>0</v>
      </c>
      <c r="L30" t="s">
        <v>238</v>
      </c>
      <c r="M30" t="s">
        <v>238</v>
      </c>
      <c r="N30" t="s">
        <v>238</v>
      </c>
      <c r="O30">
        <v>0</v>
      </c>
      <c r="P30">
        <v>1</v>
      </c>
      <c r="Q30">
        <v>0</v>
      </c>
      <c r="R30">
        <v>0</v>
      </c>
      <c r="S30">
        <v>0</v>
      </c>
      <c r="T30">
        <v>1</v>
      </c>
      <c r="U30">
        <v>0</v>
      </c>
      <c r="W30">
        <v>0</v>
      </c>
      <c r="AA30">
        <v>0</v>
      </c>
      <c r="AC30">
        <v>0</v>
      </c>
      <c r="AD30">
        <v>0</v>
      </c>
      <c r="AE30">
        <v>0</v>
      </c>
      <c r="AF30">
        <v>0</v>
      </c>
      <c r="AG30">
        <v>0</v>
      </c>
      <c r="AH30">
        <v>23</v>
      </c>
      <c r="AI30">
        <v>1.1299999999999999</v>
      </c>
      <c r="AJ30">
        <v>60</v>
      </c>
    </row>
    <row r="31" spans="1:36" x14ac:dyDescent="0.2">
      <c r="A31" t="str">
        <f>+VLOOKUP(B31,studies!$A$2:$C$102,3)</f>
        <v>Parry (1993)</v>
      </c>
      <c r="B31">
        <v>10</v>
      </c>
      <c r="C31">
        <v>1993</v>
      </c>
      <c r="D31">
        <v>1</v>
      </c>
      <c r="E31">
        <v>1991</v>
      </c>
      <c r="F31">
        <v>1990</v>
      </c>
      <c r="G31">
        <v>8.9285714285714281E-3</v>
      </c>
      <c r="H31">
        <v>2.0457657188079303</v>
      </c>
      <c r="I31">
        <v>0</v>
      </c>
      <c r="J31">
        <v>1</v>
      </c>
      <c r="K31">
        <v>0</v>
      </c>
      <c r="L31" t="s">
        <v>238</v>
      </c>
      <c r="M31" t="s">
        <v>238</v>
      </c>
      <c r="N31" t="s">
        <v>238</v>
      </c>
      <c r="O31">
        <v>0</v>
      </c>
      <c r="P31">
        <v>1</v>
      </c>
      <c r="Q31">
        <v>0</v>
      </c>
      <c r="R31">
        <v>0</v>
      </c>
      <c r="S31">
        <v>0</v>
      </c>
      <c r="T31">
        <v>1</v>
      </c>
      <c r="U31">
        <v>0</v>
      </c>
      <c r="W31">
        <v>0</v>
      </c>
      <c r="AA31">
        <v>0</v>
      </c>
      <c r="AC31">
        <v>0</v>
      </c>
      <c r="AD31">
        <v>0</v>
      </c>
      <c r="AE31">
        <v>0</v>
      </c>
      <c r="AF31">
        <v>0</v>
      </c>
      <c r="AG31">
        <v>0</v>
      </c>
      <c r="AH31">
        <v>23</v>
      </c>
      <c r="AI31">
        <v>1.1299999999999999</v>
      </c>
      <c r="AJ31">
        <v>60</v>
      </c>
    </row>
    <row r="32" spans="1:36" x14ac:dyDescent="0.2">
      <c r="A32" t="str">
        <f>+VLOOKUP(B32,studies!$A$2:$C$102,3)</f>
        <v>Parry (1993)</v>
      </c>
      <c r="B32">
        <v>10</v>
      </c>
      <c r="C32">
        <v>1993</v>
      </c>
      <c r="D32">
        <v>1</v>
      </c>
      <c r="E32">
        <v>1991</v>
      </c>
      <c r="F32">
        <v>1990</v>
      </c>
      <c r="G32">
        <v>8.9285714285714281E-3</v>
      </c>
      <c r="H32">
        <v>5.051273379772668E-2</v>
      </c>
      <c r="I32">
        <v>0</v>
      </c>
      <c r="J32">
        <v>1</v>
      </c>
      <c r="K32">
        <v>0</v>
      </c>
      <c r="L32" t="s">
        <v>238</v>
      </c>
      <c r="M32" t="s">
        <v>238</v>
      </c>
      <c r="N32" t="s">
        <v>238</v>
      </c>
      <c r="O32">
        <v>0</v>
      </c>
      <c r="P32">
        <v>1</v>
      </c>
      <c r="Q32">
        <v>0</v>
      </c>
      <c r="R32">
        <v>0</v>
      </c>
      <c r="S32">
        <v>0</v>
      </c>
      <c r="T32">
        <v>1</v>
      </c>
      <c r="U32">
        <v>0</v>
      </c>
      <c r="W32">
        <v>0</v>
      </c>
      <c r="AA32">
        <v>0</v>
      </c>
      <c r="AC32">
        <v>0</v>
      </c>
      <c r="AD32">
        <v>0</v>
      </c>
      <c r="AE32">
        <v>0</v>
      </c>
      <c r="AF32">
        <v>0</v>
      </c>
      <c r="AG32">
        <v>0</v>
      </c>
      <c r="AH32">
        <v>23</v>
      </c>
      <c r="AI32">
        <v>1.1299999999999999</v>
      </c>
      <c r="AJ32">
        <v>60</v>
      </c>
    </row>
    <row r="33" spans="1:36" x14ac:dyDescent="0.2">
      <c r="A33" t="str">
        <f>+VLOOKUP(B33,studies!$A$2:$C$102,3)</f>
        <v>Parry (1993)</v>
      </c>
      <c r="B33">
        <v>10</v>
      </c>
      <c r="C33">
        <v>1993</v>
      </c>
      <c r="D33">
        <v>1</v>
      </c>
      <c r="E33">
        <v>1991</v>
      </c>
      <c r="F33">
        <v>1990</v>
      </c>
      <c r="G33">
        <v>8.9285714285714281E-3</v>
      </c>
      <c r="H33">
        <v>0.30307640278636006</v>
      </c>
      <c r="I33">
        <v>0</v>
      </c>
      <c r="J33">
        <v>1</v>
      </c>
      <c r="K33">
        <v>0</v>
      </c>
      <c r="L33" t="s">
        <v>238</v>
      </c>
      <c r="M33" t="s">
        <v>238</v>
      </c>
      <c r="N33" t="s">
        <v>238</v>
      </c>
      <c r="O33">
        <v>0</v>
      </c>
      <c r="P33">
        <v>1</v>
      </c>
      <c r="Q33">
        <v>0</v>
      </c>
      <c r="R33">
        <v>0</v>
      </c>
      <c r="S33">
        <v>0</v>
      </c>
      <c r="T33">
        <v>1</v>
      </c>
      <c r="U33">
        <v>0</v>
      </c>
      <c r="W33">
        <v>0</v>
      </c>
      <c r="AA33">
        <v>0</v>
      </c>
      <c r="AC33">
        <v>0</v>
      </c>
      <c r="AD33">
        <v>0</v>
      </c>
      <c r="AE33">
        <v>0</v>
      </c>
      <c r="AF33">
        <v>0</v>
      </c>
      <c r="AG33">
        <v>0</v>
      </c>
      <c r="AH33">
        <v>23</v>
      </c>
      <c r="AI33">
        <v>1.1299999999999999</v>
      </c>
      <c r="AJ33">
        <v>60</v>
      </c>
    </row>
    <row r="34" spans="1:36" x14ac:dyDescent="0.2">
      <c r="A34" t="str">
        <f>+VLOOKUP(B34,studies!$A$2:$C$102,3)</f>
        <v>Parry (1993)</v>
      </c>
      <c r="B34">
        <v>10</v>
      </c>
      <c r="C34">
        <v>1993</v>
      </c>
      <c r="D34">
        <v>1</v>
      </c>
      <c r="E34">
        <v>1991</v>
      </c>
      <c r="F34">
        <v>1990</v>
      </c>
      <c r="G34">
        <v>1.7857142857142856E-2</v>
      </c>
      <c r="H34">
        <v>7.5769100696590014E-2</v>
      </c>
      <c r="I34">
        <v>0</v>
      </c>
      <c r="J34">
        <v>1</v>
      </c>
      <c r="K34">
        <v>0</v>
      </c>
      <c r="L34" t="s">
        <v>238</v>
      </c>
      <c r="M34" t="s">
        <v>238</v>
      </c>
      <c r="N34" t="s">
        <v>238</v>
      </c>
      <c r="O34">
        <v>0</v>
      </c>
      <c r="P34">
        <v>1</v>
      </c>
      <c r="Q34">
        <v>0</v>
      </c>
      <c r="R34">
        <v>0</v>
      </c>
      <c r="S34">
        <v>0</v>
      </c>
      <c r="T34">
        <v>1</v>
      </c>
      <c r="U34">
        <v>0</v>
      </c>
      <c r="W34">
        <v>0</v>
      </c>
      <c r="AA34">
        <v>0</v>
      </c>
      <c r="AC34">
        <v>0</v>
      </c>
      <c r="AD34">
        <v>0</v>
      </c>
      <c r="AE34">
        <v>0</v>
      </c>
      <c r="AF34">
        <v>0</v>
      </c>
      <c r="AG34">
        <v>0</v>
      </c>
      <c r="AH34">
        <v>23</v>
      </c>
      <c r="AI34">
        <v>1.1299999999999999</v>
      </c>
      <c r="AJ34">
        <v>60</v>
      </c>
    </row>
    <row r="35" spans="1:36" x14ac:dyDescent="0.2">
      <c r="A35" t="str">
        <f>+VLOOKUP(B35,studies!$A$2:$C$102,3)</f>
        <v>Parry (1993)</v>
      </c>
      <c r="B35">
        <v>10</v>
      </c>
      <c r="C35">
        <v>1993</v>
      </c>
      <c r="D35">
        <v>1</v>
      </c>
      <c r="E35">
        <v>1991</v>
      </c>
      <c r="F35">
        <v>1990</v>
      </c>
      <c r="G35">
        <v>1.7857142857142856E-2</v>
      </c>
      <c r="H35">
        <v>0.45461460417954008</v>
      </c>
      <c r="I35">
        <v>0</v>
      </c>
      <c r="J35">
        <v>1</v>
      </c>
      <c r="K35">
        <v>0</v>
      </c>
      <c r="L35" t="s">
        <v>238</v>
      </c>
      <c r="M35" t="s">
        <v>238</v>
      </c>
      <c r="N35" t="s">
        <v>238</v>
      </c>
      <c r="O35">
        <v>0</v>
      </c>
      <c r="P35">
        <v>1</v>
      </c>
      <c r="Q35">
        <v>0</v>
      </c>
      <c r="R35">
        <v>0</v>
      </c>
      <c r="S35">
        <v>0</v>
      </c>
      <c r="T35">
        <v>1</v>
      </c>
      <c r="U35">
        <v>0</v>
      </c>
      <c r="W35">
        <v>0</v>
      </c>
      <c r="AA35">
        <v>0</v>
      </c>
      <c r="AC35">
        <v>0</v>
      </c>
      <c r="AD35">
        <v>0</v>
      </c>
      <c r="AE35">
        <v>0</v>
      </c>
      <c r="AF35">
        <v>0</v>
      </c>
      <c r="AG35">
        <v>0</v>
      </c>
      <c r="AH35">
        <v>23</v>
      </c>
      <c r="AI35">
        <v>1.1299999999999999</v>
      </c>
      <c r="AJ35">
        <v>60</v>
      </c>
    </row>
    <row r="36" spans="1:36" x14ac:dyDescent="0.2">
      <c r="A36" t="str">
        <f>+VLOOKUP(B36,studies!$A$2:$C$102,3)</f>
        <v>Parry (1993)</v>
      </c>
      <c r="B36">
        <v>10</v>
      </c>
      <c r="C36">
        <v>1993</v>
      </c>
      <c r="D36">
        <v>1</v>
      </c>
      <c r="E36">
        <v>1991</v>
      </c>
      <c r="F36">
        <v>1990</v>
      </c>
      <c r="G36">
        <v>1.7857142857142856E-2</v>
      </c>
      <c r="H36">
        <v>0.13891001794374835</v>
      </c>
      <c r="I36">
        <v>0</v>
      </c>
      <c r="J36">
        <v>1</v>
      </c>
      <c r="K36">
        <v>0</v>
      </c>
      <c r="L36" t="s">
        <v>238</v>
      </c>
      <c r="M36" t="s">
        <v>238</v>
      </c>
      <c r="N36" t="s">
        <v>238</v>
      </c>
      <c r="O36">
        <v>0</v>
      </c>
      <c r="P36">
        <v>1</v>
      </c>
      <c r="Q36">
        <v>0</v>
      </c>
      <c r="R36">
        <v>0</v>
      </c>
      <c r="S36">
        <v>0</v>
      </c>
      <c r="T36">
        <v>1</v>
      </c>
      <c r="U36">
        <v>0</v>
      </c>
      <c r="W36">
        <v>0</v>
      </c>
      <c r="AA36">
        <v>0</v>
      </c>
      <c r="AC36">
        <v>0</v>
      </c>
      <c r="AD36">
        <v>0</v>
      </c>
      <c r="AE36">
        <v>0</v>
      </c>
      <c r="AF36">
        <v>0</v>
      </c>
      <c r="AG36">
        <v>0</v>
      </c>
      <c r="AH36">
        <v>23</v>
      </c>
      <c r="AI36">
        <v>1.1299999999999999</v>
      </c>
      <c r="AJ36">
        <v>60</v>
      </c>
    </row>
    <row r="37" spans="1:36" x14ac:dyDescent="0.2">
      <c r="A37" t="str">
        <f>+VLOOKUP(B37,studies!$A$2:$C$102,3)</f>
        <v>Parry (1993)</v>
      </c>
      <c r="B37">
        <v>10</v>
      </c>
      <c r="C37">
        <v>1993</v>
      </c>
      <c r="D37">
        <v>1</v>
      </c>
      <c r="E37">
        <v>1991</v>
      </c>
      <c r="F37">
        <v>1990</v>
      </c>
      <c r="G37">
        <v>1.7857142857142856E-2</v>
      </c>
      <c r="H37">
        <v>0.83346010766249012</v>
      </c>
      <c r="I37">
        <v>0</v>
      </c>
      <c r="J37">
        <v>1</v>
      </c>
      <c r="K37">
        <v>0</v>
      </c>
      <c r="L37" t="s">
        <v>238</v>
      </c>
      <c r="M37" t="s">
        <v>238</v>
      </c>
      <c r="N37" t="s">
        <v>238</v>
      </c>
      <c r="O37">
        <v>0</v>
      </c>
      <c r="P37">
        <v>1</v>
      </c>
      <c r="Q37">
        <v>0</v>
      </c>
      <c r="R37">
        <v>0</v>
      </c>
      <c r="S37">
        <v>0</v>
      </c>
      <c r="T37">
        <v>1</v>
      </c>
      <c r="U37">
        <v>0</v>
      </c>
      <c r="W37">
        <v>0</v>
      </c>
      <c r="AA37">
        <v>0</v>
      </c>
      <c r="AC37">
        <v>0</v>
      </c>
      <c r="AD37">
        <v>0</v>
      </c>
      <c r="AE37">
        <v>0</v>
      </c>
      <c r="AF37">
        <v>0</v>
      </c>
      <c r="AG37">
        <v>0</v>
      </c>
      <c r="AH37">
        <v>23</v>
      </c>
      <c r="AI37">
        <v>1.1299999999999999</v>
      </c>
      <c r="AJ37">
        <v>60</v>
      </c>
    </row>
    <row r="38" spans="1:36" x14ac:dyDescent="0.2">
      <c r="A38" t="str">
        <f>+VLOOKUP(B38,studies!$A$2:$C$102,3)</f>
        <v>Parry (1993)</v>
      </c>
      <c r="B38">
        <v>10</v>
      </c>
      <c r="C38">
        <v>1993</v>
      </c>
      <c r="D38">
        <v>1</v>
      </c>
      <c r="E38">
        <v>1991</v>
      </c>
      <c r="F38">
        <v>1990</v>
      </c>
      <c r="G38">
        <v>8.9285714285714281E-3</v>
      </c>
      <c r="H38">
        <v>0.26519185243806509</v>
      </c>
      <c r="I38">
        <v>0</v>
      </c>
      <c r="J38">
        <v>1</v>
      </c>
      <c r="K38">
        <v>0</v>
      </c>
      <c r="L38" t="s">
        <v>238</v>
      </c>
      <c r="M38" t="s">
        <v>238</v>
      </c>
      <c r="N38" t="s">
        <v>238</v>
      </c>
      <c r="O38">
        <v>0</v>
      </c>
      <c r="P38">
        <v>1</v>
      </c>
      <c r="Q38">
        <v>0</v>
      </c>
      <c r="R38">
        <v>0</v>
      </c>
      <c r="S38">
        <v>0</v>
      </c>
      <c r="T38">
        <v>1</v>
      </c>
      <c r="U38">
        <v>0</v>
      </c>
      <c r="W38">
        <v>0</v>
      </c>
      <c r="AA38">
        <v>0</v>
      </c>
      <c r="AC38">
        <v>0</v>
      </c>
      <c r="AD38">
        <v>0</v>
      </c>
      <c r="AE38">
        <v>0</v>
      </c>
      <c r="AF38">
        <v>0</v>
      </c>
      <c r="AG38">
        <v>0</v>
      </c>
      <c r="AH38">
        <v>23</v>
      </c>
      <c r="AI38">
        <v>1.1299999999999999</v>
      </c>
      <c r="AJ38">
        <v>60</v>
      </c>
    </row>
    <row r="39" spans="1:36" x14ac:dyDescent="0.2">
      <c r="A39" t="str">
        <f>+VLOOKUP(B39,studies!$A$2:$C$102,3)</f>
        <v>Parry (1993)</v>
      </c>
      <c r="B39">
        <v>10</v>
      </c>
      <c r="C39">
        <v>1993</v>
      </c>
      <c r="D39">
        <v>1</v>
      </c>
      <c r="E39">
        <v>1991</v>
      </c>
      <c r="F39">
        <v>1990</v>
      </c>
      <c r="G39">
        <v>8.9285714285714281E-3</v>
      </c>
      <c r="H39">
        <v>1.5911511146283903</v>
      </c>
      <c r="I39">
        <v>0</v>
      </c>
      <c r="J39">
        <v>1</v>
      </c>
      <c r="K39">
        <v>0</v>
      </c>
      <c r="L39" t="s">
        <v>238</v>
      </c>
      <c r="M39" t="s">
        <v>238</v>
      </c>
      <c r="N39" t="s">
        <v>238</v>
      </c>
      <c r="O39">
        <v>0</v>
      </c>
      <c r="P39">
        <v>1</v>
      </c>
      <c r="Q39">
        <v>0</v>
      </c>
      <c r="R39">
        <v>0</v>
      </c>
      <c r="S39">
        <v>0</v>
      </c>
      <c r="T39">
        <v>1</v>
      </c>
      <c r="U39">
        <v>0</v>
      </c>
      <c r="W39">
        <v>0</v>
      </c>
      <c r="AA39">
        <v>0</v>
      </c>
      <c r="AC39">
        <v>0</v>
      </c>
      <c r="AD39">
        <v>0</v>
      </c>
      <c r="AE39">
        <v>0</v>
      </c>
      <c r="AF39">
        <v>0</v>
      </c>
      <c r="AG39">
        <v>0</v>
      </c>
      <c r="AH39">
        <v>23</v>
      </c>
      <c r="AI39">
        <v>1.1299999999999999</v>
      </c>
      <c r="AJ39">
        <v>60</v>
      </c>
    </row>
    <row r="40" spans="1:36" x14ac:dyDescent="0.2">
      <c r="A40" t="str">
        <f>+VLOOKUP(B40,studies!$A$2:$C$102,3)</f>
        <v>Parry (1993)</v>
      </c>
      <c r="B40">
        <v>10</v>
      </c>
      <c r="C40">
        <v>1993</v>
      </c>
      <c r="D40">
        <v>1</v>
      </c>
      <c r="E40">
        <v>1991</v>
      </c>
      <c r="F40">
        <v>1990</v>
      </c>
      <c r="G40">
        <v>8.9285714285714281E-3</v>
      </c>
      <c r="H40">
        <v>0.69455008971874177</v>
      </c>
      <c r="I40">
        <v>0</v>
      </c>
      <c r="J40">
        <v>1</v>
      </c>
      <c r="K40">
        <v>0</v>
      </c>
      <c r="L40" t="s">
        <v>238</v>
      </c>
      <c r="M40" t="s">
        <v>238</v>
      </c>
      <c r="N40" t="s">
        <v>238</v>
      </c>
      <c r="O40">
        <v>0</v>
      </c>
      <c r="P40">
        <v>1</v>
      </c>
      <c r="Q40">
        <v>0</v>
      </c>
      <c r="R40">
        <v>0</v>
      </c>
      <c r="S40">
        <v>0</v>
      </c>
      <c r="T40">
        <v>1</v>
      </c>
      <c r="U40">
        <v>0</v>
      </c>
      <c r="W40">
        <v>0</v>
      </c>
      <c r="AA40">
        <v>0</v>
      </c>
      <c r="AC40">
        <v>0</v>
      </c>
      <c r="AD40">
        <v>0</v>
      </c>
      <c r="AE40">
        <v>0</v>
      </c>
      <c r="AF40">
        <v>0</v>
      </c>
      <c r="AG40">
        <v>0</v>
      </c>
      <c r="AH40">
        <v>23</v>
      </c>
      <c r="AI40">
        <v>1.1299999999999999</v>
      </c>
      <c r="AJ40">
        <v>60</v>
      </c>
    </row>
    <row r="41" spans="1:36" x14ac:dyDescent="0.2">
      <c r="A41" t="str">
        <f>+VLOOKUP(B41,studies!$A$2:$C$102,3)</f>
        <v>Parry (1993)</v>
      </c>
      <c r="B41">
        <v>10</v>
      </c>
      <c r="C41">
        <v>1993</v>
      </c>
      <c r="D41">
        <v>1</v>
      </c>
      <c r="E41">
        <v>1991</v>
      </c>
      <c r="F41">
        <v>1990</v>
      </c>
      <c r="G41">
        <v>8.9285714285714281E-3</v>
      </c>
      <c r="H41">
        <v>4.1673005383124506</v>
      </c>
      <c r="I41">
        <v>0</v>
      </c>
      <c r="J41">
        <v>1</v>
      </c>
      <c r="K41">
        <v>0</v>
      </c>
      <c r="L41" t="s">
        <v>238</v>
      </c>
      <c r="M41" t="s">
        <v>238</v>
      </c>
      <c r="N41" t="s">
        <v>238</v>
      </c>
      <c r="O41">
        <v>0</v>
      </c>
      <c r="P41">
        <v>1</v>
      </c>
      <c r="Q41">
        <v>0</v>
      </c>
      <c r="R41">
        <v>0</v>
      </c>
      <c r="S41">
        <v>0</v>
      </c>
      <c r="T41">
        <v>1</v>
      </c>
      <c r="U41">
        <v>0</v>
      </c>
      <c r="W41">
        <v>0</v>
      </c>
      <c r="AA41">
        <v>0</v>
      </c>
      <c r="AC41">
        <v>0</v>
      </c>
      <c r="AD41">
        <v>0</v>
      </c>
      <c r="AE41">
        <v>0</v>
      </c>
      <c r="AF41">
        <v>0</v>
      </c>
      <c r="AG41">
        <v>0</v>
      </c>
      <c r="AH41">
        <v>23</v>
      </c>
      <c r="AI41">
        <v>1.1299999999999999</v>
      </c>
      <c r="AJ41">
        <v>60</v>
      </c>
    </row>
    <row r="42" spans="1:36" x14ac:dyDescent="0.2">
      <c r="A42" t="str">
        <f>+VLOOKUP(B42,studies!$A$2:$C$102,3)</f>
        <v>Parry (1993)</v>
      </c>
      <c r="B42">
        <v>10</v>
      </c>
      <c r="C42">
        <v>1993</v>
      </c>
      <c r="D42">
        <v>1</v>
      </c>
      <c r="E42">
        <v>1991</v>
      </c>
      <c r="F42">
        <v>1990</v>
      </c>
      <c r="G42">
        <v>1.7857142857142856E-2</v>
      </c>
      <c r="H42">
        <v>6.3140917247158354E-2</v>
      </c>
      <c r="I42">
        <v>0</v>
      </c>
      <c r="J42">
        <v>1</v>
      </c>
      <c r="K42">
        <v>0</v>
      </c>
      <c r="L42" t="s">
        <v>238</v>
      </c>
      <c r="M42" t="s">
        <v>238</v>
      </c>
      <c r="N42" t="s">
        <v>238</v>
      </c>
      <c r="O42">
        <v>0</v>
      </c>
      <c r="P42">
        <v>1</v>
      </c>
      <c r="Q42">
        <v>0</v>
      </c>
      <c r="R42">
        <v>0</v>
      </c>
      <c r="S42">
        <v>0</v>
      </c>
      <c r="T42">
        <v>1</v>
      </c>
      <c r="U42">
        <v>0</v>
      </c>
      <c r="W42">
        <v>0</v>
      </c>
      <c r="AA42">
        <v>0</v>
      </c>
      <c r="AC42">
        <v>0</v>
      </c>
      <c r="AD42">
        <v>0</v>
      </c>
      <c r="AE42">
        <v>0</v>
      </c>
      <c r="AF42">
        <v>0</v>
      </c>
      <c r="AG42">
        <v>0</v>
      </c>
      <c r="AH42">
        <v>23</v>
      </c>
      <c r="AI42">
        <v>1.1299999999999999</v>
      </c>
      <c r="AJ42">
        <v>60</v>
      </c>
    </row>
    <row r="43" spans="1:36" x14ac:dyDescent="0.2">
      <c r="A43" t="str">
        <f>+VLOOKUP(B43,studies!$A$2:$C$102,3)</f>
        <v>Parry (1993)</v>
      </c>
      <c r="B43">
        <v>10</v>
      </c>
      <c r="C43">
        <v>1993</v>
      </c>
      <c r="D43">
        <v>1</v>
      </c>
      <c r="E43">
        <v>1991</v>
      </c>
      <c r="F43">
        <v>1990</v>
      </c>
      <c r="G43">
        <v>1.7857142857142856E-2</v>
      </c>
      <c r="H43">
        <v>0.37884550348295004</v>
      </c>
      <c r="I43">
        <v>0</v>
      </c>
      <c r="J43">
        <v>1</v>
      </c>
      <c r="K43">
        <v>0</v>
      </c>
      <c r="L43" t="s">
        <v>238</v>
      </c>
      <c r="M43" t="s">
        <v>238</v>
      </c>
      <c r="N43" t="s">
        <v>238</v>
      </c>
      <c r="O43">
        <v>0</v>
      </c>
      <c r="P43">
        <v>1</v>
      </c>
      <c r="Q43">
        <v>0</v>
      </c>
      <c r="R43">
        <v>0</v>
      </c>
      <c r="S43">
        <v>0</v>
      </c>
      <c r="T43">
        <v>1</v>
      </c>
      <c r="U43">
        <v>0</v>
      </c>
      <c r="W43">
        <v>0</v>
      </c>
      <c r="AA43">
        <v>0</v>
      </c>
      <c r="AC43">
        <v>0</v>
      </c>
      <c r="AD43">
        <v>0</v>
      </c>
      <c r="AE43">
        <v>0</v>
      </c>
      <c r="AF43">
        <v>0</v>
      </c>
      <c r="AG43">
        <v>0</v>
      </c>
      <c r="AH43">
        <v>23</v>
      </c>
      <c r="AI43">
        <v>1.1299999999999999</v>
      </c>
      <c r="AJ43">
        <v>60</v>
      </c>
    </row>
    <row r="44" spans="1:36" x14ac:dyDescent="0.2">
      <c r="A44" t="str">
        <f>+VLOOKUP(B44,studies!$A$2:$C$102,3)</f>
        <v>Parry (1993)</v>
      </c>
      <c r="B44">
        <v>10</v>
      </c>
      <c r="C44">
        <v>1993</v>
      </c>
      <c r="D44">
        <v>1</v>
      </c>
      <c r="E44">
        <v>1991</v>
      </c>
      <c r="F44">
        <v>1990</v>
      </c>
      <c r="G44">
        <v>3.5714285714285712E-2</v>
      </c>
      <c r="H44">
        <v>8.8397284146021687E-2</v>
      </c>
      <c r="I44">
        <v>0</v>
      </c>
      <c r="J44">
        <v>1</v>
      </c>
      <c r="K44">
        <v>0</v>
      </c>
      <c r="L44" t="s">
        <v>238</v>
      </c>
      <c r="M44" t="s">
        <v>238</v>
      </c>
      <c r="N44" t="s">
        <v>238</v>
      </c>
      <c r="O44">
        <v>0</v>
      </c>
      <c r="P44">
        <v>1</v>
      </c>
      <c r="Q44">
        <v>0</v>
      </c>
      <c r="R44">
        <v>0</v>
      </c>
      <c r="S44">
        <v>0</v>
      </c>
      <c r="T44">
        <v>1</v>
      </c>
      <c r="U44">
        <v>0</v>
      </c>
      <c r="W44">
        <v>0</v>
      </c>
      <c r="AA44">
        <v>0</v>
      </c>
      <c r="AC44">
        <v>0</v>
      </c>
      <c r="AD44">
        <v>0</v>
      </c>
      <c r="AE44">
        <v>0</v>
      </c>
      <c r="AF44">
        <v>0</v>
      </c>
      <c r="AG44">
        <v>0</v>
      </c>
      <c r="AH44">
        <v>23</v>
      </c>
      <c r="AI44">
        <v>1.1299999999999999</v>
      </c>
      <c r="AJ44">
        <v>60</v>
      </c>
    </row>
    <row r="45" spans="1:36" x14ac:dyDescent="0.2">
      <c r="A45" t="str">
        <f>+VLOOKUP(B45,studies!$A$2:$C$102,3)</f>
        <v>Parry (1993)</v>
      </c>
      <c r="B45">
        <v>10</v>
      </c>
      <c r="C45">
        <v>1993</v>
      </c>
      <c r="D45">
        <v>1</v>
      </c>
      <c r="E45">
        <v>1991</v>
      </c>
      <c r="F45">
        <v>1990</v>
      </c>
      <c r="G45">
        <v>3.5714285714285712E-2</v>
      </c>
      <c r="H45">
        <v>0.53038370487613018</v>
      </c>
      <c r="I45">
        <v>0</v>
      </c>
      <c r="J45">
        <v>1</v>
      </c>
      <c r="K45">
        <v>0</v>
      </c>
      <c r="L45" t="s">
        <v>238</v>
      </c>
      <c r="M45" t="s">
        <v>238</v>
      </c>
      <c r="N45" t="s">
        <v>238</v>
      </c>
      <c r="O45">
        <v>0</v>
      </c>
      <c r="P45">
        <v>1</v>
      </c>
      <c r="Q45">
        <v>0</v>
      </c>
      <c r="R45">
        <v>0</v>
      </c>
      <c r="S45">
        <v>0</v>
      </c>
      <c r="T45">
        <v>1</v>
      </c>
      <c r="U45">
        <v>0</v>
      </c>
      <c r="W45">
        <v>0</v>
      </c>
      <c r="AA45">
        <v>0</v>
      </c>
      <c r="AC45">
        <v>0</v>
      </c>
      <c r="AD45">
        <v>0</v>
      </c>
      <c r="AE45">
        <v>0</v>
      </c>
      <c r="AF45">
        <v>0</v>
      </c>
      <c r="AG45">
        <v>0</v>
      </c>
      <c r="AH45">
        <v>23</v>
      </c>
      <c r="AI45">
        <v>1.1299999999999999</v>
      </c>
      <c r="AJ45">
        <v>60</v>
      </c>
    </row>
    <row r="46" spans="1:36" x14ac:dyDescent="0.2">
      <c r="A46" t="str">
        <f>+VLOOKUP(B46,studies!$A$2:$C$102,3)</f>
        <v>Parry (1993)</v>
      </c>
      <c r="B46">
        <v>10</v>
      </c>
      <c r="C46">
        <v>1993</v>
      </c>
      <c r="D46">
        <v>1</v>
      </c>
      <c r="E46">
        <v>1991</v>
      </c>
      <c r="F46">
        <v>1990</v>
      </c>
      <c r="G46">
        <v>3.5714285714285712E-2</v>
      </c>
      <c r="H46">
        <v>0.17679456829204337</v>
      </c>
      <c r="I46">
        <v>0</v>
      </c>
      <c r="J46">
        <v>1</v>
      </c>
      <c r="K46">
        <v>0</v>
      </c>
      <c r="L46" t="s">
        <v>238</v>
      </c>
      <c r="M46" t="s">
        <v>238</v>
      </c>
      <c r="N46" t="s">
        <v>238</v>
      </c>
      <c r="O46">
        <v>0</v>
      </c>
      <c r="P46">
        <v>1</v>
      </c>
      <c r="Q46">
        <v>0</v>
      </c>
      <c r="R46">
        <v>0</v>
      </c>
      <c r="S46">
        <v>0</v>
      </c>
      <c r="T46">
        <v>1</v>
      </c>
      <c r="U46">
        <v>0</v>
      </c>
      <c r="W46">
        <v>0</v>
      </c>
      <c r="AA46">
        <v>0</v>
      </c>
      <c r="AC46">
        <v>0</v>
      </c>
      <c r="AD46">
        <v>0</v>
      </c>
      <c r="AE46">
        <v>0</v>
      </c>
      <c r="AF46">
        <v>0</v>
      </c>
      <c r="AG46">
        <v>0</v>
      </c>
      <c r="AH46">
        <v>23</v>
      </c>
      <c r="AI46">
        <v>1.1299999999999999</v>
      </c>
      <c r="AJ46">
        <v>60</v>
      </c>
    </row>
    <row r="47" spans="1:36" x14ac:dyDescent="0.2">
      <c r="A47" t="str">
        <f>+VLOOKUP(B47,studies!$A$2:$C$102,3)</f>
        <v>Parry (1993)</v>
      </c>
      <c r="B47">
        <v>10</v>
      </c>
      <c r="C47">
        <v>1993</v>
      </c>
      <c r="D47">
        <v>1</v>
      </c>
      <c r="E47">
        <v>1991</v>
      </c>
      <c r="F47">
        <v>1990</v>
      </c>
      <c r="G47">
        <v>3.5714285714285712E-2</v>
      </c>
      <c r="H47">
        <v>1.0607674097522604</v>
      </c>
      <c r="I47">
        <v>0</v>
      </c>
      <c r="J47">
        <v>1</v>
      </c>
      <c r="K47">
        <v>0</v>
      </c>
      <c r="L47" t="s">
        <v>238</v>
      </c>
      <c r="M47" t="s">
        <v>238</v>
      </c>
      <c r="N47" t="s">
        <v>238</v>
      </c>
      <c r="O47">
        <v>0</v>
      </c>
      <c r="P47">
        <v>1</v>
      </c>
      <c r="Q47">
        <v>0</v>
      </c>
      <c r="R47">
        <v>0</v>
      </c>
      <c r="S47">
        <v>0</v>
      </c>
      <c r="T47">
        <v>1</v>
      </c>
      <c r="U47">
        <v>0</v>
      </c>
      <c r="W47">
        <v>0</v>
      </c>
      <c r="AA47">
        <v>0</v>
      </c>
      <c r="AC47">
        <v>0</v>
      </c>
      <c r="AD47">
        <v>0</v>
      </c>
      <c r="AE47">
        <v>0</v>
      </c>
      <c r="AF47">
        <v>0</v>
      </c>
      <c r="AG47">
        <v>0</v>
      </c>
      <c r="AH47">
        <v>23</v>
      </c>
      <c r="AI47">
        <v>1.1299999999999999</v>
      </c>
      <c r="AJ47">
        <v>60</v>
      </c>
    </row>
    <row r="48" spans="1:36" x14ac:dyDescent="0.2">
      <c r="A48" t="str">
        <f>+VLOOKUP(B48,studies!$A$2:$C$102,3)</f>
        <v>Parry (1993)</v>
      </c>
      <c r="B48">
        <v>10</v>
      </c>
      <c r="C48">
        <v>1993</v>
      </c>
      <c r="D48">
        <v>1</v>
      </c>
      <c r="E48">
        <v>1991</v>
      </c>
      <c r="F48">
        <v>1990</v>
      </c>
      <c r="G48">
        <v>1.7857142857142856E-2</v>
      </c>
      <c r="H48">
        <v>0.32833276968522335</v>
      </c>
      <c r="I48">
        <v>0</v>
      </c>
      <c r="J48">
        <v>1</v>
      </c>
      <c r="K48">
        <v>0</v>
      </c>
      <c r="L48" t="s">
        <v>238</v>
      </c>
      <c r="M48" t="s">
        <v>238</v>
      </c>
      <c r="N48" t="s">
        <v>238</v>
      </c>
      <c r="O48">
        <v>0</v>
      </c>
      <c r="P48">
        <v>1</v>
      </c>
      <c r="Q48">
        <v>0</v>
      </c>
      <c r="R48">
        <v>0</v>
      </c>
      <c r="S48">
        <v>0</v>
      </c>
      <c r="T48">
        <v>1</v>
      </c>
      <c r="U48">
        <v>0</v>
      </c>
      <c r="W48">
        <v>0</v>
      </c>
      <c r="AA48">
        <v>0</v>
      </c>
      <c r="AC48">
        <v>0</v>
      </c>
      <c r="AD48">
        <v>0</v>
      </c>
      <c r="AE48">
        <v>0</v>
      </c>
      <c r="AF48">
        <v>0</v>
      </c>
      <c r="AG48">
        <v>0</v>
      </c>
      <c r="AH48">
        <v>23</v>
      </c>
      <c r="AI48">
        <v>1.1299999999999999</v>
      </c>
      <c r="AJ48">
        <v>60</v>
      </c>
    </row>
    <row r="49" spans="1:36" x14ac:dyDescent="0.2">
      <c r="A49" t="str">
        <f>+VLOOKUP(B49,studies!$A$2:$C$102,3)</f>
        <v>Parry (1993)</v>
      </c>
      <c r="B49">
        <v>10</v>
      </c>
      <c r="C49">
        <v>1993</v>
      </c>
      <c r="D49">
        <v>1</v>
      </c>
      <c r="E49">
        <v>1991</v>
      </c>
      <c r="F49">
        <v>1990</v>
      </c>
      <c r="G49">
        <v>1.7857142857142856E-2</v>
      </c>
      <c r="H49">
        <v>1.9699966181113404</v>
      </c>
      <c r="I49">
        <v>0</v>
      </c>
      <c r="J49">
        <v>1</v>
      </c>
      <c r="K49">
        <v>0</v>
      </c>
      <c r="L49" t="s">
        <v>238</v>
      </c>
      <c r="M49" t="s">
        <v>238</v>
      </c>
      <c r="N49" t="s">
        <v>238</v>
      </c>
      <c r="O49">
        <v>0</v>
      </c>
      <c r="P49">
        <v>1</v>
      </c>
      <c r="Q49">
        <v>0</v>
      </c>
      <c r="R49">
        <v>0</v>
      </c>
      <c r="S49">
        <v>0</v>
      </c>
      <c r="T49">
        <v>1</v>
      </c>
      <c r="U49">
        <v>0</v>
      </c>
      <c r="W49">
        <v>0</v>
      </c>
      <c r="AA49">
        <v>0</v>
      </c>
      <c r="AC49">
        <v>0</v>
      </c>
      <c r="AD49">
        <v>0</v>
      </c>
      <c r="AE49">
        <v>0</v>
      </c>
      <c r="AF49">
        <v>0</v>
      </c>
      <c r="AG49">
        <v>0</v>
      </c>
      <c r="AH49">
        <v>23</v>
      </c>
      <c r="AI49">
        <v>1.1299999999999999</v>
      </c>
      <c r="AJ49">
        <v>60</v>
      </c>
    </row>
    <row r="50" spans="1:36" x14ac:dyDescent="0.2">
      <c r="A50" t="str">
        <f>+VLOOKUP(B50,studies!$A$2:$C$102,3)</f>
        <v>Parry (1993)</v>
      </c>
      <c r="B50">
        <v>10</v>
      </c>
      <c r="C50">
        <v>1993</v>
      </c>
      <c r="D50">
        <v>1</v>
      </c>
      <c r="E50">
        <v>1991</v>
      </c>
      <c r="F50">
        <v>1990</v>
      </c>
      <c r="G50">
        <v>1.7857142857142856E-2</v>
      </c>
      <c r="H50">
        <v>0.8713446580107852</v>
      </c>
      <c r="I50">
        <v>0</v>
      </c>
      <c r="J50">
        <v>1</v>
      </c>
      <c r="K50">
        <v>0</v>
      </c>
      <c r="L50" t="s">
        <v>238</v>
      </c>
      <c r="M50" t="s">
        <v>238</v>
      </c>
      <c r="N50" t="s">
        <v>238</v>
      </c>
      <c r="O50">
        <v>0</v>
      </c>
      <c r="P50">
        <v>1</v>
      </c>
      <c r="Q50">
        <v>0</v>
      </c>
      <c r="R50">
        <v>0</v>
      </c>
      <c r="S50">
        <v>0</v>
      </c>
      <c r="T50">
        <v>1</v>
      </c>
      <c r="U50">
        <v>0</v>
      </c>
      <c r="W50">
        <v>0</v>
      </c>
      <c r="AA50">
        <v>0</v>
      </c>
      <c r="AC50">
        <v>0</v>
      </c>
      <c r="AD50">
        <v>0</v>
      </c>
      <c r="AE50">
        <v>0</v>
      </c>
      <c r="AF50">
        <v>0</v>
      </c>
      <c r="AG50">
        <v>0</v>
      </c>
      <c r="AH50">
        <v>23</v>
      </c>
      <c r="AI50">
        <v>1.1299999999999999</v>
      </c>
      <c r="AJ50">
        <v>60</v>
      </c>
    </row>
    <row r="51" spans="1:36" x14ac:dyDescent="0.2">
      <c r="A51" t="str">
        <f>+VLOOKUP(B51,studies!$A$2:$C$102,3)</f>
        <v>Parry (1993)</v>
      </c>
      <c r="B51">
        <v>10</v>
      </c>
      <c r="C51">
        <v>1993</v>
      </c>
      <c r="D51">
        <v>1</v>
      </c>
      <c r="E51">
        <v>1991</v>
      </c>
      <c r="F51">
        <v>1990</v>
      </c>
      <c r="G51">
        <v>1.7857142857142856E-2</v>
      </c>
      <c r="H51">
        <v>5.2280679480647105</v>
      </c>
      <c r="I51">
        <v>0</v>
      </c>
      <c r="J51">
        <v>1</v>
      </c>
      <c r="K51">
        <v>0</v>
      </c>
      <c r="L51" t="s">
        <v>238</v>
      </c>
      <c r="M51" t="s">
        <v>238</v>
      </c>
      <c r="N51" t="s">
        <v>238</v>
      </c>
      <c r="O51">
        <v>0</v>
      </c>
      <c r="P51">
        <v>1</v>
      </c>
      <c r="Q51">
        <v>0</v>
      </c>
      <c r="R51">
        <v>0</v>
      </c>
      <c r="S51">
        <v>0</v>
      </c>
      <c r="T51">
        <v>1</v>
      </c>
      <c r="U51">
        <v>0</v>
      </c>
      <c r="W51">
        <v>0</v>
      </c>
      <c r="AA51">
        <v>0</v>
      </c>
      <c r="AC51">
        <v>0</v>
      </c>
      <c r="AD51">
        <v>0</v>
      </c>
      <c r="AE51">
        <v>0</v>
      </c>
      <c r="AF51">
        <v>0</v>
      </c>
      <c r="AG51">
        <v>0</v>
      </c>
      <c r="AH51">
        <v>23</v>
      </c>
      <c r="AI51">
        <v>1.1299999999999999</v>
      </c>
      <c r="AJ51">
        <v>60</v>
      </c>
    </row>
    <row r="52" spans="1:36" x14ac:dyDescent="0.2">
      <c r="A52" t="str">
        <f>+VLOOKUP(B52,studies!$A$2:$C$102,3)</f>
        <v>Parry (1993)</v>
      </c>
      <c r="B52">
        <v>10</v>
      </c>
      <c r="C52">
        <v>1993</v>
      </c>
      <c r="D52">
        <v>1</v>
      </c>
      <c r="E52">
        <v>1991</v>
      </c>
      <c r="F52">
        <v>1990</v>
      </c>
      <c r="G52">
        <v>1.7857142857142856E-2</v>
      </c>
      <c r="H52">
        <v>0.26519185243806509</v>
      </c>
      <c r="I52">
        <v>0</v>
      </c>
      <c r="J52">
        <v>1</v>
      </c>
      <c r="K52">
        <v>0</v>
      </c>
      <c r="L52" t="s">
        <v>238</v>
      </c>
      <c r="M52" t="s">
        <v>238</v>
      </c>
      <c r="N52" t="s">
        <v>238</v>
      </c>
      <c r="O52">
        <v>0</v>
      </c>
      <c r="P52">
        <v>1</v>
      </c>
      <c r="Q52">
        <v>0</v>
      </c>
      <c r="R52">
        <v>0</v>
      </c>
      <c r="S52">
        <v>0</v>
      </c>
      <c r="T52">
        <v>1</v>
      </c>
      <c r="U52">
        <v>0</v>
      </c>
      <c r="W52">
        <v>0</v>
      </c>
      <c r="AA52">
        <v>0</v>
      </c>
      <c r="AC52">
        <v>0</v>
      </c>
      <c r="AD52">
        <v>0</v>
      </c>
      <c r="AE52">
        <v>0</v>
      </c>
      <c r="AF52">
        <v>0</v>
      </c>
      <c r="AG52">
        <v>0</v>
      </c>
      <c r="AH52">
        <v>23</v>
      </c>
      <c r="AI52">
        <v>1.1299999999999999</v>
      </c>
      <c r="AJ52">
        <v>60</v>
      </c>
    </row>
    <row r="53" spans="1:36" x14ac:dyDescent="0.2">
      <c r="A53" t="str">
        <f>+VLOOKUP(B53,studies!$A$2:$C$102,3)</f>
        <v>Parry (1993)</v>
      </c>
      <c r="B53">
        <v>10</v>
      </c>
      <c r="C53">
        <v>1993</v>
      </c>
      <c r="D53">
        <v>1</v>
      </c>
      <c r="E53">
        <v>1991</v>
      </c>
      <c r="F53">
        <v>1990</v>
      </c>
      <c r="G53">
        <v>1.7857142857142856E-2</v>
      </c>
      <c r="H53">
        <v>1.5911511146283903</v>
      </c>
      <c r="I53">
        <v>0</v>
      </c>
      <c r="J53">
        <v>1</v>
      </c>
      <c r="K53">
        <v>0</v>
      </c>
      <c r="L53" t="s">
        <v>238</v>
      </c>
      <c r="M53" t="s">
        <v>238</v>
      </c>
      <c r="N53" t="s">
        <v>238</v>
      </c>
      <c r="O53">
        <v>0</v>
      </c>
      <c r="P53">
        <v>1</v>
      </c>
      <c r="Q53">
        <v>0</v>
      </c>
      <c r="R53">
        <v>0</v>
      </c>
      <c r="S53">
        <v>0</v>
      </c>
      <c r="T53">
        <v>1</v>
      </c>
      <c r="U53">
        <v>0</v>
      </c>
      <c r="W53">
        <v>0</v>
      </c>
      <c r="AA53">
        <v>0</v>
      </c>
      <c r="AC53">
        <v>0</v>
      </c>
      <c r="AD53">
        <v>0</v>
      </c>
      <c r="AE53">
        <v>0</v>
      </c>
      <c r="AF53">
        <v>0</v>
      </c>
      <c r="AG53">
        <v>0</v>
      </c>
      <c r="AH53">
        <v>23</v>
      </c>
      <c r="AI53">
        <v>1.1299999999999999</v>
      </c>
      <c r="AJ53">
        <v>60</v>
      </c>
    </row>
    <row r="54" spans="1:36" x14ac:dyDescent="0.2">
      <c r="A54" t="str">
        <f>+VLOOKUP(B54,studies!$A$2:$C$102,3)</f>
        <v>Parry (1993)</v>
      </c>
      <c r="B54">
        <v>10</v>
      </c>
      <c r="C54">
        <v>1993</v>
      </c>
      <c r="D54">
        <v>1</v>
      </c>
      <c r="E54">
        <v>1991</v>
      </c>
      <c r="F54">
        <v>1990</v>
      </c>
      <c r="G54">
        <v>3.5714285714285712E-2</v>
      </c>
      <c r="H54">
        <v>0.39147368693238177</v>
      </c>
      <c r="I54">
        <v>0</v>
      </c>
      <c r="J54">
        <v>1</v>
      </c>
      <c r="K54">
        <v>0</v>
      </c>
      <c r="L54" t="s">
        <v>238</v>
      </c>
      <c r="M54" t="s">
        <v>238</v>
      </c>
      <c r="N54" t="s">
        <v>238</v>
      </c>
      <c r="O54">
        <v>0</v>
      </c>
      <c r="P54">
        <v>1</v>
      </c>
      <c r="Q54">
        <v>0</v>
      </c>
      <c r="R54">
        <v>0</v>
      </c>
      <c r="S54">
        <v>0</v>
      </c>
      <c r="T54">
        <v>1</v>
      </c>
      <c r="U54">
        <v>0</v>
      </c>
      <c r="W54">
        <v>0</v>
      </c>
      <c r="AA54">
        <v>0</v>
      </c>
      <c r="AC54">
        <v>0</v>
      </c>
      <c r="AD54">
        <v>0</v>
      </c>
      <c r="AE54">
        <v>0</v>
      </c>
      <c r="AF54">
        <v>0</v>
      </c>
      <c r="AG54">
        <v>0</v>
      </c>
      <c r="AH54">
        <v>23</v>
      </c>
      <c r="AI54">
        <v>1.1299999999999999</v>
      </c>
      <c r="AJ54">
        <v>60</v>
      </c>
    </row>
    <row r="55" spans="1:36" x14ac:dyDescent="0.2">
      <c r="A55" t="str">
        <f>+VLOOKUP(B55,studies!$A$2:$C$102,3)</f>
        <v>Parry (1993)</v>
      </c>
      <c r="B55">
        <v>10</v>
      </c>
      <c r="C55">
        <v>1993</v>
      </c>
      <c r="D55">
        <v>1</v>
      </c>
      <c r="E55">
        <v>1991</v>
      </c>
      <c r="F55">
        <v>1990</v>
      </c>
      <c r="G55">
        <v>3.5714285714285712E-2</v>
      </c>
      <c r="H55">
        <v>2.3488421215942901</v>
      </c>
      <c r="I55">
        <v>0</v>
      </c>
      <c r="J55">
        <v>1</v>
      </c>
      <c r="K55">
        <v>0</v>
      </c>
      <c r="L55" t="s">
        <v>238</v>
      </c>
      <c r="M55" t="s">
        <v>238</v>
      </c>
      <c r="N55" t="s">
        <v>238</v>
      </c>
      <c r="O55">
        <v>0</v>
      </c>
      <c r="P55">
        <v>1</v>
      </c>
      <c r="Q55">
        <v>0</v>
      </c>
      <c r="R55">
        <v>0</v>
      </c>
      <c r="S55">
        <v>0</v>
      </c>
      <c r="T55">
        <v>1</v>
      </c>
      <c r="U55">
        <v>0</v>
      </c>
      <c r="W55">
        <v>0</v>
      </c>
      <c r="AA55">
        <v>0</v>
      </c>
      <c r="AC55">
        <v>0</v>
      </c>
      <c r="AD55">
        <v>0</v>
      </c>
      <c r="AE55">
        <v>0</v>
      </c>
      <c r="AF55">
        <v>0</v>
      </c>
      <c r="AG55">
        <v>0</v>
      </c>
      <c r="AH55">
        <v>23</v>
      </c>
      <c r="AI55">
        <v>1.1299999999999999</v>
      </c>
      <c r="AJ55">
        <v>60</v>
      </c>
    </row>
    <row r="56" spans="1:36" x14ac:dyDescent="0.2">
      <c r="A56" t="str">
        <f>+VLOOKUP(B56,studies!$A$2:$C$102,3)</f>
        <v>Parry (1993)</v>
      </c>
      <c r="B56">
        <v>10</v>
      </c>
      <c r="C56">
        <v>1993</v>
      </c>
      <c r="D56">
        <v>1</v>
      </c>
      <c r="E56">
        <v>1991</v>
      </c>
      <c r="F56">
        <v>1990</v>
      </c>
      <c r="G56">
        <v>3.5714285714285712E-2</v>
      </c>
      <c r="H56">
        <v>0.78294737386476354</v>
      </c>
      <c r="I56">
        <v>0</v>
      </c>
      <c r="J56">
        <v>1</v>
      </c>
      <c r="K56">
        <v>0</v>
      </c>
      <c r="L56" t="s">
        <v>238</v>
      </c>
      <c r="M56" t="s">
        <v>238</v>
      </c>
      <c r="N56" t="s">
        <v>238</v>
      </c>
      <c r="O56">
        <v>0</v>
      </c>
      <c r="P56">
        <v>1</v>
      </c>
      <c r="Q56">
        <v>0</v>
      </c>
      <c r="R56">
        <v>0</v>
      </c>
      <c r="S56">
        <v>0</v>
      </c>
      <c r="T56">
        <v>1</v>
      </c>
      <c r="U56">
        <v>0</v>
      </c>
      <c r="W56">
        <v>0</v>
      </c>
      <c r="AA56">
        <v>0</v>
      </c>
      <c r="AC56">
        <v>0</v>
      </c>
      <c r="AD56">
        <v>0</v>
      </c>
      <c r="AE56">
        <v>0</v>
      </c>
      <c r="AF56">
        <v>0</v>
      </c>
      <c r="AG56">
        <v>0</v>
      </c>
      <c r="AH56">
        <v>23</v>
      </c>
      <c r="AI56">
        <v>1.1299999999999999</v>
      </c>
      <c r="AJ56">
        <v>60</v>
      </c>
    </row>
    <row r="57" spans="1:36" x14ac:dyDescent="0.2">
      <c r="A57" t="str">
        <f>+VLOOKUP(B57,studies!$A$2:$C$102,3)</f>
        <v>Parry (1993)</v>
      </c>
      <c r="B57">
        <v>10</v>
      </c>
      <c r="C57">
        <v>1993</v>
      </c>
      <c r="D57">
        <v>1</v>
      </c>
      <c r="E57">
        <v>1991</v>
      </c>
      <c r="F57">
        <v>1990</v>
      </c>
      <c r="G57">
        <v>3.5714285714285712E-2</v>
      </c>
      <c r="H57">
        <v>4.6976842431885801</v>
      </c>
      <c r="I57">
        <v>0</v>
      </c>
      <c r="J57">
        <v>1</v>
      </c>
      <c r="K57">
        <v>0</v>
      </c>
      <c r="L57" t="s">
        <v>238</v>
      </c>
      <c r="M57" t="s">
        <v>238</v>
      </c>
      <c r="N57" t="s">
        <v>238</v>
      </c>
      <c r="O57">
        <v>0</v>
      </c>
      <c r="P57">
        <v>1</v>
      </c>
      <c r="Q57">
        <v>0</v>
      </c>
      <c r="R57">
        <v>0</v>
      </c>
      <c r="S57">
        <v>0</v>
      </c>
      <c r="T57">
        <v>1</v>
      </c>
      <c r="U57">
        <v>0</v>
      </c>
      <c r="W57">
        <v>0</v>
      </c>
      <c r="AA57">
        <v>0</v>
      </c>
      <c r="AC57">
        <v>0</v>
      </c>
      <c r="AD57">
        <v>0</v>
      </c>
      <c r="AE57">
        <v>0</v>
      </c>
      <c r="AF57">
        <v>0</v>
      </c>
      <c r="AG57">
        <v>0</v>
      </c>
      <c r="AH57">
        <v>23</v>
      </c>
      <c r="AI57">
        <v>1.1299999999999999</v>
      </c>
      <c r="AJ57">
        <v>60</v>
      </c>
    </row>
    <row r="58" spans="1:36" x14ac:dyDescent="0.2">
      <c r="A58" t="str">
        <f>+VLOOKUP(B58,studies!$A$2:$C$102,3)</f>
        <v>Parry (1993)</v>
      </c>
      <c r="B58">
        <v>10</v>
      </c>
      <c r="C58">
        <v>1993</v>
      </c>
      <c r="D58">
        <v>1</v>
      </c>
      <c r="E58">
        <v>1991</v>
      </c>
      <c r="F58">
        <v>1990</v>
      </c>
      <c r="G58">
        <v>1.7857142857142856E-2</v>
      </c>
      <c r="H58">
        <v>1.4901256470329369</v>
      </c>
      <c r="I58">
        <v>0</v>
      </c>
      <c r="J58">
        <v>1</v>
      </c>
      <c r="K58">
        <v>0</v>
      </c>
      <c r="L58" t="s">
        <v>238</v>
      </c>
      <c r="M58" t="s">
        <v>238</v>
      </c>
      <c r="N58" t="s">
        <v>238</v>
      </c>
      <c r="O58">
        <v>0</v>
      </c>
      <c r="P58">
        <v>1</v>
      </c>
      <c r="Q58">
        <v>0</v>
      </c>
      <c r="R58">
        <v>0</v>
      </c>
      <c r="S58">
        <v>0</v>
      </c>
      <c r="T58">
        <v>1</v>
      </c>
      <c r="U58">
        <v>0</v>
      </c>
      <c r="W58">
        <v>0</v>
      </c>
      <c r="AA58">
        <v>0</v>
      </c>
      <c r="AC58">
        <v>0</v>
      </c>
      <c r="AD58">
        <v>0</v>
      </c>
      <c r="AE58">
        <v>0</v>
      </c>
      <c r="AF58">
        <v>0</v>
      </c>
      <c r="AG58">
        <v>0</v>
      </c>
      <c r="AH58">
        <v>23</v>
      </c>
      <c r="AI58">
        <v>1.1299999999999999</v>
      </c>
      <c r="AJ58">
        <v>60</v>
      </c>
    </row>
    <row r="59" spans="1:36" x14ac:dyDescent="0.2">
      <c r="A59" t="str">
        <f>+VLOOKUP(B59,studies!$A$2:$C$102,3)</f>
        <v>Parry (1993)</v>
      </c>
      <c r="B59">
        <v>10</v>
      </c>
      <c r="C59">
        <v>1993</v>
      </c>
      <c r="D59">
        <v>1</v>
      </c>
      <c r="E59">
        <v>1991</v>
      </c>
      <c r="F59">
        <v>1990</v>
      </c>
      <c r="G59">
        <v>1.7857142857142856E-2</v>
      </c>
      <c r="H59">
        <v>8.9407538821976207</v>
      </c>
      <c r="I59">
        <v>0</v>
      </c>
      <c r="J59">
        <v>1</v>
      </c>
      <c r="K59">
        <v>0</v>
      </c>
      <c r="L59" t="s">
        <v>238</v>
      </c>
      <c r="M59" t="s">
        <v>238</v>
      </c>
      <c r="N59" t="s">
        <v>238</v>
      </c>
      <c r="O59">
        <v>0</v>
      </c>
      <c r="P59">
        <v>1</v>
      </c>
      <c r="Q59">
        <v>0</v>
      </c>
      <c r="R59">
        <v>0</v>
      </c>
      <c r="S59">
        <v>0</v>
      </c>
      <c r="T59">
        <v>1</v>
      </c>
      <c r="U59">
        <v>0</v>
      </c>
      <c r="W59">
        <v>0</v>
      </c>
      <c r="AA59">
        <v>0</v>
      </c>
      <c r="AC59">
        <v>0</v>
      </c>
      <c r="AD59">
        <v>0</v>
      </c>
      <c r="AE59">
        <v>0</v>
      </c>
      <c r="AF59">
        <v>0</v>
      </c>
      <c r="AG59">
        <v>0</v>
      </c>
      <c r="AH59">
        <v>23</v>
      </c>
      <c r="AI59">
        <v>1.1299999999999999</v>
      </c>
      <c r="AJ59">
        <v>60</v>
      </c>
    </row>
    <row r="60" spans="1:36" x14ac:dyDescent="0.2">
      <c r="A60" t="str">
        <f>+VLOOKUP(B60,studies!$A$2:$C$102,3)</f>
        <v>Parry (1993)</v>
      </c>
      <c r="B60">
        <v>10</v>
      </c>
      <c r="C60">
        <v>1993</v>
      </c>
      <c r="D60">
        <v>1</v>
      </c>
      <c r="E60">
        <v>1991</v>
      </c>
      <c r="F60">
        <v>1990</v>
      </c>
      <c r="G60">
        <v>1.7857142857142856E-2</v>
      </c>
      <c r="H60">
        <v>3.9021086858743859</v>
      </c>
      <c r="I60">
        <v>0</v>
      </c>
      <c r="J60">
        <v>1</v>
      </c>
      <c r="K60">
        <v>0</v>
      </c>
      <c r="L60" t="s">
        <v>238</v>
      </c>
      <c r="M60" t="s">
        <v>238</v>
      </c>
      <c r="N60" t="s">
        <v>238</v>
      </c>
      <c r="O60">
        <v>0</v>
      </c>
      <c r="P60">
        <v>1</v>
      </c>
      <c r="Q60">
        <v>0</v>
      </c>
      <c r="R60">
        <v>0</v>
      </c>
      <c r="S60">
        <v>0</v>
      </c>
      <c r="T60">
        <v>1</v>
      </c>
      <c r="U60">
        <v>0</v>
      </c>
      <c r="W60">
        <v>0</v>
      </c>
      <c r="AA60">
        <v>0</v>
      </c>
      <c r="AC60">
        <v>0</v>
      </c>
      <c r="AD60">
        <v>0</v>
      </c>
      <c r="AE60">
        <v>0</v>
      </c>
      <c r="AF60">
        <v>0</v>
      </c>
      <c r="AG60">
        <v>0</v>
      </c>
      <c r="AH60">
        <v>23</v>
      </c>
      <c r="AI60">
        <v>1.1299999999999999</v>
      </c>
      <c r="AJ60">
        <v>60</v>
      </c>
    </row>
    <row r="61" spans="1:36" x14ac:dyDescent="0.2">
      <c r="A61" t="str">
        <f>+VLOOKUP(B61,studies!$A$2:$C$102,3)</f>
        <v>Parry (1993)</v>
      </c>
      <c r="B61">
        <v>10</v>
      </c>
      <c r="C61">
        <v>1993</v>
      </c>
      <c r="D61">
        <v>1</v>
      </c>
      <c r="E61">
        <v>1991</v>
      </c>
      <c r="F61">
        <v>1990</v>
      </c>
      <c r="G61">
        <v>1.7857142857142856E-2</v>
      </c>
      <c r="H61">
        <v>23.412652115246317</v>
      </c>
      <c r="I61">
        <v>0</v>
      </c>
      <c r="J61">
        <v>1</v>
      </c>
      <c r="K61">
        <v>0</v>
      </c>
      <c r="L61" t="s">
        <v>238</v>
      </c>
      <c r="M61" t="s">
        <v>238</v>
      </c>
      <c r="N61" t="s">
        <v>238</v>
      </c>
      <c r="O61">
        <v>0</v>
      </c>
      <c r="P61">
        <v>1</v>
      </c>
      <c r="Q61">
        <v>0</v>
      </c>
      <c r="R61">
        <v>0</v>
      </c>
      <c r="S61">
        <v>0</v>
      </c>
      <c r="T61">
        <v>1</v>
      </c>
      <c r="U61">
        <v>0</v>
      </c>
      <c r="W61">
        <v>0</v>
      </c>
      <c r="AA61">
        <v>0</v>
      </c>
      <c r="AC61">
        <v>0</v>
      </c>
      <c r="AD61">
        <v>0</v>
      </c>
      <c r="AE61">
        <v>0</v>
      </c>
      <c r="AF61">
        <v>0</v>
      </c>
      <c r="AG61">
        <v>0</v>
      </c>
      <c r="AH61">
        <v>23</v>
      </c>
      <c r="AI61">
        <v>1.1299999999999999</v>
      </c>
      <c r="AJ61">
        <v>60</v>
      </c>
    </row>
    <row r="62" spans="1:36" x14ac:dyDescent="0.2">
      <c r="A62" t="str">
        <f>+VLOOKUP(B62,studies!$A$2:$C$102,3)</f>
        <v>Parry (1993)</v>
      </c>
      <c r="B62">
        <v>10</v>
      </c>
      <c r="C62">
        <v>1993</v>
      </c>
      <c r="D62">
        <v>1</v>
      </c>
      <c r="E62">
        <v>1991</v>
      </c>
      <c r="F62">
        <v>1990</v>
      </c>
      <c r="G62">
        <v>8.9285714285714281E-3</v>
      </c>
      <c r="H62">
        <v>1.1617928773477137</v>
      </c>
      <c r="I62">
        <v>0</v>
      </c>
      <c r="J62">
        <v>1</v>
      </c>
      <c r="K62">
        <v>0</v>
      </c>
      <c r="L62" t="s">
        <v>238</v>
      </c>
      <c r="M62" t="s">
        <v>238</v>
      </c>
      <c r="N62" t="s">
        <v>238</v>
      </c>
      <c r="O62">
        <v>0</v>
      </c>
      <c r="P62">
        <v>1</v>
      </c>
      <c r="Q62">
        <v>0</v>
      </c>
      <c r="R62">
        <v>0</v>
      </c>
      <c r="S62">
        <v>0</v>
      </c>
      <c r="T62">
        <v>1</v>
      </c>
      <c r="U62">
        <v>0</v>
      </c>
      <c r="W62">
        <v>0</v>
      </c>
      <c r="AA62">
        <v>0</v>
      </c>
      <c r="AC62">
        <v>0</v>
      </c>
      <c r="AD62">
        <v>0</v>
      </c>
      <c r="AE62">
        <v>0</v>
      </c>
      <c r="AF62">
        <v>0</v>
      </c>
      <c r="AG62">
        <v>0</v>
      </c>
      <c r="AH62">
        <v>23</v>
      </c>
      <c r="AI62">
        <v>1.1299999999999999</v>
      </c>
      <c r="AJ62">
        <v>60</v>
      </c>
    </row>
    <row r="63" spans="1:36" x14ac:dyDescent="0.2">
      <c r="A63" t="str">
        <f>+VLOOKUP(B63,studies!$A$2:$C$102,3)</f>
        <v>Parry (1993)</v>
      </c>
      <c r="B63">
        <v>10</v>
      </c>
      <c r="C63">
        <v>1993</v>
      </c>
      <c r="D63">
        <v>1</v>
      </c>
      <c r="E63">
        <v>1991</v>
      </c>
      <c r="F63">
        <v>1990</v>
      </c>
      <c r="G63">
        <v>8.9285714285714281E-3</v>
      </c>
      <c r="H63">
        <v>6.9707572640862816</v>
      </c>
      <c r="I63">
        <v>0</v>
      </c>
      <c r="J63">
        <v>1</v>
      </c>
      <c r="K63">
        <v>0</v>
      </c>
      <c r="L63" t="s">
        <v>238</v>
      </c>
      <c r="M63" t="s">
        <v>238</v>
      </c>
      <c r="N63" t="s">
        <v>238</v>
      </c>
      <c r="O63">
        <v>0</v>
      </c>
      <c r="P63">
        <v>1</v>
      </c>
      <c r="Q63">
        <v>0</v>
      </c>
      <c r="R63">
        <v>0</v>
      </c>
      <c r="S63">
        <v>0</v>
      </c>
      <c r="T63">
        <v>1</v>
      </c>
      <c r="U63">
        <v>0</v>
      </c>
      <c r="W63">
        <v>0</v>
      </c>
      <c r="AA63">
        <v>0</v>
      </c>
      <c r="AC63">
        <v>0</v>
      </c>
      <c r="AD63">
        <v>0</v>
      </c>
      <c r="AE63">
        <v>0</v>
      </c>
      <c r="AF63">
        <v>0</v>
      </c>
      <c r="AG63">
        <v>0</v>
      </c>
      <c r="AH63">
        <v>23</v>
      </c>
      <c r="AI63">
        <v>1.1299999999999999</v>
      </c>
      <c r="AJ63">
        <v>60</v>
      </c>
    </row>
    <row r="64" spans="1:36" x14ac:dyDescent="0.2">
      <c r="A64" t="str">
        <f>+VLOOKUP(B64,studies!$A$2:$C$102,3)</f>
        <v>Parry (1993)</v>
      </c>
      <c r="B64">
        <v>10</v>
      </c>
      <c r="C64">
        <v>1993</v>
      </c>
      <c r="D64">
        <v>1</v>
      </c>
      <c r="E64">
        <v>1991</v>
      </c>
      <c r="F64">
        <v>1990</v>
      </c>
      <c r="G64">
        <v>1.7857142857142856E-2</v>
      </c>
      <c r="H64">
        <v>1.7679456829204339</v>
      </c>
      <c r="I64">
        <v>0</v>
      </c>
      <c r="J64">
        <v>1</v>
      </c>
      <c r="K64">
        <v>0</v>
      </c>
      <c r="L64" t="s">
        <v>238</v>
      </c>
      <c r="M64" t="s">
        <v>238</v>
      </c>
      <c r="N64" t="s">
        <v>238</v>
      </c>
      <c r="O64">
        <v>0</v>
      </c>
      <c r="P64">
        <v>1</v>
      </c>
      <c r="Q64">
        <v>0</v>
      </c>
      <c r="R64">
        <v>0</v>
      </c>
      <c r="S64">
        <v>0</v>
      </c>
      <c r="T64">
        <v>1</v>
      </c>
      <c r="U64">
        <v>0</v>
      </c>
      <c r="W64">
        <v>0</v>
      </c>
      <c r="AA64">
        <v>0</v>
      </c>
      <c r="AC64">
        <v>0</v>
      </c>
      <c r="AD64">
        <v>0</v>
      </c>
      <c r="AE64">
        <v>0</v>
      </c>
      <c r="AF64">
        <v>0</v>
      </c>
      <c r="AG64">
        <v>0</v>
      </c>
      <c r="AH64">
        <v>23</v>
      </c>
      <c r="AI64">
        <v>1.1299999999999999</v>
      </c>
      <c r="AJ64">
        <v>60</v>
      </c>
    </row>
    <row r="65" spans="1:36" x14ac:dyDescent="0.2">
      <c r="A65" t="str">
        <f>+VLOOKUP(B65,studies!$A$2:$C$102,3)</f>
        <v>Parry (1993)</v>
      </c>
      <c r="B65">
        <v>10</v>
      </c>
      <c r="C65">
        <v>1993</v>
      </c>
      <c r="D65">
        <v>1</v>
      </c>
      <c r="E65">
        <v>1991</v>
      </c>
      <c r="F65">
        <v>1990</v>
      </c>
      <c r="G65">
        <v>1.7857142857142856E-2</v>
      </c>
      <c r="H65">
        <v>10.607674097522601</v>
      </c>
      <c r="I65">
        <v>0</v>
      </c>
      <c r="J65">
        <v>1</v>
      </c>
      <c r="K65">
        <v>0</v>
      </c>
      <c r="L65" t="s">
        <v>238</v>
      </c>
      <c r="M65" t="s">
        <v>238</v>
      </c>
      <c r="N65" t="s">
        <v>238</v>
      </c>
      <c r="O65">
        <v>0</v>
      </c>
      <c r="P65">
        <v>1</v>
      </c>
      <c r="Q65">
        <v>0</v>
      </c>
      <c r="R65">
        <v>0</v>
      </c>
      <c r="S65">
        <v>0</v>
      </c>
      <c r="T65">
        <v>1</v>
      </c>
      <c r="U65">
        <v>0</v>
      </c>
      <c r="W65">
        <v>0</v>
      </c>
      <c r="AA65">
        <v>0</v>
      </c>
      <c r="AC65">
        <v>0</v>
      </c>
      <c r="AD65">
        <v>0</v>
      </c>
      <c r="AE65">
        <v>0</v>
      </c>
      <c r="AF65">
        <v>0</v>
      </c>
      <c r="AG65">
        <v>0</v>
      </c>
      <c r="AH65">
        <v>23</v>
      </c>
      <c r="AI65">
        <v>1.1299999999999999</v>
      </c>
      <c r="AJ65">
        <v>60</v>
      </c>
    </row>
    <row r="66" spans="1:36" x14ac:dyDescent="0.2">
      <c r="A66" t="str">
        <f>+VLOOKUP(B66,studies!$A$2:$C$102,3)</f>
        <v>Parry (1993)</v>
      </c>
      <c r="B66">
        <v>10</v>
      </c>
      <c r="C66">
        <v>1993</v>
      </c>
      <c r="D66">
        <v>1</v>
      </c>
      <c r="E66">
        <v>1991</v>
      </c>
      <c r="F66">
        <v>1990</v>
      </c>
      <c r="G66">
        <v>1.7857142857142856E-2</v>
      </c>
      <c r="H66">
        <v>3.4853786320431408</v>
      </c>
      <c r="I66">
        <v>0</v>
      </c>
      <c r="J66">
        <v>1</v>
      </c>
      <c r="K66">
        <v>0</v>
      </c>
      <c r="L66" t="s">
        <v>238</v>
      </c>
      <c r="M66" t="s">
        <v>238</v>
      </c>
      <c r="N66" t="s">
        <v>238</v>
      </c>
      <c r="O66">
        <v>0</v>
      </c>
      <c r="P66">
        <v>1</v>
      </c>
      <c r="Q66">
        <v>0</v>
      </c>
      <c r="R66">
        <v>0</v>
      </c>
      <c r="S66">
        <v>0</v>
      </c>
      <c r="T66">
        <v>1</v>
      </c>
      <c r="U66">
        <v>0</v>
      </c>
      <c r="W66">
        <v>0</v>
      </c>
      <c r="AA66">
        <v>0</v>
      </c>
      <c r="AC66">
        <v>0</v>
      </c>
      <c r="AD66">
        <v>0</v>
      </c>
      <c r="AE66">
        <v>0</v>
      </c>
      <c r="AF66">
        <v>0</v>
      </c>
      <c r="AG66">
        <v>0</v>
      </c>
      <c r="AH66">
        <v>23</v>
      </c>
      <c r="AI66">
        <v>1.1299999999999999</v>
      </c>
      <c r="AJ66">
        <v>60</v>
      </c>
    </row>
    <row r="67" spans="1:36" x14ac:dyDescent="0.2">
      <c r="A67" t="str">
        <f>+VLOOKUP(B67,studies!$A$2:$C$102,3)</f>
        <v>Parry (1993)</v>
      </c>
      <c r="B67">
        <v>10</v>
      </c>
      <c r="C67">
        <v>1993</v>
      </c>
      <c r="D67">
        <v>1</v>
      </c>
      <c r="E67">
        <v>1991</v>
      </c>
      <c r="F67">
        <v>1990</v>
      </c>
      <c r="G67">
        <v>1.7857142857142856E-2</v>
      </c>
      <c r="H67">
        <v>20.912271792258842</v>
      </c>
      <c r="I67">
        <v>0</v>
      </c>
      <c r="J67">
        <v>1</v>
      </c>
      <c r="K67">
        <v>0</v>
      </c>
      <c r="L67" t="s">
        <v>238</v>
      </c>
      <c r="M67" t="s">
        <v>238</v>
      </c>
      <c r="N67" t="s">
        <v>238</v>
      </c>
      <c r="O67">
        <v>0</v>
      </c>
      <c r="P67">
        <v>1</v>
      </c>
      <c r="Q67">
        <v>0</v>
      </c>
      <c r="R67">
        <v>0</v>
      </c>
      <c r="S67">
        <v>0</v>
      </c>
      <c r="T67">
        <v>1</v>
      </c>
      <c r="U67">
        <v>0</v>
      </c>
      <c r="W67">
        <v>0</v>
      </c>
      <c r="AA67">
        <v>0</v>
      </c>
      <c r="AC67">
        <v>0</v>
      </c>
      <c r="AD67">
        <v>0</v>
      </c>
      <c r="AE67">
        <v>0</v>
      </c>
      <c r="AF67">
        <v>0</v>
      </c>
      <c r="AG67">
        <v>0</v>
      </c>
      <c r="AH67">
        <v>23</v>
      </c>
      <c r="AI67">
        <v>1.1299999999999999</v>
      </c>
      <c r="AJ67">
        <v>60</v>
      </c>
    </row>
    <row r="68" spans="1:36" x14ac:dyDescent="0.2">
      <c r="A68" t="str">
        <f>+VLOOKUP(B68,studies!$A$2:$C$102,3)</f>
        <v>Parry (1993)</v>
      </c>
      <c r="B68">
        <v>10</v>
      </c>
      <c r="C68">
        <v>1993</v>
      </c>
      <c r="D68">
        <v>1</v>
      </c>
      <c r="E68">
        <v>1991</v>
      </c>
      <c r="F68">
        <v>1990</v>
      </c>
      <c r="G68">
        <v>8.9285714285714281E-3</v>
      </c>
      <c r="H68">
        <v>7.0970390985805984</v>
      </c>
      <c r="I68">
        <v>0</v>
      </c>
      <c r="J68">
        <v>1</v>
      </c>
      <c r="K68">
        <v>0</v>
      </c>
      <c r="L68" t="s">
        <v>238</v>
      </c>
      <c r="M68" t="s">
        <v>238</v>
      </c>
      <c r="N68" t="s">
        <v>238</v>
      </c>
      <c r="O68">
        <v>0</v>
      </c>
      <c r="P68">
        <v>1</v>
      </c>
      <c r="Q68">
        <v>0</v>
      </c>
      <c r="R68">
        <v>0</v>
      </c>
      <c r="S68">
        <v>0</v>
      </c>
      <c r="T68">
        <v>1</v>
      </c>
      <c r="U68">
        <v>0</v>
      </c>
      <c r="W68">
        <v>0</v>
      </c>
      <c r="AA68">
        <v>0</v>
      </c>
      <c r="AC68">
        <v>0</v>
      </c>
      <c r="AD68">
        <v>0</v>
      </c>
      <c r="AE68">
        <v>0</v>
      </c>
      <c r="AF68">
        <v>0</v>
      </c>
      <c r="AG68">
        <v>0</v>
      </c>
      <c r="AH68">
        <v>23</v>
      </c>
      <c r="AI68">
        <v>1.1299999999999999</v>
      </c>
      <c r="AJ68">
        <v>60</v>
      </c>
    </row>
    <row r="69" spans="1:36" x14ac:dyDescent="0.2">
      <c r="A69" t="str">
        <f>+VLOOKUP(B69,studies!$A$2:$C$102,3)</f>
        <v>Parry (1993)</v>
      </c>
      <c r="B69">
        <v>10</v>
      </c>
      <c r="C69">
        <v>1993</v>
      </c>
      <c r="D69">
        <v>1</v>
      </c>
      <c r="E69">
        <v>1991</v>
      </c>
      <c r="F69">
        <v>1990</v>
      </c>
      <c r="G69">
        <v>8.9285714285714281E-3</v>
      </c>
      <c r="H69">
        <v>39.854546966406353</v>
      </c>
      <c r="I69">
        <v>0</v>
      </c>
      <c r="J69">
        <v>1</v>
      </c>
      <c r="K69">
        <v>0</v>
      </c>
      <c r="L69" t="s">
        <v>238</v>
      </c>
      <c r="M69" t="s">
        <v>238</v>
      </c>
      <c r="N69" t="s">
        <v>238</v>
      </c>
      <c r="O69">
        <v>0</v>
      </c>
      <c r="P69">
        <v>1</v>
      </c>
      <c r="Q69">
        <v>0</v>
      </c>
      <c r="R69">
        <v>0</v>
      </c>
      <c r="S69">
        <v>0</v>
      </c>
      <c r="T69">
        <v>1</v>
      </c>
      <c r="U69">
        <v>0</v>
      </c>
      <c r="W69">
        <v>0</v>
      </c>
      <c r="AA69">
        <v>0</v>
      </c>
      <c r="AC69">
        <v>0</v>
      </c>
      <c r="AD69">
        <v>0</v>
      </c>
      <c r="AE69">
        <v>0</v>
      </c>
      <c r="AF69">
        <v>0</v>
      </c>
      <c r="AG69">
        <v>0</v>
      </c>
      <c r="AH69">
        <v>23</v>
      </c>
      <c r="AI69">
        <v>1.1299999999999999</v>
      </c>
      <c r="AJ69">
        <v>60</v>
      </c>
    </row>
    <row r="70" spans="1:36" x14ac:dyDescent="0.2">
      <c r="A70" t="str">
        <f>+VLOOKUP(B70,studies!$A$2:$C$102,3)</f>
        <v>Parry (1993)</v>
      </c>
      <c r="B70">
        <v>10</v>
      </c>
      <c r="C70">
        <v>1993</v>
      </c>
      <c r="D70">
        <v>1</v>
      </c>
      <c r="E70">
        <v>1991</v>
      </c>
      <c r="F70">
        <v>1990</v>
      </c>
      <c r="G70">
        <v>8.9285714285714281E-3</v>
      </c>
      <c r="H70">
        <v>17.32586769262025</v>
      </c>
      <c r="I70">
        <v>0</v>
      </c>
      <c r="J70">
        <v>1</v>
      </c>
      <c r="K70">
        <v>0</v>
      </c>
      <c r="L70" t="s">
        <v>238</v>
      </c>
      <c r="M70" t="s">
        <v>238</v>
      </c>
      <c r="N70" t="s">
        <v>238</v>
      </c>
      <c r="O70">
        <v>0</v>
      </c>
      <c r="P70">
        <v>1</v>
      </c>
      <c r="Q70">
        <v>0</v>
      </c>
      <c r="R70">
        <v>0</v>
      </c>
      <c r="S70">
        <v>0</v>
      </c>
      <c r="T70">
        <v>1</v>
      </c>
      <c r="U70">
        <v>0</v>
      </c>
      <c r="W70">
        <v>0</v>
      </c>
      <c r="AA70">
        <v>0</v>
      </c>
      <c r="AC70">
        <v>0</v>
      </c>
      <c r="AD70">
        <v>0</v>
      </c>
      <c r="AE70">
        <v>0</v>
      </c>
      <c r="AF70">
        <v>0</v>
      </c>
      <c r="AG70">
        <v>0</v>
      </c>
      <c r="AH70">
        <v>23</v>
      </c>
      <c r="AI70">
        <v>1.1299999999999999</v>
      </c>
      <c r="AJ70">
        <v>60</v>
      </c>
    </row>
    <row r="71" spans="1:36" x14ac:dyDescent="0.2">
      <c r="A71" t="str">
        <f>+VLOOKUP(B71,studies!$A$2:$C$102,3)</f>
        <v>Parry (1993)</v>
      </c>
      <c r="B71">
        <v>10</v>
      </c>
      <c r="C71">
        <v>1993</v>
      </c>
      <c r="D71">
        <v>1</v>
      </c>
      <c r="E71">
        <v>1991</v>
      </c>
      <c r="F71">
        <v>1990</v>
      </c>
      <c r="G71">
        <v>8.9285714285714281E-3</v>
      </c>
      <c r="H71">
        <v>103.9552061557215</v>
      </c>
      <c r="I71">
        <v>0</v>
      </c>
      <c r="J71">
        <v>1</v>
      </c>
      <c r="K71">
        <v>0</v>
      </c>
      <c r="L71" t="s">
        <v>238</v>
      </c>
      <c r="M71" t="s">
        <v>238</v>
      </c>
      <c r="N71" t="s">
        <v>238</v>
      </c>
      <c r="O71">
        <v>0</v>
      </c>
      <c r="P71">
        <v>1</v>
      </c>
      <c r="Q71">
        <v>0</v>
      </c>
      <c r="R71">
        <v>0</v>
      </c>
      <c r="S71">
        <v>0</v>
      </c>
      <c r="T71">
        <v>1</v>
      </c>
      <c r="U71">
        <v>0</v>
      </c>
      <c r="W71">
        <v>0</v>
      </c>
      <c r="AA71">
        <v>0</v>
      </c>
      <c r="AC71">
        <v>0</v>
      </c>
      <c r="AD71">
        <v>0</v>
      </c>
      <c r="AE71">
        <v>0</v>
      </c>
      <c r="AF71">
        <v>0</v>
      </c>
      <c r="AG71">
        <v>0</v>
      </c>
      <c r="AH71">
        <v>23</v>
      </c>
      <c r="AI71">
        <v>1.1299999999999999</v>
      </c>
      <c r="AJ71">
        <v>60</v>
      </c>
    </row>
    <row r="72" spans="1:36" x14ac:dyDescent="0.2">
      <c r="A72" t="str">
        <f>+VLOOKUP(B72,studies!$A$2:$C$102,3)</f>
        <v>Parry (1993)</v>
      </c>
      <c r="B72">
        <v>10</v>
      </c>
      <c r="C72">
        <v>1993</v>
      </c>
      <c r="D72">
        <v>1</v>
      </c>
      <c r="E72">
        <v>1991</v>
      </c>
      <c r="F72">
        <v>1990</v>
      </c>
      <c r="G72">
        <v>8.9285714285714281E-3</v>
      </c>
      <c r="H72">
        <v>115.92672406578272</v>
      </c>
      <c r="I72">
        <v>0</v>
      </c>
      <c r="J72">
        <v>1</v>
      </c>
      <c r="K72">
        <v>0</v>
      </c>
      <c r="L72" t="s">
        <v>238</v>
      </c>
      <c r="M72" t="s">
        <v>238</v>
      </c>
      <c r="N72" t="s">
        <v>238</v>
      </c>
      <c r="O72">
        <v>0</v>
      </c>
      <c r="P72">
        <v>1</v>
      </c>
      <c r="Q72">
        <v>0</v>
      </c>
      <c r="R72">
        <v>0</v>
      </c>
      <c r="S72">
        <v>0</v>
      </c>
      <c r="T72">
        <v>1</v>
      </c>
      <c r="U72">
        <v>0</v>
      </c>
      <c r="W72">
        <v>0</v>
      </c>
      <c r="AA72">
        <v>0</v>
      </c>
      <c r="AC72">
        <v>0</v>
      </c>
      <c r="AD72">
        <v>0</v>
      </c>
      <c r="AE72">
        <v>0</v>
      </c>
      <c r="AF72">
        <v>0</v>
      </c>
      <c r="AG72">
        <v>0</v>
      </c>
      <c r="AH72">
        <v>23</v>
      </c>
      <c r="AI72">
        <v>1.1299999999999999</v>
      </c>
      <c r="AJ72">
        <v>60</v>
      </c>
    </row>
    <row r="73" spans="1:36" x14ac:dyDescent="0.2">
      <c r="A73" t="str">
        <f>+VLOOKUP(B73,studies!$A$2:$C$102,3)</f>
        <v>Parry (1993)</v>
      </c>
      <c r="B73">
        <v>10</v>
      </c>
      <c r="C73">
        <v>1993</v>
      </c>
      <c r="D73">
        <v>1</v>
      </c>
      <c r="E73">
        <v>1991</v>
      </c>
      <c r="F73">
        <v>1990</v>
      </c>
      <c r="G73">
        <v>8.9285714285714281E-3</v>
      </c>
      <c r="H73">
        <v>695.81290806368497</v>
      </c>
      <c r="I73">
        <v>0</v>
      </c>
      <c r="J73">
        <v>1</v>
      </c>
      <c r="K73">
        <v>0</v>
      </c>
      <c r="L73" t="s">
        <v>238</v>
      </c>
      <c r="M73" t="s">
        <v>238</v>
      </c>
      <c r="N73" t="s">
        <v>238</v>
      </c>
      <c r="O73">
        <v>0</v>
      </c>
      <c r="P73">
        <v>1</v>
      </c>
      <c r="Q73">
        <v>0</v>
      </c>
      <c r="R73">
        <v>0</v>
      </c>
      <c r="S73">
        <v>0</v>
      </c>
      <c r="T73">
        <v>1</v>
      </c>
      <c r="U73">
        <v>0</v>
      </c>
      <c r="W73">
        <v>0</v>
      </c>
      <c r="AA73">
        <v>0</v>
      </c>
      <c r="AC73">
        <v>0</v>
      </c>
      <c r="AD73">
        <v>0</v>
      </c>
      <c r="AE73">
        <v>0</v>
      </c>
      <c r="AF73">
        <v>0</v>
      </c>
      <c r="AG73">
        <v>0</v>
      </c>
      <c r="AH73">
        <v>23</v>
      </c>
      <c r="AI73">
        <v>1.1299999999999999</v>
      </c>
      <c r="AJ73">
        <v>60</v>
      </c>
    </row>
    <row r="74" spans="1:36" x14ac:dyDescent="0.2">
      <c r="A74" t="str">
        <f>+VLOOKUP(B74,studies!$A$2:$C$102,3)</f>
        <v>Parry (1993)</v>
      </c>
      <c r="B74">
        <v>10</v>
      </c>
      <c r="C74">
        <v>1993</v>
      </c>
      <c r="D74">
        <v>1</v>
      </c>
      <c r="E74">
        <v>1991</v>
      </c>
      <c r="F74">
        <v>1990</v>
      </c>
      <c r="G74">
        <v>1.7857142857142856E-2</v>
      </c>
      <c r="H74">
        <v>174.26893160215704</v>
      </c>
      <c r="I74">
        <v>0</v>
      </c>
      <c r="J74">
        <v>1</v>
      </c>
      <c r="K74">
        <v>0</v>
      </c>
      <c r="L74" t="s">
        <v>238</v>
      </c>
      <c r="M74" t="s">
        <v>238</v>
      </c>
      <c r="N74" t="s">
        <v>238</v>
      </c>
      <c r="O74">
        <v>0</v>
      </c>
      <c r="P74">
        <v>1</v>
      </c>
      <c r="Q74">
        <v>0</v>
      </c>
      <c r="R74">
        <v>0</v>
      </c>
      <c r="S74">
        <v>0</v>
      </c>
      <c r="T74">
        <v>1</v>
      </c>
      <c r="U74">
        <v>0</v>
      </c>
      <c r="W74">
        <v>0</v>
      </c>
      <c r="AA74">
        <v>0</v>
      </c>
      <c r="AC74">
        <v>0</v>
      </c>
      <c r="AD74">
        <v>0</v>
      </c>
      <c r="AE74">
        <v>0</v>
      </c>
      <c r="AF74">
        <v>0</v>
      </c>
      <c r="AG74">
        <v>0</v>
      </c>
      <c r="AH74">
        <v>23</v>
      </c>
      <c r="AI74">
        <v>1.1299999999999999</v>
      </c>
      <c r="AJ74">
        <v>60</v>
      </c>
    </row>
    <row r="75" spans="1:36" x14ac:dyDescent="0.2">
      <c r="A75" t="str">
        <f>+VLOOKUP(B75,studies!$A$2:$C$102,3)</f>
        <v>Parry (1993)</v>
      </c>
      <c r="B75">
        <v>10</v>
      </c>
      <c r="C75">
        <v>1993</v>
      </c>
      <c r="D75">
        <v>1</v>
      </c>
      <c r="E75">
        <v>1991</v>
      </c>
      <c r="F75">
        <v>1990</v>
      </c>
      <c r="G75">
        <v>1.7857142857142856E-2</v>
      </c>
      <c r="H75">
        <v>1045.3610259439536</v>
      </c>
      <c r="I75">
        <v>0</v>
      </c>
      <c r="J75">
        <v>1</v>
      </c>
      <c r="K75">
        <v>0</v>
      </c>
      <c r="L75" t="s">
        <v>238</v>
      </c>
      <c r="M75" t="s">
        <v>238</v>
      </c>
      <c r="N75" t="s">
        <v>238</v>
      </c>
      <c r="O75">
        <v>0</v>
      </c>
      <c r="P75">
        <v>1</v>
      </c>
      <c r="Q75">
        <v>0</v>
      </c>
      <c r="R75">
        <v>0</v>
      </c>
      <c r="S75">
        <v>0</v>
      </c>
      <c r="T75">
        <v>1</v>
      </c>
      <c r="U75">
        <v>0</v>
      </c>
      <c r="W75">
        <v>0</v>
      </c>
      <c r="AA75">
        <v>0</v>
      </c>
      <c r="AC75">
        <v>0</v>
      </c>
      <c r="AD75">
        <v>0</v>
      </c>
      <c r="AE75">
        <v>0</v>
      </c>
      <c r="AF75">
        <v>0</v>
      </c>
      <c r="AG75">
        <v>0</v>
      </c>
      <c r="AH75">
        <v>23</v>
      </c>
      <c r="AI75">
        <v>1.1299999999999999</v>
      </c>
      <c r="AJ75">
        <v>60</v>
      </c>
    </row>
    <row r="76" spans="1:36" x14ac:dyDescent="0.2">
      <c r="A76" t="str">
        <f>+VLOOKUP(B76,studies!$A$2:$C$102,3)</f>
        <v>Parry (1993)</v>
      </c>
      <c r="B76">
        <v>10</v>
      </c>
      <c r="C76">
        <v>1993</v>
      </c>
      <c r="D76">
        <v>1</v>
      </c>
      <c r="E76">
        <v>1991</v>
      </c>
      <c r="F76">
        <v>1990</v>
      </c>
      <c r="G76">
        <v>1.7857142857142856E-2</v>
      </c>
      <c r="H76">
        <v>348.28529953532541</v>
      </c>
      <c r="I76">
        <v>0</v>
      </c>
      <c r="J76">
        <v>1</v>
      </c>
      <c r="K76">
        <v>0</v>
      </c>
      <c r="L76" t="s">
        <v>238</v>
      </c>
      <c r="M76" t="s">
        <v>238</v>
      </c>
      <c r="N76" t="s">
        <v>238</v>
      </c>
      <c r="O76">
        <v>0</v>
      </c>
      <c r="P76">
        <v>1</v>
      </c>
      <c r="Q76">
        <v>0</v>
      </c>
      <c r="R76">
        <v>0</v>
      </c>
      <c r="S76">
        <v>0</v>
      </c>
      <c r="T76">
        <v>1</v>
      </c>
      <c r="U76">
        <v>0</v>
      </c>
      <c r="W76">
        <v>0</v>
      </c>
      <c r="AA76">
        <v>0</v>
      </c>
      <c r="AC76">
        <v>0</v>
      </c>
      <c r="AD76">
        <v>0</v>
      </c>
      <c r="AE76">
        <v>0</v>
      </c>
      <c r="AF76">
        <v>0</v>
      </c>
      <c r="AG76">
        <v>0</v>
      </c>
      <c r="AH76">
        <v>23</v>
      </c>
      <c r="AI76">
        <v>1.1299999999999999</v>
      </c>
      <c r="AJ76">
        <v>60</v>
      </c>
    </row>
    <row r="77" spans="1:36" x14ac:dyDescent="0.2">
      <c r="A77" t="str">
        <f>+VLOOKUP(B77,studies!$A$2:$C$102,3)</f>
        <v>Parry (1993)</v>
      </c>
      <c r="B77">
        <v>10</v>
      </c>
      <c r="C77">
        <v>1993</v>
      </c>
      <c r="D77">
        <v>1</v>
      </c>
      <c r="E77">
        <v>1991</v>
      </c>
      <c r="F77">
        <v>1990</v>
      </c>
      <c r="G77">
        <v>1.7857142857142856E-2</v>
      </c>
      <c r="H77">
        <v>2089.3329517084699</v>
      </c>
      <c r="I77">
        <v>0</v>
      </c>
      <c r="J77">
        <v>1</v>
      </c>
      <c r="K77">
        <v>0</v>
      </c>
      <c r="L77" t="s">
        <v>238</v>
      </c>
      <c r="M77" t="s">
        <v>238</v>
      </c>
      <c r="N77" t="s">
        <v>238</v>
      </c>
      <c r="O77">
        <v>0</v>
      </c>
      <c r="P77">
        <v>1</v>
      </c>
      <c r="Q77">
        <v>0</v>
      </c>
      <c r="R77">
        <v>0</v>
      </c>
      <c r="S77">
        <v>0</v>
      </c>
      <c r="T77">
        <v>1</v>
      </c>
      <c r="U77">
        <v>0</v>
      </c>
      <c r="W77">
        <v>0</v>
      </c>
      <c r="AA77">
        <v>0</v>
      </c>
      <c r="AC77">
        <v>0</v>
      </c>
      <c r="AD77">
        <v>0</v>
      </c>
      <c r="AE77">
        <v>0</v>
      </c>
      <c r="AF77">
        <v>0</v>
      </c>
      <c r="AG77">
        <v>0</v>
      </c>
      <c r="AH77">
        <v>23</v>
      </c>
      <c r="AI77">
        <v>1.1299999999999999</v>
      </c>
      <c r="AJ77">
        <v>60</v>
      </c>
    </row>
    <row r="78" spans="1:36" x14ac:dyDescent="0.2">
      <c r="A78" t="str">
        <f>+VLOOKUP(B78,studies!$A$2:$C$102,3)</f>
        <v>Parry (1993)</v>
      </c>
      <c r="B78">
        <v>10</v>
      </c>
      <c r="C78">
        <v>1993</v>
      </c>
      <c r="D78">
        <v>1</v>
      </c>
      <c r="E78">
        <v>1991</v>
      </c>
      <c r="F78">
        <v>1990</v>
      </c>
      <c r="G78">
        <v>8.9285714285714281E-3</v>
      </c>
      <c r="H78">
        <v>664.11616760561151</v>
      </c>
      <c r="I78">
        <v>0</v>
      </c>
      <c r="J78">
        <v>1</v>
      </c>
      <c r="K78">
        <v>0</v>
      </c>
      <c r="L78" t="s">
        <v>238</v>
      </c>
      <c r="M78" t="s">
        <v>238</v>
      </c>
      <c r="N78" t="s">
        <v>238</v>
      </c>
      <c r="O78">
        <v>0</v>
      </c>
      <c r="P78">
        <v>1</v>
      </c>
      <c r="Q78">
        <v>0</v>
      </c>
      <c r="R78">
        <v>0</v>
      </c>
      <c r="S78">
        <v>0</v>
      </c>
      <c r="T78">
        <v>1</v>
      </c>
      <c r="U78">
        <v>0</v>
      </c>
      <c r="W78">
        <v>0</v>
      </c>
      <c r="AA78">
        <v>0</v>
      </c>
      <c r="AC78">
        <v>0</v>
      </c>
      <c r="AD78">
        <v>0</v>
      </c>
      <c r="AE78">
        <v>0</v>
      </c>
      <c r="AF78">
        <v>0</v>
      </c>
      <c r="AG78">
        <v>0</v>
      </c>
      <c r="AH78">
        <v>23</v>
      </c>
      <c r="AI78">
        <v>1.1299999999999999</v>
      </c>
      <c r="AJ78">
        <v>60</v>
      </c>
    </row>
    <row r="79" spans="1:36" x14ac:dyDescent="0.2">
      <c r="A79" t="str">
        <f>+VLOOKUP(B79,studies!$A$2:$C$102,3)</f>
        <v>Parry (1993)</v>
      </c>
      <c r="B79">
        <v>10</v>
      </c>
      <c r="C79">
        <v>1993</v>
      </c>
      <c r="D79">
        <v>1</v>
      </c>
      <c r="E79">
        <v>1991</v>
      </c>
      <c r="F79">
        <v>1990</v>
      </c>
      <c r="G79">
        <v>8.9285714285714281E-3</v>
      </c>
      <c r="H79">
        <v>3984.3181601301858</v>
      </c>
      <c r="I79">
        <v>0</v>
      </c>
      <c r="J79">
        <v>1</v>
      </c>
      <c r="K79">
        <v>0</v>
      </c>
      <c r="L79" t="s">
        <v>238</v>
      </c>
      <c r="M79" t="s">
        <v>238</v>
      </c>
      <c r="N79" t="s">
        <v>238</v>
      </c>
      <c r="O79">
        <v>0</v>
      </c>
      <c r="P79">
        <v>1</v>
      </c>
      <c r="Q79">
        <v>0</v>
      </c>
      <c r="R79">
        <v>0</v>
      </c>
      <c r="S79">
        <v>0</v>
      </c>
      <c r="T79">
        <v>1</v>
      </c>
      <c r="U79">
        <v>0</v>
      </c>
      <c r="W79">
        <v>0</v>
      </c>
      <c r="AA79">
        <v>0</v>
      </c>
      <c r="AC79">
        <v>0</v>
      </c>
      <c r="AD79">
        <v>0</v>
      </c>
      <c r="AE79">
        <v>0</v>
      </c>
      <c r="AF79">
        <v>0</v>
      </c>
      <c r="AG79">
        <v>0</v>
      </c>
      <c r="AH79">
        <v>23</v>
      </c>
      <c r="AI79">
        <v>1.1299999999999999</v>
      </c>
      <c r="AJ79">
        <v>60</v>
      </c>
    </row>
    <row r="80" spans="1:36" x14ac:dyDescent="0.2">
      <c r="A80" t="str">
        <f>+VLOOKUP(B80,studies!$A$2:$C$102,3)</f>
        <v>Parry (1993)</v>
      </c>
      <c r="B80">
        <v>10</v>
      </c>
      <c r="C80">
        <v>1993</v>
      </c>
      <c r="D80">
        <v>1</v>
      </c>
      <c r="E80">
        <v>1991</v>
      </c>
      <c r="F80">
        <v>1990</v>
      </c>
      <c r="G80">
        <v>8.9285714285714281E-3</v>
      </c>
      <c r="H80">
        <v>1732.8393329310138</v>
      </c>
      <c r="I80">
        <v>0</v>
      </c>
      <c r="J80">
        <v>1</v>
      </c>
      <c r="K80">
        <v>0</v>
      </c>
      <c r="L80" t="s">
        <v>238</v>
      </c>
      <c r="M80" t="s">
        <v>238</v>
      </c>
      <c r="N80" t="s">
        <v>238</v>
      </c>
      <c r="O80">
        <v>0</v>
      </c>
      <c r="P80">
        <v>1</v>
      </c>
      <c r="Q80">
        <v>0</v>
      </c>
      <c r="R80">
        <v>0</v>
      </c>
      <c r="S80">
        <v>0</v>
      </c>
      <c r="T80">
        <v>1</v>
      </c>
      <c r="U80">
        <v>0</v>
      </c>
      <c r="W80">
        <v>0</v>
      </c>
      <c r="AA80">
        <v>0</v>
      </c>
      <c r="AC80">
        <v>0</v>
      </c>
      <c r="AD80">
        <v>0</v>
      </c>
      <c r="AE80">
        <v>0</v>
      </c>
      <c r="AF80">
        <v>0</v>
      </c>
      <c r="AG80">
        <v>0</v>
      </c>
      <c r="AH80">
        <v>23</v>
      </c>
      <c r="AI80">
        <v>1.1299999999999999</v>
      </c>
      <c r="AJ80">
        <v>60</v>
      </c>
    </row>
    <row r="81" spans="1:36" x14ac:dyDescent="0.2">
      <c r="A81" t="str">
        <f>+VLOOKUP(B81,studies!$A$2:$C$102,3)</f>
        <v>Parry (1993)</v>
      </c>
      <c r="B81">
        <v>10</v>
      </c>
      <c r="C81">
        <v>1993</v>
      </c>
      <c r="D81">
        <v>1</v>
      </c>
      <c r="E81">
        <v>1991</v>
      </c>
      <c r="F81">
        <v>1990</v>
      </c>
      <c r="G81">
        <v>8.9285714285714281E-3</v>
      </c>
      <c r="H81">
        <v>10396.657152082598</v>
      </c>
      <c r="I81">
        <v>0</v>
      </c>
      <c r="J81">
        <v>1</v>
      </c>
      <c r="K81">
        <v>0</v>
      </c>
      <c r="L81" t="s">
        <v>238</v>
      </c>
      <c r="M81" t="s">
        <v>238</v>
      </c>
      <c r="N81" t="s">
        <v>238</v>
      </c>
      <c r="O81">
        <v>0</v>
      </c>
      <c r="P81">
        <v>1</v>
      </c>
      <c r="Q81">
        <v>0</v>
      </c>
      <c r="R81">
        <v>0</v>
      </c>
      <c r="S81">
        <v>0</v>
      </c>
      <c r="T81">
        <v>1</v>
      </c>
      <c r="U81">
        <v>0</v>
      </c>
      <c r="W81">
        <v>0</v>
      </c>
      <c r="AA81">
        <v>0</v>
      </c>
      <c r="AC81">
        <v>0</v>
      </c>
      <c r="AD81">
        <v>0</v>
      </c>
      <c r="AE81">
        <v>0</v>
      </c>
      <c r="AF81">
        <v>0</v>
      </c>
      <c r="AG81">
        <v>0</v>
      </c>
      <c r="AH81">
        <v>23</v>
      </c>
      <c r="AI81">
        <v>1.1299999999999999</v>
      </c>
      <c r="AJ81">
        <v>60</v>
      </c>
    </row>
    <row r="82" spans="1:36" x14ac:dyDescent="0.2">
      <c r="A82" t="str">
        <f>+VLOOKUP(B82,studies!$A$2:$C$102,3)</f>
        <v>Peck &amp; Teisberg (1993)</v>
      </c>
      <c r="B82">
        <v>11</v>
      </c>
      <c r="C82">
        <v>1993</v>
      </c>
      <c r="D82">
        <v>1</v>
      </c>
      <c r="E82">
        <v>1989</v>
      </c>
      <c r="F82">
        <v>2030</v>
      </c>
      <c r="G82">
        <v>0.5</v>
      </c>
      <c r="H82">
        <v>11.105528860183005</v>
      </c>
      <c r="I82">
        <v>0</v>
      </c>
      <c r="J82">
        <v>1</v>
      </c>
      <c r="K82">
        <v>0</v>
      </c>
      <c r="L82" t="s">
        <v>238</v>
      </c>
      <c r="M82" t="s">
        <v>238</v>
      </c>
      <c r="N82" t="s">
        <v>238</v>
      </c>
      <c r="O82">
        <v>0</v>
      </c>
      <c r="P82">
        <v>1</v>
      </c>
      <c r="Q82">
        <v>0</v>
      </c>
      <c r="R82">
        <v>1</v>
      </c>
      <c r="S82">
        <v>0</v>
      </c>
      <c r="T82">
        <v>0</v>
      </c>
      <c r="U82">
        <v>0</v>
      </c>
      <c r="V82">
        <v>5</v>
      </c>
      <c r="W82">
        <v>3</v>
      </c>
      <c r="AA82">
        <v>0</v>
      </c>
      <c r="AC82">
        <v>0</v>
      </c>
      <c r="AD82">
        <v>0</v>
      </c>
      <c r="AE82">
        <v>0</v>
      </c>
      <c r="AF82">
        <v>1</v>
      </c>
      <c r="AG82">
        <v>0</v>
      </c>
      <c r="AH82">
        <v>198</v>
      </c>
      <c r="AI82">
        <v>1.1299999999999999</v>
      </c>
      <c r="AJ82">
        <v>27</v>
      </c>
    </row>
    <row r="83" spans="1:36" x14ac:dyDescent="0.2">
      <c r="A83" t="str">
        <f>+VLOOKUP(B83,studies!$A$2:$C$102,3)</f>
        <v>Peck &amp; Teisberg (1993)</v>
      </c>
      <c r="B83">
        <v>11</v>
      </c>
      <c r="C83">
        <v>1993</v>
      </c>
      <c r="D83">
        <v>1</v>
      </c>
      <c r="E83">
        <v>1989</v>
      </c>
      <c r="F83">
        <v>2030</v>
      </c>
      <c r="G83">
        <v>1.9230769230769232E-2</v>
      </c>
      <c r="H83">
        <v>24.210052915198954</v>
      </c>
      <c r="I83">
        <v>0</v>
      </c>
      <c r="J83">
        <v>1</v>
      </c>
      <c r="K83">
        <v>0</v>
      </c>
      <c r="L83" t="s">
        <v>238</v>
      </c>
      <c r="M83" t="s">
        <v>238</v>
      </c>
      <c r="N83" t="s">
        <v>238</v>
      </c>
      <c r="O83">
        <v>0</v>
      </c>
      <c r="P83">
        <v>1</v>
      </c>
      <c r="Q83">
        <v>0</v>
      </c>
      <c r="R83">
        <v>1</v>
      </c>
      <c r="S83">
        <v>0</v>
      </c>
      <c r="T83">
        <v>0</v>
      </c>
      <c r="U83">
        <v>0</v>
      </c>
      <c r="V83">
        <v>5</v>
      </c>
      <c r="W83">
        <v>3</v>
      </c>
      <c r="AA83">
        <v>0</v>
      </c>
      <c r="AC83">
        <v>0</v>
      </c>
      <c r="AD83">
        <v>0</v>
      </c>
      <c r="AE83">
        <v>0</v>
      </c>
      <c r="AF83">
        <v>1</v>
      </c>
      <c r="AG83">
        <v>0</v>
      </c>
      <c r="AH83">
        <v>198</v>
      </c>
      <c r="AI83">
        <v>1.1299999999999999</v>
      </c>
      <c r="AJ83">
        <v>27</v>
      </c>
    </row>
    <row r="84" spans="1:36" x14ac:dyDescent="0.2">
      <c r="A84" t="str">
        <f>+VLOOKUP(B84,studies!$A$2:$C$102,3)</f>
        <v>Peck &amp; Teisberg (1993)</v>
      </c>
      <c r="B84">
        <v>11</v>
      </c>
      <c r="C84">
        <v>1993</v>
      </c>
      <c r="D84">
        <v>1</v>
      </c>
      <c r="E84">
        <v>1989</v>
      </c>
      <c r="F84">
        <v>2030</v>
      </c>
      <c r="G84">
        <v>1.9230769230769232E-2</v>
      </c>
      <c r="H84">
        <v>24.543218781004448</v>
      </c>
      <c r="I84">
        <v>0</v>
      </c>
      <c r="J84">
        <v>1</v>
      </c>
      <c r="K84">
        <v>0</v>
      </c>
      <c r="L84" t="s">
        <v>238</v>
      </c>
      <c r="M84" t="s">
        <v>238</v>
      </c>
      <c r="N84" t="s">
        <v>238</v>
      </c>
      <c r="O84">
        <v>0</v>
      </c>
      <c r="P84">
        <v>1</v>
      </c>
      <c r="Q84">
        <v>0</v>
      </c>
      <c r="R84">
        <v>1</v>
      </c>
      <c r="S84">
        <v>0</v>
      </c>
      <c r="T84">
        <v>0</v>
      </c>
      <c r="U84">
        <v>0</v>
      </c>
      <c r="V84">
        <v>5</v>
      </c>
      <c r="W84">
        <v>3</v>
      </c>
      <c r="AA84">
        <v>0</v>
      </c>
      <c r="AC84">
        <v>0</v>
      </c>
      <c r="AD84">
        <v>0</v>
      </c>
      <c r="AE84">
        <v>0</v>
      </c>
      <c r="AF84">
        <v>1</v>
      </c>
      <c r="AG84">
        <v>0</v>
      </c>
      <c r="AH84">
        <v>198</v>
      </c>
      <c r="AI84">
        <v>1.1299999999999999</v>
      </c>
      <c r="AJ84">
        <v>27</v>
      </c>
    </row>
    <row r="85" spans="1:36" x14ac:dyDescent="0.2">
      <c r="A85" t="str">
        <f>+VLOOKUP(B85,studies!$A$2:$C$102,3)</f>
        <v>Peck &amp; Teisberg (1993)</v>
      </c>
      <c r="B85">
        <v>11</v>
      </c>
      <c r="C85">
        <v>1993</v>
      </c>
      <c r="D85">
        <v>1</v>
      </c>
      <c r="E85">
        <v>1989</v>
      </c>
      <c r="F85">
        <v>2030</v>
      </c>
      <c r="G85">
        <v>1.9230769230769232E-2</v>
      </c>
      <c r="H85">
        <v>25.431661089819084</v>
      </c>
      <c r="I85">
        <v>0</v>
      </c>
      <c r="J85">
        <v>1</v>
      </c>
      <c r="K85">
        <v>0</v>
      </c>
      <c r="L85" t="s">
        <v>238</v>
      </c>
      <c r="M85" t="s">
        <v>238</v>
      </c>
      <c r="N85" t="s">
        <v>238</v>
      </c>
      <c r="O85">
        <v>0</v>
      </c>
      <c r="P85">
        <v>1</v>
      </c>
      <c r="Q85">
        <v>0</v>
      </c>
      <c r="R85">
        <v>1</v>
      </c>
      <c r="S85">
        <v>0</v>
      </c>
      <c r="T85">
        <v>0</v>
      </c>
      <c r="U85">
        <v>0</v>
      </c>
      <c r="V85">
        <v>5</v>
      </c>
      <c r="W85">
        <v>3</v>
      </c>
      <c r="AA85">
        <v>0</v>
      </c>
      <c r="AC85">
        <v>0</v>
      </c>
      <c r="AD85">
        <v>0</v>
      </c>
      <c r="AE85">
        <v>0</v>
      </c>
      <c r="AF85">
        <v>1</v>
      </c>
      <c r="AG85">
        <v>0</v>
      </c>
      <c r="AH85">
        <v>198</v>
      </c>
      <c r="AI85">
        <v>1.1299999999999999</v>
      </c>
      <c r="AJ85">
        <v>27</v>
      </c>
    </row>
    <row r="86" spans="1:36" x14ac:dyDescent="0.2">
      <c r="A86" t="str">
        <f>+VLOOKUP(B86,studies!$A$2:$C$102,3)</f>
        <v>Peck &amp; Teisberg (1993)</v>
      </c>
      <c r="B86">
        <v>11</v>
      </c>
      <c r="C86">
        <v>1993</v>
      </c>
      <c r="D86">
        <v>1</v>
      </c>
      <c r="E86">
        <v>1989</v>
      </c>
      <c r="F86">
        <v>2030</v>
      </c>
      <c r="G86">
        <v>1.9230769230769232E-2</v>
      </c>
      <c r="H86">
        <v>24.210052915198954</v>
      </c>
      <c r="I86">
        <v>0</v>
      </c>
      <c r="J86">
        <v>1</v>
      </c>
      <c r="K86">
        <v>0</v>
      </c>
      <c r="L86" t="s">
        <v>238</v>
      </c>
      <c r="M86" t="s">
        <v>238</v>
      </c>
      <c r="N86" t="s">
        <v>238</v>
      </c>
      <c r="O86">
        <v>0</v>
      </c>
      <c r="P86">
        <v>1</v>
      </c>
      <c r="Q86">
        <v>0</v>
      </c>
      <c r="R86">
        <v>1</v>
      </c>
      <c r="S86">
        <v>0</v>
      </c>
      <c r="T86">
        <v>0</v>
      </c>
      <c r="U86">
        <v>0</v>
      </c>
      <c r="V86">
        <v>5</v>
      </c>
      <c r="W86">
        <v>3</v>
      </c>
      <c r="AA86">
        <v>0</v>
      </c>
      <c r="AC86">
        <v>0</v>
      </c>
      <c r="AD86">
        <v>0</v>
      </c>
      <c r="AE86">
        <v>0</v>
      </c>
      <c r="AF86">
        <v>1</v>
      </c>
      <c r="AG86">
        <v>0</v>
      </c>
      <c r="AH86">
        <v>198</v>
      </c>
      <c r="AI86">
        <v>1.1299999999999999</v>
      </c>
      <c r="AJ86">
        <v>27</v>
      </c>
    </row>
    <row r="87" spans="1:36" x14ac:dyDescent="0.2">
      <c r="A87" t="str">
        <f>+VLOOKUP(B87,studies!$A$2:$C$102,3)</f>
        <v>Peck &amp; Teisberg (1993)</v>
      </c>
      <c r="B87">
        <v>11</v>
      </c>
      <c r="C87">
        <v>1993</v>
      </c>
      <c r="D87">
        <v>1</v>
      </c>
      <c r="E87">
        <v>1989</v>
      </c>
      <c r="F87">
        <v>2030</v>
      </c>
      <c r="G87">
        <v>1.9230769230769232E-2</v>
      </c>
      <c r="H87">
        <v>24.543218781004448</v>
      </c>
      <c r="I87">
        <v>0</v>
      </c>
      <c r="J87">
        <v>1</v>
      </c>
      <c r="K87">
        <v>0</v>
      </c>
      <c r="L87" t="s">
        <v>238</v>
      </c>
      <c r="M87" t="s">
        <v>238</v>
      </c>
      <c r="N87" t="s">
        <v>238</v>
      </c>
      <c r="O87">
        <v>0</v>
      </c>
      <c r="P87">
        <v>1</v>
      </c>
      <c r="Q87">
        <v>0</v>
      </c>
      <c r="R87">
        <v>1</v>
      </c>
      <c r="S87">
        <v>0</v>
      </c>
      <c r="T87">
        <v>0</v>
      </c>
      <c r="U87">
        <v>0</v>
      </c>
      <c r="V87">
        <v>5</v>
      </c>
      <c r="W87">
        <v>3</v>
      </c>
      <c r="AA87">
        <v>0</v>
      </c>
      <c r="AC87">
        <v>0</v>
      </c>
      <c r="AD87">
        <v>0</v>
      </c>
      <c r="AE87">
        <v>0</v>
      </c>
      <c r="AF87">
        <v>1</v>
      </c>
      <c r="AG87">
        <v>0</v>
      </c>
      <c r="AH87">
        <v>198</v>
      </c>
      <c r="AI87">
        <v>1.1299999999999999</v>
      </c>
      <c r="AJ87">
        <v>27</v>
      </c>
    </row>
    <row r="88" spans="1:36" x14ac:dyDescent="0.2">
      <c r="A88" t="str">
        <f>+VLOOKUP(B88,studies!$A$2:$C$102,3)</f>
        <v>Peck &amp; Teisberg (1993)</v>
      </c>
      <c r="B88">
        <v>11</v>
      </c>
      <c r="C88">
        <v>1993</v>
      </c>
      <c r="D88">
        <v>1</v>
      </c>
      <c r="E88">
        <v>1989</v>
      </c>
      <c r="F88">
        <v>2030</v>
      </c>
      <c r="G88">
        <v>1.9230769230769232E-2</v>
      </c>
      <c r="H88">
        <v>3.7758798124622222</v>
      </c>
      <c r="I88">
        <v>0</v>
      </c>
      <c r="J88">
        <v>1</v>
      </c>
      <c r="K88">
        <v>0</v>
      </c>
      <c r="L88" t="s">
        <v>238</v>
      </c>
      <c r="M88" t="s">
        <v>238</v>
      </c>
      <c r="N88" t="s">
        <v>238</v>
      </c>
      <c r="O88">
        <v>0</v>
      </c>
      <c r="P88">
        <v>1</v>
      </c>
      <c r="Q88">
        <v>0</v>
      </c>
      <c r="R88">
        <v>1</v>
      </c>
      <c r="S88">
        <v>0</v>
      </c>
      <c r="T88">
        <v>0</v>
      </c>
      <c r="U88">
        <v>0</v>
      </c>
      <c r="V88">
        <v>5</v>
      </c>
      <c r="W88">
        <v>3</v>
      </c>
      <c r="AA88">
        <v>0</v>
      </c>
      <c r="AC88">
        <v>0</v>
      </c>
      <c r="AD88">
        <v>0</v>
      </c>
      <c r="AE88">
        <v>0</v>
      </c>
      <c r="AF88">
        <v>1</v>
      </c>
      <c r="AG88">
        <v>0</v>
      </c>
      <c r="AH88">
        <v>198</v>
      </c>
      <c r="AI88">
        <v>1.1299999999999999</v>
      </c>
      <c r="AJ88">
        <v>27</v>
      </c>
    </row>
    <row r="89" spans="1:36" x14ac:dyDescent="0.2">
      <c r="A89" t="str">
        <f>+VLOOKUP(B89,studies!$A$2:$C$102,3)</f>
        <v>Peck &amp; Teisberg (1993)</v>
      </c>
      <c r="B89">
        <v>11</v>
      </c>
      <c r="C89">
        <v>1993</v>
      </c>
      <c r="D89">
        <v>1</v>
      </c>
      <c r="E89">
        <v>1989</v>
      </c>
      <c r="F89">
        <v>2030</v>
      </c>
      <c r="G89">
        <v>1.9230769230769232E-2</v>
      </c>
      <c r="H89">
        <v>6.1080408731006539</v>
      </c>
      <c r="I89">
        <v>0</v>
      </c>
      <c r="J89">
        <v>1</v>
      </c>
      <c r="K89">
        <v>0</v>
      </c>
      <c r="L89" t="s">
        <v>238</v>
      </c>
      <c r="M89" t="s">
        <v>238</v>
      </c>
      <c r="N89" t="s">
        <v>238</v>
      </c>
      <c r="O89">
        <v>0</v>
      </c>
      <c r="P89">
        <v>1</v>
      </c>
      <c r="Q89">
        <v>0</v>
      </c>
      <c r="R89">
        <v>1</v>
      </c>
      <c r="S89">
        <v>0</v>
      </c>
      <c r="T89">
        <v>0</v>
      </c>
      <c r="U89">
        <v>0</v>
      </c>
      <c r="V89">
        <v>5</v>
      </c>
      <c r="W89">
        <v>3</v>
      </c>
      <c r="AA89">
        <v>0</v>
      </c>
      <c r="AC89">
        <v>0</v>
      </c>
      <c r="AD89">
        <v>0</v>
      </c>
      <c r="AE89">
        <v>0</v>
      </c>
      <c r="AF89">
        <v>1</v>
      </c>
      <c r="AG89">
        <v>0</v>
      </c>
      <c r="AH89">
        <v>198</v>
      </c>
      <c r="AI89">
        <v>1.1299999999999999</v>
      </c>
      <c r="AJ89">
        <v>27</v>
      </c>
    </row>
    <row r="90" spans="1:36" x14ac:dyDescent="0.2">
      <c r="A90" t="str">
        <f>+VLOOKUP(B90,studies!$A$2:$C$102,3)</f>
        <v>Peck &amp; Teisberg (1993)</v>
      </c>
      <c r="B90">
        <v>11</v>
      </c>
      <c r="C90">
        <v>1993</v>
      </c>
      <c r="D90">
        <v>1</v>
      </c>
      <c r="E90">
        <v>1989</v>
      </c>
      <c r="F90">
        <v>2030</v>
      </c>
      <c r="G90">
        <v>1.9230769230769232E-2</v>
      </c>
      <c r="H90">
        <v>13.326634632219609</v>
      </c>
      <c r="I90">
        <v>0</v>
      </c>
      <c r="J90">
        <v>1</v>
      </c>
      <c r="K90">
        <v>0</v>
      </c>
      <c r="L90" t="s">
        <v>238</v>
      </c>
      <c r="M90" t="s">
        <v>238</v>
      </c>
      <c r="N90" t="s">
        <v>238</v>
      </c>
      <c r="O90">
        <v>0</v>
      </c>
      <c r="P90">
        <v>1</v>
      </c>
      <c r="Q90">
        <v>0</v>
      </c>
      <c r="R90">
        <v>1</v>
      </c>
      <c r="S90">
        <v>0</v>
      </c>
      <c r="T90">
        <v>0</v>
      </c>
      <c r="U90">
        <v>0</v>
      </c>
      <c r="V90">
        <v>5</v>
      </c>
      <c r="W90">
        <v>3</v>
      </c>
      <c r="AA90">
        <v>0</v>
      </c>
      <c r="AC90">
        <v>0</v>
      </c>
      <c r="AD90">
        <v>0</v>
      </c>
      <c r="AE90">
        <v>0</v>
      </c>
      <c r="AF90">
        <v>1</v>
      </c>
      <c r="AG90">
        <v>0</v>
      </c>
      <c r="AH90">
        <v>198</v>
      </c>
      <c r="AI90">
        <v>1.1299999999999999</v>
      </c>
      <c r="AJ90">
        <v>27</v>
      </c>
    </row>
    <row r="91" spans="1:36" x14ac:dyDescent="0.2">
      <c r="A91" t="str">
        <f>+VLOOKUP(B91,studies!$A$2:$C$102,3)</f>
        <v>Peck &amp; Teisberg (1993)</v>
      </c>
      <c r="B91">
        <v>11</v>
      </c>
      <c r="C91">
        <v>1993</v>
      </c>
      <c r="D91">
        <v>1</v>
      </c>
      <c r="E91">
        <v>1989</v>
      </c>
      <c r="F91">
        <v>2030</v>
      </c>
      <c r="G91">
        <v>1.9230769230769232E-2</v>
      </c>
      <c r="H91">
        <v>11.882915880395815</v>
      </c>
      <c r="I91">
        <v>0</v>
      </c>
      <c r="J91">
        <v>1</v>
      </c>
      <c r="K91">
        <v>0</v>
      </c>
      <c r="L91" t="s">
        <v>238</v>
      </c>
      <c r="M91" t="s">
        <v>238</v>
      </c>
      <c r="N91" t="s">
        <v>238</v>
      </c>
      <c r="O91">
        <v>0</v>
      </c>
      <c r="P91">
        <v>1</v>
      </c>
      <c r="Q91">
        <v>0</v>
      </c>
      <c r="R91">
        <v>1</v>
      </c>
      <c r="S91">
        <v>0</v>
      </c>
      <c r="T91">
        <v>0</v>
      </c>
      <c r="U91">
        <v>0</v>
      </c>
      <c r="V91">
        <v>5</v>
      </c>
      <c r="W91">
        <v>3</v>
      </c>
      <c r="AA91">
        <v>0</v>
      </c>
      <c r="AC91">
        <v>0</v>
      </c>
      <c r="AD91">
        <v>0</v>
      </c>
      <c r="AE91">
        <v>0</v>
      </c>
      <c r="AF91">
        <v>1</v>
      </c>
      <c r="AG91">
        <v>0</v>
      </c>
      <c r="AH91">
        <v>198</v>
      </c>
      <c r="AI91">
        <v>1.1299999999999999</v>
      </c>
      <c r="AJ91">
        <v>27</v>
      </c>
    </row>
    <row r="92" spans="1:36" x14ac:dyDescent="0.2">
      <c r="A92" t="str">
        <f>+VLOOKUP(B92,studies!$A$2:$C$102,3)</f>
        <v>Peck &amp; Teisberg (1993)</v>
      </c>
      <c r="B92">
        <v>11</v>
      </c>
      <c r="C92">
        <v>1993</v>
      </c>
      <c r="D92">
        <v>1</v>
      </c>
      <c r="E92">
        <v>1989</v>
      </c>
      <c r="F92">
        <v>2030</v>
      </c>
      <c r="G92">
        <v>1.9230769230769232E-2</v>
      </c>
      <c r="H92">
        <v>21.211560122949543</v>
      </c>
      <c r="I92">
        <v>0</v>
      </c>
      <c r="J92">
        <v>1</v>
      </c>
      <c r="K92">
        <v>0</v>
      </c>
      <c r="L92" t="s">
        <v>238</v>
      </c>
      <c r="M92" t="s">
        <v>238</v>
      </c>
      <c r="N92" t="s">
        <v>238</v>
      </c>
      <c r="O92">
        <v>0</v>
      </c>
      <c r="P92">
        <v>1</v>
      </c>
      <c r="Q92">
        <v>0</v>
      </c>
      <c r="R92">
        <v>1</v>
      </c>
      <c r="S92">
        <v>0</v>
      </c>
      <c r="T92">
        <v>0</v>
      </c>
      <c r="U92">
        <v>0</v>
      </c>
      <c r="V92">
        <v>5</v>
      </c>
      <c r="W92">
        <v>3</v>
      </c>
      <c r="AA92">
        <v>0</v>
      </c>
      <c r="AC92">
        <v>0</v>
      </c>
      <c r="AD92">
        <v>0</v>
      </c>
      <c r="AE92">
        <v>0</v>
      </c>
      <c r="AF92">
        <v>1</v>
      </c>
      <c r="AG92">
        <v>0</v>
      </c>
      <c r="AH92">
        <v>198</v>
      </c>
      <c r="AI92">
        <v>1.1299999999999999</v>
      </c>
      <c r="AJ92">
        <v>27</v>
      </c>
    </row>
    <row r="93" spans="1:36" x14ac:dyDescent="0.2">
      <c r="A93" t="str">
        <f>+VLOOKUP(B93,studies!$A$2:$C$102,3)</f>
        <v>Peck &amp; Teisberg (1993)</v>
      </c>
      <c r="B93">
        <v>11</v>
      </c>
      <c r="C93">
        <v>1993</v>
      </c>
      <c r="D93">
        <v>1</v>
      </c>
      <c r="E93">
        <v>1989</v>
      </c>
      <c r="F93">
        <v>2030</v>
      </c>
      <c r="G93">
        <v>1.9230769230769232E-2</v>
      </c>
      <c r="H93">
        <v>21.322615411551372</v>
      </c>
      <c r="I93">
        <v>0</v>
      </c>
      <c r="J93">
        <v>1</v>
      </c>
      <c r="K93">
        <v>0</v>
      </c>
      <c r="L93" t="s">
        <v>238</v>
      </c>
      <c r="M93" t="s">
        <v>238</v>
      </c>
      <c r="N93" t="s">
        <v>238</v>
      </c>
      <c r="O93">
        <v>0</v>
      </c>
      <c r="P93">
        <v>1</v>
      </c>
      <c r="Q93">
        <v>0</v>
      </c>
      <c r="R93">
        <v>1</v>
      </c>
      <c r="S93">
        <v>0</v>
      </c>
      <c r="T93">
        <v>0</v>
      </c>
      <c r="U93">
        <v>0</v>
      </c>
      <c r="V93">
        <v>5</v>
      </c>
      <c r="W93">
        <v>3</v>
      </c>
      <c r="AA93">
        <v>0</v>
      </c>
      <c r="AC93">
        <v>0</v>
      </c>
      <c r="AD93">
        <v>0</v>
      </c>
      <c r="AE93">
        <v>0</v>
      </c>
      <c r="AF93">
        <v>1</v>
      </c>
      <c r="AG93">
        <v>0</v>
      </c>
      <c r="AH93">
        <v>198</v>
      </c>
      <c r="AI93">
        <v>1.1299999999999999</v>
      </c>
      <c r="AJ93">
        <v>27</v>
      </c>
    </row>
    <row r="94" spans="1:36" x14ac:dyDescent="0.2">
      <c r="A94" t="str">
        <f>+VLOOKUP(B94,studies!$A$2:$C$102,3)</f>
        <v>Peck &amp; Teisberg (1993)</v>
      </c>
      <c r="B94">
        <v>11</v>
      </c>
      <c r="C94">
        <v>1993</v>
      </c>
      <c r="D94">
        <v>1</v>
      </c>
      <c r="E94">
        <v>1989</v>
      </c>
      <c r="F94">
        <v>2030</v>
      </c>
      <c r="G94">
        <v>1.9230769230769232E-2</v>
      </c>
      <c r="H94">
        <v>19.323620216718428</v>
      </c>
      <c r="I94">
        <v>0</v>
      </c>
      <c r="J94">
        <v>1</v>
      </c>
      <c r="K94">
        <v>0</v>
      </c>
      <c r="L94" t="s">
        <v>238</v>
      </c>
      <c r="M94" t="s">
        <v>238</v>
      </c>
      <c r="N94" t="s">
        <v>238</v>
      </c>
      <c r="O94">
        <v>0</v>
      </c>
      <c r="P94">
        <v>1</v>
      </c>
      <c r="Q94">
        <v>0</v>
      </c>
      <c r="R94">
        <v>1</v>
      </c>
      <c r="S94">
        <v>0</v>
      </c>
      <c r="T94">
        <v>0</v>
      </c>
      <c r="U94">
        <v>0</v>
      </c>
      <c r="V94">
        <v>5</v>
      </c>
      <c r="W94">
        <v>3</v>
      </c>
      <c r="AA94">
        <v>0</v>
      </c>
      <c r="AC94">
        <v>0</v>
      </c>
      <c r="AD94">
        <v>0</v>
      </c>
      <c r="AE94">
        <v>0</v>
      </c>
      <c r="AF94">
        <v>1</v>
      </c>
      <c r="AG94">
        <v>0</v>
      </c>
      <c r="AH94">
        <v>198</v>
      </c>
      <c r="AI94">
        <v>1.1299999999999999</v>
      </c>
      <c r="AJ94">
        <v>27</v>
      </c>
    </row>
    <row r="95" spans="1:36" x14ac:dyDescent="0.2">
      <c r="A95" t="str">
        <f>+VLOOKUP(B95,studies!$A$2:$C$102,3)</f>
        <v>Peck &amp; Teisberg (1993)</v>
      </c>
      <c r="B95">
        <v>11</v>
      </c>
      <c r="C95">
        <v>1993</v>
      </c>
      <c r="D95">
        <v>1</v>
      </c>
      <c r="E95">
        <v>1989</v>
      </c>
      <c r="F95">
        <v>2030</v>
      </c>
      <c r="G95">
        <v>1.9230769230769232E-2</v>
      </c>
      <c r="H95">
        <v>25.320605801217255</v>
      </c>
      <c r="I95">
        <v>0</v>
      </c>
      <c r="J95">
        <v>1</v>
      </c>
      <c r="K95">
        <v>0</v>
      </c>
      <c r="L95" t="s">
        <v>238</v>
      </c>
      <c r="M95" t="s">
        <v>238</v>
      </c>
      <c r="N95" t="s">
        <v>238</v>
      </c>
      <c r="O95">
        <v>0</v>
      </c>
      <c r="P95">
        <v>1</v>
      </c>
      <c r="Q95">
        <v>0</v>
      </c>
      <c r="R95">
        <v>1</v>
      </c>
      <c r="S95">
        <v>0</v>
      </c>
      <c r="T95">
        <v>0</v>
      </c>
      <c r="U95">
        <v>0</v>
      </c>
      <c r="V95">
        <v>5</v>
      </c>
      <c r="W95">
        <v>3</v>
      </c>
      <c r="AA95">
        <v>0</v>
      </c>
      <c r="AC95">
        <v>0</v>
      </c>
      <c r="AD95">
        <v>0</v>
      </c>
      <c r="AE95">
        <v>0</v>
      </c>
      <c r="AF95">
        <v>1</v>
      </c>
      <c r="AG95">
        <v>0</v>
      </c>
      <c r="AH95">
        <v>198</v>
      </c>
      <c r="AI95">
        <v>1.1299999999999999</v>
      </c>
      <c r="AJ95">
        <v>27</v>
      </c>
    </row>
    <row r="96" spans="1:36" x14ac:dyDescent="0.2">
      <c r="A96" t="str">
        <f>+VLOOKUP(B96,studies!$A$2:$C$102,3)</f>
        <v>Peck &amp; Teisberg (1993)</v>
      </c>
      <c r="B96">
        <v>11</v>
      </c>
      <c r="C96">
        <v>1993</v>
      </c>
      <c r="D96">
        <v>1</v>
      </c>
      <c r="E96">
        <v>1989</v>
      </c>
      <c r="F96">
        <v>2030</v>
      </c>
      <c r="G96">
        <v>1.9230769230769232E-2</v>
      </c>
      <c r="H96">
        <v>24.210052915198954</v>
      </c>
      <c r="I96">
        <v>0</v>
      </c>
      <c r="J96">
        <v>1</v>
      </c>
      <c r="K96">
        <v>0</v>
      </c>
      <c r="L96" t="s">
        <v>238</v>
      </c>
      <c r="M96" t="s">
        <v>238</v>
      </c>
      <c r="N96" t="s">
        <v>238</v>
      </c>
      <c r="O96">
        <v>0</v>
      </c>
      <c r="P96">
        <v>1</v>
      </c>
      <c r="Q96">
        <v>0</v>
      </c>
      <c r="R96">
        <v>1</v>
      </c>
      <c r="S96">
        <v>0</v>
      </c>
      <c r="T96">
        <v>0</v>
      </c>
      <c r="U96">
        <v>0</v>
      </c>
      <c r="V96">
        <v>5</v>
      </c>
      <c r="W96">
        <v>3</v>
      </c>
      <c r="AA96">
        <v>0</v>
      </c>
      <c r="AC96">
        <v>0</v>
      </c>
      <c r="AD96">
        <v>0</v>
      </c>
      <c r="AE96">
        <v>0</v>
      </c>
      <c r="AF96">
        <v>1</v>
      </c>
      <c r="AG96">
        <v>0</v>
      </c>
      <c r="AH96">
        <v>198</v>
      </c>
      <c r="AI96">
        <v>1.1299999999999999</v>
      </c>
      <c r="AJ96">
        <v>27</v>
      </c>
    </row>
    <row r="97" spans="1:36" x14ac:dyDescent="0.2">
      <c r="A97" t="str">
        <f>+VLOOKUP(B97,studies!$A$2:$C$102,3)</f>
        <v>Peck &amp; Teisberg (1993)</v>
      </c>
      <c r="B97">
        <v>11</v>
      </c>
      <c r="C97">
        <v>1993</v>
      </c>
      <c r="D97">
        <v>1</v>
      </c>
      <c r="E97">
        <v>1989</v>
      </c>
      <c r="F97">
        <v>2030</v>
      </c>
      <c r="G97">
        <v>1.9230769230769232E-2</v>
      </c>
      <c r="H97">
        <v>24.765329358208103</v>
      </c>
      <c r="I97">
        <v>0</v>
      </c>
      <c r="J97">
        <v>1</v>
      </c>
      <c r="K97">
        <v>0</v>
      </c>
      <c r="L97" t="s">
        <v>238</v>
      </c>
      <c r="M97" t="s">
        <v>238</v>
      </c>
      <c r="N97" t="s">
        <v>238</v>
      </c>
      <c r="O97">
        <v>0</v>
      </c>
      <c r="P97">
        <v>1</v>
      </c>
      <c r="Q97">
        <v>0</v>
      </c>
      <c r="R97">
        <v>1</v>
      </c>
      <c r="S97">
        <v>0</v>
      </c>
      <c r="T97">
        <v>0</v>
      </c>
      <c r="U97">
        <v>0</v>
      </c>
      <c r="V97">
        <v>5</v>
      </c>
      <c r="W97">
        <v>3</v>
      </c>
      <c r="AA97">
        <v>0</v>
      </c>
      <c r="AC97">
        <v>0</v>
      </c>
      <c r="AD97">
        <v>0</v>
      </c>
      <c r="AE97">
        <v>0</v>
      </c>
      <c r="AF97">
        <v>1</v>
      </c>
      <c r="AG97">
        <v>0</v>
      </c>
      <c r="AH97">
        <v>198</v>
      </c>
      <c r="AI97">
        <v>1.1299999999999999</v>
      </c>
      <c r="AJ97">
        <v>27</v>
      </c>
    </row>
    <row r="98" spans="1:36" x14ac:dyDescent="0.2">
      <c r="A98" t="str">
        <f>+VLOOKUP(B98,studies!$A$2:$C$102,3)</f>
        <v>Peck &amp; Teisberg (1993)</v>
      </c>
      <c r="B98">
        <v>11</v>
      </c>
      <c r="C98">
        <v>1993</v>
      </c>
      <c r="D98">
        <v>1</v>
      </c>
      <c r="E98">
        <v>1989</v>
      </c>
      <c r="F98">
        <v>2030</v>
      </c>
      <c r="G98">
        <v>1.9230769230769232E-2</v>
      </c>
      <c r="H98">
        <v>24.765329358208103</v>
      </c>
      <c r="I98">
        <v>0</v>
      </c>
      <c r="J98">
        <v>1</v>
      </c>
      <c r="K98">
        <v>0</v>
      </c>
      <c r="L98" t="s">
        <v>238</v>
      </c>
      <c r="M98" t="s">
        <v>238</v>
      </c>
      <c r="N98" t="s">
        <v>238</v>
      </c>
      <c r="O98">
        <v>0</v>
      </c>
      <c r="P98">
        <v>1</v>
      </c>
      <c r="Q98">
        <v>0</v>
      </c>
      <c r="R98">
        <v>1</v>
      </c>
      <c r="S98">
        <v>0</v>
      </c>
      <c r="T98">
        <v>0</v>
      </c>
      <c r="U98">
        <v>0</v>
      </c>
      <c r="V98">
        <v>5</v>
      </c>
      <c r="W98">
        <v>3</v>
      </c>
      <c r="AA98">
        <v>0</v>
      </c>
      <c r="AC98">
        <v>0</v>
      </c>
      <c r="AD98">
        <v>0</v>
      </c>
      <c r="AE98">
        <v>0</v>
      </c>
      <c r="AF98">
        <v>1</v>
      </c>
      <c r="AG98">
        <v>0</v>
      </c>
      <c r="AH98">
        <v>198</v>
      </c>
      <c r="AI98">
        <v>1.1299999999999999</v>
      </c>
      <c r="AJ98">
        <v>27</v>
      </c>
    </row>
    <row r="99" spans="1:36" x14ac:dyDescent="0.2">
      <c r="A99" t="str">
        <f>+VLOOKUP(B99,studies!$A$2:$C$102,3)</f>
        <v>Peck &amp; Teisberg (1993)</v>
      </c>
      <c r="B99">
        <v>11</v>
      </c>
      <c r="C99">
        <v>1993</v>
      </c>
      <c r="D99">
        <v>1</v>
      </c>
      <c r="E99">
        <v>1989</v>
      </c>
      <c r="F99">
        <v>2030</v>
      </c>
      <c r="G99">
        <v>1.9230769230769232E-2</v>
      </c>
      <c r="H99">
        <v>24.876384646809932</v>
      </c>
      <c r="I99">
        <v>0</v>
      </c>
      <c r="J99">
        <v>1</v>
      </c>
      <c r="K99">
        <v>0</v>
      </c>
      <c r="L99" t="s">
        <v>238</v>
      </c>
      <c r="M99" t="s">
        <v>238</v>
      </c>
      <c r="N99" t="s">
        <v>238</v>
      </c>
      <c r="O99">
        <v>0</v>
      </c>
      <c r="P99">
        <v>1</v>
      </c>
      <c r="Q99">
        <v>0</v>
      </c>
      <c r="R99">
        <v>1</v>
      </c>
      <c r="S99">
        <v>0</v>
      </c>
      <c r="T99">
        <v>0</v>
      </c>
      <c r="U99">
        <v>0</v>
      </c>
      <c r="V99">
        <v>5</v>
      </c>
      <c r="W99">
        <v>3</v>
      </c>
      <c r="AA99">
        <v>0</v>
      </c>
      <c r="AC99">
        <v>0</v>
      </c>
      <c r="AD99">
        <v>0</v>
      </c>
      <c r="AE99">
        <v>0</v>
      </c>
      <c r="AF99">
        <v>1</v>
      </c>
      <c r="AG99">
        <v>0</v>
      </c>
      <c r="AH99">
        <v>198</v>
      </c>
      <c r="AI99">
        <v>1.1299999999999999</v>
      </c>
      <c r="AJ99">
        <v>27</v>
      </c>
    </row>
    <row r="100" spans="1:36" x14ac:dyDescent="0.2">
      <c r="A100" t="str">
        <f>+VLOOKUP(B100,studies!$A$2:$C$102,3)</f>
        <v>Peck &amp; Teisberg (1993)</v>
      </c>
      <c r="B100">
        <v>11</v>
      </c>
      <c r="C100">
        <v>1993</v>
      </c>
      <c r="D100">
        <v>1</v>
      </c>
      <c r="E100">
        <v>1989</v>
      </c>
      <c r="F100">
        <v>2030</v>
      </c>
      <c r="G100">
        <v>1.9230769230769232E-2</v>
      </c>
      <c r="H100">
        <v>63.967846234654118</v>
      </c>
      <c r="I100">
        <v>0</v>
      </c>
      <c r="J100">
        <v>1</v>
      </c>
      <c r="K100">
        <v>0</v>
      </c>
      <c r="L100" t="s">
        <v>238</v>
      </c>
      <c r="M100" t="s">
        <v>238</v>
      </c>
      <c r="N100" t="s">
        <v>238</v>
      </c>
      <c r="O100">
        <v>0</v>
      </c>
      <c r="P100">
        <v>1</v>
      </c>
      <c r="Q100">
        <v>0</v>
      </c>
      <c r="R100">
        <v>1</v>
      </c>
      <c r="S100">
        <v>0</v>
      </c>
      <c r="T100">
        <v>0</v>
      </c>
      <c r="U100">
        <v>0</v>
      </c>
      <c r="V100">
        <v>5</v>
      </c>
      <c r="W100">
        <v>3</v>
      </c>
      <c r="AA100">
        <v>0</v>
      </c>
      <c r="AC100">
        <v>0</v>
      </c>
      <c r="AD100">
        <v>0</v>
      </c>
      <c r="AE100">
        <v>0</v>
      </c>
      <c r="AF100">
        <v>1</v>
      </c>
      <c r="AG100">
        <v>0</v>
      </c>
      <c r="AH100">
        <v>198</v>
      </c>
      <c r="AI100">
        <v>1.1299999999999999</v>
      </c>
      <c r="AJ100">
        <v>27</v>
      </c>
    </row>
    <row r="101" spans="1:36" x14ac:dyDescent="0.2">
      <c r="A101" t="str">
        <f>+VLOOKUP(B101,studies!$A$2:$C$102,3)</f>
        <v>Peck &amp; Teisberg (1993)</v>
      </c>
      <c r="B101">
        <v>11</v>
      </c>
      <c r="C101">
        <v>1993</v>
      </c>
      <c r="D101">
        <v>1</v>
      </c>
      <c r="E101">
        <v>1989</v>
      </c>
      <c r="F101">
        <v>2030</v>
      </c>
      <c r="G101">
        <v>1.9230769230769232E-2</v>
      </c>
      <c r="H101">
        <v>43.977894286324712</v>
      </c>
      <c r="I101">
        <v>0</v>
      </c>
      <c r="J101">
        <v>1</v>
      </c>
      <c r="K101">
        <v>0</v>
      </c>
      <c r="L101" t="s">
        <v>238</v>
      </c>
      <c r="M101" t="s">
        <v>238</v>
      </c>
      <c r="N101" t="s">
        <v>238</v>
      </c>
      <c r="O101">
        <v>0</v>
      </c>
      <c r="P101">
        <v>1</v>
      </c>
      <c r="Q101">
        <v>0</v>
      </c>
      <c r="R101">
        <v>1</v>
      </c>
      <c r="S101">
        <v>0</v>
      </c>
      <c r="T101">
        <v>0</v>
      </c>
      <c r="U101">
        <v>0</v>
      </c>
      <c r="V101">
        <v>5</v>
      </c>
      <c r="W101">
        <v>3</v>
      </c>
      <c r="AA101">
        <v>0</v>
      </c>
      <c r="AC101">
        <v>0</v>
      </c>
      <c r="AD101">
        <v>0</v>
      </c>
      <c r="AE101">
        <v>0</v>
      </c>
      <c r="AF101">
        <v>1</v>
      </c>
      <c r="AG101">
        <v>0</v>
      </c>
      <c r="AH101">
        <v>198</v>
      </c>
      <c r="AI101">
        <v>1.1299999999999999</v>
      </c>
      <c r="AJ101">
        <v>27</v>
      </c>
    </row>
    <row r="102" spans="1:36" x14ac:dyDescent="0.2">
      <c r="A102" t="str">
        <f>+VLOOKUP(B102,studies!$A$2:$C$102,3)</f>
        <v>Peck &amp; Teisberg (1993)</v>
      </c>
      <c r="B102">
        <v>11</v>
      </c>
      <c r="C102">
        <v>1993</v>
      </c>
      <c r="D102">
        <v>1</v>
      </c>
      <c r="E102">
        <v>1989</v>
      </c>
      <c r="F102">
        <v>2030</v>
      </c>
      <c r="G102">
        <v>1.9230769230769232E-2</v>
      </c>
      <c r="H102">
        <v>36.092968795594771</v>
      </c>
      <c r="I102">
        <v>0</v>
      </c>
      <c r="J102">
        <v>1</v>
      </c>
      <c r="K102">
        <v>0</v>
      </c>
      <c r="L102" t="s">
        <v>238</v>
      </c>
      <c r="M102" t="s">
        <v>238</v>
      </c>
      <c r="N102" t="s">
        <v>238</v>
      </c>
      <c r="O102">
        <v>0</v>
      </c>
      <c r="P102">
        <v>1</v>
      </c>
      <c r="Q102">
        <v>0</v>
      </c>
      <c r="R102">
        <v>1</v>
      </c>
      <c r="S102">
        <v>0</v>
      </c>
      <c r="T102">
        <v>0</v>
      </c>
      <c r="U102">
        <v>0</v>
      </c>
      <c r="V102">
        <v>5</v>
      </c>
      <c r="W102">
        <v>3</v>
      </c>
      <c r="AA102">
        <v>0</v>
      </c>
      <c r="AC102">
        <v>0</v>
      </c>
      <c r="AD102">
        <v>0</v>
      </c>
      <c r="AE102">
        <v>0</v>
      </c>
      <c r="AF102">
        <v>1</v>
      </c>
      <c r="AG102">
        <v>0</v>
      </c>
      <c r="AH102">
        <v>198</v>
      </c>
      <c r="AI102">
        <v>1.1299999999999999</v>
      </c>
      <c r="AJ102">
        <v>27</v>
      </c>
    </row>
    <row r="103" spans="1:36" x14ac:dyDescent="0.2">
      <c r="A103" t="str">
        <f>+VLOOKUP(B103,studies!$A$2:$C$102,3)</f>
        <v>Peck &amp; Teisberg (1993)</v>
      </c>
      <c r="B103">
        <v>11</v>
      </c>
      <c r="C103">
        <v>1993</v>
      </c>
      <c r="D103">
        <v>1</v>
      </c>
      <c r="E103">
        <v>1989</v>
      </c>
      <c r="F103">
        <v>2030</v>
      </c>
      <c r="G103">
        <v>1.9230769230769232E-2</v>
      </c>
      <c r="H103">
        <v>57.637694784349804</v>
      </c>
      <c r="I103">
        <v>0</v>
      </c>
      <c r="J103">
        <v>1</v>
      </c>
      <c r="K103">
        <v>0</v>
      </c>
      <c r="L103" t="s">
        <v>238</v>
      </c>
      <c r="M103" t="s">
        <v>238</v>
      </c>
      <c r="N103" t="s">
        <v>238</v>
      </c>
      <c r="O103">
        <v>0</v>
      </c>
      <c r="P103">
        <v>1</v>
      </c>
      <c r="Q103">
        <v>0</v>
      </c>
      <c r="R103">
        <v>1</v>
      </c>
      <c r="S103">
        <v>0</v>
      </c>
      <c r="T103">
        <v>0</v>
      </c>
      <c r="U103">
        <v>0</v>
      </c>
      <c r="V103">
        <v>5</v>
      </c>
      <c r="W103">
        <v>3</v>
      </c>
      <c r="AA103">
        <v>0</v>
      </c>
      <c r="AC103">
        <v>0</v>
      </c>
      <c r="AD103">
        <v>0</v>
      </c>
      <c r="AE103">
        <v>0</v>
      </c>
      <c r="AF103">
        <v>1</v>
      </c>
      <c r="AG103">
        <v>0</v>
      </c>
      <c r="AH103">
        <v>198</v>
      </c>
      <c r="AI103">
        <v>1.1299999999999999</v>
      </c>
      <c r="AJ103">
        <v>27</v>
      </c>
    </row>
    <row r="104" spans="1:36" x14ac:dyDescent="0.2">
      <c r="A104" t="str">
        <f>+VLOOKUP(B104,studies!$A$2:$C$102,3)</f>
        <v>Peck &amp; Teisberg (1993)</v>
      </c>
      <c r="B104">
        <v>11</v>
      </c>
      <c r="C104">
        <v>1993</v>
      </c>
      <c r="D104">
        <v>1</v>
      </c>
      <c r="E104">
        <v>1989</v>
      </c>
      <c r="F104">
        <v>2030</v>
      </c>
      <c r="G104">
        <v>1.9230769230769232E-2</v>
      </c>
      <c r="H104">
        <v>27.541711573253856</v>
      </c>
      <c r="I104">
        <v>0</v>
      </c>
      <c r="J104">
        <v>1</v>
      </c>
      <c r="K104">
        <v>0</v>
      </c>
      <c r="L104" t="s">
        <v>238</v>
      </c>
      <c r="M104" t="s">
        <v>238</v>
      </c>
      <c r="N104" t="s">
        <v>238</v>
      </c>
      <c r="O104">
        <v>0</v>
      </c>
      <c r="P104">
        <v>1</v>
      </c>
      <c r="Q104">
        <v>0</v>
      </c>
      <c r="R104">
        <v>1</v>
      </c>
      <c r="S104">
        <v>0</v>
      </c>
      <c r="T104">
        <v>0</v>
      </c>
      <c r="U104">
        <v>0</v>
      </c>
      <c r="V104">
        <v>5</v>
      </c>
      <c r="W104">
        <v>3</v>
      </c>
      <c r="AA104">
        <v>0</v>
      </c>
      <c r="AC104">
        <v>0</v>
      </c>
      <c r="AD104">
        <v>0</v>
      </c>
      <c r="AE104">
        <v>0</v>
      </c>
      <c r="AF104">
        <v>1</v>
      </c>
      <c r="AG104">
        <v>0</v>
      </c>
      <c r="AH104">
        <v>198</v>
      </c>
      <c r="AI104">
        <v>1.1299999999999999</v>
      </c>
      <c r="AJ104">
        <v>27</v>
      </c>
    </row>
    <row r="105" spans="1:36" x14ac:dyDescent="0.2">
      <c r="A105" t="str">
        <f>+VLOOKUP(B105,studies!$A$2:$C$102,3)</f>
        <v>Peck &amp; Teisberg (1993)</v>
      </c>
      <c r="B105">
        <v>11</v>
      </c>
      <c r="C105">
        <v>1993</v>
      </c>
      <c r="D105">
        <v>1</v>
      </c>
      <c r="E105">
        <v>1989</v>
      </c>
      <c r="F105">
        <v>2030</v>
      </c>
      <c r="G105">
        <v>1.9230769230769232E-2</v>
      </c>
      <c r="H105">
        <v>27.874877439059347</v>
      </c>
      <c r="I105">
        <v>0</v>
      </c>
      <c r="J105">
        <v>1</v>
      </c>
      <c r="K105">
        <v>0</v>
      </c>
      <c r="L105" t="s">
        <v>238</v>
      </c>
      <c r="M105" t="s">
        <v>238</v>
      </c>
      <c r="N105" t="s">
        <v>238</v>
      </c>
      <c r="O105">
        <v>0</v>
      </c>
      <c r="P105">
        <v>1</v>
      </c>
      <c r="Q105">
        <v>0</v>
      </c>
      <c r="R105">
        <v>1</v>
      </c>
      <c r="S105">
        <v>0</v>
      </c>
      <c r="T105">
        <v>0</v>
      </c>
      <c r="U105">
        <v>0</v>
      </c>
      <c r="V105">
        <v>5</v>
      </c>
      <c r="W105">
        <v>3</v>
      </c>
      <c r="AA105">
        <v>0</v>
      </c>
      <c r="AC105">
        <v>0</v>
      </c>
      <c r="AD105">
        <v>0</v>
      </c>
      <c r="AE105">
        <v>0</v>
      </c>
      <c r="AF105">
        <v>1</v>
      </c>
      <c r="AG105">
        <v>0</v>
      </c>
      <c r="AH105">
        <v>198</v>
      </c>
      <c r="AI105">
        <v>1.1299999999999999</v>
      </c>
      <c r="AJ105">
        <v>27</v>
      </c>
    </row>
    <row r="106" spans="1:36" x14ac:dyDescent="0.2">
      <c r="A106" t="str">
        <f>+VLOOKUP(B106,studies!$A$2:$C$102,3)</f>
        <v>Peck &amp; Teisberg (1993)</v>
      </c>
      <c r="B106">
        <v>11</v>
      </c>
      <c r="C106">
        <v>1993</v>
      </c>
      <c r="D106">
        <v>1</v>
      </c>
      <c r="E106">
        <v>1989</v>
      </c>
      <c r="F106">
        <v>2030</v>
      </c>
      <c r="G106">
        <v>1.9230769230769232E-2</v>
      </c>
      <c r="H106">
        <v>31.42864667431791</v>
      </c>
      <c r="I106">
        <v>0</v>
      </c>
      <c r="J106">
        <v>1</v>
      </c>
      <c r="K106">
        <v>0</v>
      </c>
      <c r="L106" t="s">
        <v>238</v>
      </c>
      <c r="M106" t="s">
        <v>238</v>
      </c>
      <c r="N106" t="s">
        <v>238</v>
      </c>
      <c r="O106">
        <v>0</v>
      </c>
      <c r="P106">
        <v>1</v>
      </c>
      <c r="Q106">
        <v>0</v>
      </c>
      <c r="R106">
        <v>1</v>
      </c>
      <c r="S106">
        <v>0</v>
      </c>
      <c r="T106">
        <v>0</v>
      </c>
      <c r="U106">
        <v>0</v>
      </c>
      <c r="V106">
        <v>5</v>
      </c>
      <c r="W106">
        <v>3</v>
      </c>
      <c r="AA106">
        <v>0</v>
      </c>
      <c r="AC106">
        <v>0</v>
      </c>
      <c r="AD106">
        <v>0</v>
      </c>
      <c r="AE106">
        <v>0</v>
      </c>
      <c r="AF106">
        <v>1</v>
      </c>
      <c r="AG106">
        <v>0</v>
      </c>
      <c r="AH106">
        <v>198</v>
      </c>
      <c r="AI106">
        <v>1.1299999999999999</v>
      </c>
      <c r="AJ106">
        <v>27</v>
      </c>
    </row>
    <row r="107" spans="1:36" x14ac:dyDescent="0.2">
      <c r="A107" t="str">
        <f>+VLOOKUP(B107,studies!$A$2:$C$102,3)</f>
        <v>Peck &amp; Teisberg (1993)</v>
      </c>
      <c r="B107">
        <v>11</v>
      </c>
      <c r="C107">
        <v>1993</v>
      </c>
      <c r="D107">
        <v>1</v>
      </c>
      <c r="E107">
        <v>1989</v>
      </c>
      <c r="F107">
        <v>2030</v>
      </c>
      <c r="G107">
        <v>1.9230769230769232E-2</v>
      </c>
      <c r="H107">
        <v>13.992966363830588</v>
      </c>
      <c r="I107">
        <v>0</v>
      </c>
      <c r="J107">
        <v>1</v>
      </c>
      <c r="K107">
        <v>0</v>
      </c>
      <c r="L107" t="s">
        <v>238</v>
      </c>
      <c r="M107" t="s">
        <v>238</v>
      </c>
      <c r="N107" t="s">
        <v>238</v>
      </c>
      <c r="O107">
        <v>0</v>
      </c>
      <c r="P107">
        <v>1</v>
      </c>
      <c r="Q107">
        <v>0</v>
      </c>
      <c r="R107">
        <v>1</v>
      </c>
      <c r="S107">
        <v>0</v>
      </c>
      <c r="T107">
        <v>0</v>
      </c>
      <c r="U107">
        <v>0</v>
      </c>
      <c r="AA107">
        <v>0</v>
      </c>
      <c r="AC107">
        <v>0</v>
      </c>
      <c r="AD107">
        <v>0</v>
      </c>
      <c r="AE107">
        <v>0</v>
      </c>
      <c r="AF107">
        <v>1</v>
      </c>
      <c r="AG107">
        <v>0</v>
      </c>
      <c r="AH107">
        <v>198</v>
      </c>
      <c r="AI107">
        <v>1.1299999999999999</v>
      </c>
      <c r="AJ107">
        <v>27</v>
      </c>
    </row>
    <row r="108" spans="1:36" x14ac:dyDescent="0.2">
      <c r="A108" t="str">
        <f>+VLOOKUP(B108,studies!$A$2:$C$102,3)</f>
        <v>Peck &amp; Teisberg (1993)</v>
      </c>
      <c r="B108">
        <v>11</v>
      </c>
      <c r="C108">
        <v>1993</v>
      </c>
      <c r="D108">
        <v>1</v>
      </c>
      <c r="E108">
        <v>1989</v>
      </c>
      <c r="F108">
        <v>2030</v>
      </c>
      <c r="G108">
        <v>1.9230769230769232E-2</v>
      </c>
      <c r="H108">
        <v>49.863824582221696</v>
      </c>
      <c r="I108">
        <v>0</v>
      </c>
      <c r="J108">
        <v>1</v>
      </c>
      <c r="K108">
        <v>0</v>
      </c>
      <c r="L108" t="s">
        <v>238</v>
      </c>
      <c r="M108" t="s">
        <v>238</v>
      </c>
      <c r="N108" t="s">
        <v>238</v>
      </c>
      <c r="O108">
        <v>0</v>
      </c>
      <c r="P108">
        <v>1</v>
      </c>
      <c r="Q108">
        <v>0</v>
      </c>
      <c r="R108">
        <v>1</v>
      </c>
      <c r="S108">
        <v>0</v>
      </c>
      <c r="T108">
        <v>0</v>
      </c>
      <c r="U108">
        <v>0</v>
      </c>
      <c r="AA108">
        <v>0</v>
      </c>
      <c r="AC108">
        <v>0</v>
      </c>
      <c r="AD108">
        <v>0</v>
      </c>
      <c r="AE108">
        <v>0</v>
      </c>
      <c r="AF108">
        <v>1</v>
      </c>
      <c r="AG108">
        <v>0</v>
      </c>
      <c r="AH108">
        <v>198</v>
      </c>
      <c r="AI108">
        <v>1.1299999999999999</v>
      </c>
      <c r="AJ108">
        <v>27</v>
      </c>
    </row>
    <row r="109" spans="1:36" x14ac:dyDescent="0.2">
      <c r="A109" t="str">
        <f>+VLOOKUP(B109,studies!$A$2:$C$102,3)</f>
        <v>Reilly &amp; Richards (1993)</v>
      </c>
      <c r="B109">
        <v>12</v>
      </c>
      <c r="C109">
        <v>1993</v>
      </c>
      <c r="D109">
        <v>1</v>
      </c>
      <c r="E109">
        <v>1990</v>
      </c>
      <c r="F109">
        <v>1990</v>
      </c>
      <c r="G109">
        <v>0.2</v>
      </c>
      <c r="H109">
        <v>51.322406156611436</v>
      </c>
      <c r="I109">
        <v>0</v>
      </c>
      <c r="J109">
        <v>1</v>
      </c>
      <c r="K109">
        <v>0</v>
      </c>
      <c r="L109" t="s">
        <v>238</v>
      </c>
      <c r="M109" t="s">
        <v>238</v>
      </c>
      <c r="N109" t="s">
        <v>238</v>
      </c>
      <c r="O109">
        <v>0</v>
      </c>
      <c r="P109">
        <v>1</v>
      </c>
      <c r="Q109">
        <v>0</v>
      </c>
      <c r="R109">
        <v>0</v>
      </c>
      <c r="S109">
        <v>0</v>
      </c>
      <c r="T109">
        <v>0</v>
      </c>
      <c r="U109">
        <v>0</v>
      </c>
      <c r="V109">
        <v>5</v>
      </c>
      <c r="W109">
        <v>3</v>
      </c>
      <c r="AA109">
        <v>0</v>
      </c>
      <c r="AC109">
        <v>0</v>
      </c>
      <c r="AD109">
        <v>0</v>
      </c>
      <c r="AE109">
        <v>0</v>
      </c>
      <c r="AF109">
        <v>0</v>
      </c>
      <c r="AG109">
        <v>0</v>
      </c>
      <c r="AH109">
        <v>115</v>
      </c>
      <c r="AI109">
        <v>1.65</v>
      </c>
      <c r="AJ109">
        <v>8</v>
      </c>
    </row>
    <row r="110" spans="1:36" x14ac:dyDescent="0.2">
      <c r="A110" t="str">
        <f>+VLOOKUP(B110,studies!$A$2:$C$102,3)</f>
        <v>Reilly &amp; Richards (1993)</v>
      </c>
      <c r="B110">
        <v>12</v>
      </c>
      <c r="C110">
        <v>1993</v>
      </c>
      <c r="D110">
        <v>1</v>
      </c>
      <c r="E110">
        <v>1990</v>
      </c>
      <c r="F110">
        <v>1990</v>
      </c>
      <c r="G110">
        <v>0.2</v>
      </c>
      <c r="H110">
        <v>76.325629668806755</v>
      </c>
      <c r="I110">
        <v>0</v>
      </c>
      <c r="J110">
        <v>1</v>
      </c>
      <c r="K110">
        <v>0</v>
      </c>
      <c r="L110" t="s">
        <v>238</v>
      </c>
      <c r="M110" t="s">
        <v>238</v>
      </c>
      <c r="N110" t="s">
        <v>238</v>
      </c>
      <c r="O110">
        <v>0</v>
      </c>
      <c r="P110">
        <v>1</v>
      </c>
      <c r="Q110">
        <v>0</v>
      </c>
      <c r="R110">
        <v>0</v>
      </c>
      <c r="S110">
        <v>0</v>
      </c>
      <c r="T110">
        <v>0</v>
      </c>
      <c r="U110">
        <v>0</v>
      </c>
      <c r="V110">
        <v>5</v>
      </c>
      <c r="W110">
        <v>3</v>
      </c>
      <c r="AA110">
        <v>0</v>
      </c>
      <c r="AC110">
        <v>0</v>
      </c>
      <c r="AD110">
        <v>0</v>
      </c>
      <c r="AE110">
        <v>0</v>
      </c>
      <c r="AF110">
        <v>0</v>
      </c>
      <c r="AG110">
        <v>0</v>
      </c>
      <c r="AH110">
        <v>115</v>
      </c>
      <c r="AI110">
        <v>1.65</v>
      </c>
      <c r="AJ110">
        <v>8</v>
      </c>
    </row>
    <row r="111" spans="1:36" x14ac:dyDescent="0.2">
      <c r="A111" t="str">
        <f>+VLOOKUP(B111,studies!$A$2:$C$102,3)</f>
        <v>Reilly &amp; Richards (1993)</v>
      </c>
      <c r="B111">
        <v>12</v>
      </c>
      <c r="C111">
        <v>1993</v>
      </c>
      <c r="D111">
        <v>1</v>
      </c>
      <c r="E111">
        <v>1990</v>
      </c>
      <c r="F111">
        <v>1990</v>
      </c>
      <c r="G111">
        <v>0.1</v>
      </c>
      <c r="H111">
        <v>184.23427851091284</v>
      </c>
      <c r="I111">
        <v>0</v>
      </c>
      <c r="J111">
        <v>1</v>
      </c>
      <c r="K111">
        <v>0</v>
      </c>
      <c r="L111" t="s">
        <v>238</v>
      </c>
      <c r="M111" t="s">
        <v>238</v>
      </c>
      <c r="N111" t="s">
        <v>238</v>
      </c>
      <c r="O111">
        <v>0</v>
      </c>
      <c r="P111">
        <v>1</v>
      </c>
      <c r="Q111">
        <v>0</v>
      </c>
      <c r="R111">
        <v>0</v>
      </c>
      <c r="S111">
        <v>0</v>
      </c>
      <c r="T111">
        <v>0</v>
      </c>
      <c r="U111">
        <v>0</v>
      </c>
      <c r="V111">
        <v>2</v>
      </c>
      <c r="W111">
        <v>0</v>
      </c>
      <c r="AA111">
        <v>0</v>
      </c>
      <c r="AC111">
        <v>0</v>
      </c>
      <c r="AD111">
        <v>0</v>
      </c>
      <c r="AE111">
        <v>0</v>
      </c>
      <c r="AF111">
        <v>0</v>
      </c>
      <c r="AG111">
        <v>0</v>
      </c>
      <c r="AH111">
        <v>115</v>
      </c>
      <c r="AI111">
        <v>1.65</v>
      </c>
      <c r="AJ111">
        <v>8</v>
      </c>
    </row>
    <row r="112" spans="1:36" x14ac:dyDescent="0.2">
      <c r="A112" t="str">
        <f>+VLOOKUP(B112,studies!$A$2:$C$102,3)</f>
        <v>Reilly &amp; Richards (1993)</v>
      </c>
      <c r="B112">
        <v>12</v>
      </c>
      <c r="C112">
        <v>1993</v>
      </c>
      <c r="D112">
        <v>1</v>
      </c>
      <c r="E112">
        <v>1990</v>
      </c>
      <c r="F112">
        <v>1990</v>
      </c>
      <c r="G112">
        <v>0.1</v>
      </c>
      <c r="H112">
        <v>157.91509586649673</v>
      </c>
      <c r="I112">
        <v>0</v>
      </c>
      <c r="J112">
        <v>1</v>
      </c>
      <c r="K112">
        <v>0</v>
      </c>
      <c r="L112" t="s">
        <v>238</v>
      </c>
      <c r="M112" t="s">
        <v>238</v>
      </c>
      <c r="N112" t="s">
        <v>238</v>
      </c>
      <c r="O112">
        <v>0</v>
      </c>
      <c r="P112">
        <v>1</v>
      </c>
      <c r="Q112">
        <v>0</v>
      </c>
      <c r="R112">
        <v>0</v>
      </c>
      <c r="S112">
        <v>0</v>
      </c>
      <c r="T112">
        <v>0</v>
      </c>
      <c r="U112">
        <v>0</v>
      </c>
      <c r="V112">
        <v>2</v>
      </c>
      <c r="W112">
        <v>0</v>
      </c>
      <c r="AA112">
        <v>0</v>
      </c>
      <c r="AC112">
        <v>0</v>
      </c>
      <c r="AD112">
        <v>0</v>
      </c>
      <c r="AE112">
        <v>0</v>
      </c>
      <c r="AF112">
        <v>0</v>
      </c>
      <c r="AG112">
        <v>0</v>
      </c>
      <c r="AH112">
        <v>115</v>
      </c>
      <c r="AI112">
        <v>1.65</v>
      </c>
      <c r="AJ112">
        <v>8</v>
      </c>
    </row>
    <row r="113" spans="1:36" x14ac:dyDescent="0.2">
      <c r="A113" t="str">
        <f>+VLOOKUP(B113,studies!$A$2:$C$102,3)</f>
        <v>Reilly &amp; Richards (1993)</v>
      </c>
      <c r="B113">
        <v>12</v>
      </c>
      <c r="C113">
        <v>1993</v>
      </c>
      <c r="D113">
        <v>1</v>
      </c>
      <c r="E113">
        <v>1990</v>
      </c>
      <c r="F113">
        <v>1990</v>
      </c>
      <c r="G113">
        <v>0.1</v>
      </c>
      <c r="H113">
        <v>28.95110090885774</v>
      </c>
      <c r="I113">
        <v>0</v>
      </c>
      <c r="J113">
        <v>1</v>
      </c>
      <c r="K113">
        <v>0</v>
      </c>
      <c r="L113" t="s">
        <v>238</v>
      </c>
      <c r="M113" t="s">
        <v>238</v>
      </c>
      <c r="N113" t="s">
        <v>238</v>
      </c>
      <c r="O113">
        <v>0</v>
      </c>
      <c r="P113">
        <v>1</v>
      </c>
      <c r="Q113">
        <v>0</v>
      </c>
      <c r="R113">
        <v>0</v>
      </c>
      <c r="S113">
        <v>0</v>
      </c>
      <c r="T113">
        <v>0</v>
      </c>
      <c r="U113">
        <v>0</v>
      </c>
      <c r="V113">
        <v>8</v>
      </c>
      <c r="W113">
        <v>6</v>
      </c>
      <c r="AA113">
        <v>0</v>
      </c>
      <c r="AC113">
        <v>0</v>
      </c>
      <c r="AD113">
        <v>0</v>
      </c>
      <c r="AE113">
        <v>0</v>
      </c>
      <c r="AF113">
        <v>0</v>
      </c>
      <c r="AG113">
        <v>0</v>
      </c>
      <c r="AH113">
        <v>115</v>
      </c>
      <c r="AI113">
        <v>1.65</v>
      </c>
      <c r="AJ113">
        <v>8</v>
      </c>
    </row>
    <row r="114" spans="1:36" x14ac:dyDescent="0.2">
      <c r="A114" t="str">
        <f>+VLOOKUP(B114,studies!$A$2:$C$102,3)</f>
        <v>Reilly &amp; Richards (1993)</v>
      </c>
      <c r="B114">
        <v>12</v>
      </c>
      <c r="C114">
        <v>1993</v>
      </c>
      <c r="D114">
        <v>1</v>
      </c>
      <c r="E114">
        <v>1990</v>
      </c>
      <c r="F114">
        <v>1990</v>
      </c>
      <c r="G114">
        <v>0.1</v>
      </c>
      <c r="H114">
        <v>50.006447024390631</v>
      </c>
      <c r="I114">
        <v>0</v>
      </c>
      <c r="J114">
        <v>1</v>
      </c>
      <c r="K114">
        <v>0</v>
      </c>
      <c r="L114" t="s">
        <v>238</v>
      </c>
      <c r="M114" t="s">
        <v>238</v>
      </c>
      <c r="N114" t="s">
        <v>238</v>
      </c>
      <c r="O114">
        <v>0</v>
      </c>
      <c r="P114">
        <v>1</v>
      </c>
      <c r="Q114">
        <v>0</v>
      </c>
      <c r="R114">
        <v>0</v>
      </c>
      <c r="S114">
        <v>0</v>
      </c>
      <c r="T114">
        <v>0</v>
      </c>
      <c r="U114">
        <v>0</v>
      </c>
      <c r="V114">
        <v>8</v>
      </c>
      <c r="W114">
        <v>6</v>
      </c>
      <c r="AA114">
        <v>0</v>
      </c>
      <c r="AC114">
        <v>0</v>
      </c>
      <c r="AD114">
        <v>0</v>
      </c>
      <c r="AE114">
        <v>0</v>
      </c>
      <c r="AF114">
        <v>0</v>
      </c>
      <c r="AG114">
        <v>0</v>
      </c>
      <c r="AH114">
        <v>115</v>
      </c>
      <c r="AI114">
        <v>1.65</v>
      </c>
      <c r="AJ114">
        <v>8</v>
      </c>
    </row>
    <row r="115" spans="1:36" x14ac:dyDescent="0.2">
      <c r="A115" t="str">
        <f>+VLOOKUP(B115,studies!$A$2:$C$102,3)</f>
        <v>Reilly &amp; Richards (1993)</v>
      </c>
      <c r="B115">
        <v>12</v>
      </c>
      <c r="C115">
        <v>1993</v>
      </c>
      <c r="D115">
        <v>1</v>
      </c>
      <c r="E115">
        <v>1990</v>
      </c>
      <c r="F115">
        <v>1990</v>
      </c>
      <c r="G115">
        <v>0.1</v>
      </c>
      <c r="H115">
        <v>67.113915743261103</v>
      </c>
      <c r="I115">
        <v>0</v>
      </c>
      <c r="J115">
        <v>1</v>
      </c>
      <c r="K115">
        <v>0</v>
      </c>
      <c r="L115" t="s">
        <v>238</v>
      </c>
      <c r="M115" t="s">
        <v>238</v>
      </c>
      <c r="N115" t="s">
        <v>238</v>
      </c>
      <c r="O115">
        <v>0</v>
      </c>
      <c r="P115">
        <v>1</v>
      </c>
      <c r="Q115">
        <v>0</v>
      </c>
      <c r="R115">
        <v>0</v>
      </c>
      <c r="S115">
        <v>0</v>
      </c>
      <c r="T115">
        <v>0</v>
      </c>
      <c r="U115">
        <v>0</v>
      </c>
      <c r="V115">
        <v>5</v>
      </c>
      <c r="W115">
        <v>3</v>
      </c>
      <c r="AA115">
        <v>0</v>
      </c>
      <c r="AC115">
        <v>0</v>
      </c>
      <c r="AD115">
        <v>0</v>
      </c>
      <c r="AE115">
        <v>0</v>
      </c>
      <c r="AF115">
        <v>0</v>
      </c>
      <c r="AG115">
        <v>0</v>
      </c>
      <c r="AH115">
        <v>115</v>
      </c>
      <c r="AI115">
        <v>1.65</v>
      </c>
      <c r="AJ115">
        <v>8</v>
      </c>
    </row>
    <row r="116" spans="1:36" x14ac:dyDescent="0.2">
      <c r="A116" t="str">
        <f>+VLOOKUP(B116,studies!$A$2:$C$102,3)</f>
        <v>Reilly &amp; Richards (1993)</v>
      </c>
      <c r="B116">
        <v>12</v>
      </c>
      <c r="C116">
        <v>1993</v>
      </c>
      <c r="D116">
        <v>1</v>
      </c>
      <c r="E116">
        <v>1990</v>
      </c>
      <c r="F116">
        <v>1990</v>
      </c>
      <c r="G116">
        <v>0.1</v>
      </c>
      <c r="H116">
        <v>80.273507065469161</v>
      </c>
      <c r="I116">
        <v>0</v>
      </c>
      <c r="J116">
        <v>1</v>
      </c>
      <c r="K116">
        <v>0</v>
      </c>
      <c r="L116" t="s">
        <v>238</v>
      </c>
      <c r="M116" t="s">
        <v>238</v>
      </c>
      <c r="N116" t="s">
        <v>238</v>
      </c>
      <c r="O116">
        <v>0</v>
      </c>
      <c r="P116">
        <v>1</v>
      </c>
      <c r="Q116">
        <v>0</v>
      </c>
      <c r="R116">
        <v>0</v>
      </c>
      <c r="S116">
        <v>0</v>
      </c>
      <c r="T116">
        <v>0</v>
      </c>
      <c r="U116">
        <v>0</v>
      </c>
      <c r="V116">
        <v>5</v>
      </c>
      <c r="W116">
        <v>3</v>
      </c>
      <c r="AA116">
        <v>0</v>
      </c>
      <c r="AC116">
        <v>0</v>
      </c>
      <c r="AD116">
        <v>0</v>
      </c>
      <c r="AE116">
        <v>0</v>
      </c>
      <c r="AF116">
        <v>0</v>
      </c>
      <c r="AG116">
        <v>0</v>
      </c>
      <c r="AH116">
        <v>115</v>
      </c>
      <c r="AI116">
        <v>1.65</v>
      </c>
      <c r="AJ116">
        <v>8</v>
      </c>
    </row>
    <row r="117" spans="1:36" x14ac:dyDescent="0.2">
      <c r="A117" t="str">
        <f>+VLOOKUP(B117,studies!$A$2:$C$102,3)</f>
        <v>Azar (1994)</v>
      </c>
      <c r="B117">
        <v>13</v>
      </c>
      <c r="C117">
        <v>1994</v>
      </c>
      <c r="D117">
        <v>1</v>
      </c>
      <c r="E117">
        <v>1990</v>
      </c>
      <c r="F117">
        <v>1990</v>
      </c>
      <c r="G117">
        <v>0.25</v>
      </c>
      <c r="H117">
        <v>179.44897257556445</v>
      </c>
      <c r="I117">
        <v>0</v>
      </c>
      <c r="J117">
        <v>1</v>
      </c>
      <c r="K117">
        <v>0</v>
      </c>
      <c r="L117" t="s">
        <v>238</v>
      </c>
      <c r="M117" t="s">
        <v>238</v>
      </c>
      <c r="N117" t="s">
        <v>238</v>
      </c>
      <c r="O117">
        <v>0</v>
      </c>
      <c r="P117">
        <v>0</v>
      </c>
      <c r="Q117">
        <v>0</v>
      </c>
      <c r="R117">
        <v>0</v>
      </c>
      <c r="S117">
        <v>0</v>
      </c>
      <c r="T117">
        <v>0</v>
      </c>
      <c r="U117">
        <v>0</v>
      </c>
      <c r="W117">
        <v>0</v>
      </c>
      <c r="AA117">
        <v>0</v>
      </c>
      <c r="AC117">
        <v>0</v>
      </c>
      <c r="AD117">
        <v>0</v>
      </c>
      <c r="AE117">
        <v>0</v>
      </c>
      <c r="AF117">
        <v>0</v>
      </c>
      <c r="AG117">
        <v>0</v>
      </c>
      <c r="AH117">
        <v>14</v>
      </c>
      <c r="AI117">
        <v>1.85</v>
      </c>
      <c r="AJ117">
        <v>3</v>
      </c>
    </row>
    <row r="118" spans="1:36" x14ac:dyDescent="0.2">
      <c r="A118" t="str">
        <f>+VLOOKUP(B118,studies!$A$2:$C$102,3)</f>
        <v>Azar (1994)</v>
      </c>
      <c r="B118">
        <v>13</v>
      </c>
      <c r="C118">
        <v>1994</v>
      </c>
      <c r="D118">
        <v>1</v>
      </c>
      <c r="E118">
        <v>1990</v>
      </c>
      <c r="F118">
        <v>1990</v>
      </c>
      <c r="G118">
        <v>0.5</v>
      </c>
      <c r="H118">
        <v>717.79589030225782</v>
      </c>
      <c r="I118">
        <v>0</v>
      </c>
      <c r="J118">
        <v>1</v>
      </c>
      <c r="K118">
        <v>0</v>
      </c>
      <c r="L118" t="s">
        <v>238</v>
      </c>
      <c r="M118" t="s">
        <v>238</v>
      </c>
      <c r="N118" t="s">
        <v>238</v>
      </c>
      <c r="O118">
        <v>0</v>
      </c>
      <c r="P118">
        <v>0</v>
      </c>
      <c r="Q118">
        <v>0</v>
      </c>
      <c r="R118">
        <v>0</v>
      </c>
      <c r="S118">
        <v>0</v>
      </c>
      <c r="T118">
        <v>0</v>
      </c>
      <c r="U118">
        <v>0</v>
      </c>
      <c r="W118">
        <v>0</v>
      </c>
      <c r="AA118">
        <v>0</v>
      </c>
      <c r="AC118">
        <v>0</v>
      </c>
      <c r="AD118">
        <v>0</v>
      </c>
      <c r="AE118">
        <v>0</v>
      </c>
      <c r="AF118">
        <v>0</v>
      </c>
      <c r="AG118">
        <v>0</v>
      </c>
      <c r="AH118">
        <v>14</v>
      </c>
      <c r="AI118">
        <v>1.85</v>
      </c>
      <c r="AJ118">
        <v>3</v>
      </c>
    </row>
    <row r="119" spans="1:36" x14ac:dyDescent="0.2">
      <c r="A119" t="str">
        <f>+VLOOKUP(B119,studies!$A$2:$C$102,3)</f>
        <v>Azar (1994)</v>
      </c>
      <c r="B119">
        <v>13</v>
      </c>
      <c r="C119">
        <v>1994</v>
      </c>
      <c r="D119">
        <v>1</v>
      </c>
      <c r="E119">
        <v>1990</v>
      </c>
      <c r="F119">
        <v>1990</v>
      </c>
      <c r="G119">
        <v>0.25</v>
      </c>
      <c r="H119">
        <v>1794.4897257556447</v>
      </c>
      <c r="I119">
        <v>0</v>
      </c>
      <c r="J119">
        <v>1</v>
      </c>
      <c r="K119">
        <v>0</v>
      </c>
      <c r="L119" t="s">
        <v>238</v>
      </c>
      <c r="M119" t="s">
        <v>238</v>
      </c>
      <c r="N119" t="s">
        <v>238</v>
      </c>
      <c r="O119">
        <v>0</v>
      </c>
      <c r="P119">
        <v>0</v>
      </c>
      <c r="Q119">
        <v>0</v>
      </c>
      <c r="R119">
        <v>0</v>
      </c>
      <c r="S119">
        <v>0</v>
      </c>
      <c r="T119">
        <v>0</v>
      </c>
      <c r="U119">
        <v>0</v>
      </c>
      <c r="W119">
        <v>0</v>
      </c>
      <c r="AA119">
        <v>0</v>
      </c>
      <c r="AC119">
        <v>0</v>
      </c>
      <c r="AD119">
        <v>0</v>
      </c>
      <c r="AE119">
        <v>0</v>
      </c>
      <c r="AF119">
        <v>0</v>
      </c>
      <c r="AG119">
        <v>0</v>
      </c>
      <c r="AH119">
        <v>14</v>
      </c>
      <c r="AI119">
        <v>1.85</v>
      </c>
      <c r="AJ119">
        <v>3</v>
      </c>
    </row>
    <row r="120" spans="1:36" x14ac:dyDescent="0.2">
      <c r="A120" t="str">
        <f>+VLOOKUP(B120,studies!$A$2:$C$102,3)</f>
        <v>Fankhauser (1994)</v>
      </c>
      <c r="B120">
        <v>14</v>
      </c>
      <c r="C120">
        <v>1994</v>
      </c>
      <c r="D120">
        <v>1</v>
      </c>
      <c r="E120">
        <v>1988</v>
      </c>
      <c r="F120">
        <v>2015</v>
      </c>
      <c r="G120">
        <v>1</v>
      </c>
      <c r="H120">
        <v>46.634123415046496</v>
      </c>
      <c r="I120">
        <v>1</v>
      </c>
      <c r="J120">
        <v>0</v>
      </c>
      <c r="K120">
        <v>0</v>
      </c>
      <c r="L120">
        <v>32.256804733727812</v>
      </c>
      <c r="M120">
        <v>15.987337623130403</v>
      </c>
      <c r="N120">
        <v>29.247423534079736</v>
      </c>
      <c r="O120">
        <v>1</v>
      </c>
      <c r="P120">
        <v>1</v>
      </c>
      <c r="Q120">
        <v>0</v>
      </c>
      <c r="R120">
        <v>1</v>
      </c>
      <c r="S120">
        <v>0</v>
      </c>
      <c r="T120">
        <v>0</v>
      </c>
      <c r="U120">
        <v>0</v>
      </c>
      <c r="X120">
        <v>1</v>
      </c>
      <c r="AA120">
        <v>0</v>
      </c>
      <c r="AB120">
        <v>6</v>
      </c>
      <c r="AC120">
        <v>0</v>
      </c>
      <c r="AD120">
        <v>0</v>
      </c>
      <c r="AE120">
        <v>0</v>
      </c>
      <c r="AF120">
        <v>0</v>
      </c>
      <c r="AG120">
        <v>0</v>
      </c>
      <c r="AH120">
        <v>296</v>
      </c>
      <c r="AI120">
        <v>1.85</v>
      </c>
      <c r="AJ120">
        <v>1</v>
      </c>
    </row>
    <row r="121" spans="1:36" x14ac:dyDescent="0.2">
      <c r="A121" t="str">
        <f>+VLOOKUP(B121,studies!$A$2:$C$102,3)</f>
        <v>Nordhaus (1994)</v>
      </c>
      <c r="B121">
        <v>15</v>
      </c>
      <c r="C121">
        <v>1994</v>
      </c>
      <c r="D121">
        <v>0</v>
      </c>
      <c r="E121">
        <v>1989</v>
      </c>
      <c r="F121">
        <v>2005</v>
      </c>
      <c r="G121">
        <v>1</v>
      </c>
      <c r="H121">
        <v>17.200863906607989</v>
      </c>
      <c r="I121">
        <v>0</v>
      </c>
      <c r="J121">
        <v>1</v>
      </c>
      <c r="K121">
        <v>0</v>
      </c>
      <c r="L121" t="s">
        <v>238</v>
      </c>
      <c r="M121" t="s">
        <v>238</v>
      </c>
      <c r="N121" t="s">
        <v>238</v>
      </c>
      <c r="O121">
        <v>1</v>
      </c>
      <c r="P121">
        <v>1</v>
      </c>
      <c r="Q121">
        <v>0</v>
      </c>
      <c r="R121">
        <v>1</v>
      </c>
      <c r="S121">
        <v>0</v>
      </c>
      <c r="T121">
        <v>1</v>
      </c>
      <c r="U121">
        <v>0</v>
      </c>
      <c r="V121">
        <v>5</v>
      </c>
      <c r="W121">
        <v>3</v>
      </c>
      <c r="AA121">
        <v>0</v>
      </c>
      <c r="AC121">
        <v>0</v>
      </c>
      <c r="AD121">
        <v>1</v>
      </c>
      <c r="AE121">
        <v>0</v>
      </c>
      <c r="AF121">
        <v>1</v>
      </c>
      <c r="AG121">
        <v>0</v>
      </c>
      <c r="AH121">
        <v>1733</v>
      </c>
      <c r="AI121">
        <v>0</v>
      </c>
      <c r="AJ121">
        <v>1</v>
      </c>
    </row>
    <row r="122" spans="1:36" x14ac:dyDescent="0.2">
      <c r="A122" t="str">
        <f>+VLOOKUP(B122,studies!$A$2:$C$102,3)</f>
        <v>Maddison (1995)</v>
      </c>
      <c r="B122">
        <v>16</v>
      </c>
      <c r="C122">
        <v>1995</v>
      </c>
      <c r="D122">
        <v>1</v>
      </c>
      <c r="E122">
        <v>1990</v>
      </c>
      <c r="F122">
        <v>2010</v>
      </c>
      <c r="G122">
        <v>1</v>
      </c>
      <c r="H122">
        <v>43.033787516004104</v>
      </c>
      <c r="I122">
        <v>0</v>
      </c>
      <c r="J122">
        <v>1</v>
      </c>
      <c r="K122">
        <v>0</v>
      </c>
      <c r="L122" t="s">
        <v>238</v>
      </c>
      <c r="M122" t="s">
        <v>238</v>
      </c>
      <c r="N122" t="s">
        <v>238</v>
      </c>
      <c r="O122">
        <v>0</v>
      </c>
      <c r="P122">
        <v>1</v>
      </c>
      <c r="Q122">
        <v>0</v>
      </c>
      <c r="R122">
        <v>1</v>
      </c>
      <c r="S122">
        <v>0</v>
      </c>
      <c r="T122">
        <v>0</v>
      </c>
      <c r="U122">
        <v>0</v>
      </c>
      <c r="V122">
        <v>5</v>
      </c>
      <c r="W122">
        <v>3</v>
      </c>
      <c r="Y122">
        <v>2.8414594769131432</v>
      </c>
      <c r="AA122">
        <v>0</v>
      </c>
      <c r="AB122">
        <v>1.2</v>
      </c>
      <c r="AC122">
        <v>0</v>
      </c>
      <c r="AD122">
        <v>0</v>
      </c>
      <c r="AE122">
        <v>0</v>
      </c>
      <c r="AF122">
        <v>1</v>
      </c>
      <c r="AG122">
        <v>0</v>
      </c>
      <c r="AH122">
        <v>97</v>
      </c>
      <c r="AI122">
        <v>1.6</v>
      </c>
      <c r="AJ122">
        <v>1</v>
      </c>
    </row>
    <row r="123" spans="1:36" x14ac:dyDescent="0.2">
      <c r="A123" t="str">
        <f>+VLOOKUP(B123,studies!$A$2:$C$102,3)</f>
        <v>Schauer (1995)</v>
      </c>
      <c r="B123">
        <v>17</v>
      </c>
      <c r="C123">
        <v>1995</v>
      </c>
      <c r="D123">
        <v>1</v>
      </c>
      <c r="E123">
        <v>1990</v>
      </c>
      <c r="F123">
        <v>1990</v>
      </c>
      <c r="G123">
        <v>0.5</v>
      </c>
      <c r="H123">
        <v>6.3273707730144029</v>
      </c>
      <c r="I123">
        <v>0</v>
      </c>
      <c r="J123">
        <v>0</v>
      </c>
      <c r="K123">
        <v>1</v>
      </c>
      <c r="L123">
        <v>75.942805193978899</v>
      </c>
      <c r="M123">
        <v>75.942805193978899</v>
      </c>
      <c r="N123">
        <v>75.942805193978899</v>
      </c>
      <c r="O123">
        <v>1</v>
      </c>
      <c r="P123">
        <v>1</v>
      </c>
      <c r="Q123">
        <v>0</v>
      </c>
      <c r="R123">
        <v>1</v>
      </c>
      <c r="S123">
        <v>0</v>
      </c>
      <c r="T123">
        <v>0</v>
      </c>
      <c r="U123">
        <v>0</v>
      </c>
      <c r="V123">
        <v>4.91</v>
      </c>
      <c r="W123">
        <v>2.3000000000000003</v>
      </c>
      <c r="AA123">
        <v>0</v>
      </c>
      <c r="AC123">
        <v>0</v>
      </c>
      <c r="AD123">
        <v>0</v>
      </c>
      <c r="AE123">
        <v>0</v>
      </c>
      <c r="AF123">
        <v>0</v>
      </c>
      <c r="AG123">
        <v>0</v>
      </c>
      <c r="AH123">
        <v>15</v>
      </c>
      <c r="AI123">
        <v>1.65</v>
      </c>
      <c r="AJ123">
        <v>2</v>
      </c>
    </row>
    <row r="124" spans="1:36" x14ac:dyDescent="0.2">
      <c r="A124" t="str">
        <f>+VLOOKUP(B124,studies!$A$2:$C$102,3)</f>
        <v>Schauer (1995)</v>
      </c>
      <c r="B124">
        <v>17</v>
      </c>
      <c r="C124">
        <v>1995</v>
      </c>
      <c r="D124">
        <v>1</v>
      </c>
      <c r="E124">
        <v>1990</v>
      </c>
      <c r="F124">
        <v>1990</v>
      </c>
      <c r="G124">
        <v>0.5</v>
      </c>
      <c r="H124">
        <v>192.08218024488423</v>
      </c>
      <c r="I124">
        <v>0</v>
      </c>
      <c r="J124">
        <v>0</v>
      </c>
      <c r="K124">
        <v>1</v>
      </c>
      <c r="L124">
        <v>537.62912183639116</v>
      </c>
      <c r="M124">
        <v>537.62912183639116</v>
      </c>
      <c r="N124">
        <v>537.62912183639116</v>
      </c>
      <c r="O124">
        <v>1</v>
      </c>
      <c r="P124">
        <v>1</v>
      </c>
      <c r="Q124">
        <v>0</v>
      </c>
      <c r="R124">
        <v>1</v>
      </c>
      <c r="S124">
        <v>0</v>
      </c>
      <c r="T124">
        <v>0</v>
      </c>
      <c r="U124">
        <v>0</v>
      </c>
      <c r="V124">
        <v>4.91</v>
      </c>
      <c r="W124">
        <v>2.3000000000000003</v>
      </c>
      <c r="AA124">
        <v>0</v>
      </c>
      <c r="AC124">
        <v>0</v>
      </c>
      <c r="AD124">
        <v>0</v>
      </c>
      <c r="AE124">
        <v>0</v>
      </c>
      <c r="AF124">
        <v>0</v>
      </c>
      <c r="AG124">
        <v>0</v>
      </c>
      <c r="AH124">
        <v>15</v>
      </c>
      <c r="AI124">
        <v>1.65</v>
      </c>
      <c r="AJ124">
        <v>2</v>
      </c>
    </row>
    <row r="125" spans="1:36" x14ac:dyDescent="0.2">
      <c r="A125" t="str">
        <f>+VLOOKUP(B125,studies!$A$2:$C$102,3)</f>
        <v>Azar &amp; Sterner (1996)</v>
      </c>
      <c r="B125">
        <v>18</v>
      </c>
      <c r="C125">
        <v>1996</v>
      </c>
      <c r="D125">
        <v>1</v>
      </c>
      <c r="E125">
        <v>1990</v>
      </c>
      <c r="F125">
        <v>1990</v>
      </c>
      <c r="G125">
        <v>4.4444444444444446E-2</v>
      </c>
      <c r="H125">
        <v>305.06325337845959</v>
      </c>
      <c r="I125">
        <v>0</v>
      </c>
      <c r="J125">
        <v>1</v>
      </c>
      <c r="K125">
        <v>0</v>
      </c>
      <c r="L125" t="s">
        <v>238</v>
      </c>
      <c r="M125" t="s">
        <v>238</v>
      </c>
      <c r="N125" t="s">
        <v>238</v>
      </c>
      <c r="O125">
        <v>0</v>
      </c>
      <c r="P125">
        <v>1</v>
      </c>
      <c r="Q125">
        <v>0</v>
      </c>
      <c r="R125">
        <v>1</v>
      </c>
      <c r="S125">
        <v>0</v>
      </c>
      <c r="T125">
        <v>0</v>
      </c>
      <c r="U125">
        <v>0</v>
      </c>
      <c r="V125">
        <v>2</v>
      </c>
      <c r="W125">
        <v>0</v>
      </c>
      <c r="AA125">
        <v>0</v>
      </c>
      <c r="AC125">
        <v>0</v>
      </c>
      <c r="AD125">
        <v>0</v>
      </c>
      <c r="AE125">
        <v>0</v>
      </c>
      <c r="AF125">
        <v>0</v>
      </c>
      <c r="AG125">
        <v>0</v>
      </c>
      <c r="AH125">
        <v>297</v>
      </c>
      <c r="AI125">
        <v>1.93</v>
      </c>
      <c r="AJ125">
        <v>16</v>
      </c>
    </row>
    <row r="126" spans="1:36" x14ac:dyDescent="0.2">
      <c r="A126" t="str">
        <f>+VLOOKUP(B126,studies!$A$2:$C$102,3)</f>
        <v>Azar &amp; Sterner (1996)</v>
      </c>
      <c r="B126">
        <v>18</v>
      </c>
      <c r="C126">
        <v>1996</v>
      </c>
      <c r="D126">
        <v>1</v>
      </c>
      <c r="E126">
        <v>1990</v>
      </c>
      <c r="F126">
        <v>1990</v>
      </c>
      <c r="G126">
        <v>8.8888888888888892E-2</v>
      </c>
      <c r="H126">
        <v>717.79589030225782</v>
      </c>
      <c r="I126">
        <v>0</v>
      </c>
      <c r="J126">
        <v>1</v>
      </c>
      <c r="K126">
        <v>0</v>
      </c>
      <c r="L126" t="s">
        <v>238</v>
      </c>
      <c r="M126" t="s">
        <v>238</v>
      </c>
      <c r="N126" t="s">
        <v>238</v>
      </c>
      <c r="O126">
        <v>0</v>
      </c>
      <c r="P126">
        <v>1</v>
      </c>
      <c r="Q126">
        <v>0</v>
      </c>
      <c r="R126">
        <v>1</v>
      </c>
      <c r="S126">
        <v>0</v>
      </c>
      <c r="T126">
        <v>0</v>
      </c>
      <c r="U126">
        <v>0</v>
      </c>
      <c r="V126">
        <v>2</v>
      </c>
      <c r="W126">
        <v>0</v>
      </c>
      <c r="AA126">
        <v>0</v>
      </c>
      <c r="AC126">
        <v>0</v>
      </c>
      <c r="AD126">
        <v>0</v>
      </c>
      <c r="AE126">
        <v>0</v>
      </c>
      <c r="AF126">
        <v>0</v>
      </c>
      <c r="AG126">
        <v>0</v>
      </c>
      <c r="AH126">
        <v>297</v>
      </c>
      <c r="AI126">
        <v>1.93</v>
      </c>
      <c r="AJ126">
        <v>16</v>
      </c>
    </row>
    <row r="127" spans="1:36" x14ac:dyDescent="0.2">
      <c r="A127" t="str">
        <f>+VLOOKUP(B127,studies!$A$2:$C$102,3)</f>
        <v>Azar &amp; Sterner (1996)</v>
      </c>
      <c r="B127">
        <v>18</v>
      </c>
      <c r="C127">
        <v>1996</v>
      </c>
      <c r="D127">
        <v>1</v>
      </c>
      <c r="E127">
        <v>1990</v>
      </c>
      <c r="F127">
        <v>1990</v>
      </c>
      <c r="G127">
        <v>3.3333333333333333E-2</v>
      </c>
      <c r="H127">
        <v>269.1734588633467</v>
      </c>
      <c r="I127">
        <v>0</v>
      </c>
      <c r="J127">
        <v>1</v>
      </c>
      <c r="K127">
        <v>0</v>
      </c>
      <c r="L127" t="s">
        <v>238</v>
      </c>
      <c r="M127" t="s">
        <v>238</v>
      </c>
      <c r="N127" t="s">
        <v>238</v>
      </c>
      <c r="O127">
        <v>0</v>
      </c>
      <c r="P127">
        <v>1</v>
      </c>
      <c r="Q127">
        <v>0</v>
      </c>
      <c r="R127">
        <v>1</v>
      </c>
      <c r="S127">
        <v>0</v>
      </c>
      <c r="T127">
        <v>0</v>
      </c>
      <c r="U127">
        <v>0</v>
      </c>
      <c r="V127">
        <v>2.1</v>
      </c>
      <c r="W127">
        <v>0.1</v>
      </c>
      <c r="AA127">
        <v>0</v>
      </c>
      <c r="AC127">
        <v>0</v>
      </c>
      <c r="AD127">
        <v>0</v>
      </c>
      <c r="AE127">
        <v>0</v>
      </c>
      <c r="AF127">
        <v>0</v>
      </c>
      <c r="AG127">
        <v>0</v>
      </c>
      <c r="AH127">
        <v>297</v>
      </c>
      <c r="AI127">
        <v>1.93</v>
      </c>
      <c r="AJ127">
        <v>16</v>
      </c>
    </row>
    <row r="128" spans="1:36" x14ac:dyDescent="0.2">
      <c r="A128" t="str">
        <f>+VLOOKUP(B128,studies!$A$2:$C$102,3)</f>
        <v>Azar &amp; Sterner (1996)</v>
      </c>
      <c r="B128">
        <v>18</v>
      </c>
      <c r="C128">
        <v>1996</v>
      </c>
      <c r="D128">
        <v>1</v>
      </c>
      <c r="E128">
        <v>1990</v>
      </c>
      <c r="F128">
        <v>1990</v>
      </c>
      <c r="G128">
        <v>6.6666666666666666E-2</v>
      </c>
      <c r="H128">
        <v>502.45712321158049</v>
      </c>
      <c r="I128">
        <v>0</v>
      </c>
      <c r="J128">
        <v>1</v>
      </c>
      <c r="K128">
        <v>0</v>
      </c>
      <c r="L128" t="s">
        <v>238</v>
      </c>
      <c r="M128" t="s">
        <v>238</v>
      </c>
      <c r="N128" t="s">
        <v>238</v>
      </c>
      <c r="O128">
        <v>0</v>
      </c>
      <c r="P128">
        <v>1</v>
      </c>
      <c r="Q128">
        <v>0</v>
      </c>
      <c r="R128">
        <v>1</v>
      </c>
      <c r="S128">
        <v>0</v>
      </c>
      <c r="T128">
        <v>0</v>
      </c>
      <c r="U128">
        <v>0</v>
      </c>
      <c r="V128">
        <v>2.1</v>
      </c>
      <c r="W128">
        <v>0.1</v>
      </c>
      <c r="AA128">
        <v>0</v>
      </c>
      <c r="AC128">
        <v>0</v>
      </c>
      <c r="AD128">
        <v>0</v>
      </c>
      <c r="AE128">
        <v>0</v>
      </c>
      <c r="AF128">
        <v>0</v>
      </c>
      <c r="AG128">
        <v>0</v>
      </c>
      <c r="AH128">
        <v>297</v>
      </c>
      <c r="AI128">
        <v>1.93</v>
      </c>
      <c r="AJ128">
        <v>16</v>
      </c>
    </row>
    <row r="129" spans="1:36" x14ac:dyDescent="0.2">
      <c r="A129" t="str">
        <f>+VLOOKUP(B129,studies!$A$2:$C$102,3)</f>
        <v>Azar &amp; Sterner (1996)</v>
      </c>
      <c r="B129">
        <v>18</v>
      </c>
      <c r="C129">
        <v>1996</v>
      </c>
      <c r="D129">
        <v>1</v>
      </c>
      <c r="E129">
        <v>1990</v>
      </c>
      <c r="F129">
        <v>1990</v>
      </c>
      <c r="G129">
        <v>2.2222222222222223E-2</v>
      </c>
      <c r="H129">
        <v>114.84734244836126</v>
      </c>
      <c r="I129">
        <v>0</v>
      </c>
      <c r="J129">
        <v>1</v>
      </c>
      <c r="K129">
        <v>0</v>
      </c>
      <c r="L129" t="s">
        <v>238</v>
      </c>
      <c r="M129" t="s">
        <v>238</v>
      </c>
      <c r="N129" t="s">
        <v>238</v>
      </c>
      <c r="O129">
        <v>0</v>
      </c>
      <c r="P129">
        <v>1</v>
      </c>
      <c r="Q129">
        <v>0</v>
      </c>
      <c r="R129">
        <v>1</v>
      </c>
      <c r="S129">
        <v>0</v>
      </c>
      <c r="T129">
        <v>0</v>
      </c>
      <c r="U129">
        <v>0</v>
      </c>
      <c r="V129">
        <v>3</v>
      </c>
      <c r="W129">
        <v>1</v>
      </c>
      <c r="AA129">
        <v>0</v>
      </c>
      <c r="AC129">
        <v>0</v>
      </c>
      <c r="AD129">
        <v>0</v>
      </c>
      <c r="AE129">
        <v>0</v>
      </c>
      <c r="AF129">
        <v>0</v>
      </c>
      <c r="AG129">
        <v>0</v>
      </c>
      <c r="AH129">
        <v>297</v>
      </c>
      <c r="AI129">
        <v>1.93</v>
      </c>
      <c r="AJ129">
        <v>16</v>
      </c>
    </row>
    <row r="130" spans="1:36" x14ac:dyDescent="0.2">
      <c r="A130" t="str">
        <f>+VLOOKUP(B130,studies!$A$2:$C$102,3)</f>
        <v>Azar &amp; Sterner (1996)</v>
      </c>
      <c r="B130">
        <v>18</v>
      </c>
      <c r="C130">
        <v>1996</v>
      </c>
      <c r="D130">
        <v>1</v>
      </c>
      <c r="E130">
        <v>1990</v>
      </c>
      <c r="F130">
        <v>1990</v>
      </c>
      <c r="G130">
        <v>4.4444444444444446E-2</v>
      </c>
      <c r="H130">
        <v>118.43632189987254</v>
      </c>
      <c r="I130">
        <v>0</v>
      </c>
      <c r="J130">
        <v>1</v>
      </c>
      <c r="K130">
        <v>0</v>
      </c>
      <c r="L130" t="s">
        <v>238</v>
      </c>
      <c r="M130" t="s">
        <v>238</v>
      </c>
      <c r="N130" t="s">
        <v>238</v>
      </c>
      <c r="O130">
        <v>0</v>
      </c>
      <c r="P130">
        <v>1</v>
      </c>
      <c r="Q130">
        <v>0</v>
      </c>
      <c r="R130">
        <v>1</v>
      </c>
      <c r="S130">
        <v>0</v>
      </c>
      <c r="T130">
        <v>0</v>
      </c>
      <c r="U130">
        <v>0</v>
      </c>
      <c r="V130">
        <v>3</v>
      </c>
      <c r="W130">
        <v>1</v>
      </c>
      <c r="AA130">
        <v>0</v>
      </c>
      <c r="AC130">
        <v>0</v>
      </c>
      <c r="AD130">
        <v>0</v>
      </c>
      <c r="AE130">
        <v>0</v>
      </c>
      <c r="AF130">
        <v>0</v>
      </c>
      <c r="AG130">
        <v>0</v>
      </c>
      <c r="AH130">
        <v>297</v>
      </c>
      <c r="AI130">
        <v>1.93</v>
      </c>
      <c r="AJ130">
        <v>16</v>
      </c>
    </row>
    <row r="131" spans="1:36" x14ac:dyDescent="0.2">
      <c r="A131" t="str">
        <f>+VLOOKUP(B131,studies!$A$2:$C$102,3)</f>
        <v>Azar &amp; Sterner (1996)</v>
      </c>
      <c r="B131">
        <v>18</v>
      </c>
      <c r="C131">
        <v>1996</v>
      </c>
      <c r="D131">
        <v>1</v>
      </c>
      <c r="E131">
        <v>1990</v>
      </c>
      <c r="F131">
        <v>1990</v>
      </c>
      <c r="G131">
        <v>1.1111111111111112E-2</v>
      </c>
      <c r="H131">
        <v>46.656732869646767</v>
      </c>
      <c r="I131">
        <v>0</v>
      </c>
      <c r="J131">
        <v>1</v>
      </c>
      <c r="K131">
        <v>0</v>
      </c>
      <c r="L131" t="s">
        <v>238</v>
      </c>
      <c r="M131" t="s">
        <v>238</v>
      </c>
      <c r="N131" t="s">
        <v>238</v>
      </c>
      <c r="O131">
        <v>0</v>
      </c>
      <c r="P131">
        <v>1</v>
      </c>
      <c r="Q131">
        <v>0</v>
      </c>
      <c r="R131">
        <v>1</v>
      </c>
      <c r="S131">
        <v>0</v>
      </c>
      <c r="T131">
        <v>0</v>
      </c>
      <c r="U131">
        <v>0</v>
      </c>
      <c r="V131">
        <v>5</v>
      </c>
      <c r="W131">
        <v>3</v>
      </c>
      <c r="AA131">
        <v>0</v>
      </c>
      <c r="AC131">
        <v>0</v>
      </c>
      <c r="AD131">
        <v>0</v>
      </c>
      <c r="AE131">
        <v>0</v>
      </c>
      <c r="AF131">
        <v>0</v>
      </c>
      <c r="AG131">
        <v>0</v>
      </c>
      <c r="AH131">
        <v>297</v>
      </c>
      <c r="AI131">
        <v>1.93</v>
      </c>
      <c r="AJ131">
        <v>16</v>
      </c>
    </row>
    <row r="132" spans="1:36" x14ac:dyDescent="0.2">
      <c r="A132" t="str">
        <f>+VLOOKUP(B132,studies!$A$2:$C$102,3)</f>
        <v>Azar &amp; Sterner (1996)</v>
      </c>
      <c r="B132">
        <v>18</v>
      </c>
      <c r="C132">
        <v>1996</v>
      </c>
      <c r="D132">
        <v>1</v>
      </c>
      <c r="E132">
        <v>1990</v>
      </c>
      <c r="F132">
        <v>1990</v>
      </c>
      <c r="G132">
        <v>2.2222222222222223E-2</v>
      </c>
      <c r="H132">
        <v>46.656732869646767</v>
      </c>
      <c r="I132">
        <v>0</v>
      </c>
      <c r="J132">
        <v>1</v>
      </c>
      <c r="K132">
        <v>0</v>
      </c>
      <c r="L132" t="s">
        <v>238</v>
      </c>
      <c r="M132" t="s">
        <v>238</v>
      </c>
      <c r="N132" t="s">
        <v>238</v>
      </c>
      <c r="O132">
        <v>0</v>
      </c>
      <c r="P132">
        <v>1</v>
      </c>
      <c r="Q132">
        <v>0</v>
      </c>
      <c r="R132">
        <v>1</v>
      </c>
      <c r="S132">
        <v>0</v>
      </c>
      <c r="T132">
        <v>0</v>
      </c>
      <c r="U132">
        <v>0</v>
      </c>
      <c r="V132">
        <v>5</v>
      </c>
      <c r="W132">
        <v>3</v>
      </c>
      <c r="AA132">
        <v>0</v>
      </c>
      <c r="AC132">
        <v>0</v>
      </c>
      <c r="AD132">
        <v>0</v>
      </c>
      <c r="AE132">
        <v>0</v>
      </c>
      <c r="AF132">
        <v>0</v>
      </c>
      <c r="AG132">
        <v>0</v>
      </c>
      <c r="AH132">
        <v>297</v>
      </c>
      <c r="AI132">
        <v>1.93</v>
      </c>
      <c r="AJ132">
        <v>16</v>
      </c>
    </row>
    <row r="133" spans="1:36" x14ac:dyDescent="0.2">
      <c r="A133" t="str">
        <f>+VLOOKUP(B133,studies!$A$2:$C$102,3)</f>
        <v>Azar &amp; Sterner (1996)</v>
      </c>
      <c r="B133">
        <v>18</v>
      </c>
      <c r="C133">
        <v>1996</v>
      </c>
      <c r="D133">
        <v>1</v>
      </c>
      <c r="E133">
        <v>1990</v>
      </c>
      <c r="F133">
        <v>1990</v>
      </c>
      <c r="G133">
        <v>8.8888888888888892E-2</v>
      </c>
      <c r="H133">
        <v>933.13465739293531</v>
      </c>
      <c r="I133">
        <v>0</v>
      </c>
      <c r="J133">
        <v>1</v>
      </c>
      <c r="K133">
        <v>0</v>
      </c>
      <c r="L133" t="s">
        <v>238</v>
      </c>
      <c r="M133" t="s">
        <v>238</v>
      </c>
      <c r="N133" t="s">
        <v>238</v>
      </c>
      <c r="O133">
        <v>0</v>
      </c>
      <c r="P133">
        <v>1</v>
      </c>
      <c r="Q133">
        <v>0</v>
      </c>
      <c r="R133">
        <v>1</v>
      </c>
      <c r="S133">
        <v>0</v>
      </c>
      <c r="T133">
        <v>0</v>
      </c>
      <c r="U133">
        <v>0</v>
      </c>
      <c r="V133">
        <v>2</v>
      </c>
      <c r="W133">
        <v>0</v>
      </c>
      <c r="AA133">
        <v>1</v>
      </c>
      <c r="AC133">
        <v>0</v>
      </c>
      <c r="AD133">
        <v>0</v>
      </c>
      <c r="AE133">
        <v>0</v>
      </c>
      <c r="AF133">
        <v>0</v>
      </c>
      <c r="AG133">
        <v>0</v>
      </c>
      <c r="AH133">
        <v>297</v>
      </c>
      <c r="AI133">
        <v>1.93</v>
      </c>
      <c r="AJ133">
        <v>16</v>
      </c>
    </row>
    <row r="134" spans="1:36" x14ac:dyDescent="0.2">
      <c r="A134" t="str">
        <f>+VLOOKUP(B134,studies!$A$2:$C$102,3)</f>
        <v>Azar &amp; Sterner (1996)</v>
      </c>
      <c r="B134">
        <v>18</v>
      </c>
      <c r="C134">
        <v>1996</v>
      </c>
      <c r="D134">
        <v>1</v>
      </c>
      <c r="E134">
        <v>1990</v>
      </c>
      <c r="F134">
        <v>1990</v>
      </c>
      <c r="G134">
        <v>0.17777777777777778</v>
      </c>
      <c r="H134">
        <v>2117.4978763916606</v>
      </c>
      <c r="I134">
        <v>0</v>
      </c>
      <c r="J134">
        <v>1</v>
      </c>
      <c r="K134">
        <v>0</v>
      </c>
      <c r="L134" t="s">
        <v>238</v>
      </c>
      <c r="M134" t="s">
        <v>238</v>
      </c>
      <c r="N134" t="s">
        <v>238</v>
      </c>
      <c r="O134">
        <v>0</v>
      </c>
      <c r="P134">
        <v>1</v>
      </c>
      <c r="Q134">
        <v>0</v>
      </c>
      <c r="R134">
        <v>1</v>
      </c>
      <c r="S134">
        <v>0</v>
      </c>
      <c r="T134">
        <v>0</v>
      </c>
      <c r="U134">
        <v>0</v>
      </c>
      <c r="V134">
        <v>2</v>
      </c>
      <c r="W134">
        <v>0</v>
      </c>
      <c r="AA134">
        <v>1</v>
      </c>
      <c r="AC134">
        <v>0</v>
      </c>
      <c r="AD134">
        <v>0</v>
      </c>
      <c r="AE134">
        <v>0</v>
      </c>
      <c r="AF134">
        <v>0</v>
      </c>
      <c r="AG134">
        <v>0</v>
      </c>
      <c r="AH134">
        <v>297</v>
      </c>
      <c r="AI134">
        <v>1.93</v>
      </c>
      <c r="AJ134">
        <v>16</v>
      </c>
    </row>
    <row r="135" spans="1:36" x14ac:dyDescent="0.2">
      <c r="A135" t="str">
        <f>+VLOOKUP(B135,studies!$A$2:$C$102,3)</f>
        <v>Azar &amp; Sterner (1996)</v>
      </c>
      <c r="B135">
        <v>18</v>
      </c>
      <c r="C135">
        <v>1996</v>
      </c>
      <c r="D135">
        <v>1</v>
      </c>
      <c r="E135">
        <v>1990</v>
      </c>
      <c r="F135">
        <v>1990</v>
      </c>
      <c r="G135">
        <v>6.6666666666666666E-2</v>
      </c>
      <c r="H135">
        <v>825.46527384759656</v>
      </c>
      <c r="I135">
        <v>0</v>
      </c>
      <c r="J135">
        <v>1</v>
      </c>
      <c r="K135">
        <v>0</v>
      </c>
      <c r="L135" t="s">
        <v>238</v>
      </c>
      <c r="M135" t="s">
        <v>238</v>
      </c>
      <c r="N135" t="s">
        <v>238</v>
      </c>
      <c r="O135">
        <v>0</v>
      </c>
      <c r="P135">
        <v>1</v>
      </c>
      <c r="Q135">
        <v>0</v>
      </c>
      <c r="R135">
        <v>1</v>
      </c>
      <c r="S135">
        <v>0</v>
      </c>
      <c r="T135">
        <v>0</v>
      </c>
      <c r="U135">
        <v>0</v>
      </c>
      <c r="V135">
        <v>2.1</v>
      </c>
      <c r="W135">
        <v>0.1</v>
      </c>
      <c r="AA135">
        <v>1</v>
      </c>
      <c r="AC135">
        <v>0</v>
      </c>
      <c r="AD135">
        <v>0</v>
      </c>
      <c r="AE135">
        <v>0</v>
      </c>
      <c r="AF135">
        <v>0</v>
      </c>
      <c r="AG135">
        <v>0</v>
      </c>
      <c r="AH135">
        <v>297</v>
      </c>
      <c r="AI135">
        <v>1.93</v>
      </c>
      <c r="AJ135">
        <v>16</v>
      </c>
    </row>
    <row r="136" spans="1:36" x14ac:dyDescent="0.2">
      <c r="A136" t="str">
        <f>+VLOOKUP(B136,studies!$A$2:$C$102,3)</f>
        <v>Azar &amp; Sterner (1996)</v>
      </c>
      <c r="B136">
        <v>18</v>
      </c>
      <c r="C136">
        <v>1996</v>
      </c>
      <c r="D136">
        <v>1</v>
      </c>
      <c r="E136">
        <v>1990</v>
      </c>
      <c r="F136">
        <v>1990</v>
      </c>
      <c r="G136">
        <v>0.13333333333333333</v>
      </c>
      <c r="H136">
        <v>1471.4815751196288</v>
      </c>
      <c r="I136">
        <v>0</v>
      </c>
      <c r="J136">
        <v>1</v>
      </c>
      <c r="K136">
        <v>0</v>
      </c>
      <c r="L136" t="s">
        <v>238</v>
      </c>
      <c r="M136" t="s">
        <v>238</v>
      </c>
      <c r="N136" t="s">
        <v>238</v>
      </c>
      <c r="O136">
        <v>0</v>
      </c>
      <c r="P136">
        <v>1</v>
      </c>
      <c r="Q136">
        <v>0</v>
      </c>
      <c r="R136">
        <v>1</v>
      </c>
      <c r="S136">
        <v>0</v>
      </c>
      <c r="T136">
        <v>0</v>
      </c>
      <c r="U136">
        <v>0</v>
      </c>
      <c r="V136">
        <v>2.1</v>
      </c>
      <c r="W136">
        <v>0.1</v>
      </c>
      <c r="AA136">
        <v>1</v>
      </c>
      <c r="AC136">
        <v>0</v>
      </c>
      <c r="AD136">
        <v>0</v>
      </c>
      <c r="AE136">
        <v>0</v>
      </c>
      <c r="AF136">
        <v>0</v>
      </c>
      <c r="AG136">
        <v>0</v>
      </c>
      <c r="AH136">
        <v>297</v>
      </c>
      <c r="AI136">
        <v>1.93</v>
      </c>
      <c r="AJ136">
        <v>16</v>
      </c>
    </row>
    <row r="137" spans="1:36" x14ac:dyDescent="0.2">
      <c r="A137" t="str">
        <f>+VLOOKUP(B137,studies!$A$2:$C$102,3)</f>
        <v>Azar &amp; Sterner (1996)</v>
      </c>
      <c r="B137">
        <v>18</v>
      </c>
      <c r="C137">
        <v>1996</v>
      </c>
      <c r="D137">
        <v>1</v>
      </c>
      <c r="E137">
        <v>1990</v>
      </c>
      <c r="F137">
        <v>1990</v>
      </c>
      <c r="G137">
        <v>4.4444444444444446E-2</v>
      </c>
      <c r="H137">
        <v>340.95304789357249</v>
      </c>
      <c r="I137">
        <v>0</v>
      </c>
      <c r="J137">
        <v>1</v>
      </c>
      <c r="K137">
        <v>0</v>
      </c>
      <c r="L137" t="s">
        <v>238</v>
      </c>
      <c r="M137" t="s">
        <v>238</v>
      </c>
      <c r="N137" t="s">
        <v>238</v>
      </c>
      <c r="O137">
        <v>0</v>
      </c>
      <c r="P137">
        <v>1</v>
      </c>
      <c r="Q137">
        <v>0</v>
      </c>
      <c r="R137">
        <v>1</v>
      </c>
      <c r="S137">
        <v>0</v>
      </c>
      <c r="T137">
        <v>0</v>
      </c>
      <c r="U137">
        <v>0</v>
      </c>
      <c r="V137">
        <v>3</v>
      </c>
      <c r="W137">
        <v>1</v>
      </c>
      <c r="AA137">
        <v>1</v>
      </c>
      <c r="AC137">
        <v>0</v>
      </c>
      <c r="AD137">
        <v>0</v>
      </c>
      <c r="AE137">
        <v>0</v>
      </c>
      <c r="AF137">
        <v>0</v>
      </c>
      <c r="AG137">
        <v>0</v>
      </c>
      <c r="AH137">
        <v>297</v>
      </c>
      <c r="AI137">
        <v>1.93</v>
      </c>
      <c r="AJ137">
        <v>16</v>
      </c>
    </row>
    <row r="138" spans="1:36" x14ac:dyDescent="0.2">
      <c r="A138" t="str">
        <f>+VLOOKUP(B138,studies!$A$2:$C$102,3)</f>
        <v>Azar &amp; Sterner (1996)</v>
      </c>
      <c r="B138">
        <v>18</v>
      </c>
      <c r="C138">
        <v>1996</v>
      </c>
      <c r="D138">
        <v>1</v>
      </c>
      <c r="E138">
        <v>1990</v>
      </c>
      <c r="F138">
        <v>1990</v>
      </c>
      <c r="G138">
        <v>8.8888888888888892E-2</v>
      </c>
      <c r="H138">
        <v>351.71998624810635</v>
      </c>
      <c r="I138">
        <v>0</v>
      </c>
      <c r="J138">
        <v>1</v>
      </c>
      <c r="K138">
        <v>0</v>
      </c>
      <c r="L138" t="s">
        <v>238</v>
      </c>
      <c r="M138" t="s">
        <v>238</v>
      </c>
      <c r="N138" t="s">
        <v>238</v>
      </c>
      <c r="O138">
        <v>0</v>
      </c>
      <c r="P138">
        <v>1</v>
      </c>
      <c r="Q138">
        <v>0</v>
      </c>
      <c r="R138">
        <v>1</v>
      </c>
      <c r="S138">
        <v>0</v>
      </c>
      <c r="T138">
        <v>0</v>
      </c>
      <c r="U138">
        <v>0</v>
      </c>
      <c r="V138">
        <v>3</v>
      </c>
      <c r="W138">
        <v>1</v>
      </c>
      <c r="AA138">
        <v>1</v>
      </c>
      <c r="AC138">
        <v>0</v>
      </c>
      <c r="AD138">
        <v>0</v>
      </c>
      <c r="AE138">
        <v>0</v>
      </c>
      <c r="AF138">
        <v>0</v>
      </c>
      <c r="AG138">
        <v>0</v>
      </c>
      <c r="AH138">
        <v>297</v>
      </c>
      <c r="AI138">
        <v>1.93</v>
      </c>
      <c r="AJ138">
        <v>16</v>
      </c>
    </row>
    <row r="139" spans="1:36" x14ac:dyDescent="0.2">
      <c r="A139" t="str">
        <f>+VLOOKUP(B139,studies!$A$2:$C$102,3)</f>
        <v>Azar &amp; Sterner (1996)</v>
      </c>
      <c r="B139">
        <v>18</v>
      </c>
      <c r="C139">
        <v>1996</v>
      </c>
      <c r="D139">
        <v>1</v>
      </c>
      <c r="E139">
        <v>1990</v>
      </c>
      <c r="F139">
        <v>1990</v>
      </c>
      <c r="G139">
        <v>2.2222222222222223E-2</v>
      </c>
      <c r="H139">
        <v>139.97019860894028</v>
      </c>
      <c r="I139">
        <v>0</v>
      </c>
      <c r="J139">
        <v>1</v>
      </c>
      <c r="K139">
        <v>0</v>
      </c>
      <c r="L139" t="s">
        <v>238</v>
      </c>
      <c r="M139" t="s">
        <v>238</v>
      </c>
      <c r="N139" t="s">
        <v>238</v>
      </c>
      <c r="O139">
        <v>0</v>
      </c>
      <c r="P139">
        <v>1</v>
      </c>
      <c r="Q139">
        <v>0</v>
      </c>
      <c r="R139">
        <v>1</v>
      </c>
      <c r="S139">
        <v>0</v>
      </c>
      <c r="T139">
        <v>0</v>
      </c>
      <c r="U139">
        <v>0</v>
      </c>
      <c r="V139">
        <v>5</v>
      </c>
      <c r="W139">
        <v>3</v>
      </c>
      <c r="AA139">
        <v>1</v>
      </c>
      <c r="AC139">
        <v>0</v>
      </c>
      <c r="AD139">
        <v>0</v>
      </c>
      <c r="AE139">
        <v>0</v>
      </c>
      <c r="AF139">
        <v>0</v>
      </c>
      <c r="AG139">
        <v>0</v>
      </c>
      <c r="AH139">
        <v>297</v>
      </c>
      <c r="AI139">
        <v>1.93</v>
      </c>
      <c r="AJ139">
        <v>16</v>
      </c>
    </row>
    <row r="140" spans="1:36" x14ac:dyDescent="0.2">
      <c r="A140" t="str">
        <f>+VLOOKUP(B140,studies!$A$2:$C$102,3)</f>
        <v>Azar &amp; Sterner (1996)</v>
      </c>
      <c r="B140">
        <v>18</v>
      </c>
      <c r="C140">
        <v>1996</v>
      </c>
      <c r="D140">
        <v>1</v>
      </c>
      <c r="E140">
        <v>1990</v>
      </c>
      <c r="F140">
        <v>1990</v>
      </c>
      <c r="G140">
        <v>4.4444444444444446E-2</v>
      </c>
      <c r="H140">
        <v>139.97019860894028</v>
      </c>
      <c r="I140">
        <v>0</v>
      </c>
      <c r="J140">
        <v>1</v>
      </c>
      <c r="K140">
        <v>0</v>
      </c>
      <c r="L140" t="s">
        <v>238</v>
      </c>
      <c r="M140" t="s">
        <v>238</v>
      </c>
      <c r="N140" t="s">
        <v>238</v>
      </c>
      <c r="O140">
        <v>0</v>
      </c>
      <c r="P140">
        <v>1</v>
      </c>
      <c r="Q140">
        <v>0</v>
      </c>
      <c r="R140">
        <v>1</v>
      </c>
      <c r="S140">
        <v>0</v>
      </c>
      <c r="T140">
        <v>0</v>
      </c>
      <c r="U140">
        <v>0</v>
      </c>
      <c r="V140">
        <v>5</v>
      </c>
      <c r="W140">
        <v>3</v>
      </c>
      <c r="AA140">
        <v>1</v>
      </c>
      <c r="AC140">
        <v>0</v>
      </c>
      <c r="AD140">
        <v>0</v>
      </c>
      <c r="AE140">
        <v>0</v>
      </c>
      <c r="AF140">
        <v>0</v>
      </c>
      <c r="AG140">
        <v>0</v>
      </c>
      <c r="AH140">
        <v>297</v>
      </c>
      <c r="AI140">
        <v>1.93</v>
      </c>
      <c r="AJ140">
        <v>16</v>
      </c>
    </row>
    <row r="141" spans="1:36" x14ac:dyDescent="0.2">
      <c r="A141" t="str">
        <f>+VLOOKUP(B141,studies!$A$2:$C$102,3)</f>
        <v>Downing et al. (1996)</v>
      </c>
      <c r="B141">
        <v>19</v>
      </c>
      <c r="C141">
        <v>1996</v>
      </c>
      <c r="D141">
        <v>0</v>
      </c>
      <c r="E141">
        <v>1990</v>
      </c>
      <c r="F141">
        <v>1995</v>
      </c>
      <c r="G141">
        <v>0.5</v>
      </c>
      <c r="H141">
        <v>164.5945600759469</v>
      </c>
      <c r="I141">
        <v>0</v>
      </c>
      <c r="J141">
        <v>1</v>
      </c>
      <c r="K141">
        <v>0</v>
      </c>
      <c r="L141" t="s">
        <v>238</v>
      </c>
      <c r="M141" t="s">
        <v>238</v>
      </c>
      <c r="N141" t="s">
        <v>238</v>
      </c>
      <c r="O141">
        <v>1</v>
      </c>
      <c r="P141">
        <v>0</v>
      </c>
      <c r="Q141">
        <v>1</v>
      </c>
      <c r="R141">
        <v>1</v>
      </c>
      <c r="S141">
        <v>0</v>
      </c>
      <c r="T141">
        <v>0</v>
      </c>
      <c r="U141">
        <v>0</v>
      </c>
      <c r="V141">
        <v>0</v>
      </c>
      <c r="W141">
        <v>-2</v>
      </c>
      <c r="AA141">
        <v>0</v>
      </c>
      <c r="AC141">
        <v>0</v>
      </c>
      <c r="AD141">
        <v>0</v>
      </c>
      <c r="AE141">
        <v>0</v>
      </c>
      <c r="AF141">
        <v>0</v>
      </c>
      <c r="AG141">
        <v>0</v>
      </c>
      <c r="AH141">
        <v>19</v>
      </c>
      <c r="AI141">
        <v>0</v>
      </c>
      <c r="AJ141">
        <v>2</v>
      </c>
    </row>
    <row r="142" spans="1:36" x14ac:dyDescent="0.2">
      <c r="A142" t="str">
        <f>+VLOOKUP(B142,studies!$A$2:$C$102,3)</f>
        <v>Downing et al. (1996)</v>
      </c>
      <c r="B142">
        <v>19</v>
      </c>
      <c r="C142">
        <v>1996</v>
      </c>
      <c r="D142">
        <v>0</v>
      </c>
      <c r="E142">
        <v>1990</v>
      </c>
      <c r="F142">
        <v>1995</v>
      </c>
      <c r="G142">
        <v>0.5</v>
      </c>
      <c r="H142">
        <v>56.349018771089689</v>
      </c>
      <c r="I142">
        <v>0</v>
      </c>
      <c r="J142">
        <v>1</v>
      </c>
      <c r="K142">
        <v>0</v>
      </c>
      <c r="L142" t="s">
        <v>238</v>
      </c>
      <c r="M142" t="s">
        <v>238</v>
      </c>
      <c r="N142" t="s">
        <v>238</v>
      </c>
      <c r="O142">
        <v>1</v>
      </c>
      <c r="P142">
        <v>0</v>
      </c>
      <c r="Q142">
        <v>1</v>
      </c>
      <c r="R142">
        <v>1</v>
      </c>
      <c r="S142">
        <v>0</v>
      </c>
      <c r="T142">
        <v>0</v>
      </c>
      <c r="U142">
        <v>0</v>
      </c>
      <c r="V142">
        <v>0</v>
      </c>
      <c r="W142">
        <v>-2</v>
      </c>
      <c r="AA142">
        <v>0</v>
      </c>
      <c r="AC142">
        <v>0</v>
      </c>
      <c r="AD142">
        <v>0</v>
      </c>
      <c r="AE142">
        <v>0</v>
      </c>
      <c r="AF142">
        <v>0</v>
      </c>
      <c r="AG142">
        <v>0</v>
      </c>
      <c r="AH142">
        <v>19</v>
      </c>
      <c r="AI142">
        <v>0</v>
      </c>
      <c r="AJ142">
        <v>2</v>
      </c>
    </row>
    <row r="143" spans="1:36" x14ac:dyDescent="0.2">
      <c r="A143" t="str">
        <f>+VLOOKUP(B143,studies!$A$2:$C$102,3)</f>
        <v>Hohmeyer (1996)</v>
      </c>
      <c r="B143">
        <v>20</v>
      </c>
      <c r="C143">
        <v>1996</v>
      </c>
      <c r="D143">
        <v>0</v>
      </c>
      <c r="E143">
        <v>1990</v>
      </c>
      <c r="F143">
        <v>1995</v>
      </c>
      <c r="G143">
        <v>1</v>
      </c>
      <c r="H143">
        <v>2463.3450828891664</v>
      </c>
      <c r="I143">
        <v>0</v>
      </c>
      <c r="J143">
        <v>1</v>
      </c>
      <c r="K143">
        <v>0</v>
      </c>
      <c r="L143" t="s">
        <v>238</v>
      </c>
      <c r="M143" t="s">
        <v>238</v>
      </c>
      <c r="N143" t="s">
        <v>238</v>
      </c>
      <c r="O143">
        <v>0</v>
      </c>
      <c r="P143">
        <v>0</v>
      </c>
      <c r="Q143">
        <v>0</v>
      </c>
      <c r="R143">
        <v>1</v>
      </c>
      <c r="S143">
        <v>0</v>
      </c>
      <c r="T143">
        <v>0</v>
      </c>
      <c r="U143">
        <v>0</v>
      </c>
      <c r="V143">
        <v>0</v>
      </c>
      <c r="W143">
        <v>-2</v>
      </c>
      <c r="AA143">
        <v>0</v>
      </c>
      <c r="AC143">
        <v>0</v>
      </c>
      <c r="AD143">
        <v>0</v>
      </c>
      <c r="AE143">
        <v>0</v>
      </c>
      <c r="AF143">
        <v>0</v>
      </c>
      <c r="AG143">
        <v>0</v>
      </c>
      <c r="AH143">
        <v>38</v>
      </c>
      <c r="AI143">
        <v>0</v>
      </c>
      <c r="AJ143">
        <v>1</v>
      </c>
    </row>
    <row r="144" spans="1:36" x14ac:dyDescent="0.2">
      <c r="A144" t="str">
        <f>+VLOOKUP(B144,studies!$A$2:$C$102,3)</f>
        <v>Hope &amp; Maul (1996)</v>
      </c>
      <c r="B144">
        <v>21</v>
      </c>
      <c r="C144">
        <v>1996</v>
      </c>
      <c r="D144">
        <v>1</v>
      </c>
      <c r="E144">
        <v>1990</v>
      </c>
      <c r="F144">
        <v>1990</v>
      </c>
      <c r="G144">
        <v>0.1</v>
      </c>
      <c r="H144">
        <v>25.122856160579026</v>
      </c>
      <c r="I144">
        <v>1</v>
      </c>
      <c r="J144">
        <v>0</v>
      </c>
      <c r="K144">
        <v>0</v>
      </c>
      <c r="L144" t="s">
        <v>238</v>
      </c>
      <c r="M144">
        <v>7.3244478602271217</v>
      </c>
      <c r="N144">
        <v>7.3244478602271217</v>
      </c>
      <c r="O144">
        <v>1</v>
      </c>
      <c r="P144">
        <v>1</v>
      </c>
      <c r="Q144">
        <v>0</v>
      </c>
      <c r="R144">
        <v>0</v>
      </c>
      <c r="S144">
        <v>0</v>
      </c>
      <c r="T144">
        <v>0</v>
      </c>
      <c r="U144">
        <v>1</v>
      </c>
      <c r="V144">
        <v>4</v>
      </c>
      <c r="W144">
        <v>2</v>
      </c>
      <c r="AA144">
        <v>0</v>
      </c>
      <c r="AC144">
        <v>1</v>
      </c>
      <c r="AD144">
        <v>0</v>
      </c>
      <c r="AE144">
        <v>0</v>
      </c>
      <c r="AF144">
        <v>0</v>
      </c>
      <c r="AG144">
        <v>0</v>
      </c>
      <c r="AH144">
        <v>38</v>
      </c>
      <c r="AI144">
        <v>1.6</v>
      </c>
      <c r="AJ144">
        <v>6</v>
      </c>
    </row>
    <row r="145" spans="1:36" x14ac:dyDescent="0.2">
      <c r="A145" t="str">
        <f>+VLOOKUP(B145,studies!$A$2:$C$102,3)</f>
        <v>Hope &amp; Maul (1996)</v>
      </c>
      <c r="B145">
        <v>21</v>
      </c>
      <c r="C145">
        <v>1996</v>
      </c>
      <c r="D145">
        <v>1</v>
      </c>
      <c r="E145">
        <v>1990</v>
      </c>
      <c r="F145">
        <v>1990</v>
      </c>
      <c r="G145">
        <v>1</v>
      </c>
      <c r="H145">
        <v>86.135506836270949</v>
      </c>
      <c r="I145">
        <v>1</v>
      </c>
      <c r="J145">
        <v>0</v>
      </c>
      <c r="K145">
        <v>0</v>
      </c>
      <c r="L145" t="s">
        <v>238</v>
      </c>
      <c r="M145">
        <v>43.946687161362725</v>
      </c>
      <c r="N145">
        <v>450.45354340396796</v>
      </c>
      <c r="O145">
        <v>1</v>
      </c>
      <c r="P145">
        <v>1</v>
      </c>
      <c r="Q145">
        <v>0</v>
      </c>
      <c r="R145">
        <v>0</v>
      </c>
      <c r="S145">
        <v>0</v>
      </c>
      <c r="T145">
        <v>0</v>
      </c>
      <c r="U145">
        <v>1</v>
      </c>
      <c r="V145">
        <v>4</v>
      </c>
      <c r="W145">
        <v>2</v>
      </c>
      <c r="AA145">
        <v>0</v>
      </c>
      <c r="AC145">
        <v>1</v>
      </c>
      <c r="AD145">
        <v>0</v>
      </c>
      <c r="AE145">
        <v>0</v>
      </c>
      <c r="AF145">
        <v>0</v>
      </c>
      <c r="AG145">
        <v>0</v>
      </c>
      <c r="AH145">
        <v>38</v>
      </c>
      <c r="AI145">
        <v>1.6</v>
      </c>
      <c r="AJ145">
        <v>6</v>
      </c>
    </row>
    <row r="146" spans="1:36" x14ac:dyDescent="0.2">
      <c r="A146" t="str">
        <f>+VLOOKUP(B146,studies!$A$2:$C$102,3)</f>
        <v>Hope &amp; Maul (1996)</v>
      </c>
      <c r="B146">
        <v>21</v>
      </c>
      <c r="C146">
        <v>1996</v>
      </c>
      <c r="D146">
        <v>1</v>
      </c>
      <c r="E146">
        <v>1990</v>
      </c>
      <c r="F146">
        <v>1990</v>
      </c>
      <c r="G146">
        <v>0.1</v>
      </c>
      <c r="H146">
        <v>32.300815063601604</v>
      </c>
      <c r="I146">
        <v>1</v>
      </c>
      <c r="J146">
        <v>0</v>
      </c>
      <c r="K146">
        <v>0</v>
      </c>
      <c r="L146" t="s">
        <v>238</v>
      </c>
      <c r="M146">
        <v>9.1555598252839019</v>
      </c>
      <c r="N146">
        <v>9.1555598252839019</v>
      </c>
      <c r="O146">
        <v>1</v>
      </c>
      <c r="P146">
        <v>1</v>
      </c>
      <c r="Q146">
        <v>0</v>
      </c>
      <c r="R146">
        <v>0</v>
      </c>
      <c r="S146">
        <v>0</v>
      </c>
      <c r="T146">
        <v>0</v>
      </c>
      <c r="U146">
        <v>1</v>
      </c>
      <c r="V146">
        <v>4</v>
      </c>
      <c r="W146">
        <v>2</v>
      </c>
      <c r="AA146">
        <v>0</v>
      </c>
      <c r="AC146">
        <v>1</v>
      </c>
      <c r="AD146">
        <v>0</v>
      </c>
      <c r="AE146">
        <v>0</v>
      </c>
      <c r="AF146">
        <v>0</v>
      </c>
      <c r="AG146">
        <v>0</v>
      </c>
      <c r="AH146">
        <v>38</v>
      </c>
      <c r="AI146">
        <v>1.6</v>
      </c>
      <c r="AJ146">
        <v>6</v>
      </c>
    </row>
    <row r="147" spans="1:36" x14ac:dyDescent="0.2">
      <c r="A147" t="str">
        <f>+VLOOKUP(B147,studies!$A$2:$C$102,3)</f>
        <v>Hope &amp; Maul (1996)</v>
      </c>
      <c r="B147">
        <v>21</v>
      </c>
      <c r="C147">
        <v>1996</v>
      </c>
      <c r="D147">
        <v>1</v>
      </c>
      <c r="E147">
        <v>1990</v>
      </c>
      <c r="F147">
        <v>1990</v>
      </c>
      <c r="G147">
        <v>0.1</v>
      </c>
      <c r="H147">
        <v>68.190609578714501</v>
      </c>
      <c r="I147">
        <v>1</v>
      </c>
      <c r="J147">
        <v>0</v>
      </c>
      <c r="K147">
        <v>0</v>
      </c>
      <c r="L147" t="s">
        <v>238</v>
      </c>
      <c r="M147">
        <v>20.142231615624585</v>
      </c>
      <c r="N147">
        <v>23.804455545738143</v>
      </c>
      <c r="O147">
        <v>1</v>
      </c>
      <c r="P147">
        <v>1</v>
      </c>
      <c r="Q147">
        <v>0</v>
      </c>
      <c r="R147">
        <v>0</v>
      </c>
      <c r="S147">
        <v>0</v>
      </c>
      <c r="T147">
        <v>0</v>
      </c>
      <c r="U147">
        <v>1</v>
      </c>
      <c r="V147">
        <v>4</v>
      </c>
      <c r="W147">
        <v>2</v>
      </c>
      <c r="AA147">
        <v>0</v>
      </c>
      <c r="AC147">
        <v>1</v>
      </c>
      <c r="AD147">
        <v>0</v>
      </c>
      <c r="AE147">
        <v>0</v>
      </c>
      <c r="AF147">
        <v>0</v>
      </c>
      <c r="AG147">
        <v>0</v>
      </c>
      <c r="AH147">
        <v>38</v>
      </c>
      <c r="AI147">
        <v>1.6</v>
      </c>
      <c r="AJ147">
        <v>6</v>
      </c>
    </row>
    <row r="148" spans="1:36" x14ac:dyDescent="0.2">
      <c r="A148" t="str">
        <f>+VLOOKUP(B148,studies!$A$2:$C$102,3)</f>
        <v>Hope &amp; Maul (1996)</v>
      </c>
      <c r="B148">
        <v>21</v>
      </c>
      <c r="C148">
        <v>1996</v>
      </c>
      <c r="D148">
        <v>1</v>
      </c>
      <c r="E148">
        <v>1990</v>
      </c>
      <c r="F148">
        <v>1990</v>
      </c>
      <c r="G148">
        <v>0.6</v>
      </c>
      <c r="H148">
        <v>17.944897257556448</v>
      </c>
      <c r="I148">
        <v>1</v>
      </c>
      <c r="J148">
        <v>0</v>
      </c>
      <c r="K148">
        <v>0</v>
      </c>
      <c r="L148" t="s">
        <v>238</v>
      </c>
      <c r="M148">
        <v>5.4933358951703406</v>
      </c>
      <c r="N148">
        <v>3.6622239301135608</v>
      </c>
      <c r="O148">
        <v>1</v>
      </c>
      <c r="P148">
        <v>1</v>
      </c>
      <c r="Q148">
        <v>0</v>
      </c>
      <c r="R148">
        <v>1</v>
      </c>
      <c r="S148">
        <v>0</v>
      </c>
      <c r="T148">
        <v>0</v>
      </c>
      <c r="U148">
        <v>1</v>
      </c>
      <c r="V148">
        <v>4</v>
      </c>
      <c r="W148">
        <v>2</v>
      </c>
      <c r="AA148">
        <v>0</v>
      </c>
      <c r="AC148">
        <v>1</v>
      </c>
      <c r="AD148">
        <v>0</v>
      </c>
      <c r="AE148">
        <v>0</v>
      </c>
      <c r="AF148">
        <v>0</v>
      </c>
      <c r="AG148">
        <v>0</v>
      </c>
      <c r="AH148">
        <v>38</v>
      </c>
      <c r="AI148">
        <v>1.6</v>
      </c>
      <c r="AJ148">
        <v>6</v>
      </c>
    </row>
    <row r="149" spans="1:36" x14ac:dyDescent="0.2">
      <c r="A149" t="str">
        <f>+VLOOKUP(B149,studies!$A$2:$C$102,3)</f>
        <v>Hope &amp; Maul (1996)</v>
      </c>
      <c r="B149">
        <v>21</v>
      </c>
      <c r="C149">
        <v>1996</v>
      </c>
      <c r="D149">
        <v>1</v>
      </c>
      <c r="E149">
        <v>1990</v>
      </c>
      <c r="F149">
        <v>1990</v>
      </c>
      <c r="G149">
        <v>0.1</v>
      </c>
      <c r="H149">
        <v>104.0804040938274</v>
      </c>
      <c r="I149">
        <v>1</v>
      </c>
      <c r="J149">
        <v>0</v>
      </c>
      <c r="K149">
        <v>0</v>
      </c>
      <c r="L149" t="s">
        <v>238</v>
      </c>
      <c r="M149">
        <v>31.128903405965264</v>
      </c>
      <c r="N149">
        <v>29.297791440908487</v>
      </c>
      <c r="O149">
        <v>1</v>
      </c>
      <c r="P149">
        <v>1</v>
      </c>
      <c r="Q149">
        <v>0</v>
      </c>
      <c r="R149">
        <v>0</v>
      </c>
      <c r="S149">
        <v>0</v>
      </c>
      <c r="T149">
        <v>0</v>
      </c>
      <c r="U149">
        <v>1</v>
      </c>
      <c r="V149">
        <v>4</v>
      </c>
      <c r="W149">
        <v>2</v>
      </c>
      <c r="AA149">
        <v>0</v>
      </c>
      <c r="AC149">
        <v>1</v>
      </c>
      <c r="AD149">
        <v>0</v>
      </c>
      <c r="AE149">
        <v>0</v>
      </c>
      <c r="AF149">
        <v>0</v>
      </c>
      <c r="AG149">
        <v>0</v>
      </c>
      <c r="AH149">
        <v>38</v>
      </c>
      <c r="AI149">
        <v>1.6</v>
      </c>
      <c r="AJ149">
        <v>6</v>
      </c>
    </row>
    <row r="150" spans="1:36" x14ac:dyDescent="0.2">
      <c r="A150" t="str">
        <f>+VLOOKUP(B150,studies!$A$2:$C$102,3)</f>
        <v>Nordhaus &amp; Yang (1996)</v>
      </c>
      <c r="B150">
        <v>22</v>
      </c>
      <c r="C150">
        <v>1996</v>
      </c>
      <c r="D150">
        <v>1</v>
      </c>
      <c r="E150">
        <v>1990</v>
      </c>
      <c r="F150">
        <v>2010</v>
      </c>
      <c r="G150">
        <v>1</v>
      </c>
      <c r="H150">
        <v>14.973346763363379</v>
      </c>
      <c r="I150">
        <v>0</v>
      </c>
      <c r="J150">
        <v>1</v>
      </c>
      <c r="K150">
        <v>0</v>
      </c>
      <c r="L150" t="s">
        <v>238</v>
      </c>
      <c r="M150" t="s">
        <v>238</v>
      </c>
      <c r="N150" t="s">
        <v>238</v>
      </c>
      <c r="O150">
        <v>1</v>
      </c>
      <c r="P150">
        <v>1</v>
      </c>
      <c r="Q150">
        <v>0</v>
      </c>
      <c r="R150">
        <v>1</v>
      </c>
      <c r="S150">
        <v>0</v>
      </c>
      <c r="T150">
        <v>1</v>
      </c>
      <c r="U150">
        <v>0</v>
      </c>
      <c r="V150">
        <v>5</v>
      </c>
      <c r="W150">
        <v>3</v>
      </c>
      <c r="AA150">
        <v>0</v>
      </c>
      <c r="AC150">
        <v>0</v>
      </c>
      <c r="AD150">
        <v>1</v>
      </c>
      <c r="AE150">
        <v>0</v>
      </c>
      <c r="AF150">
        <v>1</v>
      </c>
      <c r="AG150">
        <v>0</v>
      </c>
      <c r="AH150">
        <v>871</v>
      </c>
      <c r="AI150">
        <v>6.46</v>
      </c>
      <c r="AJ150">
        <v>1</v>
      </c>
    </row>
    <row r="151" spans="1:36" x14ac:dyDescent="0.2">
      <c r="A151" t="str">
        <f>+VLOOKUP(B151,studies!$A$2:$C$102,3)</f>
        <v>Plambeck &amp; Hope (1996)</v>
      </c>
      <c r="B151">
        <v>23</v>
      </c>
      <c r="C151">
        <v>1996</v>
      </c>
      <c r="D151">
        <v>1</v>
      </c>
      <c r="E151">
        <v>1990</v>
      </c>
      <c r="F151">
        <v>1990</v>
      </c>
      <c r="G151">
        <v>0.125</v>
      </c>
      <c r="H151">
        <v>10.766938354533869</v>
      </c>
      <c r="I151">
        <v>1</v>
      </c>
      <c r="J151">
        <v>0</v>
      </c>
      <c r="K151">
        <v>0</v>
      </c>
      <c r="L151" t="s">
        <v>238</v>
      </c>
      <c r="M151">
        <v>3.6622239301135608</v>
      </c>
      <c r="N151">
        <v>5.4933358951703406</v>
      </c>
      <c r="O151">
        <v>1</v>
      </c>
      <c r="P151">
        <v>1</v>
      </c>
      <c r="Q151">
        <v>0</v>
      </c>
      <c r="R151">
        <v>1</v>
      </c>
      <c r="S151">
        <v>0</v>
      </c>
      <c r="T151">
        <v>0</v>
      </c>
      <c r="U151">
        <v>1</v>
      </c>
      <c r="V151">
        <v>5</v>
      </c>
      <c r="W151">
        <v>3</v>
      </c>
      <c r="AA151">
        <v>0</v>
      </c>
      <c r="AC151">
        <v>1</v>
      </c>
      <c r="AD151">
        <v>0</v>
      </c>
      <c r="AE151">
        <v>0</v>
      </c>
      <c r="AF151">
        <v>0</v>
      </c>
      <c r="AG151">
        <v>0</v>
      </c>
      <c r="AH151">
        <v>102</v>
      </c>
      <c r="AI151">
        <v>1.6</v>
      </c>
      <c r="AJ151">
        <v>8</v>
      </c>
    </row>
    <row r="152" spans="1:36" x14ac:dyDescent="0.2">
      <c r="A152" t="str">
        <f>+VLOOKUP(B152,studies!$A$2:$C$102,3)</f>
        <v>Plambeck &amp; Hope (1996)</v>
      </c>
      <c r="B152">
        <v>23</v>
      </c>
      <c r="C152">
        <v>1996</v>
      </c>
      <c r="D152">
        <v>1</v>
      </c>
      <c r="E152">
        <v>1990</v>
      </c>
      <c r="F152">
        <v>1990</v>
      </c>
      <c r="G152">
        <v>6.25E-2</v>
      </c>
      <c r="H152">
        <v>17.944897257556448</v>
      </c>
      <c r="I152">
        <v>1</v>
      </c>
      <c r="J152">
        <v>0</v>
      </c>
      <c r="K152">
        <v>0</v>
      </c>
      <c r="L152" t="s">
        <v>238</v>
      </c>
      <c r="M152">
        <v>5.4933358951703406</v>
      </c>
      <c r="N152">
        <v>12.817783755397462</v>
      </c>
      <c r="O152">
        <v>1</v>
      </c>
      <c r="P152">
        <v>1</v>
      </c>
      <c r="Q152">
        <v>0</v>
      </c>
      <c r="R152">
        <v>1</v>
      </c>
      <c r="S152">
        <v>0</v>
      </c>
      <c r="T152">
        <v>0</v>
      </c>
      <c r="U152">
        <v>1</v>
      </c>
      <c r="V152">
        <v>5</v>
      </c>
      <c r="W152">
        <v>3</v>
      </c>
      <c r="AA152">
        <v>0</v>
      </c>
      <c r="AC152">
        <v>1</v>
      </c>
      <c r="AD152">
        <v>0</v>
      </c>
      <c r="AE152">
        <v>0</v>
      </c>
      <c r="AF152">
        <v>0</v>
      </c>
      <c r="AG152">
        <v>0</v>
      </c>
      <c r="AH152">
        <v>102</v>
      </c>
      <c r="AI152">
        <v>1.6</v>
      </c>
      <c r="AJ152">
        <v>8</v>
      </c>
    </row>
    <row r="153" spans="1:36" x14ac:dyDescent="0.2">
      <c r="A153" t="str">
        <f>+VLOOKUP(B153,studies!$A$2:$C$102,3)</f>
        <v>Plambeck &amp; Hope (1996)</v>
      </c>
      <c r="B153">
        <v>23</v>
      </c>
      <c r="C153">
        <v>1996</v>
      </c>
      <c r="D153">
        <v>1</v>
      </c>
      <c r="E153">
        <v>1990</v>
      </c>
      <c r="F153">
        <v>1990</v>
      </c>
      <c r="G153">
        <v>0.125</v>
      </c>
      <c r="H153">
        <v>28.711835612090315</v>
      </c>
      <c r="I153">
        <v>1</v>
      </c>
      <c r="J153">
        <v>0</v>
      </c>
      <c r="K153">
        <v>0</v>
      </c>
      <c r="L153" t="s">
        <v>238</v>
      </c>
      <c r="M153">
        <v>9.1555598252839019</v>
      </c>
      <c r="N153">
        <v>7.3244478602271217</v>
      </c>
      <c r="O153">
        <v>1</v>
      </c>
      <c r="P153">
        <v>1</v>
      </c>
      <c r="Q153">
        <v>0</v>
      </c>
      <c r="R153">
        <v>1</v>
      </c>
      <c r="S153">
        <v>0</v>
      </c>
      <c r="T153">
        <v>0</v>
      </c>
      <c r="U153">
        <v>1</v>
      </c>
      <c r="V153">
        <v>5</v>
      </c>
      <c r="W153">
        <v>3</v>
      </c>
      <c r="AA153">
        <v>0</v>
      </c>
      <c r="AC153">
        <v>1</v>
      </c>
      <c r="AD153">
        <v>0</v>
      </c>
      <c r="AE153">
        <v>0</v>
      </c>
      <c r="AF153">
        <v>0</v>
      </c>
      <c r="AG153">
        <v>0</v>
      </c>
      <c r="AH153">
        <v>102</v>
      </c>
      <c r="AI153">
        <v>1.6</v>
      </c>
      <c r="AJ153">
        <v>8</v>
      </c>
    </row>
    <row r="154" spans="1:36" x14ac:dyDescent="0.2">
      <c r="A154" t="str">
        <f>+VLOOKUP(B154,studies!$A$2:$C$102,3)</f>
        <v>Plambeck &amp; Hope (1996)</v>
      </c>
      <c r="B154">
        <v>23</v>
      </c>
      <c r="C154">
        <v>1996</v>
      </c>
      <c r="D154">
        <v>1</v>
      </c>
      <c r="E154">
        <v>1990</v>
      </c>
      <c r="F154">
        <v>1990</v>
      </c>
      <c r="G154">
        <v>0.125</v>
      </c>
      <c r="H154">
        <v>28.711835612090315</v>
      </c>
      <c r="I154">
        <v>1</v>
      </c>
      <c r="J154">
        <v>0</v>
      </c>
      <c r="K154">
        <v>0</v>
      </c>
      <c r="L154" t="s">
        <v>238</v>
      </c>
      <c r="M154">
        <v>3.6622239301135608</v>
      </c>
      <c r="N154">
        <v>18.311119650567804</v>
      </c>
      <c r="O154">
        <v>1</v>
      </c>
      <c r="P154">
        <v>1</v>
      </c>
      <c r="Q154">
        <v>0</v>
      </c>
      <c r="R154">
        <v>1</v>
      </c>
      <c r="S154">
        <v>0</v>
      </c>
      <c r="T154">
        <v>0</v>
      </c>
      <c r="U154">
        <v>1</v>
      </c>
      <c r="V154">
        <v>5</v>
      </c>
      <c r="W154">
        <v>3</v>
      </c>
      <c r="AA154">
        <v>0</v>
      </c>
      <c r="AC154">
        <v>1</v>
      </c>
      <c r="AD154">
        <v>0</v>
      </c>
      <c r="AE154">
        <v>0</v>
      </c>
      <c r="AF154">
        <v>0</v>
      </c>
      <c r="AG154">
        <v>0</v>
      </c>
      <c r="AH154">
        <v>102</v>
      </c>
      <c r="AI154">
        <v>1.6</v>
      </c>
      <c r="AJ154">
        <v>8</v>
      </c>
    </row>
    <row r="155" spans="1:36" x14ac:dyDescent="0.2">
      <c r="A155" t="str">
        <f>+VLOOKUP(B155,studies!$A$2:$C$102,3)</f>
        <v>Plambeck &amp; Hope (1996)</v>
      </c>
      <c r="B155">
        <v>23</v>
      </c>
      <c r="C155">
        <v>1996</v>
      </c>
      <c r="D155">
        <v>1</v>
      </c>
      <c r="E155">
        <v>1990</v>
      </c>
      <c r="F155">
        <v>1990</v>
      </c>
      <c r="G155">
        <v>0.25</v>
      </c>
      <c r="H155">
        <v>75.368568481737086</v>
      </c>
      <c r="I155">
        <v>1</v>
      </c>
      <c r="J155">
        <v>0</v>
      </c>
      <c r="K155">
        <v>0</v>
      </c>
      <c r="L155" t="s">
        <v>238</v>
      </c>
      <c r="M155">
        <v>20.142231615624585</v>
      </c>
      <c r="N155">
        <v>49.440023056533065</v>
      </c>
      <c r="O155">
        <v>1</v>
      </c>
      <c r="P155">
        <v>1</v>
      </c>
      <c r="Q155">
        <v>0</v>
      </c>
      <c r="R155">
        <v>1</v>
      </c>
      <c r="S155">
        <v>0</v>
      </c>
      <c r="T155">
        <v>0</v>
      </c>
      <c r="U155">
        <v>1</v>
      </c>
      <c r="V155">
        <v>5</v>
      </c>
      <c r="W155">
        <v>3</v>
      </c>
      <c r="AA155">
        <v>0</v>
      </c>
      <c r="AC155">
        <v>1</v>
      </c>
      <c r="AD155">
        <v>0</v>
      </c>
      <c r="AE155">
        <v>0</v>
      </c>
      <c r="AF155">
        <v>0</v>
      </c>
      <c r="AG155">
        <v>0</v>
      </c>
      <c r="AH155">
        <v>102</v>
      </c>
      <c r="AI155">
        <v>1.6</v>
      </c>
      <c r="AJ155">
        <v>8</v>
      </c>
    </row>
    <row r="156" spans="1:36" x14ac:dyDescent="0.2">
      <c r="A156" t="str">
        <f>+VLOOKUP(B156,studies!$A$2:$C$102,3)</f>
        <v>Plambeck &amp; Hope (1996)</v>
      </c>
      <c r="B156">
        <v>23</v>
      </c>
      <c r="C156">
        <v>1996</v>
      </c>
      <c r="D156">
        <v>1</v>
      </c>
      <c r="E156">
        <v>1990</v>
      </c>
      <c r="F156">
        <v>1990</v>
      </c>
      <c r="G156">
        <v>0.125</v>
      </c>
      <c r="H156">
        <v>165.09305476951931</v>
      </c>
      <c r="I156">
        <v>1</v>
      </c>
      <c r="J156">
        <v>0</v>
      </c>
      <c r="K156">
        <v>0</v>
      </c>
      <c r="L156" t="s">
        <v>238</v>
      </c>
      <c r="M156">
        <v>47.608911091476287</v>
      </c>
      <c r="N156">
        <v>87.89337432272545</v>
      </c>
      <c r="O156">
        <v>1</v>
      </c>
      <c r="P156">
        <v>1</v>
      </c>
      <c r="Q156">
        <v>0</v>
      </c>
      <c r="R156">
        <v>1</v>
      </c>
      <c r="S156">
        <v>0</v>
      </c>
      <c r="T156">
        <v>0</v>
      </c>
      <c r="U156">
        <v>1</v>
      </c>
      <c r="V156">
        <v>4</v>
      </c>
      <c r="W156">
        <v>2</v>
      </c>
      <c r="AA156">
        <v>0</v>
      </c>
      <c r="AC156">
        <v>1</v>
      </c>
      <c r="AD156">
        <v>0</v>
      </c>
      <c r="AE156">
        <v>0</v>
      </c>
      <c r="AF156">
        <v>0</v>
      </c>
      <c r="AG156">
        <v>0</v>
      </c>
      <c r="AH156">
        <v>102</v>
      </c>
      <c r="AI156">
        <v>1.6</v>
      </c>
      <c r="AJ156">
        <v>8</v>
      </c>
    </row>
    <row r="157" spans="1:36" x14ac:dyDescent="0.2">
      <c r="A157" t="str">
        <f>+VLOOKUP(B157,studies!$A$2:$C$102,3)</f>
        <v>Plambeck &amp; Hope (1996)</v>
      </c>
      <c r="B157">
        <v>23</v>
      </c>
      <c r="C157">
        <v>1996</v>
      </c>
      <c r="D157">
        <v>1</v>
      </c>
      <c r="E157">
        <v>1990</v>
      </c>
      <c r="F157">
        <v>1990</v>
      </c>
      <c r="G157">
        <v>0.125</v>
      </c>
      <c r="H157">
        <v>1579.1509586649674</v>
      </c>
      <c r="I157">
        <v>1</v>
      </c>
      <c r="J157">
        <v>0</v>
      </c>
      <c r="K157">
        <v>0</v>
      </c>
      <c r="L157" t="s">
        <v>238</v>
      </c>
      <c r="M157">
        <v>91.555598252839019</v>
      </c>
      <c r="N157">
        <v>73.244478602271215</v>
      </c>
      <c r="O157">
        <v>1</v>
      </c>
      <c r="P157">
        <v>1</v>
      </c>
      <c r="Q157">
        <v>0</v>
      </c>
      <c r="R157">
        <v>1</v>
      </c>
      <c r="S157">
        <v>0</v>
      </c>
      <c r="T157">
        <v>0</v>
      </c>
      <c r="U157">
        <v>1</v>
      </c>
      <c r="V157">
        <v>2</v>
      </c>
      <c r="W157">
        <v>0</v>
      </c>
      <c r="AA157">
        <v>0</v>
      </c>
      <c r="AC157">
        <v>1</v>
      </c>
      <c r="AD157">
        <v>0</v>
      </c>
      <c r="AE157">
        <v>0</v>
      </c>
      <c r="AF157">
        <v>0</v>
      </c>
      <c r="AG157">
        <v>0</v>
      </c>
      <c r="AH157">
        <v>102</v>
      </c>
      <c r="AI157">
        <v>1.6</v>
      </c>
      <c r="AJ157">
        <v>8</v>
      </c>
    </row>
    <row r="158" spans="1:36" x14ac:dyDescent="0.2">
      <c r="A158" t="str">
        <f>+VLOOKUP(B158,studies!$A$2:$C$102,3)</f>
        <v>Plambeck &amp; Hope (1996)</v>
      </c>
      <c r="B158">
        <v>23</v>
      </c>
      <c r="C158">
        <v>1996</v>
      </c>
      <c r="D158">
        <v>1</v>
      </c>
      <c r="E158">
        <v>1990</v>
      </c>
      <c r="F158">
        <v>1990</v>
      </c>
      <c r="G158">
        <v>6.25E-2</v>
      </c>
      <c r="H158">
        <v>114.84734244836126</v>
      </c>
      <c r="I158">
        <v>1</v>
      </c>
      <c r="J158">
        <v>0</v>
      </c>
      <c r="K158">
        <v>0</v>
      </c>
      <c r="L158" t="s">
        <v>238</v>
      </c>
      <c r="M158">
        <v>18.311119650567804</v>
      </c>
      <c r="N158">
        <v>43.946687161362725</v>
      </c>
      <c r="O158">
        <v>1</v>
      </c>
      <c r="P158">
        <v>1</v>
      </c>
      <c r="Q158">
        <v>0</v>
      </c>
      <c r="R158">
        <v>1</v>
      </c>
      <c r="S158">
        <v>0</v>
      </c>
      <c r="T158">
        <v>0</v>
      </c>
      <c r="U158">
        <v>1</v>
      </c>
      <c r="V158">
        <v>5</v>
      </c>
      <c r="W158">
        <v>3</v>
      </c>
      <c r="AA158">
        <v>0</v>
      </c>
      <c r="AC158">
        <v>1</v>
      </c>
      <c r="AD158">
        <v>0</v>
      </c>
      <c r="AE158">
        <v>0</v>
      </c>
      <c r="AF158">
        <v>0</v>
      </c>
      <c r="AG158">
        <v>0</v>
      </c>
      <c r="AH158">
        <v>102</v>
      </c>
      <c r="AI158">
        <v>1.6</v>
      </c>
      <c r="AJ158">
        <v>8</v>
      </c>
    </row>
    <row r="159" spans="1:36" x14ac:dyDescent="0.2">
      <c r="A159" t="str">
        <f>+VLOOKUP(B159,studies!$A$2:$C$102,3)</f>
        <v>Cline (1997)</v>
      </c>
      <c r="B159">
        <v>24</v>
      </c>
      <c r="C159">
        <v>1997</v>
      </c>
      <c r="D159">
        <v>0</v>
      </c>
      <c r="E159">
        <v>1995</v>
      </c>
      <c r="F159">
        <v>1995</v>
      </c>
      <c r="G159">
        <v>1</v>
      </c>
      <c r="H159">
        <v>231.7250656559599</v>
      </c>
      <c r="I159">
        <v>0</v>
      </c>
      <c r="J159">
        <v>1</v>
      </c>
      <c r="K159">
        <v>0</v>
      </c>
      <c r="L159">
        <v>105.29956687215271</v>
      </c>
      <c r="M159">
        <v>107.44853762464562</v>
      </c>
      <c r="N159">
        <v>107.44853762464562</v>
      </c>
      <c r="O159">
        <v>1</v>
      </c>
      <c r="P159">
        <v>1</v>
      </c>
      <c r="Q159">
        <v>0</v>
      </c>
      <c r="R159">
        <v>1</v>
      </c>
      <c r="S159">
        <v>0</v>
      </c>
      <c r="T159">
        <v>1</v>
      </c>
      <c r="U159">
        <v>0</v>
      </c>
      <c r="AA159">
        <v>0</v>
      </c>
      <c r="AC159">
        <v>0</v>
      </c>
      <c r="AD159">
        <v>0</v>
      </c>
      <c r="AE159">
        <v>0</v>
      </c>
      <c r="AF159">
        <v>1</v>
      </c>
      <c r="AG159">
        <v>0</v>
      </c>
      <c r="AH159">
        <v>23</v>
      </c>
      <c r="AI159">
        <v>0</v>
      </c>
      <c r="AJ159">
        <v>1</v>
      </c>
    </row>
    <row r="160" spans="1:36" x14ac:dyDescent="0.2">
      <c r="A160" t="str">
        <f>+VLOOKUP(B160,studies!$A$2:$C$102,3)</f>
        <v>Nordhaus &amp; Popp (1997)</v>
      </c>
      <c r="B160">
        <v>25</v>
      </c>
      <c r="C160">
        <v>1997</v>
      </c>
      <c r="D160">
        <v>1</v>
      </c>
      <c r="E160">
        <v>1990</v>
      </c>
      <c r="F160">
        <v>2000</v>
      </c>
      <c r="G160">
        <v>0.9</v>
      </c>
      <c r="H160">
        <v>30.750525708258014</v>
      </c>
      <c r="I160">
        <v>1</v>
      </c>
      <c r="J160">
        <v>0</v>
      </c>
      <c r="K160">
        <v>0</v>
      </c>
      <c r="L160">
        <v>2.0632440359234971</v>
      </c>
      <c r="M160">
        <v>18.629090455080632</v>
      </c>
      <c r="N160">
        <v>35.668284397184557</v>
      </c>
      <c r="O160">
        <v>0</v>
      </c>
      <c r="P160">
        <v>1</v>
      </c>
      <c r="Q160">
        <v>0</v>
      </c>
      <c r="R160">
        <v>1</v>
      </c>
      <c r="S160">
        <v>0</v>
      </c>
      <c r="T160">
        <v>1</v>
      </c>
      <c r="U160">
        <v>0</v>
      </c>
      <c r="V160">
        <v>5</v>
      </c>
      <c r="W160">
        <v>3</v>
      </c>
      <c r="X160">
        <v>1</v>
      </c>
      <c r="Y160">
        <v>2</v>
      </c>
      <c r="AA160">
        <v>0</v>
      </c>
      <c r="AC160">
        <v>0</v>
      </c>
      <c r="AD160">
        <v>1</v>
      </c>
      <c r="AE160">
        <v>0</v>
      </c>
      <c r="AF160">
        <v>1</v>
      </c>
      <c r="AG160">
        <v>0</v>
      </c>
      <c r="AH160">
        <v>204</v>
      </c>
      <c r="AI160">
        <v>1.85</v>
      </c>
      <c r="AJ160">
        <v>2</v>
      </c>
    </row>
    <row r="161" spans="1:36" x14ac:dyDescent="0.2">
      <c r="A161" t="str">
        <f>+VLOOKUP(B161,studies!$A$2:$C$102,3)</f>
        <v>Nordhaus &amp; Popp (1997)</v>
      </c>
      <c r="B161">
        <v>25</v>
      </c>
      <c r="C161">
        <v>1997</v>
      </c>
      <c r="D161">
        <v>1</v>
      </c>
      <c r="E161">
        <v>1990</v>
      </c>
      <c r="F161">
        <v>2010</v>
      </c>
      <c r="G161">
        <v>0.1</v>
      </c>
      <c r="H161">
        <v>13.009310369727405</v>
      </c>
      <c r="I161">
        <v>1</v>
      </c>
      <c r="J161">
        <v>0</v>
      </c>
      <c r="K161">
        <v>0</v>
      </c>
      <c r="L161" t="s">
        <v>238</v>
      </c>
      <c r="M161" t="s">
        <v>238</v>
      </c>
      <c r="N161" t="s">
        <v>238</v>
      </c>
      <c r="O161">
        <v>0</v>
      </c>
      <c r="P161">
        <v>1</v>
      </c>
      <c r="Q161">
        <v>0</v>
      </c>
      <c r="R161">
        <v>1</v>
      </c>
      <c r="S161">
        <v>0</v>
      </c>
      <c r="T161">
        <v>1</v>
      </c>
      <c r="U161">
        <v>0</v>
      </c>
      <c r="V161">
        <v>5</v>
      </c>
      <c r="Y161">
        <v>2</v>
      </c>
      <c r="AA161">
        <v>0</v>
      </c>
      <c r="AC161">
        <v>0</v>
      </c>
      <c r="AD161">
        <v>1</v>
      </c>
      <c r="AE161">
        <v>0</v>
      </c>
      <c r="AF161">
        <v>1</v>
      </c>
      <c r="AG161">
        <v>0</v>
      </c>
      <c r="AH161">
        <v>204</v>
      </c>
      <c r="AI161">
        <v>1.85</v>
      </c>
      <c r="AJ161">
        <v>2</v>
      </c>
    </row>
    <row r="162" spans="1:36" x14ac:dyDescent="0.2">
      <c r="A162" t="str">
        <f>+VLOOKUP(B162,studies!$A$2:$C$102,3)</f>
        <v>Eyre et al. (1999)</v>
      </c>
      <c r="B162">
        <v>26</v>
      </c>
      <c r="C162">
        <v>1999</v>
      </c>
      <c r="D162">
        <v>0</v>
      </c>
      <c r="E162">
        <v>1995</v>
      </c>
      <c r="F162">
        <v>1995</v>
      </c>
      <c r="G162">
        <v>0.5</v>
      </c>
      <c r="H162">
        <v>448.92605312265732</v>
      </c>
      <c r="I162">
        <v>0</v>
      </c>
      <c r="J162">
        <v>1</v>
      </c>
      <c r="K162">
        <v>0</v>
      </c>
      <c r="L162" t="s">
        <v>238</v>
      </c>
      <c r="M162" t="s">
        <v>238</v>
      </c>
      <c r="N162" t="s">
        <v>238</v>
      </c>
      <c r="O162">
        <v>0</v>
      </c>
      <c r="P162">
        <v>1</v>
      </c>
      <c r="Q162">
        <v>1</v>
      </c>
      <c r="R162">
        <v>1</v>
      </c>
      <c r="S162">
        <v>1</v>
      </c>
      <c r="T162">
        <v>0</v>
      </c>
      <c r="U162">
        <v>0</v>
      </c>
      <c r="V162">
        <v>1</v>
      </c>
      <c r="W162">
        <v>-1</v>
      </c>
      <c r="AA162">
        <v>1</v>
      </c>
      <c r="AC162">
        <v>0</v>
      </c>
      <c r="AD162">
        <v>0</v>
      </c>
      <c r="AE162">
        <v>0</v>
      </c>
      <c r="AF162">
        <v>0</v>
      </c>
      <c r="AG162">
        <v>0</v>
      </c>
      <c r="AH162">
        <v>67</v>
      </c>
      <c r="AI162">
        <v>0</v>
      </c>
      <c r="AJ162">
        <v>4</v>
      </c>
    </row>
    <row r="163" spans="1:36" x14ac:dyDescent="0.2">
      <c r="A163" t="str">
        <f>+VLOOKUP(B163,studies!$A$2:$C$102,3)</f>
        <v>Eyre et al. (1999)</v>
      </c>
      <c r="B163">
        <v>26</v>
      </c>
      <c r="C163">
        <v>1999</v>
      </c>
      <c r="D163">
        <v>0</v>
      </c>
      <c r="E163">
        <v>1995</v>
      </c>
      <c r="F163">
        <v>1995</v>
      </c>
      <c r="G163">
        <v>0.5</v>
      </c>
      <c r="H163">
        <v>184.85190422697656</v>
      </c>
      <c r="I163">
        <v>0</v>
      </c>
      <c r="J163">
        <v>1</v>
      </c>
      <c r="K163">
        <v>0</v>
      </c>
      <c r="L163" t="s">
        <v>238</v>
      </c>
      <c r="M163" t="s">
        <v>238</v>
      </c>
      <c r="N163" t="s">
        <v>238</v>
      </c>
      <c r="O163">
        <v>0</v>
      </c>
      <c r="P163">
        <v>1</v>
      </c>
      <c r="Q163">
        <v>1</v>
      </c>
      <c r="R163">
        <v>1</v>
      </c>
      <c r="S163">
        <v>1</v>
      </c>
      <c r="T163">
        <v>0</v>
      </c>
      <c r="U163">
        <v>0</v>
      </c>
      <c r="V163">
        <v>3</v>
      </c>
      <c r="W163">
        <v>1</v>
      </c>
      <c r="AA163">
        <v>1</v>
      </c>
      <c r="AC163">
        <v>0</v>
      </c>
      <c r="AD163">
        <v>0</v>
      </c>
      <c r="AE163">
        <v>0</v>
      </c>
      <c r="AF163">
        <v>0</v>
      </c>
      <c r="AG163">
        <v>0</v>
      </c>
      <c r="AH163">
        <v>67</v>
      </c>
      <c r="AI163">
        <v>0</v>
      </c>
      <c r="AJ163">
        <v>4</v>
      </c>
    </row>
    <row r="164" spans="1:36" x14ac:dyDescent="0.2">
      <c r="A164" t="str">
        <f>+VLOOKUP(B164,studies!$A$2:$C$102,3)</f>
        <v>Eyre et al. (1999)</v>
      </c>
      <c r="B164">
        <v>26</v>
      </c>
      <c r="C164">
        <v>1999</v>
      </c>
      <c r="D164">
        <v>0</v>
      </c>
      <c r="E164">
        <v>1995</v>
      </c>
      <c r="F164">
        <v>1995</v>
      </c>
      <c r="G164">
        <v>0.5</v>
      </c>
      <c r="H164">
        <v>422.51863823308923</v>
      </c>
      <c r="I164">
        <v>0</v>
      </c>
      <c r="J164">
        <v>1</v>
      </c>
      <c r="K164">
        <v>0</v>
      </c>
      <c r="L164" t="s">
        <v>238</v>
      </c>
      <c r="M164" t="s">
        <v>238</v>
      </c>
      <c r="N164" t="s">
        <v>238</v>
      </c>
      <c r="O164">
        <v>0</v>
      </c>
      <c r="P164">
        <v>1</v>
      </c>
      <c r="Q164">
        <v>1</v>
      </c>
      <c r="R164">
        <v>1</v>
      </c>
      <c r="S164">
        <v>0</v>
      </c>
      <c r="T164">
        <v>0</v>
      </c>
      <c r="U164">
        <v>0</v>
      </c>
      <c r="V164">
        <v>1</v>
      </c>
      <c r="W164">
        <v>-1</v>
      </c>
      <c r="AA164">
        <v>1</v>
      </c>
      <c r="AC164">
        <v>0</v>
      </c>
      <c r="AD164">
        <v>0</v>
      </c>
      <c r="AE164">
        <v>0</v>
      </c>
      <c r="AF164">
        <v>0</v>
      </c>
      <c r="AG164">
        <v>0</v>
      </c>
      <c r="AH164">
        <v>67</v>
      </c>
      <c r="AI164">
        <v>0</v>
      </c>
      <c r="AJ164">
        <v>4</v>
      </c>
    </row>
    <row r="165" spans="1:36" x14ac:dyDescent="0.2">
      <c r="A165" t="str">
        <f>+VLOOKUP(B165,studies!$A$2:$C$102,3)</f>
        <v>Eyre et al. (1999)</v>
      </c>
      <c r="B165">
        <v>26</v>
      </c>
      <c r="C165">
        <v>1999</v>
      </c>
      <c r="D165">
        <v>0</v>
      </c>
      <c r="E165">
        <v>1995</v>
      </c>
      <c r="F165">
        <v>1995</v>
      </c>
      <c r="G165">
        <v>0.5</v>
      </c>
      <c r="H165">
        <v>195.41487018280378</v>
      </c>
      <c r="I165">
        <v>0</v>
      </c>
      <c r="J165">
        <v>1</v>
      </c>
      <c r="K165">
        <v>0</v>
      </c>
      <c r="L165" t="s">
        <v>238</v>
      </c>
      <c r="M165" t="s">
        <v>238</v>
      </c>
      <c r="N165" t="s">
        <v>238</v>
      </c>
      <c r="O165">
        <v>0</v>
      </c>
      <c r="P165">
        <v>1</v>
      </c>
      <c r="Q165">
        <v>1</v>
      </c>
      <c r="R165">
        <v>1</v>
      </c>
      <c r="S165">
        <v>0</v>
      </c>
      <c r="T165">
        <v>0</v>
      </c>
      <c r="U165">
        <v>0</v>
      </c>
      <c r="V165">
        <v>3</v>
      </c>
      <c r="W165">
        <v>1</v>
      </c>
      <c r="AA165">
        <v>1</v>
      </c>
      <c r="AC165">
        <v>0</v>
      </c>
      <c r="AD165">
        <v>0</v>
      </c>
      <c r="AE165">
        <v>0</v>
      </c>
      <c r="AF165">
        <v>0</v>
      </c>
      <c r="AG165">
        <v>0</v>
      </c>
      <c r="AH165">
        <v>67</v>
      </c>
      <c r="AI165">
        <v>0</v>
      </c>
      <c r="AJ165">
        <v>4</v>
      </c>
    </row>
    <row r="166" spans="1:36" x14ac:dyDescent="0.2">
      <c r="A166" t="str">
        <f>+VLOOKUP(B166,studies!$A$2:$C$102,3)</f>
        <v>Roughgarden &amp; Schneider (1999)</v>
      </c>
      <c r="B166">
        <v>27</v>
      </c>
      <c r="C166">
        <v>1999</v>
      </c>
      <c r="D166">
        <v>1</v>
      </c>
      <c r="E166">
        <v>1990</v>
      </c>
      <c r="F166">
        <v>1995</v>
      </c>
      <c r="G166">
        <v>1</v>
      </c>
      <c r="H166">
        <v>70.359293930021835</v>
      </c>
      <c r="I166">
        <v>0</v>
      </c>
      <c r="J166">
        <v>0</v>
      </c>
      <c r="K166">
        <v>1</v>
      </c>
      <c r="L166" t="s">
        <v>238</v>
      </c>
      <c r="M166">
        <v>35.897598943888688</v>
      </c>
      <c r="N166">
        <v>267.76309689262087</v>
      </c>
      <c r="O166">
        <v>1</v>
      </c>
      <c r="P166">
        <v>1</v>
      </c>
      <c r="Q166">
        <v>0</v>
      </c>
      <c r="R166">
        <v>1</v>
      </c>
      <c r="S166">
        <v>0</v>
      </c>
      <c r="T166">
        <v>1</v>
      </c>
      <c r="U166">
        <v>0</v>
      </c>
      <c r="V166">
        <v>5</v>
      </c>
      <c r="W166">
        <v>3</v>
      </c>
      <c r="AA166">
        <v>0</v>
      </c>
      <c r="AC166">
        <v>0</v>
      </c>
      <c r="AD166">
        <v>0</v>
      </c>
      <c r="AE166">
        <v>0</v>
      </c>
      <c r="AF166">
        <v>1</v>
      </c>
      <c r="AG166">
        <v>0</v>
      </c>
      <c r="AH166">
        <v>194</v>
      </c>
      <c r="AI166">
        <v>1.6</v>
      </c>
      <c r="AJ166">
        <v>1</v>
      </c>
    </row>
    <row r="167" spans="1:36" x14ac:dyDescent="0.2">
      <c r="A167" t="str">
        <f>+VLOOKUP(B167,studies!$A$2:$C$102,3)</f>
        <v>Tol (1999)</v>
      </c>
      <c r="B167">
        <v>28</v>
      </c>
      <c r="C167">
        <v>1999</v>
      </c>
      <c r="D167">
        <v>1</v>
      </c>
      <c r="E167">
        <v>1995</v>
      </c>
      <c r="F167">
        <v>2000</v>
      </c>
      <c r="G167">
        <v>0.25</v>
      </c>
      <c r="H167">
        <v>158.59453762979751</v>
      </c>
      <c r="I167">
        <v>0</v>
      </c>
      <c r="J167">
        <v>0</v>
      </c>
      <c r="K167">
        <v>1</v>
      </c>
      <c r="L167">
        <v>115.54744884456677</v>
      </c>
      <c r="M167">
        <v>50.861221980401538</v>
      </c>
      <c r="N167">
        <v>124.84118122462195</v>
      </c>
      <c r="O167">
        <v>1</v>
      </c>
      <c r="P167">
        <v>1</v>
      </c>
      <c r="Q167">
        <v>1</v>
      </c>
      <c r="R167">
        <v>1</v>
      </c>
      <c r="S167">
        <v>1</v>
      </c>
      <c r="T167">
        <v>0</v>
      </c>
      <c r="U167">
        <v>0</v>
      </c>
      <c r="V167">
        <v>3</v>
      </c>
      <c r="W167">
        <v>1</v>
      </c>
      <c r="AA167">
        <v>1</v>
      </c>
      <c r="AC167">
        <v>0</v>
      </c>
      <c r="AD167">
        <v>0</v>
      </c>
      <c r="AE167">
        <v>1</v>
      </c>
      <c r="AF167">
        <v>0</v>
      </c>
      <c r="AG167">
        <v>0</v>
      </c>
      <c r="AH167">
        <v>222</v>
      </c>
      <c r="AI167">
        <v>1.85</v>
      </c>
      <c r="AJ167">
        <v>30</v>
      </c>
    </row>
    <row r="168" spans="1:36" x14ac:dyDescent="0.2">
      <c r="A168" t="str">
        <f>+VLOOKUP(B168,studies!$A$2:$C$102,3)</f>
        <v>Tol (1999)</v>
      </c>
      <c r="B168">
        <v>28</v>
      </c>
      <c r="C168">
        <v>1999</v>
      </c>
      <c r="D168">
        <v>1</v>
      </c>
      <c r="E168">
        <v>1995</v>
      </c>
      <c r="F168">
        <v>2000</v>
      </c>
      <c r="G168">
        <v>0.05</v>
      </c>
      <c r="H168">
        <v>140.46944761496351</v>
      </c>
      <c r="I168">
        <v>0</v>
      </c>
      <c r="J168">
        <v>1</v>
      </c>
      <c r="K168">
        <v>0</v>
      </c>
      <c r="L168" t="s">
        <v>238</v>
      </c>
      <c r="M168" t="s">
        <v>238</v>
      </c>
      <c r="N168" t="s">
        <v>238</v>
      </c>
      <c r="O168">
        <v>1</v>
      </c>
      <c r="P168">
        <v>1</v>
      </c>
      <c r="Q168">
        <v>1</v>
      </c>
      <c r="R168">
        <v>1</v>
      </c>
      <c r="S168">
        <v>1</v>
      </c>
      <c r="T168">
        <v>0</v>
      </c>
      <c r="U168">
        <v>0</v>
      </c>
      <c r="V168">
        <v>3</v>
      </c>
      <c r="W168">
        <v>1</v>
      </c>
      <c r="AA168">
        <v>1</v>
      </c>
      <c r="AC168">
        <v>0</v>
      </c>
      <c r="AD168">
        <v>0</v>
      </c>
      <c r="AE168">
        <v>1</v>
      </c>
      <c r="AF168">
        <v>0</v>
      </c>
      <c r="AG168">
        <v>0</v>
      </c>
      <c r="AH168">
        <v>222</v>
      </c>
      <c r="AI168">
        <v>1.85</v>
      </c>
      <c r="AJ168">
        <v>30</v>
      </c>
    </row>
    <row r="169" spans="1:36" x14ac:dyDescent="0.2">
      <c r="A169" t="str">
        <f>+VLOOKUP(B169,studies!$A$2:$C$102,3)</f>
        <v>Tol (1999)</v>
      </c>
      <c r="B169">
        <v>28</v>
      </c>
      <c r="C169">
        <v>1999</v>
      </c>
      <c r="D169">
        <v>1</v>
      </c>
      <c r="E169">
        <v>1995</v>
      </c>
      <c r="F169">
        <v>2000</v>
      </c>
      <c r="G169">
        <v>0.05</v>
      </c>
      <c r="H169">
        <v>52.109633792647763</v>
      </c>
      <c r="I169">
        <v>0</v>
      </c>
      <c r="J169">
        <v>1</v>
      </c>
      <c r="K169">
        <v>0</v>
      </c>
      <c r="L169" t="s">
        <v>238</v>
      </c>
      <c r="M169" t="s">
        <v>238</v>
      </c>
      <c r="N169" t="s">
        <v>238</v>
      </c>
      <c r="O169">
        <v>1</v>
      </c>
      <c r="P169">
        <v>1</v>
      </c>
      <c r="Q169">
        <v>1</v>
      </c>
      <c r="R169">
        <v>1</v>
      </c>
      <c r="S169">
        <v>1</v>
      </c>
      <c r="T169">
        <v>0</v>
      </c>
      <c r="U169">
        <v>0</v>
      </c>
      <c r="V169">
        <v>3</v>
      </c>
      <c r="W169">
        <v>1</v>
      </c>
      <c r="AA169">
        <v>0</v>
      </c>
      <c r="AC169">
        <v>0</v>
      </c>
      <c r="AD169">
        <v>0</v>
      </c>
      <c r="AE169">
        <v>1</v>
      </c>
      <c r="AF169">
        <v>0</v>
      </c>
      <c r="AG169">
        <v>0</v>
      </c>
      <c r="AH169">
        <v>222</v>
      </c>
      <c r="AI169">
        <v>1.85</v>
      </c>
      <c r="AJ169">
        <v>30</v>
      </c>
    </row>
    <row r="170" spans="1:36" x14ac:dyDescent="0.2">
      <c r="A170" t="str">
        <f>+VLOOKUP(B170,studies!$A$2:$C$102,3)</f>
        <v>Tol (1999)</v>
      </c>
      <c r="B170">
        <v>28</v>
      </c>
      <c r="C170">
        <v>1999</v>
      </c>
      <c r="D170">
        <v>1</v>
      </c>
      <c r="E170">
        <v>1995</v>
      </c>
      <c r="F170">
        <v>2000</v>
      </c>
      <c r="G170">
        <v>0.05</v>
      </c>
      <c r="H170">
        <v>149.53199262238053</v>
      </c>
      <c r="I170">
        <v>0</v>
      </c>
      <c r="J170">
        <v>1</v>
      </c>
      <c r="K170">
        <v>0</v>
      </c>
      <c r="L170" t="s">
        <v>238</v>
      </c>
      <c r="M170" t="s">
        <v>238</v>
      </c>
      <c r="N170" t="s">
        <v>238</v>
      </c>
      <c r="O170">
        <v>1</v>
      </c>
      <c r="P170">
        <v>1</v>
      </c>
      <c r="Q170">
        <v>1</v>
      </c>
      <c r="R170">
        <v>1</v>
      </c>
      <c r="S170">
        <v>1</v>
      </c>
      <c r="T170">
        <v>0</v>
      </c>
      <c r="U170">
        <v>0</v>
      </c>
      <c r="V170">
        <v>3</v>
      </c>
      <c r="W170">
        <v>1</v>
      </c>
      <c r="AA170">
        <v>1</v>
      </c>
      <c r="AC170">
        <v>0</v>
      </c>
      <c r="AD170">
        <v>0</v>
      </c>
      <c r="AE170">
        <v>1</v>
      </c>
      <c r="AF170">
        <v>0</v>
      </c>
      <c r="AG170">
        <v>0</v>
      </c>
      <c r="AH170">
        <v>222</v>
      </c>
      <c r="AI170">
        <v>1.85</v>
      </c>
      <c r="AJ170">
        <v>30</v>
      </c>
    </row>
    <row r="171" spans="1:36" x14ac:dyDescent="0.2">
      <c r="A171" t="str">
        <f>+VLOOKUP(B171,studies!$A$2:$C$102,3)</f>
        <v>Tol (1999)</v>
      </c>
      <c r="B171">
        <v>28</v>
      </c>
      <c r="C171">
        <v>1999</v>
      </c>
      <c r="D171">
        <v>1</v>
      </c>
      <c r="E171">
        <v>1995</v>
      </c>
      <c r="F171">
        <v>2000</v>
      </c>
      <c r="G171">
        <v>0.05</v>
      </c>
      <c r="H171">
        <v>147.26635637052627</v>
      </c>
      <c r="I171">
        <v>0</v>
      </c>
      <c r="J171">
        <v>1</v>
      </c>
      <c r="K171">
        <v>0</v>
      </c>
      <c r="L171" t="s">
        <v>238</v>
      </c>
      <c r="M171" t="s">
        <v>238</v>
      </c>
      <c r="N171" t="s">
        <v>238</v>
      </c>
      <c r="O171">
        <v>1</v>
      </c>
      <c r="P171">
        <v>1</v>
      </c>
      <c r="Q171">
        <v>1</v>
      </c>
      <c r="R171">
        <v>1</v>
      </c>
      <c r="S171">
        <v>1</v>
      </c>
      <c r="T171">
        <v>0</v>
      </c>
      <c r="U171">
        <v>0</v>
      </c>
      <c r="V171">
        <v>3</v>
      </c>
      <c r="W171">
        <v>1</v>
      </c>
      <c r="AA171">
        <v>1</v>
      </c>
      <c r="AC171">
        <v>0</v>
      </c>
      <c r="AD171">
        <v>0</v>
      </c>
      <c r="AE171">
        <v>1</v>
      </c>
      <c r="AF171">
        <v>0</v>
      </c>
      <c r="AG171">
        <v>0</v>
      </c>
      <c r="AH171">
        <v>222</v>
      </c>
      <c r="AI171">
        <v>1.85</v>
      </c>
      <c r="AJ171">
        <v>30</v>
      </c>
    </row>
    <row r="172" spans="1:36" x14ac:dyDescent="0.2">
      <c r="A172" t="str">
        <f>+VLOOKUP(B172,studies!$A$2:$C$102,3)</f>
        <v>Tol (1999)</v>
      </c>
      <c r="B172">
        <v>28</v>
      </c>
      <c r="C172">
        <v>1999</v>
      </c>
      <c r="D172">
        <v>1</v>
      </c>
      <c r="E172">
        <v>1995</v>
      </c>
      <c r="F172">
        <v>2000</v>
      </c>
      <c r="G172">
        <v>0.05</v>
      </c>
      <c r="H172">
        <v>126.87563010383802</v>
      </c>
      <c r="I172">
        <v>0</v>
      </c>
      <c r="J172">
        <v>1</v>
      </c>
      <c r="K172">
        <v>0</v>
      </c>
      <c r="L172" t="s">
        <v>238</v>
      </c>
      <c r="M172" t="s">
        <v>238</v>
      </c>
      <c r="N172" t="s">
        <v>238</v>
      </c>
      <c r="O172">
        <v>1</v>
      </c>
      <c r="P172">
        <v>1</v>
      </c>
      <c r="Q172">
        <v>1</v>
      </c>
      <c r="R172">
        <v>1</v>
      </c>
      <c r="S172">
        <v>1</v>
      </c>
      <c r="T172">
        <v>0</v>
      </c>
      <c r="U172">
        <v>0</v>
      </c>
      <c r="V172">
        <v>3</v>
      </c>
      <c r="W172">
        <v>1</v>
      </c>
      <c r="AA172">
        <v>1</v>
      </c>
      <c r="AC172">
        <v>0</v>
      </c>
      <c r="AD172">
        <v>0</v>
      </c>
      <c r="AE172">
        <v>1</v>
      </c>
      <c r="AF172">
        <v>0</v>
      </c>
      <c r="AG172">
        <v>0</v>
      </c>
      <c r="AH172">
        <v>222</v>
      </c>
      <c r="AI172">
        <v>1.85</v>
      </c>
      <c r="AJ172">
        <v>30</v>
      </c>
    </row>
    <row r="173" spans="1:36" x14ac:dyDescent="0.2">
      <c r="A173" t="str">
        <f>+VLOOKUP(B173,studies!$A$2:$C$102,3)</f>
        <v>Tol (1999)</v>
      </c>
      <c r="B173">
        <v>28</v>
      </c>
      <c r="C173">
        <v>1999</v>
      </c>
      <c r="D173">
        <v>1</v>
      </c>
      <c r="E173">
        <v>1995</v>
      </c>
      <c r="F173">
        <v>2000</v>
      </c>
      <c r="G173">
        <v>0.05</v>
      </c>
      <c r="H173">
        <v>917.58268200097132</v>
      </c>
      <c r="I173">
        <v>0</v>
      </c>
      <c r="J173">
        <v>0</v>
      </c>
      <c r="K173">
        <v>1</v>
      </c>
      <c r="L173">
        <v>604.92487924508487</v>
      </c>
      <c r="M173">
        <v>285.51640520816312</v>
      </c>
      <c r="N173">
        <v>643.85683279735588</v>
      </c>
      <c r="O173">
        <v>1</v>
      </c>
      <c r="P173">
        <v>1</v>
      </c>
      <c r="Q173">
        <v>1</v>
      </c>
      <c r="R173">
        <v>1</v>
      </c>
      <c r="S173">
        <v>1</v>
      </c>
      <c r="T173">
        <v>0</v>
      </c>
      <c r="U173">
        <v>0</v>
      </c>
      <c r="V173">
        <v>0</v>
      </c>
      <c r="W173">
        <v>-2</v>
      </c>
      <c r="AA173">
        <v>1</v>
      </c>
      <c r="AC173">
        <v>0</v>
      </c>
      <c r="AD173">
        <v>0</v>
      </c>
      <c r="AE173">
        <v>1</v>
      </c>
      <c r="AF173">
        <v>0</v>
      </c>
      <c r="AG173">
        <v>0</v>
      </c>
      <c r="AH173">
        <v>222</v>
      </c>
      <c r="AI173">
        <v>1.85</v>
      </c>
      <c r="AJ173">
        <v>30</v>
      </c>
    </row>
    <row r="174" spans="1:36" x14ac:dyDescent="0.2">
      <c r="A174" t="str">
        <f>+VLOOKUP(B174,studies!$A$2:$C$102,3)</f>
        <v>Tol (1999)</v>
      </c>
      <c r="B174">
        <v>28</v>
      </c>
      <c r="C174">
        <v>1999</v>
      </c>
      <c r="D174">
        <v>1</v>
      </c>
      <c r="E174">
        <v>1995</v>
      </c>
      <c r="F174">
        <v>2000</v>
      </c>
      <c r="G174">
        <v>1.0000000000000002E-2</v>
      </c>
      <c r="H174">
        <v>550.54960920058284</v>
      </c>
      <c r="I174">
        <v>0</v>
      </c>
      <c r="J174">
        <v>1</v>
      </c>
      <c r="K174">
        <v>0</v>
      </c>
      <c r="L174" t="s">
        <v>238</v>
      </c>
      <c r="M174" t="s">
        <v>238</v>
      </c>
      <c r="N174" t="s">
        <v>238</v>
      </c>
      <c r="O174">
        <v>1</v>
      </c>
      <c r="P174">
        <v>1</v>
      </c>
      <c r="Q174">
        <v>1</v>
      </c>
      <c r="R174">
        <v>1</v>
      </c>
      <c r="S174">
        <v>1</v>
      </c>
      <c r="T174">
        <v>0</v>
      </c>
      <c r="U174">
        <v>0</v>
      </c>
      <c r="V174">
        <v>0</v>
      </c>
      <c r="W174">
        <v>-2</v>
      </c>
      <c r="AA174">
        <v>1</v>
      </c>
      <c r="AC174">
        <v>0</v>
      </c>
      <c r="AD174">
        <v>0</v>
      </c>
      <c r="AE174">
        <v>1</v>
      </c>
      <c r="AF174">
        <v>0</v>
      </c>
      <c r="AG174">
        <v>0</v>
      </c>
      <c r="AH174">
        <v>222</v>
      </c>
      <c r="AI174">
        <v>1.85</v>
      </c>
      <c r="AJ174">
        <v>30</v>
      </c>
    </row>
    <row r="175" spans="1:36" x14ac:dyDescent="0.2">
      <c r="A175" t="str">
        <f>+VLOOKUP(B175,studies!$A$2:$C$102,3)</f>
        <v>Tol (1999)</v>
      </c>
      <c r="B175">
        <v>28</v>
      </c>
      <c r="C175">
        <v>1999</v>
      </c>
      <c r="D175">
        <v>1</v>
      </c>
      <c r="E175">
        <v>1995</v>
      </c>
      <c r="F175">
        <v>2000</v>
      </c>
      <c r="G175">
        <v>1.0000000000000002E-2</v>
      </c>
      <c r="H175">
        <v>321.72034776330355</v>
      </c>
      <c r="I175">
        <v>0</v>
      </c>
      <c r="J175">
        <v>1</v>
      </c>
      <c r="K175">
        <v>0</v>
      </c>
      <c r="L175" t="s">
        <v>238</v>
      </c>
      <c r="M175" t="s">
        <v>238</v>
      </c>
      <c r="N175" t="s">
        <v>238</v>
      </c>
      <c r="O175">
        <v>1</v>
      </c>
      <c r="P175">
        <v>1</v>
      </c>
      <c r="Q175">
        <v>1</v>
      </c>
      <c r="R175">
        <v>1</v>
      </c>
      <c r="S175">
        <v>1</v>
      </c>
      <c r="T175">
        <v>0</v>
      </c>
      <c r="U175">
        <v>0</v>
      </c>
      <c r="V175">
        <v>0</v>
      </c>
      <c r="W175">
        <v>-2</v>
      </c>
      <c r="AA175">
        <v>0</v>
      </c>
      <c r="AC175">
        <v>0</v>
      </c>
      <c r="AD175">
        <v>0</v>
      </c>
      <c r="AE175">
        <v>1</v>
      </c>
      <c r="AF175">
        <v>0</v>
      </c>
      <c r="AG175">
        <v>0</v>
      </c>
      <c r="AH175">
        <v>222</v>
      </c>
      <c r="AI175">
        <v>1.85</v>
      </c>
      <c r="AJ175">
        <v>30</v>
      </c>
    </row>
    <row r="176" spans="1:36" x14ac:dyDescent="0.2">
      <c r="A176" t="str">
        <f>+VLOOKUP(B176,studies!$A$2:$C$102,3)</f>
        <v>Tol (1999)</v>
      </c>
      <c r="B176">
        <v>28</v>
      </c>
      <c r="C176">
        <v>1999</v>
      </c>
      <c r="D176">
        <v>1</v>
      </c>
      <c r="E176">
        <v>1995</v>
      </c>
      <c r="F176">
        <v>2000</v>
      </c>
      <c r="G176">
        <v>1.0000000000000002E-2</v>
      </c>
      <c r="H176">
        <v>815.62905066753012</v>
      </c>
      <c r="I176">
        <v>0</v>
      </c>
      <c r="J176">
        <v>1</v>
      </c>
      <c r="K176">
        <v>0</v>
      </c>
      <c r="L176" t="s">
        <v>238</v>
      </c>
      <c r="M176" t="s">
        <v>238</v>
      </c>
      <c r="N176" t="s">
        <v>238</v>
      </c>
      <c r="O176">
        <v>1</v>
      </c>
      <c r="P176">
        <v>1</v>
      </c>
      <c r="Q176">
        <v>1</v>
      </c>
      <c r="R176">
        <v>1</v>
      </c>
      <c r="S176">
        <v>1</v>
      </c>
      <c r="T176">
        <v>0</v>
      </c>
      <c r="U176">
        <v>0</v>
      </c>
      <c r="V176">
        <v>0</v>
      </c>
      <c r="W176">
        <v>-2</v>
      </c>
      <c r="AA176">
        <v>1</v>
      </c>
      <c r="AC176">
        <v>0</v>
      </c>
      <c r="AD176">
        <v>0</v>
      </c>
      <c r="AE176">
        <v>1</v>
      </c>
      <c r="AF176">
        <v>0</v>
      </c>
      <c r="AG176">
        <v>0</v>
      </c>
      <c r="AH176">
        <v>222</v>
      </c>
      <c r="AI176">
        <v>1.85</v>
      </c>
      <c r="AJ176">
        <v>30</v>
      </c>
    </row>
    <row r="177" spans="1:36" x14ac:dyDescent="0.2">
      <c r="A177" t="str">
        <f>+VLOOKUP(B177,studies!$A$2:$C$102,3)</f>
        <v>Tol (1999)</v>
      </c>
      <c r="B177">
        <v>28</v>
      </c>
      <c r="C177">
        <v>1999</v>
      </c>
      <c r="D177">
        <v>1</v>
      </c>
      <c r="E177">
        <v>1995</v>
      </c>
      <c r="F177">
        <v>2000</v>
      </c>
      <c r="G177">
        <v>1.0000000000000002E-2</v>
      </c>
      <c r="H177">
        <v>788.44141564527911</v>
      </c>
      <c r="I177">
        <v>0</v>
      </c>
      <c r="J177">
        <v>1</v>
      </c>
      <c r="K177">
        <v>0</v>
      </c>
      <c r="L177" t="s">
        <v>238</v>
      </c>
      <c r="M177" t="s">
        <v>238</v>
      </c>
      <c r="N177" t="s">
        <v>238</v>
      </c>
      <c r="O177">
        <v>1</v>
      </c>
      <c r="P177">
        <v>1</v>
      </c>
      <c r="Q177">
        <v>1</v>
      </c>
      <c r="R177">
        <v>1</v>
      </c>
      <c r="S177">
        <v>1</v>
      </c>
      <c r="T177">
        <v>0</v>
      </c>
      <c r="U177">
        <v>0</v>
      </c>
      <c r="V177">
        <v>0</v>
      </c>
      <c r="W177">
        <v>-2</v>
      </c>
      <c r="AA177">
        <v>1</v>
      </c>
      <c r="AC177">
        <v>0</v>
      </c>
      <c r="AD177">
        <v>0</v>
      </c>
      <c r="AE177">
        <v>1</v>
      </c>
      <c r="AF177">
        <v>0</v>
      </c>
      <c r="AG177">
        <v>0</v>
      </c>
      <c r="AH177">
        <v>222</v>
      </c>
      <c r="AI177">
        <v>1.85</v>
      </c>
      <c r="AJ177">
        <v>30</v>
      </c>
    </row>
    <row r="178" spans="1:36" x14ac:dyDescent="0.2">
      <c r="A178" t="str">
        <f>+VLOOKUP(B178,studies!$A$2:$C$102,3)</f>
        <v>Tol (1999)</v>
      </c>
      <c r="B178">
        <v>28</v>
      </c>
      <c r="C178">
        <v>1999</v>
      </c>
      <c r="D178">
        <v>1</v>
      </c>
      <c r="E178">
        <v>1995</v>
      </c>
      <c r="F178">
        <v>2000</v>
      </c>
      <c r="G178">
        <v>1.0000000000000002E-2</v>
      </c>
      <c r="H178">
        <v>652.50324053402403</v>
      </c>
      <c r="I178">
        <v>0</v>
      </c>
      <c r="J178">
        <v>1</v>
      </c>
      <c r="K178">
        <v>0</v>
      </c>
      <c r="L178" t="s">
        <v>238</v>
      </c>
      <c r="M178" t="s">
        <v>238</v>
      </c>
      <c r="N178" t="s">
        <v>238</v>
      </c>
      <c r="O178">
        <v>1</v>
      </c>
      <c r="P178">
        <v>1</v>
      </c>
      <c r="Q178">
        <v>1</v>
      </c>
      <c r="R178">
        <v>1</v>
      </c>
      <c r="S178">
        <v>1</v>
      </c>
      <c r="T178">
        <v>0</v>
      </c>
      <c r="U178">
        <v>0</v>
      </c>
      <c r="V178">
        <v>0</v>
      </c>
      <c r="W178">
        <v>-2</v>
      </c>
      <c r="AA178">
        <v>1</v>
      </c>
      <c r="AC178">
        <v>0</v>
      </c>
      <c r="AD178">
        <v>0</v>
      </c>
      <c r="AE178">
        <v>1</v>
      </c>
      <c r="AF178">
        <v>0</v>
      </c>
      <c r="AG178">
        <v>0</v>
      </c>
      <c r="AH178">
        <v>222</v>
      </c>
      <c r="AI178">
        <v>1.85</v>
      </c>
      <c r="AJ178">
        <v>30</v>
      </c>
    </row>
    <row r="179" spans="1:36" x14ac:dyDescent="0.2">
      <c r="A179" t="str">
        <f>+VLOOKUP(B179,studies!$A$2:$C$102,3)</f>
        <v>Tol (1999)</v>
      </c>
      <c r="B179">
        <v>28</v>
      </c>
      <c r="C179">
        <v>1999</v>
      </c>
      <c r="D179">
        <v>1</v>
      </c>
      <c r="E179">
        <v>1995</v>
      </c>
      <c r="F179">
        <v>2000</v>
      </c>
      <c r="G179">
        <v>0.05</v>
      </c>
      <c r="H179">
        <v>475.7836128893926</v>
      </c>
      <c r="I179">
        <v>0</v>
      </c>
      <c r="J179">
        <v>0</v>
      </c>
      <c r="K179">
        <v>1</v>
      </c>
      <c r="L179">
        <v>323.98598401515778</v>
      </c>
      <c r="M179">
        <v>149.11585535163178</v>
      </c>
      <c r="N179">
        <v>349.09293268366508</v>
      </c>
      <c r="O179">
        <v>1</v>
      </c>
      <c r="P179">
        <v>1</v>
      </c>
      <c r="Q179">
        <v>1</v>
      </c>
      <c r="R179">
        <v>1</v>
      </c>
      <c r="S179">
        <v>1</v>
      </c>
      <c r="T179">
        <v>0</v>
      </c>
      <c r="U179">
        <v>0</v>
      </c>
      <c r="V179">
        <v>1</v>
      </c>
      <c r="W179">
        <v>-1</v>
      </c>
      <c r="AA179">
        <v>1</v>
      </c>
      <c r="AC179">
        <v>0</v>
      </c>
      <c r="AD179">
        <v>0</v>
      </c>
      <c r="AE179">
        <v>1</v>
      </c>
      <c r="AF179">
        <v>0</v>
      </c>
      <c r="AG179">
        <v>0</v>
      </c>
      <c r="AH179">
        <v>222</v>
      </c>
      <c r="AI179">
        <v>1.85</v>
      </c>
      <c r="AJ179">
        <v>30</v>
      </c>
    </row>
    <row r="180" spans="1:36" x14ac:dyDescent="0.2">
      <c r="A180" t="str">
        <f>+VLOOKUP(B180,studies!$A$2:$C$102,3)</f>
        <v>Tol (1999)</v>
      </c>
      <c r="B180">
        <v>28</v>
      </c>
      <c r="C180">
        <v>1999</v>
      </c>
      <c r="D180">
        <v>1</v>
      </c>
      <c r="E180">
        <v>1995</v>
      </c>
      <c r="F180">
        <v>2000</v>
      </c>
      <c r="G180">
        <v>1.0000000000000002E-2</v>
      </c>
      <c r="H180">
        <v>389.68943531893103</v>
      </c>
      <c r="I180">
        <v>0</v>
      </c>
      <c r="J180">
        <v>1</v>
      </c>
      <c r="K180">
        <v>0</v>
      </c>
      <c r="L180" t="s">
        <v>238</v>
      </c>
      <c r="M180" t="s">
        <v>238</v>
      </c>
      <c r="N180" t="s">
        <v>238</v>
      </c>
      <c r="O180">
        <v>1</v>
      </c>
      <c r="P180">
        <v>1</v>
      </c>
      <c r="Q180">
        <v>1</v>
      </c>
      <c r="R180">
        <v>1</v>
      </c>
      <c r="S180">
        <v>1</v>
      </c>
      <c r="T180">
        <v>0</v>
      </c>
      <c r="U180">
        <v>0</v>
      </c>
      <c r="V180">
        <v>1</v>
      </c>
      <c r="W180">
        <v>-1</v>
      </c>
      <c r="AA180">
        <v>1</v>
      </c>
      <c r="AC180">
        <v>0</v>
      </c>
      <c r="AD180">
        <v>0</v>
      </c>
      <c r="AE180">
        <v>1</v>
      </c>
      <c r="AF180">
        <v>0</v>
      </c>
      <c r="AG180">
        <v>0</v>
      </c>
      <c r="AH180">
        <v>222</v>
      </c>
      <c r="AI180">
        <v>1.85</v>
      </c>
      <c r="AJ180">
        <v>30</v>
      </c>
    </row>
    <row r="181" spans="1:36" x14ac:dyDescent="0.2">
      <c r="A181" t="str">
        <f>+VLOOKUP(B181,studies!$A$2:$C$102,3)</f>
        <v>Tol (1999)</v>
      </c>
      <c r="B181">
        <v>28</v>
      </c>
      <c r="C181">
        <v>1999</v>
      </c>
      <c r="D181">
        <v>1</v>
      </c>
      <c r="E181">
        <v>1995</v>
      </c>
      <c r="F181">
        <v>2000</v>
      </c>
      <c r="G181">
        <v>1.0000000000000002E-2</v>
      </c>
      <c r="H181">
        <v>165.39144638536027</v>
      </c>
      <c r="I181">
        <v>0</v>
      </c>
      <c r="J181">
        <v>1</v>
      </c>
      <c r="K181">
        <v>0</v>
      </c>
      <c r="L181" t="s">
        <v>238</v>
      </c>
      <c r="M181" t="s">
        <v>238</v>
      </c>
      <c r="N181" t="s">
        <v>238</v>
      </c>
      <c r="O181">
        <v>1</v>
      </c>
      <c r="P181">
        <v>1</v>
      </c>
      <c r="Q181">
        <v>1</v>
      </c>
      <c r="R181">
        <v>1</v>
      </c>
      <c r="S181">
        <v>1</v>
      </c>
      <c r="T181">
        <v>0</v>
      </c>
      <c r="U181">
        <v>0</v>
      </c>
      <c r="V181">
        <v>1</v>
      </c>
      <c r="W181">
        <v>-1</v>
      </c>
      <c r="AA181">
        <v>0</v>
      </c>
      <c r="AC181">
        <v>0</v>
      </c>
      <c r="AD181">
        <v>0</v>
      </c>
      <c r="AE181">
        <v>1</v>
      </c>
      <c r="AF181">
        <v>0</v>
      </c>
      <c r="AG181">
        <v>0</v>
      </c>
      <c r="AH181">
        <v>222</v>
      </c>
      <c r="AI181">
        <v>1.85</v>
      </c>
      <c r="AJ181">
        <v>30</v>
      </c>
    </row>
    <row r="182" spans="1:36" x14ac:dyDescent="0.2">
      <c r="A182" t="str">
        <f>+VLOOKUP(B182,studies!$A$2:$C$102,3)</f>
        <v>Tol (1999)</v>
      </c>
      <c r="B182">
        <v>28</v>
      </c>
      <c r="C182">
        <v>1999</v>
      </c>
      <c r="D182">
        <v>1</v>
      </c>
      <c r="E182">
        <v>1995</v>
      </c>
      <c r="F182">
        <v>2000</v>
      </c>
      <c r="G182">
        <v>1.0000000000000002E-2</v>
      </c>
      <c r="H182">
        <v>435.00216035601608</v>
      </c>
      <c r="I182">
        <v>0</v>
      </c>
      <c r="J182">
        <v>1</v>
      </c>
      <c r="K182">
        <v>0</v>
      </c>
      <c r="L182" t="s">
        <v>238</v>
      </c>
      <c r="M182" t="s">
        <v>238</v>
      </c>
      <c r="N182" t="s">
        <v>238</v>
      </c>
      <c r="O182">
        <v>1</v>
      </c>
      <c r="P182">
        <v>1</v>
      </c>
      <c r="Q182">
        <v>1</v>
      </c>
      <c r="R182">
        <v>1</v>
      </c>
      <c r="S182">
        <v>1</v>
      </c>
      <c r="T182">
        <v>0</v>
      </c>
      <c r="U182">
        <v>0</v>
      </c>
      <c r="V182">
        <v>1</v>
      </c>
      <c r="W182">
        <v>-1</v>
      </c>
      <c r="AA182">
        <v>1</v>
      </c>
      <c r="AC182">
        <v>0</v>
      </c>
      <c r="AD182">
        <v>0</v>
      </c>
      <c r="AE182">
        <v>1</v>
      </c>
      <c r="AF182">
        <v>0</v>
      </c>
      <c r="AG182">
        <v>0</v>
      </c>
      <c r="AH182">
        <v>222</v>
      </c>
      <c r="AI182">
        <v>1.85</v>
      </c>
      <c r="AJ182">
        <v>30</v>
      </c>
    </row>
    <row r="183" spans="1:36" x14ac:dyDescent="0.2">
      <c r="A183" t="str">
        <f>+VLOOKUP(B183,studies!$A$2:$C$102,3)</f>
        <v>Tol (1999)</v>
      </c>
      <c r="B183">
        <v>28</v>
      </c>
      <c r="C183">
        <v>1999</v>
      </c>
      <c r="D183">
        <v>1</v>
      </c>
      <c r="E183">
        <v>1995</v>
      </c>
      <c r="F183">
        <v>2000</v>
      </c>
      <c r="G183">
        <v>1.0000000000000002E-2</v>
      </c>
      <c r="H183">
        <v>423.6739790967448</v>
      </c>
      <c r="I183">
        <v>0</v>
      </c>
      <c r="J183">
        <v>1</v>
      </c>
      <c r="K183">
        <v>0</v>
      </c>
      <c r="L183" t="s">
        <v>238</v>
      </c>
      <c r="M183" t="s">
        <v>238</v>
      </c>
      <c r="N183" t="s">
        <v>238</v>
      </c>
      <c r="O183">
        <v>1</v>
      </c>
      <c r="P183">
        <v>1</v>
      </c>
      <c r="Q183">
        <v>1</v>
      </c>
      <c r="R183">
        <v>1</v>
      </c>
      <c r="S183">
        <v>1</v>
      </c>
      <c r="T183">
        <v>0</v>
      </c>
      <c r="U183">
        <v>0</v>
      </c>
      <c r="V183">
        <v>1</v>
      </c>
      <c r="W183">
        <v>-1</v>
      </c>
      <c r="AA183">
        <v>1</v>
      </c>
      <c r="AC183">
        <v>0</v>
      </c>
      <c r="AD183">
        <v>0</v>
      </c>
      <c r="AE183">
        <v>1</v>
      </c>
      <c r="AF183">
        <v>0</v>
      </c>
      <c r="AG183">
        <v>0</v>
      </c>
      <c r="AH183">
        <v>222</v>
      </c>
      <c r="AI183">
        <v>1.85</v>
      </c>
      <c r="AJ183">
        <v>30</v>
      </c>
    </row>
    <row r="184" spans="1:36" x14ac:dyDescent="0.2">
      <c r="A184" t="str">
        <f>+VLOOKUP(B184,studies!$A$2:$C$102,3)</f>
        <v>Tol (1999)</v>
      </c>
      <c r="B184">
        <v>28</v>
      </c>
      <c r="C184">
        <v>1999</v>
      </c>
      <c r="D184">
        <v>1</v>
      </c>
      <c r="E184">
        <v>1995</v>
      </c>
      <c r="F184">
        <v>2000</v>
      </c>
      <c r="G184">
        <v>1.0000000000000002E-2</v>
      </c>
      <c r="H184">
        <v>353.43925528926303</v>
      </c>
      <c r="I184">
        <v>0</v>
      </c>
      <c r="J184">
        <v>1</v>
      </c>
      <c r="K184">
        <v>0</v>
      </c>
      <c r="L184" t="s">
        <v>238</v>
      </c>
      <c r="M184" t="s">
        <v>238</v>
      </c>
      <c r="N184" t="s">
        <v>238</v>
      </c>
      <c r="O184">
        <v>1</v>
      </c>
      <c r="P184">
        <v>1</v>
      </c>
      <c r="Q184">
        <v>1</v>
      </c>
      <c r="R184">
        <v>1</v>
      </c>
      <c r="S184">
        <v>1</v>
      </c>
      <c r="T184">
        <v>0</v>
      </c>
      <c r="U184">
        <v>0</v>
      </c>
      <c r="V184">
        <v>1</v>
      </c>
      <c r="W184">
        <v>-1</v>
      </c>
      <c r="AA184">
        <v>1</v>
      </c>
      <c r="AC184">
        <v>0</v>
      </c>
      <c r="AD184">
        <v>0</v>
      </c>
      <c r="AE184">
        <v>1</v>
      </c>
      <c r="AF184">
        <v>0</v>
      </c>
      <c r="AG184">
        <v>0</v>
      </c>
      <c r="AH184">
        <v>222</v>
      </c>
      <c r="AI184">
        <v>1.85</v>
      </c>
      <c r="AJ184">
        <v>30</v>
      </c>
    </row>
    <row r="185" spans="1:36" x14ac:dyDescent="0.2">
      <c r="A185" t="str">
        <f>+VLOOKUP(B185,studies!$A$2:$C$102,3)</f>
        <v>Tol (1999)</v>
      </c>
      <c r="B185">
        <v>28</v>
      </c>
      <c r="C185">
        <v>1999</v>
      </c>
      <c r="D185">
        <v>1</v>
      </c>
      <c r="E185">
        <v>1995</v>
      </c>
      <c r="F185">
        <v>2000</v>
      </c>
      <c r="G185">
        <v>0.1</v>
      </c>
      <c r="H185">
        <v>65.703451303773264</v>
      </c>
      <c r="I185">
        <v>0</v>
      </c>
      <c r="J185">
        <v>0</v>
      </c>
      <c r="K185">
        <v>1</v>
      </c>
      <c r="L185">
        <v>49.843997540793502</v>
      </c>
      <c r="M185">
        <v>20.806863537436996</v>
      </c>
      <c r="N185">
        <v>55.484969433165311</v>
      </c>
      <c r="O185">
        <v>1</v>
      </c>
      <c r="P185">
        <v>1</v>
      </c>
      <c r="Q185">
        <v>1</v>
      </c>
      <c r="R185">
        <v>1</v>
      </c>
      <c r="S185">
        <v>1</v>
      </c>
      <c r="T185">
        <v>0</v>
      </c>
      <c r="U185">
        <v>0</v>
      </c>
      <c r="V185">
        <v>5</v>
      </c>
      <c r="W185">
        <v>3</v>
      </c>
      <c r="AA185">
        <v>1</v>
      </c>
      <c r="AC185">
        <v>0</v>
      </c>
      <c r="AD185">
        <v>0</v>
      </c>
      <c r="AE185">
        <v>1</v>
      </c>
      <c r="AF185">
        <v>0</v>
      </c>
      <c r="AG185">
        <v>0</v>
      </c>
      <c r="AH185">
        <v>222</v>
      </c>
      <c r="AI185">
        <v>1.85</v>
      </c>
      <c r="AJ185">
        <v>30</v>
      </c>
    </row>
    <row r="186" spans="1:36" x14ac:dyDescent="0.2">
      <c r="A186" t="str">
        <f>+VLOOKUP(B186,studies!$A$2:$C$102,3)</f>
        <v>Tol (1999)</v>
      </c>
      <c r="B186">
        <v>28</v>
      </c>
      <c r="C186">
        <v>1999</v>
      </c>
      <c r="D186">
        <v>1</v>
      </c>
      <c r="E186">
        <v>1995</v>
      </c>
      <c r="F186">
        <v>2000</v>
      </c>
      <c r="G186">
        <v>2.0000000000000004E-2</v>
      </c>
      <c r="H186">
        <v>58.90654254821051</v>
      </c>
      <c r="I186">
        <v>0</v>
      </c>
      <c r="J186">
        <v>1</v>
      </c>
      <c r="K186">
        <v>0</v>
      </c>
      <c r="L186" t="s">
        <v>238</v>
      </c>
      <c r="M186" t="s">
        <v>238</v>
      </c>
      <c r="N186" t="s">
        <v>238</v>
      </c>
      <c r="O186">
        <v>1</v>
      </c>
      <c r="P186">
        <v>1</v>
      </c>
      <c r="Q186">
        <v>1</v>
      </c>
      <c r="R186">
        <v>1</v>
      </c>
      <c r="S186">
        <v>1</v>
      </c>
      <c r="T186">
        <v>0</v>
      </c>
      <c r="U186">
        <v>0</v>
      </c>
      <c r="V186">
        <v>5</v>
      </c>
      <c r="W186">
        <v>3</v>
      </c>
      <c r="AA186">
        <v>1</v>
      </c>
      <c r="AC186">
        <v>0</v>
      </c>
      <c r="AD186">
        <v>0</v>
      </c>
      <c r="AE186">
        <v>1</v>
      </c>
      <c r="AF186">
        <v>0</v>
      </c>
      <c r="AG186">
        <v>0</v>
      </c>
      <c r="AH186">
        <v>222</v>
      </c>
      <c r="AI186">
        <v>1.85</v>
      </c>
      <c r="AJ186">
        <v>30</v>
      </c>
    </row>
    <row r="187" spans="1:36" x14ac:dyDescent="0.2">
      <c r="A187" t="str">
        <f>+VLOOKUP(B187,studies!$A$2:$C$102,3)</f>
        <v>Tol (1999)</v>
      </c>
      <c r="B187">
        <v>28</v>
      </c>
      <c r="C187">
        <v>1999</v>
      </c>
      <c r="D187">
        <v>1</v>
      </c>
      <c r="E187">
        <v>1995</v>
      </c>
      <c r="F187">
        <v>2000</v>
      </c>
      <c r="G187">
        <v>2.0000000000000004E-2</v>
      </c>
      <c r="H187">
        <v>20.390726266688251</v>
      </c>
      <c r="I187">
        <v>0</v>
      </c>
      <c r="J187">
        <v>1</v>
      </c>
      <c r="K187">
        <v>0</v>
      </c>
      <c r="L187" t="s">
        <v>238</v>
      </c>
      <c r="M187" t="s">
        <v>238</v>
      </c>
      <c r="N187" t="s">
        <v>238</v>
      </c>
      <c r="O187">
        <v>1</v>
      </c>
      <c r="P187">
        <v>1</v>
      </c>
      <c r="Q187">
        <v>1</v>
      </c>
      <c r="R187">
        <v>1</v>
      </c>
      <c r="S187">
        <v>1</v>
      </c>
      <c r="T187">
        <v>0</v>
      </c>
      <c r="U187">
        <v>0</v>
      </c>
      <c r="V187">
        <v>5</v>
      </c>
      <c r="W187">
        <v>3</v>
      </c>
      <c r="AA187">
        <v>0</v>
      </c>
      <c r="AC187">
        <v>0</v>
      </c>
      <c r="AD187">
        <v>0</v>
      </c>
      <c r="AE187">
        <v>1</v>
      </c>
      <c r="AF187">
        <v>0</v>
      </c>
      <c r="AG187">
        <v>0</v>
      </c>
      <c r="AH187">
        <v>222</v>
      </c>
      <c r="AI187">
        <v>1.85</v>
      </c>
      <c r="AJ187">
        <v>30</v>
      </c>
    </row>
    <row r="188" spans="1:36" x14ac:dyDescent="0.2">
      <c r="A188" t="str">
        <f>+VLOOKUP(B188,studies!$A$2:$C$102,3)</f>
        <v>Tol (1999)</v>
      </c>
      <c r="B188">
        <v>28</v>
      </c>
      <c r="C188">
        <v>1999</v>
      </c>
      <c r="D188">
        <v>1</v>
      </c>
      <c r="E188">
        <v>1995</v>
      </c>
      <c r="F188">
        <v>2000</v>
      </c>
      <c r="G188">
        <v>2.0000000000000004E-2</v>
      </c>
      <c r="H188">
        <v>63.43781505191901</v>
      </c>
      <c r="I188">
        <v>0</v>
      </c>
      <c r="J188">
        <v>1</v>
      </c>
      <c r="K188">
        <v>0</v>
      </c>
      <c r="L188" t="s">
        <v>238</v>
      </c>
      <c r="M188" t="s">
        <v>238</v>
      </c>
      <c r="N188" t="s">
        <v>238</v>
      </c>
      <c r="O188">
        <v>1</v>
      </c>
      <c r="P188">
        <v>1</v>
      </c>
      <c r="Q188">
        <v>1</v>
      </c>
      <c r="R188">
        <v>1</v>
      </c>
      <c r="S188">
        <v>1</v>
      </c>
      <c r="T188">
        <v>0</v>
      </c>
      <c r="U188">
        <v>0</v>
      </c>
      <c r="V188">
        <v>5</v>
      </c>
      <c r="W188">
        <v>3</v>
      </c>
      <c r="AA188">
        <v>1</v>
      </c>
      <c r="AC188">
        <v>0</v>
      </c>
      <c r="AD188">
        <v>0</v>
      </c>
      <c r="AE188">
        <v>1</v>
      </c>
      <c r="AF188">
        <v>0</v>
      </c>
      <c r="AG188">
        <v>0</v>
      </c>
      <c r="AH188">
        <v>222</v>
      </c>
      <c r="AI188">
        <v>1.85</v>
      </c>
      <c r="AJ188">
        <v>30</v>
      </c>
    </row>
    <row r="189" spans="1:36" x14ac:dyDescent="0.2">
      <c r="A189" t="str">
        <f>+VLOOKUP(B189,studies!$A$2:$C$102,3)</f>
        <v>Tol (1999)</v>
      </c>
      <c r="B189">
        <v>28</v>
      </c>
      <c r="C189">
        <v>1999</v>
      </c>
      <c r="D189">
        <v>1</v>
      </c>
      <c r="E189">
        <v>1995</v>
      </c>
      <c r="F189">
        <v>2000</v>
      </c>
      <c r="G189">
        <v>2.0000000000000004E-2</v>
      </c>
      <c r="H189">
        <v>63.43781505191901</v>
      </c>
      <c r="I189">
        <v>0</v>
      </c>
      <c r="J189">
        <v>1</v>
      </c>
      <c r="K189">
        <v>0</v>
      </c>
      <c r="L189" t="s">
        <v>238</v>
      </c>
      <c r="M189" t="s">
        <v>238</v>
      </c>
      <c r="N189" t="s">
        <v>238</v>
      </c>
      <c r="O189">
        <v>1</v>
      </c>
      <c r="P189">
        <v>1</v>
      </c>
      <c r="Q189">
        <v>1</v>
      </c>
      <c r="R189">
        <v>1</v>
      </c>
      <c r="S189">
        <v>1</v>
      </c>
      <c r="T189">
        <v>0</v>
      </c>
      <c r="U189">
        <v>0</v>
      </c>
      <c r="V189">
        <v>5</v>
      </c>
      <c r="W189">
        <v>3</v>
      </c>
      <c r="AA189">
        <v>1</v>
      </c>
      <c r="AC189">
        <v>0</v>
      </c>
      <c r="AD189">
        <v>0</v>
      </c>
      <c r="AE189">
        <v>1</v>
      </c>
      <c r="AF189">
        <v>0</v>
      </c>
      <c r="AG189">
        <v>0</v>
      </c>
      <c r="AH189">
        <v>222</v>
      </c>
      <c r="AI189">
        <v>1.85</v>
      </c>
      <c r="AJ189">
        <v>30</v>
      </c>
    </row>
    <row r="190" spans="1:36" x14ac:dyDescent="0.2">
      <c r="A190" t="str">
        <f>+VLOOKUP(B190,studies!$A$2:$C$102,3)</f>
        <v>Tol (1999)</v>
      </c>
      <c r="B190">
        <v>28</v>
      </c>
      <c r="C190">
        <v>1999</v>
      </c>
      <c r="D190">
        <v>1</v>
      </c>
      <c r="E190">
        <v>1995</v>
      </c>
      <c r="F190">
        <v>2000</v>
      </c>
      <c r="G190">
        <v>2.0000000000000004E-2</v>
      </c>
      <c r="H190">
        <v>56.640906296356263</v>
      </c>
      <c r="I190">
        <v>0</v>
      </c>
      <c r="J190">
        <v>1</v>
      </c>
      <c r="K190">
        <v>0</v>
      </c>
      <c r="L190" t="s">
        <v>238</v>
      </c>
      <c r="M190" t="s">
        <v>238</v>
      </c>
      <c r="N190" t="s">
        <v>238</v>
      </c>
      <c r="O190">
        <v>1</v>
      </c>
      <c r="P190">
        <v>1</v>
      </c>
      <c r="Q190">
        <v>1</v>
      </c>
      <c r="R190">
        <v>1</v>
      </c>
      <c r="S190">
        <v>1</v>
      </c>
      <c r="T190">
        <v>0</v>
      </c>
      <c r="U190">
        <v>0</v>
      </c>
      <c r="V190">
        <v>5</v>
      </c>
      <c r="W190">
        <v>3</v>
      </c>
      <c r="AA190">
        <v>1</v>
      </c>
      <c r="AC190">
        <v>0</v>
      </c>
      <c r="AD190">
        <v>0</v>
      </c>
      <c r="AE190">
        <v>1</v>
      </c>
      <c r="AF190">
        <v>0</v>
      </c>
      <c r="AG190">
        <v>0</v>
      </c>
      <c r="AH190">
        <v>222</v>
      </c>
      <c r="AI190">
        <v>1.85</v>
      </c>
      <c r="AJ190">
        <v>30</v>
      </c>
    </row>
    <row r="191" spans="1:36" x14ac:dyDescent="0.2">
      <c r="A191" t="str">
        <f>+VLOOKUP(B191,studies!$A$2:$C$102,3)</f>
        <v>Tol (1999)</v>
      </c>
      <c r="B191">
        <v>28</v>
      </c>
      <c r="C191">
        <v>1999</v>
      </c>
      <c r="D191">
        <v>1</v>
      </c>
      <c r="E191">
        <v>1995</v>
      </c>
      <c r="F191">
        <v>2000</v>
      </c>
      <c r="G191">
        <v>0.05</v>
      </c>
      <c r="H191">
        <v>13.593817511125502</v>
      </c>
      <c r="I191">
        <v>0</v>
      </c>
      <c r="J191">
        <v>0</v>
      </c>
      <c r="K191">
        <v>1</v>
      </c>
      <c r="L191">
        <v>11.328181259271251</v>
      </c>
      <c r="M191">
        <v>4.6237474527637756</v>
      </c>
      <c r="N191">
        <v>12.715305495100385</v>
      </c>
      <c r="O191">
        <v>1</v>
      </c>
      <c r="P191">
        <v>1</v>
      </c>
      <c r="Q191">
        <v>1</v>
      </c>
      <c r="R191">
        <v>1</v>
      </c>
      <c r="S191">
        <v>1</v>
      </c>
      <c r="T191">
        <v>0</v>
      </c>
      <c r="U191">
        <v>0</v>
      </c>
      <c r="V191">
        <v>10</v>
      </c>
      <c r="W191">
        <v>8</v>
      </c>
      <c r="AA191">
        <v>1</v>
      </c>
      <c r="AC191">
        <v>0</v>
      </c>
      <c r="AD191">
        <v>0</v>
      </c>
      <c r="AE191">
        <v>1</v>
      </c>
      <c r="AF191">
        <v>0</v>
      </c>
      <c r="AG191">
        <v>0</v>
      </c>
      <c r="AH191">
        <v>222</v>
      </c>
      <c r="AI191">
        <v>1.85</v>
      </c>
      <c r="AJ191">
        <v>30</v>
      </c>
    </row>
    <row r="192" spans="1:36" x14ac:dyDescent="0.2">
      <c r="A192" t="str">
        <f>+VLOOKUP(B192,studies!$A$2:$C$102,3)</f>
        <v>Tol (1999)</v>
      </c>
      <c r="B192">
        <v>28</v>
      </c>
      <c r="C192">
        <v>1999</v>
      </c>
      <c r="D192">
        <v>1</v>
      </c>
      <c r="E192">
        <v>1995</v>
      </c>
      <c r="F192">
        <v>2000</v>
      </c>
      <c r="G192">
        <v>1.0000000000000002E-2</v>
      </c>
      <c r="H192">
        <v>13.593817511125502</v>
      </c>
      <c r="I192">
        <v>0</v>
      </c>
      <c r="J192">
        <v>1</v>
      </c>
      <c r="K192">
        <v>0</v>
      </c>
      <c r="L192" t="s">
        <v>238</v>
      </c>
      <c r="M192" t="s">
        <v>238</v>
      </c>
      <c r="N192" t="s">
        <v>238</v>
      </c>
      <c r="O192">
        <v>1</v>
      </c>
      <c r="P192">
        <v>1</v>
      </c>
      <c r="Q192">
        <v>1</v>
      </c>
      <c r="R192">
        <v>1</v>
      </c>
      <c r="S192">
        <v>1</v>
      </c>
      <c r="T192">
        <v>0</v>
      </c>
      <c r="U192">
        <v>0</v>
      </c>
      <c r="V192">
        <v>10</v>
      </c>
      <c r="W192">
        <v>8</v>
      </c>
      <c r="AA192">
        <v>1</v>
      </c>
      <c r="AC192">
        <v>0</v>
      </c>
      <c r="AD192">
        <v>0</v>
      </c>
      <c r="AE192">
        <v>1</v>
      </c>
      <c r="AF192">
        <v>0</v>
      </c>
      <c r="AG192">
        <v>0</v>
      </c>
      <c r="AH192">
        <v>222</v>
      </c>
      <c r="AI192">
        <v>1.85</v>
      </c>
      <c r="AJ192">
        <v>30</v>
      </c>
    </row>
    <row r="193" spans="1:36" x14ac:dyDescent="0.2">
      <c r="A193" t="str">
        <f>+VLOOKUP(B193,studies!$A$2:$C$102,3)</f>
        <v>Tol (1999)</v>
      </c>
      <c r="B193">
        <v>28</v>
      </c>
      <c r="C193">
        <v>1999</v>
      </c>
      <c r="D193">
        <v>1</v>
      </c>
      <c r="E193">
        <v>1995</v>
      </c>
      <c r="F193">
        <v>2000</v>
      </c>
      <c r="G193">
        <v>1.0000000000000002E-2</v>
      </c>
      <c r="H193">
        <v>4.5312725037085002</v>
      </c>
      <c r="I193">
        <v>0</v>
      </c>
      <c r="J193">
        <v>1</v>
      </c>
      <c r="K193">
        <v>0</v>
      </c>
      <c r="L193" t="s">
        <v>238</v>
      </c>
      <c r="M193" t="s">
        <v>238</v>
      </c>
      <c r="N193" t="s">
        <v>238</v>
      </c>
      <c r="O193">
        <v>1</v>
      </c>
      <c r="P193">
        <v>1</v>
      </c>
      <c r="Q193">
        <v>1</v>
      </c>
      <c r="R193">
        <v>1</v>
      </c>
      <c r="S193">
        <v>1</v>
      </c>
      <c r="T193">
        <v>0</v>
      </c>
      <c r="U193">
        <v>0</v>
      </c>
      <c r="V193">
        <v>10</v>
      </c>
      <c r="W193">
        <v>8</v>
      </c>
      <c r="AA193">
        <v>0</v>
      </c>
      <c r="AC193">
        <v>0</v>
      </c>
      <c r="AD193">
        <v>0</v>
      </c>
      <c r="AE193">
        <v>1</v>
      </c>
      <c r="AF193">
        <v>0</v>
      </c>
      <c r="AG193">
        <v>0</v>
      </c>
      <c r="AH193">
        <v>222</v>
      </c>
      <c r="AI193">
        <v>1.85</v>
      </c>
      <c r="AJ193">
        <v>30</v>
      </c>
    </row>
    <row r="194" spans="1:36" x14ac:dyDescent="0.2">
      <c r="A194" t="str">
        <f>+VLOOKUP(B194,studies!$A$2:$C$102,3)</f>
        <v>Tol (1999)</v>
      </c>
      <c r="B194">
        <v>28</v>
      </c>
      <c r="C194">
        <v>1999</v>
      </c>
      <c r="D194">
        <v>1</v>
      </c>
      <c r="E194">
        <v>1995</v>
      </c>
      <c r="F194">
        <v>2000</v>
      </c>
      <c r="G194">
        <v>1.0000000000000002E-2</v>
      </c>
      <c r="H194">
        <v>13.593817511125502</v>
      </c>
      <c r="I194">
        <v>0</v>
      </c>
      <c r="J194">
        <v>1</v>
      </c>
      <c r="K194">
        <v>0</v>
      </c>
      <c r="L194" t="s">
        <v>238</v>
      </c>
      <c r="M194" t="s">
        <v>238</v>
      </c>
      <c r="N194" t="s">
        <v>238</v>
      </c>
      <c r="O194">
        <v>1</v>
      </c>
      <c r="P194">
        <v>1</v>
      </c>
      <c r="Q194">
        <v>1</v>
      </c>
      <c r="R194">
        <v>1</v>
      </c>
      <c r="S194">
        <v>1</v>
      </c>
      <c r="T194">
        <v>0</v>
      </c>
      <c r="U194">
        <v>0</v>
      </c>
      <c r="V194">
        <v>10</v>
      </c>
      <c r="W194">
        <v>8</v>
      </c>
      <c r="AA194">
        <v>1</v>
      </c>
      <c r="AC194">
        <v>0</v>
      </c>
      <c r="AD194">
        <v>0</v>
      </c>
      <c r="AE194">
        <v>1</v>
      </c>
      <c r="AF194">
        <v>0</v>
      </c>
      <c r="AG194">
        <v>0</v>
      </c>
      <c r="AH194">
        <v>222</v>
      </c>
      <c r="AI194">
        <v>1.85</v>
      </c>
      <c r="AJ194">
        <v>30</v>
      </c>
    </row>
    <row r="195" spans="1:36" x14ac:dyDescent="0.2">
      <c r="A195" t="str">
        <f>+VLOOKUP(B195,studies!$A$2:$C$102,3)</f>
        <v>Tol (1999)</v>
      </c>
      <c r="B195">
        <v>28</v>
      </c>
      <c r="C195">
        <v>1999</v>
      </c>
      <c r="D195">
        <v>1</v>
      </c>
      <c r="E195">
        <v>1995</v>
      </c>
      <c r="F195">
        <v>2000</v>
      </c>
      <c r="G195">
        <v>1.0000000000000002E-2</v>
      </c>
      <c r="H195">
        <v>13.593817511125502</v>
      </c>
      <c r="I195">
        <v>0</v>
      </c>
      <c r="J195">
        <v>1</v>
      </c>
      <c r="K195">
        <v>0</v>
      </c>
      <c r="L195" t="s">
        <v>238</v>
      </c>
      <c r="M195" t="s">
        <v>238</v>
      </c>
      <c r="N195" t="s">
        <v>238</v>
      </c>
      <c r="O195">
        <v>1</v>
      </c>
      <c r="P195">
        <v>1</v>
      </c>
      <c r="Q195">
        <v>1</v>
      </c>
      <c r="R195">
        <v>1</v>
      </c>
      <c r="S195">
        <v>1</v>
      </c>
      <c r="T195">
        <v>0</v>
      </c>
      <c r="U195">
        <v>0</v>
      </c>
      <c r="V195">
        <v>10</v>
      </c>
      <c r="W195">
        <v>8</v>
      </c>
      <c r="AA195">
        <v>1</v>
      </c>
      <c r="AC195">
        <v>0</v>
      </c>
      <c r="AD195">
        <v>0</v>
      </c>
      <c r="AE195">
        <v>1</v>
      </c>
      <c r="AF195">
        <v>0</v>
      </c>
      <c r="AG195">
        <v>0</v>
      </c>
      <c r="AH195">
        <v>222</v>
      </c>
      <c r="AI195">
        <v>1.85</v>
      </c>
      <c r="AJ195">
        <v>30</v>
      </c>
    </row>
    <row r="196" spans="1:36" x14ac:dyDescent="0.2">
      <c r="A196" t="str">
        <f>+VLOOKUP(B196,studies!$A$2:$C$102,3)</f>
        <v>Tol (1999)</v>
      </c>
      <c r="B196">
        <v>28</v>
      </c>
      <c r="C196">
        <v>1999</v>
      </c>
      <c r="D196">
        <v>1</v>
      </c>
      <c r="E196">
        <v>1995</v>
      </c>
      <c r="F196">
        <v>2000</v>
      </c>
      <c r="G196">
        <v>1.0000000000000002E-2</v>
      </c>
      <c r="H196">
        <v>13.593817511125502</v>
      </c>
      <c r="I196">
        <v>0</v>
      </c>
      <c r="J196">
        <v>1</v>
      </c>
      <c r="K196">
        <v>0</v>
      </c>
      <c r="L196" t="s">
        <v>238</v>
      </c>
      <c r="M196" t="s">
        <v>238</v>
      </c>
      <c r="N196" t="s">
        <v>238</v>
      </c>
      <c r="O196">
        <v>1</v>
      </c>
      <c r="P196">
        <v>1</v>
      </c>
      <c r="Q196">
        <v>1</v>
      </c>
      <c r="R196">
        <v>1</v>
      </c>
      <c r="S196">
        <v>1</v>
      </c>
      <c r="T196">
        <v>0</v>
      </c>
      <c r="U196">
        <v>0</v>
      </c>
      <c r="V196">
        <v>10</v>
      </c>
      <c r="W196">
        <v>8</v>
      </c>
      <c r="AA196">
        <v>1</v>
      </c>
      <c r="AC196">
        <v>0</v>
      </c>
      <c r="AD196">
        <v>0</v>
      </c>
      <c r="AE196">
        <v>1</v>
      </c>
      <c r="AF196">
        <v>0</v>
      </c>
      <c r="AG196">
        <v>0</v>
      </c>
      <c r="AH196">
        <v>222</v>
      </c>
      <c r="AI196">
        <v>1.85</v>
      </c>
      <c r="AJ196">
        <v>30</v>
      </c>
    </row>
    <row r="197" spans="1:36" x14ac:dyDescent="0.2">
      <c r="A197" t="str">
        <f>+VLOOKUP(B197,studies!$A$2:$C$102,3)</f>
        <v>Nordhaus &amp; Boyer (2000)</v>
      </c>
      <c r="B197">
        <v>29</v>
      </c>
      <c r="C197">
        <v>2000</v>
      </c>
      <c r="D197">
        <v>0</v>
      </c>
      <c r="E197">
        <v>1990</v>
      </c>
      <c r="F197">
        <v>2015</v>
      </c>
      <c r="G197">
        <v>1</v>
      </c>
      <c r="H197">
        <v>21.204986687069631</v>
      </c>
      <c r="I197">
        <v>0</v>
      </c>
      <c r="J197">
        <v>1</v>
      </c>
      <c r="K197">
        <v>0</v>
      </c>
      <c r="L197" t="s">
        <v>238</v>
      </c>
      <c r="M197" t="s">
        <v>238</v>
      </c>
      <c r="N197" t="s">
        <v>238</v>
      </c>
      <c r="O197">
        <v>1</v>
      </c>
      <c r="P197">
        <v>1</v>
      </c>
      <c r="Q197">
        <v>0</v>
      </c>
      <c r="R197">
        <v>1</v>
      </c>
      <c r="S197">
        <v>0</v>
      </c>
      <c r="T197">
        <v>1</v>
      </c>
      <c r="U197">
        <v>0</v>
      </c>
      <c r="X197">
        <v>1</v>
      </c>
      <c r="AA197">
        <v>0</v>
      </c>
      <c r="AC197">
        <v>0</v>
      </c>
      <c r="AD197">
        <v>1</v>
      </c>
      <c r="AE197">
        <v>0</v>
      </c>
      <c r="AF197">
        <v>1</v>
      </c>
      <c r="AG197">
        <v>0</v>
      </c>
      <c r="AH197">
        <v>1183</v>
      </c>
      <c r="AI197">
        <v>0</v>
      </c>
      <c r="AJ197">
        <v>1</v>
      </c>
    </row>
    <row r="198" spans="1:36" x14ac:dyDescent="0.2">
      <c r="A198" t="str">
        <f>+VLOOKUP(B198,studies!$A$2:$C$102,3)</f>
        <v>Tol &amp; Downing (2001)</v>
      </c>
      <c r="B198">
        <v>30</v>
      </c>
      <c r="C198">
        <v>2001</v>
      </c>
      <c r="D198">
        <v>0</v>
      </c>
      <c r="E198">
        <v>1995</v>
      </c>
      <c r="F198">
        <v>1995</v>
      </c>
      <c r="G198">
        <v>0.1</v>
      </c>
      <c r="H198">
        <v>68.923352861772699</v>
      </c>
      <c r="I198">
        <v>0</v>
      </c>
      <c r="J198">
        <v>1</v>
      </c>
      <c r="K198">
        <v>0</v>
      </c>
      <c r="L198" t="s">
        <v>238</v>
      </c>
      <c r="M198" t="s">
        <v>238</v>
      </c>
      <c r="N198" t="s">
        <v>238</v>
      </c>
      <c r="O198">
        <v>0</v>
      </c>
      <c r="P198">
        <v>1</v>
      </c>
      <c r="Q198">
        <v>1</v>
      </c>
      <c r="R198">
        <v>1</v>
      </c>
      <c r="S198">
        <v>1</v>
      </c>
      <c r="T198">
        <v>0</v>
      </c>
      <c r="U198">
        <v>0</v>
      </c>
      <c r="V198">
        <v>3</v>
      </c>
      <c r="W198">
        <v>1</v>
      </c>
      <c r="AA198">
        <v>1</v>
      </c>
      <c r="AC198">
        <v>0</v>
      </c>
      <c r="AD198">
        <v>0</v>
      </c>
      <c r="AE198">
        <v>1</v>
      </c>
      <c r="AF198">
        <v>0</v>
      </c>
      <c r="AG198">
        <v>0</v>
      </c>
      <c r="AH198">
        <v>37</v>
      </c>
      <c r="AI198">
        <v>0</v>
      </c>
      <c r="AJ198">
        <v>4</v>
      </c>
    </row>
    <row r="199" spans="1:36" x14ac:dyDescent="0.2">
      <c r="A199" t="str">
        <f>+VLOOKUP(B199,studies!$A$2:$C$102,3)</f>
        <v>Tol &amp; Downing (2001)</v>
      </c>
      <c r="B199">
        <v>30</v>
      </c>
      <c r="C199">
        <v>2001</v>
      </c>
      <c r="D199">
        <v>0</v>
      </c>
      <c r="E199">
        <v>1995</v>
      </c>
      <c r="F199">
        <v>1995</v>
      </c>
      <c r="G199">
        <v>0.1</v>
      </c>
      <c r="H199">
        <v>9.2425952113488279</v>
      </c>
      <c r="I199">
        <v>0</v>
      </c>
      <c r="J199">
        <v>1</v>
      </c>
      <c r="K199">
        <v>0</v>
      </c>
      <c r="L199" t="s">
        <v>238</v>
      </c>
      <c r="M199" t="s">
        <v>238</v>
      </c>
      <c r="N199" t="s">
        <v>238</v>
      </c>
      <c r="O199">
        <v>0</v>
      </c>
      <c r="P199">
        <v>1</v>
      </c>
      <c r="Q199">
        <v>1</v>
      </c>
      <c r="R199">
        <v>1</v>
      </c>
      <c r="S199">
        <v>1</v>
      </c>
      <c r="T199">
        <v>0</v>
      </c>
      <c r="U199">
        <v>0</v>
      </c>
      <c r="V199">
        <v>3</v>
      </c>
      <c r="W199">
        <v>1</v>
      </c>
      <c r="AA199">
        <v>0</v>
      </c>
      <c r="AC199">
        <v>0</v>
      </c>
      <c r="AD199">
        <v>0</v>
      </c>
      <c r="AE199">
        <v>1</v>
      </c>
      <c r="AF199">
        <v>0</v>
      </c>
      <c r="AG199">
        <v>0</v>
      </c>
      <c r="AH199">
        <v>37</v>
      </c>
      <c r="AI199">
        <v>0</v>
      </c>
      <c r="AJ199">
        <v>4</v>
      </c>
    </row>
    <row r="200" spans="1:36" x14ac:dyDescent="0.2">
      <c r="A200" t="str">
        <f>+VLOOKUP(B200,studies!$A$2:$C$102,3)</f>
        <v>Tol &amp; Downing (2001)</v>
      </c>
      <c r="B200">
        <v>30</v>
      </c>
      <c r="C200">
        <v>2001</v>
      </c>
      <c r="D200">
        <v>0</v>
      </c>
      <c r="E200">
        <v>1995</v>
      </c>
      <c r="F200">
        <v>1995</v>
      </c>
      <c r="G200">
        <v>1</v>
      </c>
      <c r="H200">
        <v>120.9459601942218</v>
      </c>
      <c r="I200">
        <v>0</v>
      </c>
      <c r="J200">
        <v>1</v>
      </c>
      <c r="K200">
        <v>0</v>
      </c>
      <c r="L200" t="s">
        <v>238</v>
      </c>
      <c r="M200" t="s">
        <v>238</v>
      </c>
      <c r="N200" t="s">
        <v>238</v>
      </c>
      <c r="O200">
        <v>0</v>
      </c>
      <c r="P200">
        <v>1</v>
      </c>
      <c r="Q200">
        <v>1</v>
      </c>
      <c r="R200">
        <v>1</v>
      </c>
      <c r="S200">
        <v>1</v>
      </c>
      <c r="T200">
        <v>0</v>
      </c>
      <c r="U200">
        <v>0</v>
      </c>
      <c r="V200">
        <v>3</v>
      </c>
      <c r="W200">
        <v>1</v>
      </c>
      <c r="AA200">
        <v>1</v>
      </c>
      <c r="AC200">
        <v>0</v>
      </c>
      <c r="AD200">
        <v>0</v>
      </c>
      <c r="AE200">
        <v>1</v>
      </c>
      <c r="AF200">
        <v>0</v>
      </c>
      <c r="AG200">
        <v>0</v>
      </c>
      <c r="AH200">
        <v>37</v>
      </c>
      <c r="AI200">
        <v>0</v>
      </c>
      <c r="AJ200">
        <v>4</v>
      </c>
    </row>
    <row r="201" spans="1:36" x14ac:dyDescent="0.2">
      <c r="A201" t="str">
        <f>+VLOOKUP(B201,studies!$A$2:$C$102,3)</f>
        <v>Tol &amp; Downing (2001)</v>
      </c>
      <c r="B201">
        <v>30</v>
      </c>
      <c r="C201">
        <v>2001</v>
      </c>
      <c r="D201">
        <v>0</v>
      </c>
      <c r="E201">
        <v>1995</v>
      </c>
      <c r="F201">
        <v>1995</v>
      </c>
      <c r="G201">
        <v>0.8</v>
      </c>
      <c r="H201">
        <v>10.562965955827231</v>
      </c>
      <c r="I201">
        <v>0</v>
      </c>
      <c r="J201">
        <v>0</v>
      </c>
      <c r="K201">
        <v>1</v>
      </c>
      <c r="L201">
        <v>8.4503727646617861</v>
      </c>
      <c r="M201">
        <v>8.4503727646617861</v>
      </c>
      <c r="N201">
        <v>8.4503727646617861</v>
      </c>
      <c r="O201">
        <v>0</v>
      </c>
      <c r="P201">
        <v>1</v>
      </c>
      <c r="Q201">
        <v>1</v>
      </c>
      <c r="R201">
        <v>1</v>
      </c>
      <c r="S201">
        <v>1</v>
      </c>
      <c r="T201">
        <v>0</v>
      </c>
      <c r="U201">
        <v>0</v>
      </c>
      <c r="V201">
        <v>3</v>
      </c>
      <c r="W201">
        <v>1</v>
      </c>
      <c r="AA201">
        <v>0</v>
      </c>
      <c r="AC201">
        <v>0</v>
      </c>
      <c r="AD201">
        <v>0</v>
      </c>
      <c r="AE201">
        <v>1</v>
      </c>
      <c r="AF201">
        <v>0</v>
      </c>
      <c r="AG201">
        <v>0</v>
      </c>
      <c r="AH201">
        <v>37</v>
      </c>
      <c r="AI201">
        <v>0</v>
      </c>
      <c r="AJ201">
        <v>4</v>
      </c>
    </row>
    <row r="202" spans="1:36" x14ac:dyDescent="0.2">
      <c r="A202" t="str">
        <f>+VLOOKUP(B202,studies!$A$2:$C$102,3)</f>
        <v>Clarkson &amp; Deyes (2002)</v>
      </c>
      <c r="B202">
        <v>31</v>
      </c>
      <c r="C202">
        <v>2002</v>
      </c>
      <c r="D202">
        <v>0</v>
      </c>
      <c r="E202">
        <v>2000</v>
      </c>
      <c r="F202">
        <v>2000</v>
      </c>
      <c r="G202">
        <v>1</v>
      </c>
      <c r="H202">
        <v>203.52044672144405</v>
      </c>
      <c r="I202">
        <v>0</v>
      </c>
      <c r="J202">
        <v>1</v>
      </c>
      <c r="K202">
        <v>0</v>
      </c>
      <c r="M202">
        <v>51.662725240941604</v>
      </c>
      <c r="N202">
        <v>103.83696261298164</v>
      </c>
      <c r="O202">
        <v>0</v>
      </c>
      <c r="P202">
        <v>1</v>
      </c>
      <c r="Q202">
        <v>0</v>
      </c>
      <c r="R202">
        <v>1</v>
      </c>
      <c r="S202">
        <v>1</v>
      </c>
      <c r="T202">
        <v>0</v>
      </c>
      <c r="U202">
        <v>0</v>
      </c>
      <c r="V202">
        <v>3</v>
      </c>
      <c r="W202">
        <v>1</v>
      </c>
      <c r="AA202">
        <v>1</v>
      </c>
      <c r="AC202">
        <v>0</v>
      </c>
      <c r="AD202">
        <v>0</v>
      </c>
      <c r="AE202">
        <v>0</v>
      </c>
      <c r="AF202">
        <v>0</v>
      </c>
      <c r="AG202">
        <v>0</v>
      </c>
      <c r="AH202">
        <v>189</v>
      </c>
      <c r="AI202">
        <v>0</v>
      </c>
      <c r="AJ202">
        <v>1</v>
      </c>
    </row>
    <row r="203" spans="1:36" x14ac:dyDescent="0.2">
      <c r="A203" t="str">
        <f>+VLOOKUP(B203,studies!$A$2:$C$102,3)</f>
        <v>Newell &amp; Pizer (2003)</v>
      </c>
      <c r="B203">
        <v>32</v>
      </c>
      <c r="C203">
        <v>2003</v>
      </c>
      <c r="D203">
        <v>1</v>
      </c>
      <c r="E203">
        <v>1989</v>
      </c>
      <c r="F203">
        <v>2000</v>
      </c>
      <c r="G203">
        <v>0.1</v>
      </c>
      <c r="H203">
        <v>15.983259821387531</v>
      </c>
      <c r="I203">
        <v>0</v>
      </c>
      <c r="J203">
        <v>1</v>
      </c>
      <c r="K203">
        <v>0</v>
      </c>
      <c r="L203" t="s">
        <v>238</v>
      </c>
      <c r="M203" t="s">
        <v>238</v>
      </c>
      <c r="N203" t="s">
        <v>238</v>
      </c>
      <c r="O203">
        <v>0</v>
      </c>
      <c r="P203">
        <v>1</v>
      </c>
      <c r="Q203">
        <v>0</v>
      </c>
      <c r="R203">
        <v>1</v>
      </c>
      <c r="S203">
        <v>0</v>
      </c>
      <c r="T203">
        <v>0</v>
      </c>
      <c r="U203">
        <v>0</v>
      </c>
      <c r="V203">
        <v>4</v>
      </c>
      <c r="W203">
        <v>2</v>
      </c>
      <c r="AA203">
        <v>0</v>
      </c>
      <c r="AC203">
        <v>0</v>
      </c>
      <c r="AD203">
        <v>0</v>
      </c>
      <c r="AE203">
        <v>0</v>
      </c>
      <c r="AF203">
        <v>0</v>
      </c>
      <c r="AG203">
        <v>0</v>
      </c>
      <c r="AH203">
        <v>309</v>
      </c>
      <c r="AI203">
        <v>2.2599999999999998</v>
      </c>
      <c r="AJ203">
        <v>9</v>
      </c>
    </row>
    <row r="204" spans="1:36" x14ac:dyDescent="0.2">
      <c r="A204" t="str">
        <f>+VLOOKUP(B204,studies!$A$2:$C$102,3)</f>
        <v>Newell &amp; Pizer (2003)</v>
      </c>
      <c r="B204">
        <v>32</v>
      </c>
      <c r="C204">
        <v>2003</v>
      </c>
      <c r="D204">
        <v>1</v>
      </c>
      <c r="E204">
        <v>1989</v>
      </c>
      <c r="F204">
        <v>2000</v>
      </c>
      <c r="G204">
        <v>0.2</v>
      </c>
      <c r="H204">
        <v>29.070598002663033</v>
      </c>
      <c r="I204">
        <v>0</v>
      </c>
      <c r="J204">
        <v>1</v>
      </c>
      <c r="K204">
        <v>0</v>
      </c>
      <c r="L204" t="s">
        <v>238</v>
      </c>
      <c r="M204" t="s">
        <v>238</v>
      </c>
      <c r="N204" t="s">
        <v>238</v>
      </c>
      <c r="O204">
        <v>0</v>
      </c>
      <c r="P204">
        <v>1</v>
      </c>
      <c r="Q204">
        <v>0</v>
      </c>
      <c r="R204">
        <v>1</v>
      </c>
      <c r="S204">
        <v>0</v>
      </c>
      <c r="T204">
        <v>0</v>
      </c>
      <c r="U204">
        <v>0</v>
      </c>
      <c r="W204">
        <v>2</v>
      </c>
      <c r="AA204">
        <v>0</v>
      </c>
      <c r="AC204">
        <v>0</v>
      </c>
      <c r="AD204">
        <v>0</v>
      </c>
      <c r="AE204">
        <v>0</v>
      </c>
      <c r="AF204">
        <v>0</v>
      </c>
      <c r="AG204">
        <v>0</v>
      </c>
      <c r="AH204">
        <v>309</v>
      </c>
      <c r="AI204">
        <v>2.2599999999999998</v>
      </c>
      <c r="AJ204">
        <v>9</v>
      </c>
    </row>
    <row r="205" spans="1:36" x14ac:dyDescent="0.2">
      <c r="A205" t="str">
        <f>+VLOOKUP(B205,studies!$A$2:$C$102,3)</f>
        <v>Newell &amp; Pizer (2003)</v>
      </c>
      <c r="B205">
        <v>32</v>
      </c>
      <c r="C205">
        <v>2003</v>
      </c>
      <c r="D205">
        <v>1</v>
      </c>
      <c r="E205">
        <v>1989</v>
      </c>
      <c r="F205">
        <v>2000</v>
      </c>
      <c r="G205">
        <v>0.2</v>
      </c>
      <c r="H205">
        <v>18.15520105147155</v>
      </c>
      <c r="I205">
        <v>0</v>
      </c>
      <c r="J205">
        <v>1</v>
      </c>
      <c r="K205">
        <v>0</v>
      </c>
      <c r="L205" t="s">
        <v>238</v>
      </c>
      <c r="M205" t="s">
        <v>238</v>
      </c>
      <c r="N205" t="s">
        <v>238</v>
      </c>
      <c r="O205">
        <v>0</v>
      </c>
      <c r="P205">
        <v>1</v>
      </c>
      <c r="Q205">
        <v>0</v>
      </c>
      <c r="R205">
        <v>1</v>
      </c>
      <c r="S205">
        <v>0</v>
      </c>
      <c r="T205">
        <v>0</v>
      </c>
      <c r="U205">
        <v>0</v>
      </c>
      <c r="W205">
        <v>2</v>
      </c>
      <c r="AA205">
        <v>0</v>
      </c>
      <c r="AC205">
        <v>0</v>
      </c>
      <c r="AD205">
        <v>0</v>
      </c>
      <c r="AE205">
        <v>0</v>
      </c>
      <c r="AF205">
        <v>0</v>
      </c>
      <c r="AG205">
        <v>0</v>
      </c>
      <c r="AH205">
        <v>309</v>
      </c>
      <c r="AI205">
        <v>2.2599999999999998</v>
      </c>
      <c r="AJ205">
        <v>9</v>
      </c>
    </row>
    <row r="206" spans="1:36" x14ac:dyDescent="0.2">
      <c r="A206" t="str">
        <f>+VLOOKUP(B206,studies!$A$2:$C$102,3)</f>
        <v>Newell &amp; Pizer (2003)</v>
      </c>
      <c r="B206">
        <v>32</v>
      </c>
      <c r="C206">
        <v>2003</v>
      </c>
      <c r="D206">
        <v>1</v>
      </c>
      <c r="E206">
        <v>1989</v>
      </c>
      <c r="F206">
        <v>2000</v>
      </c>
      <c r="G206">
        <v>0.05</v>
      </c>
      <c r="H206">
        <v>60.508055038109937</v>
      </c>
      <c r="I206">
        <v>0</v>
      </c>
      <c r="J206">
        <v>1</v>
      </c>
      <c r="K206">
        <v>0</v>
      </c>
      <c r="L206" t="s">
        <v>238</v>
      </c>
      <c r="M206" t="s">
        <v>238</v>
      </c>
      <c r="N206" t="s">
        <v>238</v>
      </c>
      <c r="O206">
        <v>0</v>
      </c>
      <c r="P206">
        <v>1</v>
      </c>
      <c r="Q206">
        <v>0</v>
      </c>
      <c r="R206">
        <v>1</v>
      </c>
      <c r="S206">
        <v>0</v>
      </c>
      <c r="T206">
        <v>0</v>
      </c>
      <c r="U206">
        <v>0</v>
      </c>
      <c r="V206">
        <v>2</v>
      </c>
      <c r="W206">
        <v>0</v>
      </c>
      <c r="AA206">
        <v>0</v>
      </c>
      <c r="AC206">
        <v>0</v>
      </c>
      <c r="AD206">
        <v>0</v>
      </c>
      <c r="AE206">
        <v>0</v>
      </c>
      <c r="AF206">
        <v>0</v>
      </c>
      <c r="AG206">
        <v>0</v>
      </c>
      <c r="AH206">
        <v>309</v>
      </c>
      <c r="AI206">
        <v>2.2599999999999998</v>
      </c>
      <c r="AJ206">
        <v>9</v>
      </c>
    </row>
    <row r="207" spans="1:36" x14ac:dyDescent="0.2">
      <c r="A207" t="str">
        <f>+VLOOKUP(B207,studies!$A$2:$C$102,3)</f>
        <v>Newell &amp; Pizer (2003)</v>
      </c>
      <c r="B207">
        <v>32</v>
      </c>
      <c r="C207">
        <v>2003</v>
      </c>
      <c r="D207">
        <v>1</v>
      </c>
      <c r="E207">
        <v>1989</v>
      </c>
      <c r="F207">
        <v>2000</v>
      </c>
      <c r="G207">
        <v>0.1</v>
      </c>
      <c r="H207">
        <v>94.228834905183632</v>
      </c>
      <c r="I207">
        <v>0</v>
      </c>
      <c r="J207">
        <v>1</v>
      </c>
      <c r="K207">
        <v>0</v>
      </c>
      <c r="L207" t="s">
        <v>238</v>
      </c>
      <c r="M207" t="s">
        <v>238</v>
      </c>
      <c r="N207" t="s">
        <v>238</v>
      </c>
      <c r="O207">
        <v>0</v>
      </c>
      <c r="P207">
        <v>1</v>
      </c>
      <c r="Q207">
        <v>0</v>
      </c>
      <c r="R207">
        <v>1</v>
      </c>
      <c r="S207">
        <v>0</v>
      </c>
      <c r="T207">
        <v>0</v>
      </c>
      <c r="U207">
        <v>0</v>
      </c>
      <c r="W207">
        <v>0</v>
      </c>
      <c r="AA207">
        <v>0</v>
      </c>
      <c r="AC207">
        <v>0</v>
      </c>
      <c r="AD207">
        <v>0</v>
      </c>
      <c r="AE207">
        <v>0</v>
      </c>
      <c r="AF207">
        <v>0</v>
      </c>
      <c r="AG207">
        <v>0</v>
      </c>
      <c r="AH207">
        <v>309</v>
      </c>
      <c r="AI207">
        <v>2.2599999999999998</v>
      </c>
      <c r="AJ207">
        <v>9</v>
      </c>
    </row>
    <row r="208" spans="1:36" x14ac:dyDescent="0.2">
      <c r="A208" t="str">
        <f>+VLOOKUP(B208,studies!$A$2:$C$102,3)</f>
        <v>Newell &amp; Pizer (2003)</v>
      </c>
      <c r="B208">
        <v>32</v>
      </c>
      <c r="C208">
        <v>2003</v>
      </c>
      <c r="D208">
        <v>1</v>
      </c>
      <c r="E208">
        <v>1989</v>
      </c>
      <c r="F208">
        <v>2000</v>
      </c>
      <c r="G208">
        <v>0.1</v>
      </c>
      <c r="H208">
        <v>64.93547369943505</v>
      </c>
      <c r="I208">
        <v>0</v>
      </c>
      <c r="J208">
        <v>1</v>
      </c>
      <c r="K208">
        <v>0</v>
      </c>
      <c r="L208" t="s">
        <v>238</v>
      </c>
      <c r="M208" t="s">
        <v>238</v>
      </c>
      <c r="N208" t="s">
        <v>238</v>
      </c>
      <c r="O208">
        <v>0</v>
      </c>
      <c r="P208">
        <v>1</v>
      </c>
      <c r="Q208">
        <v>0</v>
      </c>
      <c r="R208">
        <v>1</v>
      </c>
      <c r="S208">
        <v>0</v>
      </c>
      <c r="T208">
        <v>0</v>
      </c>
      <c r="U208">
        <v>0</v>
      </c>
      <c r="W208">
        <v>0</v>
      </c>
      <c r="AA208">
        <v>0</v>
      </c>
      <c r="AC208">
        <v>0</v>
      </c>
      <c r="AD208">
        <v>0</v>
      </c>
      <c r="AE208">
        <v>0</v>
      </c>
      <c r="AF208">
        <v>0</v>
      </c>
      <c r="AG208">
        <v>0</v>
      </c>
      <c r="AH208">
        <v>309</v>
      </c>
      <c r="AI208">
        <v>2.2599999999999998</v>
      </c>
      <c r="AJ208">
        <v>9</v>
      </c>
    </row>
    <row r="209" spans="1:36" x14ac:dyDescent="0.2">
      <c r="A209" t="str">
        <f>+VLOOKUP(B209,studies!$A$2:$C$102,3)</f>
        <v>Newell &amp; Pizer (2003)</v>
      </c>
      <c r="B209">
        <v>32</v>
      </c>
      <c r="C209">
        <v>2003</v>
      </c>
      <c r="D209">
        <v>1</v>
      </c>
      <c r="E209">
        <v>1989</v>
      </c>
      <c r="F209">
        <v>2000</v>
      </c>
      <c r="G209">
        <v>0.05</v>
      </c>
      <c r="H209">
        <v>4.1211192570824995</v>
      </c>
      <c r="I209">
        <v>0</v>
      </c>
      <c r="J209">
        <v>1</v>
      </c>
      <c r="K209">
        <v>0</v>
      </c>
      <c r="L209" t="s">
        <v>238</v>
      </c>
      <c r="M209" t="s">
        <v>238</v>
      </c>
      <c r="N209" t="s">
        <v>238</v>
      </c>
      <c r="O209">
        <v>0</v>
      </c>
      <c r="P209">
        <v>1</v>
      </c>
      <c r="Q209">
        <v>0</v>
      </c>
      <c r="R209">
        <v>1</v>
      </c>
      <c r="S209">
        <v>0</v>
      </c>
      <c r="T209">
        <v>0</v>
      </c>
      <c r="U209">
        <v>0</v>
      </c>
      <c r="V209">
        <v>7</v>
      </c>
      <c r="W209">
        <v>5</v>
      </c>
      <c r="AA209">
        <v>0</v>
      </c>
      <c r="AC209">
        <v>0</v>
      </c>
      <c r="AD209">
        <v>0</v>
      </c>
      <c r="AE209">
        <v>0</v>
      </c>
      <c r="AF209">
        <v>0</v>
      </c>
      <c r="AG209">
        <v>0</v>
      </c>
      <c r="AH209">
        <v>309</v>
      </c>
      <c r="AI209">
        <v>2.2599999999999998</v>
      </c>
      <c r="AJ209">
        <v>9</v>
      </c>
    </row>
    <row r="210" spans="1:36" x14ac:dyDescent="0.2">
      <c r="A210" t="str">
        <f>+VLOOKUP(B210,studies!$A$2:$C$102,3)</f>
        <v>Newell &amp; Pizer (2003)</v>
      </c>
      <c r="B210">
        <v>32</v>
      </c>
      <c r="C210">
        <v>2003</v>
      </c>
      <c r="D210">
        <v>1</v>
      </c>
      <c r="E210">
        <v>1989</v>
      </c>
      <c r="F210">
        <v>2000</v>
      </c>
      <c r="G210">
        <v>0.1</v>
      </c>
      <c r="H210">
        <v>8.0194753110794572</v>
      </c>
      <c r="I210">
        <v>0</v>
      </c>
      <c r="J210">
        <v>1</v>
      </c>
      <c r="K210">
        <v>0</v>
      </c>
      <c r="L210" t="s">
        <v>238</v>
      </c>
      <c r="M210" t="s">
        <v>238</v>
      </c>
      <c r="N210" t="s">
        <v>238</v>
      </c>
      <c r="O210">
        <v>0</v>
      </c>
      <c r="P210">
        <v>1</v>
      </c>
      <c r="Q210">
        <v>0</v>
      </c>
      <c r="R210">
        <v>1</v>
      </c>
      <c r="S210">
        <v>0</v>
      </c>
      <c r="T210">
        <v>0</v>
      </c>
      <c r="U210">
        <v>0</v>
      </c>
      <c r="W210">
        <v>5</v>
      </c>
      <c r="AA210">
        <v>0</v>
      </c>
      <c r="AC210">
        <v>0</v>
      </c>
      <c r="AD210">
        <v>0</v>
      </c>
      <c r="AE210">
        <v>0</v>
      </c>
      <c r="AF210">
        <v>0</v>
      </c>
      <c r="AG210">
        <v>0</v>
      </c>
      <c r="AH210">
        <v>309</v>
      </c>
      <c r="AI210">
        <v>2.2599999999999998</v>
      </c>
      <c r="AJ210">
        <v>9</v>
      </c>
    </row>
    <row r="211" spans="1:36" x14ac:dyDescent="0.2">
      <c r="A211" t="str">
        <f>+VLOOKUP(B211,studies!$A$2:$C$102,3)</f>
        <v>Newell &amp; Pizer (2003)</v>
      </c>
      <c r="B211">
        <v>32</v>
      </c>
      <c r="C211">
        <v>2003</v>
      </c>
      <c r="D211">
        <v>1</v>
      </c>
      <c r="E211">
        <v>1989</v>
      </c>
      <c r="F211">
        <v>2000</v>
      </c>
      <c r="G211">
        <v>0.1</v>
      </c>
      <c r="H211">
        <v>4.9843266690389685</v>
      </c>
      <c r="I211">
        <v>0</v>
      </c>
      <c r="J211">
        <v>1</v>
      </c>
      <c r="K211">
        <v>0</v>
      </c>
      <c r="L211" t="s">
        <v>238</v>
      </c>
      <c r="M211" t="s">
        <v>238</v>
      </c>
      <c r="N211" t="s">
        <v>238</v>
      </c>
      <c r="O211">
        <v>0</v>
      </c>
      <c r="P211">
        <v>1</v>
      </c>
      <c r="Q211">
        <v>0</v>
      </c>
      <c r="R211">
        <v>1</v>
      </c>
      <c r="S211">
        <v>0</v>
      </c>
      <c r="T211">
        <v>0</v>
      </c>
      <c r="U211">
        <v>0</v>
      </c>
      <c r="W211">
        <v>5</v>
      </c>
      <c r="AA211">
        <v>0</v>
      </c>
      <c r="AC211">
        <v>0</v>
      </c>
      <c r="AD211">
        <v>0</v>
      </c>
      <c r="AE211">
        <v>0</v>
      </c>
      <c r="AF211">
        <v>0</v>
      </c>
      <c r="AG211">
        <v>0</v>
      </c>
      <c r="AH211">
        <v>309</v>
      </c>
      <c r="AI211">
        <v>2.2599999999999998</v>
      </c>
      <c r="AJ211">
        <v>9</v>
      </c>
    </row>
    <row r="212" spans="1:36" x14ac:dyDescent="0.2">
      <c r="A212" t="str">
        <f>+VLOOKUP(B212,studies!$A$2:$C$102,3)</f>
        <v>Pearce (2003)</v>
      </c>
      <c r="B212">
        <v>33</v>
      </c>
      <c r="C212">
        <v>2003</v>
      </c>
      <c r="D212">
        <v>1</v>
      </c>
      <c r="E212">
        <v>2000</v>
      </c>
      <c r="F212">
        <v>2000</v>
      </c>
      <c r="G212">
        <v>1</v>
      </c>
      <c r="H212">
        <v>51.799128475901185</v>
      </c>
      <c r="I212">
        <v>0</v>
      </c>
      <c r="J212">
        <v>1</v>
      </c>
      <c r="K212">
        <v>0</v>
      </c>
      <c r="L212" t="s">
        <v>238</v>
      </c>
      <c r="M212">
        <v>19.607965025439881</v>
      </c>
      <c r="N212">
        <v>19.607965025439885</v>
      </c>
      <c r="O212">
        <v>0</v>
      </c>
      <c r="P212">
        <v>1</v>
      </c>
      <c r="Q212">
        <v>0</v>
      </c>
      <c r="R212">
        <v>1</v>
      </c>
      <c r="S212">
        <v>0</v>
      </c>
      <c r="T212">
        <v>1</v>
      </c>
      <c r="U212">
        <v>0</v>
      </c>
      <c r="V212">
        <v>3</v>
      </c>
      <c r="W212">
        <v>1</v>
      </c>
      <c r="AA212">
        <v>1</v>
      </c>
      <c r="AC212">
        <v>0</v>
      </c>
      <c r="AD212">
        <v>0</v>
      </c>
      <c r="AE212">
        <v>0</v>
      </c>
      <c r="AF212">
        <v>0</v>
      </c>
      <c r="AG212">
        <v>0</v>
      </c>
      <c r="AH212">
        <v>297</v>
      </c>
      <c r="AI212">
        <v>0.46</v>
      </c>
      <c r="AJ212">
        <v>1</v>
      </c>
    </row>
    <row r="213" spans="1:36" x14ac:dyDescent="0.2">
      <c r="A213" t="str">
        <f>+VLOOKUP(B213,studies!$A$2:$C$102,3)</f>
        <v>Uzawa (2003)</v>
      </c>
      <c r="B213">
        <v>34</v>
      </c>
      <c r="C213">
        <v>2003</v>
      </c>
      <c r="D213">
        <v>0</v>
      </c>
      <c r="E213">
        <v>2000</v>
      </c>
      <c r="F213">
        <v>2000</v>
      </c>
      <c r="G213">
        <v>1</v>
      </c>
      <c r="H213">
        <v>322.22399791267043</v>
      </c>
      <c r="I213">
        <v>0</v>
      </c>
      <c r="J213">
        <v>1</v>
      </c>
      <c r="K213">
        <v>0</v>
      </c>
      <c r="L213" t="s">
        <v>238</v>
      </c>
      <c r="M213" t="s">
        <v>238</v>
      </c>
      <c r="N213" t="s">
        <v>238</v>
      </c>
      <c r="O213">
        <v>1</v>
      </c>
      <c r="P213">
        <v>0</v>
      </c>
      <c r="Q213">
        <v>0</v>
      </c>
      <c r="R213">
        <v>0</v>
      </c>
      <c r="S213">
        <v>0</v>
      </c>
      <c r="T213">
        <v>0</v>
      </c>
      <c r="U213">
        <v>0</v>
      </c>
      <c r="W213">
        <v>0</v>
      </c>
      <c r="AA213">
        <v>0</v>
      </c>
      <c r="AC213">
        <v>0</v>
      </c>
      <c r="AD213">
        <v>0</v>
      </c>
      <c r="AE213">
        <v>0</v>
      </c>
      <c r="AF213">
        <v>0</v>
      </c>
      <c r="AG213">
        <v>0</v>
      </c>
      <c r="AH213">
        <v>118</v>
      </c>
      <c r="AI213">
        <v>0</v>
      </c>
      <c r="AJ213">
        <v>1</v>
      </c>
    </row>
    <row r="214" spans="1:36" x14ac:dyDescent="0.2">
      <c r="A214" t="str">
        <f>+VLOOKUP(B214,studies!$A$2:$C$102,3)</f>
        <v>Cline (2004)</v>
      </c>
      <c r="B214">
        <v>35</v>
      </c>
      <c r="C214">
        <v>2004</v>
      </c>
      <c r="D214">
        <v>0</v>
      </c>
      <c r="E214">
        <v>1990</v>
      </c>
      <c r="F214">
        <v>1995</v>
      </c>
      <c r="G214">
        <v>0.23529411764705882</v>
      </c>
      <c r="H214">
        <v>394.13521326226663</v>
      </c>
      <c r="I214">
        <v>0</v>
      </c>
      <c r="J214">
        <v>1</v>
      </c>
      <c r="K214">
        <v>0</v>
      </c>
      <c r="L214" t="s">
        <v>238</v>
      </c>
      <c r="M214" t="s">
        <v>238</v>
      </c>
      <c r="N214" t="s">
        <v>238</v>
      </c>
      <c r="O214">
        <v>0</v>
      </c>
      <c r="P214">
        <v>1</v>
      </c>
      <c r="Q214">
        <v>0</v>
      </c>
      <c r="R214">
        <v>1</v>
      </c>
      <c r="S214">
        <v>0</v>
      </c>
      <c r="T214">
        <v>1</v>
      </c>
      <c r="U214">
        <v>0</v>
      </c>
      <c r="W214">
        <v>0</v>
      </c>
      <c r="AA214">
        <v>0</v>
      </c>
      <c r="AC214">
        <v>0</v>
      </c>
      <c r="AD214">
        <v>0</v>
      </c>
      <c r="AE214">
        <v>0</v>
      </c>
      <c r="AF214">
        <v>0</v>
      </c>
      <c r="AG214">
        <v>0</v>
      </c>
      <c r="AH214">
        <v>59</v>
      </c>
      <c r="AI214">
        <v>0</v>
      </c>
      <c r="AJ214">
        <v>9</v>
      </c>
    </row>
    <row r="215" spans="1:36" x14ac:dyDescent="0.2">
      <c r="A215" t="str">
        <f>+VLOOKUP(B215,studies!$A$2:$C$102,3)</f>
        <v>Cline (2004)</v>
      </c>
      <c r="B215">
        <v>35</v>
      </c>
      <c r="C215">
        <v>2004</v>
      </c>
      <c r="D215">
        <v>0</v>
      </c>
      <c r="E215">
        <v>1990</v>
      </c>
      <c r="F215">
        <v>2005</v>
      </c>
      <c r="G215">
        <v>1.1764705882352941E-2</v>
      </c>
      <c r="H215">
        <v>1019.9441107590814</v>
      </c>
      <c r="I215">
        <v>0</v>
      </c>
      <c r="J215">
        <v>1</v>
      </c>
      <c r="K215">
        <v>0</v>
      </c>
      <c r="L215" t="s">
        <v>238</v>
      </c>
      <c r="M215" t="s">
        <v>238</v>
      </c>
      <c r="N215" t="s">
        <v>238</v>
      </c>
      <c r="O215">
        <v>0</v>
      </c>
      <c r="P215">
        <v>1</v>
      </c>
      <c r="Q215">
        <v>0</v>
      </c>
      <c r="R215">
        <v>1</v>
      </c>
      <c r="S215">
        <v>0</v>
      </c>
      <c r="T215">
        <v>1</v>
      </c>
      <c r="U215">
        <v>0</v>
      </c>
      <c r="W215">
        <v>0</v>
      </c>
      <c r="AA215">
        <v>0</v>
      </c>
      <c r="AC215">
        <v>0</v>
      </c>
      <c r="AD215">
        <v>0</v>
      </c>
      <c r="AE215">
        <v>0</v>
      </c>
      <c r="AF215">
        <v>0</v>
      </c>
      <c r="AG215">
        <v>0</v>
      </c>
      <c r="AH215">
        <v>59</v>
      </c>
      <c r="AI215">
        <v>0</v>
      </c>
      <c r="AJ215">
        <v>9</v>
      </c>
    </row>
    <row r="216" spans="1:36" x14ac:dyDescent="0.2">
      <c r="A216" t="str">
        <f>+VLOOKUP(B216,studies!$A$2:$C$102,3)</f>
        <v>Cline (2004)</v>
      </c>
      <c r="B216">
        <v>35</v>
      </c>
      <c r="C216">
        <v>2004</v>
      </c>
      <c r="D216">
        <v>0</v>
      </c>
      <c r="E216">
        <v>1990</v>
      </c>
      <c r="F216">
        <v>2005</v>
      </c>
      <c r="G216">
        <v>1.1764705882352941E-2</v>
      </c>
      <c r="H216">
        <v>72.529358987312449</v>
      </c>
      <c r="I216">
        <v>0</v>
      </c>
      <c r="J216">
        <v>1</v>
      </c>
      <c r="K216">
        <v>0</v>
      </c>
      <c r="L216" t="s">
        <v>238</v>
      </c>
      <c r="M216" t="s">
        <v>238</v>
      </c>
      <c r="N216" t="s">
        <v>238</v>
      </c>
      <c r="O216">
        <v>0</v>
      </c>
      <c r="P216">
        <v>1</v>
      </c>
      <c r="Q216">
        <v>0</v>
      </c>
      <c r="R216">
        <v>1</v>
      </c>
      <c r="S216">
        <v>0</v>
      </c>
      <c r="T216">
        <v>1</v>
      </c>
      <c r="U216">
        <v>0</v>
      </c>
      <c r="W216">
        <v>0</v>
      </c>
      <c r="AA216">
        <v>0</v>
      </c>
      <c r="AC216">
        <v>0</v>
      </c>
      <c r="AD216">
        <v>0</v>
      </c>
      <c r="AE216">
        <v>0</v>
      </c>
      <c r="AF216">
        <v>0</v>
      </c>
      <c r="AG216">
        <v>0</v>
      </c>
      <c r="AH216">
        <v>59</v>
      </c>
      <c r="AI216">
        <v>0</v>
      </c>
      <c r="AJ216">
        <v>9</v>
      </c>
    </row>
    <row r="217" spans="1:36" x14ac:dyDescent="0.2">
      <c r="A217" t="str">
        <f>+VLOOKUP(B217,studies!$A$2:$C$102,3)</f>
        <v>Cline (2004)</v>
      </c>
      <c r="B217">
        <v>35</v>
      </c>
      <c r="C217">
        <v>2004</v>
      </c>
      <c r="D217">
        <v>0</v>
      </c>
      <c r="E217">
        <v>1990</v>
      </c>
      <c r="F217">
        <v>2025</v>
      </c>
      <c r="G217">
        <v>0.23529411764705882</v>
      </c>
      <c r="H217">
        <v>110.52577166480931</v>
      </c>
      <c r="I217">
        <v>0</v>
      </c>
      <c r="J217">
        <v>1</v>
      </c>
      <c r="K217">
        <v>0</v>
      </c>
      <c r="L217" t="s">
        <v>238</v>
      </c>
      <c r="M217" t="s">
        <v>238</v>
      </c>
      <c r="N217" t="s">
        <v>238</v>
      </c>
      <c r="O217">
        <v>0</v>
      </c>
      <c r="P217">
        <v>1</v>
      </c>
      <c r="Q217">
        <v>0</v>
      </c>
      <c r="R217">
        <v>1</v>
      </c>
      <c r="S217">
        <v>0</v>
      </c>
      <c r="T217">
        <v>1</v>
      </c>
      <c r="U217">
        <v>0</v>
      </c>
      <c r="W217">
        <v>1</v>
      </c>
      <c r="AA217">
        <v>0</v>
      </c>
      <c r="AC217">
        <v>0</v>
      </c>
      <c r="AD217">
        <v>0</v>
      </c>
      <c r="AE217">
        <v>0</v>
      </c>
      <c r="AF217">
        <v>0</v>
      </c>
      <c r="AG217">
        <v>0</v>
      </c>
      <c r="AH217">
        <v>59</v>
      </c>
      <c r="AI217">
        <v>0</v>
      </c>
      <c r="AJ217">
        <v>9</v>
      </c>
    </row>
    <row r="218" spans="1:36" x14ac:dyDescent="0.2">
      <c r="A218" t="str">
        <f>+VLOOKUP(B218,studies!$A$2:$C$102,3)</f>
        <v>Cline (2004)</v>
      </c>
      <c r="B218">
        <v>35</v>
      </c>
      <c r="C218">
        <v>2004</v>
      </c>
      <c r="D218">
        <v>0</v>
      </c>
      <c r="E218">
        <v>1990</v>
      </c>
      <c r="F218">
        <v>2025</v>
      </c>
      <c r="G218">
        <v>0.23529411764705882</v>
      </c>
      <c r="H218">
        <v>55.262885832404656</v>
      </c>
      <c r="I218">
        <v>0</v>
      </c>
      <c r="J218">
        <v>1</v>
      </c>
      <c r="K218">
        <v>0</v>
      </c>
      <c r="L218" t="s">
        <v>238</v>
      </c>
      <c r="M218" t="s">
        <v>238</v>
      </c>
      <c r="N218" t="s">
        <v>238</v>
      </c>
      <c r="O218">
        <v>0</v>
      </c>
      <c r="P218">
        <v>1</v>
      </c>
      <c r="Q218">
        <v>0</v>
      </c>
      <c r="R218">
        <v>1</v>
      </c>
      <c r="S218">
        <v>0</v>
      </c>
      <c r="T218">
        <v>1</v>
      </c>
      <c r="U218">
        <v>0</v>
      </c>
      <c r="W218">
        <v>2</v>
      </c>
      <c r="AA218">
        <v>0</v>
      </c>
      <c r="AC218">
        <v>0</v>
      </c>
      <c r="AD218">
        <v>0</v>
      </c>
      <c r="AE218">
        <v>0</v>
      </c>
      <c r="AF218">
        <v>0</v>
      </c>
      <c r="AG218">
        <v>0</v>
      </c>
      <c r="AH218">
        <v>59</v>
      </c>
      <c r="AI218">
        <v>0</v>
      </c>
      <c r="AJ218">
        <v>9</v>
      </c>
    </row>
    <row r="219" spans="1:36" x14ac:dyDescent="0.2">
      <c r="A219" t="str">
        <f>+VLOOKUP(B219,studies!$A$2:$C$102,3)</f>
        <v>Cline (2004)</v>
      </c>
      <c r="B219">
        <v>35</v>
      </c>
      <c r="C219">
        <v>2004</v>
      </c>
      <c r="D219">
        <v>0</v>
      </c>
      <c r="E219">
        <v>1990</v>
      </c>
      <c r="F219">
        <v>2025</v>
      </c>
      <c r="G219">
        <v>0.23529411764705882</v>
      </c>
      <c r="H219">
        <v>31.929667369833801</v>
      </c>
      <c r="I219">
        <v>0</v>
      </c>
      <c r="J219">
        <v>1</v>
      </c>
      <c r="K219">
        <v>0</v>
      </c>
      <c r="L219" t="s">
        <v>238</v>
      </c>
      <c r="M219" t="s">
        <v>238</v>
      </c>
      <c r="N219" t="s">
        <v>238</v>
      </c>
      <c r="O219">
        <v>0</v>
      </c>
      <c r="P219">
        <v>1</v>
      </c>
      <c r="Q219">
        <v>0</v>
      </c>
      <c r="R219">
        <v>1</v>
      </c>
      <c r="S219">
        <v>0</v>
      </c>
      <c r="T219">
        <v>1</v>
      </c>
      <c r="U219">
        <v>0</v>
      </c>
      <c r="W219">
        <v>3</v>
      </c>
      <c r="AA219">
        <v>0</v>
      </c>
      <c r="AC219">
        <v>0</v>
      </c>
      <c r="AD219">
        <v>0</v>
      </c>
      <c r="AE219">
        <v>0</v>
      </c>
      <c r="AF219">
        <v>0</v>
      </c>
      <c r="AG219">
        <v>0</v>
      </c>
      <c r="AH219">
        <v>59</v>
      </c>
      <c r="AI219">
        <v>0</v>
      </c>
      <c r="AJ219">
        <v>9</v>
      </c>
    </row>
    <row r="220" spans="1:36" x14ac:dyDescent="0.2">
      <c r="A220" t="str">
        <f>+VLOOKUP(B220,studies!$A$2:$C$102,3)</f>
        <v>Cline (2004)</v>
      </c>
      <c r="B220">
        <v>35</v>
      </c>
      <c r="C220">
        <v>2004</v>
      </c>
      <c r="D220">
        <v>0</v>
      </c>
      <c r="E220">
        <v>1990</v>
      </c>
      <c r="F220">
        <v>2025</v>
      </c>
      <c r="G220">
        <v>1.1764705882352941E-2</v>
      </c>
      <c r="H220">
        <v>416.31373993744836</v>
      </c>
      <c r="I220">
        <v>0</v>
      </c>
      <c r="J220">
        <v>1</v>
      </c>
      <c r="K220">
        <v>0</v>
      </c>
      <c r="L220" t="s">
        <v>238</v>
      </c>
      <c r="M220" t="s">
        <v>238</v>
      </c>
      <c r="N220" t="s">
        <v>238</v>
      </c>
      <c r="O220">
        <v>0</v>
      </c>
      <c r="P220">
        <v>1</v>
      </c>
      <c r="Q220">
        <v>0</v>
      </c>
      <c r="R220">
        <v>1</v>
      </c>
      <c r="S220">
        <v>0</v>
      </c>
      <c r="T220">
        <v>1</v>
      </c>
      <c r="U220">
        <v>0</v>
      </c>
      <c r="W220">
        <v>1</v>
      </c>
      <c r="AA220">
        <v>0</v>
      </c>
      <c r="AC220">
        <v>0</v>
      </c>
      <c r="AD220">
        <v>0</v>
      </c>
      <c r="AE220">
        <v>0</v>
      </c>
      <c r="AF220">
        <v>0</v>
      </c>
      <c r="AG220">
        <v>0</v>
      </c>
      <c r="AH220">
        <v>59</v>
      </c>
      <c r="AI220">
        <v>0</v>
      </c>
      <c r="AJ220">
        <v>9</v>
      </c>
    </row>
    <row r="221" spans="1:36" x14ac:dyDescent="0.2">
      <c r="A221" t="str">
        <f>+VLOOKUP(B221,studies!$A$2:$C$102,3)</f>
        <v>Cline (2004)</v>
      </c>
      <c r="B221">
        <v>35</v>
      </c>
      <c r="C221">
        <v>2004</v>
      </c>
      <c r="D221">
        <v>0</v>
      </c>
      <c r="E221">
        <v>1990</v>
      </c>
      <c r="F221">
        <v>2025</v>
      </c>
      <c r="G221">
        <v>1.1764705882352941E-2</v>
      </c>
      <c r="H221">
        <v>170.70091401564991</v>
      </c>
      <c r="I221">
        <v>0</v>
      </c>
      <c r="J221">
        <v>1</v>
      </c>
      <c r="K221">
        <v>0</v>
      </c>
      <c r="L221" t="s">
        <v>238</v>
      </c>
      <c r="M221" t="s">
        <v>238</v>
      </c>
      <c r="N221" t="s">
        <v>238</v>
      </c>
      <c r="O221">
        <v>0</v>
      </c>
      <c r="P221">
        <v>1</v>
      </c>
      <c r="Q221">
        <v>0</v>
      </c>
      <c r="R221">
        <v>1</v>
      </c>
      <c r="S221">
        <v>0</v>
      </c>
      <c r="T221">
        <v>1</v>
      </c>
      <c r="U221">
        <v>0</v>
      </c>
      <c r="W221">
        <v>2</v>
      </c>
      <c r="AA221">
        <v>0</v>
      </c>
      <c r="AC221">
        <v>0</v>
      </c>
      <c r="AD221">
        <v>0</v>
      </c>
      <c r="AE221">
        <v>0</v>
      </c>
      <c r="AF221">
        <v>0</v>
      </c>
      <c r="AG221">
        <v>0</v>
      </c>
      <c r="AH221">
        <v>59</v>
      </c>
      <c r="AI221">
        <v>0</v>
      </c>
      <c r="AJ221">
        <v>9</v>
      </c>
    </row>
    <row r="222" spans="1:36" x14ac:dyDescent="0.2">
      <c r="A222" t="str">
        <f>+VLOOKUP(B222,studies!$A$2:$C$102,3)</f>
        <v>Cline (2004)</v>
      </c>
      <c r="B222">
        <v>35</v>
      </c>
      <c r="C222">
        <v>2004</v>
      </c>
      <c r="D222">
        <v>0</v>
      </c>
      <c r="E222">
        <v>1990</v>
      </c>
      <c r="F222">
        <v>2025</v>
      </c>
      <c r="G222">
        <v>1.1764705882352941E-2</v>
      </c>
      <c r="H222">
        <v>88.420617331847438</v>
      </c>
      <c r="I222">
        <v>0</v>
      </c>
      <c r="J222">
        <v>1</v>
      </c>
      <c r="K222">
        <v>0</v>
      </c>
      <c r="L222" t="s">
        <v>238</v>
      </c>
      <c r="M222" t="s">
        <v>238</v>
      </c>
      <c r="N222" t="s">
        <v>238</v>
      </c>
      <c r="O222">
        <v>0</v>
      </c>
      <c r="P222">
        <v>1</v>
      </c>
      <c r="Q222">
        <v>0</v>
      </c>
      <c r="R222">
        <v>1</v>
      </c>
      <c r="S222">
        <v>0</v>
      </c>
      <c r="T222">
        <v>1</v>
      </c>
      <c r="U222">
        <v>0</v>
      </c>
      <c r="W222">
        <v>3</v>
      </c>
      <c r="AA222">
        <v>0</v>
      </c>
      <c r="AC222">
        <v>0</v>
      </c>
      <c r="AD222">
        <v>0</v>
      </c>
      <c r="AE222">
        <v>0</v>
      </c>
      <c r="AF222">
        <v>0</v>
      </c>
      <c r="AG222">
        <v>0</v>
      </c>
      <c r="AH222">
        <v>59</v>
      </c>
      <c r="AI222">
        <v>0</v>
      </c>
      <c r="AJ222">
        <v>9</v>
      </c>
    </row>
    <row r="223" spans="1:36" x14ac:dyDescent="0.2">
      <c r="A223" t="str">
        <f>+VLOOKUP(B223,studies!$A$2:$C$102,3)</f>
        <v>Hohmeyer (2004)</v>
      </c>
      <c r="B223">
        <v>36</v>
      </c>
      <c r="C223">
        <v>2004</v>
      </c>
      <c r="D223">
        <v>0</v>
      </c>
      <c r="E223">
        <v>1990</v>
      </c>
      <c r="F223">
        <v>1990</v>
      </c>
      <c r="G223">
        <v>0.5</v>
      </c>
      <c r="H223">
        <v>114.84734244836126</v>
      </c>
      <c r="I223">
        <v>0</v>
      </c>
      <c r="J223">
        <v>1</v>
      </c>
      <c r="K223">
        <v>0</v>
      </c>
      <c r="L223" t="s">
        <v>238</v>
      </c>
      <c r="M223" t="s">
        <v>238</v>
      </c>
      <c r="N223" t="s">
        <v>238</v>
      </c>
      <c r="O223">
        <v>0</v>
      </c>
      <c r="P223">
        <v>1</v>
      </c>
      <c r="Q223">
        <v>0</v>
      </c>
      <c r="R223">
        <v>1</v>
      </c>
      <c r="S223">
        <v>0</v>
      </c>
      <c r="T223">
        <v>0</v>
      </c>
      <c r="U223">
        <v>0</v>
      </c>
      <c r="W223">
        <v>1</v>
      </c>
      <c r="AA223">
        <v>0</v>
      </c>
      <c r="AC223">
        <v>0</v>
      </c>
      <c r="AD223">
        <v>0</v>
      </c>
      <c r="AE223">
        <v>0</v>
      </c>
      <c r="AF223">
        <v>0</v>
      </c>
      <c r="AG223">
        <v>0</v>
      </c>
      <c r="AH223">
        <v>3</v>
      </c>
      <c r="AI223">
        <v>0</v>
      </c>
      <c r="AJ223">
        <v>2</v>
      </c>
    </row>
    <row r="224" spans="1:36" x14ac:dyDescent="0.2">
      <c r="A224" t="str">
        <f>+VLOOKUP(B224,studies!$A$2:$C$102,3)</f>
        <v>Hohmeyer (2004)</v>
      </c>
      <c r="B224">
        <v>36</v>
      </c>
      <c r="C224">
        <v>2004</v>
      </c>
      <c r="D224">
        <v>0</v>
      </c>
      <c r="E224">
        <v>1990</v>
      </c>
      <c r="F224">
        <v>1990</v>
      </c>
      <c r="G224">
        <v>0.5</v>
      </c>
      <c r="H224">
        <v>2117.4978763916606</v>
      </c>
      <c r="I224">
        <v>0</v>
      </c>
      <c r="J224">
        <v>1</v>
      </c>
      <c r="K224">
        <v>0</v>
      </c>
      <c r="L224" t="s">
        <v>238</v>
      </c>
      <c r="M224" t="s">
        <v>238</v>
      </c>
      <c r="N224" t="s">
        <v>238</v>
      </c>
      <c r="O224">
        <v>0</v>
      </c>
      <c r="P224">
        <v>1</v>
      </c>
      <c r="Q224">
        <v>0</v>
      </c>
      <c r="R224">
        <v>1</v>
      </c>
      <c r="S224">
        <v>0</v>
      </c>
      <c r="T224">
        <v>0</v>
      </c>
      <c r="U224">
        <v>0</v>
      </c>
      <c r="W224">
        <v>0</v>
      </c>
      <c r="AA224">
        <v>1</v>
      </c>
      <c r="AC224">
        <v>0</v>
      </c>
      <c r="AD224">
        <v>0</v>
      </c>
      <c r="AE224">
        <v>0</v>
      </c>
      <c r="AF224">
        <v>0</v>
      </c>
      <c r="AG224">
        <v>0</v>
      </c>
      <c r="AH224">
        <v>3</v>
      </c>
      <c r="AI224">
        <v>0</v>
      </c>
      <c r="AJ224">
        <v>2</v>
      </c>
    </row>
    <row r="225" spans="1:36" x14ac:dyDescent="0.2">
      <c r="A225" t="str">
        <f>+VLOOKUP(B225,studies!$A$2:$C$102,3)</f>
        <v>Link &amp; Tol (2004)</v>
      </c>
      <c r="B225">
        <v>37</v>
      </c>
      <c r="C225">
        <v>2004</v>
      </c>
      <c r="D225">
        <v>1</v>
      </c>
      <c r="E225">
        <v>1995</v>
      </c>
      <c r="F225">
        <v>2000</v>
      </c>
      <c r="G225">
        <v>0.16500000000000001</v>
      </c>
      <c r="H225">
        <v>178.98526389648578</v>
      </c>
      <c r="I225">
        <v>0</v>
      </c>
      <c r="J225">
        <v>1</v>
      </c>
      <c r="K225">
        <v>0</v>
      </c>
      <c r="L225" t="s">
        <v>238</v>
      </c>
      <c r="M225" t="s">
        <v>238</v>
      </c>
      <c r="N225" t="s">
        <v>238</v>
      </c>
      <c r="O225">
        <v>1</v>
      </c>
      <c r="P225">
        <v>1</v>
      </c>
      <c r="Q225">
        <v>1</v>
      </c>
      <c r="R225">
        <v>1</v>
      </c>
      <c r="S225">
        <v>1</v>
      </c>
      <c r="T225">
        <v>0</v>
      </c>
      <c r="U225">
        <v>0</v>
      </c>
      <c r="W225">
        <v>0</v>
      </c>
      <c r="AA225">
        <v>0</v>
      </c>
      <c r="AC225">
        <v>0</v>
      </c>
      <c r="AD225">
        <v>0</v>
      </c>
      <c r="AE225">
        <v>1</v>
      </c>
      <c r="AF225">
        <v>0</v>
      </c>
      <c r="AG225">
        <v>0</v>
      </c>
      <c r="AH225">
        <v>94</v>
      </c>
      <c r="AI225">
        <v>0.15</v>
      </c>
      <c r="AJ225">
        <v>12</v>
      </c>
    </row>
    <row r="226" spans="1:36" x14ac:dyDescent="0.2">
      <c r="A226" t="str">
        <f>+VLOOKUP(B226,studies!$A$2:$C$102,3)</f>
        <v>Link &amp; Tol (2004)</v>
      </c>
      <c r="B226">
        <v>37</v>
      </c>
      <c r="C226">
        <v>2004</v>
      </c>
      <c r="D226">
        <v>1</v>
      </c>
      <c r="E226">
        <v>1995</v>
      </c>
      <c r="F226">
        <v>2000</v>
      </c>
      <c r="G226">
        <v>0.16500000000000001</v>
      </c>
      <c r="H226">
        <v>385.15816281522251</v>
      </c>
      <c r="I226">
        <v>0</v>
      </c>
      <c r="J226">
        <v>1</v>
      </c>
      <c r="K226">
        <v>0</v>
      </c>
      <c r="L226" t="s">
        <v>238</v>
      </c>
      <c r="M226" t="s">
        <v>238</v>
      </c>
      <c r="N226" t="s">
        <v>238</v>
      </c>
      <c r="O226">
        <v>1</v>
      </c>
      <c r="P226">
        <v>1</v>
      </c>
      <c r="Q226">
        <v>1</v>
      </c>
      <c r="R226">
        <v>1</v>
      </c>
      <c r="S226">
        <v>1</v>
      </c>
      <c r="T226">
        <v>0</v>
      </c>
      <c r="U226">
        <v>0</v>
      </c>
      <c r="W226">
        <v>0</v>
      </c>
      <c r="AA226">
        <v>1</v>
      </c>
      <c r="AC226">
        <v>0</v>
      </c>
      <c r="AD226">
        <v>0</v>
      </c>
      <c r="AE226">
        <v>1</v>
      </c>
      <c r="AF226">
        <v>0</v>
      </c>
      <c r="AG226">
        <v>0</v>
      </c>
      <c r="AH226">
        <v>94</v>
      </c>
      <c r="AI226">
        <v>0.15</v>
      </c>
      <c r="AJ226">
        <v>12</v>
      </c>
    </row>
    <row r="227" spans="1:36" x14ac:dyDescent="0.2">
      <c r="A227" t="str">
        <f>+VLOOKUP(B227,studies!$A$2:$C$102,3)</f>
        <v>Link &amp; Tol (2004)</v>
      </c>
      <c r="B227">
        <v>37</v>
      </c>
      <c r="C227">
        <v>2004</v>
      </c>
      <c r="D227">
        <v>1</v>
      </c>
      <c r="E227">
        <v>1995</v>
      </c>
      <c r="F227">
        <v>2000</v>
      </c>
      <c r="G227">
        <v>0.16500000000000001</v>
      </c>
      <c r="H227">
        <v>57.094033546727104</v>
      </c>
      <c r="I227">
        <v>0</v>
      </c>
      <c r="J227">
        <v>1</v>
      </c>
      <c r="K227">
        <v>0</v>
      </c>
      <c r="L227" t="s">
        <v>238</v>
      </c>
      <c r="M227" t="s">
        <v>238</v>
      </c>
      <c r="N227" t="s">
        <v>238</v>
      </c>
      <c r="O227">
        <v>1</v>
      </c>
      <c r="P227">
        <v>1</v>
      </c>
      <c r="Q227">
        <v>1</v>
      </c>
      <c r="R227">
        <v>1</v>
      </c>
      <c r="S227">
        <v>1</v>
      </c>
      <c r="T227">
        <v>0</v>
      </c>
      <c r="U227">
        <v>0</v>
      </c>
      <c r="W227">
        <v>1</v>
      </c>
      <c r="AA227">
        <v>0</v>
      </c>
      <c r="AC227">
        <v>0</v>
      </c>
      <c r="AD227">
        <v>0</v>
      </c>
      <c r="AE227">
        <v>1</v>
      </c>
      <c r="AF227">
        <v>0</v>
      </c>
      <c r="AG227">
        <v>0</v>
      </c>
      <c r="AH227">
        <v>94</v>
      </c>
      <c r="AI227">
        <v>0.15</v>
      </c>
      <c r="AJ227">
        <v>12</v>
      </c>
    </row>
    <row r="228" spans="1:36" x14ac:dyDescent="0.2">
      <c r="A228" t="str">
        <f>+VLOOKUP(B228,studies!$A$2:$C$102,3)</f>
        <v>Link &amp; Tol (2004)</v>
      </c>
      <c r="B228">
        <v>37</v>
      </c>
      <c r="C228">
        <v>2004</v>
      </c>
      <c r="D228">
        <v>1</v>
      </c>
      <c r="E228">
        <v>1995</v>
      </c>
      <c r="F228">
        <v>2000</v>
      </c>
      <c r="G228">
        <v>0.16500000000000001</v>
      </c>
      <c r="H228">
        <v>213.19637129948495</v>
      </c>
      <c r="I228">
        <v>0</v>
      </c>
      <c r="J228">
        <v>1</v>
      </c>
      <c r="K228">
        <v>0</v>
      </c>
      <c r="L228" t="s">
        <v>238</v>
      </c>
      <c r="M228" t="s">
        <v>238</v>
      </c>
      <c r="N228" t="s">
        <v>238</v>
      </c>
      <c r="O228">
        <v>1</v>
      </c>
      <c r="P228">
        <v>1</v>
      </c>
      <c r="Q228">
        <v>1</v>
      </c>
      <c r="R228">
        <v>1</v>
      </c>
      <c r="S228">
        <v>1</v>
      </c>
      <c r="T228">
        <v>0</v>
      </c>
      <c r="U228">
        <v>0</v>
      </c>
      <c r="W228">
        <v>1</v>
      </c>
      <c r="AA228">
        <v>1</v>
      </c>
      <c r="AC228">
        <v>0</v>
      </c>
      <c r="AD228">
        <v>0</v>
      </c>
      <c r="AE228">
        <v>1</v>
      </c>
      <c r="AF228">
        <v>0</v>
      </c>
      <c r="AG228">
        <v>0</v>
      </c>
      <c r="AH228">
        <v>94</v>
      </c>
      <c r="AI228">
        <v>0.15</v>
      </c>
      <c r="AJ228">
        <v>12</v>
      </c>
    </row>
    <row r="229" spans="1:36" x14ac:dyDescent="0.2">
      <c r="A229" t="str">
        <f>+VLOOKUP(B229,studies!$A$2:$C$102,3)</f>
        <v>Link &amp; Tol (2004)</v>
      </c>
      <c r="B229">
        <v>37</v>
      </c>
      <c r="C229">
        <v>2004</v>
      </c>
      <c r="D229">
        <v>1</v>
      </c>
      <c r="E229">
        <v>1995</v>
      </c>
      <c r="F229">
        <v>2000</v>
      </c>
      <c r="G229">
        <v>0.16500000000000001</v>
      </c>
      <c r="H229">
        <v>11.554744884456676</v>
      </c>
      <c r="I229">
        <v>0</v>
      </c>
      <c r="J229">
        <v>1</v>
      </c>
      <c r="K229">
        <v>0</v>
      </c>
      <c r="L229" t="s">
        <v>238</v>
      </c>
      <c r="M229" t="s">
        <v>238</v>
      </c>
      <c r="N229" t="s">
        <v>238</v>
      </c>
      <c r="O229">
        <v>1</v>
      </c>
      <c r="P229">
        <v>1</v>
      </c>
      <c r="Q229">
        <v>1</v>
      </c>
      <c r="R229">
        <v>1</v>
      </c>
      <c r="S229">
        <v>1</v>
      </c>
      <c r="T229">
        <v>0</v>
      </c>
      <c r="U229">
        <v>0</v>
      </c>
      <c r="W229">
        <v>3</v>
      </c>
      <c r="AA229">
        <v>0</v>
      </c>
      <c r="AC229">
        <v>0</v>
      </c>
      <c r="AD229">
        <v>0</v>
      </c>
      <c r="AE229">
        <v>1</v>
      </c>
      <c r="AF229">
        <v>0</v>
      </c>
      <c r="AG229">
        <v>0</v>
      </c>
      <c r="AH229">
        <v>94</v>
      </c>
      <c r="AI229">
        <v>0.15</v>
      </c>
      <c r="AJ229">
        <v>12</v>
      </c>
    </row>
    <row r="230" spans="1:36" x14ac:dyDescent="0.2">
      <c r="A230" t="str">
        <f>+VLOOKUP(B230,studies!$A$2:$C$102,3)</f>
        <v>Link &amp; Tol (2004)</v>
      </c>
      <c r="B230">
        <v>37</v>
      </c>
      <c r="C230">
        <v>2004</v>
      </c>
      <c r="D230">
        <v>1</v>
      </c>
      <c r="E230">
        <v>1995</v>
      </c>
      <c r="F230">
        <v>2000</v>
      </c>
      <c r="G230">
        <v>0.16500000000000001</v>
      </c>
      <c r="H230">
        <v>102.1801949586267</v>
      </c>
      <c r="I230">
        <v>0</v>
      </c>
      <c r="J230">
        <v>1</v>
      </c>
      <c r="K230">
        <v>0</v>
      </c>
      <c r="L230" t="s">
        <v>238</v>
      </c>
      <c r="M230" t="s">
        <v>238</v>
      </c>
      <c r="N230" t="s">
        <v>238</v>
      </c>
      <c r="O230">
        <v>1</v>
      </c>
      <c r="P230">
        <v>1</v>
      </c>
      <c r="Q230">
        <v>1</v>
      </c>
      <c r="R230">
        <v>1</v>
      </c>
      <c r="S230">
        <v>1</v>
      </c>
      <c r="T230">
        <v>0</v>
      </c>
      <c r="U230">
        <v>0</v>
      </c>
      <c r="W230">
        <v>3</v>
      </c>
      <c r="AA230">
        <v>1</v>
      </c>
      <c r="AC230">
        <v>0</v>
      </c>
      <c r="AD230">
        <v>0</v>
      </c>
      <c r="AE230">
        <v>1</v>
      </c>
      <c r="AF230">
        <v>0</v>
      </c>
      <c r="AG230">
        <v>0</v>
      </c>
      <c r="AH230">
        <v>94</v>
      </c>
      <c r="AI230">
        <v>0.15</v>
      </c>
      <c r="AJ230">
        <v>12</v>
      </c>
    </row>
    <row r="231" spans="1:36" x14ac:dyDescent="0.2">
      <c r="A231" t="str">
        <f>+VLOOKUP(B231,studies!$A$2:$C$102,3)</f>
        <v>Link &amp; Tol (2004)</v>
      </c>
      <c r="B231">
        <v>37</v>
      </c>
      <c r="C231">
        <v>2004</v>
      </c>
      <c r="D231">
        <v>1</v>
      </c>
      <c r="E231">
        <v>1995</v>
      </c>
      <c r="F231">
        <v>2000</v>
      </c>
      <c r="G231">
        <v>1.6666666666666668E-3</v>
      </c>
      <c r="H231">
        <v>171.28210064018131</v>
      </c>
      <c r="I231">
        <v>0</v>
      </c>
      <c r="J231">
        <v>1</v>
      </c>
      <c r="K231">
        <v>0</v>
      </c>
      <c r="L231" t="s">
        <v>238</v>
      </c>
      <c r="M231" t="s">
        <v>238</v>
      </c>
      <c r="N231" t="s">
        <v>238</v>
      </c>
      <c r="O231">
        <v>1</v>
      </c>
      <c r="P231">
        <v>1</v>
      </c>
      <c r="Q231">
        <v>1</v>
      </c>
      <c r="R231">
        <v>1</v>
      </c>
      <c r="S231">
        <v>1</v>
      </c>
      <c r="T231">
        <v>0</v>
      </c>
      <c r="U231">
        <v>0</v>
      </c>
      <c r="W231">
        <v>0</v>
      </c>
      <c r="AA231">
        <v>0</v>
      </c>
      <c r="AC231">
        <v>0</v>
      </c>
      <c r="AD231">
        <v>0</v>
      </c>
      <c r="AE231">
        <v>1</v>
      </c>
      <c r="AF231">
        <v>0</v>
      </c>
      <c r="AG231">
        <v>0</v>
      </c>
      <c r="AH231">
        <v>94</v>
      </c>
      <c r="AI231">
        <v>0.15</v>
      </c>
      <c r="AJ231">
        <v>12</v>
      </c>
    </row>
    <row r="232" spans="1:36" x14ac:dyDescent="0.2">
      <c r="A232" t="str">
        <f>+VLOOKUP(B232,studies!$A$2:$C$102,3)</f>
        <v>Link &amp; Tol (2004)</v>
      </c>
      <c r="B232">
        <v>37</v>
      </c>
      <c r="C232">
        <v>2004</v>
      </c>
      <c r="D232">
        <v>1</v>
      </c>
      <c r="E232">
        <v>1995</v>
      </c>
      <c r="F232">
        <v>2000</v>
      </c>
      <c r="G232">
        <v>1.6666666666666668E-3</v>
      </c>
      <c r="H232">
        <v>380.17376306114323</v>
      </c>
      <c r="I232">
        <v>0</v>
      </c>
      <c r="J232">
        <v>1</v>
      </c>
      <c r="K232">
        <v>0</v>
      </c>
      <c r="L232" t="s">
        <v>238</v>
      </c>
      <c r="M232" t="s">
        <v>238</v>
      </c>
      <c r="N232" t="s">
        <v>238</v>
      </c>
      <c r="O232">
        <v>1</v>
      </c>
      <c r="P232">
        <v>1</v>
      </c>
      <c r="Q232">
        <v>1</v>
      </c>
      <c r="R232">
        <v>1</v>
      </c>
      <c r="S232">
        <v>1</v>
      </c>
      <c r="T232">
        <v>0</v>
      </c>
      <c r="U232">
        <v>0</v>
      </c>
      <c r="W232">
        <v>0</v>
      </c>
      <c r="AA232">
        <v>1</v>
      </c>
      <c r="AC232">
        <v>0</v>
      </c>
      <c r="AD232">
        <v>0</v>
      </c>
      <c r="AE232">
        <v>1</v>
      </c>
      <c r="AF232">
        <v>0</v>
      </c>
      <c r="AG232">
        <v>0</v>
      </c>
      <c r="AH232">
        <v>94</v>
      </c>
      <c r="AI232">
        <v>0.15</v>
      </c>
      <c r="AJ232">
        <v>12</v>
      </c>
    </row>
    <row r="233" spans="1:36" x14ac:dyDescent="0.2">
      <c r="A233" t="str">
        <f>+VLOOKUP(B233,studies!$A$2:$C$102,3)</f>
        <v>Link &amp; Tol (2004)</v>
      </c>
      <c r="B233">
        <v>37</v>
      </c>
      <c r="C233">
        <v>2004</v>
      </c>
      <c r="D233">
        <v>1</v>
      </c>
      <c r="E233">
        <v>1995</v>
      </c>
      <c r="F233">
        <v>2000</v>
      </c>
      <c r="G233">
        <v>1.6666666666666668E-3</v>
      </c>
      <c r="H233">
        <v>55.281524545243705</v>
      </c>
      <c r="I233">
        <v>0</v>
      </c>
      <c r="J233">
        <v>1</v>
      </c>
      <c r="K233">
        <v>0</v>
      </c>
      <c r="L233" t="s">
        <v>238</v>
      </c>
      <c r="M233" t="s">
        <v>238</v>
      </c>
      <c r="N233" t="s">
        <v>238</v>
      </c>
      <c r="O233">
        <v>1</v>
      </c>
      <c r="P233">
        <v>1</v>
      </c>
      <c r="Q233">
        <v>1</v>
      </c>
      <c r="R233">
        <v>1</v>
      </c>
      <c r="S233">
        <v>1</v>
      </c>
      <c r="T233">
        <v>0</v>
      </c>
      <c r="U233">
        <v>0</v>
      </c>
      <c r="W233">
        <v>1</v>
      </c>
      <c r="AA233">
        <v>0</v>
      </c>
      <c r="AC233">
        <v>0</v>
      </c>
      <c r="AD233">
        <v>0</v>
      </c>
      <c r="AE233">
        <v>1</v>
      </c>
      <c r="AF233">
        <v>0</v>
      </c>
      <c r="AG233">
        <v>0</v>
      </c>
      <c r="AH233">
        <v>94</v>
      </c>
      <c r="AI233">
        <v>0.15</v>
      </c>
      <c r="AJ233">
        <v>12</v>
      </c>
    </row>
    <row r="234" spans="1:36" x14ac:dyDescent="0.2">
      <c r="A234" t="str">
        <f>+VLOOKUP(B234,studies!$A$2:$C$102,3)</f>
        <v>Link &amp; Tol (2004)</v>
      </c>
      <c r="B234">
        <v>37</v>
      </c>
      <c r="C234">
        <v>2004</v>
      </c>
      <c r="D234">
        <v>1</v>
      </c>
      <c r="E234">
        <v>1995</v>
      </c>
      <c r="F234">
        <v>2000</v>
      </c>
      <c r="G234">
        <v>1.6666666666666668E-3</v>
      </c>
      <c r="H234">
        <v>212.06355317355784</v>
      </c>
      <c r="I234">
        <v>0</v>
      </c>
      <c r="J234">
        <v>1</v>
      </c>
      <c r="K234">
        <v>0</v>
      </c>
      <c r="L234" t="s">
        <v>238</v>
      </c>
      <c r="M234" t="s">
        <v>238</v>
      </c>
      <c r="N234" t="s">
        <v>238</v>
      </c>
      <c r="O234">
        <v>1</v>
      </c>
      <c r="P234">
        <v>1</v>
      </c>
      <c r="Q234">
        <v>1</v>
      </c>
      <c r="R234">
        <v>1</v>
      </c>
      <c r="S234">
        <v>1</v>
      </c>
      <c r="T234">
        <v>0</v>
      </c>
      <c r="U234">
        <v>0</v>
      </c>
      <c r="W234">
        <v>1</v>
      </c>
      <c r="AA234">
        <v>1</v>
      </c>
      <c r="AC234">
        <v>0</v>
      </c>
      <c r="AD234">
        <v>0</v>
      </c>
      <c r="AE234">
        <v>1</v>
      </c>
      <c r="AF234">
        <v>0</v>
      </c>
      <c r="AG234">
        <v>0</v>
      </c>
      <c r="AH234">
        <v>94</v>
      </c>
      <c r="AI234">
        <v>0.15</v>
      </c>
      <c r="AJ234">
        <v>12</v>
      </c>
    </row>
    <row r="235" spans="1:36" x14ac:dyDescent="0.2">
      <c r="A235" t="str">
        <f>+VLOOKUP(B235,studies!$A$2:$C$102,3)</f>
        <v>Link &amp; Tol (2004)</v>
      </c>
      <c r="B235">
        <v>37</v>
      </c>
      <c r="C235">
        <v>2004</v>
      </c>
      <c r="D235">
        <v>1</v>
      </c>
      <c r="E235">
        <v>1995</v>
      </c>
      <c r="F235">
        <v>2000</v>
      </c>
      <c r="G235">
        <v>1.6666666666666668E-3</v>
      </c>
      <c r="H235">
        <v>11.328181259271251</v>
      </c>
      <c r="I235">
        <v>0</v>
      </c>
      <c r="J235">
        <v>1</v>
      </c>
      <c r="K235">
        <v>0</v>
      </c>
      <c r="L235" t="s">
        <v>238</v>
      </c>
      <c r="M235" t="s">
        <v>238</v>
      </c>
      <c r="N235" t="s">
        <v>238</v>
      </c>
      <c r="O235">
        <v>1</v>
      </c>
      <c r="P235">
        <v>1</v>
      </c>
      <c r="Q235">
        <v>1</v>
      </c>
      <c r="R235">
        <v>1</v>
      </c>
      <c r="S235">
        <v>1</v>
      </c>
      <c r="T235">
        <v>0</v>
      </c>
      <c r="U235">
        <v>0</v>
      </c>
      <c r="W235">
        <v>3</v>
      </c>
      <c r="AA235">
        <v>0</v>
      </c>
      <c r="AC235">
        <v>0</v>
      </c>
      <c r="AD235">
        <v>0</v>
      </c>
      <c r="AE235">
        <v>1</v>
      </c>
      <c r="AF235">
        <v>0</v>
      </c>
      <c r="AG235">
        <v>0</v>
      </c>
      <c r="AH235">
        <v>94</v>
      </c>
      <c r="AI235">
        <v>0.15</v>
      </c>
      <c r="AJ235">
        <v>12</v>
      </c>
    </row>
    <row r="236" spans="1:36" x14ac:dyDescent="0.2">
      <c r="A236" t="str">
        <f>+VLOOKUP(B236,studies!$A$2:$C$102,3)</f>
        <v>Link &amp; Tol (2004)</v>
      </c>
      <c r="B236">
        <v>37</v>
      </c>
      <c r="C236">
        <v>2004</v>
      </c>
      <c r="D236">
        <v>1</v>
      </c>
      <c r="E236">
        <v>1995</v>
      </c>
      <c r="F236">
        <v>2000</v>
      </c>
      <c r="G236">
        <v>1.6666666666666668E-3</v>
      </c>
      <c r="H236">
        <v>101.95363133344127</v>
      </c>
      <c r="I236">
        <v>0</v>
      </c>
      <c r="J236">
        <v>1</v>
      </c>
      <c r="K236">
        <v>0</v>
      </c>
      <c r="L236" t="s">
        <v>238</v>
      </c>
      <c r="M236" t="s">
        <v>238</v>
      </c>
      <c r="N236" t="s">
        <v>238</v>
      </c>
      <c r="O236">
        <v>1</v>
      </c>
      <c r="P236">
        <v>1</v>
      </c>
      <c r="Q236">
        <v>1</v>
      </c>
      <c r="R236">
        <v>1</v>
      </c>
      <c r="S236">
        <v>1</v>
      </c>
      <c r="T236">
        <v>0</v>
      </c>
      <c r="U236">
        <v>0</v>
      </c>
      <c r="W236">
        <v>3</v>
      </c>
      <c r="AA236">
        <v>1</v>
      </c>
      <c r="AC236">
        <v>0</v>
      </c>
      <c r="AD236">
        <v>0</v>
      </c>
      <c r="AE236">
        <v>1</v>
      </c>
      <c r="AF236">
        <v>0</v>
      </c>
      <c r="AG236">
        <v>0</v>
      </c>
      <c r="AH236">
        <v>94</v>
      </c>
      <c r="AI236">
        <v>0.15</v>
      </c>
      <c r="AJ236">
        <v>12</v>
      </c>
    </row>
    <row r="237" spans="1:36" x14ac:dyDescent="0.2">
      <c r="A237" t="str">
        <f>+VLOOKUP(B237,studies!$A$2:$C$102,3)</f>
        <v>Manne (2004)</v>
      </c>
      <c r="B237">
        <v>38</v>
      </c>
      <c r="C237">
        <v>2004</v>
      </c>
      <c r="D237">
        <v>0</v>
      </c>
      <c r="E237">
        <v>2000</v>
      </c>
      <c r="F237">
        <v>2000</v>
      </c>
      <c r="G237">
        <v>0.05</v>
      </c>
      <c r="H237">
        <v>601.53826617175571</v>
      </c>
      <c r="I237">
        <v>0</v>
      </c>
      <c r="J237">
        <v>1</v>
      </c>
      <c r="K237">
        <v>0</v>
      </c>
      <c r="L237" t="s">
        <v>238</v>
      </c>
      <c r="M237" t="s">
        <v>238</v>
      </c>
      <c r="N237" t="s">
        <v>238</v>
      </c>
      <c r="O237">
        <v>0</v>
      </c>
      <c r="P237">
        <v>1</v>
      </c>
      <c r="Q237">
        <v>0</v>
      </c>
      <c r="R237">
        <v>1</v>
      </c>
      <c r="S237">
        <v>0</v>
      </c>
      <c r="T237">
        <v>0</v>
      </c>
      <c r="U237">
        <v>0</v>
      </c>
      <c r="W237">
        <v>0</v>
      </c>
      <c r="AA237">
        <v>0</v>
      </c>
      <c r="AC237">
        <v>0</v>
      </c>
      <c r="AD237">
        <v>0</v>
      </c>
      <c r="AE237">
        <v>0</v>
      </c>
      <c r="AF237">
        <v>0</v>
      </c>
      <c r="AG237">
        <v>0</v>
      </c>
      <c r="AH237">
        <v>336</v>
      </c>
      <c r="AI237">
        <v>0</v>
      </c>
      <c r="AJ237">
        <v>2</v>
      </c>
    </row>
    <row r="238" spans="1:36" x14ac:dyDescent="0.2">
      <c r="A238" t="str">
        <f>+VLOOKUP(B238,studies!$A$2:$C$102,3)</f>
        <v>Manne (2004)</v>
      </c>
      <c r="B238">
        <v>38</v>
      </c>
      <c r="C238">
        <v>2004</v>
      </c>
      <c r="D238">
        <v>0</v>
      </c>
      <c r="E238">
        <v>2000</v>
      </c>
      <c r="F238">
        <v>2000</v>
      </c>
      <c r="G238">
        <v>0.95</v>
      </c>
      <c r="H238">
        <v>24.061530646870228</v>
      </c>
      <c r="I238">
        <v>0</v>
      </c>
      <c r="J238">
        <v>1</v>
      </c>
      <c r="K238">
        <v>0</v>
      </c>
      <c r="L238" t="s">
        <v>238</v>
      </c>
      <c r="M238" t="s">
        <v>238</v>
      </c>
      <c r="N238" t="s">
        <v>238</v>
      </c>
      <c r="O238">
        <v>0</v>
      </c>
      <c r="P238">
        <v>1</v>
      </c>
      <c r="Q238">
        <v>0</v>
      </c>
      <c r="R238">
        <v>1</v>
      </c>
      <c r="S238">
        <v>0</v>
      </c>
      <c r="T238">
        <v>0</v>
      </c>
      <c r="U238">
        <v>0</v>
      </c>
      <c r="W238">
        <v>3</v>
      </c>
      <c r="AA238">
        <v>0</v>
      </c>
      <c r="AC238">
        <v>0</v>
      </c>
      <c r="AD238">
        <v>0</v>
      </c>
      <c r="AE238">
        <v>0</v>
      </c>
      <c r="AF238">
        <v>0</v>
      </c>
      <c r="AG238">
        <v>0</v>
      </c>
      <c r="AH238">
        <v>336</v>
      </c>
      <c r="AI238">
        <v>0</v>
      </c>
      <c r="AJ238">
        <v>2</v>
      </c>
    </row>
    <row r="239" spans="1:36" x14ac:dyDescent="0.2">
      <c r="A239" t="str">
        <f>+VLOOKUP(B239,studies!$A$2:$C$102,3)</f>
        <v>Mendelsohn (2004)</v>
      </c>
      <c r="B239">
        <v>39</v>
      </c>
      <c r="C239">
        <v>2004</v>
      </c>
      <c r="D239">
        <v>0</v>
      </c>
      <c r="E239">
        <v>1990</v>
      </c>
      <c r="F239">
        <v>2000</v>
      </c>
      <c r="G239">
        <v>1</v>
      </c>
      <c r="H239">
        <v>3.9626966118889193</v>
      </c>
      <c r="I239">
        <v>0</v>
      </c>
      <c r="J239">
        <v>1</v>
      </c>
      <c r="K239">
        <v>0</v>
      </c>
      <c r="L239">
        <v>0.66044943531481981</v>
      </c>
      <c r="M239">
        <v>0.67392799521920388</v>
      </c>
      <c r="N239">
        <v>0.67392799521920388</v>
      </c>
      <c r="O239">
        <v>1</v>
      </c>
      <c r="P239">
        <v>0</v>
      </c>
      <c r="Q239">
        <v>0</v>
      </c>
      <c r="R239">
        <v>0</v>
      </c>
      <c r="S239">
        <v>0</v>
      </c>
      <c r="T239">
        <v>0</v>
      </c>
      <c r="U239">
        <v>0</v>
      </c>
      <c r="V239">
        <v>5</v>
      </c>
      <c r="W239">
        <v>3</v>
      </c>
      <c r="AA239">
        <v>0</v>
      </c>
      <c r="AC239">
        <v>0</v>
      </c>
      <c r="AD239">
        <v>0</v>
      </c>
      <c r="AE239">
        <v>0</v>
      </c>
      <c r="AF239">
        <v>0</v>
      </c>
      <c r="AG239">
        <v>0</v>
      </c>
      <c r="AH239">
        <v>336</v>
      </c>
      <c r="AI239">
        <v>0</v>
      </c>
      <c r="AJ239">
        <v>1</v>
      </c>
    </row>
    <row r="240" spans="1:36" x14ac:dyDescent="0.2">
      <c r="A240" t="str">
        <f>+VLOOKUP(B240,studies!$A$2:$C$102,3)</f>
        <v>Downing et al. (2005)</v>
      </c>
      <c r="B240">
        <v>41</v>
      </c>
      <c r="C240">
        <v>2005</v>
      </c>
      <c r="D240">
        <v>0</v>
      </c>
      <c r="E240">
        <v>2000</v>
      </c>
      <c r="F240">
        <v>2000</v>
      </c>
      <c r="G240">
        <v>1</v>
      </c>
      <c r="H240">
        <v>101.76022336072202</v>
      </c>
      <c r="I240">
        <v>0</v>
      </c>
      <c r="J240">
        <v>1</v>
      </c>
      <c r="K240">
        <v>0</v>
      </c>
      <c r="L240" t="s">
        <v>238</v>
      </c>
      <c r="M240" t="s">
        <v>238</v>
      </c>
      <c r="N240" t="s">
        <v>238</v>
      </c>
      <c r="O240">
        <v>0</v>
      </c>
      <c r="P240">
        <v>0</v>
      </c>
      <c r="Q240">
        <v>0</v>
      </c>
      <c r="R240">
        <v>0</v>
      </c>
      <c r="S240">
        <v>1</v>
      </c>
      <c r="T240">
        <v>0</v>
      </c>
      <c r="U240">
        <v>0</v>
      </c>
      <c r="AA240">
        <v>1</v>
      </c>
      <c r="AC240">
        <v>0</v>
      </c>
      <c r="AD240">
        <v>0</v>
      </c>
      <c r="AE240">
        <v>0</v>
      </c>
      <c r="AF240">
        <v>0</v>
      </c>
      <c r="AG240">
        <v>0</v>
      </c>
      <c r="AH240">
        <v>42</v>
      </c>
      <c r="AI240">
        <v>0</v>
      </c>
      <c r="AJ240">
        <v>1</v>
      </c>
    </row>
    <row r="241" spans="1:36" x14ac:dyDescent="0.2">
      <c r="A241" t="str">
        <f>+VLOOKUP(B241,studies!$A$2:$C$102,3)</f>
        <v>Hope (2005b)</v>
      </c>
      <c r="B241">
        <v>42</v>
      </c>
      <c r="C241">
        <v>2005</v>
      </c>
      <c r="D241">
        <v>0</v>
      </c>
      <c r="E241">
        <v>2000</v>
      </c>
      <c r="F241">
        <v>2000</v>
      </c>
      <c r="G241">
        <v>0.16666666666666666</v>
      </c>
      <c r="H241">
        <v>86.220484817951657</v>
      </c>
      <c r="I241">
        <v>1</v>
      </c>
      <c r="J241">
        <v>0</v>
      </c>
      <c r="K241">
        <v>0</v>
      </c>
      <c r="L241" t="s">
        <v>238</v>
      </c>
      <c r="M241">
        <v>33.759800652496494</v>
      </c>
      <c r="N241">
        <v>82.864965237945952</v>
      </c>
      <c r="O241">
        <v>0</v>
      </c>
      <c r="P241">
        <v>1</v>
      </c>
      <c r="Q241">
        <v>0</v>
      </c>
      <c r="R241">
        <v>1</v>
      </c>
      <c r="S241">
        <v>0</v>
      </c>
      <c r="T241">
        <v>0</v>
      </c>
      <c r="U241">
        <v>1</v>
      </c>
      <c r="W241">
        <v>3</v>
      </c>
      <c r="AA241">
        <v>1</v>
      </c>
      <c r="AC241">
        <v>1</v>
      </c>
      <c r="AD241">
        <v>0</v>
      </c>
      <c r="AE241">
        <v>0</v>
      </c>
      <c r="AF241">
        <v>0</v>
      </c>
      <c r="AG241">
        <v>0</v>
      </c>
      <c r="AH241">
        <v>4</v>
      </c>
      <c r="AI241">
        <v>0</v>
      </c>
      <c r="AJ241">
        <v>6</v>
      </c>
    </row>
    <row r="242" spans="1:36" x14ac:dyDescent="0.2">
      <c r="A242" t="str">
        <f>+VLOOKUP(B242,studies!$A$2:$C$102,3)</f>
        <v>Hope (2005b)</v>
      </c>
      <c r="B242">
        <v>42</v>
      </c>
      <c r="C242">
        <v>2005</v>
      </c>
      <c r="D242">
        <v>0</v>
      </c>
      <c r="E242">
        <v>2000</v>
      </c>
      <c r="F242">
        <v>2000</v>
      </c>
      <c r="G242">
        <v>0.16666666666666666</v>
      </c>
      <c r="H242">
        <v>70.179464386704836</v>
      </c>
      <c r="I242">
        <v>1</v>
      </c>
      <c r="J242">
        <v>0</v>
      </c>
      <c r="K242">
        <v>0</v>
      </c>
      <c r="L242" t="s">
        <v>238</v>
      </c>
      <c r="M242">
        <v>27.621655079315314</v>
      </c>
      <c r="N242">
        <v>70.588674091583584</v>
      </c>
      <c r="O242">
        <v>0</v>
      </c>
      <c r="P242">
        <v>1</v>
      </c>
      <c r="Q242">
        <v>0</v>
      </c>
      <c r="R242">
        <v>1</v>
      </c>
      <c r="S242">
        <v>0</v>
      </c>
      <c r="T242">
        <v>0</v>
      </c>
      <c r="U242">
        <v>1</v>
      </c>
      <c r="W242">
        <v>3</v>
      </c>
      <c r="AA242">
        <v>1</v>
      </c>
      <c r="AC242">
        <v>1</v>
      </c>
      <c r="AD242">
        <v>0</v>
      </c>
      <c r="AE242">
        <v>0</v>
      </c>
      <c r="AF242">
        <v>0</v>
      </c>
      <c r="AG242">
        <v>0</v>
      </c>
      <c r="AH242">
        <v>4</v>
      </c>
      <c r="AI242">
        <v>0</v>
      </c>
      <c r="AJ242">
        <v>6</v>
      </c>
    </row>
    <row r="243" spans="1:36" x14ac:dyDescent="0.2">
      <c r="A243" t="str">
        <f>+VLOOKUP(B243,studies!$A$2:$C$102,3)</f>
        <v>Hope (2005b)</v>
      </c>
      <c r="B243">
        <v>42</v>
      </c>
      <c r="C243">
        <v>2005</v>
      </c>
      <c r="D243">
        <v>0</v>
      </c>
      <c r="E243">
        <v>2000</v>
      </c>
      <c r="F243">
        <v>2000</v>
      </c>
      <c r="G243">
        <v>0.16666666666666666</v>
      </c>
      <c r="H243">
        <v>62.158954171081426</v>
      </c>
      <c r="I243">
        <v>1</v>
      </c>
      <c r="J243">
        <v>0</v>
      </c>
      <c r="K243">
        <v>0</v>
      </c>
      <c r="L243" t="s">
        <v>238</v>
      </c>
      <c r="M243">
        <v>23.529558030527859</v>
      </c>
      <c r="N243">
        <v>62.404479994008675</v>
      </c>
      <c r="O243">
        <v>0</v>
      </c>
      <c r="P243">
        <v>1</v>
      </c>
      <c r="Q243">
        <v>0</v>
      </c>
      <c r="R243">
        <v>1</v>
      </c>
      <c r="S243">
        <v>0</v>
      </c>
      <c r="T243">
        <v>0</v>
      </c>
      <c r="U243">
        <v>1</v>
      </c>
      <c r="W243">
        <v>3</v>
      </c>
      <c r="AA243">
        <v>0</v>
      </c>
      <c r="AC243">
        <v>1</v>
      </c>
      <c r="AD243">
        <v>0</v>
      </c>
      <c r="AE243">
        <v>0</v>
      </c>
      <c r="AF243">
        <v>0</v>
      </c>
      <c r="AG243">
        <v>0</v>
      </c>
      <c r="AH243">
        <v>4</v>
      </c>
      <c r="AI243">
        <v>0</v>
      </c>
      <c r="AJ243">
        <v>6</v>
      </c>
    </row>
    <row r="244" spans="1:36" x14ac:dyDescent="0.2">
      <c r="A244" t="str">
        <f>+VLOOKUP(B244,studies!$A$2:$C$102,3)</f>
        <v>Hope (2005b)</v>
      </c>
      <c r="B244">
        <v>42</v>
      </c>
      <c r="C244">
        <v>2005</v>
      </c>
      <c r="D244">
        <v>0</v>
      </c>
      <c r="E244">
        <v>2000</v>
      </c>
      <c r="F244">
        <v>2000</v>
      </c>
      <c r="G244">
        <v>0.16666666666666666</v>
      </c>
      <c r="H244">
        <v>92.23586747966921</v>
      </c>
      <c r="I244">
        <v>1</v>
      </c>
      <c r="J244">
        <v>0</v>
      </c>
      <c r="K244">
        <v>0</v>
      </c>
      <c r="L244" t="s">
        <v>238</v>
      </c>
      <c r="M244">
        <v>36.82887343908709</v>
      </c>
      <c r="N244">
        <v>73.65774687817418</v>
      </c>
      <c r="O244">
        <v>0</v>
      </c>
      <c r="P244">
        <v>1</v>
      </c>
      <c r="Q244">
        <v>0</v>
      </c>
      <c r="R244">
        <v>1</v>
      </c>
      <c r="S244">
        <v>0</v>
      </c>
      <c r="T244">
        <v>0</v>
      </c>
      <c r="U244">
        <v>1</v>
      </c>
      <c r="W244">
        <v>3</v>
      </c>
      <c r="AA244">
        <v>1</v>
      </c>
      <c r="AC244">
        <v>1</v>
      </c>
      <c r="AD244">
        <v>0</v>
      </c>
      <c r="AE244">
        <v>0</v>
      </c>
      <c r="AF244">
        <v>0</v>
      </c>
      <c r="AG244">
        <v>0</v>
      </c>
      <c r="AH244">
        <v>4</v>
      </c>
      <c r="AI244">
        <v>0</v>
      </c>
      <c r="AJ244">
        <v>6</v>
      </c>
    </row>
    <row r="245" spans="1:36" x14ac:dyDescent="0.2">
      <c r="A245" t="str">
        <f>+VLOOKUP(B245,studies!$A$2:$C$102,3)</f>
        <v>Hope (2005b)</v>
      </c>
      <c r="B245">
        <v>42</v>
      </c>
      <c r="C245">
        <v>2005</v>
      </c>
      <c r="D245">
        <v>0</v>
      </c>
      <c r="E245">
        <v>2000</v>
      </c>
      <c r="F245">
        <v>2000</v>
      </c>
      <c r="G245">
        <v>0.16666666666666666</v>
      </c>
      <c r="H245">
        <v>74.189719494516538</v>
      </c>
      <c r="I245">
        <v>1</v>
      </c>
      <c r="J245">
        <v>0</v>
      </c>
      <c r="K245">
        <v>0</v>
      </c>
      <c r="L245" t="s">
        <v>238</v>
      </c>
      <c r="M245">
        <v>28.64467934151218</v>
      </c>
      <c r="N245">
        <v>68.542625567189845</v>
      </c>
      <c r="O245">
        <v>0</v>
      </c>
      <c r="P245">
        <v>1</v>
      </c>
      <c r="Q245">
        <v>0</v>
      </c>
      <c r="R245">
        <v>1</v>
      </c>
      <c r="S245">
        <v>0</v>
      </c>
      <c r="T245">
        <v>0</v>
      </c>
      <c r="U245">
        <v>1</v>
      </c>
      <c r="W245">
        <v>3</v>
      </c>
      <c r="AA245">
        <v>1</v>
      </c>
      <c r="AC245">
        <v>1</v>
      </c>
      <c r="AD245">
        <v>0</v>
      </c>
      <c r="AE245">
        <v>0</v>
      </c>
      <c r="AF245">
        <v>0</v>
      </c>
      <c r="AG245">
        <v>0</v>
      </c>
      <c r="AH245">
        <v>4</v>
      </c>
      <c r="AI245">
        <v>0</v>
      </c>
      <c r="AJ245">
        <v>6</v>
      </c>
    </row>
    <row r="246" spans="1:36" x14ac:dyDescent="0.2">
      <c r="A246" t="str">
        <f>+VLOOKUP(B246,studies!$A$2:$C$102,3)</f>
        <v>Hope (2005b)</v>
      </c>
      <c r="B246">
        <v>42</v>
      </c>
      <c r="C246">
        <v>2005</v>
      </c>
      <c r="D246">
        <v>0</v>
      </c>
      <c r="E246">
        <v>2000</v>
      </c>
      <c r="F246">
        <v>2000</v>
      </c>
      <c r="G246">
        <v>0.16666666666666666</v>
      </c>
      <c r="H246">
        <v>64.164081724987284</v>
      </c>
      <c r="I246">
        <v>1</v>
      </c>
      <c r="J246">
        <v>0</v>
      </c>
      <c r="K246">
        <v>0</v>
      </c>
      <c r="L246" t="s">
        <v>238</v>
      </c>
      <c r="M246">
        <v>24.552582292724722</v>
      </c>
      <c r="N246">
        <v>59.335407207418086</v>
      </c>
      <c r="O246">
        <v>0</v>
      </c>
      <c r="P246">
        <v>1</v>
      </c>
      <c r="Q246">
        <v>0</v>
      </c>
      <c r="R246">
        <v>1</v>
      </c>
      <c r="S246">
        <v>0</v>
      </c>
      <c r="T246">
        <v>0</v>
      </c>
      <c r="U246">
        <v>1</v>
      </c>
      <c r="W246">
        <v>3</v>
      </c>
      <c r="AA246">
        <v>0</v>
      </c>
      <c r="AC246">
        <v>1</v>
      </c>
      <c r="AD246">
        <v>0</v>
      </c>
      <c r="AE246">
        <v>0</v>
      </c>
      <c r="AF246">
        <v>0</v>
      </c>
      <c r="AG246">
        <v>0</v>
      </c>
      <c r="AH246">
        <v>4</v>
      </c>
      <c r="AI246">
        <v>0</v>
      </c>
      <c r="AJ246">
        <v>6</v>
      </c>
    </row>
    <row r="247" spans="1:36" x14ac:dyDescent="0.2">
      <c r="A247" t="str">
        <f>+VLOOKUP(B247,studies!$A$2:$C$102,3)</f>
        <v>Hope (2005a)</v>
      </c>
      <c r="B247">
        <v>43</v>
      </c>
      <c r="C247">
        <v>2005</v>
      </c>
      <c r="D247">
        <v>1</v>
      </c>
      <c r="E247">
        <v>2000</v>
      </c>
      <c r="F247">
        <v>2000</v>
      </c>
      <c r="G247">
        <v>1</v>
      </c>
      <c r="H247">
        <v>42.107678632022903</v>
      </c>
      <c r="I247">
        <v>1</v>
      </c>
      <c r="J247">
        <v>0</v>
      </c>
      <c r="K247">
        <v>0</v>
      </c>
      <c r="L247" t="s">
        <v>238</v>
      </c>
      <c r="M247">
        <v>11.2532668841655</v>
      </c>
      <c r="N247">
        <v>27.621655079315314</v>
      </c>
      <c r="O247">
        <v>0</v>
      </c>
      <c r="P247">
        <v>1</v>
      </c>
      <c r="Q247">
        <v>0</v>
      </c>
      <c r="R247">
        <v>1</v>
      </c>
      <c r="S247">
        <v>0</v>
      </c>
      <c r="T247">
        <v>0</v>
      </c>
      <c r="U247">
        <v>1</v>
      </c>
      <c r="W247">
        <v>3</v>
      </c>
      <c r="AA247">
        <v>0</v>
      </c>
      <c r="AC247">
        <v>1</v>
      </c>
      <c r="AD247">
        <v>0</v>
      </c>
      <c r="AE247">
        <v>0</v>
      </c>
      <c r="AF247">
        <v>0</v>
      </c>
      <c r="AG247">
        <v>0</v>
      </c>
      <c r="AH247">
        <v>14</v>
      </c>
      <c r="AI247">
        <v>1.56</v>
      </c>
      <c r="AJ247">
        <v>1</v>
      </c>
    </row>
    <row r="248" spans="1:36" x14ac:dyDescent="0.2">
      <c r="A248" t="str">
        <f>+VLOOKUP(B248,studies!$A$2:$C$102,3)</f>
        <v>Tol (2005)</v>
      </c>
      <c r="B248">
        <v>44</v>
      </c>
      <c r="C248">
        <v>2005</v>
      </c>
      <c r="D248">
        <v>1</v>
      </c>
      <c r="E248">
        <v>1995</v>
      </c>
      <c r="F248">
        <v>2005</v>
      </c>
      <c r="G248">
        <v>8.3333333333333343E-2</v>
      </c>
      <c r="H248">
        <v>38.681878623456058</v>
      </c>
      <c r="I248">
        <v>0</v>
      </c>
      <c r="J248">
        <v>1</v>
      </c>
      <c r="K248">
        <v>0</v>
      </c>
      <c r="L248" t="s">
        <v>238</v>
      </c>
      <c r="M248" t="s">
        <v>238</v>
      </c>
      <c r="N248" t="s">
        <v>238</v>
      </c>
      <c r="O248">
        <v>1</v>
      </c>
      <c r="P248">
        <v>1</v>
      </c>
      <c r="Q248">
        <v>1</v>
      </c>
      <c r="R248">
        <v>1</v>
      </c>
      <c r="S248">
        <v>1</v>
      </c>
      <c r="T248">
        <v>0</v>
      </c>
      <c r="U248">
        <v>0</v>
      </c>
      <c r="V248">
        <v>2</v>
      </c>
      <c r="W248">
        <v>0</v>
      </c>
      <c r="AA248">
        <v>0</v>
      </c>
      <c r="AC248">
        <v>0</v>
      </c>
      <c r="AD248">
        <v>0</v>
      </c>
      <c r="AE248">
        <v>1</v>
      </c>
      <c r="AF248">
        <v>0</v>
      </c>
      <c r="AG248">
        <v>0</v>
      </c>
      <c r="AH248">
        <v>76</v>
      </c>
      <c r="AI248">
        <v>0.67</v>
      </c>
      <c r="AJ248">
        <v>6</v>
      </c>
    </row>
    <row r="249" spans="1:36" x14ac:dyDescent="0.2">
      <c r="A249" t="str">
        <f>+VLOOKUP(B249,studies!$A$2:$C$102,3)</f>
        <v>Tol (2005)</v>
      </c>
      <c r="B249">
        <v>44</v>
      </c>
      <c r="C249">
        <v>2005</v>
      </c>
      <c r="D249">
        <v>1</v>
      </c>
      <c r="E249">
        <v>1995</v>
      </c>
      <c r="F249">
        <v>2005</v>
      </c>
      <c r="G249">
        <v>0.16666666666666669</v>
      </c>
      <c r="H249">
        <v>31.295389238072499</v>
      </c>
      <c r="I249">
        <v>0</v>
      </c>
      <c r="J249">
        <v>1</v>
      </c>
      <c r="K249">
        <v>0</v>
      </c>
      <c r="L249" t="s">
        <v>238</v>
      </c>
      <c r="M249" t="s">
        <v>238</v>
      </c>
      <c r="N249" t="s">
        <v>238</v>
      </c>
      <c r="O249">
        <v>1</v>
      </c>
      <c r="P249">
        <v>1</v>
      </c>
      <c r="Q249">
        <v>1</v>
      </c>
      <c r="R249">
        <v>1</v>
      </c>
      <c r="S249">
        <v>1</v>
      </c>
      <c r="T249">
        <v>0</v>
      </c>
      <c r="U249">
        <v>0</v>
      </c>
      <c r="V249">
        <v>2</v>
      </c>
      <c r="W249">
        <v>0</v>
      </c>
      <c r="AA249">
        <v>1</v>
      </c>
      <c r="AC249">
        <v>0</v>
      </c>
      <c r="AD249">
        <v>0</v>
      </c>
      <c r="AE249">
        <v>1</v>
      </c>
      <c r="AF249">
        <v>0</v>
      </c>
      <c r="AG249">
        <v>0</v>
      </c>
      <c r="AH249">
        <v>76</v>
      </c>
      <c r="AI249">
        <v>0.67</v>
      </c>
      <c r="AJ249">
        <v>6</v>
      </c>
    </row>
    <row r="250" spans="1:36" x14ac:dyDescent="0.2">
      <c r="A250" t="str">
        <f>+VLOOKUP(B250,studies!$A$2:$C$102,3)</f>
        <v>Tol (2005)</v>
      </c>
      <c r="B250">
        <v>44</v>
      </c>
      <c r="C250">
        <v>2005</v>
      </c>
      <c r="D250">
        <v>1</v>
      </c>
      <c r="E250">
        <v>1995</v>
      </c>
      <c r="F250">
        <v>2005</v>
      </c>
      <c r="G250">
        <v>0.16666666666666669</v>
      </c>
      <c r="H250">
        <v>7.3864893853835696</v>
      </c>
      <c r="I250">
        <v>0</v>
      </c>
      <c r="J250">
        <v>1</v>
      </c>
      <c r="K250">
        <v>0</v>
      </c>
      <c r="L250" t="s">
        <v>238</v>
      </c>
      <c r="M250" t="s">
        <v>238</v>
      </c>
      <c r="N250" t="s">
        <v>238</v>
      </c>
      <c r="O250">
        <v>1</v>
      </c>
      <c r="P250">
        <v>1</v>
      </c>
      <c r="Q250">
        <v>1</v>
      </c>
      <c r="R250">
        <v>1</v>
      </c>
      <c r="S250">
        <v>1</v>
      </c>
      <c r="T250">
        <v>0</v>
      </c>
      <c r="U250">
        <v>0</v>
      </c>
      <c r="V250">
        <v>3</v>
      </c>
      <c r="W250">
        <v>1</v>
      </c>
      <c r="AA250">
        <v>0</v>
      </c>
      <c r="AC250">
        <v>0</v>
      </c>
      <c r="AD250">
        <v>0</v>
      </c>
      <c r="AE250">
        <v>1</v>
      </c>
      <c r="AF250">
        <v>0</v>
      </c>
      <c r="AG250">
        <v>0</v>
      </c>
      <c r="AH250">
        <v>76</v>
      </c>
      <c r="AI250">
        <v>0.67</v>
      </c>
      <c r="AJ250">
        <v>6</v>
      </c>
    </row>
    <row r="251" spans="1:36" x14ac:dyDescent="0.2">
      <c r="A251" t="str">
        <f>+VLOOKUP(B251,studies!$A$2:$C$102,3)</f>
        <v>Tol (2005)</v>
      </c>
      <c r="B251">
        <v>44</v>
      </c>
      <c r="C251">
        <v>2005</v>
      </c>
      <c r="D251">
        <v>1</v>
      </c>
      <c r="E251">
        <v>1995</v>
      </c>
      <c r="F251">
        <v>2005</v>
      </c>
      <c r="G251">
        <v>0.33333333333333337</v>
      </c>
      <c r="H251">
        <v>12.829165774613569</v>
      </c>
      <c r="I251">
        <v>0</v>
      </c>
      <c r="J251">
        <v>1</v>
      </c>
      <c r="K251">
        <v>0</v>
      </c>
      <c r="L251" t="s">
        <v>238</v>
      </c>
      <c r="M251" t="s">
        <v>238</v>
      </c>
      <c r="N251" t="s">
        <v>238</v>
      </c>
      <c r="O251">
        <v>1</v>
      </c>
      <c r="P251">
        <v>1</v>
      </c>
      <c r="Q251">
        <v>1</v>
      </c>
      <c r="R251">
        <v>1</v>
      </c>
      <c r="S251">
        <v>1</v>
      </c>
      <c r="T251">
        <v>0</v>
      </c>
      <c r="U251">
        <v>0</v>
      </c>
      <c r="V251">
        <v>3</v>
      </c>
      <c r="W251">
        <v>1</v>
      </c>
      <c r="AA251">
        <v>1</v>
      </c>
      <c r="AC251">
        <v>0</v>
      </c>
      <c r="AD251">
        <v>0</v>
      </c>
      <c r="AE251">
        <v>1</v>
      </c>
      <c r="AF251">
        <v>0</v>
      </c>
      <c r="AG251">
        <v>0</v>
      </c>
      <c r="AH251">
        <v>76</v>
      </c>
      <c r="AI251">
        <v>0.67</v>
      </c>
      <c r="AJ251">
        <v>6</v>
      </c>
    </row>
    <row r="252" spans="1:36" x14ac:dyDescent="0.2">
      <c r="A252" t="str">
        <f>+VLOOKUP(B252,studies!$A$2:$C$102,3)</f>
        <v>Tol (2005)</v>
      </c>
      <c r="B252">
        <v>44</v>
      </c>
      <c r="C252">
        <v>2005</v>
      </c>
      <c r="D252">
        <v>1</v>
      </c>
      <c r="E252">
        <v>1995</v>
      </c>
      <c r="F252">
        <v>2005</v>
      </c>
      <c r="G252">
        <v>8.3333333333333343E-2</v>
      </c>
      <c r="H252">
        <v>-12.829165774613569</v>
      </c>
      <c r="I252">
        <v>0</v>
      </c>
      <c r="J252">
        <v>1</v>
      </c>
      <c r="K252">
        <v>0</v>
      </c>
      <c r="L252" t="s">
        <v>238</v>
      </c>
      <c r="M252" t="s">
        <v>238</v>
      </c>
      <c r="N252" t="s">
        <v>238</v>
      </c>
      <c r="O252">
        <v>1</v>
      </c>
      <c r="P252">
        <v>1</v>
      </c>
      <c r="Q252">
        <v>1</v>
      </c>
      <c r="R252">
        <v>1</v>
      </c>
      <c r="S252">
        <v>1</v>
      </c>
      <c r="T252">
        <v>0</v>
      </c>
      <c r="U252">
        <v>0</v>
      </c>
      <c r="V252">
        <v>5</v>
      </c>
      <c r="W252">
        <v>3</v>
      </c>
      <c r="AA252">
        <v>0</v>
      </c>
      <c r="AC252">
        <v>0</v>
      </c>
      <c r="AD252">
        <v>0</v>
      </c>
      <c r="AE252">
        <v>1</v>
      </c>
      <c r="AF252">
        <v>0</v>
      </c>
      <c r="AG252">
        <v>0</v>
      </c>
      <c r="AH252">
        <v>76</v>
      </c>
      <c r="AI252">
        <v>0.67</v>
      </c>
      <c r="AJ252">
        <v>6</v>
      </c>
    </row>
    <row r="253" spans="1:36" x14ac:dyDescent="0.2">
      <c r="A253" t="str">
        <f>+VLOOKUP(B253,studies!$A$2:$C$102,3)</f>
        <v>Tol (2005)</v>
      </c>
      <c r="B253">
        <v>44</v>
      </c>
      <c r="C253">
        <v>2005</v>
      </c>
      <c r="D253">
        <v>1</v>
      </c>
      <c r="E253">
        <v>1995</v>
      </c>
      <c r="F253">
        <v>2005</v>
      </c>
      <c r="G253">
        <v>0.16666666666666669</v>
      </c>
      <c r="H253">
        <v>-0.97190649807678553</v>
      </c>
      <c r="I253">
        <v>0</v>
      </c>
      <c r="J253">
        <v>1</v>
      </c>
      <c r="K253">
        <v>0</v>
      </c>
      <c r="L253" t="s">
        <v>238</v>
      </c>
      <c r="M253" t="s">
        <v>238</v>
      </c>
      <c r="N253" t="s">
        <v>238</v>
      </c>
      <c r="O253">
        <v>1</v>
      </c>
      <c r="P253">
        <v>1</v>
      </c>
      <c r="Q253">
        <v>1</v>
      </c>
      <c r="R253">
        <v>1</v>
      </c>
      <c r="S253">
        <v>1</v>
      </c>
      <c r="T253">
        <v>0</v>
      </c>
      <c r="U253">
        <v>0</v>
      </c>
      <c r="V253">
        <v>5</v>
      </c>
      <c r="W253">
        <v>3</v>
      </c>
      <c r="AA253">
        <v>1</v>
      </c>
      <c r="AC253">
        <v>0</v>
      </c>
      <c r="AD253">
        <v>0</v>
      </c>
      <c r="AE253">
        <v>1</v>
      </c>
      <c r="AF253">
        <v>0</v>
      </c>
      <c r="AG253">
        <v>0</v>
      </c>
      <c r="AH253">
        <v>76</v>
      </c>
      <c r="AI253">
        <v>0.67</v>
      </c>
      <c r="AJ253">
        <v>6</v>
      </c>
    </row>
    <row r="254" spans="1:36" x14ac:dyDescent="0.2">
      <c r="A254" t="str">
        <f>+VLOOKUP(B254,studies!$A$2:$C$102,3)</f>
        <v>Guo et al. (2006)</v>
      </c>
      <c r="B254">
        <v>45</v>
      </c>
      <c r="C254">
        <v>2006</v>
      </c>
      <c r="D254">
        <v>1</v>
      </c>
      <c r="E254">
        <v>1995</v>
      </c>
      <c r="F254">
        <v>2000</v>
      </c>
      <c r="G254">
        <v>1.5873015873015872E-2</v>
      </c>
      <c r="H254">
        <v>131.40690260754653</v>
      </c>
      <c r="I254">
        <v>0</v>
      </c>
      <c r="J254">
        <v>1</v>
      </c>
      <c r="K254">
        <v>0</v>
      </c>
      <c r="L254" t="s">
        <v>238</v>
      </c>
      <c r="M254" t="s">
        <v>238</v>
      </c>
      <c r="N254" t="s">
        <v>238</v>
      </c>
      <c r="O254">
        <v>0</v>
      </c>
      <c r="P254">
        <v>1</v>
      </c>
      <c r="Q254">
        <v>1</v>
      </c>
      <c r="R254">
        <v>1</v>
      </c>
      <c r="S254">
        <v>1</v>
      </c>
      <c r="T254">
        <v>0</v>
      </c>
      <c r="U254">
        <v>0</v>
      </c>
      <c r="W254">
        <v>0</v>
      </c>
      <c r="AA254">
        <v>0</v>
      </c>
      <c r="AC254">
        <v>0</v>
      </c>
      <c r="AD254">
        <v>0</v>
      </c>
      <c r="AE254">
        <v>1</v>
      </c>
      <c r="AF254">
        <v>0</v>
      </c>
      <c r="AG254">
        <v>0</v>
      </c>
      <c r="AH254">
        <v>103</v>
      </c>
      <c r="AI254">
        <v>1.24</v>
      </c>
      <c r="AJ254">
        <v>16</v>
      </c>
    </row>
    <row r="255" spans="1:36" x14ac:dyDescent="0.2">
      <c r="A255" t="str">
        <f>+VLOOKUP(B255,studies!$A$2:$C$102,3)</f>
        <v>Guo et al. (2006)</v>
      </c>
      <c r="B255">
        <v>45</v>
      </c>
      <c r="C255">
        <v>2006</v>
      </c>
      <c r="D255">
        <v>1</v>
      </c>
      <c r="E255">
        <v>1995</v>
      </c>
      <c r="F255">
        <v>2000</v>
      </c>
      <c r="G255">
        <v>1.5873015873015872E-2</v>
      </c>
      <c r="H255">
        <v>24.921998770396751</v>
      </c>
      <c r="I255">
        <v>0</v>
      </c>
      <c r="J255">
        <v>1</v>
      </c>
      <c r="K255">
        <v>0</v>
      </c>
      <c r="L255" t="s">
        <v>238</v>
      </c>
      <c r="M255" t="s">
        <v>238</v>
      </c>
      <c r="N255" t="s">
        <v>238</v>
      </c>
      <c r="O255">
        <v>0</v>
      </c>
      <c r="P255">
        <v>1</v>
      </c>
      <c r="Q255">
        <v>1</v>
      </c>
      <c r="R255">
        <v>1</v>
      </c>
      <c r="S255">
        <v>1</v>
      </c>
      <c r="T255">
        <v>0</v>
      </c>
      <c r="U255">
        <v>0</v>
      </c>
      <c r="W255">
        <v>1</v>
      </c>
      <c r="AA255">
        <v>0</v>
      </c>
      <c r="AC255">
        <v>0</v>
      </c>
      <c r="AD255">
        <v>0</v>
      </c>
      <c r="AE255">
        <v>1</v>
      </c>
      <c r="AF255">
        <v>0</v>
      </c>
      <c r="AG255">
        <v>0</v>
      </c>
      <c r="AH255">
        <v>103</v>
      </c>
      <c r="AI255">
        <v>1.24</v>
      </c>
      <c r="AJ255">
        <v>16</v>
      </c>
    </row>
    <row r="256" spans="1:36" x14ac:dyDescent="0.2">
      <c r="A256" t="str">
        <f>+VLOOKUP(B256,studies!$A$2:$C$102,3)</f>
        <v>Guo et al. (2006)</v>
      </c>
      <c r="B256">
        <v>45</v>
      </c>
      <c r="C256">
        <v>2006</v>
      </c>
      <c r="D256">
        <v>1</v>
      </c>
      <c r="E256">
        <v>1995</v>
      </c>
      <c r="F256">
        <v>2000</v>
      </c>
      <c r="G256">
        <v>1.5873015873015872E-2</v>
      </c>
      <c r="H256">
        <v>-5.2109633792647747</v>
      </c>
      <c r="I256">
        <v>0</v>
      </c>
      <c r="J256">
        <v>1</v>
      </c>
      <c r="K256">
        <v>0</v>
      </c>
      <c r="L256" t="s">
        <v>238</v>
      </c>
      <c r="M256" t="s">
        <v>238</v>
      </c>
      <c r="N256" t="s">
        <v>238</v>
      </c>
      <c r="O256">
        <v>0</v>
      </c>
      <c r="P256">
        <v>1</v>
      </c>
      <c r="Q256">
        <v>1</v>
      </c>
      <c r="R256">
        <v>1</v>
      </c>
      <c r="S256">
        <v>1</v>
      </c>
      <c r="T256">
        <v>0</v>
      </c>
      <c r="U256">
        <v>0</v>
      </c>
      <c r="W256">
        <v>3</v>
      </c>
      <c r="AA256">
        <v>0</v>
      </c>
      <c r="AC256">
        <v>0</v>
      </c>
      <c r="AD256">
        <v>0</v>
      </c>
      <c r="AE256">
        <v>1</v>
      </c>
      <c r="AF256">
        <v>0</v>
      </c>
      <c r="AG256">
        <v>0</v>
      </c>
      <c r="AH256">
        <v>103</v>
      </c>
      <c r="AI256">
        <v>1.24</v>
      </c>
      <c r="AJ256">
        <v>16</v>
      </c>
    </row>
    <row r="257" spans="1:36" x14ac:dyDescent="0.2">
      <c r="A257" t="str">
        <f>+VLOOKUP(B257,studies!$A$2:$C$102,3)</f>
        <v>Guo et al. (2006)</v>
      </c>
      <c r="B257">
        <v>45</v>
      </c>
      <c r="C257">
        <v>2006</v>
      </c>
      <c r="D257">
        <v>1</v>
      </c>
      <c r="E257">
        <v>1995</v>
      </c>
      <c r="F257">
        <v>2000</v>
      </c>
      <c r="G257">
        <v>0.14285714285714285</v>
      </c>
      <c r="H257">
        <v>40.781452533376502</v>
      </c>
      <c r="I257">
        <v>0</v>
      </c>
      <c r="J257">
        <v>1</v>
      </c>
      <c r="K257">
        <v>0</v>
      </c>
      <c r="L257" t="s">
        <v>238</v>
      </c>
      <c r="M257" t="s">
        <v>238</v>
      </c>
      <c r="N257" t="s">
        <v>238</v>
      </c>
      <c r="O257">
        <v>0</v>
      </c>
      <c r="P257">
        <v>1</v>
      </c>
      <c r="Q257">
        <v>1</v>
      </c>
      <c r="R257">
        <v>1</v>
      </c>
      <c r="S257">
        <v>1</v>
      </c>
      <c r="T257">
        <v>0</v>
      </c>
      <c r="U257">
        <v>0</v>
      </c>
      <c r="AA257">
        <v>0</v>
      </c>
      <c r="AC257">
        <v>0</v>
      </c>
      <c r="AD257">
        <v>0</v>
      </c>
      <c r="AE257">
        <v>1</v>
      </c>
      <c r="AF257">
        <v>0</v>
      </c>
      <c r="AG257">
        <v>0</v>
      </c>
      <c r="AH257">
        <v>103</v>
      </c>
      <c r="AI257">
        <v>1.24</v>
      </c>
      <c r="AJ257">
        <v>16</v>
      </c>
    </row>
    <row r="258" spans="1:36" x14ac:dyDescent="0.2">
      <c r="A258" t="str">
        <f>+VLOOKUP(B258,studies!$A$2:$C$102,3)</f>
        <v>Guo et al. (2006)</v>
      </c>
      <c r="B258">
        <v>45</v>
      </c>
      <c r="C258">
        <v>2006</v>
      </c>
      <c r="D258">
        <v>1</v>
      </c>
      <c r="E258">
        <v>1995</v>
      </c>
      <c r="F258">
        <v>2000</v>
      </c>
      <c r="G258">
        <v>7.9365079365079361E-3</v>
      </c>
      <c r="H258">
        <v>14.953199262238051</v>
      </c>
      <c r="I258">
        <v>0</v>
      </c>
      <c r="J258">
        <v>1</v>
      </c>
      <c r="K258">
        <v>0</v>
      </c>
      <c r="L258" t="s">
        <v>238</v>
      </c>
      <c r="M258" t="s">
        <v>238</v>
      </c>
      <c r="N258" t="s">
        <v>238</v>
      </c>
      <c r="O258">
        <v>0</v>
      </c>
      <c r="P258">
        <v>1</v>
      </c>
      <c r="Q258">
        <v>1</v>
      </c>
      <c r="R258">
        <v>1</v>
      </c>
      <c r="S258">
        <v>1</v>
      </c>
      <c r="T258">
        <v>0</v>
      </c>
      <c r="U258">
        <v>0</v>
      </c>
      <c r="V258">
        <v>3.5</v>
      </c>
      <c r="AA258">
        <v>0</v>
      </c>
      <c r="AC258">
        <v>0</v>
      </c>
      <c r="AD258">
        <v>0</v>
      </c>
      <c r="AE258">
        <v>1</v>
      </c>
      <c r="AF258">
        <v>0</v>
      </c>
      <c r="AG258">
        <v>0</v>
      </c>
      <c r="AH258">
        <v>103</v>
      </c>
      <c r="AI258">
        <v>1.24</v>
      </c>
      <c r="AJ258">
        <v>16</v>
      </c>
    </row>
    <row r="259" spans="1:36" x14ac:dyDescent="0.2">
      <c r="A259" t="str">
        <f>+VLOOKUP(B259,studies!$A$2:$C$102,3)</f>
        <v>Guo et al. (2006)</v>
      </c>
      <c r="B259">
        <v>45</v>
      </c>
      <c r="C259">
        <v>2006</v>
      </c>
      <c r="D259">
        <v>1</v>
      </c>
      <c r="E259">
        <v>1995</v>
      </c>
      <c r="F259">
        <v>2000</v>
      </c>
      <c r="G259">
        <v>0.14285714285714285</v>
      </c>
      <c r="H259">
        <v>199.37599016317401</v>
      </c>
      <c r="I259">
        <v>0</v>
      </c>
      <c r="J259">
        <v>1</v>
      </c>
      <c r="K259">
        <v>0</v>
      </c>
      <c r="L259" t="s">
        <v>238</v>
      </c>
      <c r="M259" t="s">
        <v>238</v>
      </c>
      <c r="N259" t="s">
        <v>238</v>
      </c>
      <c r="O259">
        <v>0</v>
      </c>
      <c r="P259">
        <v>1</v>
      </c>
      <c r="Q259">
        <v>1</v>
      </c>
      <c r="R259">
        <v>1</v>
      </c>
      <c r="S259">
        <v>1</v>
      </c>
      <c r="T259">
        <v>0</v>
      </c>
      <c r="U259">
        <v>0</v>
      </c>
      <c r="AA259">
        <v>0</v>
      </c>
      <c r="AC259">
        <v>0</v>
      </c>
      <c r="AD259">
        <v>0</v>
      </c>
      <c r="AE259">
        <v>1</v>
      </c>
      <c r="AF259">
        <v>0</v>
      </c>
      <c r="AG259">
        <v>0</v>
      </c>
      <c r="AH259">
        <v>103</v>
      </c>
      <c r="AI259">
        <v>1.24</v>
      </c>
      <c r="AJ259">
        <v>16</v>
      </c>
    </row>
    <row r="260" spans="1:36" x14ac:dyDescent="0.2">
      <c r="A260" t="str">
        <f>+VLOOKUP(B260,studies!$A$2:$C$102,3)</f>
        <v>Guo et al. (2006)</v>
      </c>
      <c r="B260">
        <v>45</v>
      </c>
      <c r="C260">
        <v>2006</v>
      </c>
      <c r="D260">
        <v>1</v>
      </c>
      <c r="E260">
        <v>1995</v>
      </c>
      <c r="F260">
        <v>2000</v>
      </c>
      <c r="G260">
        <v>7.9365079365079361E-3</v>
      </c>
      <c r="H260">
        <v>4.7578361288939259</v>
      </c>
      <c r="I260">
        <v>0</v>
      </c>
      <c r="J260">
        <v>1</v>
      </c>
      <c r="K260">
        <v>0</v>
      </c>
      <c r="L260" t="s">
        <v>238</v>
      </c>
      <c r="M260" t="s">
        <v>238</v>
      </c>
      <c r="N260" t="s">
        <v>238</v>
      </c>
      <c r="O260">
        <v>0</v>
      </c>
      <c r="P260">
        <v>1</v>
      </c>
      <c r="Q260">
        <v>1</v>
      </c>
      <c r="R260">
        <v>1</v>
      </c>
      <c r="S260">
        <v>1</v>
      </c>
      <c r="T260">
        <v>0</v>
      </c>
      <c r="U260">
        <v>0</v>
      </c>
      <c r="V260">
        <v>4</v>
      </c>
      <c r="AA260">
        <v>0</v>
      </c>
      <c r="AC260">
        <v>0</v>
      </c>
      <c r="AD260">
        <v>0</v>
      </c>
      <c r="AE260">
        <v>1</v>
      </c>
      <c r="AF260">
        <v>0</v>
      </c>
      <c r="AG260">
        <v>0</v>
      </c>
      <c r="AH260">
        <v>103</v>
      </c>
      <c r="AI260">
        <v>1.24</v>
      </c>
      <c r="AJ260">
        <v>16</v>
      </c>
    </row>
    <row r="261" spans="1:36" x14ac:dyDescent="0.2">
      <c r="A261" t="str">
        <f>+VLOOKUP(B261,studies!$A$2:$C$102,3)</f>
        <v>Guo et al. (2006)</v>
      </c>
      <c r="B261">
        <v>45</v>
      </c>
      <c r="C261">
        <v>2006</v>
      </c>
      <c r="D261">
        <v>1</v>
      </c>
      <c r="E261">
        <v>1995</v>
      </c>
      <c r="F261">
        <v>2000</v>
      </c>
      <c r="G261">
        <v>0.21428571428571427</v>
      </c>
      <c r="H261">
        <v>199.37599016317401</v>
      </c>
      <c r="I261">
        <v>0</v>
      </c>
      <c r="J261">
        <v>1</v>
      </c>
      <c r="K261">
        <v>0</v>
      </c>
      <c r="L261" t="s">
        <v>238</v>
      </c>
      <c r="M261" t="s">
        <v>238</v>
      </c>
      <c r="N261" t="s">
        <v>238</v>
      </c>
      <c r="O261">
        <v>0</v>
      </c>
      <c r="P261">
        <v>1</v>
      </c>
      <c r="Q261">
        <v>1</v>
      </c>
      <c r="R261">
        <v>1</v>
      </c>
      <c r="S261">
        <v>1</v>
      </c>
      <c r="T261">
        <v>0</v>
      </c>
      <c r="U261">
        <v>0</v>
      </c>
      <c r="AA261">
        <v>0</v>
      </c>
      <c r="AC261">
        <v>0</v>
      </c>
      <c r="AD261">
        <v>0</v>
      </c>
      <c r="AE261">
        <v>1</v>
      </c>
      <c r="AF261">
        <v>0</v>
      </c>
      <c r="AG261">
        <v>0</v>
      </c>
      <c r="AH261">
        <v>103</v>
      </c>
      <c r="AI261">
        <v>1.24</v>
      </c>
      <c r="AJ261">
        <v>16</v>
      </c>
    </row>
    <row r="262" spans="1:36" x14ac:dyDescent="0.2">
      <c r="A262" t="str">
        <f>+VLOOKUP(B262,studies!$A$2:$C$102,3)</f>
        <v>Guo et al. (2006)</v>
      </c>
      <c r="B262">
        <v>45</v>
      </c>
      <c r="C262">
        <v>2006</v>
      </c>
      <c r="D262">
        <v>1</v>
      </c>
      <c r="E262">
        <v>1995</v>
      </c>
      <c r="F262">
        <v>2000</v>
      </c>
      <c r="G262">
        <v>7.9365079365079361E-3</v>
      </c>
      <c r="H262">
        <v>4.7578361288939259</v>
      </c>
      <c r="I262">
        <v>0</v>
      </c>
      <c r="J262">
        <v>1</v>
      </c>
      <c r="K262">
        <v>0</v>
      </c>
      <c r="L262" t="s">
        <v>238</v>
      </c>
      <c r="M262" t="s">
        <v>238</v>
      </c>
      <c r="N262" t="s">
        <v>238</v>
      </c>
      <c r="O262">
        <v>0</v>
      </c>
      <c r="P262">
        <v>1</v>
      </c>
      <c r="Q262">
        <v>1</v>
      </c>
      <c r="R262">
        <v>1</v>
      </c>
      <c r="S262">
        <v>1</v>
      </c>
      <c r="T262">
        <v>0</v>
      </c>
      <c r="U262">
        <v>0</v>
      </c>
      <c r="V262">
        <v>4</v>
      </c>
      <c r="AA262">
        <v>0</v>
      </c>
      <c r="AC262">
        <v>0</v>
      </c>
      <c r="AD262">
        <v>0</v>
      </c>
      <c r="AE262">
        <v>1</v>
      </c>
      <c r="AF262">
        <v>0</v>
      </c>
      <c r="AG262">
        <v>0</v>
      </c>
      <c r="AH262">
        <v>103</v>
      </c>
      <c r="AI262">
        <v>1.24</v>
      </c>
      <c r="AJ262">
        <v>16</v>
      </c>
    </row>
    <row r="263" spans="1:36" x14ac:dyDescent="0.2">
      <c r="A263" t="str">
        <f>+VLOOKUP(B263,studies!$A$2:$C$102,3)</f>
        <v>Guo et al. (2006)</v>
      </c>
      <c r="B263">
        <v>45</v>
      </c>
      <c r="C263">
        <v>2006</v>
      </c>
      <c r="D263">
        <v>1</v>
      </c>
      <c r="E263">
        <v>1995</v>
      </c>
      <c r="F263">
        <v>2000</v>
      </c>
      <c r="G263">
        <v>3.5714285714285712E-2</v>
      </c>
      <c r="H263">
        <v>419.14270659303634</v>
      </c>
      <c r="I263">
        <v>0</v>
      </c>
      <c r="J263">
        <v>1</v>
      </c>
      <c r="K263">
        <v>0</v>
      </c>
      <c r="L263" t="s">
        <v>238</v>
      </c>
      <c r="M263" t="s">
        <v>238</v>
      </c>
      <c r="N263" t="s">
        <v>238</v>
      </c>
      <c r="O263">
        <v>0</v>
      </c>
      <c r="P263">
        <v>1</v>
      </c>
      <c r="Q263">
        <v>1</v>
      </c>
      <c r="R263">
        <v>1</v>
      </c>
      <c r="S263">
        <v>1</v>
      </c>
      <c r="T263">
        <v>0</v>
      </c>
      <c r="U263">
        <v>0</v>
      </c>
      <c r="W263">
        <v>0</v>
      </c>
      <c r="AA263">
        <v>0</v>
      </c>
      <c r="AC263">
        <v>0</v>
      </c>
      <c r="AD263">
        <v>0</v>
      </c>
      <c r="AE263">
        <v>1</v>
      </c>
      <c r="AF263">
        <v>0</v>
      </c>
      <c r="AG263">
        <v>0</v>
      </c>
      <c r="AH263">
        <v>103</v>
      </c>
      <c r="AI263">
        <v>1.24</v>
      </c>
      <c r="AJ263">
        <v>16</v>
      </c>
    </row>
    <row r="264" spans="1:36" x14ac:dyDescent="0.2">
      <c r="A264" t="str">
        <f>+VLOOKUP(B264,studies!$A$2:$C$102,3)</f>
        <v>Guo et al. (2006)</v>
      </c>
      <c r="B264">
        <v>45</v>
      </c>
      <c r="C264">
        <v>2006</v>
      </c>
      <c r="D264">
        <v>1</v>
      </c>
      <c r="E264">
        <v>1995</v>
      </c>
      <c r="F264">
        <v>2000</v>
      </c>
      <c r="G264">
        <v>3.5714285714285712E-2</v>
      </c>
      <c r="H264">
        <v>65.703451303773264</v>
      </c>
      <c r="I264">
        <v>0</v>
      </c>
      <c r="J264">
        <v>1</v>
      </c>
      <c r="K264">
        <v>0</v>
      </c>
      <c r="L264" t="s">
        <v>238</v>
      </c>
      <c r="M264" t="s">
        <v>238</v>
      </c>
      <c r="N264" t="s">
        <v>238</v>
      </c>
      <c r="O264">
        <v>0</v>
      </c>
      <c r="P264">
        <v>1</v>
      </c>
      <c r="Q264">
        <v>1</v>
      </c>
      <c r="R264">
        <v>1</v>
      </c>
      <c r="S264">
        <v>1</v>
      </c>
      <c r="T264">
        <v>0</v>
      </c>
      <c r="U264">
        <v>0</v>
      </c>
      <c r="W264">
        <v>1</v>
      </c>
      <c r="AA264">
        <v>0</v>
      </c>
      <c r="AC264">
        <v>0</v>
      </c>
      <c r="AD264">
        <v>0</v>
      </c>
      <c r="AE264">
        <v>1</v>
      </c>
      <c r="AF264">
        <v>0</v>
      </c>
      <c r="AG264">
        <v>0</v>
      </c>
      <c r="AH264">
        <v>103</v>
      </c>
      <c r="AI264">
        <v>1.24</v>
      </c>
      <c r="AJ264">
        <v>16</v>
      </c>
    </row>
    <row r="265" spans="1:36" x14ac:dyDescent="0.2">
      <c r="A265" t="str">
        <f>+VLOOKUP(B265,studies!$A$2:$C$102,3)</f>
        <v>Guo et al. (2006)</v>
      </c>
      <c r="B265">
        <v>45</v>
      </c>
      <c r="C265">
        <v>2006</v>
      </c>
      <c r="D265">
        <v>1</v>
      </c>
      <c r="E265">
        <v>1995</v>
      </c>
      <c r="F265">
        <v>2000</v>
      </c>
      <c r="G265">
        <v>3.5714285714285712E-2</v>
      </c>
      <c r="H265">
        <v>-2.9453271274105255</v>
      </c>
      <c r="I265">
        <v>0</v>
      </c>
      <c r="J265">
        <v>1</v>
      </c>
      <c r="K265">
        <v>0</v>
      </c>
      <c r="L265" t="s">
        <v>238</v>
      </c>
      <c r="M265" t="s">
        <v>238</v>
      </c>
      <c r="N265" t="s">
        <v>238</v>
      </c>
      <c r="O265">
        <v>0</v>
      </c>
      <c r="P265">
        <v>1</v>
      </c>
      <c r="Q265">
        <v>1</v>
      </c>
      <c r="R265">
        <v>1</v>
      </c>
      <c r="S265">
        <v>1</v>
      </c>
      <c r="T265">
        <v>0</v>
      </c>
      <c r="U265">
        <v>0</v>
      </c>
      <c r="W265">
        <v>3</v>
      </c>
      <c r="AA265">
        <v>0</v>
      </c>
      <c r="AC265">
        <v>0</v>
      </c>
      <c r="AD265">
        <v>0</v>
      </c>
      <c r="AE265">
        <v>1</v>
      </c>
      <c r="AF265">
        <v>0</v>
      </c>
      <c r="AG265">
        <v>0</v>
      </c>
      <c r="AH265">
        <v>103</v>
      </c>
      <c r="AI265">
        <v>1.24</v>
      </c>
      <c r="AJ265">
        <v>16</v>
      </c>
    </row>
    <row r="266" spans="1:36" x14ac:dyDescent="0.2">
      <c r="A266" t="str">
        <f>+VLOOKUP(B266,studies!$A$2:$C$102,3)</f>
        <v>Guo et al. (2006)</v>
      </c>
      <c r="B266">
        <v>45</v>
      </c>
      <c r="C266">
        <v>2006</v>
      </c>
      <c r="D266">
        <v>1</v>
      </c>
      <c r="E266">
        <v>1995</v>
      </c>
      <c r="F266">
        <v>2000</v>
      </c>
      <c r="G266">
        <v>3.5714285714285712E-2</v>
      </c>
      <c r="H266">
        <v>192.57908140761126</v>
      </c>
      <c r="I266">
        <v>0</v>
      </c>
      <c r="J266">
        <v>1</v>
      </c>
      <c r="K266">
        <v>0</v>
      </c>
      <c r="L266" t="s">
        <v>238</v>
      </c>
      <c r="M266" t="s">
        <v>238</v>
      </c>
      <c r="N266" t="s">
        <v>238</v>
      </c>
      <c r="O266">
        <v>0</v>
      </c>
      <c r="P266">
        <v>1</v>
      </c>
      <c r="Q266">
        <v>1</v>
      </c>
      <c r="R266">
        <v>1</v>
      </c>
      <c r="S266">
        <v>1</v>
      </c>
      <c r="T266">
        <v>0</v>
      </c>
      <c r="U266">
        <v>0</v>
      </c>
      <c r="W266">
        <v>0</v>
      </c>
      <c r="AA266">
        <v>0</v>
      </c>
      <c r="AC266">
        <v>0</v>
      </c>
      <c r="AD266">
        <v>0</v>
      </c>
      <c r="AE266">
        <v>1</v>
      </c>
      <c r="AF266">
        <v>0</v>
      </c>
      <c r="AG266">
        <v>0</v>
      </c>
      <c r="AH266">
        <v>103</v>
      </c>
      <c r="AI266">
        <v>1.24</v>
      </c>
      <c r="AJ266">
        <v>16</v>
      </c>
    </row>
    <row r="267" spans="1:36" x14ac:dyDescent="0.2">
      <c r="A267" t="str">
        <f>+VLOOKUP(B267,studies!$A$2:$C$102,3)</f>
        <v>Guo et al. (2006)</v>
      </c>
      <c r="B267">
        <v>45</v>
      </c>
      <c r="C267">
        <v>2006</v>
      </c>
      <c r="D267">
        <v>1</v>
      </c>
      <c r="E267">
        <v>1995</v>
      </c>
      <c r="F267">
        <v>2000</v>
      </c>
      <c r="G267">
        <v>3.5714285714285712E-2</v>
      </c>
      <c r="H267">
        <v>33.984543777813755</v>
      </c>
      <c r="I267">
        <v>0</v>
      </c>
      <c r="J267">
        <v>1</v>
      </c>
      <c r="K267">
        <v>0</v>
      </c>
      <c r="L267" t="s">
        <v>238</v>
      </c>
      <c r="M267" t="s">
        <v>238</v>
      </c>
      <c r="N267" t="s">
        <v>238</v>
      </c>
      <c r="O267">
        <v>0</v>
      </c>
      <c r="P267">
        <v>1</v>
      </c>
      <c r="Q267">
        <v>1</v>
      </c>
      <c r="R267">
        <v>1</v>
      </c>
      <c r="S267">
        <v>1</v>
      </c>
      <c r="T267">
        <v>0</v>
      </c>
      <c r="U267">
        <v>0</v>
      </c>
      <c r="W267">
        <v>1</v>
      </c>
      <c r="AA267">
        <v>0</v>
      </c>
      <c r="AC267">
        <v>0</v>
      </c>
      <c r="AD267">
        <v>0</v>
      </c>
      <c r="AE267">
        <v>1</v>
      </c>
      <c r="AF267">
        <v>0</v>
      </c>
      <c r="AG267">
        <v>0</v>
      </c>
      <c r="AH267">
        <v>103</v>
      </c>
      <c r="AI267">
        <v>1.24</v>
      </c>
      <c r="AJ267">
        <v>16</v>
      </c>
    </row>
    <row r="268" spans="1:36" x14ac:dyDescent="0.2">
      <c r="A268" t="str">
        <f>+VLOOKUP(B268,studies!$A$2:$C$102,3)</f>
        <v>Guo et al. (2006)</v>
      </c>
      <c r="B268">
        <v>45</v>
      </c>
      <c r="C268">
        <v>2006</v>
      </c>
      <c r="D268">
        <v>1</v>
      </c>
      <c r="E268">
        <v>1995</v>
      </c>
      <c r="F268">
        <v>2000</v>
      </c>
      <c r="G268">
        <v>3.5714285714285712E-2</v>
      </c>
      <c r="H268">
        <v>-4.7578361288939259</v>
      </c>
      <c r="I268">
        <v>0</v>
      </c>
      <c r="J268">
        <v>1</v>
      </c>
      <c r="K268">
        <v>0</v>
      </c>
      <c r="L268" t="s">
        <v>238</v>
      </c>
      <c r="M268" t="s">
        <v>238</v>
      </c>
      <c r="N268" t="s">
        <v>238</v>
      </c>
      <c r="O268">
        <v>0</v>
      </c>
      <c r="P268">
        <v>1</v>
      </c>
      <c r="Q268">
        <v>1</v>
      </c>
      <c r="R268">
        <v>1</v>
      </c>
      <c r="S268">
        <v>1</v>
      </c>
      <c r="T268">
        <v>0</v>
      </c>
      <c r="U268">
        <v>0</v>
      </c>
      <c r="W268">
        <v>3</v>
      </c>
      <c r="AA268">
        <v>0</v>
      </c>
      <c r="AC268">
        <v>0</v>
      </c>
      <c r="AD268">
        <v>0</v>
      </c>
      <c r="AE268">
        <v>1</v>
      </c>
      <c r="AF268">
        <v>0</v>
      </c>
      <c r="AG268">
        <v>0</v>
      </c>
      <c r="AH268">
        <v>103</v>
      </c>
      <c r="AI268">
        <v>1.24</v>
      </c>
      <c r="AJ268">
        <v>16</v>
      </c>
    </row>
    <row r="269" spans="1:36" x14ac:dyDescent="0.2">
      <c r="A269" t="str">
        <f>+VLOOKUP(B269,studies!$A$2:$C$102,3)</f>
        <v>Guo et al. (2006)</v>
      </c>
      <c r="B269">
        <v>45</v>
      </c>
      <c r="C269">
        <v>2006</v>
      </c>
      <c r="D269">
        <v>1</v>
      </c>
      <c r="E269">
        <v>1995</v>
      </c>
      <c r="F269">
        <v>2000</v>
      </c>
      <c r="G269">
        <v>0.21428571428571427</v>
      </c>
      <c r="H269">
        <v>79.297268814898757</v>
      </c>
      <c r="I269">
        <v>0</v>
      </c>
      <c r="J269">
        <v>1</v>
      </c>
      <c r="K269">
        <v>0</v>
      </c>
      <c r="L269" t="s">
        <v>238</v>
      </c>
      <c r="M269" t="s">
        <v>238</v>
      </c>
      <c r="N269" t="s">
        <v>238</v>
      </c>
      <c r="O269">
        <v>0</v>
      </c>
      <c r="P269">
        <v>1</v>
      </c>
      <c r="Q269">
        <v>1</v>
      </c>
      <c r="R269">
        <v>1</v>
      </c>
      <c r="S269">
        <v>1</v>
      </c>
      <c r="T269">
        <v>0</v>
      </c>
      <c r="U269">
        <v>0</v>
      </c>
      <c r="AA269">
        <v>0</v>
      </c>
      <c r="AC269">
        <v>0</v>
      </c>
      <c r="AD269">
        <v>0</v>
      </c>
      <c r="AE269">
        <v>1</v>
      </c>
      <c r="AF269">
        <v>0</v>
      </c>
      <c r="AG269">
        <v>0</v>
      </c>
      <c r="AH269">
        <v>103</v>
      </c>
      <c r="AI269">
        <v>1.24</v>
      </c>
      <c r="AJ269">
        <v>16</v>
      </c>
    </row>
    <row r="270" spans="1:36" x14ac:dyDescent="0.2">
      <c r="A270" t="str">
        <f>+VLOOKUP(B270,studies!$A$2:$C$102,3)</f>
        <v>Hope (2006)</v>
      </c>
      <c r="B270">
        <v>46</v>
      </c>
      <c r="C270">
        <v>2006</v>
      </c>
      <c r="D270">
        <v>1</v>
      </c>
      <c r="E270">
        <v>2000</v>
      </c>
      <c r="F270">
        <v>2000</v>
      </c>
      <c r="G270">
        <v>1</v>
      </c>
      <c r="H270">
        <v>38.097423524211194</v>
      </c>
      <c r="I270">
        <v>1</v>
      </c>
      <c r="J270">
        <v>0</v>
      </c>
      <c r="K270">
        <v>0</v>
      </c>
      <c r="L270" t="s">
        <v>238</v>
      </c>
      <c r="M270">
        <v>15.345363932952951</v>
      </c>
      <c r="N270">
        <v>32.736776390299632</v>
      </c>
      <c r="O270">
        <v>0</v>
      </c>
      <c r="P270">
        <v>1</v>
      </c>
      <c r="Q270">
        <v>0</v>
      </c>
      <c r="R270">
        <v>1</v>
      </c>
      <c r="S270">
        <v>0</v>
      </c>
      <c r="T270">
        <v>0</v>
      </c>
      <c r="U270">
        <v>1</v>
      </c>
      <c r="W270">
        <v>3</v>
      </c>
      <c r="AA270">
        <v>0</v>
      </c>
      <c r="AC270">
        <v>1</v>
      </c>
      <c r="AD270">
        <v>0</v>
      </c>
      <c r="AE270">
        <v>0</v>
      </c>
      <c r="AF270">
        <v>0</v>
      </c>
      <c r="AG270">
        <v>0</v>
      </c>
      <c r="AH270">
        <v>307</v>
      </c>
      <c r="AI270">
        <v>0</v>
      </c>
      <c r="AJ270">
        <v>1</v>
      </c>
    </row>
    <row r="271" spans="1:36" x14ac:dyDescent="0.2">
      <c r="A271" t="str">
        <f>+VLOOKUP(B271,studies!$A$2:$C$102,3)</f>
        <v>Stern et al. (2006)</v>
      </c>
      <c r="B271">
        <v>47</v>
      </c>
      <c r="C271">
        <v>2006</v>
      </c>
      <c r="D271">
        <v>0</v>
      </c>
      <c r="E271">
        <v>2000</v>
      </c>
      <c r="F271">
        <v>2000</v>
      </c>
      <c r="G271">
        <v>1</v>
      </c>
      <c r="H271">
        <v>629.61005192643768</v>
      </c>
      <c r="I271">
        <v>0</v>
      </c>
      <c r="J271">
        <v>1</v>
      </c>
      <c r="K271">
        <v>0</v>
      </c>
      <c r="L271" t="s">
        <v>238</v>
      </c>
      <c r="M271" t="s">
        <v>238</v>
      </c>
      <c r="N271" t="s">
        <v>238</v>
      </c>
      <c r="O271">
        <v>0</v>
      </c>
      <c r="P271">
        <v>1</v>
      </c>
      <c r="Q271">
        <v>0</v>
      </c>
      <c r="R271">
        <v>1</v>
      </c>
      <c r="S271">
        <v>0</v>
      </c>
      <c r="T271">
        <v>0</v>
      </c>
      <c r="U271">
        <v>1</v>
      </c>
      <c r="V271">
        <v>1.4</v>
      </c>
      <c r="W271">
        <v>0.1</v>
      </c>
      <c r="X271">
        <v>1</v>
      </c>
      <c r="Y271">
        <v>1.3</v>
      </c>
      <c r="AA271">
        <v>0</v>
      </c>
      <c r="AB271">
        <v>4</v>
      </c>
      <c r="AC271">
        <v>0</v>
      </c>
      <c r="AD271">
        <v>0</v>
      </c>
      <c r="AE271">
        <v>0</v>
      </c>
      <c r="AF271">
        <v>0</v>
      </c>
      <c r="AG271">
        <v>0</v>
      </c>
      <c r="AH271">
        <v>4237</v>
      </c>
      <c r="AI271">
        <v>0</v>
      </c>
      <c r="AJ271">
        <v>1</v>
      </c>
    </row>
    <row r="272" spans="1:36" x14ac:dyDescent="0.2">
      <c r="A272" t="str">
        <f>+VLOOKUP(B272,studies!$A$2:$C$102,3)</f>
        <v>Wahba &amp; Hope (2006)</v>
      </c>
      <c r="B272">
        <v>48</v>
      </c>
      <c r="C272">
        <v>2006</v>
      </c>
      <c r="D272">
        <v>1</v>
      </c>
      <c r="E272">
        <v>2000</v>
      </c>
      <c r="F272">
        <v>2000</v>
      </c>
      <c r="G272">
        <v>0.2</v>
      </c>
      <c r="H272">
        <v>38.097423524211194</v>
      </c>
      <c r="I272">
        <v>1</v>
      </c>
      <c r="J272">
        <v>0</v>
      </c>
      <c r="K272">
        <v>0</v>
      </c>
      <c r="L272" t="s">
        <v>238</v>
      </c>
      <c r="M272">
        <v>14.32233967075609</v>
      </c>
      <c r="N272">
        <v>30.690727865905902</v>
      </c>
      <c r="O272">
        <v>0</v>
      </c>
      <c r="P272">
        <v>1</v>
      </c>
      <c r="Q272">
        <v>0</v>
      </c>
      <c r="R272">
        <v>1</v>
      </c>
      <c r="S272">
        <v>0</v>
      </c>
      <c r="T272">
        <v>0</v>
      </c>
      <c r="U272">
        <v>1</v>
      </c>
      <c r="W272">
        <v>3</v>
      </c>
      <c r="X272">
        <v>1</v>
      </c>
      <c r="AA272">
        <v>0</v>
      </c>
      <c r="AC272">
        <v>1</v>
      </c>
      <c r="AD272">
        <v>0</v>
      </c>
      <c r="AE272">
        <v>0</v>
      </c>
      <c r="AF272">
        <v>0</v>
      </c>
      <c r="AG272">
        <v>0</v>
      </c>
      <c r="AH272">
        <v>11</v>
      </c>
      <c r="AI272">
        <v>1.6</v>
      </c>
      <c r="AJ272">
        <v>8</v>
      </c>
    </row>
    <row r="273" spans="1:36" x14ac:dyDescent="0.2">
      <c r="A273" t="str">
        <f>+VLOOKUP(B273,studies!$A$2:$C$102,3)</f>
        <v>Wahba &amp; Hope (2006)</v>
      </c>
      <c r="B273">
        <v>48</v>
      </c>
      <c r="C273">
        <v>2006</v>
      </c>
      <c r="D273">
        <v>1</v>
      </c>
      <c r="E273">
        <v>2000</v>
      </c>
      <c r="F273">
        <v>2000</v>
      </c>
      <c r="G273">
        <v>0.2</v>
      </c>
      <c r="H273">
        <v>28.071785754681933</v>
      </c>
      <c r="I273">
        <v>1</v>
      </c>
      <c r="J273">
        <v>0</v>
      </c>
      <c r="K273">
        <v>0</v>
      </c>
      <c r="L273" t="s">
        <v>238</v>
      </c>
      <c r="M273">
        <v>11.2532668841655</v>
      </c>
      <c r="N273">
        <v>27.621655079315314</v>
      </c>
      <c r="O273">
        <v>0</v>
      </c>
      <c r="P273">
        <v>1</v>
      </c>
      <c r="Q273">
        <v>0</v>
      </c>
      <c r="R273">
        <v>1</v>
      </c>
      <c r="S273">
        <v>0</v>
      </c>
      <c r="T273">
        <v>0</v>
      </c>
      <c r="U273">
        <v>1</v>
      </c>
      <c r="W273">
        <v>3</v>
      </c>
      <c r="X273">
        <v>1</v>
      </c>
      <c r="AA273">
        <v>0</v>
      </c>
      <c r="AC273">
        <v>1</v>
      </c>
      <c r="AD273">
        <v>0</v>
      </c>
      <c r="AE273">
        <v>0</v>
      </c>
      <c r="AF273">
        <v>0</v>
      </c>
      <c r="AG273">
        <v>0</v>
      </c>
      <c r="AH273">
        <v>11</v>
      </c>
      <c r="AI273">
        <v>1.6</v>
      </c>
      <c r="AJ273">
        <v>8</v>
      </c>
    </row>
    <row r="274" spans="1:36" x14ac:dyDescent="0.2">
      <c r="A274" t="str">
        <f>+VLOOKUP(B274,studies!$A$2:$C$102,3)</f>
        <v>Wahba &amp; Hope (2006)</v>
      </c>
      <c r="B274">
        <v>48</v>
      </c>
      <c r="C274">
        <v>2006</v>
      </c>
      <c r="D274">
        <v>1</v>
      </c>
      <c r="E274">
        <v>2000</v>
      </c>
      <c r="F274">
        <v>2000</v>
      </c>
      <c r="G274">
        <v>0.1</v>
      </c>
      <c r="H274">
        <v>94.240995033575075</v>
      </c>
      <c r="I274">
        <v>1</v>
      </c>
      <c r="J274">
        <v>0</v>
      </c>
      <c r="K274">
        <v>0</v>
      </c>
      <c r="L274" t="s">
        <v>238</v>
      </c>
      <c r="M274" t="s">
        <v>238</v>
      </c>
      <c r="N274" t="s">
        <v>238</v>
      </c>
      <c r="O274">
        <v>0</v>
      </c>
      <c r="P274">
        <v>1</v>
      </c>
      <c r="Q274">
        <v>0</v>
      </c>
      <c r="R274">
        <v>1</v>
      </c>
      <c r="S274">
        <v>0</v>
      </c>
      <c r="T274">
        <v>0</v>
      </c>
      <c r="U274">
        <v>1</v>
      </c>
      <c r="W274">
        <v>2</v>
      </c>
      <c r="X274">
        <v>1</v>
      </c>
      <c r="AA274">
        <v>0</v>
      </c>
      <c r="AC274">
        <v>1</v>
      </c>
      <c r="AD274">
        <v>0</v>
      </c>
      <c r="AE274">
        <v>0</v>
      </c>
      <c r="AF274">
        <v>0</v>
      </c>
      <c r="AG274">
        <v>0</v>
      </c>
      <c r="AH274">
        <v>11</v>
      </c>
      <c r="AI274">
        <v>1.6</v>
      </c>
      <c r="AJ274">
        <v>8</v>
      </c>
    </row>
    <row r="275" spans="1:36" x14ac:dyDescent="0.2">
      <c r="A275" t="str">
        <f>+VLOOKUP(B275,studies!$A$2:$C$102,3)</f>
        <v>Wahba &amp; Hope (2006)</v>
      </c>
      <c r="B275">
        <v>48</v>
      </c>
      <c r="C275">
        <v>2006</v>
      </c>
      <c r="D275">
        <v>1</v>
      </c>
      <c r="E275">
        <v>2000</v>
      </c>
      <c r="F275">
        <v>2000</v>
      </c>
      <c r="G275">
        <v>0.1</v>
      </c>
      <c r="H275">
        <v>290.74349531634857</v>
      </c>
      <c r="I275">
        <v>1</v>
      </c>
      <c r="J275">
        <v>0</v>
      </c>
      <c r="K275">
        <v>0</v>
      </c>
      <c r="L275" t="s">
        <v>238</v>
      </c>
      <c r="M275" t="s">
        <v>238</v>
      </c>
      <c r="N275" t="s">
        <v>238</v>
      </c>
      <c r="O275">
        <v>0</v>
      </c>
      <c r="P275">
        <v>1</v>
      </c>
      <c r="Q275">
        <v>0</v>
      </c>
      <c r="R275">
        <v>1</v>
      </c>
      <c r="S275">
        <v>0</v>
      </c>
      <c r="T275">
        <v>0</v>
      </c>
      <c r="U275">
        <v>1</v>
      </c>
      <c r="W275">
        <v>1</v>
      </c>
      <c r="X275">
        <v>1</v>
      </c>
      <c r="AA275">
        <v>0</v>
      </c>
      <c r="AC275">
        <v>1</v>
      </c>
      <c r="AD275">
        <v>0</v>
      </c>
      <c r="AE275">
        <v>0</v>
      </c>
      <c r="AF275">
        <v>0</v>
      </c>
      <c r="AG275">
        <v>0</v>
      </c>
      <c r="AH275">
        <v>11</v>
      </c>
      <c r="AI275">
        <v>1.6</v>
      </c>
      <c r="AJ275">
        <v>8</v>
      </c>
    </row>
    <row r="276" spans="1:36" x14ac:dyDescent="0.2">
      <c r="A276" t="str">
        <f>+VLOOKUP(B276,studies!$A$2:$C$102,3)</f>
        <v>Wahba &amp; Hope (2006)</v>
      </c>
      <c r="B276">
        <v>48</v>
      </c>
      <c r="C276">
        <v>2006</v>
      </c>
      <c r="D276">
        <v>1</v>
      </c>
      <c r="E276">
        <v>2000</v>
      </c>
      <c r="F276">
        <v>2000</v>
      </c>
      <c r="G276">
        <v>0.1</v>
      </c>
      <c r="H276">
        <v>60.153826617175575</v>
      </c>
      <c r="I276">
        <v>1</v>
      </c>
      <c r="J276">
        <v>0</v>
      </c>
      <c r="K276">
        <v>0</v>
      </c>
      <c r="L276" t="s">
        <v>238</v>
      </c>
      <c r="M276" t="s">
        <v>238</v>
      </c>
      <c r="N276" t="s">
        <v>238</v>
      </c>
      <c r="O276">
        <v>0</v>
      </c>
      <c r="P276">
        <v>1</v>
      </c>
      <c r="Q276">
        <v>0</v>
      </c>
      <c r="R276">
        <v>1</v>
      </c>
      <c r="S276">
        <v>0</v>
      </c>
      <c r="T276">
        <v>0</v>
      </c>
      <c r="U276">
        <v>1</v>
      </c>
      <c r="W276">
        <v>2</v>
      </c>
      <c r="X276">
        <v>1</v>
      </c>
      <c r="AA276">
        <v>0</v>
      </c>
      <c r="AC276">
        <v>1</v>
      </c>
      <c r="AD276">
        <v>0</v>
      </c>
      <c r="AE276">
        <v>0</v>
      </c>
      <c r="AF276">
        <v>0</v>
      </c>
      <c r="AG276">
        <v>0</v>
      </c>
      <c r="AH276">
        <v>11</v>
      </c>
      <c r="AI276">
        <v>1.6</v>
      </c>
      <c r="AJ276">
        <v>8</v>
      </c>
    </row>
    <row r="277" spans="1:36" x14ac:dyDescent="0.2">
      <c r="A277" t="str">
        <f>+VLOOKUP(B277,studies!$A$2:$C$102,3)</f>
        <v>Wahba &amp; Hope (2006)</v>
      </c>
      <c r="B277">
        <v>48</v>
      </c>
      <c r="C277">
        <v>2006</v>
      </c>
      <c r="D277">
        <v>1</v>
      </c>
      <c r="E277">
        <v>2000</v>
      </c>
      <c r="F277">
        <v>2000</v>
      </c>
      <c r="G277">
        <v>0.1</v>
      </c>
      <c r="H277">
        <v>182.46660740543257</v>
      </c>
      <c r="I277">
        <v>1</v>
      </c>
      <c r="J277">
        <v>0</v>
      </c>
      <c r="K277">
        <v>0</v>
      </c>
      <c r="L277" t="s">
        <v>238</v>
      </c>
      <c r="M277" t="s">
        <v>238</v>
      </c>
      <c r="N277" t="s">
        <v>238</v>
      </c>
      <c r="O277">
        <v>0</v>
      </c>
      <c r="P277">
        <v>1</v>
      </c>
      <c r="Q277">
        <v>0</v>
      </c>
      <c r="R277">
        <v>1</v>
      </c>
      <c r="S277">
        <v>0</v>
      </c>
      <c r="T277">
        <v>0</v>
      </c>
      <c r="U277">
        <v>1</v>
      </c>
      <c r="W277">
        <v>1</v>
      </c>
      <c r="X277">
        <v>1</v>
      </c>
      <c r="AA277">
        <v>0</v>
      </c>
      <c r="AC277">
        <v>1</v>
      </c>
      <c r="AD277">
        <v>0</v>
      </c>
      <c r="AE277">
        <v>0</v>
      </c>
      <c r="AF277">
        <v>0</v>
      </c>
      <c r="AG277">
        <v>0</v>
      </c>
      <c r="AH277">
        <v>11</v>
      </c>
      <c r="AI277">
        <v>1.6</v>
      </c>
      <c r="AJ277">
        <v>8</v>
      </c>
    </row>
    <row r="278" spans="1:36" x14ac:dyDescent="0.2">
      <c r="A278" t="str">
        <f>+VLOOKUP(B278,studies!$A$2:$C$102,3)</f>
        <v>Wahba &amp; Hope (2006)</v>
      </c>
      <c r="B278">
        <v>48</v>
      </c>
      <c r="C278">
        <v>2006</v>
      </c>
      <c r="D278">
        <v>1</v>
      </c>
      <c r="E278">
        <v>2000</v>
      </c>
      <c r="F278">
        <v>2000</v>
      </c>
      <c r="G278">
        <v>0.1</v>
      </c>
      <c r="H278">
        <v>58.148699063269717</v>
      </c>
      <c r="I278">
        <v>1</v>
      </c>
      <c r="J278">
        <v>0</v>
      </c>
      <c r="K278">
        <v>0</v>
      </c>
      <c r="L278" t="s">
        <v>238</v>
      </c>
      <c r="M278" t="s">
        <v>238</v>
      </c>
      <c r="N278" t="s">
        <v>238</v>
      </c>
      <c r="O278">
        <v>0</v>
      </c>
      <c r="P278">
        <v>1</v>
      </c>
      <c r="Q278">
        <v>0</v>
      </c>
      <c r="R278">
        <v>1</v>
      </c>
      <c r="S278">
        <v>0</v>
      </c>
      <c r="T278">
        <v>0</v>
      </c>
      <c r="U278">
        <v>1</v>
      </c>
      <c r="W278">
        <v>3</v>
      </c>
      <c r="X278">
        <v>1</v>
      </c>
      <c r="AA278">
        <v>0</v>
      </c>
      <c r="AC278">
        <v>1</v>
      </c>
      <c r="AD278">
        <v>0</v>
      </c>
      <c r="AE278">
        <v>0</v>
      </c>
      <c r="AF278">
        <v>0</v>
      </c>
      <c r="AG278">
        <v>0</v>
      </c>
      <c r="AH278">
        <v>11</v>
      </c>
      <c r="AI278">
        <v>1.6</v>
      </c>
      <c r="AJ278">
        <v>8</v>
      </c>
    </row>
    <row r="279" spans="1:36" x14ac:dyDescent="0.2">
      <c r="A279" t="str">
        <f>+VLOOKUP(B279,studies!$A$2:$C$102,3)</f>
        <v>Wahba &amp; Hope (2006)</v>
      </c>
      <c r="B279">
        <v>48</v>
      </c>
      <c r="C279">
        <v>2006</v>
      </c>
      <c r="D279">
        <v>1</v>
      </c>
      <c r="E279">
        <v>2000</v>
      </c>
      <c r="F279">
        <v>2007</v>
      </c>
      <c r="G279">
        <v>0</v>
      </c>
      <c r="H279">
        <v>32.361006116925253</v>
      </c>
      <c r="I279">
        <v>1</v>
      </c>
      <c r="J279">
        <v>0</v>
      </c>
      <c r="K279">
        <v>0</v>
      </c>
      <c r="L279" t="s">
        <v>238</v>
      </c>
      <c r="M279" t="s">
        <v>238</v>
      </c>
      <c r="N279" t="s">
        <v>238</v>
      </c>
      <c r="O279">
        <v>0</v>
      </c>
      <c r="P279">
        <v>1</v>
      </c>
      <c r="Q279">
        <v>0</v>
      </c>
      <c r="R279">
        <v>1</v>
      </c>
      <c r="S279">
        <v>0</v>
      </c>
      <c r="T279">
        <v>0</v>
      </c>
      <c r="U279">
        <v>1</v>
      </c>
      <c r="W279">
        <v>3</v>
      </c>
      <c r="X279">
        <v>1</v>
      </c>
      <c r="AA279">
        <v>0</v>
      </c>
      <c r="AC279">
        <v>1</v>
      </c>
      <c r="AD279">
        <v>0</v>
      </c>
      <c r="AE279">
        <v>0</v>
      </c>
      <c r="AF279">
        <v>0</v>
      </c>
      <c r="AG279">
        <v>0</v>
      </c>
      <c r="AH279">
        <v>11</v>
      </c>
      <c r="AI279">
        <v>1.6</v>
      </c>
      <c r="AJ279">
        <v>8</v>
      </c>
    </row>
    <row r="280" spans="1:36" x14ac:dyDescent="0.2">
      <c r="A280" t="str">
        <f>+VLOOKUP(B280,studies!$A$2:$C$102,3)</f>
        <v>Stern &amp; Taylor (2007)</v>
      </c>
      <c r="B280">
        <v>49</v>
      </c>
      <c r="C280">
        <v>2007</v>
      </c>
      <c r="D280">
        <v>1</v>
      </c>
      <c r="E280">
        <v>2000</v>
      </c>
      <c r="F280">
        <v>2000</v>
      </c>
      <c r="G280">
        <v>0.5</v>
      </c>
      <c r="H280">
        <v>183.80335910803649</v>
      </c>
      <c r="I280">
        <v>0</v>
      </c>
      <c r="J280">
        <v>1</v>
      </c>
      <c r="K280">
        <v>0</v>
      </c>
      <c r="L280" t="s">
        <v>238</v>
      </c>
      <c r="M280" t="s">
        <v>238</v>
      </c>
      <c r="N280" t="s">
        <v>238</v>
      </c>
      <c r="O280">
        <v>0</v>
      </c>
      <c r="P280">
        <v>1</v>
      </c>
      <c r="Q280">
        <v>0</v>
      </c>
      <c r="R280">
        <v>1</v>
      </c>
      <c r="S280">
        <v>0</v>
      </c>
      <c r="T280">
        <v>0</v>
      </c>
      <c r="U280">
        <v>1</v>
      </c>
      <c r="W280">
        <v>0</v>
      </c>
      <c r="AA280">
        <v>0</v>
      </c>
      <c r="AC280">
        <v>0</v>
      </c>
      <c r="AD280">
        <v>0</v>
      </c>
      <c r="AE280">
        <v>0</v>
      </c>
      <c r="AF280">
        <v>1</v>
      </c>
      <c r="AG280">
        <v>0</v>
      </c>
      <c r="AH280">
        <v>80</v>
      </c>
      <c r="AI280">
        <v>10.62</v>
      </c>
      <c r="AJ280">
        <v>2</v>
      </c>
    </row>
    <row r="281" spans="1:36" x14ac:dyDescent="0.2">
      <c r="A281" t="str">
        <f>+VLOOKUP(B281,studies!$A$2:$C$102,3)</f>
        <v>Stern &amp; Taylor (2007)</v>
      </c>
      <c r="B281">
        <v>49</v>
      </c>
      <c r="C281">
        <v>2007</v>
      </c>
      <c r="D281">
        <v>1</v>
      </c>
      <c r="E281">
        <v>2000</v>
      </c>
      <c r="F281">
        <v>2000</v>
      </c>
      <c r="G281">
        <v>0.5</v>
      </c>
      <c r="H281">
        <v>220.56403092964379</v>
      </c>
      <c r="I281">
        <v>0</v>
      </c>
      <c r="J281">
        <v>1</v>
      </c>
      <c r="K281">
        <v>0</v>
      </c>
      <c r="L281" t="s">
        <v>238</v>
      </c>
      <c r="M281" t="s">
        <v>238</v>
      </c>
      <c r="N281" t="s">
        <v>238</v>
      </c>
      <c r="O281">
        <v>0</v>
      </c>
      <c r="P281">
        <v>1</v>
      </c>
      <c r="Q281">
        <v>0</v>
      </c>
      <c r="R281">
        <v>1</v>
      </c>
      <c r="S281">
        <v>0</v>
      </c>
      <c r="T281">
        <v>0</v>
      </c>
      <c r="U281">
        <v>1</v>
      </c>
      <c r="W281">
        <v>0</v>
      </c>
      <c r="AA281">
        <v>0</v>
      </c>
      <c r="AC281">
        <v>0</v>
      </c>
      <c r="AD281">
        <v>0</v>
      </c>
      <c r="AE281">
        <v>0</v>
      </c>
      <c r="AF281">
        <v>1</v>
      </c>
      <c r="AG281">
        <v>0</v>
      </c>
      <c r="AH281">
        <v>80</v>
      </c>
      <c r="AI281">
        <v>10.62</v>
      </c>
      <c r="AJ281">
        <v>2</v>
      </c>
    </row>
    <row r="282" spans="1:36" x14ac:dyDescent="0.2">
      <c r="A282" t="str">
        <f>+VLOOKUP(B282,studies!$A$2:$C$102,3)</f>
        <v>Hope (2008b)</v>
      </c>
      <c r="B282">
        <v>50</v>
      </c>
      <c r="C282">
        <v>2008</v>
      </c>
      <c r="D282">
        <v>1</v>
      </c>
      <c r="E282">
        <v>2000</v>
      </c>
      <c r="F282">
        <v>2000</v>
      </c>
      <c r="G282">
        <v>0.2</v>
      </c>
      <c r="H282">
        <v>28.071785754681933</v>
      </c>
      <c r="I282">
        <v>1</v>
      </c>
      <c r="J282">
        <v>0</v>
      </c>
      <c r="K282">
        <v>0</v>
      </c>
      <c r="L282" t="s">
        <v>238</v>
      </c>
      <c r="M282">
        <v>11.2532668841655</v>
      </c>
      <c r="N282">
        <v>27.621655079315314</v>
      </c>
      <c r="O282">
        <v>0</v>
      </c>
      <c r="P282">
        <v>1</v>
      </c>
      <c r="Q282">
        <v>0</v>
      </c>
      <c r="R282">
        <v>1</v>
      </c>
      <c r="S282">
        <v>0</v>
      </c>
      <c r="T282">
        <v>0</v>
      </c>
      <c r="U282">
        <v>1</v>
      </c>
      <c r="W282">
        <v>2</v>
      </c>
      <c r="X282">
        <v>1</v>
      </c>
      <c r="AA282">
        <v>0</v>
      </c>
      <c r="AB282">
        <v>3.9</v>
      </c>
      <c r="AC282">
        <v>1</v>
      </c>
      <c r="AD282">
        <v>0</v>
      </c>
      <c r="AE282">
        <v>0</v>
      </c>
      <c r="AF282">
        <v>0</v>
      </c>
      <c r="AG282">
        <v>0</v>
      </c>
      <c r="AH282">
        <v>30</v>
      </c>
      <c r="AI282">
        <v>0</v>
      </c>
      <c r="AJ282">
        <v>5</v>
      </c>
    </row>
    <row r="283" spans="1:36" x14ac:dyDescent="0.2">
      <c r="A283" t="str">
        <f>+VLOOKUP(B283,studies!$A$2:$C$102,3)</f>
        <v>Hope (2008b)</v>
      </c>
      <c r="B283">
        <v>50</v>
      </c>
      <c r="C283">
        <v>2008</v>
      </c>
      <c r="D283">
        <v>1</v>
      </c>
      <c r="E283">
        <v>2000</v>
      </c>
      <c r="F283">
        <v>2000</v>
      </c>
      <c r="G283">
        <v>0.2</v>
      </c>
      <c r="H283">
        <v>26.066658200776079</v>
      </c>
      <c r="I283">
        <v>1</v>
      </c>
      <c r="J283">
        <v>0</v>
      </c>
      <c r="K283">
        <v>0</v>
      </c>
      <c r="L283" t="s">
        <v>238</v>
      </c>
      <c r="M283">
        <v>10.230242621968634</v>
      </c>
      <c r="N283">
        <v>24.552582292724722</v>
      </c>
      <c r="O283">
        <v>0</v>
      </c>
      <c r="P283">
        <v>1</v>
      </c>
      <c r="Q283">
        <v>0</v>
      </c>
      <c r="R283">
        <v>1</v>
      </c>
      <c r="S283">
        <v>0</v>
      </c>
      <c r="T283">
        <v>0</v>
      </c>
      <c r="U283">
        <v>1</v>
      </c>
      <c r="W283">
        <v>2</v>
      </c>
      <c r="X283">
        <v>1</v>
      </c>
      <c r="AA283">
        <v>0</v>
      </c>
      <c r="AB283">
        <v>3.6</v>
      </c>
      <c r="AC283">
        <v>1</v>
      </c>
      <c r="AD283">
        <v>0</v>
      </c>
      <c r="AE283">
        <v>0</v>
      </c>
      <c r="AF283">
        <v>0</v>
      </c>
      <c r="AG283">
        <v>0</v>
      </c>
      <c r="AH283">
        <v>30</v>
      </c>
      <c r="AI283">
        <v>0</v>
      </c>
      <c r="AJ283">
        <v>5</v>
      </c>
    </row>
    <row r="284" spans="1:36" x14ac:dyDescent="0.2">
      <c r="A284" t="str">
        <f>+VLOOKUP(B284,studies!$A$2:$C$102,3)</f>
        <v>Hope (2008b)</v>
      </c>
      <c r="B284">
        <v>50</v>
      </c>
      <c r="C284">
        <v>2008</v>
      </c>
      <c r="D284">
        <v>1</v>
      </c>
      <c r="E284">
        <v>2000</v>
      </c>
      <c r="F284">
        <v>2000</v>
      </c>
      <c r="G284">
        <v>0.2</v>
      </c>
      <c r="H284">
        <v>26.066658200776079</v>
      </c>
      <c r="I284">
        <v>1</v>
      </c>
      <c r="J284">
        <v>0</v>
      </c>
      <c r="K284">
        <v>0</v>
      </c>
      <c r="L284" t="s">
        <v>238</v>
      </c>
      <c r="M284">
        <v>11.2532668841655</v>
      </c>
      <c r="N284">
        <v>30.690727865905902</v>
      </c>
      <c r="O284">
        <v>0</v>
      </c>
      <c r="P284">
        <v>1</v>
      </c>
      <c r="Q284">
        <v>0</v>
      </c>
      <c r="R284">
        <v>1</v>
      </c>
      <c r="S284">
        <v>0</v>
      </c>
      <c r="T284">
        <v>0</v>
      </c>
      <c r="U284">
        <v>1</v>
      </c>
      <c r="W284">
        <v>2</v>
      </c>
      <c r="X284">
        <v>1</v>
      </c>
      <c r="AA284">
        <v>0</v>
      </c>
      <c r="AB284">
        <v>3.3</v>
      </c>
      <c r="AC284">
        <v>1</v>
      </c>
      <c r="AD284">
        <v>0</v>
      </c>
      <c r="AE284">
        <v>0</v>
      </c>
      <c r="AF284">
        <v>0</v>
      </c>
      <c r="AG284">
        <v>0</v>
      </c>
      <c r="AH284">
        <v>30</v>
      </c>
      <c r="AI284">
        <v>0</v>
      </c>
      <c r="AJ284">
        <v>5</v>
      </c>
    </row>
    <row r="285" spans="1:36" x14ac:dyDescent="0.2">
      <c r="A285" t="str">
        <f>+VLOOKUP(B285,studies!$A$2:$C$102,3)</f>
        <v>Hope (2008b)</v>
      </c>
      <c r="B285">
        <v>50</v>
      </c>
      <c r="C285">
        <v>2008</v>
      </c>
      <c r="D285">
        <v>1</v>
      </c>
      <c r="E285">
        <v>2000</v>
      </c>
      <c r="F285">
        <v>2000</v>
      </c>
      <c r="G285">
        <v>0.2</v>
      </c>
      <c r="H285">
        <v>26.066658200776079</v>
      </c>
      <c r="I285">
        <v>1</v>
      </c>
      <c r="J285">
        <v>0</v>
      </c>
      <c r="K285">
        <v>0</v>
      </c>
      <c r="L285" t="s">
        <v>238</v>
      </c>
      <c r="M285">
        <v>11.2532668841655</v>
      </c>
      <c r="N285">
        <v>24.552582292724722</v>
      </c>
      <c r="O285">
        <v>0</v>
      </c>
      <c r="P285">
        <v>1</v>
      </c>
      <c r="Q285">
        <v>0</v>
      </c>
      <c r="R285">
        <v>1</v>
      </c>
      <c r="S285">
        <v>0</v>
      </c>
      <c r="T285">
        <v>0</v>
      </c>
      <c r="U285">
        <v>1</v>
      </c>
      <c r="W285">
        <v>2</v>
      </c>
      <c r="X285">
        <v>1</v>
      </c>
      <c r="AA285">
        <v>0</v>
      </c>
      <c r="AB285">
        <v>3.1</v>
      </c>
      <c r="AC285">
        <v>1</v>
      </c>
      <c r="AD285">
        <v>0</v>
      </c>
      <c r="AE285">
        <v>0</v>
      </c>
      <c r="AF285">
        <v>0</v>
      </c>
      <c r="AG285">
        <v>0</v>
      </c>
      <c r="AH285">
        <v>30</v>
      </c>
      <c r="AI285">
        <v>0</v>
      </c>
      <c r="AJ285">
        <v>5</v>
      </c>
    </row>
    <row r="286" spans="1:36" x14ac:dyDescent="0.2">
      <c r="A286" t="str">
        <f>+VLOOKUP(B286,studies!$A$2:$C$102,3)</f>
        <v>Hope (2008b)</v>
      </c>
      <c r="B286">
        <v>50</v>
      </c>
      <c r="C286">
        <v>2008</v>
      </c>
      <c r="D286">
        <v>1</v>
      </c>
      <c r="E286">
        <v>2000</v>
      </c>
      <c r="F286">
        <v>2000</v>
      </c>
      <c r="G286">
        <v>0.2</v>
      </c>
      <c r="H286">
        <v>24.061530646870228</v>
      </c>
      <c r="I286">
        <v>1</v>
      </c>
      <c r="J286">
        <v>0</v>
      </c>
      <c r="K286">
        <v>0</v>
      </c>
      <c r="L286" t="s">
        <v>238</v>
      </c>
      <c r="M286">
        <v>10.230242621968634</v>
      </c>
      <c r="N286">
        <v>23.529558030527859</v>
      </c>
      <c r="O286">
        <v>0</v>
      </c>
      <c r="P286">
        <v>1</v>
      </c>
      <c r="Q286">
        <v>0</v>
      </c>
      <c r="R286">
        <v>1</v>
      </c>
      <c r="S286">
        <v>0</v>
      </c>
      <c r="T286">
        <v>0</v>
      </c>
      <c r="U286">
        <v>1</v>
      </c>
      <c r="W286">
        <v>2</v>
      </c>
      <c r="X286">
        <v>1</v>
      </c>
      <c r="AA286">
        <v>0</v>
      </c>
      <c r="AB286">
        <v>3.3</v>
      </c>
      <c r="AC286">
        <v>1</v>
      </c>
      <c r="AD286">
        <v>0</v>
      </c>
      <c r="AE286">
        <v>0</v>
      </c>
      <c r="AF286">
        <v>1</v>
      </c>
      <c r="AG286">
        <v>0</v>
      </c>
      <c r="AH286">
        <v>30</v>
      </c>
      <c r="AI286">
        <v>0</v>
      </c>
      <c r="AJ286">
        <v>5</v>
      </c>
    </row>
    <row r="287" spans="1:36" x14ac:dyDescent="0.2">
      <c r="A287" t="str">
        <f>+VLOOKUP(B287,studies!$A$2:$C$102,3)</f>
        <v>Hope (2008a)</v>
      </c>
      <c r="B287">
        <v>51</v>
      </c>
      <c r="C287">
        <v>2008</v>
      </c>
      <c r="D287">
        <v>1</v>
      </c>
      <c r="E287">
        <v>2000</v>
      </c>
      <c r="F287">
        <v>2000</v>
      </c>
      <c r="G287">
        <v>0.1</v>
      </c>
      <c r="H287">
        <v>32.082040862493642</v>
      </c>
      <c r="I287">
        <v>1</v>
      </c>
      <c r="J287">
        <v>0</v>
      </c>
      <c r="K287">
        <v>0</v>
      </c>
      <c r="L287" t="s">
        <v>238</v>
      </c>
      <c r="M287">
        <v>12.276291146362361</v>
      </c>
      <c r="N287">
        <v>28.64467934151218</v>
      </c>
      <c r="O287">
        <v>0</v>
      </c>
      <c r="P287">
        <v>1</v>
      </c>
      <c r="Q287">
        <v>0</v>
      </c>
      <c r="R287">
        <v>1</v>
      </c>
      <c r="S287">
        <v>0</v>
      </c>
      <c r="T287">
        <v>0</v>
      </c>
      <c r="U287">
        <v>1</v>
      </c>
      <c r="W287">
        <v>3</v>
      </c>
      <c r="AA287">
        <v>0</v>
      </c>
      <c r="AC287">
        <v>1</v>
      </c>
      <c r="AD287">
        <v>0</v>
      </c>
      <c r="AE287">
        <v>0</v>
      </c>
      <c r="AF287">
        <v>0</v>
      </c>
      <c r="AG287">
        <v>0</v>
      </c>
      <c r="AH287">
        <v>39</v>
      </c>
      <c r="AI287">
        <v>1.84</v>
      </c>
      <c r="AJ287">
        <v>10</v>
      </c>
    </row>
    <row r="288" spans="1:36" x14ac:dyDescent="0.2">
      <c r="A288" t="str">
        <f>+VLOOKUP(B288,studies!$A$2:$C$102,3)</f>
        <v>Hope (2008a)</v>
      </c>
      <c r="B288">
        <v>51</v>
      </c>
      <c r="C288">
        <v>2008</v>
      </c>
      <c r="D288">
        <v>1</v>
      </c>
      <c r="E288">
        <v>2000</v>
      </c>
      <c r="F288">
        <v>2000</v>
      </c>
      <c r="G288">
        <v>0.1</v>
      </c>
      <c r="H288">
        <v>116.29739812653943</v>
      </c>
      <c r="I288">
        <v>1</v>
      </c>
      <c r="J288">
        <v>0</v>
      </c>
      <c r="K288">
        <v>0</v>
      </c>
      <c r="L288" t="s">
        <v>238</v>
      </c>
      <c r="M288">
        <v>46.036091798858855</v>
      </c>
      <c r="N288">
        <v>100.25637769529261</v>
      </c>
      <c r="O288">
        <v>0</v>
      </c>
      <c r="P288">
        <v>1</v>
      </c>
      <c r="Q288">
        <v>0</v>
      </c>
      <c r="R288">
        <v>1</v>
      </c>
      <c r="S288">
        <v>0</v>
      </c>
      <c r="T288">
        <v>0</v>
      </c>
      <c r="U288">
        <v>1</v>
      </c>
      <c r="V288">
        <v>3</v>
      </c>
      <c r="W288">
        <v>1</v>
      </c>
      <c r="AA288">
        <v>0</v>
      </c>
      <c r="AC288">
        <v>1</v>
      </c>
      <c r="AD288">
        <v>0</v>
      </c>
      <c r="AE288">
        <v>0</v>
      </c>
      <c r="AF288">
        <v>0</v>
      </c>
      <c r="AG288">
        <v>0</v>
      </c>
      <c r="AH288">
        <v>39</v>
      </c>
      <c r="AI288">
        <v>1.84</v>
      </c>
      <c r="AJ288">
        <v>10</v>
      </c>
    </row>
    <row r="289" spans="1:36" x14ac:dyDescent="0.2">
      <c r="A289" t="str">
        <f>+VLOOKUP(B289,studies!$A$2:$C$102,3)</f>
        <v>Hope (2008a)</v>
      </c>
      <c r="B289">
        <v>51</v>
      </c>
      <c r="C289">
        <v>2008</v>
      </c>
      <c r="D289">
        <v>1</v>
      </c>
      <c r="E289">
        <v>2000</v>
      </c>
      <c r="F289">
        <v>2000</v>
      </c>
      <c r="G289">
        <v>0.1</v>
      </c>
      <c r="H289">
        <v>156.39994920465648</v>
      </c>
      <c r="I289">
        <v>1</v>
      </c>
      <c r="J289">
        <v>0</v>
      </c>
      <c r="K289">
        <v>0</v>
      </c>
      <c r="L289" t="s">
        <v>238</v>
      </c>
      <c r="M289">
        <v>61.381455731811805</v>
      </c>
      <c r="N289">
        <v>145.26944523195462</v>
      </c>
      <c r="O289">
        <v>0</v>
      </c>
      <c r="P289">
        <v>1</v>
      </c>
      <c r="Q289">
        <v>0</v>
      </c>
      <c r="R289">
        <v>1</v>
      </c>
      <c r="S289">
        <v>0</v>
      </c>
      <c r="T289">
        <v>0</v>
      </c>
      <c r="U289">
        <v>1</v>
      </c>
      <c r="V289">
        <v>3</v>
      </c>
      <c r="W289">
        <v>1</v>
      </c>
      <c r="X289">
        <v>1</v>
      </c>
      <c r="AA289">
        <v>1</v>
      </c>
      <c r="AC289">
        <v>1</v>
      </c>
      <c r="AD289">
        <v>0</v>
      </c>
      <c r="AE289">
        <v>0</v>
      </c>
      <c r="AF289">
        <v>0</v>
      </c>
      <c r="AG289">
        <v>0</v>
      </c>
      <c r="AH289">
        <v>39</v>
      </c>
      <c r="AI289">
        <v>1.84</v>
      </c>
      <c r="AJ289">
        <v>10</v>
      </c>
    </row>
    <row r="290" spans="1:36" x14ac:dyDescent="0.2">
      <c r="A290" t="str">
        <f>+VLOOKUP(B290,studies!$A$2:$C$102,3)</f>
        <v>Hope (2008a)</v>
      </c>
      <c r="B290">
        <v>51</v>
      </c>
      <c r="C290">
        <v>2008</v>
      </c>
      <c r="D290">
        <v>1</v>
      </c>
      <c r="E290">
        <v>2000</v>
      </c>
      <c r="F290">
        <v>2000</v>
      </c>
      <c r="G290">
        <v>0.1</v>
      </c>
      <c r="H290">
        <v>130.33329100388039</v>
      </c>
      <c r="I290">
        <v>1</v>
      </c>
      <c r="J290">
        <v>0</v>
      </c>
      <c r="K290">
        <v>0</v>
      </c>
      <c r="L290" t="s">
        <v>238</v>
      </c>
      <c r="M290">
        <v>51.151213109843177</v>
      </c>
      <c r="N290">
        <v>121.73988720142675</v>
      </c>
      <c r="O290">
        <v>0</v>
      </c>
      <c r="P290">
        <v>1</v>
      </c>
      <c r="Q290">
        <v>0</v>
      </c>
      <c r="R290">
        <v>1</v>
      </c>
      <c r="S290">
        <v>0</v>
      </c>
      <c r="T290">
        <v>0</v>
      </c>
      <c r="U290">
        <v>1</v>
      </c>
      <c r="V290">
        <v>3</v>
      </c>
      <c r="W290">
        <v>1</v>
      </c>
      <c r="X290">
        <v>0.5</v>
      </c>
      <c r="AA290">
        <v>1</v>
      </c>
      <c r="AC290">
        <v>1</v>
      </c>
      <c r="AD290">
        <v>0</v>
      </c>
      <c r="AE290">
        <v>0</v>
      </c>
      <c r="AF290">
        <v>0</v>
      </c>
      <c r="AG290">
        <v>0</v>
      </c>
      <c r="AH290">
        <v>39</v>
      </c>
      <c r="AI290">
        <v>1.84</v>
      </c>
      <c r="AJ290">
        <v>10</v>
      </c>
    </row>
    <row r="291" spans="1:36" x14ac:dyDescent="0.2">
      <c r="A291" t="str">
        <f>+VLOOKUP(B291,studies!$A$2:$C$102,3)</f>
        <v>Hope (2008a)</v>
      </c>
      <c r="B291">
        <v>51</v>
      </c>
      <c r="C291">
        <v>2008</v>
      </c>
      <c r="D291">
        <v>1</v>
      </c>
      <c r="E291">
        <v>2000</v>
      </c>
      <c r="F291">
        <v>2000</v>
      </c>
      <c r="G291">
        <v>0.1</v>
      </c>
      <c r="H291">
        <v>50.128188847646307</v>
      </c>
      <c r="I291">
        <v>1</v>
      </c>
      <c r="J291">
        <v>0</v>
      </c>
      <c r="K291">
        <v>0</v>
      </c>
      <c r="L291" t="s">
        <v>238</v>
      </c>
      <c r="M291">
        <v>18.414436719543545</v>
      </c>
      <c r="N291">
        <v>37.851897701283946</v>
      </c>
      <c r="O291">
        <v>0</v>
      </c>
      <c r="P291">
        <v>1</v>
      </c>
      <c r="Q291">
        <v>0</v>
      </c>
      <c r="R291">
        <v>1</v>
      </c>
      <c r="S291">
        <v>0</v>
      </c>
      <c r="T291">
        <v>0</v>
      </c>
      <c r="U291">
        <v>1</v>
      </c>
      <c r="W291">
        <v>2</v>
      </c>
      <c r="X291">
        <v>1</v>
      </c>
      <c r="AA291">
        <v>1</v>
      </c>
      <c r="AC291">
        <v>1</v>
      </c>
      <c r="AD291">
        <v>0</v>
      </c>
      <c r="AE291">
        <v>0</v>
      </c>
      <c r="AF291">
        <v>0</v>
      </c>
      <c r="AG291">
        <v>0</v>
      </c>
      <c r="AH291">
        <v>39</v>
      </c>
      <c r="AI291">
        <v>1.84</v>
      </c>
      <c r="AJ291">
        <v>10</v>
      </c>
    </row>
    <row r="292" spans="1:36" x14ac:dyDescent="0.2">
      <c r="A292" t="str">
        <f>+VLOOKUP(B292,studies!$A$2:$C$102,3)</f>
        <v>Hope (2008a)</v>
      </c>
      <c r="B292">
        <v>51</v>
      </c>
      <c r="C292">
        <v>2008</v>
      </c>
      <c r="D292">
        <v>1</v>
      </c>
      <c r="E292">
        <v>2000</v>
      </c>
      <c r="F292">
        <v>2000</v>
      </c>
      <c r="G292">
        <v>0.1</v>
      </c>
      <c r="H292">
        <v>138.35380121950379</v>
      </c>
      <c r="I292">
        <v>1</v>
      </c>
      <c r="J292">
        <v>0</v>
      </c>
      <c r="K292">
        <v>0</v>
      </c>
      <c r="L292" t="s">
        <v>238</v>
      </c>
      <c r="M292">
        <v>55.243310158630628</v>
      </c>
      <c r="N292">
        <v>126.85500851241108</v>
      </c>
      <c r="O292">
        <v>0</v>
      </c>
      <c r="P292">
        <v>1</v>
      </c>
      <c r="Q292">
        <v>0</v>
      </c>
      <c r="R292">
        <v>1</v>
      </c>
      <c r="S292">
        <v>0</v>
      </c>
      <c r="T292">
        <v>0</v>
      </c>
      <c r="U292">
        <v>1</v>
      </c>
      <c r="W292">
        <v>1</v>
      </c>
      <c r="X292">
        <v>1</v>
      </c>
      <c r="AA292">
        <v>1</v>
      </c>
      <c r="AC292">
        <v>1</v>
      </c>
      <c r="AD292">
        <v>0</v>
      </c>
      <c r="AE292">
        <v>0</v>
      </c>
      <c r="AF292">
        <v>0</v>
      </c>
      <c r="AG292">
        <v>0</v>
      </c>
      <c r="AH292">
        <v>39</v>
      </c>
      <c r="AI292">
        <v>1.84</v>
      </c>
      <c r="AJ292">
        <v>10</v>
      </c>
    </row>
    <row r="293" spans="1:36" x14ac:dyDescent="0.2">
      <c r="A293" t="str">
        <f>+VLOOKUP(B293,studies!$A$2:$C$102,3)</f>
        <v>Hope (2008a)</v>
      </c>
      <c r="B293">
        <v>51</v>
      </c>
      <c r="C293">
        <v>2008</v>
      </c>
      <c r="D293">
        <v>1</v>
      </c>
      <c r="E293">
        <v>2000</v>
      </c>
      <c r="F293">
        <v>2000</v>
      </c>
      <c r="G293">
        <v>0.1</v>
      </c>
      <c r="H293">
        <v>124.31790834216285</v>
      </c>
      <c r="I293">
        <v>1</v>
      </c>
      <c r="J293">
        <v>0</v>
      </c>
      <c r="K293">
        <v>0</v>
      </c>
      <c r="L293" t="s">
        <v>238</v>
      </c>
      <c r="M293">
        <v>49.105164585449444</v>
      </c>
      <c r="N293">
        <v>129.92408129900167</v>
      </c>
      <c r="O293">
        <v>0</v>
      </c>
      <c r="P293">
        <v>1</v>
      </c>
      <c r="Q293">
        <v>0</v>
      </c>
      <c r="R293">
        <v>1</v>
      </c>
      <c r="S293">
        <v>0</v>
      </c>
      <c r="T293">
        <v>0</v>
      </c>
      <c r="U293">
        <v>1</v>
      </c>
      <c r="W293">
        <v>2</v>
      </c>
      <c r="X293">
        <v>0.5</v>
      </c>
      <c r="AA293">
        <v>1</v>
      </c>
      <c r="AC293">
        <v>1</v>
      </c>
      <c r="AD293">
        <v>0</v>
      </c>
      <c r="AE293">
        <v>0</v>
      </c>
      <c r="AF293">
        <v>0</v>
      </c>
      <c r="AG293">
        <v>0</v>
      </c>
      <c r="AH293">
        <v>39</v>
      </c>
      <c r="AI293">
        <v>1.84</v>
      </c>
      <c r="AJ293">
        <v>10</v>
      </c>
    </row>
    <row r="294" spans="1:36" x14ac:dyDescent="0.2">
      <c r="A294" t="str">
        <f>+VLOOKUP(B294,studies!$A$2:$C$102,3)</f>
        <v>Hope (2008a)</v>
      </c>
      <c r="B294">
        <v>51</v>
      </c>
      <c r="C294">
        <v>2008</v>
      </c>
      <c r="D294">
        <v>1</v>
      </c>
      <c r="E294">
        <v>2000</v>
      </c>
      <c r="F294">
        <v>2000</v>
      </c>
      <c r="G294">
        <v>0.1</v>
      </c>
      <c r="H294">
        <v>411.05114855069974</v>
      </c>
      <c r="I294">
        <v>1</v>
      </c>
      <c r="J294">
        <v>0</v>
      </c>
      <c r="K294">
        <v>0</v>
      </c>
      <c r="L294" t="s">
        <v>238</v>
      </c>
      <c r="M294">
        <v>166.75295473808876</v>
      </c>
      <c r="N294">
        <v>401.02551078117045</v>
      </c>
      <c r="O294">
        <v>0</v>
      </c>
      <c r="P294">
        <v>1</v>
      </c>
      <c r="Q294">
        <v>0</v>
      </c>
      <c r="R294">
        <v>1</v>
      </c>
      <c r="S294">
        <v>0</v>
      </c>
      <c r="T294">
        <v>0</v>
      </c>
      <c r="U294">
        <v>1</v>
      </c>
      <c r="W294">
        <v>1</v>
      </c>
      <c r="X294">
        <v>0.5</v>
      </c>
      <c r="AA294">
        <v>1</v>
      </c>
      <c r="AC294">
        <v>1</v>
      </c>
      <c r="AD294">
        <v>0</v>
      </c>
      <c r="AE294">
        <v>0</v>
      </c>
      <c r="AF294">
        <v>0</v>
      </c>
      <c r="AG294">
        <v>0</v>
      </c>
      <c r="AH294">
        <v>39</v>
      </c>
      <c r="AI294">
        <v>1.84</v>
      </c>
      <c r="AJ294">
        <v>10</v>
      </c>
    </row>
    <row r="295" spans="1:36" x14ac:dyDescent="0.2">
      <c r="A295" t="str">
        <f>+VLOOKUP(B295,studies!$A$2:$C$102,3)</f>
        <v>Hope (2008a)</v>
      </c>
      <c r="B295">
        <v>51</v>
      </c>
      <c r="C295">
        <v>2008</v>
      </c>
      <c r="D295">
        <v>1</v>
      </c>
      <c r="E295">
        <v>2000</v>
      </c>
      <c r="F295">
        <v>2000</v>
      </c>
      <c r="G295">
        <v>0.1</v>
      </c>
      <c r="H295">
        <v>405.03576588898221</v>
      </c>
      <c r="I295">
        <v>1</v>
      </c>
      <c r="J295">
        <v>0</v>
      </c>
      <c r="K295">
        <v>0</v>
      </c>
      <c r="L295" t="s">
        <v>238</v>
      </c>
      <c r="M295">
        <v>165.7299304758919</v>
      </c>
      <c r="N295">
        <v>435.80833569586389</v>
      </c>
      <c r="O295">
        <v>0</v>
      </c>
      <c r="P295">
        <v>1</v>
      </c>
      <c r="Q295">
        <v>0</v>
      </c>
      <c r="R295">
        <v>1</v>
      </c>
      <c r="S295">
        <v>0</v>
      </c>
      <c r="T295">
        <v>0</v>
      </c>
      <c r="U295">
        <v>1</v>
      </c>
      <c r="W295">
        <v>2</v>
      </c>
      <c r="X295">
        <v>0</v>
      </c>
      <c r="AA295">
        <v>0</v>
      </c>
      <c r="AC295">
        <v>1</v>
      </c>
      <c r="AD295">
        <v>0</v>
      </c>
      <c r="AE295">
        <v>0</v>
      </c>
      <c r="AF295">
        <v>0</v>
      </c>
      <c r="AG295">
        <v>0</v>
      </c>
      <c r="AH295">
        <v>39</v>
      </c>
      <c r="AI295">
        <v>1.84</v>
      </c>
      <c r="AJ295">
        <v>10</v>
      </c>
    </row>
    <row r="296" spans="1:36" x14ac:dyDescent="0.2">
      <c r="A296" t="str">
        <f>+VLOOKUP(B296,studies!$A$2:$C$102,3)</f>
        <v>Hope (2008a)</v>
      </c>
      <c r="B296">
        <v>51</v>
      </c>
      <c r="C296">
        <v>2008</v>
      </c>
      <c r="D296">
        <v>1</v>
      </c>
      <c r="E296">
        <v>2000</v>
      </c>
      <c r="F296">
        <v>2000</v>
      </c>
      <c r="G296">
        <v>0.1</v>
      </c>
      <c r="H296">
        <v>1634.1789564332698</v>
      </c>
      <c r="I296">
        <v>1</v>
      </c>
      <c r="J296">
        <v>0</v>
      </c>
      <c r="K296">
        <v>0</v>
      </c>
      <c r="L296" t="s">
        <v>238</v>
      </c>
      <c r="M296">
        <v>685.4262556718985</v>
      </c>
      <c r="N296">
        <v>1592.8487762405164</v>
      </c>
      <c r="O296">
        <v>0</v>
      </c>
      <c r="P296">
        <v>1</v>
      </c>
      <c r="Q296">
        <v>0</v>
      </c>
      <c r="R296">
        <v>1</v>
      </c>
      <c r="S296">
        <v>0</v>
      </c>
      <c r="T296">
        <v>0</v>
      </c>
      <c r="U296">
        <v>1</v>
      </c>
      <c r="W296">
        <v>1</v>
      </c>
      <c r="X296">
        <v>0</v>
      </c>
      <c r="AA296">
        <v>0</v>
      </c>
      <c r="AC296">
        <v>1</v>
      </c>
      <c r="AD296">
        <v>0</v>
      </c>
      <c r="AE296">
        <v>0</v>
      </c>
      <c r="AF296">
        <v>0</v>
      </c>
      <c r="AG296">
        <v>0</v>
      </c>
      <c r="AH296">
        <v>39</v>
      </c>
      <c r="AI296">
        <v>1.84</v>
      </c>
      <c r="AJ296">
        <v>10</v>
      </c>
    </row>
    <row r="297" spans="1:36" x14ac:dyDescent="0.2">
      <c r="A297" t="str">
        <f>+VLOOKUP(B297,studies!$A$2:$C$102,3)</f>
        <v>Nordhaus (2008)</v>
      </c>
      <c r="B297">
        <v>52</v>
      </c>
      <c r="C297">
        <v>2008</v>
      </c>
      <c r="D297">
        <v>0</v>
      </c>
      <c r="E297">
        <v>2005</v>
      </c>
      <c r="F297">
        <v>2005</v>
      </c>
      <c r="G297">
        <v>0.2</v>
      </c>
      <c r="H297">
        <v>42.622952008437778</v>
      </c>
      <c r="I297">
        <v>0</v>
      </c>
      <c r="J297">
        <v>1</v>
      </c>
      <c r="K297">
        <v>0</v>
      </c>
      <c r="L297" t="s">
        <v>238</v>
      </c>
      <c r="M297" t="s">
        <v>238</v>
      </c>
      <c r="N297" t="s">
        <v>238</v>
      </c>
      <c r="O297">
        <v>1</v>
      </c>
      <c r="P297">
        <v>1</v>
      </c>
      <c r="Q297">
        <v>0</v>
      </c>
      <c r="R297">
        <v>1</v>
      </c>
      <c r="S297">
        <v>0</v>
      </c>
      <c r="T297">
        <v>1</v>
      </c>
      <c r="U297">
        <v>0</v>
      </c>
      <c r="V297">
        <v>4.0999999999999996</v>
      </c>
      <c r="W297">
        <v>1.5</v>
      </c>
      <c r="X297">
        <v>2</v>
      </c>
      <c r="Y297">
        <v>1.3</v>
      </c>
      <c r="Z297">
        <v>0.5</v>
      </c>
      <c r="AA297">
        <v>0</v>
      </c>
      <c r="AB297">
        <v>3</v>
      </c>
      <c r="AC297">
        <v>0</v>
      </c>
      <c r="AD297">
        <v>1</v>
      </c>
      <c r="AE297">
        <v>0</v>
      </c>
      <c r="AF297">
        <v>0</v>
      </c>
      <c r="AG297">
        <v>0</v>
      </c>
      <c r="AH297">
        <v>819</v>
      </c>
      <c r="AI297">
        <v>0</v>
      </c>
      <c r="AJ297">
        <v>4</v>
      </c>
    </row>
    <row r="298" spans="1:36" x14ac:dyDescent="0.2">
      <c r="A298" t="str">
        <f>+VLOOKUP(B298,studies!$A$2:$C$102,3)</f>
        <v>Nordhaus (2008)</v>
      </c>
      <c r="B298">
        <v>52</v>
      </c>
      <c r="C298">
        <v>2008</v>
      </c>
      <c r="D298">
        <v>0</v>
      </c>
      <c r="E298">
        <v>2005</v>
      </c>
      <c r="F298">
        <v>2005</v>
      </c>
      <c r="G298">
        <v>0</v>
      </c>
      <c r="H298">
        <v>46.782111623143876</v>
      </c>
      <c r="I298">
        <v>0</v>
      </c>
      <c r="J298">
        <v>1</v>
      </c>
      <c r="K298">
        <v>0</v>
      </c>
      <c r="L298" t="s">
        <v>238</v>
      </c>
      <c r="M298" t="s">
        <v>238</v>
      </c>
      <c r="N298" t="s">
        <v>238</v>
      </c>
      <c r="O298">
        <v>1</v>
      </c>
      <c r="P298">
        <v>1</v>
      </c>
      <c r="Q298">
        <v>0</v>
      </c>
      <c r="R298">
        <v>1</v>
      </c>
      <c r="S298">
        <v>0</v>
      </c>
      <c r="T298">
        <v>1</v>
      </c>
      <c r="U298">
        <v>0</v>
      </c>
      <c r="V298">
        <v>4.0999999999999996</v>
      </c>
      <c r="W298">
        <v>1.5</v>
      </c>
      <c r="X298">
        <v>2</v>
      </c>
      <c r="Y298">
        <v>1.3</v>
      </c>
      <c r="Z298">
        <v>0.5</v>
      </c>
      <c r="AA298">
        <v>0</v>
      </c>
      <c r="AB298">
        <v>3</v>
      </c>
      <c r="AC298">
        <v>0</v>
      </c>
      <c r="AD298">
        <v>1</v>
      </c>
      <c r="AE298">
        <v>0</v>
      </c>
      <c r="AF298">
        <v>1</v>
      </c>
      <c r="AG298">
        <v>0</v>
      </c>
      <c r="AH298">
        <v>819</v>
      </c>
      <c r="AI298">
        <v>0</v>
      </c>
      <c r="AJ298">
        <v>4</v>
      </c>
    </row>
    <row r="299" spans="1:36" x14ac:dyDescent="0.2">
      <c r="A299" t="str">
        <f>+VLOOKUP(B299,studies!$A$2:$C$102,3)</f>
        <v>Nordhaus (2008)</v>
      </c>
      <c r="B299">
        <v>52</v>
      </c>
      <c r="C299">
        <v>2008</v>
      </c>
      <c r="D299">
        <v>0</v>
      </c>
      <c r="E299">
        <v>2005</v>
      </c>
      <c r="F299">
        <v>2005</v>
      </c>
      <c r="G299">
        <v>0.01</v>
      </c>
      <c r="H299">
        <v>343.10717951276246</v>
      </c>
      <c r="I299">
        <v>0</v>
      </c>
      <c r="J299">
        <v>1</v>
      </c>
      <c r="K299">
        <v>0</v>
      </c>
      <c r="L299" t="s">
        <v>238</v>
      </c>
      <c r="M299" t="s">
        <v>238</v>
      </c>
      <c r="N299" t="s">
        <v>238</v>
      </c>
      <c r="O299">
        <v>1</v>
      </c>
      <c r="P299">
        <v>1</v>
      </c>
      <c r="Q299">
        <v>0</v>
      </c>
      <c r="R299">
        <v>1</v>
      </c>
      <c r="S299">
        <v>0</v>
      </c>
      <c r="T299">
        <v>1</v>
      </c>
      <c r="U299">
        <v>0</v>
      </c>
      <c r="V299">
        <v>1.4</v>
      </c>
      <c r="W299">
        <v>0.1</v>
      </c>
      <c r="X299">
        <v>1</v>
      </c>
      <c r="Y299">
        <v>1.3</v>
      </c>
      <c r="Z299">
        <v>1</v>
      </c>
      <c r="AA299">
        <v>0</v>
      </c>
      <c r="AB299">
        <v>3</v>
      </c>
      <c r="AC299">
        <v>0</v>
      </c>
      <c r="AD299">
        <v>1</v>
      </c>
      <c r="AE299">
        <v>0</v>
      </c>
      <c r="AF299">
        <v>1</v>
      </c>
      <c r="AG299">
        <v>0</v>
      </c>
      <c r="AH299">
        <v>819</v>
      </c>
      <c r="AI299">
        <v>0</v>
      </c>
      <c r="AJ299">
        <v>4</v>
      </c>
    </row>
    <row r="300" spans="1:36" x14ac:dyDescent="0.2">
      <c r="A300" t="str">
        <f>+VLOOKUP(B300,studies!$A$2:$C$102,3)</f>
        <v>Nordhaus (2008)</v>
      </c>
      <c r="B300">
        <v>52</v>
      </c>
      <c r="C300">
        <v>2008</v>
      </c>
      <c r="D300">
        <v>0</v>
      </c>
      <c r="E300">
        <v>2005</v>
      </c>
      <c r="F300">
        <v>2015</v>
      </c>
      <c r="G300">
        <v>0.09</v>
      </c>
      <c r="H300">
        <v>42.395427353588467</v>
      </c>
      <c r="I300">
        <v>0</v>
      </c>
      <c r="J300">
        <v>1</v>
      </c>
      <c r="K300">
        <v>0</v>
      </c>
      <c r="L300" t="s">
        <v>238</v>
      </c>
      <c r="M300" t="s">
        <v>238</v>
      </c>
      <c r="N300" t="s">
        <v>238</v>
      </c>
      <c r="O300">
        <v>1</v>
      </c>
      <c r="P300">
        <v>1</v>
      </c>
      <c r="Q300">
        <v>0</v>
      </c>
      <c r="R300">
        <v>1</v>
      </c>
      <c r="S300">
        <v>0</v>
      </c>
      <c r="T300">
        <v>1</v>
      </c>
      <c r="U300">
        <v>0</v>
      </c>
      <c r="V300">
        <v>1.4</v>
      </c>
      <c r="W300">
        <v>0.1</v>
      </c>
      <c r="X300">
        <v>1</v>
      </c>
      <c r="Y300">
        <v>1.3</v>
      </c>
      <c r="Z300">
        <v>1</v>
      </c>
      <c r="AA300">
        <v>0</v>
      </c>
      <c r="AB300">
        <v>3</v>
      </c>
      <c r="AC300">
        <v>0</v>
      </c>
      <c r="AD300">
        <v>1</v>
      </c>
      <c r="AE300">
        <v>0</v>
      </c>
      <c r="AF300">
        <v>1</v>
      </c>
      <c r="AG300">
        <v>0</v>
      </c>
      <c r="AH300">
        <v>819</v>
      </c>
      <c r="AI300">
        <v>0</v>
      </c>
      <c r="AJ300">
        <v>4</v>
      </c>
    </row>
    <row r="301" spans="1:36" x14ac:dyDescent="0.2">
      <c r="A301" t="str">
        <f>+VLOOKUP(B301,studies!$A$2:$C$102,3)</f>
        <v>Anthoff et al. (2009a)</v>
      </c>
      <c r="B301">
        <v>53</v>
      </c>
      <c r="C301">
        <v>2009</v>
      </c>
      <c r="D301">
        <v>1</v>
      </c>
      <c r="E301">
        <v>1995</v>
      </c>
      <c r="F301">
        <v>2010</v>
      </c>
      <c r="G301">
        <v>3.0303030303030304E-2</v>
      </c>
      <c r="H301">
        <v>83.885473996294053</v>
      </c>
      <c r="I301">
        <v>0</v>
      </c>
      <c r="J301">
        <v>1</v>
      </c>
      <c r="K301">
        <v>0</v>
      </c>
      <c r="L301" t="s">
        <v>238</v>
      </c>
      <c r="M301" t="s">
        <v>238</v>
      </c>
      <c r="N301" t="s">
        <v>238</v>
      </c>
      <c r="O301">
        <v>0</v>
      </c>
      <c r="P301">
        <v>1</v>
      </c>
      <c r="Q301">
        <v>1</v>
      </c>
      <c r="R301">
        <v>1</v>
      </c>
      <c r="S301">
        <v>1</v>
      </c>
      <c r="T301">
        <v>0</v>
      </c>
      <c r="U301">
        <v>0</v>
      </c>
      <c r="W301">
        <v>0</v>
      </c>
      <c r="AA301">
        <v>1</v>
      </c>
      <c r="AC301">
        <v>0</v>
      </c>
      <c r="AD301">
        <v>0</v>
      </c>
      <c r="AE301">
        <v>1</v>
      </c>
      <c r="AF301">
        <v>0</v>
      </c>
      <c r="AG301">
        <v>0</v>
      </c>
      <c r="AH301">
        <v>111</v>
      </c>
      <c r="AI301">
        <v>1.93</v>
      </c>
      <c r="AJ301">
        <v>33</v>
      </c>
    </row>
    <row r="302" spans="1:36" x14ac:dyDescent="0.2">
      <c r="A302" t="str">
        <f>+VLOOKUP(B302,studies!$A$2:$C$102,3)</f>
        <v>Anthoff et al. (2009a)</v>
      </c>
      <c r="B302">
        <v>53</v>
      </c>
      <c r="C302">
        <v>2009</v>
      </c>
      <c r="D302">
        <v>1</v>
      </c>
      <c r="E302">
        <v>1995</v>
      </c>
      <c r="F302">
        <v>2010</v>
      </c>
      <c r="G302">
        <v>3.0303030303030304E-2</v>
      </c>
      <c r="H302">
        <v>14.675788691200552</v>
      </c>
      <c r="I302">
        <v>0</v>
      </c>
      <c r="J302">
        <v>1</v>
      </c>
      <c r="K302">
        <v>0</v>
      </c>
      <c r="L302" t="s">
        <v>238</v>
      </c>
      <c r="M302" t="s">
        <v>238</v>
      </c>
      <c r="N302" t="s">
        <v>238</v>
      </c>
      <c r="O302">
        <v>0</v>
      </c>
      <c r="P302">
        <v>1</v>
      </c>
      <c r="Q302">
        <v>1</v>
      </c>
      <c r="R302">
        <v>1</v>
      </c>
      <c r="S302">
        <v>1</v>
      </c>
      <c r="T302">
        <v>0</v>
      </c>
      <c r="U302">
        <v>0</v>
      </c>
      <c r="W302">
        <v>1</v>
      </c>
      <c r="AA302">
        <v>1</v>
      </c>
      <c r="AC302">
        <v>0</v>
      </c>
      <c r="AD302">
        <v>0</v>
      </c>
      <c r="AE302">
        <v>1</v>
      </c>
      <c r="AF302">
        <v>0</v>
      </c>
      <c r="AG302">
        <v>0</v>
      </c>
      <c r="AH302">
        <v>111</v>
      </c>
      <c r="AI302">
        <v>1.93</v>
      </c>
      <c r="AJ302">
        <v>33</v>
      </c>
    </row>
    <row r="303" spans="1:36" x14ac:dyDescent="0.2">
      <c r="A303" t="str">
        <f>+VLOOKUP(B303,studies!$A$2:$C$102,3)</f>
        <v>Anthoff et al. (2009a)</v>
      </c>
      <c r="B303">
        <v>53</v>
      </c>
      <c r="C303">
        <v>2009</v>
      </c>
      <c r="D303">
        <v>1</v>
      </c>
      <c r="E303">
        <v>1995</v>
      </c>
      <c r="F303">
        <v>2010</v>
      </c>
      <c r="G303">
        <v>3.0303030303030304E-2</v>
      </c>
      <c r="H303">
        <v>-9.8394492361458248</v>
      </c>
      <c r="I303">
        <v>0</v>
      </c>
      <c r="J303">
        <v>1</v>
      </c>
      <c r="K303">
        <v>0</v>
      </c>
      <c r="L303" t="s">
        <v>238</v>
      </c>
      <c r="M303" t="s">
        <v>238</v>
      </c>
      <c r="N303" t="s">
        <v>238</v>
      </c>
      <c r="O303">
        <v>0</v>
      </c>
      <c r="P303">
        <v>1</v>
      </c>
      <c r="Q303">
        <v>1</v>
      </c>
      <c r="R303">
        <v>1</v>
      </c>
      <c r="S303">
        <v>1</v>
      </c>
      <c r="T303">
        <v>0</v>
      </c>
      <c r="U303">
        <v>0</v>
      </c>
      <c r="W303">
        <v>3</v>
      </c>
      <c r="AA303">
        <v>1</v>
      </c>
      <c r="AC303">
        <v>0</v>
      </c>
      <c r="AD303">
        <v>0</v>
      </c>
      <c r="AE303">
        <v>1</v>
      </c>
      <c r="AF303">
        <v>0</v>
      </c>
      <c r="AG303">
        <v>0</v>
      </c>
      <c r="AH303">
        <v>111</v>
      </c>
      <c r="AI303">
        <v>1.93</v>
      </c>
      <c r="AJ303">
        <v>33</v>
      </c>
    </row>
    <row r="304" spans="1:36" x14ac:dyDescent="0.2">
      <c r="A304" t="str">
        <f>+VLOOKUP(B304,studies!$A$2:$C$102,3)</f>
        <v>Anthoff et al. (2009a)</v>
      </c>
      <c r="B304">
        <v>53</v>
      </c>
      <c r="C304">
        <v>2009</v>
      </c>
      <c r="D304">
        <v>1</v>
      </c>
      <c r="E304">
        <v>1995</v>
      </c>
      <c r="F304">
        <v>2010</v>
      </c>
      <c r="G304">
        <v>3.0303030303030304E-2</v>
      </c>
      <c r="H304">
        <v>123.24327094087735</v>
      </c>
      <c r="I304">
        <v>0</v>
      </c>
      <c r="J304">
        <v>1</v>
      </c>
      <c r="K304">
        <v>0</v>
      </c>
      <c r="L304" t="s">
        <v>238</v>
      </c>
      <c r="M304" t="s">
        <v>238</v>
      </c>
      <c r="N304" t="s">
        <v>238</v>
      </c>
      <c r="O304">
        <v>0</v>
      </c>
      <c r="P304">
        <v>1</v>
      </c>
      <c r="Q304">
        <v>1</v>
      </c>
      <c r="R304">
        <v>1</v>
      </c>
      <c r="S304">
        <v>1</v>
      </c>
      <c r="T304">
        <v>0</v>
      </c>
      <c r="U304">
        <v>0</v>
      </c>
      <c r="W304">
        <v>0</v>
      </c>
      <c r="AA304">
        <v>0</v>
      </c>
      <c r="AC304">
        <v>0</v>
      </c>
      <c r="AD304">
        <v>0</v>
      </c>
      <c r="AE304">
        <v>1</v>
      </c>
      <c r="AF304">
        <v>0</v>
      </c>
      <c r="AG304">
        <v>0</v>
      </c>
      <c r="AH304">
        <v>111</v>
      </c>
      <c r="AI304">
        <v>1.93</v>
      </c>
      <c r="AJ304">
        <v>33</v>
      </c>
    </row>
    <row r="305" spans="1:36" x14ac:dyDescent="0.2">
      <c r="A305" t="str">
        <f>+VLOOKUP(B305,studies!$A$2:$C$102,3)</f>
        <v>Anthoff et al. (2009a)</v>
      </c>
      <c r="B305">
        <v>53</v>
      </c>
      <c r="C305">
        <v>2009</v>
      </c>
      <c r="D305">
        <v>1</v>
      </c>
      <c r="E305">
        <v>1995</v>
      </c>
      <c r="F305">
        <v>2010</v>
      </c>
      <c r="G305">
        <v>3.0303030303030304E-2</v>
      </c>
      <c r="H305">
        <v>43.860595747565284</v>
      </c>
      <c r="I305">
        <v>0</v>
      </c>
      <c r="J305">
        <v>1</v>
      </c>
      <c r="K305">
        <v>0</v>
      </c>
      <c r="L305" t="s">
        <v>238</v>
      </c>
      <c r="M305" t="s">
        <v>238</v>
      </c>
      <c r="N305" t="s">
        <v>238</v>
      </c>
      <c r="O305">
        <v>0</v>
      </c>
      <c r="P305">
        <v>1</v>
      </c>
      <c r="Q305">
        <v>1</v>
      </c>
      <c r="R305">
        <v>1</v>
      </c>
      <c r="S305">
        <v>1</v>
      </c>
      <c r="T305">
        <v>0</v>
      </c>
      <c r="U305">
        <v>0</v>
      </c>
      <c r="W305">
        <v>0</v>
      </c>
      <c r="AA305">
        <v>0</v>
      </c>
      <c r="AC305">
        <v>0</v>
      </c>
      <c r="AD305">
        <v>0</v>
      </c>
      <c r="AE305">
        <v>1</v>
      </c>
      <c r="AF305">
        <v>0</v>
      </c>
      <c r="AG305">
        <v>0</v>
      </c>
      <c r="AH305">
        <v>111</v>
      </c>
      <c r="AI305">
        <v>1.93</v>
      </c>
      <c r="AJ305">
        <v>33</v>
      </c>
    </row>
    <row r="306" spans="1:36" x14ac:dyDescent="0.2">
      <c r="A306" t="str">
        <f>+VLOOKUP(B306,studies!$A$2:$C$102,3)</f>
        <v>Anthoff et al. (2009a)</v>
      </c>
      <c r="B306">
        <v>53</v>
      </c>
      <c r="C306">
        <v>2009</v>
      </c>
      <c r="D306">
        <v>1</v>
      </c>
      <c r="E306">
        <v>1995</v>
      </c>
      <c r="F306">
        <v>2010</v>
      </c>
      <c r="G306">
        <v>3.0303030303030304E-2</v>
      </c>
      <c r="H306">
        <v>185.94891353055243</v>
      </c>
      <c r="I306">
        <v>0</v>
      </c>
      <c r="J306">
        <v>1</v>
      </c>
      <c r="K306">
        <v>0</v>
      </c>
      <c r="L306" t="s">
        <v>238</v>
      </c>
      <c r="M306" t="s">
        <v>238</v>
      </c>
      <c r="N306" t="s">
        <v>238</v>
      </c>
      <c r="O306">
        <v>0</v>
      </c>
      <c r="P306">
        <v>1</v>
      </c>
      <c r="Q306">
        <v>1</v>
      </c>
      <c r="R306">
        <v>1</v>
      </c>
      <c r="S306">
        <v>1</v>
      </c>
      <c r="T306">
        <v>0</v>
      </c>
      <c r="U306">
        <v>0</v>
      </c>
      <c r="W306">
        <v>0</v>
      </c>
      <c r="AA306">
        <v>0</v>
      </c>
      <c r="AC306">
        <v>0</v>
      </c>
      <c r="AD306">
        <v>0</v>
      </c>
      <c r="AE306">
        <v>1</v>
      </c>
      <c r="AF306">
        <v>0</v>
      </c>
      <c r="AG306">
        <v>0</v>
      </c>
      <c r="AH306">
        <v>111</v>
      </c>
      <c r="AI306">
        <v>1.93</v>
      </c>
      <c r="AJ306">
        <v>33</v>
      </c>
    </row>
    <row r="307" spans="1:36" x14ac:dyDescent="0.2">
      <c r="A307" t="str">
        <f>+VLOOKUP(B307,studies!$A$2:$C$102,3)</f>
        <v>Anthoff et al. (2009a)</v>
      </c>
      <c r="B307">
        <v>53</v>
      </c>
      <c r="C307">
        <v>2009</v>
      </c>
      <c r="D307">
        <v>1</v>
      </c>
      <c r="E307">
        <v>1995</v>
      </c>
      <c r="F307">
        <v>2010</v>
      </c>
      <c r="G307">
        <v>3.0303030303030304E-2</v>
      </c>
      <c r="H307">
        <v>21.846912710764457</v>
      </c>
      <c r="I307">
        <v>0</v>
      </c>
      <c r="J307">
        <v>1</v>
      </c>
      <c r="K307">
        <v>0</v>
      </c>
      <c r="L307" t="s">
        <v>238</v>
      </c>
      <c r="M307" t="s">
        <v>238</v>
      </c>
      <c r="N307" t="s">
        <v>238</v>
      </c>
      <c r="O307">
        <v>0</v>
      </c>
      <c r="P307">
        <v>1</v>
      </c>
      <c r="Q307">
        <v>1</v>
      </c>
      <c r="R307">
        <v>1</v>
      </c>
      <c r="S307">
        <v>1</v>
      </c>
      <c r="T307">
        <v>0</v>
      </c>
      <c r="U307">
        <v>0</v>
      </c>
      <c r="W307">
        <v>0</v>
      </c>
      <c r="AA307">
        <v>0</v>
      </c>
      <c r="AC307">
        <v>0</v>
      </c>
      <c r="AD307">
        <v>0</v>
      </c>
      <c r="AE307">
        <v>1</v>
      </c>
      <c r="AF307">
        <v>0</v>
      </c>
      <c r="AG307">
        <v>0</v>
      </c>
      <c r="AH307">
        <v>111</v>
      </c>
      <c r="AI307">
        <v>1.93</v>
      </c>
      <c r="AJ307">
        <v>33</v>
      </c>
    </row>
    <row r="308" spans="1:36" x14ac:dyDescent="0.2">
      <c r="A308" t="str">
        <f>+VLOOKUP(B308,studies!$A$2:$C$102,3)</f>
        <v>Anthoff et al. (2009a)</v>
      </c>
      <c r="B308">
        <v>53</v>
      </c>
      <c r="C308">
        <v>2009</v>
      </c>
      <c r="D308">
        <v>1</v>
      </c>
      <c r="E308">
        <v>1995</v>
      </c>
      <c r="F308">
        <v>2010</v>
      </c>
      <c r="G308">
        <v>3.0303030303030304E-2</v>
      </c>
      <c r="H308">
        <v>116.40568757338617</v>
      </c>
      <c r="I308">
        <v>0</v>
      </c>
      <c r="J308">
        <v>1</v>
      </c>
      <c r="K308">
        <v>0</v>
      </c>
      <c r="L308" t="s">
        <v>238</v>
      </c>
      <c r="M308" t="s">
        <v>238</v>
      </c>
      <c r="N308" t="s">
        <v>238</v>
      </c>
      <c r="O308">
        <v>0</v>
      </c>
      <c r="P308">
        <v>1</v>
      </c>
      <c r="Q308">
        <v>1</v>
      </c>
      <c r="R308">
        <v>1</v>
      </c>
      <c r="S308">
        <v>1</v>
      </c>
      <c r="T308">
        <v>0</v>
      </c>
      <c r="U308">
        <v>0</v>
      </c>
      <c r="W308">
        <v>0</v>
      </c>
      <c r="AA308">
        <v>0</v>
      </c>
      <c r="AC308">
        <v>0</v>
      </c>
      <c r="AD308">
        <v>0</v>
      </c>
      <c r="AE308">
        <v>1</v>
      </c>
      <c r="AF308">
        <v>0</v>
      </c>
      <c r="AG308">
        <v>0</v>
      </c>
      <c r="AH308">
        <v>111</v>
      </c>
      <c r="AI308">
        <v>1.93</v>
      </c>
      <c r="AJ308">
        <v>33</v>
      </c>
    </row>
    <row r="309" spans="1:36" x14ac:dyDescent="0.2">
      <c r="A309" t="str">
        <f>+VLOOKUP(B309,studies!$A$2:$C$102,3)</f>
        <v>Anthoff et al. (2009a)</v>
      </c>
      <c r="B309">
        <v>53</v>
      </c>
      <c r="C309">
        <v>2009</v>
      </c>
      <c r="D309">
        <v>1</v>
      </c>
      <c r="E309">
        <v>1995</v>
      </c>
      <c r="F309">
        <v>2010</v>
      </c>
      <c r="G309">
        <v>3.0303030303030304E-2</v>
      </c>
      <c r="H309">
        <v>25.015548905455482</v>
      </c>
      <c r="I309">
        <v>0</v>
      </c>
      <c r="J309">
        <v>1</v>
      </c>
      <c r="K309">
        <v>0</v>
      </c>
      <c r="L309" t="s">
        <v>238</v>
      </c>
      <c r="M309" t="s">
        <v>238</v>
      </c>
      <c r="N309" t="s">
        <v>238</v>
      </c>
      <c r="O309">
        <v>0</v>
      </c>
      <c r="P309">
        <v>1</v>
      </c>
      <c r="Q309">
        <v>1</v>
      </c>
      <c r="R309">
        <v>1</v>
      </c>
      <c r="S309">
        <v>1</v>
      </c>
      <c r="T309">
        <v>0</v>
      </c>
      <c r="U309">
        <v>0</v>
      </c>
      <c r="W309">
        <v>1</v>
      </c>
      <c r="AA309">
        <v>0</v>
      </c>
      <c r="AC309">
        <v>0</v>
      </c>
      <c r="AD309">
        <v>0</v>
      </c>
      <c r="AE309">
        <v>1</v>
      </c>
      <c r="AF309">
        <v>0</v>
      </c>
      <c r="AG309">
        <v>0</v>
      </c>
      <c r="AH309">
        <v>111</v>
      </c>
      <c r="AI309">
        <v>1.93</v>
      </c>
      <c r="AJ309">
        <v>33</v>
      </c>
    </row>
    <row r="310" spans="1:36" x14ac:dyDescent="0.2">
      <c r="A310" t="str">
        <f>+VLOOKUP(B310,studies!$A$2:$C$102,3)</f>
        <v>Anthoff et al. (2009a)</v>
      </c>
      <c r="B310">
        <v>53</v>
      </c>
      <c r="C310">
        <v>2009</v>
      </c>
      <c r="D310">
        <v>1</v>
      </c>
      <c r="E310">
        <v>1995</v>
      </c>
      <c r="F310">
        <v>2010</v>
      </c>
      <c r="G310">
        <v>3.0303030303030304E-2</v>
      </c>
      <c r="H310">
        <v>5.836961411272946</v>
      </c>
      <c r="I310">
        <v>0</v>
      </c>
      <c r="J310">
        <v>1</v>
      </c>
      <c r="K310">
        <v>0</v>
      </c>
      <c r="L310" t="s">
        <v>238</v>
      </c>
      <c r="M310" t="s">
        <v>238</v>
      </c>
      <c r="N310" t="s">
        <v>238</v>
      </c>
      <c r="O310">
        <v>0</v>
      </c>
      <c r="P310">
        <v>1</v>
      </c>
      <c r="Q310">
        <v>1</v>
      </c>
      <c r="R310">
        <v>1</v>
      </c>
      <c r="S310">
        <v>1</v>
      </c>
      <c r="T310">
        <v>0</v>
      </c>
      <c r="U310">
        <v>0</v>
      </c>
      <c r="W310">
        <v>1</v>
      </c>
      <c r="AA310">
        <v>0</v>
      </c>
      <c r="AC310">
        <v>0</v>
      </c>
      <c r="AD310">
        <v>0</v>
      </c>
      <c r="AE310">
        <v>1</v>
      </c>
      <c r="AF310">
        <v>0</v>
      </c>
      <c r="AG310">
        <v>0</v>
      </c>
      <c r="AH310">
        <v>111</v>
      </c>
      <c r="AI310">
        <v>1.93</v>
      </c>
      <c r="AJ310">
        <v>33</v>
      </c>
    </row>
    <row r="311" spans="1:36" x14ac:dyDescent="0.2">
      <c r="A311" t="str">
        <f>+VLOOKUP(B311,studies!$A$2:$C$102,3)</f>
        <v>Anthoff et al. (2009a)</v>
      </c>
      <c r="B311">
        <v>53</v>
      </c>
      <c r="C311">
        <v>2009</v>
      </c>
      <c r="D311">
        <v>1</v>
      </c>
      <c r="E311">
        <v>1995</v>
      </c>
      <c r="F311">
        <v>2010</v>
      </c>
      <c r="G311">
        <v>3.0303030303030304E-2</v>
      </c>
      <c r="H311">
        <v>36.355931075928638</v>
      </c>
      <c r="I311">
        <v>0</v>
      </c>
      <c r="J311">
        <v>1</v>
      </c>
      <c r="K311">
        <v>0</v>
      </c>
      <c r="L311" t="s">
        <v>238</v>
      </c>
      <c r="M311" t="s">
        <v>238</v>
      </c>
      <c r="N311" t="s">
        <v>238</v>
      </c>
      <c r="O311">
        <v>0</v>
      </c>
      <c r="P311">
        <v>1</v>
      </c>
      <c r="Q311">
        <v>1</v>
      </c>
      <c r="R311">
        <v>1</v>
      </c>
      <c r="S311">
        <v>1</v>
      </c>
      <c r="T311">
        <v>0</v>
      </c>
      <c r="U311">
        <v>0</v>
      </c>
      <c r="W311">
        <v>1</v>
      </c>
      <c r="AA311">
        <v>0</v>
      </c>
      <c r="AC311">
        <v>0</v>
      </c>
      <c r="AD311">
        <v>0</v>
      </c>
      <c r="AE311">
        <v>1</v>
      </c>
      <c r="AF311">
        <v>0</v>
      </c>
      <c r="AG311">
        <v>0</v>
      </c>
      <c r="AH311">
        <v>111</v>
      </c>
      <c r="AI311">
        <v>1.93</v>
      </c>
      <c r="AJ311">
        <v>33</v>
      </c>
    </row>
    <row r="312" spans="1:36" x14ac:dyDescent="0.2">
      <c r="A312" t="str">
        <f>+VLOOKUP(B312,studies!$A$2:$C$102,3)</f>
        <v>Anthoff et al. (2009a)</v>
      </c>
      <c r="B312">
        <v>53</v>
      </c>
      <c r="C312">
        <v>2009</v>
      </c>
      <c r="D312">
        <v>1</v>
      </c>
      <c r="E312">
        <v>1995</v>
      </c>
      <c r="F312">
        <v>2010</v>
      </c>
      <c r="G312">
        <v>3.0303030303030304E-2</v>
      </c>
      <c r="H312">
        <v>-2.6683252165819185</v>
      </c>
      <c r="I312">
        <v>0</v>
      </c>
      <c r="J312">
        <v>1</v>
      </c>
      <c r="K312">
        <v>0</v>
      </c>
      <c r="L312" t="s">
        <v>238</v>
      </c>
      <c r="M312" t="s">
        <v>238</v>
      </c>
      <c r="N312" t="s">
        <v>238</v>
      </c>
      <c r="O312">
        <v>0</v>
      </c>
      <c r="P312">
        <v>1</v>
      </c>
      <c r="Q312">
        <v>1</v>
      </c>
      <c r="R312">
        <v>1</v>
      </c>
      <c r="S312">
        <v>1</v>
      </c>
      <c r="T312">
        <v>0</v>
      </c>
      <c r="U312">
        <v>0</v>
      </c>
      <c r="W312">
        <v>1</v>
      </c>
      <c r="AA312">
        <v>0</v>
      </c>
      <c r="AC312">
        <v>0</v>
      </c>
      <c r="AD312">
        <v>0</v>
      </c>
      <c r="AE312">
        <v>1</v>
      </c>
      <c r="AF312">
        <v>0</v>
      </c>
      <c r="AG312">
        <v>0</v>
      </c>
      <c r="AH312">
        <v>111</v>
      </c>
      <c r="AI312">
        <v>1.93</v>
      </c>
      <c r="AJ312">
        <v>33</v>
      </c>
    </row>
    <row r="313" spans="1:36" x14ac:dyDescent="0.2">
      <c r="A313" t="str">
        <f>+VLOOKUP(B313,studies!$A$2:$C$102,3)</f>
        <v>Anthoff et al. (2009a)</v>
      </c>
      <c r="B313">
        <v>53</v>
      </c>
      <c r="C313">
        <v>2009</v>
      </c>
      <c r="D313">
        <v>1</v>
      </c>
      <c r="E313">
        <v>1995</v>
      </c>
      <c r="F313">
        <v>2010</v>
      </c>
      <c r="G313">
        <v>3.0303030303030304E-2</v>
      </c>
      <c r="H313">
        <v>21.179831406618973</v>
      </c>
      <c r="I313">
        <v>0</v>
      </c>
      <c r="J313">
        <v>1</v>
      </c>
      <c r="K313">
        <v>0</v>
      </c>
      <c r="L313" t="s">
        <v>238</v>
      </c>
      <c r="M313" t="s">
        <v>238</v>
      </c>
      <c r="N313" t="s">
        <v>238</v>
      </c>
      <c r="O313">
        <v>0</v>
      </c>
      <c r="P313">
        <v>1</v>
      </c>
      <c r="Q313">
        <v>1</v>
      </c>
      <c r="R313">
        <v>1</v>
      </c>
      <c r="S313">
        <v>1</v>
      </c>
      <c r="T313">
        <v>0</v>
      </c>
      <c r="U313">
        <v>0</v>
      </c>
      <c r="W313">
        <v>1</v>
      </c>
      <c r="AA313">
        <v>0</v>
      </c>
      <c r="AC313">
        <v>0</v>
      </c>
      <c r="AD313">
        <v>0</v>
      </c>
      <c r="AE313">
        <v>1</v>
      </c>
      <c r="AF313">
        <v>0</v>
      </c>
      <c r="AG313">
        <v>0</v>
      </c>
      <c r="AH313">
        <v>111</v>
      </c>
      <c r="AI313">
        <v>1.93</v>
      </c>
      <c r="AJ313">
        <v>33</v>
      </c>
    </row>
    <row r="314" spans="1:36" x14ac:dyDescent="0.2">
      <c r="A314" t="str">
        <f>+VLOOKUP(B314,studies!$A$2:$C$102,3)</f>
        <v>Anthoff et al. (2009a)</v>
      </c>
      <c r="B314">
        <v>53</v>
      </c>
      <c r="C314">
        <v>2009</v>
      </c>
      <c r="D314">
        <v>1</v>
      </c>
      <c r="E314">
        <v>1995</v>
      </c>
      <c r="F314">
        <v>2010</v>
      </c>
      <c r="G314">
        <v>3.0303030303030304E-2</v>
      </c>
      <c r="H314">
        <v>-4.336028476945617</v>
      </c>
      <c r="I314">
        <v>0</v>
      </c>
      <c r="J314">
        <v>1</v>
      </c>
      <c r="K314">
        <v>0</v>
      </c>
      <c r="L314" t="s">
        <v>238</v>
      </c>
      <c r="M314" t="s">
        <v>238</v>
      </c>
      <c r="N314" t="s">
        <v>238</v>
      </c>
      <c r="O314">
        <v>0</v>
      </c>
      <c r="P314">
        <v>1</v>
      </c>
      <c r="Q314">
        <v>1</v>
      </c>
      <c r="R314">
        <v>1</v>
      </c>
      <c r="S314">
        <v>1</v>
      </c>
      <c r="T314">
        <v>0</v>
      </c>
      <c r="U314">
        <v>0</v>
      </c>
      <c r="W314">
        <v>3</v>
      </c>
      <c r="AA314">
        <v>0</v>
      </c>
      <c r="AC314">
        <v>0</v>
      </c>
      <c r="AD314">
        <v>0</v>
      </c>
      <c r="AE314">
        <v>1</v>
      </c>
      <c r="AF314">
        <v>0</v>
      </c>
      <c r="AG314">
        <v>0</v>
      </c>
      <c r="AH314">
        <v>111</v>
      </c>
      <c r="AI314">
        <v>1.93</v>
      </c>
      <c r="AJ314">
        <v>33</v>
      </c>
    </row>
    <row r="315" spans="1:36" x14ac:dyDescent="0.2">
      <c r="A315" t="str">
        <f>+VLOOKUP(B315,studies!$A$2:$C$102,3)</f>
        <v>Anthoff et al. (2009a)</v>
      </c>
      <c r="B315">
        <v>53</v>
      </c>
      <c r="C315">
        <v>2009</v>
      </c>
      <c r="D315">
        <v>1</v>
      </c>
      <c r="E315">
        <v>1995</v>
      </c>
      <c r="F315">
        <v>2010</v>
      </c>
      <c r="G315">
        <v>3.0303030303030304E-2</v>
      </c>
      <c r="H315">
        <v>-6.3372723893820551</v>
      </c>
      <c r="I315">
        <v>0</v>
      </c>
      <c r="J315">
        <v>1</v>
      </c>
      <c r="K315">
        <v>0</v>
      </c>
      <c r="L315" t="s">
        <v>238</v>
      </c>
      <c r="M315" t="s">
        <v>238</v>
      </c>
      <c r="N315" t="s">
        <v>238</v>
      </c>
      <c r="O315">
        <v>0</v>
      </c>
      <c r="P315">
        <v>1</v>
      </c>
      <c r="Q315">
        <v>1</v>
      </c>
      <c r="R315">
        <v>1</v>
      </c>
      <c r="S315">
        <v>1</v>
      </c>
      <c r="T315">
        <v>0</v>
      </c>
      <c r="U315">
        <v>0</v>
      </c>
      <c r="W315">
        <v>3</v>
      </c>
      <c r="AA315">
        <v>0</v>
      </c>
      <c r="AC315">
        <v>0</v>
      </c>
      <c r="AD315">
        <v>0</v>
      </c>
      <c r="AE315">
        <v>1</v>
      </c>
      <c r="AF315">
        <v>0</v>
      </c>
      <c r="AG315">
        <v>0</v>
      </c>
      <c r="AH315">
        <v>111</v>
      </c>
      <c r="AI315">
        <v>1.93</v>
      </c>
      <c r="AJ315">
        <v>33</v>
      </c>
    </row>
    <row r="316" spans="1:36" x14ac:dyDescent="0.2">
      <c r="A316" t="str">
        <f>+VLOOKUP(B316,studies!$A$2:$C$102,3)</f>
        <v>Anthoff et al. (2009a)</v>
      </c>
      <c r="B316">
        <v>53</v>
      </c>
      <c r="C316">
        <v>2009</v>
      </c>
      <c r="D316">
        <v>1</v>
      </c>
      <c r="E316">
        <v>1995</v>
      </c>
      <c r="F316">
        <v>2010</v>
      </c>
      <c r="G316">
        <v>3.0303030303030304E-2</v>
      </c>
      <c r="H316">
        <v>-4.002487824872877</v>
      </c>
      <c r="I316">
        <v>0</v>
      </c>
      <c r="J316">
        <v>1</v>
      </c>
      <c r="K316">
        <v>0</v>
      </c>
      <c r="L316" t="s">
        <v>238</v>
      </c>
      <c r="M316" t="s">
        <v>238</v>
      </c>
      <c r="N316" t="s">
        <v>238</v>
      </c>
      <c r="O316">
        <v>0</v>
      </c>
      <c r="P316">
        <v>1</v>
      </c>
      <c r="Q316">
        <v>1</v>
      </c>
      <c r="R316">
        <v>1</v>
      </c>
      <c r="S316">
        <v>1</v>
      </c>
      <c r="T316">
        <v>0</v>
      </c>
      <c r="U316">
        <v>0</v>
      </c>
      <c r="W316">
        <v>3</v>
      </c>
      <c r="AA316">
        <v>0</v>
      </c>
      <c r="AC316">
        <v>0</v>
      </c>
      <c r="AD316">
        <v>0</v>
      </c>
      <c r="AE316">
        <v>1</v>
      </c>
      <c r="AF316">
        <v>0</v>
      </c>
      <c r="AG316">
        <v>0</v>
      </c>
      <c r="AH316">
        <v>111</v>
      </c>
      <c r="AI316">
        <v>1.93</v>
      </c>
      <c r="AJ316">
        <v>33</v>
      </c>
    </row>
    <row r="317" spans="1:36" x14ac:dyDescent="0.2">
      <c r="A317" t="str">
        <f>+VLOOKUP(B317,studies!$A$2:$C$102,3)</f>
        <v>Anthoff et al. (2009a)</v>
      </c>
      <c r="B317">
        <v>53</v>
      </c>
      <c r="C317">
        <v>2009</v>
      </c>
      <c r="D317">
        <v>1</v>
      </c>
      <c r="E317">
        <v>1995</v>
      </c>
      <c r="F317">
        <v>2010</v>
      </c>
      <c r="G317">
        <v>3.0303030303030304E-2</v>
      </c>
      <c r="H317">
        <v>-8.8388272799276031</v>
      </c>
      <c r="I317">
        <v>0</v>
      </c>
      <c r="J317">
        <v>1</v>
      </c>
      <c r="K317">
        <v>0</v>
      </c>
      <c r="L317" t="s">
        <v>238</v>
      </c>
      <c r="M317" t="s">
        <v>238</v>
      </c>
      <c r="N317" t="s">
        <v>238</v>
      </c>
      <c r="O317">
        <v>0</v>
      </c>
      <c r="P317">
        <v>1</v>
      </c>
      <c r="Q317">
        <v>1</v>
      </c>
      <c r="R317">
        <v>1</v>
      </c>
      <c r="S317">
        <v>1</v>
      </c>
      <c r="T317">
        <v>0</v>
      </c>
      <c r="U317">
        <v>0</v>
      </c>
      <c r="W317">
        <v>3</v>
      </c>
      <c r="AA317">
        <v>0</v>
      </c>
      <c r="AC317">
        <v>0</v>
      </c>
      <c r="AD317">
        <v>0</v>
      </c>
      <c r="AE317">
        <v>1</v>
      </c>
      <c r="AF317">
        <v>0</v>
      </c>
      <c r="AG317">
        <v>0</v>
      </c>
      <c r="AH317">
        <v>111</v>
      </c>
      <c r="AI317">
        <v>1.93</v>
      </c>
      <c r="AJ317">
        <v>33</v>
      </c>
    </row>
    <row r="318" spans="1:36" x14ac:dyDescent="0.2">
      <c r="A318" t="str">
        <f>+VLOOKUP(B318,studies!$A$2:$C$102,3)</f>
        <v>Anthoff et al. (2009a)</v>
      </c>
      <c r="B318">
        <v>53</v>
      </c>
      <c r="C318">
        <v>2009</v>
      </c>
      <c r="D318">
        <v>1</v>
      </c>
      <c r="E318">
        <v>1995</v>
      </c>
      <c r="F318">
        <v>2010</v>
      </c>
      <c r="G318">
        <v>3.0303030303030304E-2</v>
      </c>
      <c r="H318">
        <v>-5.1698801071274669</v>
      </c>
      <c r="I318">
        <v>0</v>
      </c>
      <c r="J318">
        <v>1</v>
      </c>
      <c r="K318">
        <v>0</v>
      </c>
      <c r="L318" t="s">
        <v>238</v>
      </c>
      <c r="M318" t="s">
        <v>238</v>
      </c>
      <c r="N318" t="s">
        <v>238</v>
      </c>
      <c r="O318">
        <v>0</v>
      </c>
      <c r="P318">
        <v>1</v>
      </c>
      <c r="Q318">
        <v>1</v>
      </c>
      <c r="R318">
        <v>1</v>
      </c>
      <c r="S318">
        <v>1</v>
      </c>
      <c r="T318">
        <v>0</v>
      </c>
      <c r="U318">
        <v>0</v>
      </c>
      <c r="W318">
        <v>3</v>
      </c>
      <c r="AA318">
        <v>0</v>
      </c>
      <c r="AC318">
        <v>0</v>
      </c>
      <c r="AD318">
        <v>0</v>
      </c>
      <c r="AE318">
        <v>1</v>
      </c>
      <c r="AF318">
        <v>0</v>
      </c>
      <c r="AG318">
        <v>0</v>
      </c>
      <c r="AH318">
        <v>111</v>
      </c>
      <c r="AI318">
        <v>1.93</v>
      </c>
      <c r="AJ318">
        <v>33</v>
      </c>
    </row>
    <row r="319" spans="1:36" x14ac:dyDescent="0.2">
      <c r="A319" t="str">
        <f>+VLOOKUP(B319,studies!$A$2:$C$102,3)</f>
        <v>Anthoff et al. (2009a)</v>
      </c>
      <c r="B319">
        <v>53</v>
      </c>
      <c r="C319">
        <v>2009</v>
      </c>
      <c r="D319">
        <v>1</v>
      </c>
      <c r="E319">
        <v>1995</v>
      </c>
      <c r="F319">
        <v>2010</v>
      </c>
      <c r="G319">
        <v>3.0303030303030304E-2</v>
      </c>
      <c r="H319">
        <v>122.57618963673187</v>
      </c>
      <c r="I319">
        <v>0</v>
      </c>
      <c r="J319">
        <v>1</v>
      </c>
      <c r="K319">
        <v>0</v>
      </c>
      <c r="L319" t="s">
        <v>238</v>
      </c>
      <c r="M319" t="s">
        <v>238</v>
      </c>
      <c r="N319" t="s">
        <v>238</v>
      </c>
      <c r="O319">
        <v>0</v>
      </c>
      <c r="P319">
        <v>1</v>
      </c>
      <c r="Q319">
        <v>1</v>
      </c>
      <c r="R319">
        <v>1</v>
      </c>
      <c r="S319">
        <v>1</v>
      </c>
      <c r="T319">
        <v>0</v>
      </c>
      <c r="U319">
        <v>0</v>
      </c>
      <c r="W319">
        <v>0</v>
      </c>
      <c r="AA319">
        <v>1</v>
      </c>
      <c r="AC319">
        <v>0</v>
      </c>
      <c r="AD319">
        <v>0</v>
      </c>
      <c r="AE319">
        <v>1</v>
      </c>
      <c r="AF319">
        <v>0</v>
      </c>
      <c r="AG319">
        <v>0</v>
      </c>
      <c r="AH319">
        <v>111</v>
      </c>
      <c r="AI319">
        <v>1.93</v>
      </c>
      <c r="AJ319">
        <v>33</v>
      </c>
    </row>
    <row r="320" spans="1:36" x14ac:dyDescent="0.2">
      <c r="A320" t="str">
        <f>+VLOOKUP(B320,studies!$A$2:$C$102,3)</f>
        <v>Anthoff et al. (2009a)</v>
      </c>
      <c r="B320">
        <v>53</v>
      </c>
      <c r="C320">
        <v>2009</v>
      </c>
      <c r="D320">
        <v>1</v>
      </c>
      <c r="E320">
        <v>1995</v>
      </c>
      <c r="F320">
        <v>2010</v>
      </c>
      <c r="G320">
        <v>3.0303030303030304E-2</v>
      </c>
      <c r="H320">
        <v>43.693825421528913</v>
      </c>
      <c r="I320">
        <v>0</v>
      </c>
      <c r="J320">
        <v>1</v>
      </c>
      <c r="K320">
        <v>0</v>
      </c>
      <c r="L320" t="s">
        <v>238</v>
      </c>
      <c r="M320" t="s">
        <v>238</v>
      </c>
      <c r="N320" t="s">
        <v>238</v>
      </c>
      <c r="O320">
        <v>0</v>
      </c>
      <c r="P320">
        <v>1</v>
      </c>
      <c r="Q320">
        <v>1</v>
      </c>
      <c r="R320">
        <v>1</v>
      </c>
      <c r="S320">
        <v>1</v>
      </c>
      <c r="T320">
        <v>0</v>
      </c>
      <c r="U320">
        <v>0</v>
      </c>
      <c r="W320">
        <v>0</v>
      </c>
      <c r="AA320">
        <v>1</v>
      </c>
      <c r="AC320">
        <v>0</v>
      </c>
      <c r="AD320">
        <v>0</v>
      </c>
      <c r="AE320">
        <v>1</v>
      </c>
      <c r="AF320">
        <v>0</v>
      </c>
      <c r="AG320">
        <v>0</v>
      </c>
      <c r="AH320">
        <v>111</v>
      </c>
      <c r="AI320">
        <v>1.93</v>
      </c>
      <c r="AJ320">
        <v>33</v>
      </c>
    </row>
    <row r="321" spans="1:36" x14ac:dyDescent="0.2">
      <c r="A321" t="str">
        <f>+VLOOKUP(B321,studies!$A$2:$C$102,3)</f>
        <v>Anthoff et al. (2009a)</v>
      </c>
      <c r="B321">
        <v>53</v>
      </c>
      <c r="C321">
        <v>2009</v>
      </c>
      <c r="D321">
        <v>1</v>
      </c>
      <c r="E321">
        <v>1995</v>
      </c>
      <c r="F321">
        <v>2010</v>
      </c>
      <c r="G321">
        <v>3.0303030303030304E-2</v>
      </c>
      <c r="H321">
        <v>214.46663928277167</v>
      </c>
      <c r="I321">
        <v>0</v>
      </c>
      <c r="J321">
        <v>1</v>
      </c>
      <c r="K321">
        <v>0</v>
      </c>
      <c r="L321" t="s">
        <v>238</v>
      </c>
      <c r="M321" t="s">
        <v>238</v>
      </c>
      <c r="N321" t="s">
        <v>238</v>
      </c>
      <c r="O321">
        <v>0</v>
      </c>
      <c r="P321">
        <v>1</v>
      </c>
      <c r="Q321">
        <v>1</v>
      </c>
      <c r="R321">
        <v>1</v>
      </c>
      <c r="S321">
        <v>1</v>
      </c>
      <c r="T321">
        <v>0</v>
      </c>
      <c r="U321">
        <v>0</v>
      </c>
      <c r="W321">
        <v>0</v>
      </c>
      <c r="AA321">
        <v>1</v>
      </c>
      <c r="AC321">
        <v>0</v>
      </c>
      <c r="AD321">
        <v>0</v>
      </c>
      <c r="AE321">
        <v>1</v>
      </c>
      <c r="AF321">
        <v>0</v>
      </c>
      <c r="AG321">
        <v>0</v>
      </c>
      <c r="AH321">
        <v>111</v>
      </c>
      <c r="AI321">
        <v>1.93</v>
      </c>
      <c r="AJ321">
        <v>33</v>
      </c>
    </row>
    <row r="322" spans="1:36" x14ac:dyDescent="0.2">
      <c r="A322" t="str">
        <f>+VLOOKUP(B322,studies!$A$2:$C$102,3)</f>
        <v>Anthoff et al. (2009a)</v>
      </c>
      <c r="B322">
        <v>53</v>
      </c>
      <c r="C322">
        <v>2009</v>
      </c>
      <c r="D322">
        <v>1</v>
      </c>
      <c r="E322">
        <v>1995</v>
      </c>
      <c r="F322">
        <v>2010</v>
      </c>
      <c r="G322">
        <v>3.0303030303030304E-2</v>
      </c>
      <c r="H322">
        <v>20.345979776437126</v>
      </c>
      <c r="I322">
        <v>0</v>
      </c>
      <c r="J322">
        <v>1</v>
      </c>
      <c r="K322">
        <v>0</v>
      </c>
      <c r="L322" t="s">
        <v>238</v>
      </c>
      <c r="M322" t="s">
        <v>238</v>
      </c>
      <c r="N322" t="s">
        <v>238</v>
      </c>
      <c r="O322">
        <v>0</v>
      </c>
      <c r="P322">
        <v>1</v>
      </c>
      <c r="Q322">
        <v>1</v>
      </c>
      <c r="R322">
        <v>1</v>
      </c>
      <c r="S322">
        <v>1</v>
      </c>
      <c r="T322">
        <v>0</v>
      </c>
      <c r="U322">
        <v>0</v>
      </c>
      <c r="W322">
        <v>0</v>
      </c>
      <c r="AA322">
        <v>1</v>
      </c>
      <c r="AC322">
        <v>0</v>
      </c>
      <c r="AD322">
        <v>0</v>
      </c>
      <c r="AE322">
        <v>1</v>
      </c>
      <c r="AF322">
        <v>0</v>
      </c>
      <c r="AG322">
        <v>0</v>
      </c>
      <c r="AH322">
        <v>111</v>
      </c>
      <c r="AI322">
        <v>1.93</v>
      </c>
      <c r="AJ322">
        <v>33</v>
      </c>
    </row>
    <row r="323" spans="1:36" x14ac:dyDescent="0.2">
      <c r="A323" t="str">
        <f>+VLOOKUP(B323,studies!$A$2:$C$102,3)</f>
        <v>Anthoff et al. (2009a)</v>
      </c>
      <c r="B323">
        <v>53</v>
      </c>
      <c r="C323">
        <v>2009</v>
      </c>
      <c r="D323">
        <v>1</v>
      </c>
      <c r="E323">
        <v>1995</v>
      </c>
      <c r="F323">
        <v>2010</v>
      </c>
      <c r="G323">
        <v>3.0303030303030304E-2</v>
      </c>
      <c r="H323">
        <v>108.23394159760407</v>
      </c>
      <c r="I323">
        <v>0</v>
      </c>
      <c r="J323">
        <v>1</v>
      </c>
      <c r="K323">
        <v>0</v>
      </c>
      <c r="L323" t="s">
        <v>238</v>
      </c>
      <c r="M323" t="s">
        <v>238</v>
      </c>
      <c r="N323" t="s">
        <v>238</v>
      </c>
      <c r="O323">
        <v>0</v>
      </c>
      <c r="P323">
        <v>1</v>
      </c>
      <c r="Q323">
        <v>1</v>
      </c>
      <c r="R323">
        <v>1</v>
      </c>
      <c r="S323">
        <v>1</v>
      </c>
      <c r="T323">
        <v>0</v>
      </c>
      <c r="U323">
        <v>0</v>
      </c>
      <c r="W323">
        <v>0</v>
      </c>
      <c r="AA323">
        <v>1</v>
      </c>
      <c r="AC323">
        <v>0</v>
      </c>
      <c r="AD323">
        <v>0</v>
      </c>
      <c r="AE323">
        <v>1</v>
      </c>
      <c r="AF323">
        <v>0</v>
      </c>
      <c r="AG323">
        <v>0</v>
      </c>
      <c r="AH323">
        <v>111</v>
      </c>
      <c r="AI323">
        <v>1.93</v>
      </c>
      <c r="AJ323">
        <v>33</v>
      </c>
    </row>
    <row r="324" spans="1:36" x14ac:dyDescent="0.2">
      <c r="A324" t="str">
        <f>+VLOOKUP(B324,studies!$A$2:$C$102,3)</f>
        <v>Anthoff et al. (2009a)</v>
      </c>
      <c r="B324">
        <v>53</v>
      </c>
      <c r="C324">
        <v>2009</v>
      </c>
      <c r="D324">
        <v>1</v>
      </c>
      <c r="E324">
        <v>1995</v>
      </c>
      <c r="F324">
        <v>2010</v>
      </c>
      <c r="G324">
        <v>3.0303030303030304E-2</v>
      </c>
      <c r="H324">
        <v>28.517725752219253</v>
      </c>
      <c r="I324">
        <v>0</v>
      </c>
      <c r="J324">
        <v>1</v>
      </c>
      <c r="K324">
        <v>0</v>
      </c>
      <c r="L324" t="s">
        <v>238</v>
      </c>
      <c r="M324" t="s">
        <v>238</v>
      </c>
      <c r="N324" t="s">
        <v>238</v>
      </c>
      <c r="O324">
        <v>0</v>
      </c>
      <c r="P324">
        <v>1</v>
      </c>
      <c r="Q324">
        <v>1</v>
      </c>
      <c r="R324">
        <v>1</v>
      </c>
      <c r="S324">
        <v>1</v>
      </c>
      <c r="T324">
        <v>0</v>
      </c>
      <c r="U324">
        <v>0</v>
      </c>
      <c r="W324">
        <v>1</v>
      </c>
      <c r="AA324">
        <v>1</v>
      </c>
      <c r="AC324">
        <v>0</v>
      </c>
      <c r="AD324">
        <v>0</v>
      </c>
      <c r="AE324">
        <v>1</v>
      </c>
      <c r="AF324">
        <v>0</v>
      </c>
      <c r="AG324">
        <v>0</v>
      </c>
      <c r="AH324">
        <v>111</v>
      </c>
      <c r="AI324">
        <v>1.93</v>
      </c>
      <c r="AJ324">
        <v>33</v>
      </c>
    </row>
    <row r="325" spans="1:36" x14ac:dyDescent="0.2">
      <c r="A325" t="str">
        <f>+VLOOKUP(B325,studies!$A$2:$C$102,3)</f>
        <v>Anthoff et al. (2009a)</v>
      </c>
      <c r="B325">
        <v>53</v>
      </c>
      <c r="C325">
        <v>2009</v>
      </c>
      <c r="D325">
        <v>1</v>
      </c>
      <c r="E325">
        <v>1995</v>
      </c>
      <c r="F325">
        <v>2010</v>
      </c>
      <c r="G325">
        <v>3.0303030303030304E-2</v>
      </c>
      <c r="H325">
        <v>5.670191085236576</v>
      </c>
      <c r="I325">
        <v>0</v>
      </c>
      <c r="J325">
        <v>1</v>
      </c>
      <c r="K325">
        <v>0</v>
      </c>
      <c r="L325" t="s">
        <v>238</v>
      </c>
      <c r="M325" t="s">
        <v>238</v>
      </c>
      <c r="N325" t="s">
        <v>238</v>
      </c>
      <c r="O325">
        <v>0</v>
      </c>
      <c r="P325">
        <v>1</v>
      </c>
      <c r="Q325">
        <v>1</v>
      </c>
      <c r="R325">
        <v>1</v>
      </c>
      <c r="S325">
        <v>1</v>
      </c>
      <c r="T325">
        <v>0</v>
      </c>
      <c r="U325">
        <v>0</v>
      </c>
      <c r="W325">
        <v>1</v>
      </c>
      <c r="AA325">
        <v>1</v>
      </c>
      <c r="AC325">
        <v>0</v>
      </c>
      <c r="AD325">
        <v>0</v>
      </c>
      <c r="AE325">
        <v>1</v>
      </c>
      <c r="AF325">
        <v>0</v>
      </c>
      <c r="AG325">
        <v>0</v>
      </c>
      <c r="AH325">
        <v>111</v>
      </c>
      <c r="AI325">
        <v>1.93</v>
      </c>
      <c r="AJ325">
        <v>33</v>
      </c>
    </row>
    <row r="326" spans="1:36" x14ac:dyDescent="0.2">
      <c r="A326" t="str">
        <f>+VLOOKUP(B326,studies!$A$2:$C$102,3)</f>
        <v>Anthoff et al. (2009a)</v>
      </c>
      <c r="B326">
        <v>53</v>
      </c>
      <c r="C326">
        <v>2009</v>
      </c>
      <c r="D326">
        <v>1</v>
      </c>
      <c r="E326">
        <v>1995</v>
      </c>
      <c r="F326">
        <v>2010</v>
      </c>
      <c r="G326">
        <v>3.0303030303030304E-2</v>
      </c>
      <c r="H326">
        <v>46.028609986038092</v>
      </c>
      <c r="I326">
        <v>0</v>
      </c>
      <c r="J326">
        <v>1</v>
      </c>
      <c r="K326">
        <v>0</v>
      </c>
      <c r="L326" t="s">
        <v>238</v>
      </c>
      <c r="M326" t="s">
        <v>238</v>
      </c>
      <c r="N326" t="s">
        <v>238</v>
      </c>
      <c r="O326">
        <v>0</v>
      </c>
      <c r="P326">
        <v>1</v>
      </c>
      <c r="Q326">
        <v>1</v>
      </c>
      <c r="R326">
        <v>1</v>
      </c>
      <c r="S326">
        <v>1</v>
      </c>
      <c r="T326">
        <v>0</v>
      </c>
      <c r="U326">
        <v>0</v>
      </c>
      <c r="W326">
        <v>1</v>
      </c>
      <c r="AA326">
        <v>1</v>
      </c>
      <c r="AC326">
        <v>0</v>
      </c>
      <c r="AD326">
        <v>0</v>
      </c>
      <c r="AE326">
        <v>1</v>
      </c>
      <c r="AF326">
        <v>0</v>
      </c>
      <c r="AG326">
        <v>0</v>
      </c>
      <c r="AH326">
        <v>111</v>
      </c>
      <c r="AI326">
        <v>1.93</v>
      </c>
      <c r="AJ326">
        <v>33</v>
      </c>
    </row>
    <row r="327" spans="1:36" x14ac:dyDescent="0.2">
      <c r="A327" t="str">
        <f>+VLOOKUP(B327,studies!$A$2:$C$102,3)</f>
        <v>Anthoff et al. (2009a)</v>
      </c>
      <c r="B327">
        <v>53</v>
      </c>
      <c r="C327">
        <v>2009</v>
      </c>
      <c r="D327">
        <v>1</v>
      </c>
      <c r="E327">
        <v>1995</v>
      </c>
      <c r="F327">
        <v>2010</v>
      </c>
      <c r="G327">
        <v>3.0303030303030304E-2</v>
      </c>
      <c r="H327">
        <v>-3.835717498836507</v>
      </c>
      <c r="I327">
        <v>0</v>
      </c>
      <c r="J327">
        <v>1</v>
      </c>
      <c r="K327">
        <v>0</v>
      </c>
      <c r="L327" t="s">
        <v>238</v>
      </c>
      <c r="M327" t="s">
        <v>238</v>
      </c>
      <c r="N327" t="s">
        <v>238</v>
      </c>
      <c r="O327">
        <v>0</v>
      </c>
      <c r="P327">
        <v>1</v>
      </c>
      <c r="Q327">
        <v>1</v>
      </c>
      <c r="R327">
        <v>1</v>
      </c>
      <c r="S327">
        <v>1</v>
      </c>
      <c r="T327">
        <v>0</v>
      </c>
      <c r="U327">
        <v>0</v>
      </c>
      <c r="W327">
        <v>1</v>
      </c>
      <c r="AA327">
        <v>1</v>
      </c>
      <c r="AC327">
        <v>0</v>
      </c>
      <c r="AD327">
        <v>0</v>
      </c>
      <c r="AE327">
        <v>1</v>
      </c>
      <c r="AF327">
        <v>0</v>
      </c>
      <c r="AG327">
        <v>0</v>
      </c>
      <c r="AH327">
        <v>111</v>
      </c>
      <c r="AI327">
        <v>1.93</v>
      </c>
      <c r="AJ327">
        <v>33</v>
      </c>
    </row>
    <row r="328" spans="1:36" x14ac:dyDescent="0.2">
      <c r="A328" t="str">
        <f>+VLOOKUP(B328,studies!$A$2:$C$102,3)</f>
        <v>Anthoff et al. (2009a)</v>
      </c>
      <c r="B328">
        <v>53</v>
      </c>
      <c r="C328">
        <v>2009</v>
      </c>
      <c r="D328">
        <v>1</v>
      </c>
      <c r="E328">
        <v>1995</v>
      </c>
      <c r="F328">
        <v>2010</v>
      </c>
      <c r="G328">
        <v>3.0303030303030304E-2</v>
      </c>
      <c r="H328">
        <v>21.179831406618973</v>
      </c>
      <c r="I328">
        <v>0</v>
      </c>
      <c r="J328">
        <v>1</v>
      </c>
      <c r="K328">
        <v>0</v>
      </c>
      <c r="L328" t="s">
        <v>238</v>
      </c>
      <c r="M328" t="s">
        <v>238</v>
      </c>
      <c r="N328" t="s">
        <v>238</v>
      </c>
      <c r="O328">
        <v>0</v>
      </c>
      <c r="P328">
        <v>1</v>
      </c>
      <c r="Q328">
        <v>1</v>
      </c>
      <c r="R328">
        <v>1</v>
      </c>
      <c r="S328">
        <v>1</v>
      </c>
      <c r="T328">
        <v>0</v>
      </c>
      <c r="U328">
        <v>0</v>
      </c>
      <c r="W328">
        <v>1</v>
      </c>
      <c r="AA328">
        <v>1</v>
      </c>
      <c r="AC328">
        <v>0</v>
      </c>
      <c r="AD328">
        <v>0</v>
      </c>
      <c r="AE328">
        <v>1</v>
      </c>
      <c r="AF328">
        <v>0</v>
      </c>
      <c r="AG328">
        <v>0</v>
      </c>
      <c r="AH328">
        <v>111</v>
      </c>
      <c r="AI328">
        <v>1.93</v>
      </c>
      <c r="AJ328">
        <v>33</v>
      </c>
    </row>
    <row r="329" spans="1:36" x14ac:dyDescent="0.2">
      <c r="A329" t="str">
        <f>+VLOOKUP(B329,studies!$A$2:$C$102,3)</f>
        <v>Anthoff et al. (2009a)</v>
      </c>
      <c r="B329">
        <v>53</v>
      </c>
      <c r="C329">
        <v>2009</v>
      </c>
      <c r="D329">
        <v>1</v>
      </c>
      <c r="E329">
        <v>1995</v>
      </c>
      <c r="F329">
        <v>2010</v>
      </c>
      <c r="G329">
        <v>3.0303030303030304E-2</v>
      </c>
      <c r="H329">
        <v>-4.836339455054727</v>
      </c>
      <c r="I329">
        <v>0</v>
      </c>
      <c r="J329">
        <v>1</v>
      </c>
      <c r="K329">
        <v>0</v>
      </c>
      <c r="L329" t="s">
        <v>238</v>
      </c>
      <c r="M329" t="s">
        <v>238</v>
      </c>
      <c r="N329" t="s">
        <v>238</v>
      </c>
      <c r="O329">
        <v>0</v>
      </c>
      <c r="P329">
        <v>1</v>
      </c>
      <c r="Q329">
        <v>1</v>
      </c>
      <c r="R329">
        <v>1</v>
      </c>
      <c r="S329">
        <v>1</v>
      </c>
      <c r="T329">
        <v>0</v>
      </c>
      <c r="U329">
        <v>0</v>
      </c>
      <c r="W329">
        <v>3</v>
      </c>
      <c r="AA329">
        <v>1</v>
      </c>
      <c r="AC329">
        <v>0</v>
      </c>
      <c r="AD329">
        <v>0</v>
      </c>
      <c r="AE329">
        <v>1</v>
      </c>
      <c r="AF329">
        <v>0</v>
      </c>
      <c r="AG329">
        <v>0</v>
      </c>
      <c r="AH329">
        <v>111</v>
      </c>
      <c r="AI329">
        <v>1.93</v>
      </c>
      <c r="AJ329">
        <v>33</v>
      </c>
    </row>
    <row r="330" spans="1:36" x14ac:dyDescent="0.2">
      <c r="A330" t="str">
        <f>+VLOOKUP(B330,studies!$A$2:$C$102,3)</f>
        <v>Anthoff et al. (2009a)</v>
      </c>
      <c r="B330">
        <v>53</v>
      </c>
      <c r="C330">
        <v>2009</v>
      </c>
      <c r="D330">
        <v>1</v>
      </c>
      <c r="E330">
        <v>1995</v>
      </c>
      <c r="F330">
        <v>2010</v>
      </c>
      <c r="G330">
        <v>3.0303030303030304E-2</v>
      </c>
      <c r="H330">
        <v>-7.504664671636645</v>
      </c>
      <c r="I330">
        <v>0</v>
      </c>
      <c r="J330">
        <v>1</v>
      </c>
      <c r="K330">
        <v>0</v>
      </c>
      <c r="L330" t="s">
        <v>238</v>
      </c>
      <c r="M330" t="s">
        <v>238</v>
      </c>
      <c r="N330" t="s">
        <v>238</v>
      </c>
      <c r="O330">
        <v>0</v>
      </c>
      <c r="P330">
        <v>1</v>
      </c>
      <c r="Q330">
        <v>1</v>
      </c>
      <c r="R330">
        <v>1</v>
      </c>
      <c r="S330">
        <v>1</v>
      </c>
      <c r="T330">
        <v>0</v>
      </c>
      <c r="U330">
        <v>0</v>
      </c>
      <c r="W330">
        <v>3</v>
      </c>
      <c r="AA330">
        <v>1</v>
      </c>
      <c r="AC330">
        <v>0</v>
      </c>
      <c r="AD330">
        <v>0</v>
      </c>
      <c r="AE330">
        <v>1</v>
      </c>
      <c r="AF330">
        <v>0</v>
      </c>
      <c r="AG330">
        <v>0</v>
      </c>
      <c r="AH330">
        <v>111</v>
      </c>
      <c r="AI330">
        <v>1.93</v>
      </c>
      <c r="AJ330">
        <v>33</v>
      </c>
    </row>
    <row r="331" spans="1:36" x14ac:dyDescent="0.2">
      <c r="A331" t="str">
        <f>+VLOOKUP(B331,studies!$A$2:$C$102,3)</f>
        <v>Anthoff et al. (2009a)</v>
      </c>
      <c r="B331">
        <v>53</v>
      </c>
      <c r="C331">
        <v>2009</v>
      </c>
      <c r="D331">
        <v>1</v>
      </c>
      <c r="E331">
        <v>1995</v>
      </c>
      <c r="F331">
        <v>2010</v>
      </c>
      <c r="G331">
        <v>3.0303030303030304E-2</v>
      </c>
      <c r="H331">
        <v>-3.1686361946910275</v>
      </c>
      <c r="I331">
        <v>0</v>
      </c>
      <c r="J331">
        <v>1</v>
      </c>
      <c r="K331">
        <v>0</v>
      </c>
      <c r="L331" t="s">
        <v>238</v>
      </c>
      <c r="M331" t="s">
        <v>238</v>
      </c>
      <c r="N331" t="s">
        <v>238</v>
      </c>
      <c r="O331">
        <v>0</v>
      </c>
      <c r="P331">
        <v>1</v>
      </c>
      <c r="Q331">
        <v>1</v>
      </c>
      <c r="R331">
        <v>1</v>
      </c>
      <c r="S331">
        <v>1</v>
      </c>
      <c r="T331">
        <v>0</v>
      </c>
      <c r="U331">
        <v>0</v>
      </c>
      <c r="W331">
        <v>3</v>
      </c>
      <c r="AA331">
        <v>1</v>
      </c>
      <c r="AC331">
        <v>0</v>
      </c>
      <c r="AD331">
        <v>0</v>
      </c>
      <c r="AE331">
        <v>1</v>
      </c>
      <c r="AF331">
        <v>0</v>
      </c>
      <c r="AG331">
        <v>0</v>
      </c>
      <c r="AH331">
        <v>111</v>
      </c>
      <c r="AI331">
        <v>1.93</v>
      </c>
      <c r="AJ331">
        <v>33</v>
      </c>
    </row>
    <row r="332" spans="1:36" x14ac:dyDescent="0.2">
      <c r="A332" t="str">
        <f>+VLOOKUP(B332,studies!$A$2:$C$102,3)</f>
        <v>Anthoff et al. (2009a)</v>
      </c>
      <c r="B332">
        <v>53</v>
      </c>
      <c r="C332">
        <v>2009</v>
      </c>
      <c r="D332">
        <v>1</v>
      </c>
      <c r="E332">
        <v>1995</v>
      </c>
      <c r="F332">
        <v>2010</v>
      </c>
      <c r="G332">
        <v>3.0303030303030304E-2</v>
      </c>
      <c r="H332">
        <v>-11.006841518400412</v>
      </c>
      <c r="I332">
        <v>0</v>
      </c>
      <c r="J332">
        <v>1</v>
      </c>
      <c r="K332">
        <v>0</v>
      </c>
      <c r="L332" t="s">
        <v>238</v>
      </c>
      <c r="M332" t="s">
        <v>238</v>
      </c>
      <c r="N332" t="s">
        <v>238</v>
      </c>
      <c r="O332">
        <v>0</v>
      </c>
      <c r="P332">
        <v>1</v>
      </c>
      <c r="Q332">
        <v>1</v>
      </c>
      <c r="R332">
        <v>1</v>
      </c>
      <c r="S332">
        <v>1</v>
      </c>
      <c r="T332">
        <v>0</v>
      </c>
      <c r="U332">
        <v>0</v>
      </c>
      <c r="W332">
        <v>3</v>
      </c>
      <c r="AA332">
        <v>1</v>
      </c>
      <c r="AC332">
        <v>0</v>
      </c>
      <c r="AD332">
        <v>0</v>
      </c>
      <c r="AE332">
        <v>1</v>
      </c>
      <c r="AF332">
        <v>0</v>
      </c>
      <c r="AG332">
        <v>0</v>
      </c>
      <c r="AH332">
        <v>111</v>
      </c>
      <c r="AI332">
        <v>1.93</v>
      </c>
      <c r="AJ332">
        <v>33</v>
      </c>
    </row>
    <row r="333" spans="1:36" x14ac:dyDescent="0.2">
      <c r="A333" t="str">
        <f>+VLOOKUP(B333,studies!$A$2:$C$102,3)</f>
        <v>Anthoff et al. (2009a)</v>
      </c>
      <c r="B333">
        <v>53</v>
      </c>
      <c r="C333">
        <v>2009</v>
      </c>
      <c r="D333">
        <v>1</v>
      </c>
      <c r="E333">
        <v>1995</v>
      </c>
      <c r="F333">
        <v>2010</v>
      </c>
      <c r="G333">
        <v>3.0303030303030304E-2</v>
      </c>
      <c r="H333">
        <v>-4.836339455054727</v>
      </c>
      <c r="I333">
        <v>0</v>
      </c>
      <c r="J333">
        <v>1</v>
      </c>
      <c r="K333">
        <v>0</v>
      </c>
      <c r="L333" t="s">
        <v>238</v>
      </c>
      <c r="M333" t="s">
        <v>238</v>
      </c>
      <c r="N333" t="s">
        <v>238</v>
      </c>
      <c r="O333">
        <v>0</v>
      </c>
      <c r="P333">
        <v>1</v>
      </c>
      <c r="Q333">
        <v>1</v>
      </c>
      <c r="R333">
        <v>1</v>
      </c>
      <c r="S333">
        <v>1</v>
      </c>
      <c r="T333">
        <v>0</v>
      </c>
      <c r="U333">
        <v>0</v>
      </c>
      <c r="W333">
        <v>3</v>
      </c>
      <c r="AA333">
        <v>1</v>
      </c>
      <c r="AC333">
        <v>0</v>
      </c>
      <c r="AD333">
        <v>0</v>
      </c>
      <c r="AE333">
        <v>1</v>
      </c>
      <c r="AF333">
        <v>0</v>
      </c>
      <c r="AG333">
        <v>0</v>
      </c>
      <c r="AH333">
        <v>111</v>
      </c>
      <c r="AI333">
        <v>1.93</v>
      </c>
      <c r="AJ333">
        <v>33</v>
      </c>
    </row>
    <row r="334" spans="1:36" x14ac:dyDescent="0.2">
      <c r="A334" t="str">
        <f>+VLOOKUP(B334,studies!$A$2:$C$102,3)</f>
        <v>Anthoff et al. (2009b)</v>
      </c>
      <c r="B334">
        <v>54</v>
      </c>
      <c r="C334">
        <v>2009</v>
      </c>
      <c r="D334">
        <v>1</v>
      </c>
      <c r="E334">
        <v>1995</v>
      </c>
      <c r="F334">
        <v>2010</v>
      </c>
      <c r="G334">
        <v>0.25</v>
      </c>
      <c r="H334">
        <v>-3.1352821294837536</v>
      </c>
      <c r="I334">
        <v>0</v>
      </c>
      <c r="J334">
        <v>1</v>
      </c>
      <c r="K334">
        <v>0</v>
      </c>
      <c r="L334">
        <v>3.6689471728001379</v>
      </c>
      <c r="M334">
        <v>3.6689471728001379</v>
      </c>
      <c r="N334">
        <v>3.6689471728001379</v>
      </c>
      <c r="O334">
        <v>0</v>
      </c>
      <c r="P334">
        <v>1</v>
      </c>
      <c r="Q334">
        <v>1</v>
      </c>
      <c r="R334">
        <v>1</v>
      </c>
      <c r="S334">
        <v>1</v>
      </c>
      <c r="T334">
        <v>0</v>
      </c>
      <c r="U334">
        <v>0</v>
      </c>
      <c r="AA334">
        <v>0</v>
      </c>
      <c r="AC334">
        <v>0</v>
      </c>
      <c r="AD334">
        <v>0</v>
      </c>
      <c r="AE334">
        <v>1</v>
      </c>
      <c r="AF334">
        <v>0</v>
      </c>
      <c r="AG334">
        <v>0</v>
      </c>
      <c r="AH334">
        <v>90</v>
      </c>
      <c r="AI334">
        <v>0</v>
      </c>
      <c r="AJ334">
        <v>4</v>
      </c>
    </row>
    <row r="335" spans="1:36" x14ac:dyDescent="0.2">
      <c r="A335" t="str">
        <f>+VLOOKUP(B335,studies!$A$2:$C$102,3)</f>
        <v>Anthoff et al. (2009b)</v>
      </c>
      <c r="B335">
        <v>54</v>
      </c>
      <c r="C335">
        <v>2009</v>
      </c>
      <c r="D335">
        <v>1</v>
      </c>
      <c r="E335">
        <v>1995</v>
      </c>
      <c r="F335">
        <v>2010</v>
      </c>
      <c r="G335">
        <v>0.25</v>
      </c>
      <c r="H335">
        <v>-0.58369614112729462</v>
      </c>
      <c r="I335">
        <v>0</v>
      </c>
      <c r="J335">
        <v>1</v>
      </c>
      <c r="K335">
        <v>0</v>
      </c>
      <c r="L335">
        <v>8.0883608127639377</v>
      </c>
      <c r="M335">
        <v>8.0883608127639377</v>
      </c>
      <c r="N335">
        <v>8.0883608127639377</v>
      </c>
      <c r="O335">
        <v>0</v>
      </c>
      <c r="P335">
        <v>1</v>
      </c>
      <c r="Q335">
        <v>1</v>
      </c>
      <c r="R335">
        <v>1</v>
      </c>
      <c r="S335">
        <v>1</v>
      </c>
      <c r="T335">
        <v>0</v>
      </c>
      <c r="U335">
        <v>0</v>
      </c>
      <c r="AA335">
        <v>1</v>
      </c>
      <c r="AC335">
        <v>0</v>
      </c>
      <c r="AD335">
        <v>0</v>
      </c>
      <c r="AE335">
        <v>1</v>
      </c>
      <c r="AF335">
        <v>0</v>
      </c>
      <c r="AG335">
        <v>0</v>
      </c>
      <c r="AH335">
        <v>90</v>
      </c>
      <c r="AI335">
        <v>0</v>
      </c>
      <c r="AJ335">
        <v>4</v>
      </c>
    </row>
    <row r="336" spans="1:36" x14ac:dyDescent="0.2">
      <c r="A336" t="str">
        <f>+VLOOKUP(B336,studies!$A$2:$C$102,3)</f>
        <v>Anthoff et al. (2009b)</v>
      </c>
      <c r="B336">
        <v>54</v>
      </c>
      <c r="C336">
        <v>2009</v>
      </c>
      <c r="D336">
        <v>1</v>
      </c>
      <c r="E336">
        <v>1995</v>
      </c>
      <c r="F336">
        <v>2010</v>
      </c>
      <c r="G336">
        <v>0.25</v>
      </c>
      <c r="H336">
        <v>14.942621212858743</v>
      </c>
      <c r="I336">
        <v>1</v>
      </c>
      <c r="J336">
        <v>0</v>
      </c>
      <c r="K336">
        <v>0</v>
      </c>
      <c r="L336">
        <v>11.473798431302248</v>
      </c>
      <c r="M336">
        <v>11.473798431302248</v>
      </c>
      <c r="N336">
        <v>11.473798431302248</v>
      </c>
      <c r="O336">
        <v>0</v>
      </c>
      <c r="P336">
        <v>1</v>
      </c>
      <c r="Q336">
        <v>1</v>
      </c>
      <c r="R336">
        <v>1</v>
      </c>
      <c r="S336">
        <v>1</v>
      </c>
      <c r="T336">
        <v>0</v>
      </c>
      <c r="U336">
        <v>0</v>
      </c>
      <c r="AA336">
        <v>0</v>
      </c>
      <c r="AC336">
        <v>0</v>
      </c>
      <c r="AD336">
        <v>0</v>
      </c>
      <c r="AE336">
        <v>1</v>
      </c>
      <c r="AF336">
        <v>0</v>
      </c>
      <c r="AG336">
        <v>0</v>
      </c>
      <c r="AH336">
        <v>90</v>
      </c>
      <c r="AI336">
        <v>0</v>
      </c>
      <c r="AJ336">
        <v>4</v>
      </c>
    </row>
    <row r="337" spans="1:36" x14ac:dyDescent="0.2">
      <c r="A337" t="str">
        <f>+VLOOKUP(B337,studies!$A$2:$C$102,3)</f>
        <v>Anthoff et al. (2009b)</v>
      </c>
      <c r="B337">
        <v>54</v>
      </c>
      <c r="C337">
        <v>2009</v>
      </c>
      <c r="D337">
        <v>1</v>
      </c>
      <c r="E337">
        <v>1995</v>
      </c>
      <c r="F337">
        <v>2010</v>
      </c>
      <c r="G337">
        <v>0.25</v>
      </c>
      <c r="H337">
        <v>73.96263959713005</v>
      </c>
      <c r="I337">
        <v>1</v>
      </c>
      <c r="J337">
        <v>0</v>
      </c>
      <c r="K337">
        <v>0</v>
      </c>
      <c r="L337">
        <v>19.762283635309831</v>
      </c>
      <c r="M337">
        <v>19.762283635309831</v>
      </c>
      <c r="N337">
        <v>19.762283635309831</v>
      </c>
      <c r="O337">
        <v>0</v>
      </c>
      <c r="P337">
        <v>1</v>
      </c>
      <c r="Q337">
        <v>1</v>
      </c>
      <c r="R337">
        <v>1</v>
      </c>
      <c r="S337">
        <v>1</v>
      </c>
      <c r="T337">
        <v>0</v>
      </c>
      <c r="U337">
        <v>0</v>
      </c>
      <c r="AA337">
        <v>1</v>
      </c>
      <c r="AC337">
        <v>0</v>
      </c>
      <c r="AD337">
        <v>0</v>
      </c>
      <c r="AE337">
        <v>1</v>
      </c>
      <c r="AF337">
        <v>0</v>
      </c>
      <c r="AG337">
        <v>0</v>
      </c>
      <c r="AH337">
        <v>90</v>
      </c>
      <c r="AI337">
        <v>0</v>
      </c>
      <c r="AJ337">
        <v>4</v>
      </c>
    </row>
    <row r="338" spans="1:36" x14ac:dyDescent="0.2">
      <c r="A338" t="str">
        <f>+VLOOKUP(B338,studies!$A$2:$C$102,3)</f>
        <v>Anthoff et al. (2009c)</v>
      </c>
      <c r="B338">
        <v>55</v>
      </c>
      <c r="C338">
        <v>2009</v>
      </c>
      <c r="D338">
        <v>1</v>
      </c>
      <c r="E338">
        <v>1995</v>
      </c>
      <c r="F338">
        <v>2010</v>
      </c>
      <c r="G338">
        <v>2.5000000000000001E-2</v>
      </c>
      <c r="H338">
        <v>-1.1673922822545892</v>
      </c>
      <c r="I338">
        <v>1</v>
      </c>
      <c r="J338">
        <v>0</v>
      </c>
      <c r="K338">
        <v>0</v>
      </c>
      <c r="L338" t="s">
        <v>238</v>
      </c>
      <c r="M338" t="s">
        <v>238</v>
      </c>
      <c r="N338" t="s">
        <v>238</v>
      </c>
      <c r="O338">
        <v>0</v>
      </c>
      <c r="P338">
        <v>1</v>
      </c>
      <c r="Q338">
        <v>1</v>
      </c>
      <c r="R338">
        <v>1</v>
      </c>
      <c r="S338">
        <v>1</v>
      </c>
      <c r="T338">
        <v>0</v>
      </c>
      <c r="U338">
        <v>0</v>
      </c>
      <c r="AA338">
        <v>1</v>
      </c>
      <c r="AC338">
        <v>0</v>
      </c>
      <c r="AD338">
        <v>0</v>
      </c>
      <c r="AE338">
        <v>1</v>
      </c>
      <c r="AF338">
        <v>0</v>
      </c>
      <c r="AG338">
        <v>0</v>
      </c>
      <c r="AH338">
        <v>63</v>
      </c>
      <c r="AI338">
        <v>1.71</v>
      </c>
      <c r="AJ338">
        <v>12</v>
      </c>
    </row>
    <row r="339" spans="1:36" x14ac:dyDescent="0.2">
      <c r="A339" t="str">
        <f>+VLOOKUP(B339,studies!$A$2:$C$102,3)</f>
        <v>Anthoff et al. (2009c)</v>
      </c>
      <c r="B339">
        <v>55</v>
      </c>
      <c r="C339">
        <v>2009</v>
      </c>
      <c r="D339">
        <v>1</v>
      </c>
      <c r="E339">
        <v>1995</v>
      </c>
      <c r="F339">
        <v>2010</v>
      </c>
      <c r="G339">
        <v>2.5000000000000001E-2</v>
      </c>
      <c r="H339">
        <v>21.013061080582606</v>
      </c>
      <c r="I339">
        <v>1</v>
      </c>
      <c r="J339">
        <v>0</v>
      </c>
      <c r="K339">
        <v>0</v>
      </c>
      <c r="L339" t="s">
        <v>238</v>
      </c>
      <c r="M339" t="s">
        <v>238</v>
      </c>
      <c r="N339" t="s">
        <v>238</v>
      </c>
      <c r="O339">
        <v>0</v>
      </c>
      <c r="P339">
        <v>1</v>
      </c>
      <c r="Q339">
        <v>1</v>
      </c>
      <c r="R339">
        <v>1</v>
      </c>
      <c r="S339">
        <v>1</v>
      </c>
      <c r="T339">
        <v>0</v>
      </c>
      <c r="U339">
        <v>0</v>
      </c>
      <c r="AA339">
        <v>1</v>
      </c>
      <c r="AC339">
        <v>0</v>
      </c>
      <c r="AD339">
        <v>0</v>
      </c>
      <c r="AE339">
        <v>1</v>
      </c>
      <c r="AF339">
        <v>0</v>
      </c>
      <c r="AG339">
        <v>0</v>
      </c>
      <c r="AH339">
        <v>63</v>
      </c>
      <c r="AI339">
        <v>1.71</v>
      </c>
      <c r="AJ339">
        <v>12</v>
      </c>
    </row>
    <row r="340" spans="1:36" x14ac:dyDescent="0.2">
      <c r="A340" t="str">
        <f>+VLOOKUP(B340,studies!$A$2:$C$102,3)</f>
        <v>Anthoff et al. (2009c)</v>
      </c>
      <c r="B340">
        <v>55</v>
      </c>
      <c r="C340">
        <v>2009</v>
      </c>
      <c r="D340">
        <v>1</v>
      </c>
      <c r="E340">
        <v>1995</v>
      </c>
      <c r="F340">
        <v>2010</v>
      </c>
      <c r="G340">
        <v>2.5000000000000001E-2</v>
      </c>
      <c r="H340">
        <v>350.38445500241312</v>
      </c>
      <c r="I340">
        <v>1</v>
      </c>
      <c r="J340">
        <v>0</v>
      </c>
      <c r="K340">
        <v>0</v>
      </c>
      <c r="L340" t="s">
        <v>238</v>
      </c>
      <c r="M340" t="s">
        <v>238</v>
      </c>
      <c r="N340" t="s">
        <v>238</v>
      </c>
      <c r="O340">
        <v>0</v>
      </c>
      <c r="P340">
        <v>1</v>
      </c>
      <c r="Q340">
        <v>1</v>
      </c>
      <c r="R340">
        <v>1</v>
      </c>
      <c r="S340">
        <v>1</v>
      </c>
      <c r="T340">
        <v>0</v>
      </c>
      <c r="U340">
        <v>0</v>
      </c>
      <c r="AA340">
        <v>1</v>
      </c>
      <c r="AC340">
        <v>0</v>
      </c>
      <c r="AD340">
        <v>0</v>
      </c>
      <c r="AE340">
        <v>1</v>
      </c>
      <c r="AF340">
        <v>0</v>
      </c>
      <c r="AG340">
        <v>0</v>
      </c>
      <c r="AH340">
        <v>63</v>
      </c>
      <c r="AI340">
        <v>1.71</v>
      </c>
      <c r="AJ340">
        <v>12</v>
      </c>
    </row>
    <row r="341" spans="1:36" x14ac:dyDescent="0.2">
      <c r="A341" t="str">
        <f>+VLOOKUP(B341,studies!$A$2:$C$102,3)</f>
        <v>Anthoff et al. (2009c)</v>
      </c>
      <c r="B341">
        <v>55</v>
      </c>
      <c r="C341">
        <v>2009</v>
      </c>
      <c r="D341">
        <v>1</v>
      </c>
      <c r="E341">
        <v>1995</v>
      </c>
      <c r="F341">
        <v>2010</v>
      </c>
      <c r="G341">
        <v>2.5000000000000001E-2</v>
      </c>
      <c r="H341">
        <v>102.73052083840385</v>
      </c>
      <c r="I341">
        <v>1</v>
      </c>
      <c r="J341">
        <v>0</v>
      </c>
      <c r="K341">
        <v>0</v>
      </c>
      <c r="L341" t="s">
        <v>238</v>
      </c>
      <c r="M341" t="s">
        <v>238</v>
      </c>
      <c r="N341" t="s">
        <v>238</v>
      </c>
      <c r="O341">
        <v>0</v>
      </c>
      <c r="P341">
        <v>1</v>
      </c>
      <c r="Q341">
        <v>1</v>
      </c>
      <c r="R341">
        <v>1</v>
      </c>
      <c r="S341">
        <v>1</v>
      </c>
      <c r="T341">
        <v>0</v>
      </c>
      <c r="U341">
        <v>0</v>
      </c>
      <c r="AA341">
        <v>1</v>
      </c>
      <c r="AC341">
        <v>0</v>
      </c>
      <c r="AD341">
        <v>0</v>
      </c>
      <c r="AE341">
        <v>1</v>
      </c>
      <c r="AF341">
        <v>0</v>
      </c>
      <c r="AG341">
        <v>0</v>
      </c>
      <c r="AH341">
        <v>63</v>
      </c>
      <c r="AI341">
        <v>1.71</v>
      </c>
      <c r="AJ341">
        <v>12</v>
      </c>
    </row>
    <row r="342" spans="1:36" x14ac:dyDescent="0.2">
      <c r="A342" t="str">
        <f>+VLOOKUP(B342,studies!$A$2:$C$102,3)</f>
        <v>Anthoff et al. (2009c)</v>
      </c>
      <c r="B342">
        <v>55</v>
      </c>
      <c r="C342">
        <v>2009</v>
      </c>
      <c r="D342">
        <v>1</v>
      </c>
      <c r="E342">
        <v>1995</v>
      </c>
      <c r="F342">
        <v>2010</v>
      </c>
      <c r="G342">
        <v>2.5000000000000001E-2</v>
      </c>
      <c r="H342">
        <v>67.875522696802548</v>
      </c>
      <c r="I342">
        <v>1</v>
      </c>
      <c r="J342">
        <v>0</v>
      </c>
      <c r="K342">
        <v>0</v>
      </c>
      <c r="L342" t="s">
        <v>238</v>
      </c>
      <c r="M342" t="s">
        <v>238</v>
      </c>
      <c r="N342" t="s">
        <v>238</v>
      </c>
      <c r="O342">
        <v>0</v>
      </c>
      <c r="P342">
        <v>1</v>
      </c>
      <c r="Q342">
        <v>1</v>
      </c>
      <c r="R342">
        <v>1</v>
      </c>
      <c r="S342">
        <v>1</v>
      </c>
      <c r="T342">
        <v>0</v>
      </c>
      <c r="U342">
        <v>0</v>
      </c>
      <c r="AA342">
        <v>1</v>
      </c>
      <c r="AC342">
        <v>0</v>
      </c>
      <c r="AD342">
        <v>0</v>
      </c>
      <c r="AE342">
        <v>1</v>
      </c>
      <c r="AF342">
        <v>0</v>
      </c>
      <c r="AG342">
        <v>0</v>
      </c>
      <c r="AH342">
        <v>63</v>
      </c>
      <c r="AI342">
        <v>1.71</v>
      </c>
      <c r="AJ342">
        <v>12</v>
      </c>
    </row>
    <row r="343" spans="1:36" x14ac:dyDescent="0.2">
      <c r="A343" t="str">
        <f>+VLOOKUP(B343,studies!$A$2:$C$102,3)</f>
        <v>Anthoff et al. (2009c)</v>
      </c>
      <c r="B343">
        <v>55</v>
      </c>
      <c r="C343">
        <v>2009</v>
      </c>
      <c r="D343">
        <v>1</v>
      </c>
      <c r="E343">
        <v>1995</v>
      </c>
      <c r="F343">
        <v>2010</v>
      </c>
      <c r="G343">
        <v>2.5000000000000001E-2</v>
      </c>
      <c r="H343">
        <v>97.894181383349135</v>
      </c>
      <c r="I343">
        <v>1</v>
      </c>
      <c r="J343">
        <v>0</v>
      </c>
      <c r="K343">
        <v>0</v>
      </c>
      <c r="L343" t="s">
        <v>238</v>
      </c>
      <c r="M343" t="s">
        <v>238</v>
      </c>
      <c r="N343" t="s">
        <v>238</v>
      </c>
      <c r="O343">
        <v>0</v>
      </c>
      <c r="P343">
        <v>1</v>
      </c>
      <c r="Q343">
        <v>1</v>
      </c>
      <c r="R343">
        <v>1</v>
      </c>
      <c r="S343">
        <v>1</v>
      </c>
      <c r="T343">
        <v>0</v>
      </c>
      <c r="U343">
        <v>0</v>
      </c>
      <c r="AA343">
        <v>1</v>
      </c>
      <c r="AC343">
        <v>0</v>
      </c>
      <c r="AD343">
        <v>0</v>
      </c>
      <c r="AE343">
        <v>1</v>
      </c>
      <c r="AF343">
        <v>0</v>
      </c>
      <c r="AG343">
        <v>0</v>
      </c>
      <c r="AH343">
        <v>63</v>
      </c>
      <c r="AI343">
        <v>1.71</v>
      </c>
      <c r="AJ343">
        <v>12</v>
      </c>
    </row>
    <row r="344" spans="1:36" x14ac:dyDescent="0.2">
      <c r="A344" t="str">
        <f>+VLOOKUP(B344,studies!$A$2:$C$102,3)</f>
        <v>Anthoff et al. (2009c)</v>
      </c>
      <c r="B344">
        <v>55</v>
      </c>
      <c r="C344">
        <v>2009</v>
      </c>
      <c r="D344">
        <v>1</v>
      </c>
      <c r="E344">
        <v>1995</v>
      </c>
      <c r="F344">
        <v>2010</v>
      </c>
      <c r="G344">
        <v>2.5000000000000001E-2</v>
      </c>
      <c r="H344">
        <v>379.90280271085066</v>
      </c>
      <c r="I344">
        <v>1</v>
      </c>
      <c r="J344">
        <v>0</v>
      </c>
      <c r="K344">
        <v>0</v>
      </c>
      <c r="L344" t="s">
        <v>238</v>
      </c>
      <c r="M344" t="s">
        <v>238</v>
      </c>
      <c r="N344" t="s">
        <v>238</v>
      </c>
      <c r="O344">
        <v>0</v>
      </c>
      <c r="P344">
        <v>1</v>
      </c>
      <c r="Q344">
        <v>1</v>
      </c>
      <c r="R344">
        <v>1</v>
      </c>
      <c r="S344">
        <v>1</v>
      </c>
      <c r="T344">
        <v>0</v>
      </c>
      <c r="U344">
        <v>0</v>
      </c>
      <c r="AA344">
        <v>1</v>
      </c>
      <c r="AC344">
        <v>0</v>
      </c>
      <c r="AD344">
        <v>0</v>
      </c>
      <c r="AE344">
        <v>1</v>
      </c>
      <c r="AF344">
        <v>0</v>
      </c>
      <c r="AG344">
        <v>0</v>
      </c>
      <c r="AH344">
        <v>63</v>
      </c>
      <c r="AI344">
        <v>1.71</v>
      </c>
      <c r="AJ344">
        <v>12</v>
      </c>
    </row>
    <row r="345" spans="1:36" x14ac:dyDescent="0.2">
      <c r="A345" t="str">
        <f>+VLOOKUP(B345,studies!$A$2:$C$102,3)</f>
        <v>Anthoff et al. (2009c)</v>
      </c>
      <c r="B345">
        <v>55</v>
      </c>
      <c r="C345">
        <v>2009</v>
      </c>
      <c r="D345">
        <v>1</v>
      </c>
      <c r="E345">
        <v>1995</v>
      </c>
      <c r="F345">
        <v>2010</v>
      </c>
      <c r="G345">
        <v>2.5000000000000001E-2</v>
      </c>
      <c r="H345">
        <v>195.78836276669827</v>
      </c>
      <c r="I345">
        <v>1</v>
      </c>
      <c r="J345">
        <v>0</v>
      </c>
      <c r="K345">
        <v>0</v>
      </c>
      <c r="L345" t="s">
        <v>238</v>
      </c>
      <c r="M345" t="s">
        <v>238</v>
      </c>
      <c r="N345" t="s">
        <v>238</v>
      </c>
      <c r="O345">
        <v>0</v>
      </c>
      <c r="P345">
        <v>1</v>
      </c>
      <c r="Q345">
        <v>1</v>
      </c>
      <c r="R345">
        <v>1</v>
      </c>
      <c r="S345">
        <v>1</v>
      </c>
      <c r="T345">
        <v>0</v>
      </c>
      <c r="U345">
        <v>0</v>
      </c>
      <c r="AA345">
        <v>1</v>
      </c>
      <c r="AC345">
        <v>0</v>
      </c>
      <c r="AD345">
        <v>0</v>
      </c>
      <c r="AE345">
        <v>1</v>
      </c>
      <c r="AF345">
        <v>0</v>
      </c>
      <c r="AG345">
        <v>0</v>
      </c>
      <c r="AH345">
        <v>63</v>
      </c>
      <c r="AI345">
        <v>1.71</v>
      </c>
      <c r="AJ345">
        <v>12</v>
      </c>
    </row>
    <row r="346" spans="1:36" x14ac:dyDescent="0.2">
      <c r="A346" t="str">
        <f>+VLOOKUP(B346,studies!$A$2:$C$102,3)</f>
        <v>Anthoff et al. (2009c)</v>
      </c>
      <c r="B346">
        <v>55</v>
      </c>
      <c r="C346">
        <v>2009</v>
      </c>
      <c r="D346">
        <v>1</v>
      </c>
      <c r="E346">
        <v>1995</v>
      </c>
      <c r="F346">
        <v>2010</v>
      </c>
      <c r="G346">
        <v>0.2</v>
      </c>
      <c r="H346">
        <v>-0.66708130414547961</v>
      </c>
      <c r="I346">
        <v>1</v>
      </c>
      <c r="J346">
        <v>0</v>
      </c>
      <c r="K346">
        <v>0</v>
      </c>
      <c r="L346" t="s">
        <v>238</v>
      </c>
      <c r="M346" t="s">
        <v>238</v>
      </c>
      <c r="N346" t="s">
        <v>238</v>
      </c>
      <c r="O346">
        <v>0</v>
      </c>
      <c r="P346">
        <v>1</v>
      </c>
      <c r="Q346">
        <v>1</v>
      </c>
      <c r="R346">
        <v>1</v>
      </c>
      <c r="S346">
        <v>1</v>
      </c>
      <c r="T346">
        <v>0</v>
      </c>
      <c r="U346">
        <v>0</v>
      </c>
      <c r="AA346">
        <v>1</v>
      </c>
      <c r="AC346">
        <v>0</v>
      </c>
      <c r="AD346">
        <v>0</v>
      </c>
      <c r="AE346">
        <v>1</v>
      </c>
      <c r="AF346">
        <v>0</v>
      </c>
      <c r="AG346">
        <v>0</v>
      </c>
      <c r="AH346">
        <v>63</v>
      </c>
      <c r="AI346">
        <v>1.71</v>
      </c>
      <c r="AJ346">
        <v>12</v>
      </c>
    </row>
    <row r="347" spans="1:36" x14ac:dyDescent="0.2">
      <c r="A347" t="str">
        <f>+VLOOKUP(B347,studies!$A$2:$C$102,3)</f>
        <v>Anthoff et al. (2009c)</v>
      </c>
      <c r="B347">
        <v>55</v>
      </c>
      <c r="C347">
        <v>2009</v>
      </c>
      <c r="D347">
        <v>1</v>
      </c>
      <c r="E347">
        <v>1995</v>
      </c>
      <c r="F347">
        <v>2010</v>
      </c>
      <c r="G347">
        <v>0.2</v>
      </c>
      <c r="H347">
        <v>22.013683036800824</v>
      </c>
      <c r="I347">
        <v>1</v>
      </c>
      <c r="J347">
        <v>0</v>
      </c>
      <c r="K347">
        <v>0</v>
      </c>
      <c r="L347" t="s">
        <v>238</v>
      </c>
      <c r="M347" t="s">
        <v>238</v>
      </c>
      <c r="N347" t="s">
        <v>238</v>
      </c>
      <c r="O347">
        <v>0</v>
      </c>
      <c r="P347">
        <v>1</v>
      </c>
      <c r="Q347">
        <v>1</v>
      </c>
      <c r="R347">
        <v>1</v>
      </c>
      <c r="S347">
        <v>1</v>
      </c>
      <c r="T347">
        <v>0</v>
      </c>
      <c r="U347">
        <v>0</v>
      </c>
      <c r="AA347">
        <v>1</v>
      </c>
      <c r="AC347">
        <v>0</v>
      </c>
      <c r="AD347">
        <v>0</v>
      </c>
      <c r="AE347">
        <v>1</v>
      </c>
      <c r="AF347">
        <v>0</v>
      </c>
      <c r="AG347">
        <v>0</v>
      </c>
      <c r="AH347">
        <v>63</v>
      </c>
      <c r="AI347">
        <v>1.71</v>
      </c>
      <c r="AJ347">
        <v>12</v>
      </c>
    </row>
    <row r="348" spans="1:36" x14ac:dyDescent="0.2">
      <c r="A348" t="str">
        <f>+VLOOKUP(B348,studies!$A$2:$C$102,3)</f>
        <v>Anthoff et al. (2009c)</v>
      </c>
      <c r="B348">
        <v>55</v>
      </c>
      <c r="C348">
        <v>2009</v>
      </c>
      <c r="D348">
        <v>1</v>
      </c>
      <c r="E348">
        <v>1995</v>
      </c>
      <c r="F348">
        <v>2010</v>
      </c>
      <c r="G348">
        <v>0.2</v>
      </c>
      <c r="H348">
        <v>342.71302000474009</v>
      </c>
      <c r="I348">
        <v>1</v>
      </c>
      <c r="J348">
        <v>0</v>
      </c>
      <c r="K348">
        <v>0</v>
      </c>
      <c r="L348" t="s">
        <v>238</v>
      </c>
      <c r="M348" t="s">
        <v>238</v>
      </c>
      <c r="N348" t="s">
        <v>238</v>
      </c>
      <c r="O348">
        <v>0</v>
      </c>
      <c r="P348">
        <v>1</v>
      </c>
      <c r="Q348">
        <v>1</v>
      </c>
      <c r="R348">
        <v>1</v>
      </c>
      <c r="S348">
        <v>1</v>
      </c>
      <c r="T348">
        <v>0</v>
      </c>
      <c r="U348">
        <v>0</v>
      </c>
      <c r="AA348">
        <v>1</v>
      </c>
      <c r="AC348">
        <v>0</v>
      </c>
      <c r="AD348">
        <v>0</v>
      </c>
      <c r="AE348">
        <v>1</v>
      </c>
      <c r="AF348">
        <v>0</v>
      </c>
      <c r="AG348">
        <v>0</v>
      </c>
      <c r="AH348">
        <v>63</v>
      </c>
      <c r="AI348">
        <v>1.71</v>
      </c>
      <c r="AJ348">
        <v>12</v>
      </c>
    </row>
    <row r="349" spans="1:36" x14ac:dyDescent="0.2">
      <c r="A349" t="str">
        <f>+VLOOKUP(B349,studies!$A$2:$C$102,3)</f>
        <v>Anthoff et al. (2009c)</v>
      </c>
      <c r="B349">
        <v>55</v>
      </c>
      <c r="C349">
        <v>2009</v>
      </c>
      <c r="D349">
        <v>1</v>
      </c>
      <c r="E349">
        <v>1995</v>
      </c>
      <c r="F349">
        <v>2010</v>
      </c>
      <c r="G349">
        <v>0.2</v>
      </c>
      <c r="H349">
        <v>101.22958790407652</v>
      </c>
      <c r="I349">
        <v>1</v>
      </c>
      <c r="J349">
        <v>0</v>
      </c>
      <c r="K349">
        <v>0</v>
      </c>
      <c r="L349" t="s">
        <v>238</v>
      </c>
      <c r="M349" t="s">
        <v>238</v>
      </c>
      <c r="N349" t="s">
        <v>238</v>
      </c>
      <c r="O349">
        <v>0</v>
      </c>
      <c r="P349">
        <v>1</v>
      </c>
      <c r="Q349">
        <v>1</v>
      </c>
      <c r="R349">
        <v>1</v>
      </c>
      <c r="S349">
        <v>1</v>
      </c>
      <c r="T349">
        <v>0</v>
      </c>
      <c r="U349">
        <v>0</v>
      </c>
      <c r="AA349">
        <v>1</v>
      </c>
      <c r="AC349">
        <v>0</v>
      </c>
      <c r="AD349">
        <v>0</v>
      </c>
      <c r="AE349">
        <v>1</v>
      </c>
      <c r="AF349">
        <v>0</v>
      </c>
      <c r="AG349">
        <v>0</v>
      </c>
      <c r="AH349">
        <v>63</v>
      </c>
      <c r="AI349">
        <v>1.71</v>
      </c>
      <c r="AJ349">
        <v>12</v>
      </c>
    </row>
    <row r="350" spans="1:36" x14ac:dyDescent="0.2">
      <c r="A350" t="str">
        <f>+VLOOKUP(B350,studies!$A$2:$C$102,3)</f>
        <v>EPA &amp; NHTSA (2009)</v>
      </c>
      <c r="B350">
        <v>56</v>
      </c>
      <c r="C350">
        <v>2009</v>
      </c>
      <c r="D350">
        <v>0</v>
      </c>
      <c r="E350">
        <v>2007</v>
      </c>
      <c r="F350">
        <v>2015</v>
      </c>
      <c r="G350">
        <v>0.1111111111111111</v>
      </c>
      <c r="H350">
        <v>26.992942417197998</v>
      </c>
      <c r="I350">
        <v>0</v>
      </c>
      <c r="J350">
        <v>1</v>
      </c>
      <c r="K350">
        <v>0</v>
      </c>
      <c r="L350" t="s">
        <v>238</v>
      </c>
      <c r="M350" t="s">
        <v>238</v>
      </c>
      <c r="N350" t="s">
        <v>238</v>
      </c>
      <c r="O350">
        <v>0</v>
      </c>
      <c r="P350">
        <v>0</v>
      </c>
      <c r="Q350">
        <v>0</v>
      </c>
      <c r="R350">
        <v>0</v>
      </c>
      <c r="S350">
        <v>1</v>
      </c>
      <c r="T350">
        <v>1</v>
      </c>
      <c r="U350">
        <v>1</v>
      </c>
      <c r="V350">
        <v>5</v>
      </c>
      <c r="AA350">
        <v>0</v>
      </c>
      <c r="AC350">
        <v>0</v>
      </c>
      <c r="AD350">
        <v>0</v>
      </c>
      <c r="AE350">
        <v>0</v>
      </c>
      <c r="AF350">
        <v>0</v>
      </c>
      <c r="AG350">
        <v>0</v>
      </c>
      <c r="AH350">
        <v>13</v>
      </c>
      <c r="AI350">
        <v>0.26</v>
      </c>
      <c r="AJ350">
        <v>5</v>
      </c>
    </row>
    <row r="351" spans="1:36" x14ac:dyDescent="0.2">
      <c r="A351" t="str">
        <f>+VLOOKUP(B351,studies!$A$2:$C$102,3)</f>
        <v>EPA &amp; NHTSA (2009)</v>
      </c>
      <c r="B351">
        <v>56</v>
      </c>
      <c r="C351">
        <v>2009</v>
      </c>
      <c r="D351">
        <v>0</v>
      </c>
      <c r="E351">
        <v>2007</v>
      </c>
      <c r="F351">
        <v>2015</v>
      </c>
      <c r="G351">
        <v>0.22222222222222221</v>
      </c>
      <c r="H351">
        <v>50.129750203367706</v>
      </c>
      <c r="I351">
        <v>0</v>
      </c>
      <c r="J351">
        <v>1</v>
      </c>
      <c r="K351">
        <v>0</v>
      </c>
      <c r="L351" t="s">
        <v>238</v>
      </c>
      <c r="M351" t="s">
        <v>238</v>
      </c>
      <c r="N351" t="s">
        <v>238</v>
      </c>
      <c r="O351">
        <v>0</v>
      </c>
      <c r="P351">
        <v>0</v>
      </c>
      <c r="Q351">
        <v>0</v>
      </c>
      <c r="R351">
        <v>0</v>
      </c>
      <c r="S351">
        <v>1</v>
      </c>
      <c r="T351">
        <v>1</v>
      </c>
      <c r="U351">
        <v>1</v>
      </c>
      <c r="AA351">
        <v>0</v>
      </c>
      <c r="AC351">
        <v>0</v>
      </c>
      <c r="AD351">
        <v>0</v>
      </c>
      <c r="AE351">
        <v>0</v>
      </c>
      <c r="AF351">
        <v>0</v>
      </c>
      <c r="AG351">
        <v>0</v>
      </c>
      <c r="AH351">
        <v>13</v>
      </c>
      <c r="AI351">
        <v>0.26</v>
      </c>
      <c r="AJ351">
        <v>5</v>
      </c>
    </row>
    <row r="352" spans="1:36" x14ac:dyDescent="0.2">
      <c r="A352" t="str">
        <f>+VLOOKUP(B352,studies!$A$2:$C$102,3)</f>
        <v>EPA &amp; NHTSA (2009)</v>
      </c>
      <c r="B352">
        <v>56</v>
      </c>
      <c r="C352">
        <v>2009</v>
      </c>
      <c r="D352">
        <v>0</v>
      </c>
      <c r="E352">
        <v>2007</v>
      </c>
      <c r="F352">
        <v>2015</v>
      </c>
      <c r="G352">
        <v>0.33333333333333331</v>
      </c>
      <c r="H352">
        <v>353.47900784425946</v>
      </c>
      <c r="I352">
        <v>0</v>
      </c>
      <c r="J352">
        <v>1</v>
      </c>
      <c r="K352">
        <v>0</v>
      </c>
      <c r="L352" t="s">
        <v>238</v>
      </c>
      <c r="M352" t="s">
        <v>238</v>
      </c>
      <c r="N352" t="s">
        <v>238</v>
      </c>
      <c r="O352">
        <v>0</v>
      </c>
      <c r="P352">
        <v>0</v>
      </c>
      <c r="Q352">
        <v>0</v>
      </c>
      <c r="R352">
        <v>0</v>
      </c>
      <c r="S352">
        <v>1</v>
      </c>
      <c r="T352">
        <v>1</v>
      </c>
      <c r="U352">
        <v>1</v>
      </c>
      <c r="AA352">
        <v>0</v>
      </c>
      <c r="AC352">
        <v>0</v>
      </c>
      <c r="AD352">
        <v>0</v>
      </c>
      <c r="AE352">
        <v>0</v>
      </c>
      <c r="AF352">
        <v>0</v>
      </c>
      <c r="AG352">
        <v>0</v>
      </c>
      <c r="AH352">
        <v>13</v>
      </c>
      <c r="AI352">
        <v>0.26</v>
      </c>
      <c r="AJ352">
        <v>5</v>
      </c>
    </row>
    <row r="353" spans="1:36" x14ac:dyDescent="0.2">
      <c r="A353" t="str">
        <f>+VLOOKUP(B353,studies!$A$2:$C$102,3)</f>
        <v>EPA &amp; NHTSA (2009)</v>
      </c>
      <c r="B353">
        <v>56</v>
      </c>
      <c r="C353">
        <v>2009</v>
      </c>
      <c r="D353">
        <v>0</v>
      </c>
      <c r="E353">
        <v>2007</v>
      </c>
      <c r="F353">
        <v>2015</v>
      </c>
      <c r="G353">
        <v>0.22222222222222221</v>
      </c>
      <c r="H353">
        <v>607.9838934921263</v>
      </c>
      <c r="I353">
        <v>0</v>
      </c>
      <c r="J353">
        <v>1</v>
      </c>
      <c r="K353">
        <v>0</v>
      </c>
      <c r="L353" t="s">
        <v>238</v>
      </c>
      <c r="M353" t="s">
        <v>238</v>
      </c>
      <c r="N353" t="s">
        <v>238</v>
      </c>
      <c r="O353">
        <v>0</v>
      </c>
      <c r="P353">
        <v>0</v>
      </c>
      <c r="Q353">
        <v>0</v>
      </c>
      <c r="R353">
        <v>0</v>
      </c>
      <c r="S353">
        <v>1</v>
      </c>
      <c r="T353">
        <v>1</v>
      </c>
      <c r="U353">
        <v>1</v>
      </c>
      <c r="V353">
        <v>3</v>
      </c>
      <c r="AA353">
        <v>0</v>
      </c>
      <c r="AC353">
        <v>0</v>
      </c>
      <c r="AD353">
        <v>0</v>
      </c>
      <c r="AE353">
        <v>0</v>
      </c>
      <c r="AF353">
        <v>0</v>
      </c>
      <c r="AG353">
        <v>0</v>
      </c>
      <c r="AH353">
        <v>13</v>
      </c>
      <c r="AI353">
        <v>0.26</v>
      </c>
      <c r="AJ353">
        <v>5</v>
      </c>
    </row>
    <row r="354" spans="1:36" x14ac:dyDescent="0.2">
      <c r="A354" t="str">
        <f>+VLOOKUP(B354,studies!$A$2:$C$102,3)</f>
        <v>EPA &amp; NHTSA (2009)</v>
      </c>
      <c r="B354">
        <v>56</v>
      </c>
      <c r="C354">
        <v>2009</v>
      </c>
      <c r="D354">
        <v>0</v>
      </c>
      <c r="E354">
        <v>2007</v>
      </c>
      <c r="F354">
        <v>2015</v>
      </c>
      <c r="G354">
        <v>0.1111111111111111</v>
      </c>
      <c r="H354">
        <v>1018.0195425914671</v>
      </c>
      <c r="I354">
        <v>0</v>
      </c>
      <c r="J354">
        <v>1</v>
      </c>
      <c r="K354">
        <v>0</v>
      </c>
      <c r="L354" t="s">
        <v>238</v>
      </c>
      <c r="M354" t="s">
        <v>238</v>
      </c>
      <c r="N354" t="s">
        <v>238</v>
      </c>
      <c r="O354">
        <v>0</v>
      </c>
      <c r="P354">
        <v>0</v>
      </c>
      <c r="Q354">
        <v>0</v>
      </c>
      <c r="R354">
        <v>0</v>
      </c>
      <c r="S354">
        <v>1</v>
      </c>
      <c r="T354">
        <v>1</v>
      </c>
      <c r="U354">
        <v>1</v>
      </c>
      <c r="AA354">
        <v>0</v>
      </c>
      <c r="AC354">
        <v>0</v>
      </c>
      <c r="AD354">
        <v>0</v>
      </c>
      <c r="AE354">
        <v>0</v>
      </c>
      <c r="AF354">
        <v>0</v>
      </c>
      <c r="AG354">
        <v>0</v>
      </c>
      <c r="AH354">
        <v>13</v>
      </c>
      <c r="AI354">
        <v>0.26</v>
      </c>
      <c r="AJ354">
        <v>5</v>
      </c>
    </row>
    <row r="355" spans="1:36" x14ac:dyDescent="0.2">
      <c r="A355" t="str">
        <f>+VLOOKUP(B355,studies!$A$2:$C$102,3)</f>
        <v>Narita et al. (2009)</v>
      </c>
      <c r="B355">
        <v>57</v>
      </c>
      <c r="C355">
        <v>2009</v>
      </c>
      <c r="D355">
        <v>1</v>
      </c>
      <c r="E355">
        <v>2005</v>
      </c>
      <c r="F355">
        <v>2010</v>
      </c>
      <c r="G355">
        <v>0.33333333333333331</v>
      </c>
      <c r="H355">
        <v>142.29202863285522</v>
      </c>
      <c r="I355">
        <v>0</v>
      </c>
      <c r="J355">
        <v>1</v>
      </c>
      <c r="K355">
        <v>0</v>
      </c>
      <c r="L355" t="s">
        <v>238</v>
      </c>
      <c r="M355" t="s">
        <v>238</v>
      </c>
      <c r="N355" t="s">
        <v>238</v>
      </c>
      <c r="O355">
        <v>0</v>
      </c>
      <c r="P355">
        <v>1</v>
      </c>
      <c r="Q355">
        <v>1</v>
      </c>
      <c r="R355">
        <v>1</v>
      </c>
      <c r="S355">
        <v>1</v>
      </c>
      <c r="T355">
        <v>0</v>
      </c>
      <c r="U355">
        <v>0</v>
      </c>
      <c r="W355">
        <v>0</v>
      </c>
      <c r="AA355">
        <v>0</v>
      </c>
      <c r="AC355">
        <v>0</v>
      </c>
      <c r="AD355">
        <v>0</v>
      </c>
      <c r="AE355">
        <v>1</v>
      </c>
      <c r="AF355">
        <v>0</v>
      </c>
      <c r="AG355">
        <v>0</v>
      </c>
      <c r="AH355">
        <v>36</v>
      </c>
      <c r="AI355">
        <v>1.2</v>
      </c>
      <c r="AJ355">
        <v>3</v>
      </c>
    </row>
    <row r="356" spans="1:36" x14ac:dyDescent="0.2">
      <c r="A356" t="str">
        <f>+VLOOKUP(B356,studies!$A$2:$C$102,3)</f>
        <v>Narita et al. (2009)</v>
      </c>
      <c r="B356">
        <v>57</v>
      </c>
      <c r="C356">
        <v>2009</v>
      </c>
      <c r="D356">
        <v>1</v>
      </c>
      <c r="E356">
        <v>2005</v>
      </c>
      <c r="F356">
        <v>2010</v>
      </c>
      <c r="G356">
        <v>0.33333333333333331</v>
      </c>
      <c r="H356">
        <v>11.829472656600091</v>
      </c>
      <c r="I356">
        <v>0</v>
      </c>
      <c r="J356">
        <v>1</v>
      </c>
      <c r="K356">
        <v>0</v>
      </c>
      <c r="L356" t="s">
        <v>238</v>
      </c>
      <c r="M356" t="s">
        <v>238</v>
      </c>
      <c r="N356" t="s">
        <v>238</v>
      </c>
      <c r="O356">
        <v>0</v>
      </c>
      <c r="P356">
        <v>1</v>
      </c>
      <c r="Q356">
        <v>1</v>
      </c>
      <c r="R356">
        <v>1</v>
      </c>
      <c r="S356">
        <v>1</v>
      </c>
      <c r="T356">
        <v>0</v>
      </c>
      <c r="U356">
        <v>0</v>
      </c>
      <c r="W356">
        <v>1</v>
      </c>
      <c r="AA356">
        <v>0</v>
      </c>
      <c r="AC356">
        <v>0</v>
      </c>
      <c r="AD356">
        <v>0</v>
      </c>
      <c r="AE356">
        <v>1</v>
      </c>
      <c r="AF356">
        <v>0</v>
      </c>
      <c r="AG356">
        <v>0</v>
      </c>
      <c r="AH356">
        <v>36</v>
      </c>
      <c r="AI356">
        <v>1.2</v>
      </c>
      <c r="AJ356">
        <v>3</v>
      </c>
    </row>
    <row r="357" spans="1:36" x14ac:dyDescent="0.2">
      <c r="A357" t="str">
        <f>+VLOOKUP(B357,studies!$A$2:$C$102,3)</f>
        <v>Narita et al. (2009)</v>
      </c>
      <c r="B357">
        <v>57</v>
      </c>
      <c r="C357">
        <v>2009</v>
      </c>
      <c r="D357">
        <v>1</v>
      </c>
      <c r="E357">
        <v>2005</v>
      </c>
      <c r="F357">
        <v>2010</v>
      </c>
      <c r="G357">
        <v>0.33333333333333331</v>
      </c>
      <c r="H357">
        <v>-3.8650752244336934</v>
      </c>
      <c r="I357">
        <v>0</v>
      </c>
      <c r="J357">
        <v>1</v>
      </c>
      <c r="K357">
        <v>0</v>
      </c>
      <c r="L357" t="s">
        <v>238</v>
      </c>
      <c r="M357" t="s">
        <v>238</v>
      </c>
      <c r="N357" t="s">
        <v>238</v>
      </c>
      <c r="O357">
        <v>0</v>
      </c>
      <c r="P357">
        <v>1</v>
      </c>
      <c r="Q357">
        <v>1</v>
      </c>
      <c r="R357">
        <v>1</v>
      </c>
      <c r="S357">
        <v>1</v>
      </c>
      <c r="T357">
        <v>0</v>
      </c>
      <c r="U357">
        <v>0</v>
      </c>
      <c r="W357">
        <v>3</v>
      </c>
      <c r="AA357">
        <v>0</v>
      </c>
      <c r="AC357">
        <v>0</v>
      </c>
      <c r="AD357">
        <v>0</v>
      </c>
      <c r="AE357">
        <v>1</v>
      </c>
      <c r="AF357">
        <v>0</v>
      </c>
      <c r="AG357">
        <v>0</v>
      </c>
      <c r="AH357">
        <v>36</v>
      </c>
      <c r="AI357">
        <v>1.2</v>
      </c>
      <c r="AJ357">
        <v>3</v>
      </c>
    </row>
    <row r="358" spans="1:36" x14ac:dyDescent="0.2">
      <c r="A358" t="str">
        <f>+VLOOKUP(B358,studies!$A$2:$C$102,3)</f>
        <v>Anthoff &amp; Tol (2010)</v>
      </c>
      <c r="B358">
        <v>58</v>
      </c>
      <c r="C358">
        <v>2010</v>
      </c>
      <c r="D358">
        <v>1</v>
      </c>
      <c r="E358">
        <v>1995</v>
      </c>
      <c r="F358">
        <v>2010</v>
      </c>
      <c r="G358">
        <v>0.11764705882352941</v>
      </c>
      <c r="H358">
        <v>25.949462731259153</v>
      </c>
      <c r="I358">
        <v>0</v>
      </c>
      <c r="J358">
        <v>1</v>
      </c>
      <c r="K358">
        <v>0</v>
      </c>
      <c r="L358" t="s">
        <v>238</v>
      </c>
      <c r="M358" t="s">
        <v>238</v>
      </c>
      <c r="N358" t="s">
        <v>238</v>
      </c>
      <c r="O358">
        <v>0</v>
      </c>
      <c r="P358">
        <v>1</v>
      </c>
      <c r="Q358">
        <v>1</v>
      </c>
      <c r="R358">
        <v>1</v>
      </c>
      <c r="S358">
        <v>1</v>
      </c>
      <c r="T358">
        <v>0</v>
      </c>
      <c r="U358">
        <v>0</v>
      </c>
      <c r="W358">
        <v>1</v>
      </c>
      <c r="AA358">
        <v>0</v>
      </c>
      <c r="AC358">
        <v>0</v>
      </c>
      <c r="AD358">
        <v>0</v>
      </c>
      <c r="AE358">
        <v>1</v>
      </c>
      <c r="AF358">
        <v>0</v>
      </c>
      <c r="AG358">
        <v>0</v>
      </c>
      <c r="AH358">
        <v>52</v>
      </c>
      <c r="AI358">
        <v>2.2599999999999998</v>
      </c>
      <c r="AJ358">
        <v>16</v>
      </c>
    </row>
    <row r="359" spans="1:36" x14ac:dyDescent="0.2">
      <c r="A359" t="str">
        <f>+VLOOKUP(B359,studies!$A$2:$C$102,3)</f>
        <v>Anthoff &amp; Tol (2010)</v>
      </c>
      <c r="B359">
        <v>58</v>
      </c>
      <c r="C359">
        <v>2010</v>
      </c>
      <c r="D359">
        <v>1</v>
      </c>
      <c r="E359">
        <v>1995</v>
      </c>
      <c r="F359">
        <v>2010</v>
      </c>
      <c r="G359">
        <v>0.11764705882352941</v>
      </c>
      <c r="H359">
        <v>46.462212833732657</v>
      </c>
      <c r="I359">
        <v>0</v>
      </c>
      <c r="J359">
        <v>1</v>
      </c>
      <c r="K359">
        <v>0</v>
      </c>
      <c r="L359" t="s">
        <v>238</v>
      </c>
      <c r="M359" t="s">
        <v>238</v>
      </c>
      <c r="N359" t="s">
        <v>238</v>
      </c>
      <c r="O359">
        <v>0</v>
      </c>
      <c r="P359">
        <v>1</v>
      </c>
      <c r="Q359">
        <v>1</v>
      </c>
      <c r="R359">
        <v>1</v>
      </c>
      <c r="S359">
        <v>1</v>
      </c>
      <c r="T359">
        <v>0</v>
      </c>
      <c r="U359">
        <v>0</v>
      </c>
      <c r="W359">
        <v>1</v>
      </c>
      <c r="AA359">
        <v>1</v>
      </c>
      <c r="AC359">
        <v>0</v>
      </c>
      <c r="AD359">
        <v>0</v>
      </c>
      <c r="AE359">
        <v>1</v>
      </c>
      <c r="AF359">
        <v>0</v>
      </c>
      <c r="AG359">
        <v>0</v>
      </c>
      <c r="AH359">
        <v>52</v>
      </c>
      <c r="AI359">
        <v>2.2599999999999998</v>
      </c>
      <c r="AJ359">
        <v>16</v>
      </c>
    </row>
    <row r="360" spans="1:36" x14ac:dyDescent="0.2">
      <c r="A360" t="str">
        <f>+VLOOKUP(B360,studies!$A$2:$C$102,3)</f>
        <v>Anthoff &amp; Tol (2010)</v>
      </c>
      <c r="B360">
        <v>58</v>
      </c>
      <c r="C360">
        <v>2010</v>
      </c>
      <c r="D360">
        <v>1</v>
      </c>
      <c r="E360">
        <v>1995</v>
      </c>
      <c r="F360">
        <v>2010</v>
      </c>
      <c r="G360">
        <v>5.8823529411764705E-2</v>
      </c>
      <c r="H360">
        <v>169.25520389431179</v>
      </c>
      <c r="I360">
        <v>0</v>
      </c>
      <c r="J360">
        <v>1</v>
      </c>
      <c r="K360">
        <v>0</v>
      </c>
      <c r="L360" t="s">
        <v>238</v>
      </c>
      <c r="M360" t="s">
        <v>238</v>
      </c>
      <c r="N360" t="s">
        <v>238</v>
      </c>
      <c r="O360">
        <v>0</v>
      </c>
      <c r="P360">
        <v>1</v>
      </c>
      <c r="Q360">
        <v>1</v>
      </c>
      <c r="R360">
        <v>1</v>
      </c>
      <c r="S360">
        <v>1</v>
      </c>
      <c r="T360">
        <v>0</v>
      </c>
      <c r="U360">
        <v>0</v>
      </c>
      <c r="W360">
        <v>0</v>
      </c>
      <c r="AA360">
        <v>0</v>
      </c>
      <c r="AC360">
        <v>0</v>
      </c>
      <c r="AD360">
        <v>0</v>
      </c>
      <c r="AE360">
        <v>1</v>
      </c>
      <c r="AF360">
        <v>0</v>
      </c>
      <c r="AG360">
        <v>0</v>
      </c>
      <c r="AH360">
        <v>52</v>
      </c>
      <c r="AI360">
        <v>2.2599999999999998</v>
      </c>
      <c r="AJ360">
        <v>16</v>
      </c>
    </row>
    <row r="361" spans="1:36" x14ac:dyDescent="0.2">
      <c r="A361" t="str">
        <f>+VLOOKUP(B361,studies!$A$2:$C$102,3)</f>
        <v>Anthoff &amp; Tol (2010)</v>
      </c>
      <c r="B361">
        <v>58</v>
      </c>
      <c r="C361">
        <v>2010</v>
      </c>
      <c r="D361">
        <v>1</v>
      </c>
      <c r="E361">
        <v>1995</v>
      </c>
      <c r="F361">
        <v>2010</v>
      </c>
      <c r="G361">
        <v>5.8823529411764705E-2</v>
      </c>
      <c r="H361">
        <v>303.72211777743684</v>
      </c>
      <c r="I361">
        <v>0</v>
      </c>
      <c r="J361">
        <v>1</v>
      </c>
      <c r="K361">
        <v>0</v>
      </c>
      <c r="L361" t="s">
        <v>238</v>
      </c>
      <c r="M361" t="s">
        <v>238</v>
      </c>
      <c r="N361" t="s">
        <v>238</v>
      </c>
      <c r="O361">
        <v>0</v>
      </c>
      <c r="P361">
        <v>1</v>
      </c>
      <c r="Q361">
        <v>1</v>
      </c>
      <c r="R361">
        <v>1</v>
      </c>
      <c r="S361">
        <v>1</v>
      </c>
      <c r="T361">
        <v>0</v>
      </c>
      <c r="U361">
        <v>0</v>
      </c>
      <c r="W361">
        <v>0</v>
      </c>
      <c r="AA361">
        <v>1</v>
      </c>
      <c r="AC361">
        <v>0</v>
      </c>
      <c r="AD361">
        <v>0</v>
      </c>
      <c r="AE361">
        <v>1</v>
      </c>
      <c r="AF361">
        <v>0</v>
      </c>
      <c r="AG361">
        <v>0</v>
      </c>
      <c r="AH361">
        <v>52</v>
      </c>
      <c r="AI361">
        <v>2.2599999999999998</v>
      </c>
      <c r="AJ361">
        <v>16</v>
      </c>
    </row>
    <row r="362" spans="1:36" x14ac:dyDescent="0.2">
      <c r="A362" t="str">
        <f>+VLOOKUP(B362,studies!$A$2:$C$102,3)</f>
        <v>Anthoff &amp; Tol (2010)</v>
      </c>
      <c r="B362">
        <v>58</v>
      </c>
      <c r="C362">
        <v>2010</v>
      </c>
      <c r="D362">
        <v>1</v>
      </c>
      <c r="E362">
        <v>1995</v>
      </c>
      <c r="F362">
        <v>2010</v>
      </c>
      <c r="G362">
        <v>5.8823529411764705E-2</v>
      </c>
      <c r="H362">
        <v>1.1006841518400414</v>
      </c>
      <c r="I362">
        <v>0</v>
      </c>
      <c r="J362">
        <v>1</v>
      </c>
      <c r="K362">
        <v>0</v>
      </c>
      <c r="L362" t="s">
        <v>238</v>
      </c>
      <c r="M362" t="s">
        <v>238</v>
      </c>
      <c r="N362" t="s">
        <v>238</v>
      </c>
      <c r="O362">
        <v>0</v>
      </c>
      <c r="P362">
        <v>1</v>
      </c>
      <c r="Q362">
        <v>1</v>
      </c>
      <c r="R362">
        <v>1</v>
      </c>
      <c r="S362">
        <v>1</v>
      </c>
      <c r="T362">
        <v>0</v>
      </c>
      <c r="U362">
        <v>0</v>
      </c>
      <c r="W362">
        <v>3</v>
      </c>
      <c r="AA362">
        <v>0</v>
      </c>
      <c r="AC362">
        <v>0</v>
      </c>
      <c r="AD362">
        <v>0</v>
      </c>
      <c r="AE362">
        <v>1</v>
      </c>
      <c r="AF362">
        <v>0</v>
      </c>
      <c r="AG362">
        <v>0</v>
      </c>
      <c r="AH362">
        <v>52</v>
      </c>
      <c r="AI362">
        <v>2.2599999999999998</v>
      </c>
      <c r="AJ362">
        <v>16</v>
      </c>
    </row>
    <row r="363" spans="1:36" x14ac:dyDescent="0.2">
      <c r="A363" t="str">
        <f>+VLOOKUP(B363,studies!$A$2:$C$102,3)</f>
        <v>Anthoff &amp; Tol (2010)</v>
      </c>
      <c r="B363">
        <v>58</v>
      </c>
      <c r="C363">
        <v>2010</v>
      </c>
      <c r="D363">
        <v>1</v>
      </c>
      <c r="E363">
        <v>1995</v>
      </c>
      <c r="F363">
        <v>2010</v>
      </c>
      <c r="G363">
        <v>5.8823529411764705E-2</v>
      </c>
      <c r="H363">
        <v>1.9345357820218907</v>
      </c>
      <c r="I363">
        <v>0</v>
      </c>
      <c r="J363">
        <v>1</v>
      </c>
      <c r="K363">
        <v>0</v>
      </c>
      <c r="L363" t="s">
        <v>238</v>
      </c>
      <c r="M363" t="s">
        <v>238</v>
      </c>
      <c r="N363" t="s">
        <v>238</v>
      </c>
      <c r="O363">
        <v>0</v>
      </c>
      <c r="P363">
        <v>1</v>
      </c>
      <c r="Q363">
        <v>1</v>
      </c>
      <c r="R363">
        <v>1</v>
      </c>
      <c r="S363">
        <v>1</v>
      </c>
      <c r="T363">
        <v>0</v>
      </c>
      <c r="U363">
        <v>0</v>
      </c>
      <c r="W363">
        <v>3</v>
      </c>
      <c r="AA363">
        <v>1</v>
      </c>
      <c r="AC363">
        <v>0</v>
      </c>
      <c r="AD363">
        <v>0</v>
      </c>
      <c r="AE363">
        <v>1</v>
      </c>
      <c r="AF363">
        <v>0</v>
      </c>
      <c r="AG363">
        <v>0</v>
      </c>
      <c r="AH363">
        <v>52</v>
      </c>
      <c r="AI363">
        <v>2.2599999999999998</v>
      </c>
      <c r="AJ363">
        <v>16</v>
      </c>
    </row>
    <row r="364" spans="1:36" x14ac:dyDescent="0.2">
      <c r="A364" t="str">
        <f>+VLOOKUP(B364,studies!$A$2:$C$102,3)</f>
        <v>Anthoff &amp; Tol (2010)</v>
      </c>
      <c r="B364">
        <v>58</v>
      </c>
      <c r="C364">
        <v>2010</v>
      </c>
      <c r="D364">
        <v>1</v>
      </c>
      <c r="E364">
        <v>1995</v>
      </c>
      <c r="F364">
        <v>2010</v>
      </c>
      <c r="G364">
        <v>5.8823529411764705E-2</v>
      </c>
      <c r="H364">
        <v>93.174581156519864</v>
      </c>
      <c r="I364">
        <v>0</v>
      </c>
      <c r="J364">
        <v>1</v>
      </c>
      <c r="K364">
        <v>0</v>
      </c>
      <c r="L364" t="s">
        <v>238</v>
      </c>
      <c r="M364" t="s">
        <v>238</v>
      </c>
      <c r="N364" t="s">
        <v>238</v>
      </c>
      <c r="O364">
        <v>0</v>
      </c>
      <c r="P364">
        <v>1</v>
      </c>
      <c r="Q364">
        <v>1</v>
      </c>
      <c r="R364">
        <v>1</v>
      </c>
      <c r="S364">
        <v>1</v>
      </c>
      <c r="T364">
        <v>0</v>
      </c>
      <c r="U364">
        <v>0</v>
      </c>
      <c r="W364">
        <v>1</v>
      </c>
      <c r="AA364">
        <v>0</v>
      </c>
      <c r="AC364">
        <v>0</v>
      </c>
      <c r="AD364">
        <v>0</v>
      </c>
      <c r="AE364">
        <v>1</v>
      </c>
      <c r="AF364">
        <v>0</v>
      </c>
      <c r="AG364">
        <v>0</v>
      </c>
      <c r="AH364">
        <v>52</v>
      </c>
      <c r="AI364">
        <v>2.2599999999999998</v>
      </c>
      <c r="AJ364">
        <v>16</v>
      </c>
    </row>
    <row r="365" spans="1:36" x14ac:dyDescent="0.2">
      <c r="A365" t="str">
        <f>+VLOOKUP(B365,studies!$A$2:$C$102,3)</f>
        <v>Anthoff &amp; Tol (2010)</v>
      </c>
      <c r="B365">
        <v>58</v>
      </c>
      <c r="C365">
        <v>2010</v>
      </c>
      <c r="D365">
        <v>1</v>
      </c>
      <c r="E365">
        <v>1995</v>
      </c>
      <c r="F365">
        <v>2010</v>
      </c>
      <c r="G365">
        <v>5.8823529411764705E-2</v>
      </c>
      <c r="H365">
        <v>119.67438596369904</v>
      </c>
      <c r="I365">
        <v>0</v>
      </c>
      <c r="J365">
        <v>1</v>
      </c>
      <c r="K365">
        <v>0</v>
      </c>
      <c r="L365" t="s">
        <v>238</v>
      </c>
      <c r="M365" t="s">
        <v>238</v>
      </c>
      <c r="N365" t="s">
        <v>238</v>
      </c>
      <c r="O365">
        <v>0</v>
      </c>
      <c r="P365">
        <v>1</v>
      </c>
      <c r="Q365">
        <v>1</v>
      </c>
      <c r="R365">
        <v>1</v>
      </c>
      <c r="S365">
        <v>1</v>
      </c>
      <c r="T365">
        <v>0</v>
      </c>
      <c r="U365">
        <v>0</v>
      </c>
      <c r="W365">
        <v>1</v>
      </c>
      <c r="AA365">
        <v>1</v>
      </c>
      <c r="AC365">
        <v>0</v>
      </c>
      <c r="AD365">
        <v>0</v>
      </c>
      <c r="AE365">
        <v>1</v>
      </c>
      <c r="AF365">
        <v>0</v>
      </c>
      <c r="AG365">
        <v>0</v>
      </c>
      <c r="AH365">
        <v>52</v>
      </c>
      <c r="AI365">
        <v>2.2599999999999998</v>
      </c>
      <c r="AJ365">
        <v>16</v>
      </c>
    </row>
    <row r="366" spans="1:36" x14ac:dyDescent="0.2">
      <c r="A366" t="str">
        <f>+VLOOKUP(B366,studies!$A$2:$C$102,3)</f>
        <v>Anthoff &amp; Tol (2010)</v>
      </c>
      <c r="B366">
        <v>58</v>
      </c>
      <c r="C366">
        <v>2010</v>
      </c>
      <c r="D366">
        <v>1</v>
      </c>
      <c r="E366">
        <v>1995</v>
      </c>
      <c r="F366">
        <v>2010</v>
      </c>
      <c r="G366">
        <v>5.8823529411764705E-2</v>
      </c>
      <c r="H366">
        <v>7.7548201606912004</v>
      </c>
      <c r="I366">
        <v>0</v>
      </c>
      <c r="J366">
        <v>1</v>
      </c>
      <c r="K366">
        <v>0</v>
      </c>
      <c r="L366" t="s">
        <v>238</v>
      </c>
      <c r="M366" t="s">
        <v>238</v>
      </c>
      <c r="N366" t="s">
        <v>238</v>
      </c>
      <c r="O366">
        <v>0</v>
      </c>
      <c r="P366">
        <v>1</v>
      </c>
      <c r="Q366">
        <v>1</v>
      </c>
      <c r="R366">
        <v>1</v>
      </c>
      <c r="S366">
        <v>1</v>
      </c>
      <c r="T366">
        <v>0</v>
      </c>
      <c r="U366">
        <v>0</v>
      </c>
      <c r="W366">
        <v>1</v>
      </c>
      <c r="AA366">
        <v>0</v>
      </c>
      <c r="AC366">
        <v>0</v>
      </c>
      <c r="AD366">
        <v>0</v>
      </c>
      <c r="AE366">
        <v>1</v>
      </c>
      <c r="AF366">
        <v>0</v>
      </c>
      <c r="AG366">
        <v>0</v>
      </c>
      <c r="AH366">
        <v>52</v>
      </c>
      <c r="AI366">
        <v>2.2599999999999998</v>
      </c>
      <c r="AJ366">
        <v>16</v>
      </c>
    </row>
    <row r="367" spans="1:36" x14ac:dyDescent="0.2">
      <c r="A367" t="str">
        <f>+VLOOKUP(B367,studies!$A$2:$C$102,3)</f>
        <v>Anthoff &amp; Tol (2010)</v>
      </c>
      <c r="B367">
        <v>58</v>
      </c>
      <c r="C367">
        <v>2010</v>
      </c>
      <c r="D367">
        <v>1</v>
      </c>
      <c r="E367">
        <v>1995</v>
      </c>
      <c r="F367">
        <v>2010</v>
      </c>
      <c r="G367">
        <v>5.8823529411764705E-2</v>
      </c>
      <c r="H367">
        <v>21.5967572217099</v>
      </c>
      <c r="I367">
        <v>0</v>
      </c>
      <c r="J367">
        <v>1</v>
      </c>
      <c r="K367">
        <v>0</v>
      </c>
      <c r="L367" t="s">
        <v>238</v>
      </c>
      <c r="M367" t="s">
        <v>238</v>
      </c>
      <c r="N367" t="s">
        <v>238</v>
      </c>
      <c r="O367">
        <v>0</v>
      </c>
      <c r="P367">
        <v>1</v>
      </c>
      <c r="Q367">
        <v>1</v>
      </c>
      <c r="R367">
        <v>1</v>
      </c>
      <c r="S367">
        <v>1</v>
      </c>
      <c r="T367">
        <v>0</v>
      </c>
      <c r="U367">
        <v>0</v>
      </c>
      <c r="W367">
        <v>1</v>
      </c>
      <c r="AA367">
        <v>1</v>
      </c>
      <c r="AC367">
        <v>0</v>
      </c>
      <c r="AD367">
        <v>0</v>
      </c>
      <c r="AE367">
        <v>1</v>
      </c>
      <c r="AF367">
        <v>0</v>
      </c>
      <c r="AG367">
        <v>0</v>
      </c>
      <c r="AH367">
        <v>52</v>
      </c>
      <c r="AI367">
        <v>2.2599999999999998</v>
      </c>
      <c r="AJ367">
        <v>16</v>
      </c>
    </row>
    <row r="368" spans="1:36" x14ac:dyDescent="0.2">
      <c r="A368" t="str">
        <f>+VLOOKUP(B368,studies!$A$2:$C$102,3)</f>
        <v>Anthoff &amp; Tol (2010)</v>
      </c>
      <c r="B368">
        <v>58</v>
      </c>
      <c r="C368">
        <v>2010</v>
      </c>
      <c r="D368">
        <v>1</v>
      </c>
      <c r="E368">
        <v>1995</v>
      </c>
      <c r="F368">
        <v>2010</v>
      </c>
      <c r="G368">
        <v>5.8823529411764705E-2</v>
      </c>
      <c r="H368">
        <v>2.4848778579419113</v>
      </c>
      <c r="I368">
        <v>0</v>
      </c>
      <c r="J368">
        <v>1</v>
      </c>
      <c r="K368">
        <v>0</v>
      </c>
      <c r="L368" t="s">
        <v>238</v>
      </c>
      <c r="M368" t="s">
        <v>238</v>
      </c>
      <c r="N368" t="s">
        <v>238</v>
      </c>
      <c r="O368">
        <v>0</v>
      </c>
      <c r="P368">
        <v>1</v>
      </c>
      <c r="Q368">
        <v>1</v>
      </c>
      <c r="R368">
        <v>1</v>
      </c>
      <c r="S368">
        <v>1</v>
      </c>
      <c r="T368">
        <v>0</v>
      </c>
      <c r="U368">
        <v>0</v>
      </c>
      <c r="W368">
        <v>1</v>
      </c>
      <c r="AA368">
        <v>0</v>
      </c>
      <c r="AC368">
        <v>0</v>
      </c>
      <c r="AD368">
        <v>0</v>
      </c>
      <c r="AE368">
        <v>1</v>
      </c>
      <c r="AF368">
        <v>0</v>
      </c>
      <c r="AG368">
        <v>0</v>
      </c>
      <c r="AH368">
        <v>52</v>
      </c>
      <c r="AI368">
        <v>2.2599999999999998</v>
      </c>
      <c r="AJ368">
        <v>16</v>
      </c>
    </row>
    <row r="369" spans="1:36" x14ac:dyDescent="0.2">
      <c r="A369" t="str">
        <f>+VLOOKUP(B369,studies!$A$2:$C$102,3)</f>
        <v>Anthoff &amp; Tol (2010)</v>
      </c>
      <c r="B369">
        <v>58</v>
      </c>
      <c r="C369">
        <v>2010</v>
      </c>
      <c r="D369">
        <v>1</v>
      </c>
      <c r="E369">
        <v>1995</v>
      </c>
      <c r="F369">
        <v>2010</v>
      </c>
      <c r="G369">
        <v>5.8823529411764705E-2</v>
      </c>
      <c r="H369">
        <v>12.107525670240452</v>
      </c>
      <c r="I369">
        <v>0</v>
      </c>
      <c r="J369">
        <v>1</v>
      </c>
      <c r="K369">
        <v>0</v>
      </c>
      <c r="L369" t="s">
        <v>238</v>
      </c>
      <c r="M369" t="s">
        <v>238</v>
      </c>
      <c r="N369" t="s">
        <v>238</v>
      </c>
      <c r="O369">
        <v>0</v>
      </c>
      <c r="P369">
        <v>1</v>
      </c>
      <c r="Q369">
        <v>1</v>
      </c>
      <c r="R369">
        <v>1</v>
      </c>
      <c r="S369">
        <v>1</v>
      </c>
      <c r="T369">
        <v>0</v>
      </c>
      <c r="U369">
        <v>0</v>
      </c>
      <c r="W369">
        <v>1</v>
      </c>
      <c r="AA369">
        <v>1</v>
      </c>
      <c r="AC369">
        <v>0</v>
      </c>
      <c r="AD369">
        <v>0</v>
      </c>
      <c r="AE369">
        <v>1</v>
      </c>
      <c r="AF369">
        <v>0</v>
      </c>
      <c r="AG369">
        <v>0</v>
      </c>
      <c r="AH369">
        <v>52</v>
      </c>
      <c r="AI369">
        <v>2.2599999999999998</v>
      </c>
      <c r="AJ369">
        <v>16</v>
      </c>
    </row>
    <row r="370" spans="1:36" x14ac:dyDescent="0.2">
      <c r="A370" t="str">
        <f>+VLOOKUP(B370,studies!$A$2:$C$102,3)</f>
        <v>Anthoff &amp; Tol (2010)</v>
      </c>
      <c r="B370">
        <v>58</v>
      </c>
      <c r="C370">
        <v>2010</v>
      </c>
      <c r="D370">
        <v>1</v>
      </c>
      <c r="E370">
        <v>1995</v>
      </c>
      <c r="F370">
        <v>2010</v>
      </c>
      <c r="G370">
        <v>5.8823529411764705E-2</v>
      </c>
      <c r="H370">
        <v>25.949462731259153</v>
      </c>
      <c r="I370">
        <v>0</v>
      </c>
      <c r="J370">
        <v>1</v>
      </c>
      <c r="K370">
        <v>0</v>
      </c>
      <c r="L370" t="s">
        <v>238</v>
      </c>
      <c r="M370" t="s">
        <v>238</v>
      </c>
      <c r="N370" t="s">
        <v>238</v>
      </c>
      <c r="O370">
        <v>0</v>
      </c>
      <c r="P370">
        <v>1</v>
      </c>
      <c r="Q370">
        <v>1</v>
      </c>
      <c r="R370">
        <v>1</v>
      </c>
      <c r="S370">
        <v>1</v>
      </c>
      <c r="T370">
        <v>0</v>
      </c>
      <c r="U370">
        <v>0</v>
      </c>
      <c r="W370">
        <v>1</v>
      </c>
      <c r="AA370">
        <v>0</v>
      </c>
      <c r="AC370">
        <v>0</v>
      </c>
      <c r="AD370">
        <v>0</v>
      </c>
      <c r="AE370">
        <v>1</v>
      </c>
      <c r="AF370">
        <v>0</v>
      </c>
      <c r="AG370">
        <v>0</v>
      </c>
      <c r="AH370">
        <v>52</v>
      </c>
      <c r="AI370">
        <v>2.2599999999999998</v>
      </c>
      <c r="AJ370">
        <v>16</v>
      </c>
    </row>
    <row r="371" spans="1:36" x14ac:dyDescent="0.2">
      <c r="A371" t="str">
        <f>+VLOOKUP(B371,studies!$A$2:$C$102,3)</f>
        <v>Anthoff &amp; Tol (2010)</v>
      </c>
      <c r="B371">
        <v>58</v>
      </c>
      <c r="C371">
        <v>2010</v>
      </c>
      <c r="D371">
        <v>1</v>
      </c>
      <c r="E371">
        <v>1995</v>
      </c>
      <c r="F371">
        <v>2010</v>
      </c>
      <c r="G371">
        <v>5.8823529411764705E-2</v>
      </c>
      <c r="H371">
        <v>32.303412153244849</v>
      </c>
      <c r="I371">
        <v>0</v>
      </c>
      <c r="J371">
        <v>1</v>
      </c>
      <c r="K371">
        <v>0</v>
      </c>
      <c r="L371" t="s">
        <v>238</v>
      </c>
      <c r="M371" t="s">
        <v>238</v>
      </c>
      <c r="N371" t="s">
        <v>238</v>
      </c>
      <c r="O371">
        <v>0</v>
      </c>
      <c r="P371">
        <v>1</v>
      </c>
      <c r="Q371">
        <v>1</v>
      </c>
      <c r="R371">
        <v>1</v>
      </c>
      <c r="S371">
        <v>1</v>
      </c>
      <c r="T371">
        <v>0</v>
      </c>
      <c r="U371">
        <v>0</v>
      </c>
      <c r="W371">
        <v>1</v>
      </c>
      <c r="AA371">
        <v>1</v>
      </c>
      <c r="AC371">
        <v>0</v>
      </c>
      <c r="AD371">
        <v>0</v>
      </c>
      <c r="AE371">
        <v>1</v>
      </c>
      <c r="AF371">
        <v>0</v>
      </c>
      <c r="AG371">
        <v>0</v>
      </c>
      <c r="AH371">
        <v>52</v>
      </c>
      <c r="AI371">
        <v>2.2599999999999998</v>
      </c>
      <c r="AJ371">
        <v>16</v>
      </c>
    </row>
    <row r="372" spans="1:36" x14ac:dyDescent="0.2">
      <c r="A372" t="str">
        <f>+VLOOKUP(B372,studies!$A$2:$C$102,3)</f>
        <v>Anthoff &amp; Tol (2010)</v>
      </c>
      <c r="B372">
        <v>58</v>
      </c>
      <c r="C372">
        <v>2010</v>
      </c>
      <c r="D372">
        <v>1</v>
      </c>
      <c r="E372">
        <v>1995</v>
      </c>
      <c r="F372">
        <v>2010</v>
      </c>
      <c r="G372">
        <v>2.9411764705882353E-2</v>
      </c>
      <c r="H372">
        <v>25.949462731259153</v>
      </c>
      <c r="I372">
        <v>0</v>
      </c>
      <c r="J372">
        <v>1</v>
      </c>
      <c r="K372">
        <v>0</v>
      </c>
      <c r="L372" t="s">
        <v>238</v>
      </c>
      <c r="M372" t="s">
        <v>238</v>
      </c>
      <c r="N372" t="s">
        <v>238</v>
      </c>
      <c r="O372">
        <v>0</v>
      </c>
      <c r="P372">
        <v>1</v>
      </c>
      <c r="Q372">
        <v>1</v>
      </c>
      <c r="R372">
        <v>1</v>
      </c>
      <c r="S372">
        <v>1</v>
      </c>
      <c r="T372">
        <v>0</v>
      </c>
      <c r="U372">
        <v>0</v>
      </c>
      <c r="W372">
        <v>1</v>
      </c>
      <c r="AA372">
        <v>0</v>
      </c>
      <c r="AC372">
        <v>0</v>
      </c>
      <c r="AD372">
        <v>0</v>
      </c>
      <c r="AE372">
        <v>1</v>
      </c>
      <c r="AF372">
        <v>0</v>
      </c>
      <c r="AG372">
        <v>0</v>
      </c>
      <c r="AH372">
        <v>52</v>
      </c>
      <c r="AI372">
        <v>2.2599999999999998</v>
      </c>
      <c r="AJ372">
        <v>16</v>
      </c>
    </row>
    <row r="373" spans="1:36" x14ac:dyDescent="0.2">
      <c r="A373" t="str">
        <f>+VLOOKUP(B373,studies!$A$2:$C$102,3)</f>
        <v>Anthoff &amp; Tol (2010)</v>
      </c>
      <c r="B373">
        <v>58</v>
      </c>
      <c r="C373">
        <v>2010</v>
      </c>
      <c r="D373">
        <v>1</v>
      </c>
      <c r="E373">
        <v>1995</v>
      </c>
      <c r="F373">
        <v>2010</v>
      </c>
      <c r="G373">
        <v>2.9411764705882353E-2</v>
      </c>
      <c r="H373">
        <v>75.230094075006463</v>
      </c>
      <c r="I373">
        <v>0</v>
      </c>
      <c r="J373">
        <v>1</v>
      </c>
      <c r="K373">
        <v>0</v>
      </c>
      <c r="L373" t="s">
        <v>238</v>
      </c>
      <c r="M373" t="s">
        <v>238</v>
      </c>
      <c r="N373" t="s">
        <v>238</v>
      </c>
      <c r="O373">
        <v>0</v>
      </c>
      <c r="P373">
        <v>1</v>
      </c>
      <c r="Q373">
        <v>1</v>
      </c>
      <c r="R373">
        <v>1</v>
      </c>
      <c r="S373">
        <v>1</v>
      </c>
      <c r="T373">
        <v>0</v>
      </c>
      <c r="U373">
        <v>0</v>
      </c>
      <c r="W373">
        <v>1</v>
      </c>
      <c r="AA373">
        <v>1</v>
      </c>
      <c r="AC373">
        <v>0</v>
      </c>
      <c r="AD373">
        <v>0</v>
      </c>
      <c r="AE373">
        <v>1</v>
      </c>
      <c r="AF373">
        <v>0</v>
      </c>
      <c r="AG373">
        <v>0</v>
      </c>
      <c r="AH373">
        <v>52</v>
      </c>
      <c r="AI373">
        <v>2.2599999999999998</v>
      </c>
      <c r="AJ373">
        <v>16</v>
      </c>
    </row>
    <row r="374" spans="1:36" x14ac:dyDescent="0.2">
      <c r="A374" t="str">
        <f>+VLOOKUP(B374,studies!$A$2:$C$102,3)</f>
        <v>Kemfert &amp; Schill (2010)</v>
      </c>
      <c r="B374">
        <v>59</v>
      </c>
      <c r="C374">
        <v>2010</v>
      </c>
      <c r="D374">
        <v>0</v>
      </c>
      <c r="E374">
        <v>2000</v>
      </c>
      <c r="F374">
        <v>2010</v>
      </c>
      <c r="G374">
        <v>0.1</v>
      </c>
      <c r="H374">
        <v>70.353446948815645</v>
      </c>
      <c r="I374">
        <v>0</v>
      </c>
      <c r="J374">
        <v>1</v>
      </c>
      <c r="K374">
        <v>0</v>
      </c>
      <c r="L374" t="s">
        <v>238</v>
      </c>
      <c r="M374" t="s">
        <v>238</v>
      </c>
      <c r="N374" t="s">
        <v>238</v>
      </c>
      <c r="O374">
        <v>0</v>
      </c>
      <c r="P374">
        <v>1</v>
      </c>
      <c r="Q374">
        <v>0</v>
      </c>
      <c r="R374">
        <v>1</v>
      </c>
      <c r="S374">
        <v>0</v>
      </c>
      <c r="T374">
        <v>0</v>
      </c>
      <c r="U374">
        <v>0</v>
      </c>
      <c r="AA374">
        <v>0</v>
      </c>
      <c r="AC374">
        <v>0</v>
      </c>
      <c r="AD374">
        <v>0</v>
      </c>
      <c r="AE374">
        <v>0</v>
      </c>
      <c r="AF374">
        <v>0</v>
      </c>
      <c r="AG374">
        <v>0</v>
      </c>
      <c r="AH374">
        <v>49</v>
      </c>
      <c r="AI374">
        <v>0</v>
      </c>
      <c r="AJ374">
        <v>3</v>
      </c>
    </row>
    <row r="375" spans="1:36" x14ac:dyDescent="0.2">
      <c r="A375" t="str">
        <f>+VLOOKUP(B375,studies!$A$2:$C$102,3)</f>
        <v>Kemfert &amp; Schill (2010)</v>
      </c>
      <c r="B375">
        <v>59</v>
      </c>
      <c r="C375">
        <v>2010</v>
      </c>
      <c r="D375">
        <v>0</v>
      </c>
      <c r="E375">
        <v>2000</v>
      </c>
      <c r="F375">
        <v>2010</v>
      </c>
      <c r="G375">
        <v>0.8</v>
      </c>
      <c r="H375">
        <v>102.82426861749981</v>
      </c>
      <c r="I375">
        <v>1</v>
      </c>
      <c r="J375">
        <v>0</v>
      </c>
      <c r="K375">
        <v>0</v>
      </c>
      <c r="L375" t="s">
        <v>238</v>
      </c>
      <c r="M375" t="s">
        <v>238</v>
      </c>
      <c r="N375" t="s">
        <v>238</v>
      </c>
      <c r="O375">
        <v>0</v>
      </c>
      <c r="P375">
        <v>1</v>
      </c>
      <c r="Q375">
        <v>0</v>
      </c>
      <c r="R375">
        <v>1</v>
      </c>
      <c r="S375">
        <v>0</v>
      </c>
      <c r="T375">
        <v>0</v>
      </c>
      <c r="U375">
        <v>0</v>
      </c>
      <c r="AA375">
        <v>0</v>
      </c>
      <c r="AC375">
        <v>0</v>
      </c>
      <c r="AD375">
        <v>0</v>
      </c>
      <c r="AE375">
        <v>0</v>
      </c>
      <c r="AF375">
        <v>0</v>
      </c>
      <c r="AG375">
        <v>0</v>
      </c>
      <c r="AH375">
        <v>49</v>
      </c>
      <c r="AI375">
        <v>0</v>
      </c>
      <c r="AJ375">
        <v>3</v>
      </c>
    </row>
    <row r="376" spans="1:36" x14ac:dyDescent="0.2">
      <c r="A376" t="str">
        <f>+VLOOKUP(B376,studies!$A$2:$C$102,3)</f>
        <v>Kemfert &amp; Schill (2010)</v>
      </c>
      <c r="B376">
        <v>59</v>
      </c>
      <c r="C376">
        <v>2010</v>
      </c>
      <c r="D376">
        <v>0</v>
      </c>
      <c r="E376">
        <v>2000</v>
      </c>
      <c r="F376">
        <v>2010</v>
      </c>
      <c r="G376">
        <v>0.1</v>
      </c>
      <c r="H376">
        <v>248.94296612657845</v>
      </c>
      <c r="I376">
        <v>0</v>
      </c>
      <c r="J376">
        <v>1</v>
      </c>
      <c r="K376">
        <v>0</v>
      </c>
      <c r="L376" t="s">
        <v>238</v>
      </c>
      <c r="M376" t="s">
        <v>238</v>
      </c>
      <c r="N376" t="s">
        <v>238</v>
      </c>
      <c r="O376">
        <v>0</v>
      </c>
      <c r="P376">
        <v>1</v>
      </c>
      <c r="Q376">
        <v>0</v>
      </c>
      <c r="R376">
        <v>1</v>
      </c>
      <c r="S376">
        <v>0</v>
      </c>
      <c r="T376">
        <v>0</v>
      </c>
      <c r="U376">
        <v>0</v>
      </c>
      <c r="AA376">
        <v>0</v>
      </c>
      <c r="AC376">
        <v>0</v>
      </c>
      <c r="AD376">
        <v>0</v>
      </c>
      <c r="AE376">
        <v>0</v>
      </c>
      <c r="AF376">
        <v>0</v>
      </c>
      <c r="AG376">
        <v>0</v>
      </c>
      <c r="AH376">
        <v>49</v>
      </c>
      <c r="AI376">
        <v>0</v>
      </c>
      <c r="AJ376">
        <v>3</v>
      </c>
    </row>
    <row r="377" spans="1:36" x14ac:dyDescent="0.2">
      <c r="A377" t="str">
        <f>+VLOOKUP(B377,studies!$A$2:$C$102,3)</f>
        <v>Narita et al. (2010)</v>
      </c>
      <c r="B377">
        <v>60</v>
      </c>
      <c r="C377">
        <v>2010</v>
      </c>
      <c r="D377">
        <v>1</v>
      </c>
      <c r="E377">
        <v>2005</v>
      </c>
      <c r="F377">
        <v>2010</v>
      </c>
      <c r="G377">
        <v>0.33333333333333331</v>
      </c>
      <c r="H377">
        <v>187.43662780309251</v>
      </c>
      <c r="I377">
        <v>0</v>
      </c>
      <c r="J377">
        <v>1</v>
      </c>
      <c r="K377">
        <v>0</v>
      </c>
      <c r="L377" t="s">
        <v>238</v>
      </c>
      <c r="M377" t="s">
        <v>238</v>
      </c>
      <c r="N377" t="s">
        <v>238</v>
      </c>
      <c r="O377">
        <v>0</v>
      </c>
      <c r="P377">
        <v>1</v>
      </c>
      <c r="Q377">
        <v>1</v>
      </c>
      <c r="R377">
        <v>1</v>
      </c>
      <c r="S377">
        <v>1</v>
      </c>
      <c r="T377">
        <v>0</v>
      </c>
      <c r="U377">
        <v>0</v>
      </c>
      <c r="W377">
        <v>0</v>
      </c>
      <c r="AA377">
        <v>0</v>
      </c>
      <c r="AC377">
        <v>0</v>
      </c>
      <c r="AD377">
        <v>0</v>
      </c>
      <c r="AE377">
        <v>1</v>
      </c>
      <c r="AF377">
        <v>0</v>
      </c>
      <c r="AG377">
        <v>0</v>
      </c>
      <c r="AH377">
        <v>29</v>
      </c>
      <c r="AI377">
        <v>2.2599999999999998</v>
      </c>
      <c r="AJ377">
        <v>3</v>
      </c>
    </row>
    <row r="378" spans="1:36" x14ac:dyDescent="0.2">
      <c r="A378" t="str">
        <f>+VLOOKUP(B378,studies!$A$2:$C$102,3)</f>
        <v>Narita et al. (2010)</v>
      </c>
      <c r="B378">
        <v>60</v>
      </c>
      <c r="C378">
        <v>2010</v>
      </c>
      <c r="D378">
        <v>1</v>
      </c>
      <c r="E378">
        <v>2005</v>
      </c>
      <c r="F378">
        <v>2010</v>
      </c>
      <c r="G378">
        <v>0.33333333333333331</v>
      </c>
      <c r="H378">
        <v>28.643200568951375</v>
      </c>
      <c r="I378">
        <v>0</v>
      </c>
      <c r="J378">
        <v>1</v>
      </c>
      <c r="K378">
        <v>0</v>
      </c>
      <c r="L378" t="s">
        <v>238</v>
      </c>
      <c r="M378" t="s">
        <v>238</v>
      </c>
      <c r="N378" t="s">
        <v>238</v>
      </c>
      <c r="O378">
        <v>0</v>
      </c>
      <c r="P378">
        <v>1</v>
      </c>
      <c r="Q378">
        <v>1</v>
      </c>
      <c r="R378">
        <v>1</v>
      </c>
      <c r="S378">
        <v>1</v>
      </c>
      <c r="T378">
        <v>0</v>
      </c>
      <c r="U378">
        <v>0</v>
      </c>
      <c r="W378">
        <v>1</v>
      </c>
      <c r="AA378">
        <v>0</v>
      </c>
      <c r="AC378">
        <v>0</v>
      </c>
      <c r="AD378">
        <v>0</v>
      </c>
      <c r="AE378">
        <v>1</v>
      </c>
      <c r="AF378">
        <v>0</v>
      </c>
      <c r="AG378">
        <v>0</v>
      </c>
      <c r="AH378">
        <v>29</v>
      </c>
      <c r="AI378">
        <v>2.2599999999999998</v>
      </c>
      <c r="AJ378">
        <v>3</v>
      </c>
    </row>
    <row r="379" spans="1:36" x14ac:dyDescent="0.2">
      <c r="A379" t="str">
        <f>+VLOOKUP(B379,studies!$A$2:$C$102,3)</f>
        <v>Narita et al. (2010)</v>
      </c>
      <c r="B379">
        <v>60</v>
      </c>
      <c r="C379">
        <v>2010</v>
      </c>
      <c r="D379">
        <v>1</v>
      </c>
      <c r="E379">
        <v>2005</v>
      </c>
      <c r="F379">
        <v>2010</v>
      </c>
      <c r="G379">
        <v>0.33333333333333331</v>
      </c>
      <c r="H379">
        <v>1.3143858507333432</v>
      </c>
      <c r="I379">
        <v>0</v>
      </c>
      <c r="J379">
        <v>1</v>
      </c>
      <c r="K379">
        <v>0</v>
      </c>
      <c r="L379" t="s">
        <v>238</v>
      </c>
      <c r="M379" t="s">
        <v>238</v>
      </c>
      <c r="N379" t="s">
        <v>238</v>
      </c>
      <c r="O379">
        <v>0</v>
      </c>
      <c r="P379">
        <v>1</v>
      </c>
      <c r="Q379">
        <v>1</v>
      </c>
      <c r="R379">
        <v>1</v>
      </c>
      <c r="S379">
        <v>1</v>
      </c>
      <c r="T379">
        <v>0</v>
      </c>
      <c r="U379">
        <v>0</v>
      </c>
      <c r="AA379">
        <v>0</v>
      </c>
      <c r="AC379">
        <v>0</v>
      </c>
      <c r="AD379">
        <v>0</v>
      </c>
      <c r="AE379">
        <v>1</v>
      </c>
      <c r="AF379">
        <v>0</v>
      </c>
      <c r="AG379">
        <v>0</v>
      </c>
      <c r="AH379">
        <v>29</v>
      </c>
      <c r="AI379">
        <v>2.2599999999999998</v>
      </c>
      <c r="AJ379">
        <v>3</v>
      </c>
    </row>
    <row r="380" spans="1:36" x14ac:dyDescent="0.2">
      <c r="A380" t="str">
        <f>+VLOOKUP(B380,studies!$A$2:$C$102,3)</f>
        <v>Nordhaus (2010)</v>
      </c>
      <c r="B380">
        <v>61</v>
      </c>
      <c r="C380">
        <v>2010</v>
      </c>
      <c r="D380">
        <v>1</v>
      </c>
      <c r="E380">
        <v>2005</v>
      </c>
      <c r="F380">
        <v>2015</v>
      </c>
      <c r="G380">
        <v>1</v>
      </c>
      <c r="H380">
        <v>42.383030005120325</v>
      </c>
      <c r="I380">
        <v>0</v>
      </c>
      <c r="J380">
        <v>1</v>
      </c>
      <c r="K380">
        <v>0</v>
      </c>
      <c r="L380" t="s">
        <v>238</v>
      </c>
      <c r="M380" t="s">
        <v>238</v>
      </c>
      <c r="N380" t="s">
        <v>238</v>
      </c>
      <c r="O380">
        <v>0</v>
      </c>
      <c r="P380">
        <v>1</v>
      </c>
      <c r="Q380">
        <v>0</v>
      </c>
      <c r="R380">
        <v>1</v>
      </c>
      <c r="S380">
        <v>0</v>
      </c>
      <c r="T380">
        <v>1</v>
      </c>
      <c r="U380">
        <v>0</v>
      </c>
      <c r="W380">
        <v>3</v>
      </c>
      <c r="AA380">
        <v>0</v>
      </c>
      <c r="AC380">
        <v>0</v>
      </c>
      <c r="AD380">
        <v>1</v>
      </c>
      <c r="AE380">
        <v>0</v>
      </c>
      <c r="AF380">
        <v>1</v>
      </c>
      <c r="AG380">
        <v>0</v>
      </c>
      <c r="AH380">
        <v>194</v>
      </c>
      <c r="AI380">
        <v>5.46</v>
      </c>
      <c r="AJ380">
        <v>1</v>
      </c>
    </row>
    <row r="381" spans="1:36" x14ac:dyDescent="0.2">
      <c r="A381" t="str">
        <f>+VLOOKUP(B381,studies!$A$2:$C$102,3)</f>
        <v>Sohngen (2010)</v>
      </c>
      <c r="B381">
        <v>62</v>
      </c>
      <c r="C381">
        <v>2010</v>
      </c>
      <c r="D381">
        <v>0</v>
      </c>
      <c r="E381">
        <v>2005</v>
      </c>
      <c r="F381">
        <v>2010</v>
      </c>
      <c r="G381">
        <v>1</v>
      </c>
      <c r="H381">
        <v>34.499375151426669</v>
      </c>
      <c r="I381">
        <v>0</v>
      </c>
      <c r="J381">
        <v>1</v>
      </c>
      <c r="K381">
        <v>0</v>
      </c>
      <c r="L381" t="s">
        <v>238</v>
      </c>
      <c r="M381" t="s">
        <v>238</v>
      </c>
      <c r="N381" t="s">
        <v>238</v>
      </c>
      <c r="O381">
        <v>0</v>
      </c>
      <c r="P381">
        <v>1</v>
      </c>
      <c r="Q381">
        <v>0</v>
      </c>
      <c r="R381">
        <v>1</v>
      </c>
      <c r="S381">
        <v>0</v>
      </c>
      <c r="T381">
        <v>1</v>
      </c>
      <c r="U381">
        <v>0</v>
      </c>
      <c r="V381">
        <v>5</v>
      </c>
      <c r="W381">
        <v>3</v>
      </c>
      <c r="AA381">
        <v>0</v>
      </c>
      <c r="AC381">
        <v>0</v>
      </c>
      <c r="AD381">
        <v>0</v>
      </c>
      <c r="AE381">
        <v>0</v>
      </c>
      <c r="AF381">
        <v>0</v>
      </c>
      <c r="AG381">
        <v>0</v>
      </c>
      <c r="AH381">
        <v>49</v>
      </c>
      <c r="AI381">
        <v>0</v>
      </c>
      <c r="AJ381">
        <v>1</v>
      </c>
    </row>
    <row r="382" spans="1:36" x14ac:dyDescent="0.2">
      <c r="A382" t="str">
        <f>+VLOOKUP(B382,studies!$A$2:$C$102,3)</f>
        <v>Tol (2010)</v>
      </c>
      <c r="B382">
        <v>63</v>
      </c>
      <c r="C382">
        <v>2010</v>
      </c>
      <c r="D382">
        <v>0</v>
      </c>
      <c r="E382">
        <v>1995</v>
      </c>
      <c r="F382">
        <v>2010</v>
      </c>
      <c r="G382">
        <v>1</v>
      </c>
      <c r="H382">
        <v>3.335406520727398</v>
      </c>
      <c r="I382">
        <v>0</v>
      </c>
      <c r="J382">
        <v>1</v>
      </c>
      <c r="K382">
        <v>0</v>
      </c>
      <c r="L382" t="s">
        <v>238</v>
      </c>
      <c r="M382" t="s">
        <v>238</v>
      </c>
      <c r="N382" t="s">
        <v>238</v>
      </c>
      <c r="O382">
        <v>0</v>
      </c>
      <c r="P382">
        <v>1</v>
      </c>
      <c r="Q382">
        <v>1</v>
      </c>
      <c r="R382">
        <v>1</v>
      </c>
      <c r="S382">
        <v>1</v>
      </c>
      <c r="T382">
        <v>0</v>
      </c>
      <c r="U382">
        <v>0</v>
      </c>
      <c r="W382">
        <v>3</v>
      </c>
      <c r="AA382">
        <v>0</v>
      </c>
      <c r="AC382">
        <v>0</v>
      </c>
      <c r="AD382">
        <v>0</v>
      </c>
      <c r="AE382">
        <v>1</v>
      </c>
      <c r="AF382">
        <v>0</v>
      </c>
      <c r="AG382">
        <v>0</v>
      </c>
      <c r="AH382">
        <v>49</v>
      </c>
      <c r="AI382">
        <v>0</v>
      </c>
      <c r="AJ382">
        <v>1</v>
      </c>
    </row>
    <row r="383" spans="1:36" x14ac:dyDescent="0.2">
      <c r="A383" t="str">
        <f>+VLOOKUP(B383,studies!$A$2:$C$102,3)</f>
        <v>Anthoff et al. (2011)</v>
      </c>
      <c r="B383">
        <v>64</v>
      </c>
      <c r="C383">
        <v>2011</v>
      </c>
      <c r="D383">
        <v>0</v>
      </c>
      <c r="E383">
        <v>1995</v>
      </c>
      <c r="F383">
        <v>2015</v>
      </c>
      <c r="G383">
        <v>5.8823529411764705E-2</v>
      </c>
      <c r="H383">
        <v>1.9029821522309713</v>
      </c>
      <c r="I383">
        <v>0</v>
      </c>
      <c r="J383">
        <v>1</v>
      </c>
      <c r="K383">
        <v>0</v>
      </c>
      <c r="L383" t="s">
        <v>238</v>
      </c>
      <c r="M383" t="s">
        <v>238</v>
      </c>
      <c r="N383" t="s">
        <v>238</v>
      </c>
      <c r="O383">
        <v>0</v>
      </c>
      <c r="P383">
        <v>1</v>
      </c>
      <c r="Q383">
        <v>1</v>
      </c>
      <c r="R383">
        <v>1</v>
      </c>
      <c r="S383">
        <v>1</v>
      </c>
      <c r="T383">
        <v>0</v>
      </c>
      <c r="U383">
        <v>0</v>
      </c>
      <c r="W383">
        <v>3</v>
      </c>
      <c r="AA383">
        <v>0</v>
      </c>
      <c r="AC383">
        <v>0</v>
      </c>
      <c r="AD383">
        <v>0</v>
      </c>
      <c r="AE383">
        <v>1</v>
      </c>
      <c r="AF383">
        <v>0</v>
      </c>
      <c r="AG383">
        <v>0</v>
      </c>
      <c r="AH383">
        <v>3</v>
      </c>
      <c r="AI383">
        <v>0</v>
      </c>
      <c r="AJ383">
        <v>22</v>
      </c>
    </row>
    <row r="384" spans="1:36" x14ac:dyDescent="0.2">
      <c r="A384" t="str">
        <f>+VLOOKUP(B384,studies!$A$2:$C$102,3)</f>
        <v>Anthoff et al. (2011)</v>
      </c>
      <c r="B384">
        <v>64</v>
      </c>
      <c r="C384">
        <v>2011</v>
      </c>
      <c r="D384">
        <v>0</v>
      </c>
      <c r="E384">
        <v>1995</v>
      </c>
      <c r="F384">
        <v>2015</v>
      </c>
      <c r="G384">
        <v>5.8823529411764705E-2</v>
      </c>
      <c r="H384">
        <v>43.35365354330709</v>
      </c>
      <c r="I384">
        <v>0</v>
      </c>
      <c r="J384">
        <v>1</v>
      </c>
      <c r="K384">
        <v>0</v>
      </c>
      <c r="L384" t="s">
        <v>238</v>
      </c>
      <c r="M384" t="s">
        <v>238</v>
      </c>
      <c r="N384" t="s">
        <v>238</v>
      </c>
      <c r="O384">
        <v>0</v>
      </c>
      <c r="P384">
        <v>1</v>
      </c>
      <c r="Q384">
        <v>1</v>
      </c>
      <c r="R384">
        <v>1</v>
      </c>
      <c r="S384">
        <v>1</v>
      </c>
      <c r="T384">
        <v>0</v>
      </c>
      <c r="U384">
        <v>0</v>
      </c>
      <c r="W384">
        <v>1</v>
      </c>
      <c r="AA384">
        <v>0</v>
      </c>
      <c r="AC384">
        <v>0</v>
      </c>
      <c r="AD384">
        <v>0</v>
      </c>
      <c r="AE384">
        <v>1</v>
      </c>
      <c r="AF384">
        <v>0</v>
      </c>
      <c r="AG384">
        <v>0</v>
      </c>
      <c r="AH384">
        <v>3</v>
      </c>
      <c r="AI384">
        <v>0</v>
      </c>
      <c r="AJ384">
        <v>22</v>
      </c>
    </row>
    <row r="385" spans="1:36" x14ac:dyDescent="0.2">
      <c r="A385" t="str">
        <f>+VLOOKUP(B385,studies!$A$2:$C$102,3)</f>
        <v>Anthoff et al. (2011)</v>
      </c>
      <c r="B385">
        <v>64</v>
      </c>
      <c r="C385">
        <v>2011</v>
      </c>
      <c r="D385">
        <v>0</v>
      </c>
      <c r="E385">
        <v>1995</v>
      </c>
      <c r="F385">
        <v>2015</v>
      </c>
      <c r="G385">
        <v>5.8823529411764705E-2</v>
      </c>
      <c r="H385">
        <v>266.13133858267719</v>
      </c>
      <c r="I385">
        <v>0</v>
      </c>
      <c r="J385">
        <v>1</v>
      </c>
      <c r="K385">
        <v>0</v>
      </c>
      <c r="L385" t="s">
        <v>238</v>
      </c>
      <c r="M385" t="s">
        <v>238</v>
      </c>
      <c r="N385" t="s">
        <v>238</v>
      </c>
      <c r="O385">
        <v>0</v>
      </c>
      <c r="P385">
        <v>1</v>
      </c>
      <c r="Q385">
        <v>1</v>
      </c>
      <c r="R385">
        <v>1</v>
      </c>
      <c r="S385">
        <v>1</v>
      </c>
      <c r="T385">
        <v>0</v>
      </c>
      <c r="U385">
        <v>0</v>
      </c>
      <c r="W385">
        <v>0.1</v>
      </c>
      <c r="AA385">
        <v>0</v>
      </c>
      <c r="AC385">
        <v>0</v>
      </c>
      <c r="AD385">
        <v>0</v>
      </c>
      <c r="AE385">
        <v>1</v>
      </c>
      <c r="AF385">
        <v>0</v>
      </c>
      <c r="AG385">
        <v>0</v>
      </c>
      <c r="AH385">
        <v>3</v>
      </c>
      <c r="AI385">
        <v>0</v>
      </c>
      <c r="AJ385">
        <v>22</v>
      </c>
    </row>
    <row r="386" spans="1:36" x14ac:dyDescent="0.2">
      <c r="A386" t="str">
        <f>+VLOOKUP(B386,studies!$A$2:$C$102,3)</f>
        <v>Anthoff et al. (2011)</v>
      </c>
      <c r="B386">
        <v>64</v>
      </c>
      <c r="C386">
        <v>2011</v>
      </c>
      <c r="D386">
        <v>0</v>
      </c>
      <c r="E386">
        <v>1995</v>
      </c>
      <c r="F386">
        <v>2015</v>
      </c>
      <c r="G386">
        <v>5.8823529411764705E-2</v>
      </c>
      <c r="H386">
        <v>-3.2765632545931758</v>
      </c>
      <c r="I386">
        <v>0</v>
      </c>
      <c r="J386">
        <v>1</v>
      </c>
      <c r="K386">
        <v>0</v>
      </c>
      <c r="L386" t="s">
        <v>238</v>
      </c>
      <c r="M386" t="s">
        <v>238</v>
      </c>
      <c r="N386" t="s">
        <v>238</v>
      </c>
      <c r="O386">
        <v>0</v>
      </c>
      <c r="P386">
        <v>1</v>
      </c>
      <c r="Q386">
        <v>1</v>
      </c>
      <c r="R386">
        <v>1</v>
      </c>
      <c r="S386">
        <v>1</v>
      </c>
      <c r="T386">
        <v>0</v>
      </c>
      <c r="U386">
        <v>0</v>
      </c>
      <c r="W386">
        <v>3</v>
      </c>
      <c r="AA386">
        <v>0</v>
      </c>
      <c r="AC386">
        <v>0</v>
      </c>
      <c r="AD386">
        <v>0</v>
      </c>
      <c r="AE386">
        <v>1</v>
      </c>
      <c r="AF386">
        <v>0</v>
      </c>
      <c r="AG386">
        <v>0</v>
      </c>
      <c r="AH386">
        <v>3</v>
      </c>
      <c r="AI386">
        <v>0</v>
      </c>
      <c r="AJ386">
        <v>22</v>
      </c>
    </row>
    <row r="387" spans="1:36" x14ac:dyDescent="0.2">
      <c r="A387" t="str">
        <f>+VLOOKUP(B387,studies!$A$2:$C$102,3)</f>
        <v>Anthoff et al. (2011)</v>
      </c>
      <c r="B387">
        <v>64</v>
      </c>
      <c r="C387">
        <v>2011</v>
      </c>
      <c r="D387">
        <v>0</v>
      </c>
      <c r="E387">
        <v>1995</v>
      </c>
      <c r="F387">
        <v>2015</v>
      </c>
      <c r="G387">
        <v>5.8823529411764705E-2</v>
      </c>
      <c r="H387">
        <v>2.2177611548556433</v>
      </c>
      <c r="I387">
        <v>0</v>
      </c>
      <c r="J387">
        <v>1</v>
      </c>
      <c r="K387">
        <v>0</v>
      </c>
      <c r="L387" t="s">
        <v>238</v>
      </c>
      <c r="M387" t="s">
        <v>238</v>
      </c>
      <c r="N387" t="s">
        <v>238</v>
      </c>
      <c r="O387">
        <v>0</v>
      </c>
      <c r="P387">
        <v>1</v>
      </c>
      <c r="Q387">
        <v>1</v>
      </c>
      <c r="R387">
        <v>1</v>
      </c>
      <c r="S387">
        <v>1</v>
      </c>
      <c r="T387">
        <v>0</v>
      </c>
      <c r="U387">
        <v>0</v>
      </c>
      <c r="W387">
        <v>3</v>
      </c>
      <c r="AA387">
        <v>0</v>
      </c>
      <c r="AC387">
        <v>0</v>
      </c>
      <c r="AD387">
        <v>0</v>
      </c>
      <c r="AE387">
        <v>1</v>
      </c>
      <c r="AF387">
        <v>0</v>
      </c>
      <c r="AG387">
        <v>0</v>
      </c>
      <c r="AH387">
        <v>3</v>
      </c>
      <c r="AI387">
        <v>0</v>
      </c>
      <c r="AJ387">
        <v>22</v>
      </c>
    </row>
    <row r="388" spans="1:36" x14ac:dyDescent="0.2">
      <c r="A388" t="str">
        <f>+VLOOKUP(B388,studies!$A$2:$C$102,3)</f>
        <v>Anthoff et al. (2011)</v>
      </c>
      <c r="B388">
        <v>64</v>
      </c>
      <c r="C388">
        <v>2011</v>
      </c>
      <c r="D388">
        <v>0</v>
      </c>
      <c r="E388">
        <v>1995</v>
      </c>
      <c r="F388">
        <v>2015</v>
      </c>
      <c r="G388">
        <v>5.8823529411764705E-2</v>
      </c>
      <c r="H388">
        <v>11.575282414698163</v>
      </c>
      <c r="I388">
        <v>0</v>
      </c>
      <c r="J388">
        <v>1</v>
      </c>
      <c r="K388">
        <v>0</v>
      </c>
      <c r="L388" t="s">
        <v>238</v>
      </c>
      <c r="M388" t="s">
        <v>238</v>
      </c>
      <c r="N388" t="s">
        <v>238</v>
      </c>
      <c r="O388">
        <v>0</v>
      </c>
      <c r="P388">
        <v>1</v>
      </c>
      <c r="Q388">
        <v>1</v>
      </c>
      <c r="R388">
        <v>1</v>
      </c>
      <c r="S388">
        <v>1</v>
      </c>
      <c r="T388">
        <v>0</v>
      </c>
      <c r="U388">
        <v>0</v>
      </c>
      <c r="W388">
        <v>1</v>
      </c>
      <c r="AA388">
        <v>0</v>
      </c>
      <c r="AC388">
        <v>0</v>
      </c>
      <c r="AD388">
        <v>0</v>
      </c>
      <c r="AE388">
        <v>1</v>
      </c>
      <c r="AF388">
        <v>0</v>
      </c>
      <c r="AG388">
        <v>0</v>
      </c>
      <c r="AH388">
        <v>3</v>
      </c>
      <c r="AI388">
        <v>0</v>
      </c>
      <c r="AJ388">
        <v>22</v>
      </c>
    </row>
    <row r="389" spans="1:36" x14ac:dyDescent="0.2">
      <c r="A389" t="str">
        <f>+VLOOKUP(B389,studies!$A$2:$C$102,3)</f>
        <v>Anthoff et al. (2011)</v>
      </c>
      <c r="B389">
        <v>64</v>
      </c>
      <c r="C389">
        <v>2011</v>
      </c>
      <c r="D389">
        <v>0</v>
      </c>
      <c r="E389">
        <v>1995</v>
      </c>
      <c r="F389">
        <v>2015</v>
      </c>
      <c r="G389">
        <v>5.8823529411764705E-2</v>
      </c>
      <c r="H389">
        <v>64.958939632545935</v>
      </c>
      <c r="I389">
        <v>0</v>
      </c>
      <c r="J389">
        <v>1</v>
      </c>
      <c r="K389">
        <v>0</v>
      </c>
      <c r="L389" t="s">
        <v>238</v>
      </c>
      <c r="M389" t="s">
        <v>238</v>
      </c>
      <c r="N389" t="s">
        <v>238</v>
      </c>
      <c r="O389">
        <v>0</v>
      </c>
      <c r="P389">
        <v>1</v>
      </c>
      <c r="Q389">
        <v>1</v>
      </c>
      <c r="R389">
        <v>1</v>
      </c>
      <c r="S389">
        <v>1</v>
      </c>
      <c r="T389">
        <v>0</v>
      </c>
      <c r="U389">
        <v>0</v>
      </c>
      <c r="W389">
        <v>1</v>
      </c>
      <c r="AA389">
        <v>0</v>
      </c>
      <c r="AC389">
        <v>0</v>
      </c>
      <c r="AD389">
        <v>0</v>
      </c>
      <c r="AE389">
        <v>1</v>
      </c>
      <c r="AF389">
        <v>0</v>
      </c>
      <c r="AG389">
        <v>0</v>
      </c>
      <c r="AH389">
        <v>3</v>
      </c>
      <c r="AI389">
        <v>0</v>
      </c>
      <c r="AJ389">
        <v>22</v>
      </c>
    </row>
    <row r="390" spans="1:36" x14ac:dyDescent="0.2">
      <c r="A390" t="str">
        <f>+VLOOKUP(B390,studies!$A$2:$C$102,3)</f>
        <v>Anthoff et al. (2011)</v>
      </c>
      <c r="B390">
        <v>64</v>
      </c>
      <c r="C390">
        <v>2011</v>
      </c>
      <c r="D390">
        <v>0</v>
      </c>
      <c r="E390">
        <v>1995</v>
      </c>
      <c r="F390">
        <v>2015</v>
      </c>
      <c r="G390">
        <v>5.8823529411764705E-2</v>
      </c>
      <c r="H390">
        <v>83.130272965879271</v>
      </c>
      <c r="I390">
        <v>0</v>
      </c>
      <c r="J390">
        <v>1</v>
      </c>
      <c r="K390">
        <v>0</v>
      </c>
      <c r="L390" t="s">
        <v>238</v>
      </c>
      <c r="M390" t="s">
        <v>238</v>
      </c>
      <c r="N390" t="s">
        <v>238</v>
      </c>
      <c r="O390">
        <v>0</v>
      </c>
      <c r="P390">
        <v>1</v>
      </c>
      <c r="Q390">
        <v>1</v>
      </c>
      <c r="R390">
        <v>1</v>
      </c>
      <c r="S390">
        <v>1</v>
      </c>
      <c r="T390">
        <v>0</v>
      </c>
      <c r="U390">
        <v>0</v>
      </c>
      <c r="W390">
        <v>0.1</v>
      </c>
      <c r="AA390">
        <v>0</v>
      </c>
      <c r="AC390">
        <v>0</v>
      </c>
      <c r="AD390">
        <v>0</v>
      </c>
      <c r="AE390">
        <v>1</v>
      </c>
      <c r="AF390">
        <v>0</v>
      </c>
      <c r="AG390">
        <v>0</v>
      </c>
      <c r="AH390">
        <v>3</v>
      </c>
      <c r="AI390">
        <v>0</v>
      </c>
      <c r="AJ390">
        <v>22</v>
      </c>
    </row>
    <row r="391" spans="1:36" x14ac:dyDescent="0.2">
      <c r="A391" t="str">
        <f>+VLOOKUP(B391,studies!$A$2:$C$102,3)</f>
        <v>Anthoff et al. (2011)</v>
      </c>
      <c r="B391">
        <v>64</v>
      </c>
      <c r="C391">
        <v>2011</v>
      </c>
      <c r="D391">
        <v>0</v>
      </c>
      <c r="E391">
        <v>1995</v>
      </c>
      <c r="F391">
        <v>2015</v>
      </c>
      <c r="G391">
        <v>5.8823529411764705E-2</v>
      </c>
      <c r="H391">
        <v>2689.929658792651</v>
      </c>
      <c r="I391">
        <v>0</v>
      </c>
      <c r="J391">
        <v>1</v>
      </c>
      <c r="K391">
        <v>0</v>
      </c>
      <c r="L391" t="s">
        <v>238</v>
      </c>
      <c r="M391" t="s">
        <v>238</v>
      </c>
      <c r="N391" t="s">
        <v>238</v>
      </c>
      <c r="O391">
        <v>0</v>
      </c>
      <c r="P391">
        <v>1</v>
      </c>
      <c r="Q391">
        <v>1</v>
      </c>
      <c r="R391">
        <v>1</v>
      </c>
      <c r="S391">
        <v>1</v>
      </c>
      <c r="T391">
        <v>0</v>
      </c>
      <c r="U391">
        <v>0</v>
      </c>
      <c r="W391">
        <v>0.1</v>
      </c>
      <c r="AA391">
        <v>0</v>
      </c>
      <c r="AC391">
        <v>0</v>
      </c>
      <c r="AD391">
        <v>0</v>
      </c>
      <c r="AE391">
        <v>1</v>
      </c>
      <c r="AF391">
        <v>0</v>
      </c>
      <c r="AG391">
        <v>0</v>
      </c>
      <c r="AH391">
        <v>3</v>
      </c>
      <c r="AI391">
        <v>0</v>
      </c>
      <c r="AJ391">
        <v>22</v>
      </c>
    </row>
    <row r="392" spans="1:36" x14ac:dyDescent="0.2">
      <c r="A392" t="str">
        <f>+VLOOKUP(B392,studies!$A$2:$C$102,3)</f>
        <v>Anthoff et al. (2011)</v>
      </c>
      <c r="B392">
        <v>64</v>
      </c>
      <c r="C392">
        <v>2011</v>
      </c>
      <c r="D392">
        <v>0</v>
      </c>
      <c r="E392">
        <v>1995</v>
      </c>
      <c r="F392">
        <v>2015</v>
      </c>
      <c r="G392">
        <v>2.9411764705882353E-2</v>
      </c>
      <c r="H392">
        <v>1.0130160629921259</v>
      </c>
      <c r="I392">
        <v>0</v>
      </c>
      <c r="J392">
        <v>1</v>
      </c>
      <c r="K392">
        <v>0</v>
      </c>
      <c r="L392" t="s">
        <v>238</v>
      </c>
      <c r="M392" t="s">
        <v>238</v>
      </c>
      <c r="N392" t="s">
        <v>238</v>
      </c>
      <c r="O392">
        <v>0</v>
      </c>
      <c r="P392">
        <v>1</v>
      </c>
      <c r="Q392">
        <v>1</v>
      </c>
      <c r="R392">
        <v>1</v>
      </c>
      <c r="S392">
        <v>1</v>
      </c>
      <c r="T392">
        <v>0</v>
      </c>
      <c r="U392">
        <v>0</v>
      </c>
      <c r="W392">
        <v>3</v>
      </c>
      <c r="AA392">
        <v>0</v>
      </c>
      <c r="AC392">
        <v>0</v>
      </c>
      <c r="AD392">
        <v>0</v>
      </c>
      <c r="AE392">
        <v>1</v>
      </c>
      <c r="AF392">
        <v>0</v>
      </c>
      <c r="AG392">
        <v>0</v>
      </c>
      <c r="AH392">
        <v>3</v>
      </c>
      <c r="AI392">
        <v>0</v>
      </c>
      <c r="AJ392">
        <v>22</v>
      </c>
    </row>
    <row r="393" spans="1:36" x14ac:dyDescent="0.2">
      <c r="A393" t="str">
        <f>+VLOOKUP(B393,studies!$A$2:$C$102,3)</f>
        <v>Anthoff et al. (2011)</v>
      </c>
      <c r="B393">
        <v>64</v>
      </c>
      <c r="C393">
        <v>2011</v>
      </c>
      <c r="D393">
        <v>0</v>
      </c>
      <c r="E393">
        <v>1995</v>
      </c>
      <c r="F393">
        <v>2015</v>
      </c>
      <c r="G393">
        <v>2.9411764705882353E-2</v>
      </c>
      <c r="H393">
        <v>4.1779758530183724</v>
      </c>
      <c r="I393">
        <v>0</v>
      </c>
      <c r="J393">
        <v>1</v>
      </c>
      <c r="K393">
        <v>0</v>
      </c>
      <c r="L393" t="s">
        <v>238</v>
      </c>
      <c r="M393" t="s">
        <v>238</v>
      </c>
      <c r="N393" t="s">
        <v>238</v>
      </c>
      <c r="O393">
        <v>0</v>
      </c>
      <c r="P393">
        <v>1</v>
      </c>
      <c r="Q393">
        <v>1</v>
      </c>
      <c r="R393">
        <v>1</v>
      </c>
      <c r="S393">
        <v>1</v>
      </c>
      <c r="T393">
        <v>0</v>
      </c>
      <c r="U393">
        <v>0</v>
      </c>
      <c r="W393">
        <v>3</v>
      </c>
      <c r="AA393">
        <v>0</v>
      </c>
      <c r="AC393">
        <v>0</v>
      </c>
      <c r="AD393">
        <v>0</v>
      </c>
      <c r="AE393">
        <v>1</v>
      </c>
      <c r="AF393">
        <v>0</v>
      </c>
      <c r="AG393">
        <v>0</v>
      </c>
      <c r="AH393">
        <v>3</v>
      </c>
      <c r="AI393">
        <v>0</v>
      </c>
      <c r="AJ393">
        <v>22</v>
      </c>
    </row>
    <row r="394" spans="1:36" x14ac:dyDescent="0.2">
      <c r="A394" t="str">
        <f>+VLOOKUP(B394,studies!$A$2:$C$102,3)</f>
        <v>Anthoff et al. (2011)</v>
      </c>
      <c r="B394">
        <v>64</v>
      </c>
      <c r="C394">
        <v>2011</v>
      </c>
      <c r="D394">
        <v>0</v>
      </c>
      <c r="E394">
        <v>1995</v>
      </c>
      <c r="F394">
        <v>2015</v>
      </c>
      <c r="G394">
        <v>2.9411764705882353E-2</v>
      </c>
      <c r="H394">
        <v>16.454356955380579</v>
      </c>
      <c r="I394">
        <v>0</v>
      </c>
      <c r="J394">
        <v>1</v>
      </c>
      <c r="K394">
        <v>0</v>
      </c>
      <c r="L394" t="s">
        <v>238</v>
      </c>
      <c r="M394" t="s">
        <v>238</v>
      </c>
      <c r="N394" t="s">
        <v>238</v>
      </c>
      <c r="O394">
        <v>0</v>
      </c>
      <c r="P394">
        <v>1</v>
      </c>
      <c r="Q394">
        <v>1</v>
      </c>
      <c r="R394">
        <v>1</v>
      </c>
      <c r="S394">
        <v>1</v>
      </c>
      <c r="T394">
        <v>0</v>
      </c>
      <c r="U394">
        <v>0</v>
      </c>
      <c r="W394">
        <v>1</v>
      </c>
      <c r="AA394">
        <v>0</v>
      </c>
      <c r="AC394">
        <v>0</v>
      </c>
      <c r="AD394">
        <v>0</v>
      </c>
      <c r="AE394">
        <v>1</v>
      </c>
      <c r="AF394">
        <v>0</v>
      </c>
      <c r="AG394">
        <v>0</v>
      </c>
      <c r="AH394">
        <v>3</v>
      </c>
      <c r="AI394">
        <v>0</v>
      </c>
      <c r="AJ394">
        <v>22</v>
      </c>
    </row>
    <row r="395" spans="1:36" x14ac:dyDescent="0.2">
      <c r="A395" t="str">
        <f>+VLOOKUP(B395,studies!$A$2:$C$102,3)</f>
        <v>Anthoff et al. (2011)</v>
      </c>
      <c r="B395">
        <v>64</v>
      </c>
      <c r="C395">
        <v>2011</v>
      </c>
      <c r="D395">
        <v>0</v>
      </c>
      <c r="E395">
        <v>1995</v>
      </c>
      <c r="F395">
        <v>2015</v>
      </c>
      <c r="G395">
        <v>2.9411764705882353E-2</v>
      </c>
      <c r="H395">
        <v>92.287480314960632</v>
      </c>
      <c r="I395">
        <v>0</v>
      </c>
      <c r="J395">
        <v>1</v>
      </c>
      <c r="K395">
        <v>0</v>
      </c>
      <c r="L395" t="s">
        <v>238</v>
      </c>
      <c r="M395" t="s">
        <v>238</v>
      </c>
      <c r="N395" t="s">
        <v>238</v>
      </c>
      <c r="O395">
        <v>0</v>
      </c>
      <c r="P395">
        <v>1</v>
      </c>
      <c r="Q395">
        <v>1</v>
      </c>
      <c r="R395">
        <v>1</v>
      </c>
      <c r="S395">
        <v>1</v>
      </c>
      <c r="T395">
        <v>0</v>
      </c>
      <c r="U395">
        <v>0</v>
      </c>
      <c r="W395">
        <v>1</v>
      </c>
      <c r="AA395">
        <v>0</v>
      </c>
      <c r="AC395">
        <v>0</v>
      </c>
      <c r="AD395">
        <v>0</v>
      </c>
      <c r="AE395">
        <v>1</v>
      </c>
      <c r="AF395">
        <v>0</v>
      </c>
      <c r="AG395">
        <v>0</v>
      </c>
      <c r="AH395">
        <v>3</v>
      </c>
      <c r="AI395">
        <v>0</v>
      </c>
      <c r="AJ395">
        <v>22</v>
      </c>
    </row>
    <row r="396" spans="1:36" x14ac:dyDescent="0.2">
      <c r="A396" t="str">
        <f>+VLOOKUP(B396,studies!$A$2:$C$102,3)</f>
        <v>Anthoff et al. (2011)</v>
      </c>
      <c r="B396">
        <v>64</v>
      </c>
      <c r="C396">
        <v>2011</v>
      </c>
      <c r="D396">
        <v>0</v>
      </c>
      <c r="E396">
        <v>1995</v>
      </c>
      <c r="F396">
        <v>2015</v>
      </c>
      <c r="G396">
        <v>2.9411764705882353E-2</v>
      </c>
      <c r="H396">
        <v>75.546960629921259</v>
      </c>
      <c r="I396">
        <v>0</v>
      </c>
      <c r="J396">
        <v>1</v>
      </c>
      <c r="K396">
        <v>0</v>
      </c>
      <c r="L396" t="s">
        <v>238</v>
      </c>
      <c r="M396" t="s">
        <v>238</v>
      </c>
      <c r="N396" t="s">
        <v>238</v>
      </c>
      <c r="O396">
        <v>0</v>
      </c>
      <c r="P396">
        <v>1</v>
      </c>
      <c r="Q396">
        <v>1</v>
      </c>
      <c r="R396">
        <v>1</v>
      </c>
      <c r="S396">
        <v>1</v>
      </c>
      <c r="T396">
        <v>0</v>
      </c>
      <c r="U396">
        <v>0</v>
      </c>
      <c r="W396">
        <v>0.1</v>
      </c>
      <c r="AA396">
        <v>0</v>
      </c>
      <c r="AC396">
        <v>0</v>
      </c>
      <c r="AD396">
        <v>0</v>
      </c>
      <c r="AE396">
        <v>1</v>
      </c>
      <c r="AF396">
        <v>0</v>
      </c>
      <c r="AG396">
        <v>0</v>
      </c>
      <c r="AH396">
        <v>3</v>
      </c>
      <c r="AI396">
        <v>0</v>
      </c>
      <c r="AJ396">
        <v>22</v>
      </c>
    </row>
    <row r="397" spans="1:36" x14ac:dyDescent="0.2">
      <c r="A397" t="str">
        <f>+VLOOKUP(B397,studies!$A$2:$C$102,3)</f>
        <v>Anthoff et al. (2011)</v>
      </c>
      <c r="B397">
        <v>64</v>
      </c>
      <c r="C397">
        <v>2011</v>
      </c>
      <c r="D397">
        <v>0</v>
      </c>
      <c r="E397">
        <v>1995</v>
      </c>
      <c r="F397">
        <v>2015</v>
      </c>
      <c r="G397">
        <v>2.9411764705882353E-2</v>
      </c>
      <c r="H397">
        <v>2160.5286089238843</v>
      </c>
      <c r="I397">
        <v>0</v>
      </c>
      <c r="J397">
        <v>1</v>
      </c>
      <c r="K397">
        <v>0</v>
      </c>
      <c r="L397" t="s">
        <v>238</v>
      </c>
      <c r="M397" t="s">
        <v>238</v>
      </c>
      <c r="N397" t="s">
        <v>238</v>
      </c>
      <c r="O397">
        <v>0</v>
      </c>
      <c r="P397">
        <v>1</v>
      </c>
      <c r="Q397">
        <v>1</v>
      </c>
      <c r="R397">
        <v>1</v>
      </c>
      <c r="S397">
        <v>1</v>
      </c>
      <c r="T397">
        <v>0</v>
      </c>
      <c r="U397">
        <v>0</v>
      </c>
      <c r="W397">
        <v>0.1</v>
      </c>
      <c r="AA397">
        <v>0</v>
      </c>
      <c r="AC397">
        <v>0</v>
      </c>
      <c r="AD397">
        <v>0</v>
      </c>
      <c r="AE397">
        <v>1</v>
      </c>
      <c r="AF397">
        <v>0</v>
      </c>
      <c r="AG397">
        <v>0</v>
      </c>
      <c r="AH397">
        <v>3</v>
      </c>
      <c r="AI397">
        <v>0</v>
      </c>
      <c r="AJ397">
        <v>22</v>
      </c>
    </row>
    <row r="398" spans="1:36" x14ac:dyDescent="0.2">
      <c r="A398" t="str">
        <f>+VLOOKUP(B398,studies!$A$2:$C$102,3)</f>
        <v>Anthoff et al. (2011)</v>
      </c>
      <c r="B398">
        <v>64</v>
      </c>
      <c r="C398">
        <v>2011</v>
      </c>
      <c r="D398">
        <v>0</v>
      </c>
      <c r="E398">
        <v>1995</v>
      </c>
      <c r="F398">
        <v>2015</v>
      </c>
      <c r="G398">
        <v>5.8823529411764705E-2</v>
      </c>
      <c r="H398">
        <v>130.91944881889765</v>
      </c>
      <c r="I398">
        <v>0</v>
      </c>
      <c r="J398">
        <v>1</v>
      </c>
      <c r="K398">
        <v>0</v>
      </c>
      <c r="L398" t="s">
        <v>238</v>
      </c>
      <c r="M398" t="s">
        <v>238</v>
      </c>
      <c r="N398" t="s">
        <v>238</v>
      </c>
      <c r="O398">
        <v>0</v>
      </c>
      <c r="P398">
        <v>1</v>
      </c>
      <c r="Q398">
        <v>1</v>
      </c>
      <c r="R398">
        <v>1</v>
      </c>
      <c r="S398">
        <v>1</v>
      </c>
      <c r="T398">
        <v>0</v>
      </c>
      <c r="U398">
        <v>0</v>
      </c>
      <c r="W398">
        <v>1</v>
      </c>
      <c r="AA398">
        <v>1</v>
      </c>
      <c r="AC398">
        <v>0</v>
      </c>
      <c r="AD398">
        <v>0</v>
      </c>
      <c r="AE398">
        <v>1</v>
      </c>
      <c r="AF398">
        <v>0</v>
      </c>
      <c r="AG398">
        <v>0</v>
      </c>
      <c r="AH398">
        <v>3</v>
      </c>
      <c r="AI398">
        <v>0</v>
      </c>
      <c r="AJ398">
        <v>22</v>
      </c>
    </row>
    <row r="399" spans="1:36" x14ac:dyDescent="0.2">
      <c r="A399" t="str">
        <f>+VLOOKUP(B399,studies!$A$2:$C$102,3)</f>
        <v>Anthoff et al. (2011)</v>
      </c>
      <c r="B399">
        <v>64</v>
      </c>
      <c r="C399">
        <v>2011</v>
      </c>
      <c r="D399">
        <v>0</v>
      </c>
      <c r="E399">
        <v>1995</v>
      </c>
      <c r="F399">
        <v>2015</v>
      </c>
      <c r="G399">
        <v>5.8823529411764705E-2</v>
      </c>
      <c r="H399">
        <v>17.312845144356956</v>
      </c>
      <c r="I399">
        <v>0</v>
      </c>
      <c r="J399">
        <v>1</v>
      </c>
      <c r="K399">
        <v>0</v>
      </c>
      <c r="L399" t="s">
        <v>238</v>
      </c>
      <c r="M399" t="s">
        <v>238</v>
      </c>
      <c r="N399" t="s">
        <v>238</v>
      </c>
      <c r="O399">
        <v>0</v>
      </c>
      <c r="P399">
        <v>1</v>
      </c>
      <c r="Q399">
        <v>1</v>
      </c>
      <c r="R399">
        <v>1</v>
      </c>
      <c r="S399">
        <v>1</v>
      </c>
      <c r="T399">
        <v>0</v>
      </c>
      <c r="U399">
        <v>0</v>
      </c>
      <c r="W399">
        <v>1</v>
      </c>
      <c r="AA399">
        <v>0</v>
      </c>
      <c r="AC399">
        <v>0</v>
      </c>
      <c r="AD399">
        <v>0</v>
      </c>
      <c r="AE399">
        <v>1</v>
      </c>
      <c r="AF399">
        <v>0</v>
      </c>
      <c r="AG399">
        <v>0</v>
      </c>
      <c r="AH399">
        <v>3</v>
      </c>
      <c r="AI399">
        <v>0</v>
      </c>
      <c r="AJ399">
        <v>22</v>
      </c>
    </row>
    <row r="400" spans="1:36" x14ac:dyDescent="0.2">
      <c r="A400" t="str">
        <f>+VLOOKUP(B400,studies!$A$2:$C$102,3)</f>
        <v>Anthoff et al. (2011)</v>
      </c>
      <c r="B400">
        <v>64</v>
      </c>
      <c r="C400">
        <v>2011</v>
      </c>
      <c r="D400">
        <v>0</v>
      </c>
      <c r="E400">
        <v>1995</v>
      </c>
      <c r="F400">
        <v>2015</v>
      </c>
      <c r="G400">
        <v>5.8823529411764705E-2</v>
      </c>
      <c r="H400">
        <v>41.636677165354335</v>
      </c>
      <c r="I400">
        <v>0</v>
      </c>
      <c r="J400">
        <v>1</v>
      </c>
      <c r="K400">
        <v>0</v>
      </c>
      <c r="L400" t="s">
        <v>238</v>
      </c>
      <c r="M400" t="s">
        <v>238</v>
      </c>
      <c r="N400" t="s">
        <v>238</v>
      </c>
      <c r="O400">
        <v>0</v>
      </c>
      <c r="P400">
        <v>1</v>
      </c>
      <c r="Q400">
        <v>1</v>
      </c>
      <c r="R400">
        <v>1</v>
      </c>
      <c r="S400">
        <v>1</v>
      </c>
      <c r="T400">
        <v>0</v>
      </c>
      <c r="U400">
        <v>0</v>
      </c>
      <c r="W400">
        <v>1</v>
      </c>
      <c r="AA400">
        <v>0</v>
      </c>
      <c r="AC400">
        <v>0</v>
      </c>
      <c r="AD400">
        <v>0</v>
      </c>
      <c r="AE400">
        <v>1</v>
      </c>
      <c r="AF400">
        <v>0</v>
      </c>
      <c r="AG400">
        <v>0</v>
      </c>
      <c r="AH400">
        <v>3</v>
      </c>
      <c r="AI400">
        <v>0</v>
      </c>
      <c r="AJ400">
        <v>22</v>
      </c>
    </row>
    <row r="401" spans="1:36" x14ac:dyDescent="0.2">
      <c r="A401" t="str">
        <f>+VLOOKUP(B401,studies!$A$2:$C$102,3)</f>
        <v>Anthoff et al. (2011)</v>
      </c>
      <c r="B401">
        <v>64</v>
      </c>
      <c r="C401">
        <v>2011</v>
      </c>
      <c r="D401">
        <v>0</v>
      </c>
      <c r="E401">
        <v>1995</v>
      </c>
      <c r="F401">
        <v>2015</v>
      </c>
      <c r="G401">
        <v>2.9411764705882353E-2</v>
      </c>
      <c r="H401">
        <v>3.4482608923884519</v>
      </c>
      <c r="I401">
        <v>0</v>
      </c>
      <c r="J401">
        <v>1</v>
      </c>
      <c r="K401">
        <v>0</v>
      </c>
      <c r="L401" t="s">
        <v>238</v>
      </c>
      <c r="M401" t="s">
        <v>238</v>
      </c>
      <c r="N401" t="s">
        <v>238</v>
      </c>
      <c r="O401">
        <v>0</v>
      </c>
      <c r="P401">
        <v>1</v>
      </c>
      <c r="Q401">
        <v>1</v>
      </c>
      <c r="R401">
        <v>1</v>
      </c>
      <c r="S401">
        <v>1</v>
      </c>
      <c r="T401">
        <v>0</v>
      </c>
      <c r="U401">
        <v>0</v>
      </c>
      <c r="W401">
        <v>1</v>
      </c>
      <c r="AA401">
        <v>0</v>
      </c>
      <c r="AC401">
        <v>0</v>
      </c>
      <c r="AD401">
        <v>0</v>
      </c>
      <c r="AE401">
        <v>1</v>
      </c>
      <c r="AF401">
        <v>0</v>
      </c>
      <c r="AG401">
        <v>0</v>
      </c>
      <c r="AH401">
        <v>3</v>
      </c>
      <c r="AI401">
        <v>0</v>
      </c>
      <c r="AJ401">
        <v>22</v>
      </c>
    </row>
    <row r="402" spans="1:36" x14ac:dyDescent="0.2">
      <c r="A402" t="str">
        <f>+VLOOKUP(B402,studies!$A$2:$C$102,3)</f>
        <v>Anthoff et al. (2011)</v>
      </c>
      <c r="B402">
        <v>64</v>
      </c>
      <c r="C402">
        <v>2011</v>
      </c>
      <c r="D402">
        <v>0</v>
      </c>
      <c r="E402">
        <v>1995</v>
      </c>
      <c r="F402">
        <v>2015</v>
      </c>
      <c r="G402">
        <v>2.9411764705882353E-2</v>
      </c>
      <c r="H402">
        <v>107.31102362204724</v>
      </c>
      <c r="I402">
        <v>0</v>
      </c>
      <c r="J402">
        <v>1</v>
      </c>
      <c r="K402">
        <v>0</v>
      </c>
      <c r="L402" t="s">
        <v>238</v>
      </c>
      <c r="M402" t="s">
        <v>238</v>
      </c>
      <c r="N402" t="s">
        <v>238</v>
      </c>
      <c r="O402">
        <v>0</v>
      </c>
      <c r="P402">
        <v>1</v>
      </c>
      <c r="Q402">
        <v>1</v>
      </c>
      <c r="R402">
        <v>1</v>
      </c>
      <c r="S402">
        <v>1</v>
      </c>
      <c r="T402">
        <v>0</v>
      </c>
      <c r="U402">
        <v>0</v>
      </c>
      <c r="W402">
        <v>1</v>
      </c>
      <c r="AA402">
        <v>0</v>
      </c>
      <c r="AC402">
        <v>0</v>
      </c>
      <c r="AD402">
        <v>0</v>
      </c>
      <c r="AE402">
        <v>1</v>
      </c>
      <c r="AF402">
        <v>0</v>
      </c>
      <c r="AG402">
        <v>0</v>
      </c>
      <c r="AH402">
        <v>3</v>
      </c>
      <c r="AI402">
        <v>0</v>
      </c>
      <c r="AJ402">
        <v>22</v>
      </c>
    </row>
    <row r="403" spans="1:36" x14ac:dyDescent="0.2">
      <c r="A403" t="str">
        <f>+VLOOKUP(B403,studies!$A$2:$C$102,3)</f>
        <v>Anthoff et al. (2011)</v>
      </c>
      <c r="B403">
        <v>64</v>
      </c>
      <c r="C403">
        <v>2011</v>
      </c>
      <c r="D403">
        <v>0</v>
      </c>
      <c r="E403">
        <v>1995</v>
      </c>
      <c r="F403">
        <v>2015</v>
      </c>
      <c r="G403">
        <v>2.9411764705882353E-2</v>
      </c>
      <c r="H403">
        <v>7.3686902887139114</v>
      </c>
      <c r="I403">
        <v>0</v>
      </c>
      <c r="J403">
        <v>1</v>
      </c>
      <c r="K403">
        <v>0</v>
      </c>
      <c r="L403" t="s">
        <v>238</v>
      </c>
      <c r="M403" t="s">
        <v>238</v>
      </c>
      <c r="N403" t="s">
        <v>238</v>
      </c>
      <c r="O403">
        <v>0</v>
      </c>
      <c r="P403">
        <v>1</v>
      </c>
      <c r="Q403">
        <v>1</v>
      </c>
      <c r="R403">
        <v>1</v>
      </c>
      <c r="S403">
        <v>1</v>
      </c>
      <c r="T403">
        <v>0</v>
      </c>
      <c r="U403">
        <v>0</v>
      </c>
      <c r="W403">
        <v>1</v>
      </c>
      <c r="AA403">
        <v>0</v>
      </c>
      <c r="AC403">
        <v>0</v>
      </c>
      <c r="AD403">
        <v>0</v>
      </c>
      <c r="AE403">
        <v>1</v>
      </c>
      <c r="AF403">
        <v>0</v>
      </c>
      <c r="AG403">
        <v>0</v>
      </c>
      <c r="AH403">
        <v>3</v>
      </c>
      <c r="AI403">
        <v>0</v>
      </c>
      <c r="AJ403">
        <v>22</v>
      </c>
    </row>
    <row r="404" spans="1:36" x14ac:dyDescent="0.2">
      <c r="A404" t="str">
        <f>+VLOOKUP(B404,studies!$A$2:$C$102,3)</f>
        <v>Anthoff et al. (2011)</v>
      </c>
      <c r="B404">
        <v>64</v>
      </c>
      <c r="C404">
        <v>2011</v>
      </c>
      <c r="D404">
        <v>0</v>
      </c>
      <c r="E404">
        <v>1995</v>
      </c>
      <c r="F404">
        <v>2015</v>
      </c>
      <c r="G404">
        <v>2.9411764705882353E-2</v>
      </c>
      <c r="H404">
        <v>74.402309711286094</v>
      </c>
      <c r="I404">
        <v>0</v>
      </c>
      <c r="J404">
        <v>1</v>
      </c>
      <c r="K404">
        <v>0</v>
      </c>
      <c r="L404" t="s">
        <v>238</v>
      </c>
      <c r="M404" t="s">
        <v>238</v>
      </c>
      <c r="N404" t="s">
        <v>238</v>
      </c>
      <c r="O404">
        <v>0</v>
      </c>
      <c r="P404">
        <v>1</v>
      </c>
      <c r="Q404">
        <v>1</v>
      </c>
      <c r="R404">
        <v>1</v>
      </c>
      <c r="S404">
        <v>1</v>
      </c>
      <c r="T404">
        <v>0</v>
      </c>
      <c r="U404">
        <v>0</v>
      </c>
      <c r="W404">
        <v>1</v>
      </c>
      <c r="AA404">
        <v>0</v>
      </c>
      <c r="AC404">
        <v>0</v>
      </c>
      <c r="AD404">
        <v>0</v>
      </c>
      <c r="AE404">
        <v>1</v>
      </c>
      <c r="AF404">
        <v>0</v>
      </c>
      <c r="AG404">
        <v>0</v>
      </c>
      <c r="AH404">
        <v>3</v>
      </c>
      <c r="AI404">
        <v>0</v>
      </c>
      <c r="AJ404">
        <v>22</v>
      </c>
    </row>
    <row r="405" spans="1:36" x14ac:dyDescent="0.2">
      <c r="A405" t="str">
        <f>+VLOOKUP(B405,studies!$A$2:$C$102,3)</f>
        <v>Ceronsky et al. (2011)</v>
      </c>
      <c r="B405">
        <v>65</v>
      </c>
      <c r="C405">
        <v>2011</v>
      </c>
      <c r="D405">
        <v>0</v>
      </c>
      <c r="E405">
        <v>2010</v>
      </c>
      <c r="F405">
        <v>2010</v>
      </c>
      <c r="G405">
        <v>0.13528138528138528</v>
      </c>
      <c r="H405">
        <v>644.55626634590897</v>
      </c>
      <c r="I405">
        <v>1</v>
      </c>
      <c r="J405">
        <v>0</v>
      </c>
      <c r="K405">
        <v>0</v>
      </c>
      <c r="L405" t="s">
        <v>238</v>
      </c>
      <c r="M405" t="s">
        <v>238</v>
      </c>
      <c r="N405" t="s">
        <v>238</v>
      </c>
      <c r="O405">
        <v>0</v>
      </c>
      <c r="P405">
        <v>1</v>
      </c>
      <c r="Q405">
        <v>1</v>
      </c>
      <c r="R405">
        <v>1</v>
      </c>
      <c r="S405">
        <v>1</v>
      </c>
      <c r="T405">
        <v>0</v>
      </c>
      <c r="U405">
        <v>0</v>
      </c>
      <c r="W405">
        <v>0</v>
      </c>
      <c r="AA405">
        <v>0</v>
      </c>
      <c r="AC405">
        <v>0</v>
      </c>
      <c r="AD405">
        <v>0</v>
      </c>
      <c r="AE405">
        <v>1</v>
      </c>
      <c r="AF405">
        <v>0</v>
      </c>
      <c r="AG405">
        <v>0</v>
      </c>
      <c r="AH405">
        <v>27</v>
      </c>
      <c r="AI405">
        <v>0</v>
      </c>
      <c r="AJ405">
        <v>48</v>
      </c>
    </row>
    <row r="406" spans="1:36" x14ac:dyDescent="0.2">
      <c r="A406" t="str">
        <f>+VLOOKUP(B406,studies!$A$2:$C$102,3)</f>
        <v>Ceronsky et al. (2011)</v>
      </c>
      <c r="B406">
        <v>65</v>
      </c>
      <c r="C406">
        <v>2011</v>
      </c>
      <c r="D406">
        <v>0</v>
      </c>
      <c r="E406">
        <v>2010</v>
      </c>
      <c r="F406">
        <v>2010</v>
      </c>
      <c r="G406">
        <v>1.3528138528138528E-3</v>
      </c>
      <c r="H406">
        <v>624.74169757939819</v>
      </c>
      <c r="I406">
        <v>1</v>
      </c>
      <c r="J406">
        <v>0</v>
      </c>
      <c r="K406">
        <v>0</v>
      </c>
      <c r="L406" t="s">
        <v>238</v>
      </c>
      <c r="M406" t="s">
        <v>238</v>
      </c>
      <c r="N406" t="s">
        <v>238</v>
      </c>
      <c r="O406">
        <v>0</v>
      </c>
      <c r="P406">
        <v>1</v>
      </c>
      <c r="Q406">
        <v>1</v>
      </c>
      <c r="R406">
        <v>1</v>
      </c>
      <c r="S406">
        <v>1</v>
      </c>
      <c r="T406">
        <v>0</v>
      </c>
      <c r="U406">
        <v>0</v>
      </c>
      <c r="W406">
        <v>0</v>
      </c>
      <c r="AA406">
        <v>0</v>
      </c>
      <c r="AC406">
        <v>0</v>
      </c>
      <c r="AD406">
        <v>0</v>
      </c>
      <c r="AE406">
        <v>1</v>
      </c>
      <c r="AF406">
        <v>0</v>
      </c>
      <c r="AG406">
        <v>0</v>
      </c>
      <c r="AH406">
        <v>27</v>
      </c>
      <c r="AI406">
        <v>0</v>
      </c>
      <c r="AJ406">
        <v>48</v>
      </c>
    </row>
    <row r="407" spans="1:36" x14ac:dyDescent="0.2">
      <c r="A407" t="str">
        <f>+VLOOKUP(B407,studies!$A$2:$C$102,3)</f>
        <v>Ceronsky et al. (2011)</v>
      </c>
      <c r="B407">
        <v>65</v>
      </c>
      <c r="C407">
        <v>2011</v>
      </c>
      <c r="D407">
        <v>0</v>
      </c>
      <c r="E407">
        <v>2010</v>
      </c>
      <c r="F407">
        <v>2010</v>
      </c>
      <c r="G407">
        <v>1.3528138528138528E-2</v>
      </c>
      <c r="H407">
        <v>673.69533806136599</v>
      </c>
      <c r="I407">
        <v>1</v>
      </c>
      <c r="J407">
        <v>0</v>
      </c>
      <c r="K407">
        <v>0</v>
      </c>
      <c r="L407" t="s">
        <v>238</v>
      </c>
      <c r="M407" t="s">
        <v>238</v>
      </c>
      <c r="N407" t="s">
        <v>238</v>
      </c>
      <c r="O407">
        <v>0</v>
      </c>
      <c r="P407">
        <v>1</v>
      </c>
      <c r="Q407">
        <v>1</v>
      </c>
      <c r="R407">
        <v>1</v>
      </c>
      <c r="S407">
        <v>1</v>
      </c>
      <c r="T407">
        <v>0</v>
      </c>
      <c r="U407">
        <v>0</v>
      </c>
      <c r="W407">
        <v>0</v>
      </c>
      <c r="AA407">
        <v>0</v>
      </c>
      <c r="AC407">
        <v>0</v>
      </c>
      <c r="AD407">
        <v>0</v>
      </c>
      <c r="AE407">
        <v>1</v>
      </c>
      <c r="AF407">
        <v>0</v>
      </c>
      <c r="AG407">
        <v>0</v>
      </c>
      <c r="AH407">
        <v>27</v>
      </c>
      <c r="AI407">
        <v>0</v>
      </c>
      <c r="AJ407">
        <v>48</v>
      </c>
    </row>
    <row r="408" spans="1:36" x14ac:dyDescent="0.2">
      <c r="A408" t="str">
        <f>+VLOOKUP(B408,studies!$A$2:$C$102,3)</f>
        <v>Ceronsky et al. (2011)</v>
      </c>
      <c r="B408">
        <v>65</v>
      </c>
      <c r="C408">
        <v>2011</v>
      </c>
      <c r="D408">
        <v>0</v>
      </c>
      <c r="E408">
        <v>2010</v>
      </c>
      <c r="F408">
        <v>2010</v>
      </c>
      <c r="G408">
        <v>1.3528138528138528E-3</v>
      </c>
      <c r="H408">
        <v>828.71519958759723</v>
      </c>
      <c r="I408">
        <v>1</v>
      </c>
      <c r="J408">
        <v>0</v>
      </c>
      <c r="K408">
        <v>0</v>
      </c>
      <c r="L408" t="s">
        <v>238</v>
      </c>
      <c r="M408" t="s">
        <v>238</v>
      </c>
      <c r="N408" t="s">
        <v>238</v>
      </c>
      <c r="O408">
        <v>0</v>
      </c>
      <c r="P408">
        <v>1</v>
      </c>
      <c r="Q408">
        <v>1</v>
      </c>
      <c r="R408">
        <v>1</v>
      </c>
      <c r="S408">
        <v>1</v>
      </c>
      <c r="T408">
        <v>0</v>
      </c>
      <c r="U408">
        <v>0</v>
      </c>
      <c r="W408">
        <v>0</v>
      </c>
      <c r="AA408">
        <v>0</v>
      </c>
      <c r="AC408">
        <v>0</v>
      </c>
      <c r="AD408">
        <v>0</v>
      </c>
      <c r="AE408">
        <v>1</v>
      </c>
      <c r="AF408">
        <v>0</v>
      </c>
      <c r="AG408">
        <v>0</v>
      </c>
      <c r="AH408">
        <v>27</v>
      </c>
      <c r="AI408">
        <v>0</v>
      </c>
      <c r="AJ408">
        <v>48</v>
      </c>
    </row>
    <row r="409" spans="1:36" x14ac:dyDescent="0.2">
      <c r="A409" t="str">
        <f>+VLOOKUP(B409,studies!$A$2:$C$102,3)</f>
        <v>Ceronsky et al. (2011)</v>
      </c>
      <c r="B409">
        <v>65</v>
      </c>
      <c r="C409">
        <v>2011</v>
      </c>
      <c r="D409">
        <v>0</v>
      </c>
      <c r="E409">
        <v>2010</v>
      </c>
      <c r="F409">
        <v>2010</v>
      </c>
      <c r="G409">
        <v>1.3528138528138528E-4</v>
      </c>
      <c r="H409">
        <v>1190.0396888592641</v>
      </c>
      <c r="I409">
        <v>1</v>
      </c>
      <c r="J409">
        <v>0</v>
      </c>
      <c r="K409">
        <v>0</v>
      </c>
      <c r="L409" t="s">
        <v>238</v>
      </c>
      <c r="M409" t="s">
        <v>238</v>
      </c>
      <c r="N409" t="s">
        <v>238</v>
      </c>
      <c r="O409">
        <v>0</v>
      </c>
      <c r="P409">
        <v>1</v>
      </c>
      <c r="Q409">
        <v>1</v>
      </c>
      <c r="R409">
        <v>1</v>
      </c>
      <c r="S409">
        <v>1</v>
      </c>
      <c r="T409">
        <v>0</v>
      </c>
      <c r="U409">
        <v>0</v>
      </c>
      <c r="W409">
        <v>0</v>
      </c>
      <c r="AA409">
        <v>0</v>
      </c>
      <c r="AC409">
        <v>0</v>
      </c>
      <c r="AD409">
        <v>0</v>
      </c>
      <c r="AE409">
        <v>1</v>
      </c>
      <c r="AF409">
        <v>0</v>
      </c>
      <c r="AG409">
        <v>0</v>
      </c>
      <c r="AH409">
        <v>27</v>
      </c>
      <c r="AI409">
        <v>0</v>
      </c>
      <c r="AJ409">
        <v>48</v>
      </c>
    </row>
    <row r="410" spans="1:36" x14ac:dyDescent="0.2">
      <c r="A410" t="str">
        <f>+VLOOKUP(B410,studies!$A$2:$C$102,3)</f>
        <v>Ceronsky et al. (2011)</v>
      </c>
      <c r="B410">
        <v>65</v>
      </c>
      <c r="C410">
        <v>2011</v>
      </c>
      <c r="D410">
        <v>0</v>
      </c>
      <c r="E410">
        <v>2010</v>
      </c>
      <c r="F410">
        <v>2010</v>
      </c>
      <c r="G410">
        <v>1.3528138528138528E-2</v>
      </c>
      <c r="H410">
        <v>968.58274382179081</v>
      </c>
      <c r="I410">
        <v>1</v>
      </c>
      <c r="J410">
        <v>0</v>
      </c>
      <c r="K410">
        <v>0</v>
      </c>
      <c r="L410" t="s">
        <v>238</v>
      </c>
      <c r="M410" t="s">
        <v>238</v>
      </c>
      <c r="N410" t="s">
        <v>238</v>
      </c>
      <c r="O410">
        <v>0</v>
      </c>
      <c r="P410">
        <v>1</v>
      </c>
      <c r="Q410">
        <v>1</v>
      </c>
      <c r="R410">
        <v>1</v>
      </c>
      <c r="S410">
        <v>1</v>
      </c>
      <c r="T410">
        <v>0</v>
      </c>
      <c r="U410">
        <v>0</v>
      </c>
      <c r="W410">
        <v>0</v>
      </c>
      <c r="AA410">
        <v>0</v>
      </c>
      <c r="AC410">
        <v>0</v>
      </c>
      <c r="AD410">
        <v>0</v>
      </c>
      <c r="AE410">
        <v>1</v>
      </c>
      <c r="AF410">
        <v>0</v>
      </c>
      <c r="AG410">
        <v>0</v>
      </c>
      <c r="AH410">
        <v>27</v>
      </c>
      <c r="AI410">
        <v>0</v>
      </c>
      <c r="AJ410">
        <v>48</v>
      </c>
    </row>
    <row r="411" spans="1:36" x14ac:dyDescent="0.2">
      <c r="A411" t="str">
        <f>+VLOOKUP(B411,studies!$A$2:$C$102,3)</f>
        <v>Ceronsky et al. (2011)</v>
      </c>
      <c r="B411">
        <v>65</v>
      </c>
      <c r="C411">
        <v>2011</v>
      </c>
      <c r="D411">
        <v>0</v>
      </c>
      <c r="E411">
        <v>2010</v>
      </c>
      <c r="F411">
        <v>2010</v>
      </c>
      <c r="G411">
        <v>1.3528138528138528E-3</v>
      </c>
      <c r="H411">
        <v>1874.2250927381945</v>
      </c>
      <c r="I411">
        <v>1</v>
      </c>
      <c r="J411">
        <v>0</v>
      </c>
      <c r="K411">
        <v>0</v>
      </c>
      <c r="L411" t="s">
        <v>238</v>
      </c>
      <c r="M411" t="s">
        <v>238</v>
      </c>
      <c r="N411" t="s">
        <v>238</v>
      </c>
      <c r="O411">
        <v>0</v>
      </c>
      <c r="P411">
        <v>1</v>
      </c>
      <c r="Q411">
        <v>1</v>
      </c>
      <c r="R411">
        <v>1</v>
      </c>
      <c r="S411">
        <v>1</v>
      </c>
      <c r="T411">
        <v>0</v>
      </c>
      <c r="U411">
        <v>0</v>
      </c>
      <c r="W411">
        <v>0</v>
      </c>
      <c r="AA411">
        <v>0</v>
      </c>
      <c r="AC411">
        <v>0</v>
      </c>
      <c r="AD411">
        <v>0</v>
      </c>
      <c r="AE411">
        <v>1</v>
      </c>
      <c r="AF411">
        <v>0</v>
      </c>
      <c r="AG411">
        <v>0</v>
      </c>
      <c r="AH411">
        <v>27</v>
      </c>
      <c r="AI411">
        <v>0</v>
      </c>
      <c r="AJ411">
        <v>48</v>
      </c>
    </row>
    <row r="412" spans="1:36" x14ac:dyDescent="0.2">
      <c r="A412" t="str">
        <f>+VLOOKUP(B412,studies!$A$2:$C$102,3)</f>
        <v>Ceronsky et al. (2011)</v>
      </c>
      <c r="B412">
        <v>65</v>
      </c>
      <c r="C412">
        <v>2011</v>
      </c>
      <c r="D412">
        <v>0</v>
      </c>
      <c r="E412">
        <v>2010</v>
      </c>
      <c r="F412">
        <v>2010</v>
      </c>
      <c r="G412">
        <v>1.3528138528138528E-4</v>
      </c>
      <c r="H412">
        <v>2190.0926301337486</v>
      </c>
      <c r="I412">
        <v>1</v>
      </c>
      <c r="J412">
        <v>0</v>
      </c>
      <c r="K412">
        <v>0</v>
      </c>
      <c r="L412" t="s">
        <v>238</v>
      </c>
      <c r="M412" t="s">
        <v>238</v>
      </c>
      <c r="N412" t="s">
        <v>238</v>
      </c>
      <c r="O412">
        <v>0</v>
      </c>
      <c r="P412">
        <v>1</v>
      </c>
      <c r="Q412">
        <v>1</v>
      </c>
      <c r="R412">
        <v>1</v>
      </c>
      <c r="S412">
        <v>1</v>
      </c>
      <c r="T412">
        <v>0</v>
      </c>
      <c r="U412">
        <v>0</v>
      </c>
      <c r="W412">
        <v>0</v>
      </c>
      <c r="AA412">
        <v>0</v>
      </c>
      <c r="AC412">
        <v>0</v>
      </c>
      <c r="AD412">
        <v>0</v>
      </c>
      <c r="AE412">
        <v>1</v>
      </c>
      <c r="AF412">
        <v>0</v>
      </c>
      <c r="AG412">
        <v>0</v>
      </c>
      <c r="AH412">
        <v>27</v>
      </c>
      <c r="AI412">
        <v>0</v>
      </c>
      <c r="AJ412">
        <v>48</v>
      </c>
    </row>
    <row r="413" spans="1:36" x14ac:dyDescent="0.2">
      <c r="A413" t="str">
        <f>+VLOOKUP(B413,studies!$A$2:$C$102,3)</f>
        <v>Ceronsky et al. (2011)</v>
      </c>
      <c r="B413">
        <v>65</v>
      </c>
      <c r="C413">
        <v>2011</v>
      </c>
      <c r="D413">
        <v>0</v>
      </c>
      <c r="E413">
        <v>2010</v>
      </c>
      <c r="F413">
        <v>2010</v>
      </c>
      <c r="G413">
        <v>0.13528138528138528</v>
      </c>
      <c r="H413">
        <v>418.4370698339626</v>
      </c>
      <c r="I413">
        <v>0</v>
      </c>
      <c r="J413">
        <v>1</v>
      </c>
      <c r="K413">
        <v>0</v>
      </c>
      <c r="L413" t="s">
        <v>238</v>
      </c>
      <c r="M413" t="s">
        <v>238</v>
      </c>
      <c r="N413" t="s">
        <v>238</v>
      </c>
      <c r="O413">
        <v>0</v>
      </c>
      <c r="P413">
        <v>1</v>
      </c>
      <c r="Q413">
        <v>1</v>
      </c>
      <c r="R413">
        <v>1</v>
      </c>
      <c r="S413">
        <v>1</v>
      </c>
      <c r="T413">
        <v>0</v>
      </c>
      <c r="U413">
        <v>0</v>
      </c>
      <c r="W413">
        <v>0</v>
      </c>
      <c r="AA413">
        <v>0</v>
      </c>
      <c r="AC413">
        <v>0</v>
      </c>
      <c r="AD413">
        <v>0</v>
      </c>
      <c r="AE413">
        <v>1</v>
      </c>
      <c r="AF413">
        <v>0</v>
      </c>
      <c r="AG413">
        <v>0</v>
      </c>
      <c r="AH413">
        <v>27</v>
      </c>
      <c r="AI413">
        <v>0</v>
      </c>
      <c r="AJ413">
        <v>48</v>
      </c>
    </row>
    <row r="414" spans="1:36" x14ac:dyDescent="0.2">
      <c r="A414" t="str">
        <f>+VLOOKUP(B414,studies!$A$2:$C$102,3)</f>
        <v>Ceronsky et al. (2011)</v>
      </c>
      <c r="B414">
        <v>65</v>
      </c>
      <c r="C414">
        <v>2011</v>
      </c>
      <c r="D414">
        <v>0</v>
      </c>
      <c r="E414">
        <v>2010</v>
      </c>
      <c r="F414">
        <v>2010</v>
      </c>
      <c r="G414">
        <v>1.3528138528138528E-3</v>
      </c>
      <c r="H414">
        <v>397.45693819883354</v>
      </c>
      <c r="I414">
        <v>0</v>
      </c>
      <c r="J414">
        <v>1</v>
      </c>
      <c r="K414">
        <v>0</v>
      </c>
      <c r="L414" t="s">
        <v>238</v>
      </c>
      <c r="M414" t="s">
        <v>238</v>
      </c>
      <c r="N414" t="s">
        <v>238</v>
      </c>
      <c r="O414">
        <v>0</v>
      </c>
      <c r="P414">
        <v>1</v>
      </c>
      <c r="Q414">
        <v>1</v>
      </c>
      <c r="R414">
        <v>1</v>
      </c>
      <c r="S414">
        <v>1</v>
      </c>
      <c r="T414">
        <v>0</v>
      </c>
      <c r="U414">
        <v>0</v>
      </c>
      <c r="W414">
        <v>0</v>
      </c>
      <c r="AA414">
        <v>0</v>
      </c>
      <c r="AC414">
        <v>0</v>
      </c>
      <c r="AD414">
        <v>0</v>
      </c>
      <c r="AE414">
        <v>1</v>
      </c>
      <c r="AF414">
        <v>0</v>
      </c>
      <c r="AG414">
        <v>0</v>
      </c>
      <c r="AH414">
        <v>27</v>
      </c>
      <c r="AI414">
        <v>0</v>
      </c>
      <c r="AJ414">
        <v>48</v>
      </c>
    </row>
    <row r="415" spans="1:36" x14ac:dyDescent="0.2">
      <c r="A415" t="str">
        <f>+VLOOKUP(B415,studies!$A$2:$C$102,3)</f>
        <v>Ceronsky et al. (2011)</v>
      </c>
      <c r="B415">
        <v>65</v>
      </c>
      <c r="C415">
        <v>2011</v>
      </c>
      <c r="D415">
        <v>0</v>
      </c>
      <c r="E415">
        <v>2010</v>
      </c>
      <c r="F415">
        <v>2010</v>
      </c>
      <c r="G415">
        <v>1.3528138528138528E-2</v>
      </c>
      <c r="H415">
        <v>427.76157278290884</v>
      </c>
      <c r="I415">
        <v>0</v>
      </c>
      <c r="J415">
        <v>1</v>
      </c>
      <c r="K415">
        <v>0</v>
      </c>
      <c r="L415" t="s">
        <v>238</v>
      </c>
      <c r="M415" t="s">
        <v>238</v>
      </c>
      <c r="N415" t="s">
        <v>238</v>
      </c>
      <c r="O415">
        <v>0</v>
      </c>
      <c r="P415">
        <v>1</v>
      </c>
      <c r="Q415">
        <v>1</v>
      </c>
      <c r="R415">
        <v>1</v>
      </c>
      <c r="S415">
        <v>1</v>
      </c>
      <c r="T415">
        <v>0</v>
      </c>
      <c r="U415">
        <v>0</v>
      </c>
      <c r="W415">
        <v>0</v>
      </c>
      <c r="AA415">
        <v>0</v>
      </c>
      <c r="AC415">
        <v>0</v>
      </c>
      <c r="AD415">
        <v>0</v>
      </c>
      <c r="AE415">
        <v>1</v>
      </c>
      <c r="AF415">
        <v>0</v>
      </c>
      <c r="AG415">
        <v>0</v>
      </c>
      <c r="AH415">
        <v>27</v>
      </c>
      <c r="AI415">
        <v>0</v>
      </c>
      <c r="AJ415">
        <v>48</v>
      </c>
    </row>
    <row r="416" spans="1:36" x14ac:dyDescent="0.2">
      <c r="A416" t="str">
        <f>+VLOOKUP(B416,studies!$A$2:$C$102,3)</f>
        <v>Ceronsky et al. (2011)</v>
      </c>
      <c r="B416">
        <v>65</v>
      </c>
      <c r="C416">
        <v>2011</v>
      </c>
      <c r="D416">
        <v>0</v>
      </c>
      <c r="E416">
        <v>2010</v>
      </c>
      <c r="F416">
        <v>2010</v>
      </c>
      <c r="G416">
        <v>1.3528138528138528E-3</v>
      </c>
      <c r="H416">
        <v>493.03309342553251</v>
      </c>
      <c r="I416">
        <v>0</v>
      </c>
      <c r="J416">
        <v>1</v>
      </c>
      <c r="K416">
        <v>0</v>
      </c>
      <c r="L416" t="s">
        <v>238</v>
      </c>
      <c r="M416" t="s">
        <v>238</v>
      </c>
      <c r="N416" t="s">
        <v>238</v>
      </c>
      <c r="O416">
        <v>0</v>
      </c>
      <c r="P416">
        <v>1</v>
      </c>
      <c r="Q416">
        <v>1</v>
      </c>
      <c r="R416">
        <v>1</v>
      </c>
      <c r="S416">
        <v>1</v>
      </c>
      <c r="T416">
        <v>0</v>
      </c>
      <c r="U416">
        <v>0</v>
      </c>
      <c r="W416">
        <v>0</v>
      </c>
      <c r="AA416">
        <v>0</v>
      </c>
      <c r="AC416">
        <v>0</v>
      </c>
      <c r="AD416">
        <v>0</v>
      </c>
      <c r="AE416">
        <v>1</v>
      </c>
      <c r="AF416">
        <v>0</v>
      </c>
      <c r="AG416">
        <v>0</v>
      </c>
      <c r="AH416">
        <v>27</v>
      </c>
      <c r="AI416">
        <v>0</v>
      </c>
      <c r="AJ416">
        <v>48</v>
      </c>
    </row>
    <row r="417" spans="1:36" x14ac:dyDescent="0.2">
      <c r="A417" t="str">
        <f>+VLOOKUP(B417,studies!$A$2:$C$102,3)</f>
        <v>Ceronsky et al. (2011)</v>
      </c>
      <c r="B417">
        <v>65</v>
      </c>
      <c r="C417">
        <v>2011</v>
      </c>
      <c r="D417">
        <v>0</v>
      </c>
      <c r="E417">
        <v>2010</v>
      </c>
      <c r="F417">
        <v>2010</v>
      </c>
      <c r="G417">
        <v>1.3528138528138528E-4</v>
      </c>
      <c r="H417">
        <v>679.52315240445739</v>
      </c>
      <c r="I417">
        <v>0</v>
      </c>
      <c r="J417">
        <v>1</v>
      </c>
      <c r="K417">
        <v>0</v>
      </c>
      <c r="L417" t="s">
        <v>238</v>
      </c>
      <c r="M417" t="s">
        <v>238</v>
      </c>
      <c r="N417" t="s">
        <v>238</v>
      </c>
      <c r="O417">
        <v>0</v>
      </c>
      <c r="P417">
        <v>1</v>
      </c>
      <c r="Q417">
        <v>1</v>
      </c>
      <c r="R417">
        <v>1</v>
      </c>
      <c r="S417">
        <v>1</v>
      </c>
      <c r="T417">
        <v>0</v>
      </c>
      <c r="U417">
        <v>0</v>
      </c>
      <c r="W417">
        <v>0</v>
      </c>
      <c r="AA417">
        <v>0</v>
      </c>
      <c r="AC417">
        <v>0</v>
      </c>
      <c r="AD417">
        <v>0</v>
      </c>
      <c r="AE417">
        <v>1</v>
      </c>
      <c r="AF417">
        <v>0</v>
      </c>
      <c r="AG417">
        <v>0</v>
      </c>
      <c r="AH417">
        <v>27</v>
      </c>
      <c r="AI417">
        <v>0</v>
      </c>
      <c r="AJ417">
        <v>48</v>
      </c>
    </row>
    <row r="418" spans="1:36" x14ac:dyDescent="0.2">
      <c r="A418" t="str">
        <f>+VLOOKUP(B418,studies!$A$2:$C$102,3)</f>
        <v>Ceronsky et al. (2011)</v>
      </c>
      <c r="B418">
        <v>65</v>
      </c>
      <c r="C418">
        <v>2011</v>
      </c>
      <c r="D418">
        <v>0</v>
      </c>
      <c r="E418">
        <v>2010</v>
      </c>
      <c r="F418">
        <v>2010</v>
      </c>
      <c r="G418">
        <v>1.3528138528138528E-2</v>
      </c>
      <c r="H418">
        <v>841.53639114239832</v>
      </c>
      <c r="I418">
        <v>0</v>
      </c>
      <c r="J418">
        <v>1</v>
      </c>
      <c r="K418">
        <v>0</v>
      </c>
      <c r="L418" t="s">
        <v>238</v>
      </c>
      <c r="M418" t="s">
        <v>238</v>
      </c>
      <c r="N418" t="s">
        <v>238</v>
      </c>
      <c r="O418">
        <v>0</v>
      </c>
      <c r="P418">
        <v>1</v>
      </c>
      <c r="Q418">
        <v>1</v>
      </c>
      <c r="R418">
        <v>1</v>
      </c>
      <c r="S418">
        <v>1</v>
      </c>
      <c r="T418">
        <v>0</v>
      </c>
      <c r="U418">
        <v>0</v>
      </c>
      <c r="W418">
        <v>0</v>
      </c>
      <c r="AA418">
        <v>0</v>
      </c>
      <c r="AC418">
        <v>0</v>
      </c>
      <c r="AD418">
        <v>0</v>
      </c>
      <c r="AE418">
        <v>1</v>
      </c>
      <c r="AF418">
        <v>0</v>
      </c>
      <c r="AG418">
        <v>0</v>
      </c>
      <c r="AH418">
        <v>27</v>
      </c>
      <c r="AI418">
        <v>0</v>
      </c>
      <c r="AJ418">
        <v>48</v>
      </c>
    </row>
    <row r="419" spans="1:36" x14ac:dyDescent="0.2">
      <c r="A419" t="str">
        <f>+VLOOKUP(B419,studies!$A$2:$C$102,3)</f>
        <v>Ceronsky et al. (2011)</v>
      </c>
      <c r="B419">
        <v>65</v>
      </c>
      <c r="C419">
        <v>2011</v>
      </c>
      <c r="D419">
        <v>0</v>
      </c>
      <c r="E419">
        <v>2010</v>
      </c>
      <c r="F419">
        <v>2010</v>
      </c>
      <c r="G419">
        <v>1.3528138528138528E-3</v>
      </c>
      <c r="H419">
        <v>1662.0926506496676</v>
      </c>
      <c r="I419">
        <v>0</v>
      </c>
      <c r="J419">
        <v>1</v>
      </c>
      <c r="K419">
        <v>0</v>
      </c>
      <c r="L419" t="s">
        <v>238</v>
      </c>
      <c r="M419" t="s">
        <v>238</v>
      </c>
      <c r="N419" t="s">
        <v>238</v>
      </c>
      <c r="O419">
        <v>0</v>
      </c>
      <c r="P419">
        <v>1</v>
      </c>
      <c r="Q419">
        <v>1</v>
      </c>
      <c r="R419">
        <v>1</v>
      </c>
      <c r="S419">
        <v>1</v>
      </c>
      <c r="T419">
        <v>0</v>
      </c>
      <c r="U419">
        <v>0</v>
      </c>
      <c r="W419">
        <v>0</v>
      </c>
      <c r="AA419">
        <v>0</v>
      </c>
      <c r="AC419">
        <v>0</v>
      </c>
      <c r="AD419">
        <v>0</v>
      </c>
      <c r="AE419">
        <v>1</v>
      </c>
      <c r="AF419">
        <v>0</v>
      </c>
      <c r="AG419">
        <v>0</v>
      </c>
      <c r="AH419">
        <v>27</v>
      </c>
      <c r="AI419">
        <v>0</v>
      </c>
      <c r="AJ419">
        <v>48</v>
      </c>
    </row>
    <row r="420" spans="1:36" x14ac:dyDescent="0.2">
      <c r="A420" t="str">
        <f>+VLOOKUP(B420,studies!$A$2:$C$102,3)</f>
        <v>Ceronsky et al. (2011)</v>
      </c>
      <c r="B420">
        <v>65</v>
      </c>
      <c r="C420">
        <v>2011</v>
      </c>
      <c r="D420">
        <v>0</v>
      </c>
      <c r="E420">
        <v>2010</v>
      </c>
      <c r="F420">
        <v>2010</v>
      </c>
      <c r="G420">
        <v>1.3528138528138528E-4</v>
      </c>
      <c r="H420">
        <v>1946.4899905925279</v>
      </c>
      <c r="I420">
        <v>0</v>
      </c>
      <c r="J420">
        <v>1</v>
      </c>
      <c r="K420">
        <v>0</v>
      </c>
      <c r="L420" t="s">
        <v>238</v>
      </c>
      <c r="M420" t="s">
        <v>238</v>
      </c>
      <c r="N420" t="s">
        <v>238</v>
      </c>
      <c r="O420">
        <v>0</v>
      </c>
      <c r="P420">
        <v>1</v>
      </c>
      <c r="Q420">
        <v>1</v>
      </c>
      <c r="R420">
        <v>1</v>
      </c>
      <c r="S420">
        <v>1</v>
      </c>
      <c r="T420">
        <v>0</v>
      </c>
      <c r="U420">
        <v>0</v>
      </c>
      <c r="W420">
        <v>0</v>
      </c>
      <c r="AA420">
        <v>0</v>
      </c>
      <c r="AC420">
        <v>0</v>
      </c>
      <c r="AD420">
        <v>0</v>
      </c>
      <c r="AE420">
        <v>1</v>
      </c>
      <c r="AF420">
        <v>0</v>
      </c>
      <c r="AG420">
        <v>0</v>
      </c>
      <c r="AH420">
        <v>27</v>
      </c>
      <c r="AI420">
        <v>0</v>
      </c>
      <c r="AJ420">
        <v>48</v>
      </c>
    </row>
    <row r="421" spans="1:36" x14ac:dyDescent="0.2">
      <c r="A421" t="str">
        <f>+VLOOKUP(B421,studies!$A$2:$C$102,3)</f>
        <v>Ceronsky et al. (2011)</v>
      </c>
      <c r="B421">
        <v>65</v>
      </c>
      <c r="C421">
        <v>2011</v>
      </c>
      <c r="D421">
        <v>0</v>
      </c>
      <c r="E421">
        <v>2010</v>
      </c>
      <c r="F421">
        <v>2010</v>
      </c>
      <c r="G421">
        <v>0.13528138528138528</v>
      </c>
      <c r="H421">
        <v>125.88078981077426</v>
      </c>
      <c r="I421">
        <v>1</v>
      </c>
      <c r="J421">
        <v>0</v>
      </c>
      <c r="K421">
        <v>0</v>
      </c>
      <c r="L421" t="s">
        <v>238</v>
      </c>
      <c r="M421" t="s">
        <v>238</v>
      </c>
      <c r="N421" t="s">
        <v>238</v>
      </c>
      <c r="O421">
        <v>0</v>
      </c>
      <c r="P421">
        <v>1</v>
      </c>
      <c r="Q421">
        <v>1</v>
      </c>
      <c r="R421">
        <v>1</v>
      </c>
      <c r="S421">
        <v>1</v>
      </c>
      <c r="T421">
        <v>0</v>
      </c>
      <c r="U421">
        <v>0</v>
      </c>
      <c r="W421">
        <v>1</v>
      </c>
      <c r="AA421">
        <v>0</v>
      </c>
      <c r="AC421">
        <v>0</v>
      </c>
      <c r="AD421">
        <v>0</v>
      </c>
      <c r="AE421">
        <v>1</v>
      </c>
      <c r="AF421">
        <v>0</v>
      </c>
      <c r="AG421">
        <v>0</v>
      </c>
      <c r="AH421">
        <v>27</v>
      </c>
      <c r="AI421">
        <v>0</v>
      </c>
      <c r="AJ421">
        <v>48</v>
      </c>
    </row>
    <row r="422" spans="1:36" x14ac:dyDescent="0.2">
      <c r="A422" t="str">
        <f>+VLOOKUP(B422,studies!$A$2:$C$102,3)</f>
        <v>Ceronsky et al. (2011)</v>
      </c>
      <c r="B422">
        <v>65</v>
      </c>
      <c r="C422">
        <v>2011</v>
      </c>
      <c r="D422">
        <v>0</v>
      </c>
      <c r="E422">
        <v>2010</v>
      </c>
      <c r="F422">
        <v>2010</v>
      </c>
      <c r="G422">
        <v>1.3528138528138528E-3</v>
      </c>
      <c r="H422">
        <v>122.38410120491942</v>
      </c>
      <c r="I422">
        <v>1</v>
      </c>
      <c r="J422">
        <v>0</v>
      </c>
      <c r="K422">
        <v>0</v>
      </c>
      <c r="L422" t="s">
        <v>238</v>
      </c>
      <c r="M422" t="s">
        <v>238</v>
      </c>
      <c r="N422" t="s">
        <v>238</v>
      </c>
      <c r="O422">
        <v>0</v>
      </c>
      <c r="P422">
        <v>1</v>
      </c>
      <c r="Q422">
        <v>1</v>
      </c>
      <c r="R422">
        <v>1</v>
      </c>
      <c r="S422">
        <v>1</v>
      </c>
      <c r="T422">
        <v>0</v>
      </c>
      <c r="U422">
        <v>0</v>
      </c>
      <c r="W422">
        <v>1</v>
      </c>
      <c r="AA422">
        <v>0</v>
      </c>
      <c r="AC422">
        <v>0</v>
      </c>
      <c r="AD422">
        <v>0</v>
      </c>
      <c r="AE422">
        <v>1</v>
      </c>
      <c r="AF422">
        <v>0</v>
      </c>
      <c r="AG422">
        <v>0</v>
      </c>
      <c r="AH422">
        <v>27</v>
      </c>
      <c r="AI422">
        <v>0</v>
      </c>
      <c r="AJ422">
        <v>48</v>
      </c>
    </row>
    <row r="423" spans="1:36" x14ac:dyDescent="0.2">
      <c r="A423" t="str">
        <f>+VLOOKUP(B423,studies!$A$2:$C$102,3)</f>
        <v>Ceronsky et al. (2011)</v>
      </c>
      <c r="B423">
        <v>65</v>
      </c>
      <c r="C423">
        <v>2011</v>
      </c>
      <c r="D423">
        <v>0</v>
      </c>
      <c r="E423">
        <v>2010</v>
      </c>
      <c r="F423">
        <v>2010</v>
      </c>
      <c r="G423">
        <v>1.3528138528138528E-2</v>
      </c>
      <c r="H423">
        <v>130.54304128524737</v>
      </c>
      <c r="I423">
        <v>1</v>
      </c>
      <c r="J423">
        <v>0</v>
      </c>
      <c r="K423">
        <v>0</v>
      </c>
      <c r="L423" t="s">
        <v>238</v>
      </c>
      <c r="M423" t="s">
        <v>238</v>
      </c>
      <c r="N423" t="s">
        <v>238</v>
      </c>
      <c r="O423">
        <v>0</v>
      </c>
      <c r="P423">
        <v>1</v>
      </c>
      <c r="Q423">
        <v>1</v>
      </c>
      <c r="R423">
        <v>1</v>
      </c>
      <c r="S423">
        <v>1</v>
      </c>
      <c r="T423">
        <v>0</v>
      </c>
      <c r="U423">
        <v>0</v>
      </c>
      <c r="W423">
        <v>1</v>
      </c>
      <c r="AA423">
        <v>0</v>
      </c>
      <c r="AC423">
        <v>0</v>
      </c>
      <c r="AD423">
        <v>0</v>
      </c>
      <c r="AE423">
        <v>1</v>
      </c>
      <c r="AF423">
        <v>0</v>
      </c>
      <c r="AG423">
        <v>0</v>
      </c>
      <c r="AH423">
        <v>27</v>
      </c>
      <c r="AI423">
        <v>0</v>
      </c>
      <c r="AJ423">
        <v>48</v>
      </c>
    </row>
    <row r="424" spans="1:36" x14ac:dyDescent="0.2">
      <c r="A424" t="str">
        <f>+VLOOKUP(B424,studies!$A$2:$C$102,3)</f>
        <v>Ceronsky et al. (2011)</v>
      </c>
      <c r="B424">
        <v>65</v>
      </c>
      <c r="C424">
        <v>2011</v>
      </c>
      <c r="D424">
        <v>0</v>
      </c>
      <c r="E424">
        <v>2010</v>
      </c>
      <c r="F424">
        <v>2010</v>
      </c>
      <c r="G424">
        <v>1.3528138528138528E-3</v>
      </c>
      <c r="H424">
        <v>157.35098726346783</v>
      </c>
      <c r="I424">
        <v>1</v>
      </c>
      <c r="J424">
        <v>0</v>
      </c>
      <c r="K424">
        <v>0</v>
      </c>
      <c r="L424" t="s">
        <v>238</v>
      </c>
      <c r="M424" t="s">
        <v>238</v>
      </c>
      <c r="N424" t="s">
        <v>238</v>
      </c>
      <c r="O424">
        <v>0</v>
      </c>
      <c r="P424">
        <v>1</v>
      </c>
      <c r="Q424">
        <v>1</v>
      </c>
      <c r="R424">
        <v>1</v>
      </c>
      <c r="S424">
        <v>1</v>
      </c>
      <c r="T424">
        <v>0</v>
      </c>
      <c r="U424">
        <v>0</v>
      </c>
      <c r="W424">
        <v>1</v>
      </c>
      <c r="AA424">
        <v>0</v>
      </c>
      <c r="AC424">
        <v>0</v>
      </c>
      <c r="AD424">
        <v>0</v>
      </c>
      <c r="AE424">
        <v>1</v>
      </c>
      <c r="AF424">
        <v>0</v>
      </c>
      <c r="AG424">
        <v>0</v>
      </c>
      <c r="AH424">
        <v>27</v>
      </c>
      <c r="AI424">
        <v>0</v>
      </c>
      <c r="AJ424">
        <v>48</v>
      </c>
    </row>
    <row r="425" spans="1:36" x14ac:dyDescent="0.2">
      <c r="A425" t="str">
        <f>+VLOOKUP(B425,studies!$A$2:$C$102,3)</f>
        <v>Ceronsky et al. (2011)</v>
      </c>
      <c r="B425">
        <v>65</v>
      </c>
      <c r="C425">
        <v>2011</v>
      </c>
      <c r="D425">
        <v>0</v>
      </c>
      <c r="E425">
        <v>2010</v>
      </c>
      <c r="F425">
        <v>2010</v>
      </c>
      <c r="G425">
        <v>1.3528138528138528E-4</v>
      </c>
      <c r="H425">
        <v>217.9602564316184</v>
      </c>
      <c r="I425">
        <v>1</v>
      </c>
      <c r="J425">
        <v>0</v>
      </c>
      <c r="K425">
        <v>0</v>
      </c>
      <c r="L425" t="s">
        <v>238</v>
      </c>
      <c r="M425" t="s">
        <v>238</v>
      </c>
      <c r="N425" t="s">
        <v>238</v>
      </c>
      <c r="O425">
        <v>0</v>
      </c>
      <c r="P425">
        <v>1</v>
      </c>
      <c r="Q425">
        <v>1</v>
      </c>
      <c r="R425">
        <v>1</v>
      </c>
      <c r="S425">
        <v>1</v>
      </c>
      <c r="T425">
        <v>0</v>
      </c>
      <c r="U425">
        <v>0</v>
      </c>
      <c r="W425">
        <v>1</v>
      </c>
      <c r="AA425">
        <v>0</v>
      </c>
      <c r="AC425">
        <v>0</v>
      </c>
      <c r="AD425">
        <v>0</v>
      </c>
      <c r="AE425">
        <v>1</v>
      </c>
      <c r="AF425">
        <v>0</v>
      </c>
      <c r="AG425">
        <v>0</v>
      </c>
      <c r="AH425">
        <v>27</v>
      </c>
      <c r="AI425">
        <v>0</v>
      </c>
      <c r="AJ425">
        <v>48</v>
      </c>
    </row>
    <row r="426" spans="1:36" x14ac:dyDescent="0.2">
      <c r="A426" t="str">
        <f>+VLOOKUP(B426,studies!$A$2:$C$102,3)</f>
        <v>Ceronsky et al. (2011)</v>
      </c>
      <c r="B426">
        <v>65</v>
      </c>
      <c r="C426">
        <v>2011</v>
      </c>
      <c r="D426">
        <v>0</v>
      </c>
      <c r="E426">
        <v>2010</v>
      </c>
      <c r="F426">
        <v>2010</v>
      </c>
      <c r="G426">
        <v>1.3528138528138528E-2</v>
      </c>
      <c r="H426">
        <v>180.66224463583342</v>
      </c>
      <c r="I426">
        <v>1</v>
      </c>
      <c r="J426">
        <v>0</v>
      </c>
      <c r="K426">
        <v>0</v>
      </c>
      <c r="L426" t="s">
        <v>238</v>
      </c>
      <c r="M426" t="s">
        <v>238</v>
      </c>
      <c r="N426" t="s">
        <v>238</v>
      </c>
      <c r="O426">
        <v>0</v>
      </c>
      <c r="P426">
        <v>1</v>
      </c>
      <c r="Q426">
        <v>1</v>
      </c>
      <c r="R426">
        <v>1</v>
      </c>
      <c r="S426">
        <v>1</v>
      </c>
      <c r="T426">
        <v>0</v>
      </c>
      <c r="U426">
        <v>0</v>
      </c>
      <c r="W426">
        <v>1</v>
      </c>
      <c r="AA426">
        <v>0</v>
      </c>
      <c r="AC426">
        <v>0</v>
      </c>
      <c r="AD426">
        <v>0</v>
      </c>
      <c r="AE426">
        <v>1</v>
      </c>
      <c r="AF426">
        <v>0</v>
      </c>
      <c r="AG426">
        <v>0</v>
      </c>
      <c r="AH426">
        <v>27</v>
      </c>
      <c r="AI426">
        <v>0</v>
      </c>
      <c r="AJ426">
        <v>48</v>
      </c>
    </row>
    <row r="427" spans="1:36" x14ac:dyDescent="0.2">
      <c r="A427" t="str">
        <f>+VLOOKUP(B427,studies!$A$2:$C$102,3)</f>
        <v>Ceronsky et al. (2011)</v>
      </c>
      <c r="B427">
        <v>65</v>
      </c>
      <c r="C427">
        <v>2011</v>
      </c>
      <c r="D427">
        <v>0</v>
      </c>
      <c r="E427">
        <v>2010</v>
      </c>
      <c r="F427">
        <v>2010</v>
      </c>
      <c r="G427">
        <v>1.3528138528138528E-3</v>
      </c>
      <c r="H427">
        <v>300.71522010351629</v>
      </c>
      <c r="I427">
        <v>1</v>
      </c>
      <c r="J427">
        <v>0</v>
      </c>
      <c r="K427">
        <v>0</v>
      </c>
      <c r="L427" t="s">
        <v>238</v>
      </c>
      <c r="M427" t="s">
        <v>238</v>
      </c>
      <c r="N427" t="s">
        <v>238</v>
      </c>
      <c r="O427">
        <v>0</v>
      </c>
      <c r="P427">
        <v>1</v>
      </c>
      <c r="Q427">
        <v>1</v>
      </c>
      <c r="R427">
        <v>1</v>
      </c>
      <c r="S427">
        <v>1</v>
      </c>
      <c r="T427">
        <v>0</v>
      </c>
      <c r="U427">
        <v>0</v>
      </c>
      <c r="W427">
        <v>1</v>
      </c>
      <c r="AA427">
        <v>0</v>
      </c>
      <c r="AC427">
        <v>0</v>
      </c>
      <c r="AD427">
        <v>0</v>
      </c>
      <c r="AE427">
        <v>1</v>
      </c>
      <c r="AF427">
        <v>0</v>
      </c>
      <c r="AG427">
        <v>0</v>
      </c>
      <c r="AH427">
        <v>27</v>
      </c>
      <c r="AI427">
        <v>0</v>
      </c>
      <c r="AJ427">
        <v>48</v>
      </c>
    </row>
    <row r="428" spans="1:36" x14ac:dyDescent="0.2">
      <c r="A428" t="str">
        <f>+VLOOKUP(B428,studies!$A$2:$C$102,3)</f>
        <v>Ceronsky et al. (2011)</v>
      </c>
      <c r="B428">
        <v>65</v>
      </c>
      <c r="C428">
        <v>2011</v>
      </c>
      <c r="D428">
        <v>0</v>
      </c>
      <c r="E428">
        <v>2010</v>
      </c>
      <c r="F428">
        <v>2010</v>
      </c>
      <c r="G428">
        <v>1.3528138528138528E-4</v>
      </c>
      <c r="H428">
        <v>338.01323189930127</v>
      </c>
      <c r="I428">
        <v>1</v>
      </c>
      <c r="J428">
        <v>0</v>
      </c>
      <c r="K428">
        <v>0</v>
      </c>
      <c r="L428" t="s">
        <v>238</v>
      </c>
      <c r="M428" t="s">
        <v>238</v>
      </c>
      <c r="N428" t="s">
        <v>238</v>
      </c>
      <c r="O428">
        <v>0</v>
      </c>
      <c r="P428">
        <v>1</v>
      </c>
      <c r="Q428">
        <v>1</v>
      </c>
      <c r="R428">
        <v>1</v>
      </c>
      <c r="S428">
        <v>1</v>
      </c>
      <c r="T428">
        <v>0</v>
      </c>
      <c r="U428">
        <v>0</v>
      </c>
      <c r="W428">
        <v>1</v>
      </c>
      <c r="AA428">
        <v>0</v>
      </c>
      <c r="AC428">
        <v>0</v>
      </c>
      <c r="AD428">
        <v>0</v>
      </c>
      <c r="AE428">
        <v>1</v>
      </c>
      <c r="AF428">
        <v>0</v>
      </c>
      <c r="AG428">
        <v>0</v>
      </c>
      <c r="AH428">
        <v>27</v>
      </c>
      <c r="AI428">
        <v>0</v>
      </c>
      <c r="AJ428">
        <v>48</v>
      </c>
    </row>
    <row r="429" spans="1:36" x14ac:dyDescent="0.2">
      <c r="A429" t="str">
        <f>+VLOOKUP(B429,studies!$A$2:$C$102,3)</f>
        <v>Ceronsky et al. (2011)</v>
      </c>
      <c r="B429">
        <v>65</v>
      </c>
      <c r="C429">
        <v>2011</v>
      </c>
      <c r="D429">
        <v>0</v>
      </c>
      <c r="E429">
        <v>2010</v>
      </c>
      <c r="F429">
        <v>2010</v>
      </c>
      <c r="G429">
        <v>0.13528138528138528</v>
      </c>
      <c r="H429">
        <v>99.072843832553815</v>
      </c>
      <c r="I429">
        <v>0</v>
      </c>
      <c r="J429">
        <v>1</v>
      </c>
      <c r="K429">
        <v>0</v>
      </c>
      <c r="L429" t="s">
        <v>238</v>
      </c>
      <c r="M429" t="s">
        <v>238</v>
      </c>
      <c r="N429" t="s">
        <v>238</v>
      </c>
      <c r="O429">
        <v>0</v>
      </c>
      <c r="P429">
        <v>1</v>
      </c>
      <c r="Q429">
        <v>1</v>
      </c>
      <c r="R429">
        <v>1</v>
      </c>
      <c r="S429">
        <v>1</v>
      </c>
      <c r="T429">
        <v>0</v>
      </c>
      <c r="U429">
        <v>0</v>
      </c>
      <c r="W429">
        <v>1</v>
      </c>
      <c r="AA429">
        <v>0</v>
      </c>
      <c r="AC429">
        <v>0</v>
      </c>
      <c r="AD429">
        <v>0</v>
      </c>
      <c r="AE429">
        <v>1</v>
      </c>
      <c r="AF429">
        <v>0</v>
      </c>
      <c r="AG429">
        <v>0</v>
      </c>
      <c r="AH429">
        <v>27</v>
      </c>
      <c r="AI429">
        <v>0</v>
      </c>
      <c r="AJ429">
        <v>48</v>
      </c>
    </row>
    <row r="430" spans="1:36" x14ac:dyDescent="0.2">
      <c r="A430" t="str">
        <f>+VLOOKUP(B430,studies!$A$2:$C$102,3)</f>
        <v>Ceronsky et al. (2011)</v>
      </c>
      <c r="B430">
        <v>65</v>
      </c>
      <c r="C430">
        <v>2011</v>
      </c>
      <c r="D430">
        <v>0</v>
      </c>
      <c r="E430">
        <v>2010</v>
      </c>
      <c r="F430">
        <v>2010</v>
      </c>
      <c r="G430">
        <v>1.3528138528138528E-3</v>
      </c>
      <c r="H430">
        <v>94.410592358080692</v>
      </c>
      <c r="I430">
        <v>0</v>
      </c>
      <c r="J430">
        <v>1</v>
      </c>
      <c r="K430">
        <v>0</v>
      </c>
      <c r="L430" t="s">
        <v>238</v>
      </c>
      <c r="M430" t="s">
        <v>238</v>
      </c>
      <c r="N430" t="s">
        <v>238</v>
      </c>
      <c r="O430">
        <v>0</v>
      </c>
      <c r="P430">
        <v>1</v>
      </c>
      <c r="Q430">
        <v>1</v>
      </c>
      <c r="R430">
        <v>1</v>
      </c>
      <c r="S430">
        <v>1</v>
      </c>
      <c r="T430">
        <v>0</v>
      </c>
      <c r="U430">
        <v>0</v>
      </c>
      <c r="W430">
        <v>1</v>
      </c>
      <c r="AA430">
        <v>0</v>
      </c>
      <c r="AC430">
        <v>0</v>
      </c>
      <c r="AD430">
        <v>0</v>
      </c>
      <c r="AE430">
        <v>1</v>
      </c>
      <c r="AF430">
        <v>0</v>
      </c>
      <c r="AG430">
        <v>0</v>
      </c>
      <c r="AH430">
        <v>27</v>
      </c>
      <c r="AI430">
        <v>0</v>
      </c>
      <c r="AJ430">
        <v>48</v>
      </c>
    </row>
    <row r="431" spans="1:36" x14ac:dyDescent="0.2">
      <c r="A431" t="str">
        <f>+VLOOKUP(B431,studies!$A$2:$C$102,3)</f>
        <v>Ceronsky et al. (2011)</v>
      </c>
      <c r="B431">
        <v>65</v>
      </c>
      <c r="C431">
        <v>2011</v>
      </c>
      <c r="D431">
        <v>0</v>
      </c>
      <c r="E431">
        <v>2010</v>
      </c>
      <c r="F431">
        <v>2010</v>
      </c>
      <c r="G431">
        <v>1.3528138528138528E-2</v>
      </c>
      <c r="H431">
        <v>101.40396956979038</v>
      </c>
      <c r="I431">
        <v>0</v>
      </c>
      <c r="J431">
        <v>1</v>
      </c>
      <c r="K431">
        <v>0</v>
      </c>
      <c r="L431" t="s">
        <v>238</v>
      </c>
      <c r="M431" t="s">
        <v>238</v>
      </c>
      <c r="N431" t="s">
        <v>238</v>
      </c>
      <c r="O431">
        <v>0</v>
      </c>
      <c r="P431">
        <v>1</v>
      </c>
      <c r="Q431">
        <v>1</v>
      </c>
      <c r="R431">
        <v>1</v>
      </c>
      <c r="S431">
        <v>1</v>
      </c>
      <c r="T431">
        <v>0</v>
      </c>
      <c r="U431">
        <v>0</v>
      </c>
      <c r="W431">
        <v>1</v>
      </c>
      <c r="AA431">
        <v>0</v>
      </c>
      <c r="AC431">
        <v>0</v>
      </c>
      <c r="AD431">
        <v>0</v>
      </c>
      <c r="AE431">
        <v>1</v>
      </c>
      <c r="AF431">
        <v>0</v>
      </c>
      <c r="AG431">
        <v>0</v>
      </c>
      <c r="AH431">
        <v>27</v>
      </c>
      <c r="AI431">
        <v>0</v>
      </c>
      <c r="AJ431">
        <v>48</v>
      </c>
    </row>
    <row r="432" spans="1:36" x14ac:dyDescent="0.2">
      <c r="A432" t="str">
        <f>+VLOOKUP(B432,studies!$A$2:$C$102,3)</f>
        <v>Ceronsky et al. (2011)</v>
      </c>
      <c r="B432">
        <v>65</v>
      </c>
      <c r="C432">
        <v>2011</v>
      </c>
      <c r="D432">
        <v>0</v>
      </c>
      <c r="E432">
        <v>2010</v>
      </c>
      <c r="F432">
        <v>2010</v>
      </c>
      <c r="G432">
        <v>1.3528138528138528E-3</v>
      </c>
      <c r="H432">
        <v>115.39072399320973</v>
      </c>
      <c r="I432">
        <v>0</v>
      </c>
      <c r="J432">
        <v>1</v>
      </c>
      <c r="K432">
        <v>0</v>
      </c>
      <c r="L432" t="s">
        <v>238</v>
      </c>
      <c r="M432" t="s">
        <v>238</v>
      </c>
      <c r="N432" t="s">
        <v>238</v>
      </c>
      <c r="O432">
        <v>0</v>
      </c>
      <c r="P432">
        <v>1</v>
      </c>
      <c r="Q432">
        <v>1</v>
      </c>
      <c r="R432">
        <v>1</v>
      </c>
      <c r="S432">
        <v>1</v>
      </c>
      <c r="T432">
        <v>0</v>
      </c>
      <c r="U432">
        <v>0</v>
      </c>
      <c r="W432">
        <v>1</v>
      </c>
      <c r="AA432">
        <v>0</v>
      </c>
      <c r="AC432">
        <v>0</v>
      </c>
      <c r="AD432">
        <v>0</v>
      </c>
      <c r="AE432">
        <v>1</v>
      </c>
      <c r="AF432">
        <v>0</v>
      </c>
      <c r="AG432">
        <v>0</v>
      </c>
      <c r="AH432">
        <v>27</v>
      </c>
      <c r="AI432">
        <v>0</v>
      </c>
      <c r="AJ432">
        <v>48</v>
      </c>
    </row>
    <row r="433" spans="1:36" x14ac:dyDescent="0.2">
      <c r="A433" t="str">
        <f>+VLOOKUP(B433,studies!$A$2:$C$102,3)</f>
        <v>Ceronsky et al. (2011)</v>
      </c>
      <c r="B433">
        <v>65</v>
      </c>
      <c r="C433">
        <v>2011</v>
      </c>
      <c r="D433">
        <v>0</v>
      </c>
      <c r="E433">
        <v>2010</v>
      </c>
      <c r="F433">
        <v>2010</v>
      </c>
      <c r="G433">
        <v>1.3528138528138528E-4</v>
      </c>
      <c r="H433">
        <v>152.68873578899471</v>
      </c>
      <c r="I433">
        <v>0</v>
      </c>
      <c r="J433">
        <v>1</v>
      </c>
      <c r="K433">
        <v>0</v>
      </c>
      <c r="L433" t="s">
        <v>238</v>
      </c>
      <c r="M433" t="s">
        <v>238</v>
      </c>
      <c r="N433" t="s">
        <v>238</v>
      </c>
      <c r="O433">
        <v>0</v>
      </c>
      <c r="P433">
        <v>1</v>
      </c>
      <c r="Q433">
        <v>1</v>
      </c>
      <c r="R433">
        <v>1</v>
      </c>
      <c r="S433">
        <v>1</v>
      </c>
      <c r="T433">
        <v>0</v>
      </c>
      <c r="U433">
        <v>0</v>
      </c>
      <c r="W433">
        <v>1</v>
      </c>
      <c r="AA433">
        <v>0</v>
      </c>
      <c r="AC433">
        <v>0</v>
      </c>
      <c r="AD433">
        <v>0</v>
      </c>
      <c r="AE433">
        <v>1</v>
      </c>
      <c r="AF433">
        <v>0</v>
      </c>
      <c r="AG433">
        <v>0</v>
      </c>
      <c r="AH433">
        <v>27</v>
      </c>
      <c r="AI433">
        <v>0</v>
      </c>
      <c r="AJ433">
        <v>48</v>
      </c>
    </row>
    <row r="434" spans="1:36" x14ac:dyDescent="0.2">
      <c r="A434" t="str">
        <f>+VLOOKUP(B434,studies!$A$2:$C$102,3)</f>
        <v>Ceronsky et al. (2011)</v>
      </c>
      <c r="B434">
        <v>65</v>
      </c>
      <c r="C434">
        <v>2011</v>
      </c>
      <c r="D434">
        <v>0</v>
      </c>
      <c r="E434">
        <v>2010</v>
      </c>
      <c r="F434">
        <v>2010</v>
      </c>
      <c r="G434">
        <v>1.3528138528138528E-2</v>
      </c>
      <c r="H434">
        <v>169.00661594965064</v>
      </c>
      <c r="I434">
        <v>0</v>
      </c>
      <c r="J434">
        <v>1</v>
      </c>
      <c r="K434">
        <v>0</v>
      </c>
      <c r="L434" t="s">
        <v>238</v>
      </c>
      <c r="M434" t="s">
        <v>238</v>
      </c>
      <c r="N434" t="s">
        <v>238</v>
      </c>
      <c r="O434">
        <v>0</v>
      </c>
      <c r="P434">
        <v>1</v>
      </c>
      <c r="Q434">
        <v>1</v>
      </c>
      <c r="R434">
        <v>1</v>
      </c>
      <c r="S434">
        <v>1</v>
      </c>
      <c r="T434">
        <v>0</v>
      </c>
      <c r="U434">
        <v>0</v>
      </c>
      <c r="W434">
        <v>1</v>
      </c>
      <c r="AA434">
        <v>0</v>
      </c>
      <c r="AC434">
        <v>0</v>
      </c>
      <c r="AD434">
        <v>0</v>
      </c>
      <c r="AE434">
        <v>1</v>
      </c>
      <c r="AF434">
        <v>0</v>
      </c>
      <c r="AG434">
        <v>0</v>
      </c>
      <c r="AH434">
        <v>27</v>
      </c>
      <c r="AI434">
        <v>0</v>
      </c>
      <c r="AJ434">
        <v>48</v>
      </c>
    </row>
    <row r="435" spans="1:36" x14ac:dyDescent="0.2">
      <c r="A435" t="str">
        <f>+VLOOKUP(B435,studies!$A$2:$C$102,3)</f>
        <v>Ceronsky et al. (2011)</v>
      </c>
      <c r="B435">
        <v>65</v>
      </c>
      <c r="C435">
        <v>2011</v>
      </c>
      <c r="D435">
        <v>0</v>
      </c>
      <c r="E435">
        <v>2010</v>
      </c>
      <c r="F435">
        <v>2010</v>
      </c>
      <c r="G435">
        <v>1.3528138528138528E-3</v>
      </c>
      <c r="H435">
        <v>275.07283699391411</v>
      </c>
      <c r="I435">
        <v>0</v>
      </c>
      <c r="J435">
        <v>1</v>
      </c>
      <c r="K435">
        <v>0</v>
      </c>
      <c r="L435" t="s">
        <v>238</v>
      </c>
      <c r="M435" t="s">
        <v>238</v>
      </c>
      <c r="N435" t="s">
        <v>238</v>
      </c>
      <c r="O435">
        <v>0</v>
      </c>
      <c r="P435">
        <v>1</v>
      </c>
      <c r="Q435">
        <v>1</v>
      </c>
      <c r="R435">
        <v>1</v>
      </c>
      <c r="S435">
        <v>1</v>
      </c>
      <c r="T435">
        <v>0</v>
      </c>
      <c r="U435">
        <v>0</v>
      </c>
      <c r="W435">
        <v>1</v>
      </c>
      <c r="AA435">
        <v>0</v>
      </c>
      <c r="AC435">
        <v>0</v>
      </c>
      <c r="AD435">
        <v>0</v>
      </c>
      <c r="AE435">
        <v>1</v>
      </c>
      <c r="AF435">
        <v>0</v>
      </c>
      <c r="AG435">
        <v>0</v>
      </c>
      <c r="AH435">
        <v>27</v>
      </c>
      <c r="AI435">
        <v>0</v>
      </c>
      <c r="AJ435">
        <v>48</v>
      </c>
    </row>
    <row r="436" spans="1:36" x14ac:dyDescent="0.2">
      <c r="A436" t="str">
        <f>+VLOOKUP(B436,studies!$A$2:$C$102,3)</f>
        <v>Ceronsky et al. (2011)</v>
      </c>
      <c r="B436">
        <v>65</v>
      </c>
      <c r="C436">
        <v>2011</v>
      </c>
      <c r="D436">
        <v>0</v>
      </c>
      <c r="E436">
        <v>2010</v>
      </c>
      <c r="F436">
        <v>2010</v>
      </c>
      <c r="G436">
        <v>1.3528138528138528E-4</v>
      </c>
      <c r="H436">
        <v>308.87416018384425</v>
      </c>
      <c r="I436">
        <v>0</v>
      </c>
      <c r="J436">
        <v>1</v>
      </c>
      <c r="K436">
        <v>0</v>
      </c>
      <c r="L436" t="s">
        <v>238</v>
      </c>
      <c r="M436" t="s">
        <v>238</v>
      </c>
      <c r="N436" t="s">
        <v>238</v>
      </c>
      <c r="O436">
        <v>0</v>
      </c>
      <c r="P436">
        <v>1</v>
      </c>
      <c r="Q436">
        <v>1</v>
      </c>
      <c r="R436">
        <v>1</v>
      </c>
      <c r="S436">
        <v>1</v>
      </c>
      <c r="T436">
        <v>0</v>
      </c>
      <c r="U436">
        <v>0</v>
      </c>
      <c r="W436">
        <v>1</v>
      </c>
      <c r="AA436">
        <v>0</v>
      </c>
      <c r="AC436">
        <v>0</v>
      </c>
      <c r="AD436">
        <v>0</v>
      </c>
      <c r="AE436">
        <v>1</v>
      </c>
      <c r="AF436">
        <v>0</v>
      </c>
      <c r="AG436">
        <v>0</v>
      </c>
      <c r="AH436">
        <v>27</v>
      </c>
      <c r="AI436">
        <v>0</v>
      </c>
      <c r="AJ436">
        <v>48</v>
      </c>
    </row>
    <row r="437" spans="1:36" x14ac:dyDescent="0.2">
      <c r="A437" t="str">
        <f>+VLOOKUP(B437,studies!$A$2:$C$102,3)</f>
        <v>Ceronsky et al. (2011)</v>
      </c>
      <c r="B437">
        <v>65</v>
      </c>
      <c r="C437">
        <v>2011</v>
      </c>
      <c r="D437">
        <v>0</v>
      </c>
      <c r="E437">
        <v>2010</v>
      </c>
      <c r="F437">
        <v>2010</v>
      </c>
      <c r="G437">
        <v>0.13528138528138528</v>
      </c>
      <c r="H437">
        <v>9.3245029489462414</v>
      </c>
      <c r="I437">
        <v>1</v>
      </c>
      <c r="J437">
        <v>0</v>
      </c>
      <c r="K437">
        <v>0</v>
      </c>
      <c r="L437" t="s">
        <v>238</v>
      </c>
      <c r="M437" t="s">
        <v>238</v>
      </c>
      <c r="N437" t="s">
        <v>238</v>
      </c>
      <c r="O437">
        <v>0</v>
      </c>
      <c r="P437">
        <v>1</v>
      </c>
      <c r="Q437">
        <v>1</v>
      </c>
      <c r="R437">
        <v>1</v>
      </c>
      <c r="S437">
        <v>1</v>
      </c>
      <c r="T437">
        <v>0</v>
      </c>
      <c r="U437">
        <v>0</v>
      </c>
      <c r="W437">
        <v>3</v>
      </c>
      <c r="AA437">
        <v>0</v>
      </c>
      <c r="AC437">
        <v>0</v>
      </c>
      <c r="AD437">
        <v>0</v>
      </c>
      <c r="AE437">
        <v>1</v>
      </c>
      <c r="AF437">
        <v>0</v>
      </c>
      <c r="AG437">
        <v>0</v>
      </c>
      <c r="AH437">
        <v>27</v>
      </c>
      <c r="AI437">
        <v>0</v>
      </c>
      <c r="AJ437">
        <v>48</v>
      </c>
    </row>
    <row r="438" spans="1:36" x14ac:dyDescent="0.2">
      <c r="A438" t="str">
        <f>+VLOOKUP(B438,studies!$A$2:$C$102,3)</f>
        <v>Ceronsky et al. (2011)</v>
      </c>
      <c r="B438">
        <v>65</v>
      </c>
      <c r="C438">
        <v>2011</v>
      </c>
      <c r="D438">
        <v>0</v>
      </c>
      <c r="E438">
        <v>2010</v>
      </c>
      <c r="F438">
        <v>2010</v>
      </c>
      <c r="G438">
        <v>1.3528138528138528E-3</v>
      </c>
      <c r="H438">
        <v>9.3245029489462414</v>
      </c>
      <c r="I438">
        <v>1</v>
      </c>
      <c r="J438">
        <v>0</v>
      </c>
      <c r="K438">
        <v>0</v>
      </c>
      <c r="L438" t="s">
        <v>238</v>
      </c>
      <c r="M438" t="s">
        <v>238</v>
      </c>
      <c r="N438" t="s">
        <v>238</v>
      </c>
      <c r="O438">
        <v>0</v>
      </c>
      <c r="P438">
        <v>1</v>
      </c>
      <c r="Q438">
        <v>1</v>
      </c>
      <c r="R438">
        <v>1</v>
      </c>
      <c r="S438">
        <v>1</v>
      </c>
      <c r="T438">
        <v>0</v>
      </c>
      <c r="U438">
        <v>0</v>
      </c>
      <c r="W438">
        <v>3</v>
      </c>
      <c r="AA438">
        <v>0</v>
      </c>
      <c r="AC438">
        <v>0</v>
      </c>
      <c r="AD438">
        <v>0</v>
      </c>
      <c r="AE438">
        <v>1</v>
      </c>
      <c r="AF438">
        <v>0</v>
      </c>
      <c r="AG438">
        <v>0</v>
      </c>
      <c r="AH438">
        <v>27</v>
      </c>
      <c r="AI438">
        <v>0</v>
      </c>
      <c r="AJ438">
        <v>48</v>
      </c>
    </row>
    <row r="439" spans="1:36" x14ac:dyDescent="0.2">
      <c r="A439" t="str">
        <f>+VLOOKUP(B439,studies!$A$2:$C$102,3)</f>
        <v>Ceronsky et al. (2011)</v>
      </c>
      <c r="B439">
        <v>65</v>
      </c>
      <c r="C439">
        <v>2011</v>
      </c>
      <c r="D439">
        <v>0</v>
      </c>
      <c r="E439">
        <v>2010</v>
      </c>
      <c r="F439">
        <v>2010</v>
      </c>
      <c r="G439">
        <v>1.3528138528138528E-2</v>
      </c>
      <c r="H439">
        <v>9.3245029489462414</v>
      </c>
      <c r="I439">
        <v>1</v>
      </c>
      <c r="J439">
        <v>0</v>
      </c>
      <c r="K439">
        <v>0</v>
      </c>
      <c r="L439" t="s">
        <v>238</v>
      </c>
      <c r="M439" t="s">
        <v>238</v>
      </c>
      <c r="N439" t="s">
        <v>238</v>
      </c>
      <c r="O439">
        <v>0</v>
      </c>
      <c r="P439">
        <v>1</v>
      </c>
      <c r="Q439">
        <v>1</v>
      </c>
      <c r="R439">
        <v>1</v>
      </c>
      <c r="S439">
        <v>1</v>
      </c>
      <c r="T439">
        <v>0</v>
      </c>
      <c r="U439">
        <v>0</v>
      </c>
      <c r="W439">
        <v>3</v>
      </c>
      <c r="AA439">
        <v>0</v>
      </c>
      <c r="AC439">
        <v>0</v>
      </c>
      <c r="AD439">
        <v>0</v>
      </c>
      <c r="AE439">
        <v>1</v>
      </c>
      <c r="AF439">
        <v>0</v>
      </c>
      <c r="AG439">
        <v>0</v>
      </c>
      <c r="AH439">
        <v>27</v>
      </c>
      <c r="AI439">
        <v>0</v>
      </c>
      <c r="AJ439">
        <v>48</v>
      </c>
    </row>
    <row r="440" spans="1:36" x14ac:dyDescent="0.2">
      <c r="A440" t="str">
        <f>+VLOOKUP(B440,studies!$A$2:$C$102,3)</f>
        <v>Ceronsky et al. (2011)</v>
      </c>
      <c r="B440">
        <v>65</v>
      </c>
      <c r="C440">
        <v>2011</v>
      </c>
      <c r="D440">
        <v>0</v>
      </c>
      <c r="E440">
        <v>2010</v>
      </c>
      <c r="F440">
        <v>2010</v>
      </c>
      <c r="G440">
        <v>1.3528138528138528E-3</v>
      </c>
      <c r="H440">
        <v>12.821191554801082</v>
      </c>
      <c r="I440">
        <v>1</v>
      </c>
      <c r="J440">
        <v>0</v>
      </c>
      <c r="K440">
        <v>0</v>
      </c>
      <c r="L440" t="s">
        <v>238</v>
      </c>
      <c r="M440" t="s">
        <v>238</v>
      </c>
      <c r="N440" t="s">
        <v>238</v>
      </c>
      <c r="O440">
        <v>0</v>
      </c>
      <c r="P440">
        <v>1</v>
      </c>
      <c r="Q440">
        <v>1</v>
      </c>
      <c r="R440">
        <v>1</v>
      </c>
      <c r="S440">
        <v>1</v>
      </c>
      <c r="T440">
        <v>0</v>
      </c>
      <c r="U440">
        <v>0</v>
      </c>
      <c r="W440">
        <v>3</v>
      </c>
      <c r="AA440">
        <v>0</v>
      </c>
      <c r="AC440">
        <v>0</v>
      </c>
      <c r="AD440">
        <v>0</v>
      </c>
      <c r="AE440">
        <v>1</v>
      </c>
      <c r="AF440">
        <v>0</v>
      </c>
      <c r="AG440">
        <v>0</v>
      </c>
      <c r="AH440">
        <v>27</v>
      </c>
      <c r="AI440">
        <v>0</v>
      </c>
      <c r="AJ440">
        <v>48</v>
      </c>
    </row>
    <row r="441" spans="1:36" x14ac:dyDescent="0.2">
      <c r="A441" t="str">
        <f>+VLOOKUP(B441,studies!$A$2:$C$102,3)</f>
        <v>Ceronsky et al. (2011)</v>
      </c>
      <c r="B441">
        <v>65</v>
      </c>
      <c r="C441">
        <v>2011</v>
      </c>
      <c r="D441">
        <v>0</v>
      </c>
      <c r="E441">
        <v>2010</v>
      </c>
      <c r="F441">
        <v>2010</v>
      </c>
      <c r="G441">
        <v>1.3528138528138528E-4</v>
      </c>
      <c r="H441">
        <v>17.483443029274202</v>
      </c>
      <c r="I441">
        <v>1</v>
      </c>
      <c r="J441">
        <v>0</v>
      </c>
      <c r="K441">
        <v>0</v>
      </c>
      <c r="L441" t="s">
        <v>238</v>
      </c>
      <c r="M441" t="s">
        <v>238</v>
      </c>
      <c r="N441" t="s">
        <v>238</v>
      </c>
      <c r="O441">
        <v>0</v>
      </c>
      <c r="P441">
        <v>1</v>
      </c>
      <c r="Q441">
        <v>1</v>
      </c>
      <c r="R441">
        <v>1</v>
      </c>
      <c r="S441">
        <v>1</v>
      </c>
      <c r="T441">
        <v>0</v>
      </c>
      <c r="U441">
        <v>0</v>
      </c>
      <c r="W441">
        <v>3</v>
      </c>
      <c r="AA441">
        <v>0</v>
      </c>
      <c r="AC441">
        <v>0</v>
      </c>
      <c r="AD441">
        <v>0</v>
      </c>
      <c r="AE441">
        <v>1</v>
      </c>
      <c r="AF441">
        <v>0</v>
      </c>
      <c r="AG441">
        <v>0</v>
      </c>
      <c r="AH441">
        <v>27</v>
      </c>
      <c r="AI441">
        <v>0</v>
      </c>
      <c r="AJ441">
        <v>48</v>
      </c>
    </row>
    <row r="442" spans="1:36" x14ac:dyDescent="0.2">
      <c r="A442" t="str">
        <f>+VLOOKUP(B442,studies!$A$2:$C$102,3)</f>
        <v>Ceronsky et al. (2011)</v>
      </c>
      <c r="B442">
        <v>65</v>
      </c>
      <c r="C442">
        <v>2011</v>
      </c>
      <c r="D442">
        <v>0</v>
      </c>
      <c r="E442">
        <v>2010</v>
      </c>
      <c r="F442">
        <v>2010</v>
      </c>
      <c r="G442">
        <v>1.3528138528138528E-2</v>
      </c>
      <c r="H442">
        <v>13.986754423419363</v>
      </c>
      <c r="I442">
        <v>1</v>
      </c>
      <c r="J442">
        <v>0</v>
      </c>
      <c r="K442">
        <v>0</v>
      </c>
      <c r="L442" t="s">
        <v>238</v>
      </c>
      <c r="M442" t="s">
        <v>238</v>
      </c>
      <c r="N442" t="s">
        <v>238</v>
      </c>
      <c r="O442">
        <v>0</v>
      </c>
      <c r="P442">
        <v>1</v>
      </c>
      <c r="Q442">
        <v>1</v>
      </c>
      <c r="R442">
        <v>1</v>
      </c>
      <c r="S442">
        <v>1</v>
      </c>
      <c r="T442">
        <v>0</v>
      </c>
      <c r="U442">
        <v>0</v>
      </c>
      <c r="W442">
        <v>3</v>
      </c>
      <c r="AA442">
        <v>0</v>
      </c>
      <c r="AC442">
        <v>0</v>
      </c>
      <c r="AD442">
        <v>0</v>
      </c>
      <c r="AE442">
        <v>1</v>
      </c>
      <c r="AF442">
        <v>0</v>
      </c>
      <c r="AG442">
        <v>0</v>
      </c>
      <c r="AH442">
        <v>27</v>
      </c>
      <c r="AI442">
        <v>0</v>
      </c>
      <c r="AJ442">
        <v>48</v>
      </c>
    </row>
    <row r="443" spans="1:36" x14ac:dyDescent="0.2">
      <c r="A443" t="str">
        <f>+VLOOKUP(B443,studies!$A$2:$C$102,3)</f>
        <v>Ceronsky et al. (2011)</v>
      </c>
      <c r="B443">
        <v>65</v>
      </c>
      <c r="C443">
        <v>2011</v>
      </c>
      <c r="D443">
        <v>0</v>
      </c>
      <c r="E443">
        <v>2010</v>
      </c>
      <c r="F443">
        <v>2010</v>
      </c>
      <c r="G443">
        <v>1.3528138528138528E-3</v>
      </c>
      <c r="H443">
        <v>20.980131635129045</v>
      </c>
      <c r="I443">
        <v>1</v>
      </c>
      <c r="J443">
        <v>0</v>
      </c>
      <c r="K443">
        <v>0</v>
      </c>
      <c r="L443" t="s">
        <v>238</v>
      </c>
      <c r="M443" t="s">
        <v>238</v>
      </c>
      <c r="N443" t="s">
        <v>238</v>
      </c>
      <c r="O443">
        <v>0</v>
      </c>
      <c r="P443">
        <v>1</v>
      </c>
      <c r="Q443">
        <v>1</v>
      </c>
      <c r="R443">
        <v>1</v>
      </c>
      <c r="S443">
        <v>1</v>
      </c>
      <c r="T443">
        <v>0</v>
      </c>
      <c r="U443">
        <v>0</v>
      </c>
      <c r="W443">
        <v>3</v>
      </c>
      <c r="AA443">
        <v>0</v>
      </c>
      <c r="AC443">
        <v>0</v>
      </c>
      <c r="AD443">
        <v>0</v>
      </c>
      <c r="AE443">
        <v>1</v>
      </c>
      <c r="AF443">
        <v>0</v>
      </c>
      <c r="AG443">
        <v>0</v>
      </c>
      <c r="AH443">
        <v>27</v>
      </c>
      <c r="AI443">
        <v>0</v>
      </c>
      <c r="AJ443">
        <v>48</v>
      </c>
    </row>
    <row r="444" spans="1:36" x14ac:dyDescent="0.2">
      <c r="A444" t="str">
        <f>+VLOOKUP(B444,studies!$A$2:$C$102,3)</f>
        <v>Ceronsky et al. (2011)</v>
      </c>
      <c r="B444">
        <v>65</v>
      </c>
      <c r="C444">
        <v>2011</v>
      </c>
      <c r="D444">
        <v>0</v>
      </c>
      <c r="E444">
        <v>2010</v>
      </c>
      <c r="F444">
        <v>2010</v>
      </c>
      <c r="G444">
        <v>1.3528138528138528E-4</v>
      </c>
      <c r="H444">
        <v>22.145694503747322</v>
      </c>
      <c r="I444">
        <v>1</v>
      </c>
      <c r="J444">
        <v>0</v>
      </c>
      <c r="K444">
        <v>0</v>
      </c>
      <c r="L444" t="s">
        <v>238</v>
      </c>
      <c r="M444" t="s">
        <v>238</v>
      </c>
      <c r="N444" t="s">
        <v>238</v>
      </c>
      <c r="O444">
        <v>0</v>
      </c>
      <c r="P444">
        <v>1</v>
      </c>
      <c r="Q444">
        <v>1</v>
      </c>
      <c r="R444">
        <v>1</v>
      </c>
      <c r="S444">
        <v>1</v>
      </c>
      <c r="T444">
        <v>0</v>
      </c>
      <c r="U444">
        <v>0</v>
      </c>
      <c r="W444">
        <v>3</v>
      </c>
      <c r="AA444">
        <v>0</v>
      </c>
      <c r="AC444">
        <v>0</v>
      </c>
      <c r="AD444">
        <v>0</v>
      </c>
      <c r="AE444">
        <v>1</v>
      </c>
      <c r="AF444">
        <v>0</v>
      </c>
      <c r="AG444">
        <v>0</v>
      </c>
      <c r="AH444">
        <v>27</v>
      </c>
      <c r="AI444">
        <v>0</v>
      </c>
      <c r="AJ444">
        <v>48</v>
      </c>
    </row>
    <row r="445" spans="1:36" x14ac:dyDescent="0.2">
      <c r="A445" t="str">
        <f>+VLOOKUP(B445,studies!$A$2:$C$102,3)</f>
        <v>Ceronsky et al. (2011)</v>
      </c>
      <c r="B445">
        <v>65</v>
      </c>
      <c r="C445">
        <v>2011</v>
      </c>
      <c r="D445">
        <v>0</v>
      </c>
      <c r="E445">
        <v>2010</v>
      </c>
      <c r="F445">
        <v>2010</v>
      </c>
      <c r="G445">
        <v>0.13528138528138528</v>
      </c>
      <c r="H445">
        <v>5.8278143430914007</v>
      </c>
      <c r="I445">
        <v>0</v>
      </c>
      <c r="J445">
        <v>1</v>
      </c>
      <c r="K445">
        <v>0</v>
      </c>
      <c r="L445" t="s">
        <v>238</v>
      </c>
      <c r="M445" t="s">
        <v>238</v>
      </c>
      <c r="N445" t="s">
        <v>238</v>
      </c>
      <c r="O445">
        <v>0</v>
      </c>
      <c r="P445">
        <v>1</v>
      </c>
      <c r="Q445">
        <v>1</v>
      </c>
      <c r="R445">
        <v>1</v>
      </c>
      <c r="S445">
        <v>1</v>
      </c>
      <c r="T445">
        <v>0</v>
      </c>
      <c r="U445">
        <v>0</v>
      </c>
      <c r="W445">
        <v>3</v>
      </c>
      <c r="AA445">
        <v>0</v>
      </c>
      <c r="AC445">
        <v>0</v>
      </c>
      <c r="AD445">
        <v>0</v>
      </c>
      <c r="AE445">
        <v>1</v>
      </c>
      <c r="AF445">
        <v>0</v>
      </c>
      <c r="AG445">
        <v>0</v>
      </c>
      <c r="AH445">
        <v>27</v>
      </c>
      <c r="AI445">
        <v>0</v>
      </c>
      <c r="AJ445">
        <v>48</v>
      </c>
    </row>
    <row r="446" spans="1:36" x14ac:dyDescent="0.2">
      <c r="A446" t="str">
        <f>+VLOOKUP(B446,studies!$A$2:$C$102,3)</f>
        <v>Ceronsky et al. (2011)</v>
      </c>
      <c r="B446">
        <v>65</v>
      </c>
      <c r="C446">
        <v>2011</v>
      </c>
      <c r="D446">
        <v>0</v>
      </c>
      <c r="E446">
        <v>2010</v>
      </c>
      <c r="F446">
        <v>2010</v>
      </c>
      <c r="G446">
        <v>1.3528138528138528E-3</v>
      </c>
      <c r="H446">
        <v>4.6622514744731207</v>
      </c>
      <c r="I446">
        <v>0</v>
      </c>
      <c r="J446">
        <v>1</v>
      </c>
      <c r="K446">
        <v>0</v>
      </c>
      <c r="L446" t="s">
        <v>238</v>
      </c>
      <c r="M446" t="s">
        <v>238</v>
      </c>
      <c r="N446" t="s">
        <v>238</v>
      </c>
      <c r="O446">
        <v>0</v>
      </c>
      <c r="P446">
        <v>1</v>
      </c>
      <c r="Q446">
        <v>1</v>
      </c>
      <c r="R446">
        <v>1</v>
      </c>
      <c r="S446">
        <v>1</v>
      </c>
      <c r="T446">
        <v>0</v>
      </c>
      <c r="U446">
        <v>0</v>
      </c>
      <c r="W446">
        <v>3</v>
      </c>
      <c r="AA446">
        <v>0</v>
      </c>
      <c r="AC446">
        <v>0</v>
      </c>
      <c r="AD446">
        <v>0</v>
      </c>
      <c r="AE446">
        <v>1</v>
      </c>
      <c r="AF446">
        <v>0</v>
      </c>
      <c r="AG446">
        <v>0</v>
      </c>
      <c r="AH446">
        <v>27</v>
      </c>
      <c r="AI446">
        <v>0</v>
      </c>
      <c r="AJ446">
        <v>48</v>
      </c>
    </row>
    <row r="447" spans="1:36" x14ac:dyDescent="0.2">
      <c r="A447" t="str">
        <f>+VLOOKUP(B447,studies!$A$2:$C$102,3)</f>
        <v>Ceronsky et al. (2011)</v>
      </c>
      <c r="B447">
        <v>65</v>
      </c>
      <c r="C447">
        <v>2011</v>
      </c>
      <c r="D447">
        <v>0</v>
      </c>
      <c r="E447">
        <v>2010</v>
      </c>
      <c r="F447">
        <v>2010</v>
      </c>
      <c r="G447">
        <v>1.3528138528138528E-2</v>
      </c>
      <c r="H447">
        <v>5.8278143430914007</v>
      </c>
      <c r="I447">
        <v>0</v>
      </c>
      <c r="J447">
        <v>1</v>
      </c>
      <c r="K447">
        <v>0</v>
      </c>
      <c r="L447" t="s">
        <v>238</v>
      </c>
      <c r="M447" t="s">
        <v>238</v>
      </c>
      <c r="N447" t="s">
        <v>238</v>
      </c>
      <c r="O447">
        <v>0</v>
      </c>
      <c r="P447">
        <v>1</v>
      </c>
      <c r="Q447">
        <v>1</v>
      </c>
      <c r="R447">
        <v>1</v>
      </c>
      <c r="S447">
        <v>1</v>
      </c>
      <c r="T447">
        <v>0</v>
      </c>
      <c r="U447">
        <v>0</v>
      </c>
      <c r="W447">
        <v>3</v>
      </c>
      <c r="AA447">
        <v>0</v>
      </c>
      <c r="AC447">
        <v>0</v>
      </c>
      <c r="AD447">
        <v>0</v>
      </c>
      <c r="AE447">
        <v>1</v>
      </c>
      <c r="AF447">
        <v>0</v>
      </c>
      <c r="AG447">
        <v>0</v>
      </c>
      <c r="AH447">
        <v>27</v>
      </c>
      <c r="AI447">
        <v>0</v>
      </c>
      <c r="AJ447">
        <v>48</v>
      </c>
    </row>
    <row r="448" spans="1:36" x14ac:dyDescent="0.2">
      <c r="A448" t="str">
        <f>+VLOOKUP(B448,studies!$A$2:$C$102,3)</f>
        <v>Ceronsky et al. (2011)</v>
      </c>
      <c r="B448">
        <v>65</v>
      </c>
      <c r="C448">
        <v>2011</v>
      </c>
      <c r="D448">
        <v>0</v>
      </c>
      <c r="E448">
        <v>2010</v>
      </c>
      <c r="F448">
        <v>2010</v>
      </c>
      <c r="G448">
        <v>1.3528138528138528E-3</v>
      </c>
      <c r="H448">
        <v>6.9933772117096815</v>
      </c>
      <c r="I448">
        <v>0</v>
      </c>
      <c r="J448">
        <v>1</v>
      </c>
      <c r="K448">
        <v>0</v>
      </c>
      <c r="L448" t="s">
        <v>238</v>
      </c>
      <c r="M448" t="s">
        <v>238</v>
      </c>
      <c r="N448" t="s">
        <v>238</v>
      </c>
      <c r="O448">
        <v>0</v>
      </c>
      <c r="P448">
        <v>1</v>
      </c>
      <c r="Q448">
        <v>1</v>
      </c>
      <c r="R448">
        <v>1</v>
      </c>
      <c r="S448">
        <v>1</v>
      </c>
      <c r="T448">
        <v>0</v>
      </c>
      <c r="U448">
        <v>0</v>
      </c>
      <c r="W448">
        <v>3</v>
      </c>
      <c r="AA448">
        <v>0</v>
      </c>
      <c r="AC448">
        <v>0</v>
      </c>
      <c r="AD448">
        <v>0</v>
      </c>
      <c r="AE448">
        <v>1</v>
      </c>
      <c r="AF448">
        <v>0</v>
      </c>
      <c r="AG448">
        <v>0</v>
      </c>
      <c r="AH448">
        <v>27</v>
      </c>
      <c r="AI448">
        <v>0</v>
      </c>
      <c r="AJ448">
        <v>48</v>
      </c>
    </row>
    <row r="449" spans="1:36" x14ac:dyDescent="0.2">
      <c r="A449" t="str">
        <f>+VLOOKUP(B449,studies!$A$2:$C$102,3)</f>
        <v>Ceronsky et al. (2011)</v>
      </c>
      <c r="B449">
        <v>65</v>
      </c>
      <c r="C449">
        <v>2011</v>
      </c>
      <c r="D449">
        <v>0</v>
      </c>
      <c r="E449">
        <v>2010</v>
      </c>
      <c r="F449">
        <v>2010</v>
      </c>
      <c r="G449">
        <v>1.3528138528138528E-4</v>
      </c>
      <c r="H449">
        <v>11.655628686182801</v>
      </c>
      <c r="I449">
        <v>0</v>
      </c>
      <c r="J449">
        <v>1</v>
      </c>
      <c r="K449">
        <v>0</v>
      </c>
      <c r="L449" t="s">
        <v>238</v>
      </c>
      <c r="M449" t="s">
        <v>238</v>
      </c>
      <c r="N449" t="s">
        <v>238</v>
      </c>
      <c r="O449">
        <v>0</v>
      </c>
      <c r="P449">
        <v>1</v>
      </c>
      <c r="Q449">
        <v>1</v>
      </c>
      <c r="R449">
        <v>1</v>
      </c>
      <c r="S449">
        <v>1</v>
      </c>
      <c r="T449">
        <v>0</v>
      </c>
      <c r="U449">
        <v>0</v>
      </c>
      <c r="W449">
        <v>3</v>
      </c>
      <c r="AA449">
        <v>0</v>
      </c>
      <c r="AC449">
        <v>0</v>
      </c>
      <c r="AD449">
        <v>0</v>
      </c>
      <c r="AE449">
        <v>1</v>
      </c>
      <c r="AF449">
        <v>0</v>
      </c>
      <c r="AG449">
        <v>0</v>
      </c>
      <c r="AH449">
        <v>27</v>
      </c>
      <c r="AI449">
        <v>0</v>
      </c>
      <c r="AJ449">
        <v>48</v>
      </c>
    </row>
    <row r="450" spans="1:36" x14ac:dyDescent="0.2">
      <c r="A450" t="str">
        <f>+VLOOKUP(B450,studies!$A$2:$C$102,3)</f>
        <v>Ceronsky et al. (2011)</v>
      </c>
      <c r="B450">
        <v>65</v>
      </c>
      <c r="C450">
        <v>2011</v>
      </c>
      <c r="D450">
        <v>0</v>
      </c>
      <c r="E450">
        <v>2010</v>
      </c>
      <c r="F450">
        <v>2010</v>
      </c>
      <c r="G450">
        <v>1.3528138528138528E-2</v>
      </c>
      <c r="H450">
        <v>10.490065817564522</v>
      </c>
      <c r="I450">
        <v>0</v>
      </c>
      <c r="J450">
        <v>1</v>
      </c>
      <c r="K450">
        <v>0</v>
      </c>
      <c r="L450" t="s">
        <v>238</v>
      </c>
      <c r="M450" t="s">
        <v>238</v>
      </c>
      <c r="N450" t="s">
        <v>238</v>
      </c>
      <c r="O450">
        <v>0</v>
      </c>
      <c r="P450">
        <v>1</v>
      </c>
      <c r="Q450">
        <v>1</v>
      </c>
      <c r="R450">
        <v>1</v>
      </c>
      <c r="S450">
        <v>1</v>
      </c>
      <c r="T450">
        <v>0</v>
      </c>
      <c r="U450">
        <v>0</v>
      </c>
      <c r="W450">
        <v>3</v>
      </c>
      <c r="AA450">
        <v>0</v>
      </c>
      <c r="AC450">
        <v>0</v>
      </c>
      <c r="AD450">
        <v>0</v>
      </c>
      <c r="AE450">
        <v>1</v>
      </c>
      <c r="AF450">
        <v>0</v>
      </c>
      <c r="AG450">
        <v>0</v>
      </c>
      <c r="AH450">
        <v>27</v>
      </c>
      <c r="AI450">
        <v>0</v>
      </c>
      <c r="AJ450">
        <v>48</v>
      </c>
    </row>
    <row r="451" spans="1:36" x14ac:dyDescent="0.2">
      <c r="A451" t="str">
        <f>+VLOOKUP(B451,studies!$A$2:$C$102,3)</f>
        <v>Ceronsky et al. (2011)</v>
      </c>
      <c r="B451">
        <v>65</v>
      </c>
      <c r="C451">
        <v>2011</v>
      </c>
      <c r="D451">
        <v>0</v>
      </c>
      <c r="E451">
        <v>2010</v>
      </c>
      <c r="F451">
        <v>2010</v>
      </c>
      <c r="G451">
        <v>1.3528138528138528E-3</v>
      </c>
      <c r="H451">
        <v>16.317880160655921</v>
      </c>
      <c r="I451">
        <v>0</v>
      </c>
      <c r="J451">
        <v>1</v>
      </c>
      <c r="K451">
        <v>0</v>
      </c>
      <c r="L451" t="s">
        <v>238</v>
      </c>
      <c r="M451" t="s">
        <v>238</v>
      </c>
      <c r="N451" t="s">
        <v>238</v>
      </c>
      <c r="O451">
        <v>0</v>
      </c>
      <c r="P451">
        <v>1</v>
      </c>
      <c r="Q451">
        <v>1</v>
      </c>
      <c r="R451">
        <v>1</v>
      </c>
      <c r="S451">
        <v>1</v>
      </c>
      <c r="T451">
        <v>0</v>
      </c>
      <c r="U451">
        <v>0</v>
      </c>
      <c r="W451">
        <v>3</v>
      </c>
      <c r="AA451">
        <v>0</v>
      </c>
      <c r="AC451">
        <v>0</v>
      </c>
      <c r="AD451">
        <v>0</v>
      </c>
      <c r="AE451">
        <v>1</v>
      </c>
      <c r="AF451">
        <v>0</v>
      </c>
      <c r="AG451">
        <v>0</v>
      </c>
      <c r="AH451">
        <v>27</v>
      </c>
      <c r="AI451">
        <v>0</v>
      </c>
      <c r="AJ451">
        <v>48</v>
      </c>
    </row>
    <row r="452" spans="1:36" x14ac:dyDescent="0.2">
      <c r="A452" t="str">
        <f>+VLOOKUP(B452,studies!$A$2:$C$102,3)</f>
        <v>Ceronsky et al. (2011)</v>
      </c>
      <c r="B452">
        <v>65</v>
      </c>
      <c r="C452">
        <v>2011</v>
      </c>
      <c r="D452">
        <v>0</v>
      </c>
      <c r="E452">
        <v>2010</v>
      </c>
      <c r="F452">
        <v>2010</v>
      </c>
      <c r="G452">
        <v>1.3528138528138528E-4</v>
      </c>
      <c r="H452">
        <v>17.483443029274202</v>
      </c>
      <c r="I452">
        <v>0</v>
      </c>
      <c r="J452">
        <v>1</v>
      </c>
      <c r="K452">
        <v>0</v>
      </c>
      <c r="L452" t="s">
        <v>238</v>
      </c>
      <c r="M452" t="s">
        <v>238</v>
      </c>
      <c r="N452" t="s">
        <v>238</v>
      </c>
      <c r="O452">
        <v>0</v>
      </c>
      <c r="P452">
        <v>1</v>
      </c>
      <c r="Q452">
        <v>1</v>
      </c>
      <c r="R452">
        <v>1</v>
      </c>
      <c r="S452">
        <v>1</v>
      </c>
      <c r="T452">
        <v>0</v>
      </c>
      <c r="U452">
        <v>0</v>
      </c>
      <c r="W452">
        <v>3</v>
      </c>
      <c r="AA452">
        <v>0</v>
      </c>
      <c r="AC452">
        <v>0</v>
      </c>
      <c r="AD452">
        <v>0</v>
      </c>
      <c r="AE452">
        <v>1</v>
      </c>
      <c r="AF452">
        <v>0</v>
      </c>
      <c r="AG452">
        <v>0</v>
      </c>
      <c r="AH452">
        <v>27</v>
      </c>
      <c r="AI452">
        <v>0</v>
      </c>
      <c r="AJ452">
        <v>48</v>
      </c>
    </row>
    <row r="453" spans="1:36" x14ac:dyDescent="0.2">
      <c r="A453" t="str">
        <f>+VLOOKUP(B453,studies!$A$2:$C$102,3)</f>
        <v>Dietz (2011)</v>
      </c>
      <c r="B453">
        <v>66</v>
      </c>
      <c r="C453">
        <v>2011</v>
      </c>
      <c r="D453">
        <v>1</v>
      </c>
      <c r="E453">
        <v>2008</v>
      </c>
      <c r="F453">
        <v>2000</v>
      </c>
      <c r="G453">
        <v>0.25</v>
      </c>
      <c r="H453">
        <v>2614.6574412128552</v>
      </c>
      <c r="I453">
        <v>1</v>
      </c>
      <c r="J453">
        <v>0</v>
      </c>
      <c r="K453">
        <v>0</v>
      </c>
      <c r="L453" t="s">
        <v>238</v>
      </c>
      <c r="M453">
        <v>1270.6160996868305</v>
      </c>
      <c r="N453">
        <v>4251.1576952569931</v>
      </c>
      <c r="O453">
        <v>0</v>
      </c>
      <c r="P453">
        <v>1</v>
      </c>
      <c r="Q453">
        <v>0</v>
      </c>
      <c r="R453">
        <v>1</v>
      </c>
      <c r="S453">
        <v>0</v>
      </c>
      <c r="T453">
        <v>0</v>
      </c>
      <c r="U453">
        <v>1</v>
      </c>
      <c r="W453">
        <v>1</v>
      </c>
      <c r="X453">
        <v>0.1</v>
      </c>
      <c r="AA453">
        <v>0</v>
      </c>
      <c r="AC453">
        <v>0</v>
      </c>
      <c r="AD453">
        <v>0</v>
      </c>
      <c r="AE453">
        <v>0</v>
      </c>
      <c r="AF453">
        <v>0</v>
      </c>
      <c r="AG453">
        <v>0</v>
      </c>
      <c r="AH453">
        <v>39</v>
      </c>
      <c r="AI453">
        <v>1.56</v>
      </c>
      <c r="AJ453">
        <v>2</v>
      </c>
    </row>
    <row r="454" spans="1:36" x14ac:dyDescent="0.2">
      <c r="A454" t="str">
        <f>+VLOOKUP(B454,studies!$A$2:$C$102,3)</f>
        <v>Dietz (2011)</v>
      </c>
      <c r="B454">
        <v>66</v>
      </c>
      <c r="C454">
        <v>2011</v>
      </c>
      <c r="D454">
        <v>1</v>
      </c>
      <c r="E454">
        <v>2008</v>
      </c>
      <c r="F454">
        <v>2000</v>
      </c>
      <c r="G454">
        <v>0.25</v>
      </c>
      <c r="H454">
        <v>2035.8046839588494</v>
      </c>
      <c r="I454">
        <v>1</v>
      </c>
      <c r="J454">
        <v>0</v>
      </c>
      <c r="K454">
        <v>0</v>
      </c>
      <c r="M454">
        <v>1024.6652405719685</v>
      </c>
      <c r="N454">
        <v>3037.1240937758994</v>
      </c>
      <c r="O454">
        <v>0</v>
      </c>
      <c r="P454">
        <v>1</v>
      </c>
      <c r="Q454">
        <v>0</v>
      </c>
      <c r="R454">
        <v>1</v>
      </c>
      <c r="S454">
        <v>0</v>
      </c>
      <c r="T454">
        <v>0</v>
      </c>
      <c r="U454">
        <v>1</v>
      </c>
      <c r="W454">
        <v>3</v>
      </c>
      <c r="X454">
        <v>1.3</v>
      </c>
      <c r="AA454">
        <v>0</v>
      </c>
      <c r="AC454">
        <v>0</v>
      </c>
      <c r="AD454">
        <v>0</v>
      </c>
      <c r="AE454">
        <v>0</v>
      </c>
      <c r="AF454">
        <v>0</v>
      </c>
      <c r="AG454">
        <v>0</v>
      </c>
      <c r="AH454">
        <v>39</v>
      </c>
      <c r="AI454">
        <v>1.56</v>
      </c>
      <c r="AJ454">
        <v>2</v>
      </c>
    </row>
    <row r="455" spans="1:36" x14ac:dyDescent="0.2">
      <c r="A455" t="str">
        <f>+VLOOKUP(B455,studies!$A$2:$C$102,3)</f>
        <v>Hope (2011)</v>
      </c>
      <c r="B455">
        <v>67</v>
      </c>
      <c r="C455">
        <v>2011</v>
      </c>
      <c r="D455">
        <v>1</v>
      </c>
      <c r="E455">
        <v>2005</v>
      </c>
      <c r="F455">
        <v>2009</v>
      </c>
      <c r="G455">
        <v>0.5</v>
      </c>
      <c r="H455">
        <v>502.20171035306595</v>
      </c>
      <c r="I455">
        <v>1</v>
      </c>
      <c r="J455">
        <v>0</v>
      </c>
      <c r="K455">
        <v>0</v>
      </c>
      <c r="L455">
        <v>1279.24409416868</v>
      </c>
      <c r="M455">
        <v>231.12245633852109</v>
      </c>
      <c r="N455">
        <v>421.55310191080542</v>
      </c>
      <c r="O455">
        <v>0</v>
      </c>
      <c r="P455">
        <v>1</v>
      </c>
      <c r="Q455">
        <v>0</v>
      </c>
      <c r="R455">
        <v>1</v>
      </c>
      <c r="S455">
        <v>0</v>
      </c>
      <c r="T455">
        <v>0</v>
      </c>
      <c r="U455">
        <v>1</v>
      </c>
      <c r="W455">
        <v>1</v>
      </c>
      <c r="AA455">
        <v>1</v>
      </c>
      <c r="AC455">
        <v>1</v>
      </c>
      <c r="AD455">
        <v>0</v>
      </c>
      <c r="AE455">
        <v>0</v>
      </c>
      <c r="AF455">
        <v>0</v>
      </c>
      <c r="AG455">
        <v>0</v>
      </c>
      <c r="AH455">
        <v>25</v>
      </c>
      <c r="AI455">
        <v>0</v>
      </c>
      <c r="AJ455">
        <v>2</v>
      </c>
    </row>
    <row r="456" spans="1:36" x14ac:dyDescent="0.2">
      <c r="A456" t="str">
        <f>+VLOOKUP(B456,studies!$A$2:$C$102,3)</f>
        <v>Hope (2011)</v>
      </c>
      <c r="B456">
        <v>67</v>
      </c>
      <c r="C456">
        <v>2011</v>
      </c>
      <c r="D456">
        <v>1</v>
      </c>
      <c r="E456">
        <v>2005</v>
      </c>
      <c r="F456">
        <v>2009</v>
      </c>
      <c r="G456">
        <v>0.5</v>
      </c>
      <c r="H456">
        <v>260.22776977146725</v>
      </c>
      <c r="I456">
        <v>1</v>
      </c>
      <c r="J456">
        <v>0</v>
      </c>
      <c r="K456">
        <v>0</v>
      </c>
      <c r="L456">
        <v>984.03391859129226</v>
      </c>
      <c r="M456">
        <v>120.21781724830863</v>
      </c>
      <c r="N456">
        <v>193.56850883309829</v>
      </c>
      <c r="O456">
        <v>0</v>
      </c>
      <c r="P456">
        <v>1</v>
      </c>
      <c r="Q456">
        <v>0</v>
      </c>
      <c r="R456">
        <v>1</v>
      </c>
      <c r="S456">
        <v>0</v>
      </c>
      <c r="T456">
        <v>0</v>
      </c>
      <c r="U456">
        <v>1</v>
      </c>
      <c r="W456">
        <v>1</v>
      </c>
      <c r="AA456">
        <v>1</v>
      </c>
      <c r="AC456">
        <v>1</v>
      </c>
      <c r="AD456">
        <v>0</v>
      </c>
      <c r="AE456">
        <v>0</v>
      </c>
      <c r="AF456">
        <v>0</v>
      </c>
      <c r="AG456">
        <v>0</v>
      </c>
      <c r="AH456">
        <v>25</v>
      </c>
      <c r="AI456">
        <v>0</v>
      </c>
      <c r="AJ456">
        <v>2</v>
      </c>
    </row>
    <row r="457" spans="1:36" x14ac:dyDescent="0.2">
      <c r="A457" t="str">
        <f>+VLOOKUP(B457,studies!$A$2:$C$102,3)</f>
        <v>Nordhaus (2011)</v>
      </c>
      <c r="B457">
        <v>68</v>
      </c>
      <c r="C457">
        <v>2011</v>
      </c>
      <c r="D457">
        <v>0</v>
      </c>
      <c r="E457">
        <v>2005</v>
      </c>
      <c r="F457">
        <v>2015</v>
      </c>
      <c r="G457">
        <v>1</v>
      </c>
      <c r="H457">
        <v>45.229849896978997</v>
      </c>
      <c r="I457">
        <v>0</v>
      </c>
      <c r="J457">
        <v>0</v>
      </c>
      <c r="K457">
        <v>1</v>
      </c>
      <c r="L457">
        <v>21.606703451920119</v>
      </c>
      <c r="M457">
        <v>21.606703451920119</v>
      </c>
      <c r="N457">
        <v>21.606703451920119</v>
      </c>
      <c r="O457">
        <v>1</v>
      </c>
      <c r="P457">
        <v>1</v>
      </c>
      <c r="Q457">
        <v>0</v>
      </c>
      <c r="R457">
        <v>1</v>
      </c>
      <c r="S457">
        <v>0</v>
      </c>
      <c r="T457">
        <v>1</v>
      </c>
      <c r="U457">
        <v>0</v>
      </c>
      <c r="W457">
        <v>1.5</v>
      </c>
      <c r="AA457">
        <v>1</v>
      </c>
      <c r="AB457">
        <v>3</v>
      </c>
      <c r="AC457">
        <v>0</v>
      </c>
      <c r="AD457">
        <v>1</v>
      </c>
      <c r="AE457">
        <v>0</v>
      </c>
      <c r="AF457">
        <v>0</v>
      </c>
      <c r="AG457">
        <v>0</v>
      </c>
      <c r="AH457">
        <v>58</v>
      </c>
      <c r="AI457">
        <v>0</v>
      </c>
      <c r="AJ457">
        <v>1</v>
      </c>
    </row>
    <row r="458" spans="1:36" x14ac:dyDescent="0.2">
      <c r="A458" t="str">
        <f>+VLOOKUP(B458,studies!$A$2:$C$102,3)</f>
        <v>Pycroft et al. (2011)</v>
      </c>
      <c r="B458">
        <v>69</v>
      </c>
      <c r="C458">
        <v>2011</v>
      </c>
      <c r="D458">
        <v>1</v>
      </c>
      <c r="E458">
        <v>2005</v>
      </c>
      <c r="F458">
        <v>2009</v>
      </c>
      <c r="G458">
        <v>9.0909090909090912E-2</v>
      </c>
      <c r="H458">
        <v>241.08831005486661</v>
      </c>
      <c r="I458">
        <v>0</v>
      </c>
      <c r="J458">
        <v>0</v>
      </c>
      <c r="K458">
        <v>1</v>
      </c>
      <c r="L458" t="s">
        <v>238</v>
      </c>
      <c r="M458">
        <v>95.391043128747711</v>
      </c>
      <c r="N458">
        <v>456.87289077452857</v>
      </c>
      <c r="O458">
        <v>0</v>
      </c>
      <c r="P458">
        <v>1</v>
      </c>
      <c r="Q458">
        <v>0</v>
      </c>
      <c r="R458">
        <v>1</v>
      </c>
      <c r="S458">
        <v>0</v>
      </c>
      <c r="T458">
        <v>0</v>
      </c>
      <c r="U458">
        <v>1</v>
      </c>
      <c r="AA458">
        <v>1</v>
      </c>
      <c r="AC458">
        <v>1</v>
      </c>
      <c r="AD458">
        <v>0</v>
      </c>
      <c r="AE458">
        <v>0</v>
      </c>
      <c r="AF458">
        <v>0</v>
      </c>
      <c r="AG458">
        <v>0</v>
      </c>
      <c r="AH458">
        <v>16</v>
      </c>
      <c r="AI458">
        <v>0</v>
      </c>
      <c r="AJ458">
        <v>11</v>
      </c>
    </row>
    <row r="459" spans="1:36" x14ac:dyDescent="0.2">
      <c r="A459" t="str">
        <f>+VLOOKUP(B459,studies!$A$2:$C$102,3)</f>
        <v>Pycroft et al. (2011)</v>
      </c>
      <c r="B459">
        <v>69</v>
      </c>
      <c r="C459">
        <v>2011</v>
      </c>
      <c r="D459">
        <v>1</v>
      </c>
      <c r="E459">
        <v>2005</v>
      </c>
      <c r="F459">
        <v>2009</v>
      </c>
      <c r="G459">
        <v>9.0909090909090912E-2</v>
      </c>
      <c r="H459">
        <v>280.44966679851831</v>
      </c>
      <c r="I459">
        <v>0</v>
      </c>
      <c r="J459">
        <v>0</v>
      </c>
      <c r="K459">
        <v>1</v>
      </c>
      <c r="L459" t="s">
        <v>238</v>
      </c>
      <c r="M459">
        <v>112.96307738930652</v>
      </c>
      <c r="N459">
        <v>795.76212294244817</v>
      </c>
      <c r="O459">
        <v>0</v>
      </c>
      <c r="P459">
        <v>1</v>
      </c>
      <c r="Q459">
        <v>0</v>
      </c>
      <c r="R459">
        <v>1</v>
      </c>
      <c r="S459">
        <v>0</v>
      </c>
      <c r="T459">
        <v>0</v>
      </c>
      <c r="U459">
        <v>1</v>
      </c>
      <c r="AA459">
        <v>1</v>
      </c>
      <c r="AC459">
        <v>1</v>
      </c>
      <c r="AD459">
        <v>0</v>
      </c>
      <c r="AE459">
        <v>0</v>
      </c>
      <c r="AF459">
        <v>0</v>
      </c>
      <c r="AG459">
        <v>0</v>
      </c>
      <c r="AH459">
        <v>16</v>
      </c>
      <c r="AI459">
        <v>0</v>
      </c>
      <c r="AJ459">
        <v>11</v>
      </c>
    </row>
    <row r="460" spans="1:36" x14ac:dyDescent="0.2">
      <c r="A460" t="str">
        <f>+VLOOKUP(B460,studies!$A$2:$C$102,3)</f>
        <v>Pycroft et al. (2011)</v>
      </c>
      <c r="B460">
        <v>69</v>
      </c>
      <c r="C460">
        <v>2011</v>
      </c>
      <c r="D460">
        <v>1</v>
      </c>
      <c r="E460">
        <v>2005</v>
      </c>
      <c r="F460">
        <v>2009</v>
      </c>
      <c r="G460">
        <v>9.0909090909090912E-2</v>
      </c>
      <c r="H460">
        <v>280.44966679851831</v>
      </c>
      <c r="I460">
        <v>0</v>
      </c>
      <c r="J460">
        <v>0</v>
      </c>
      <c r="K460">
        <v>1</v>
      </c>
      <c r="L460" t="s">
        <v>238</v>
      </c>
      <c r="M460">
        <v>115.47336799795778</v>
      </c>
      <c r="N460">
        <v>883.62229424524207</v>
      </c>
      <c r="O460">
        <v>0</v>
      </c>
      <c r="P460">
        <v>1</v>
      </c>
      <c r="Q460">
        <v>0</v>
      </c>
      <c r="R460">
        <v>1</v>
      </c>
      <c r="S460">
        <v>0</v>
      </c>
      <c r="T460">
        <v>0</v>
      </c>
      <c r="U460">
        <v>1</v>
      </c>
      <c r="AA460">
        <v>1</v>
      </c>
      <c r="AC460">
        <v>1</v>
      </c>
      <c r="AD460">
        <v>0</v>
      </c>
      <c r="AE460">
        <v>0</v>
      </c>
      <c r="AF460">
        <v>0</v>
      </c>
      <c r="AG460">
        <v>0</v>
      </c>
      <c r="AH460">
        <v>16</v>
      </c>
      <c r="AI460">
        <v>0</v>
      </c>
      <c r="AJ460">
        <v>11</v>
      </c>
    </row>
    <row r="461" spans="1:36" x14ac:dyDescent="0.2">
      <c r="A461" t="str">
        <f>+VLOOKUP(B461,studies!$A$2:$C$102,3)</f>
        <v>Pycroft et al. (2011)</v>
      </c>
      <c r="B461">
        <v>69</v>
      </c>
      <c r="C461">
        <v>2011</v>
      </c>
      <c r="D461">
        <v>1</v>
      </c>
      <c r="E461">
        <v>2005</v>
      </c>
      <c r="F461">
        <v>2009</v>
      </c>
      <c r="G461">
        <v>9.0909090909090912E-2</v>
      </c>
      <c r="H461">
        <v>265.68915801964891</v>
      </c>
      <c r="I461">
        <v>0</v>
      </c>
      <c r="J461">
        <v>0</v>
      </c>
      <c r="K461">
        <v>1</v>
      </c>
      <c r="L461" t="s">
        <v>238</v>
      </c>
      <c r="M461">
        <v>105.43220556335275</v>
      </c>
      <c r="N461">
        <v>1280.2482104121405</v>
      </c>
      <c r="O461">
        <v>0</v>
      </c>
      <c r="P461">
        <v>1</v>
      </c>
      <c r="Q461">
        <v>0</v>
      </c>
      <c r="R461">
        <v>1</v>
      </c>
      <c r="S461">
        <v>0</v>
      </c>
      <c r="T461">
        <v>0</v>
      </c>
      <c r="U461">
        <v>1</v>
      </c>
      <c r="AA461">
        <v>1</v>
      </c>
      <c r="AC461">
        <v>1</v>
      </c>
      <c r="AD461">
        <v>0</v>
      </c>
      <c r="AE461">
        <v>0</v>
      </c>
      <c r="AF461">
        <v>0</v>
      </c>
      <c r="AG461">
        <v>0</v>
      </c>
      <c r="AH461">
        <v>16</v>
      </c>
      <c r="AI461">
        <v>0</v>
      </c>
      <c r="AJ461">
        <v>11</v>
      </c>
    </row>
    <row r="462" spans="1:36" x14ac:dyDescent="0.2">
      <c r="A462" t="str">
        <f>+VLOOKUP(B462,studies!$A$2:$C$102,3)</f>
        <v>Pycroft et al. (2011)</v>
      </c>
      <c r="B462">
        <v>69</v>
      </c>
      <c r="C462">
        <v>2011</v>
      </c>
      <c r="D462">
        <v>1</v>
      </c>
      <c r="E462">
        <v>2005</v>
      </c>
      <c r="F462">
        <v>2009</v>
      </c>
      <c r="G462">
        <v>9.0909090909090912E-2</v>
      </c>
      <c r="H462">
        <v>236.16814046191016</v>
      </c>
      <c r="I462">
        <v>0</v>
      </c>
      <c r="J462">
        <v>0</v>
      </c>
      <c r="K462">
        <v>1</v>
      </c>
      <c r="L462" t="s">
        <v>238</v>
      </c>
      <c r="M462">
        <v>92.880752520096451</v>
      </c>
      <c r="N462">
        <v>446.83172833992353</v>
      </c>
      <c r="O462">
        <v>0</v>
      </c>
      <c r="P462">
        <v>1</v>
      </c>
      <c r="Q462">
        <v>0</v>
      </c>
      <c r="R462">
        <v>1</v>
      </c>
      <c r="S462">
        <v>0</v>
      </c>
      <c r="T462">
        <v>0</v>
      </c>
      <c r="U462">
        <v>1</v>
      </c>
      <c r="AA462">
        <v>1</v>
      </c>
      <c r="AC462">
        <v>1</v>
      </c>
      <c r="AD462">
        <v>0</v>
      </c>
      <c r="AE462">
        <v>0</v>
      </c>
      <c r="AF462">
        <v>0</v>
      </c>
      <c r="AG462">
        <v>0</v>
      </c>
      <c r="AH462">
        <v>16</v>
      </c>
      <c r="AI462">
        <v>0</v>
      </c>
      <c r="AJ462">
        <v>11</v>
      </c>
    </row>
    <row r="463" spans="1:36" x14ac:dyDescent="0.2">
      <c r="A463" t="str">
        <f>+VLOOKUP(B463,studies!$A$2:$C$102,3)</f>
        <v>Pycroft et al. (2011)</v>
      </c>
      <c r="B463">
        <v>69</v>
      </c>
      <c r="C463">
        <v>2011</v>
      </c>
      <c r="D463">
        <v>1</v>
      </c>
      <c r="E463">
        <v>2005</v>
      </c>
      <c r="F463">
        <v>2009</v>
      </c>
      <c r="G463">
        <v>9.0909090909090912E-2</v>
      </c>
      <c r="H463">
        <v>246.00847964782312</v>
      </c>
      <c r="I463">
        <v>0</v>
      </c>
      <c r="J463">
        <v>0</v>
      </c>
      <c r="K463">
        <v>1</v>
      </c>
      <c r="L463" t="s">
        <v>238</v>
      </c>
      <c r="M463">
        <v>97.901333737398971</v>
      </c>
      <c r="N463">
        <v>627.57265216281405</v>
      </c>
      <c r="O463">
        <v>0</v>
      </c>
      <c r="P463">
        <v>1</v>
      </c>
      <c r="Q463">
        <v>0</v>
      </c>
      <c r="R463">
        <v>1</v>
      </c>
      <c r="S463">
        <v>0</v>
      </c>
      <c r="T463">
        <v>0</v>
      </c>
      <c r="U463">
        <v>1</v>
      </c>
      <c r="AA463">
        <v>1</v>
      </c>
      <c r="AC463">
        <v>1</v>
      </c>
      <c r="AD463">
        <v>0</v>
      </c>
      <c r="AE463">
        <v>0</v>
      </c>
      <c r="AF463">
        <v>0</v>
      </c>
      <c r="AG463">
        <v>0</v>
      </c>
      <c r="AH463">
        <v>16</v>
      </c>
      <c r="AI463">
        <v>0</v>
      </c>
      <c r="AJ463">
        <v>11</v>
      </c>
    </row>
    <row r="464" spans="1:36" x14ac:dyDescent="0.2">
      <c r="A464" t="str">
        <f>+VLOOKUP(B464,studies!$A$2:$C$102,3)</f>
        <v>Pycroft et al. (2011)</v>
      </c>
      <c r="B464">
        <v>69</v>
      </c>
      <c r="C464">
        <v>2011</v>
      </c>
      <c r="D464">
        <v>1</v>
      </c>
      <c r="E464">
        <v>2005</v>
      </c>
      <c r="F464">
        <v>2009</v>
      </c>
      <c r="G464">
        <v>9.0909090909090912E-2</v>
      </c>
      <c r="H464">
        <v>246.00847964782312</v>
      </c>
      <c r="I464">
        <v>0</v>
      </c>
      <c r="J464">
        <v>0</v>
      </c>
      <c r="K464">
        <v>1</v>
      </c>
      <c r="L464" t="s">
        <v>238</v>
      </c>
      <c r="M464">
        <v>97.901333737398971</v>
      </c>
      <c r="N464">
        <v>627.57265216281405</v>
      </c>
      <c r="O464">
        <v>0</v>
      </c>
      <c r="P464">
        <v>1</v>
      </c>
      <c r="Q464">
        <v>0</v>
      </c>
      <c r="R464">
        <v>1</v>
      </c>
      <c r="S464">
        <v>0</v>
      </c>
      <c r="T464">
        <v>0</v>
      </c>
      <c r="U464">
        <v>1</v>
      </c>
      <c r="AA464">
        <v>1</v>
      </c>
      <c r="AC464">
        <v>1</v>
      </c>
      <c r="AD464">
        <v>0</v>
      </c>
      <c r="AE464">
        <v>0</v>
      </c>
      <c r="AF464">
        <v>0</v>
      </c>
      <c r="AG464">
        <v>0</v>
      </c>
      <c r="AH464">
        <v>16</v>
      </c>
      <c r="AI464">
        <v>0</v>
      </c>
      <c r="AJ464">
        <v>11</v>
      </c>
    </row>
    <row r="465" spans="1:36" x14ac:dyDescent="0.2">
      <c r="A465" t="str">
        <f>+VLOOKUP(B465,studies!$A$2:$C$102,3)</f>
        <v>Pycroft et al. (2011)</v>
      </c>
      <c r="B465">
        <v>69</v>
      </c>
      <c r="C465">
        <v>2011</v>
      </c>
      <c r="D465">
        <v>1</v>
      </c>
      <c r="E465">
        <v>2005</v>
      </c>
      <c r="F465">
        <v>2009</v>
      </c>
      <c r="G465">
        <v>9.0909090909090912E-2</v>
      </c>
      <c r="H465">
        <v>246.00847964782312</v>
      </c>
      <c r="I465">
        <v>0</v>
      </c>
      <c r="J465">
        <v>0</v>
      </c>
      <c r="K465">
        <v>1</v>
      </c>
      <c r="L465" t="s">
        <v>238</v>
      </c>
      <c r="M465">
        <v>97.901333737398971</v>
      </c>
      <c r="N465">
        <v>773.1695074645869</v>
      </c>
      <c r="O465">
        <v>0</v>
      </c>
      <c r="P465">
        <v>1</v>
      </c>
      <c r="Q465">
        <v>0</v>
      </c>
      <c r="R465">
        <v>1</v>
      </c>
      <c r="S465">
        <v>0</v>
      </c>
      <c r="T465">
        <v>0</v>
      </c>
      <c r="U465">
        <v>1</v>
      </c>
      <c r="AA465">
        <v>1</v>
      </c>
      <c r="AC465">
        <v>1</v>
      </c>
      <c r="AD465">
        <v>0</v>
      </c>
      <c r="AE465">
        <v>0</v>
      </c>
      <c r="AF465">
        <v>0</v>
      </c>
      <c r="AG465">
        <v>0</v>
      </c>
      <c r="AH465">
        <v>16</v>
      </c>
      <c r="AI465">
        <v>0</v>
      </c>
      <c r="AJ465">
        <v>11</v>
      </c>
    </row>
    <row r="466" spans="1:36" x14ac:dyDescent="0.2">
      <c r="A466" t="str">
        <f>+VLOOKUP(B466,studies!$A$2:$C$102,3)</f>
        <v>Pycroft et al. (2011)</v>
      </c>
      <c r="B466">
        <v>69</v>
      </c>
      <c r="C466">
        <v>2011</v>
      </c>
      <c r="D466">
        <v>1</v>
      </c>
      <c r="E466">
        <v>2005</v>
      </c>
      <c r="F466">
        <v>2009</v>
      </c>
      <c r="G466">
        <v>9.0909090909090912E-2</v>
      </c>
      <c r="H466">
        <v>285.36983639147473</v>
      </c>
      <c r="I466">
        <v>0</v>
      </c>
      <c r="J466">
        <v>0</v>
      </c>
      <c r="K466">
        <v>1</v>
      </c>
      <c r="L466" t="s">
        <v>238</v>
      </c>
      <c r="M466">
        <v>115.47336799795778</v>
      </c>
      <c r="N466">
        <v>1081.9352523286911</v>
      </c>
      <c r="O466">
        <v>0</v>
      </c>
      <c r="P466">
        <v>1</v>
      </c>
      <c r="Q466">
        <v>0</v>
      </c>
      <c r="R466">
        <v>1</v>
      </c>
      <c r="S466">
        <v>0</v>
      </c>
      <c r="T466">
        <v>0</v>
      </c>
      <c r="U466">
        <v>1</v>
      </c>
      <c r="AA466">
        <v>1</v>
      </c>
      <c r="AC466">
        <v>1</v>
      </c>
      <c r="AD466">
        <v>0</v>
      </c>
      <c r="AE466">
        <v>0</v>
      </c>
      <c r="AF466">
        <v>0</v>
      </c>
      <c r="AG466">
        <v>0</v>
      </c>
      <c r="AH466">
        <v>16</v>
      </c>
      <c r="AI466">
        <v>0</v>
      </c>
      <c r="AJ466">
        <v>11</v>
      </c>
    </row>
    <row r="467" spans="1:36" x14ac:dyDescent="0.2">
      <c r="A467" t="str">
        <f>+VLOOKUP(B467,studies!$A$2:$C$102,3)</f>
        <v>Pycroft et al. (2011)</v>
      </c>
      <c r="B467">
        <v>69</v>
      </c>
      <c r="C467">
        <v>2011</v>
      </c>
      <c r="D467">
        <v>1</v>
      </c>
      <c r="E467">
        <v>2005</v>
      </c>
      <c r="F467">
        <v>2009</v>
      </c>
      <c r="G467">
        <v>9.0909090909090912E-2</v>
      </c>
      <c r="H467">
        <v>280.44966679851831</v>
      </c>
      <c r="I467">
        <v>0</v>
      </c>
      <c r="J467">
        <v>0</v>
      </c>
      <c r="K467">
        <v>1</v>
      </c>
      <c r="L467" t="s">
        <v>238</v>
      </c>
      <c r="M467">
        <v>112.96307738930652</v>
      </c>
      <c r="N467">
        <v>1240.0835606737205</v>
      </c>
      <c r="O467">
        <v>0</v>
      </c>
      <c r="P467">
        <v>1</v>
      </c>
      <c r="Q467">
        <v>0</v>
      </c>
      <c r="R467">
        <v>1</v>
      </c>
      <c r="S467">
        <v>0</v>
      </c>
      <c r="T467">
        <v>0</v>
      </c>
      <c r="U467">
        <v>1</v>
      </c>
      <c r="AA467">
        <v>1</v>
      </c>
      <c r="AC467">
        <v>1</v>
      </c>
      <c r="AD467">
        <v>0</v>
      </c>
      <c r="AE467">
        <v>0</v>
      </c>
      <c r="AF467">
        <v>0</v>
      </c>
      <c r="AG467">
        <v>0</v>
      </c>
      <c r="AH467">
        <v>16</v>
      </c>
      <c r="AI467">
        <v>0</v>
      </c>
      <c r="AJ467">
        <v>11</v>
      </c>
    </row>
    <row r="468" spans="1:36" x14ac:dyDescent="0.2">
      <c r="A468" t="str">
        <f>+VLOOKUP(B468,studies!$A$2:$C$102,3)</f>
        <v>Pycroft et al. (2011)</v>
      </c>
      <c r="B468">
        <v>69</v>
      </c>
      <c r="C468">
        <v>2011</v>
      </c>
      <c r="D468">
        <v>1</v>
      </c>
      <c r="E468">
        <v>2005</v>
      </c>
      <c r="F468">
        <v>2009</v>
      </c>
      <c r="G468">
        <v>9.0909090909090912E-2</v>
      </c>
      <c r="H468">
        <v>270.6093276126054</v>
      </c>
      <c r="I468">
        <v>0</v>
      </c>
      <c r="J468">
        <v>0</v>
      </c>
      <c r="K468">
        <v>1</v>
      </c>
      <c r="L468" t="s">
        <v>238</v>
      </c>
      <c r="M468">
        <v>110.45278678065525</v>
      </c>
      <c r="N468">
        <v>1968.067837182585</v>
      </c>
      <c r="O468">
        <v>0</v>
      </c>
      <c r="P468">
        <v>1</v>
      </c>
      <c r="Q468">
        <v>0</v>
      </c>
      <c r="R468">
        <v>1</v>
      </c>
      <c r="S468">
        <v>0</v>
      </c>
      <c r="T468">
        <v>0</v>
      </c>
      <c r="U468">
        <v>1</v>
      </c>
      <c r="AA468">
        <v>1</v>
      </c>
      <c r="AC468">
        <v>1</v>
      </c>
      <c r="AD468">
        <v>0</v>
      </c>
      <c r="AE468">
        <v>0</v>
      </c>
      <c r="AF468">
        <v>0</v>
      </c>
      <c r="AG468">
        <v>0</v>
      </c>
      <c r="AH468">
        <v>16</v>
      </c>
      <c r="AI468">
        <v>0</v>
      </c>
      <c r="AJ468">
        <v>11</v>
      </c>
    </row>
    <row r="469" spans="1:36" x14ac:dyDescent="0.2">
      <c r="A469" t="str">
        <f>+VLOOKUP(B469,studies!$A$2:$C$102,3)</f>
        <v>Waldhoff et al. (2011)</v>
      </c>
      <c r="B469">
        <v>70</v>
      </c>
      <c r="C469">
        <v>2011</v>
      </c>
      <c r="D469">
        <v>0</v>
      </c>
      <c r="E469">
        <v>1995</v>
      </c>
      <c r="F469">
        <v>2015</v>
      </c>
      <c r="G469">
        <v>0.1</v>
      </c>
      <c r="H469">
        <v>41.970533683289588</v>
      </c>
      <c r="I469">
        <v>0</v>
      </c>
      <c r="J469">
        <v>1</v>
      </c>
      <c r="K469">
        <v>0</v>
      </c>
      <c r="L469" t="s">
        <v>238</v>
      </c>
      <c r="M469" t="s">
        <v>238</v>
      </c>
      <c r="N469" t="s">
        <v>238</v>
      </c>
      <c r="O469">
        <v>0</v>
      </c>
      <c r="P469">
        <v>1</v>
      </c>
      <c r="Q469">
        <v>1</v>
      </c>
      <c r="R469">
        <v>1</v>
      </c>
      <c r="S469">
        <v>1</v>
      </c>
      <c r="T469">
        <v>0</v>
      </c>
      <c r="U469">
        <v>0</v>
      </c>
      <c r="W469">
        <v>1</v>
      </c>
      <c r="AA469">
        <v>0</v>
      </c>
      <c r="AC469">
        <v>0</v>
      </c>
      <c r="AD469">
        <v>0</v>
      </c>
      <c r="AE469">
        <v>1</v>
      </c>
      <c r="AF469">
        <v>0</v>
      </c>
      <c r="AG469">
        <v>0</v>
      </c>
      <c r="AH469">
        <v>7</v>
      </c>
      <c r="AI469">
        <v>0</v>
      </c>
      <c r="AJ469">
        <v>13</v>
      </c>
    </row>
    <row r="470" spans="1:36" x14ac:dyDescent="0.2">
      <c r="A470" t="str">
        <f>+VLOOKUP(B470,studies!$A$2:$C$102,3)</f>
        <v>Waldhoff et al. (2011)</v>
      </c>
      <c r="B470">
        <v>70</v>
      </c>
      <c r="C470">
        <v>2011</v>
      </c>
      <c r="D470">
        <v>0</v>
      </c>
      <c r="E470">
        <v>1995</v>
      </c>
      <c r="F470">
        <v>2015</v>
      </c>
      <c r="G470">
        <v>0.05</v>
      </c>
      <c r="H470">
        <v>73.448433945756776</v>
      </c>
      <c r="I470">
        <v>0</v>
      </c>
      <c r="J470">
        <v>1</v>
      </c>
      <c r="K470">
        <v>0</v>
      </c>
      <c r="L470" t="s">
        <v>238</v>
      </c>
      <c r="M470" t="s">
        <v>238</v>
      </c>
      <c r="N470" t="s">
        <v>238</v>
      </c>
      <c r="O470">
        <v>0</v>
      </c>
      <c r="P470">
        <v>1</v>
      </c>
      <c r="Q470">
        <v>1</v>
      </c>
      <c r="R470">
        <v>1</v>
      </c>
      <c r="S470">
        <v>1</v>
      </c>
      <c r="T470">
        <v>0</v>
      </c>
      <c r="U470">
        <v>0</v>
      </c>
      <c r="W470">
        <v>1</v>
      </c>
      <c r="AA470">
        <v>0</v>
      </c>
      <c r="AC470">
        <v>0</v>
      </c>
      <c r="AD470">
        <v>0</v>
      </c>
      <c r="AE470">
        <v>1</v>
      </c>
      <c r="AF470">
        <v>0</v>
      </c>
      <c r="AG470">
        <v>0</v>
      </c>
      <c r="AH470">
        <v>7</v>
      </c>
      <c r="AI470">
        <v>0</v>
      </c>
      <c r="AJ470">
        <v>13</v>
      </c>
    </row>
    <row r="471" spans="1:36" x14ac:dyDescent="0.2">
      <c r="A471" t="str">
        <f>+VLOOKUP(B471,studies!$A$2:$C$102,3)</f>
        <v>Waldhoff et al. (2011)</v>
      </c>
      <c r="B471">
        <v>70</v>
      </c>
      <c r="C471">
        <v>2011</v>
      </c>
      <c r="D471">
        <v>0</v>
      </c>
      <c r="E471">
        <v>1995</v>
      </c>
      <c r="F471">
        <v>2015</v>
      </c>
      <c r="G471">
        <v>0.05</v>
      </c>
      <c r="H471">
        <v>36.724216972878388</v>
      </c>
      <c r="I471">
        <v>0</v>
      </c>
      <c r="J471">
        <v>1</v>
      </c>
      <c r="K471">
        <v>0</v>
      </c>
      <c r="L471" t="s">
        <v>238</v>
      </c>
      <c r="M471" t="s">
        <v>238</v>
      </c>
      <c r="N471" t="s">
        <v>238</v>
      </c>
      <c r="O471">
        <v>0</v>
      </c>
      <c r="P471">
        <v>1</v>
      </c>
      <c r="Q471">
        <v>1</v>
      </c>
      <c r="R471">
        <v>1</v>
      </c>
      <c r="S471">
        <v>1</v>
      </c>
      <c r="T471">
        <v>0</v>
      </c>
      <c r="U471">
        <v>0</v>
      </c>
      <c r="W471">
        <v>1</v>
      </c>
      <c r="AA471">
        <v>0</v>
      </c>
      <c r="AC471">
        <v>0</v>
      </c>
      <c r="AD471">
        <v>0</v>
      </c>
      <c r="AE471">
        <v>1</v>
      </c>
      <c r="AF471">
        <v>0</v>
      </c>
      <c r="AG471">
        <v>0</v>
      </c>
      <c r="AH471">
        <v>7</v>
      </c>
      <c r="AI471">
        <v>0</v>
      </c>
      <c r="AJ471">
        <v>13</v>
      </c>
    </row>
    <row r="472" spans="1:36" x14ac:dyDescent="0.2">
      <c r="A472" t="str">
        <f>+VLOOKUP(B472,studies!$A$2:$C$102,3)</f>
        <v>Waldhoff et al. (2011)</v>
      </c>
      <c r="B472">
        <v>70</v>
      </c>
      <c r="C472">
        <v>2011</v>
      </c>
      <c r="D472">
        <v>0</v>
      </c>
      <c r="E472">
        <v>1995</v>
      </c>
      <c r="F472">
        <v>2015</v>
      </c>
      <c r="G472">
        <v>0.05</v>
      </c>
      <c r="H472">
        <v>15.738950131233596</v>
      </c>
      <c r="I472">
        <v>0</v>
      </c>
      <c r="J472">
        <v>1</v>
      </c>
      <c r="K472">
        <v>0</v>
      </c>
      <c r="L472" t="s">
        <v>238</v>
      </c>
      <c r="M472" t="s">
        <v>238</v>
      </c>
      <c r="N472" t="s">
        <v>238</v>
      </c>
      <c r="O472">
        <v>0</v>
      </c>
      <c r="P472">
        <v>1</v>
      </c>
      <c r="Q472">
        <v>1</v>
      </c>
      <c r="R472">
        <v>1</v>
      </c>
      <c r="S472">
        <v>1</v>
      </c>
      <c r="T472">
        <v>0</v>
      </c>
      <c r="U472">
        <v>0</v>
      </c>
      <c r="W472">
        <v>1</v>
      </c>
      <c r="AA472">
        <v>0</v>
      </c>
      <c r="AC472">
        <v>0</v>
      </c>
      <c r="AD472">
        <v>0</v>
      </c>
      <c r="AE472">
        <v>1</v>
      </c>
      <c r="AF472">
        <v>0</v>
      </c>
      <c r="AG472">
        <v>0</v>
      </c>
      <c r="AH472">
        <v>7</v>
      </c>
      <c r="AI472">
        <v>0</v>
      </c>
      <c r="AJ472">
        <v>13</v>
      </c>
    </row>
    <row r="473" spans="1:36" x14ac:dyDescent="0.2">
      <c r="A473" t="str">
        <f>+VLOOKUP(B473,studies!$A$2:$C$102,3)</f>
        <v>Waldhoff et al. (2011)</v>
      </c>
      <c r="B473">
        <v>70</v>
      </c>
      <c r="C473">
        <v>2011</v>
      </c>
      <c r="D473">
        <v>0</v>
      </c>
      <c r="E473">
        <v>1995</v>
      </c>
      <c r="F473">
        <v>2015</v>
      </c>
      <c r="G473">
        <v>0.05</v>
      </c>
      <c r="H473">
        <v>94.433700787401577</v>
      </c>
      <c r="I473">
        <v>0</v>
      </c>
      <c r="J473">
        <v>1</v>
      </c>
      <c r="K473">
        <v>0</v>
      </c>
      <c r="L473" t="s">
        <v>238</v>
      </c>
      <c r="M473" t="s">
        <v>238</v>
      </c>
      <c r="N473" t="s">
        <v>238</v>
      </c>
      <c r="O473">
        <v>0</v>
      </c>
      <c r="P473">
        <v>1</v>
      </c>
      <c r="Q473">
        <v>1</v>
      </c>
      <c r="R473">
        <v>1</v>
      </c>
      <c r="S473">
        <v>1</v>
      </c>
      <c r="T473">
        <v>0</v>
      </c>
      <c r="U473">
        <v>0</v>
      </c>
      <c r="W473">
        <v>1</v>
      </c>
      <c r="AA473">
        <v>0</v>
      </c>
      <c r="AC473">
        <v>0</v>
      </c>
      <c r="AD473">
        <v>0</v>
      </c>
      <c r="AE473">
        <v>1</v>
      </c>
      <c r="AF473">
        <v>0</v>
      </c>
      <c r="AG473">
        <v>0</v>
      </c>
      <c r="AH473">
        <v>7</v>
      </c>
      <c r="AI473">
        <v>0</v>
      </c>
      <c r="AJ473">
        <v>13</v>
      </c>
    </row>
    <row r="474" spans="1:36" x14ac:dyDescent="0.2">
      <c r="A474" t="str">
        <f>+VLOOKUP(B474,studies!$A$2:$C$102,3)</f>
        <v>Waldhoff et al. (2011)</v>
      </c>
      <c r="B474">
        <v>70</v>
      </c>
      <c r="C474">
        <v>2011</v>
      </c>
      <c r="D474">
        <v>0</v>
      </c>
      <c r="E474">
        <v>1995</v>
      </c>
      <c r="F474">
        <v>2015</v>
      </c>
      <c r="G474">
        <v>0.1</v>
      </c>
      <c r="H474">
        <v>267.56215223097115</v>
      </c>
      <c r="I474">
        <v>0</v>
      </c>
      <c r="J474">
        <v>1</v>
      </c>
      <c r="K474">
        <v>0</v>
      </c>
      <c r="L474" t="s">
        <v>238</v>
      </c>
      <c r="M474" t="s">
        <v>238</v>
      </c>
      <c r="N474" t="s">
        <v>238</v>
      </c>
      <c r="O474">
        <v>0</v>
      </c>
      <c r="P474">
        <v>1</v>
      </c>
      <c r="Q474">
        <v>1</v>
      </c>
      <c r="R474">
        <v>1</v>
      </c>
      <c r="S474">
        <v>1</v>
      </c>
      <c r="T474">
        <v>0</v>
      </c>
      <c r="U474">
        <v>0</v>
      </c>
      <c r="W474">
        <v>1</v>
      </c>
      <c r="AA474">
        <v>0</v>
      </c>
      <c r="AC474">
        <v>0</v>
      </c>
      <c r="AD474">
        <v>0</v>
      </c>
      <c r="AE474">
        <v>1</v>
      </c>
      <c r="AF474">
        <v>0</v>
      </c>
      <c r="AG474">
        <v>0</v>
      </c>
      <c r="AH474">
        <v>7</v>
      </c>
      <c r="AI474">
        <v>0</v>
      </c>
      <c r="AJ474">
        <v>13</v>
      </c>
    </row>
    <row r="475" spans="1:36" x14ac:dyDescent="0.2">
      <c r="A475" t="str">
        <f>+VLOOKUP(B475,studies!$A$2:$C$102,3)</f>
        <v>Waldhoff et al. (2011)</v>
      </c>
      <c r="B475">
        <v>70</v>
      </c>
      <c r="C475">
        <v>2011</v>
      </c>
      <c r="D475">
        <v>0</v>
      </c>
      <c r="E475">
        <v>1995</v>
      </c>
      <c r="F475">
        <v>2015</v>
      </c>
      <c r="G475">
        <v>0.1</v>
      </c>
      <c r="H475">
        <v>1.5738950131233593</v>
      </c>
      <c r="I475">
        <v>0</v>
      </c>
      <c r="J475">
        <v>1</v>
      </c>
      <c r="K475">
        <v>0</v>
      </c>
      <c r="L475" t="s">
        <v>238</v>
      </c>
      <c r="M475" t="s">
        <v>238</v>
      </c>
      <c r="N475" t="s">
        <v>238</v>
      </c>
      <c r="O475">
        <v>0</v>
      </c>
      <c r="P475">
        <v>1</v>
      </c>
      <c r="Q475">
        <v>1</v>
      </c>
      <c r="R475">
        <v>1</v>
      </c>
      <c r="S475">
        <v>1</v>
      </c>
      <c r="T475">
        <v>0</v>
      </c>
      <c r="U475">
        <v>0</v>
      </c>
      <c r="W475">
        <v>0.1</v>
      </c>
      <c r="AA475">
        <v>0</v>
      </c>
      <c r="AC475">
        <v>0</v>
      </c>
      <c r="AD475">
        <v>0</v>
      </c>
      <c r="AE475">
        <v>1</v>
      </c>
      <c r="AF475">
        <v>0</v>
      </c>
      <c r="AG475">
        <v>0</v>
      </c>
      <c r="AH475">
        <v>7</v>
      </c>
      <c r="AI475">
        <v>0</v>
      </c>
      <c r="AJ475">
        <v>13</v>
      </c>
    </row>
    <row r="476" spans="1:36" x14ac:dyDescent="0.2">
      <c r="A476" t="str">
        <f>+VLOOKUP(B476,studies!$A$2:$C$102,3)</f>
        <v>Waldhoff et al. (2011)</v>
      </c>
      <c r="B476">
        <v>70</v>
      </c>
      <c r="C476">
        <v>2011</v>
      </c>
      <c r="D476">
        <v>0</v>
      </c>
      <c r="E476">
        <v>1995</v>
      </c>
      <c r="F476">
        <v>2015</v>
      </c>
      <c r="G476">
        <v>0.1</v>
      </c>
      <c r="H476">
        <v>131.15791776027996</v>
      </c>
      <c r="I476">
        <v>0</v>
      </c>
      <c r="J476">
        <v>1</v>
      </c>
      <c r="K476">
        <v>0</v>
      </c>
      <c r="L476" t="s">
        <v>238</v>
      </c>
      <c r="M476" t="s">
        <v>238</v>
      </c>
      <c r="N476" t="s">
        <v>238</v>
      </c>
      <c r="O476">
        <v>0</v>
      </c>
      <c r="P476">
        <v>1</v>
      </c>
      <c r="Q476">
        <v>1</v>
      </c>
      <c r="R476">
        <v>1</v>
      </c>
      <c r="S476">
        <v>1</v>
      </c>
      <c r="T476">
        <v>0</v>
      </c>
      <c r="U476">
        <v>0</v>
      </c>
      <c r="W476">
        <v>3</v>
      </c>
      <c r="AA476">
        <v>0</v>
      </c>
      <c r="AC476">
        <v>0</v>
      </c>
      <c r="AD476">
        <v>0</v>
      </c>
      <c r="AE476">
        <v>1</v>
      </c>
      <c r="AF476">
        <v>0</v>
      </c>
      <c r="AG476">
        <v>0</v>
      </c>
      <c r="AH476">
        <v>7</v>
      </c>
      <c r="AI476">
        <v>0</v>
      </c>
      <c r="AJ476">
        <v>13</v>
      </c>
    </row>
    <row r="477" spans="1:36" x14ac:dyDescent="0.2">
      <c r="A477" t="str">
        <f>+VLOOKUP(B477,studies!$A$2:$C$102,3)</f>
        <v>Waldhoff et al. (2011)</v>
      </c>
      <c r="B477">
        <v>70</v>
      </c>
      <c r="C477">
        <v>2011</v>
      </c>
      <c r="D477">
        <v>0</v>
      </c>
      <c r="E477">
        <v>1995</v>
      </c>
      <c r="F477">
        <v>2015</v>
      </c>
      <c r="G477">
        <v>0.1</v>
      </c>
      <c r="H477">
        <v>10.492633420822397</v>
      </c>
      <c r="I477">
        <v>0</v>
      </c>
      <c r="J477">
        <v>1</v>
      </c>
      <c r="K477">
        <v>0</v>
      </c>
      <c r="L477" t="s">
        <v>238</v>
      </c>
      <c r="M477" t="s">
        <v>238</v>
      </c>
      <c r="N477" t="s">
        <v>238</v>
      </c>
      <c r="O477">
        <v>0</v>
      </c>
      <c r="P477">
        <v>1</v>
      </c>
      <c r="Q477">
        <v>1</v>
      </c>
      <c r="R477">
        <v>1</v>
      </c>
      <c r="S477">
        <v>1</v>
      </c>
      <c r="T477">
        <v>0</v>
      </c>
      <c r="U477">
        <v>0</v>
      </c>
      <c r="W477">
        <v>1</v>
      </c>
      <c r="AA477">
        <v>1</v>
      </c>
      <c r="AC477">
        <v>0</v>
      </c>
      <c r="AD477">
        <v>0</v>
      </c>
      <c r="AE477">
        <v>1</v>
      </c>
      <c r="AF477">
        <v>0</v>
      </c>
      <c r="AG477">
        <v>0</v>
      </c>
      <c r="AH477">
        <v>7</v>
      </c>
      <c r="AI477">
        <v>0</v>
      </c>
      <c r="AJ477">
        <v>13</v>
      </c>
    </row>
    <row r="478" spans="1:36" x14ac:dyDescent="0.2">
      <c r="A478" t="str">
        <f>+VLOOKUP(B478,studies!$A$2:$C$102,3)</f>
        <v>Waldhoff et al. (2011)</v>
      </c>
      <c r="B478">
        <v>70</v>
      </c>
      <c r="C478">
        <v>2011</v>
      </c>
      <c r="D478">
        <v>0</v>
      </c>
      <c r="E478">
        <v>1995</v>
      </c>
      <c r="F478">
        <v>2015</v>
      </c>
      <c r="G478">
        <v>0.1</v>
      </c>
      <c r="H478">
        <v>15.738950131233596</v>
      </c>
      <c r="I478">
        <v>0</v>
      </c>
      <c r="J478">
        <v>1</v>
      </c>
      <c r="K478">
        <v>0</v>
      </c>
      <c r="L478" t="s">
        <v>238</v>
      </c>
      <c r="M478" t="s">
        <v>238</v>
      </c>
      <c r="N478" t="s">
        <v>238</v>
      </c>
      <c r="O478">
        <v>0</v>
      </c>
      <c r="P478">
        <v>1</v>
      </c>
      <c r="Q478">
        <v>1</v>
      </c>
      <c r="R478">
        <v>1</v>
      </c>
      <c r="S478">
        <v>1</v>
      </c>
      <c r="T478">
        <v>0</v>
      </c>
      <c r="U478">
        <v>0</v>
      </c>
      <c r="W478">
        <v>1</v>
      </c>
      <c r="AA478">
        <v>0</v>
      </c>
      <c r="AC478">
        <v>0</v>
      </c>
      <c r="AD478">
        <v>0</v>
      </c>
      <c r="AE478">
        <v>1</v>
      </c>
      <c r="AF478">
        <v>0</v>
      </c>
      <c r="AG478">
        <v>0</v>
      </c>
      <c r="AH478">
        <v>7</v>
      </c>
      <c r="AI478">
        <v>0</v>
      </c>
      <c r="AJ478">
        <v>13</v>
      </c>
    </row>
    <row r="479" spans="1:36" x14ac:dyDescent="0.2">
      <c r="A479" t="str">
        <f>+VLOOKUP(B479,studies!$A$2:$C$102,3)</f>
        <v>Waldhoff et al. (2011)</v>
      </c>
      <c r="B479">
        <v>70</v>
      </c>
      <c r="C479">
        <v>2011</v>
      </c>
      <c r="D479">
        <v>0</v>
      </c>
      <c r="E479">
        <v>1995</v>
      </c>
      <c r="F479">
        <v>2015</v>
      </c>
      <c r="G479">
        <v>0.1</v>
      </c>
      <c r="H479">
        <v>41.970533683289588</v>
      </c>
      <c r="I479">
        <v>0</v>
      </c>
      <c r="J479">
        <v>1</v>
      </c>
      <c r="K479">
        <v>0</v>
      </c>
      <c r="L479" t="s">
        <v>238</v>
      </c>
      <c r="M479" t="s">
        <v>238</v>
      </c>
      <c r="N479" t="s">
        <v>238</v>
      </c>
      <c r="O479">
        <v>0</v>
      </c>
      <c r="P479">
        <v>1</v>
      </c>
      <c r="Q479">
        <v>1</v>
      </c>
      <c r="R479">
        <v>1</v>
      </c>
      <c r="S479">
        <v>1</v>
      </c>
      <c r="T479">
        <v>0</v>
      </c>
      <c r="U479">
        <v>0</v>
      </c>
      <c r="W479">
        <v>1</v>
      </c>
      <c r="AA479">
        <v>0</v>
      </c>
      <c r="AC479">
        <v>0</v>
      </c>
      <c r="AD479">
        <v>0</v>
      </c>
      <c r="AE479">
        <v>1</v>
      </c>
      <c r="AF479">
        <v>0</v>
      </c>
      <c r="AG479">
        <v>0</v>
      </c>
      <c r="AH479">
        <v>7</v>
      </c>
      <c r="AI479">
        <v>0</v>
      </c>
      <c r="AJ479">
        <v>13</v>
      </c>
    </row>
    <row r="480" spans="1:36" x14ac:dyDescent="0.2">
      <c r="A480" t="str">
        <f>+VLOOKUP(B480,studies!$A$2:$C$102,3)</f>
        <v>Waldhoff et al. (2011)</v>
      </c>
      <c r="B480">
        <v>70</v>
      </c>
      <c r="C480">
        <v>2011</v>
      </c>
      <c r="D480">
        <v>0</v>
      </c>
      <c r="E480">
        <v>1995</v>
      </c>
      <c r="F480">
        <v>2015</v>
      </c>
      <c r="G480">
        <v>0.1</v>
      </c>
      <c r="H480">
        <v>62.955800524934382</v>
      </c>
      <c r="I480">
        <v>0</v>
      </c>
      <c r="J480">
        <v>1</v>
      </c>
      <c r="K480">
        <v>0</v>
      </c>
      <c r="L480" t="s">
        <v>238</v>
      </c>
      <c r="M480" t="s">
        <v>238</v>
      </c>
      <c r="N480" t="s">
        <v>238</v>
      </c>
      <c r="O480">
        <v>0</v>
      </c>
      <c r="P480">
        <v>1</v>
      </c>
      <c r="Q480">
        <v>1</v>
      </c>
      <c r="R480">
        <v>1</v>
      </c>
      <c r="S480">
        <v>1</v>
      </c>
      <c r="T480">
        <v>0</v>
      </c>
      <c r="U480">
        <v>0</v>
      </c>
      <c r="W480">
        <v>1</v>
      </c>
      <c r="AA480">
        <v>0</v>
      </c>
      <c r="AC480">
        <v>0</v>
      </c>
      <c r="AD480">
        <v>0</v>
      </c>
      <c r="AE480">
        <v>1</v>
      </c>
      <c r="AF480">
        <v>0</v>
      </c>
      <c r="AG480">
        <v>0</v>
      </c>
      <c r="AH480">
        <v>7</v>
      </c>
      <c r="AI480">
        <v>0</v>
      </c>
      <c r="AJ480">
        <v>13</v>
      </c>
    </row>
    <row r="481" spans="1:36" x14ac:dyDescent="0.2">
      <c r="A481" t="str">
        <f>+VLOOKUP(B481,studies!$A$2:$C$102,3)</f>
        <v>Waldhoff et al. (2011)</v>
      </c>
      <c r="B481">
        <v>70</v>
      </c>
      <c r="C481">
        <v>2011</v>
      </c>
      <c r="D481">
        <v>0</v>
      </c>
      <c r="E481">
        <v>1995</v>
      </c>
      <c r="F481">
        <v>2015</v>
      </c>
      <c r="G481">
        <v>0.1</v>
      </c>
      <c r="H481">
        <v>41.970533683289588</v>
      </c>
      <c r="I481">
        <v>0</v>
      </c>
      <c r="J481">
        <v>1</v>
      </c>
      <c r="K481">
        <v>0</v>
      </c>
      <c r="L481" t="s">
        <v>238</v>
      </c>
      <c r="M481" t="s">
        <v>238</v>
      </c>
      <c r="N481" t="s">
        <v>238</v>
      </c>
      <c r="O481">
        <v>0</v>
      </c>
      <c r="P481">
        <v>1</v>
      </c>
      <c r="Q481">
        <v>1</v>
      </c>
      <c r="R481">
        <v>1</v>
      </c>
      <c r="S481">
        <v>1</v>
      </c>
      <c r="T481">
        <v>0</v>
      </c>
      <c r="U481">
        <v>0</v>
      </c>
      <c r="W481">
        <v>1</v>
      </c>
      <c r="AA481">
        <v>0</v>
      </c>
      <c r="AC481">
        <v>0</v>
      </c>
      <c r="AD481">
        <v>0</v>
      </c>
      <c r="AE481">
        <v>1</v>
      </c>
      <c r="AF481">
        <v>0</v>
      </c>
      <c r="AG481">
        <v>0</v>
      </c>
      <c r="AH481">
        <v>7</v>
      </c>
      <c r="AI481">
        <v>0</v>
      </c>
      <c r="AJ481">
        <v>13</v>
      </c>
    </row>
    <row r="482" spans="1:36" x14ac:dyDescent="0.2">
      <c r="A482" t="str">
        <f>+VLOOKUP(B482,studies!$A$2:$C$102,3)</f>
        <v>Ackerman &amp; Munitz (2012)</v>
      </c>
      <c r="B482">
        <v>71</v>
      </c>
      <c r="C482">
        <v>2012</v>
      </c>
      <c r="D482">
        <v>1</v>
      </c>
      <c r="E482">
        <v>2005</v>
      </c>
      <c r="F482">
        <v>2010</v>
      </c>
      <c r="G482">
        <v>0.02</v>
      </c>
      <c r="H482">
        <v>27.914432176465557</v>
      </c>
      <c r="I482">
        <v>1</v>
      </c>
      <c r="J482">
        <v>0</v>
      </c>
      <c r="K482">
        <v>0</v>
      </c>
      <c r="L482" t="s">
        <v>238</v>
      </c>
      <c r="M482" t="s">
        <v>238</v>
      </c>
      <c r="N482" t="s">
        <v>238</v>
      </c>
      <c r="O482">
        <v>0</v>
      </c>
      <c r="P482">
        <v>1</v>
      </c>
      <c r="Q482">
        <v>0</v>
      </c>
      <c r="R482">
        <v>1</v>
      </c>
      <c r="S482">
        <v>1</v>
      </c>
      <c r="T482">
        <v>0</v>
      </c>
      <c r="U482">
        <v>0</v>
      </c>
      <c r="V482">
        <v>0</v>
      </c>
      <c r="W482">
        <v>3</v>
      </c>
      <c r="AA482">
        <v>0</v>
      </c>
      <c r="AC482">
        <v>0</v>
      </c>
      <c r="AD482">
        <v>0</v>
      </c>
      <c r="AE482">
        <v>0</v>
      </c>
      <c r="AF482">
        <v>0</v>
      </c>
      <c r="AG482">
        <v>0</v>
      </c>
      <c r="AH482">
        <v>13</v>
      </c>
      <c r="AI482">
        <v>1.93</v>
      </c>
      <c r="AJ482">
        <v>3</v>
      </c>
    </row>
    <row r="483" spans="1:36" x14ac:dyDescent="0.2">
      <c r="A483" t="str">
        <f>+VLOOKUP(B483,studies!$A$2:$C$102,3)</f>
        <v>Ackerman &amp; Munitz (2012)</v>
      </c>
      <c r="B483">
        <v>71</v>
      </c>
      <c r="C483">
        <v>2012</v>
      </c>
      <c r="D483">
        <v>1</v>
      </c>
      <c r="E483">
        <v>2005</v>
      </c>
      <c r="F483">
        <v>2010</v>
      </c>
      <c r="G483">
        <v>0.49</v>
      </c>
      <c r="H483">
        <v>77.349221466753278</v>
      </c>
      <c r="I483">
        <v>1</v>
      </c>
      <c r="J483">
        <v>0</v>
      </c>
      <c r="K483">
        <v>0</v>
      </c>
      <c r="L483" t="s">
        <v>238</v>
      </c>
      <c r="M483" t="s">
        <v>238</v>
      </c>
      <c r="N483" t="s">
        <v>238</v>
      </c>
      <c r="O483">
        <v>0</v>
      </c>
      <c r="P483">
        <v>1</v>
      </c>
      <c r="Q483">
        <v>0</v>
      </c>
      <c r="R483">
        <v>1</v>
      </c>
      <c r="S483">
        <v>1</v>
      </c>
      <c r="T483">
        <v>0</v>
      </c>
      <c r="U483">
        <v>0</v>
      </c>
      <c r="V483">
        <v>0</v>
      </c>
      <c r="W483">
        <v>3</v>
      </c>
      <c r="AA483">
        <v>0</v>
      </c>
      <c r="AC483">
        <v>0</v>
      </c>
      <c r="AD483">
        <v>0</v>
      </c>
      <c r="AE483">
        <v>0</v>
      </c>
      <c r="AF483">
        <v>0</v>
      </c>
      <c r="AG483">
        <v>0</v>
      </c>
      <c r="AH483">
        <v>13</v>
      </c>
      <c r="AI483">
        <v>1.93</v>
      </c>
      <c r="AJ483">
        <v>3</v>
      </c>
    </row>
    <row r="484" spans="1:36" x14ac:dyDescent="0.2">
      <c r="A484" t="str">
        <f>+VLOOKUP(B484,studies!$A$2:$C$102,3)</f>
        <v>Ackerman &amp; Munitz (2012)</v>
      </c>
      <c r="B484">
        <v>71</v>
      </c>
      <c r="C484">
        <v>2012</v>
      </c>
      <c r="D484">
        <v>1</v>
      </c>
      <c r="E484">
        <v>2005</v>
      </c>
      <c r="F484">
        <v>2010</v>
      </c>
      <c r="G484">
        <v>0.49</v>
      </c>
      <c r="H484">
        <v>85.795126586812088</v>
      </c>
      <c r="I484">
        <v>1</v>
      </c>
      <c r="J484">
        <v>0</v>
      </c>
      <c r="K484">
        <v>0</v>
      </c>
      <c r="L484" t="s">
        <v>238</v>
      </c>
      <c r="M484" t="s">
        <v>238</v>
      </c>
      <c r="N484" t="s">
        <v>238</v>
      </c>
      <c r="O484">
        <v>0</v>
      </c>
      <c r="P484">
        <v>1</v>
      </c>
      <c r="Q484">
        <v>0</v>
      </c>
      <c r="R484">
        <v>1</v>
      </c>
      <c r="S484">
        <v>1</v>
      </c>
      <c r="T484">
        <v>0</v>
      </c>
      <c r="U484">
        <v>0</v>
      </c>
      <c r="V484">
        <v>0</v>
      </c>
      <c r="W484">
        <v>3</v>
      </c>
      <c r="AA484">
        <v>0</v>
      </c>
      <c r="AC484">
        <v>0</v>
      </c>
      <c r="AD484">
        <v>0</v>
      </c>
      <c r="AE484">
        <v>0</v>
      </c>
      <c r="AF484">
        <v>0</v>
      </c>
      <c r="AG484">
        <v>0</v>
      </c>
      <c r="AH484">
        <v>13</v>
      </c>
      <c r="AI484">
        <v>1.93</v>
      </c>
      <c r="AJ484">
        <v>3</v>
      </c>
    </row>
    <row r="485" spans="1:36" x14ac:dyDescent="0.2">
      <c r="A485" t="str">
        <f>+VLOOKUP(B485,studies!$A$2:$C$102,3)</f>
        <v>Ackerman &amp; Stanton (2012)</v>
      </c>
      <c r="B485">
        <v>72</v>
      </c>
      <c r="C485">
        <v>2012</v>
      </c>
      <c r="D485">
        <v>1</v>
      </c>
      <c r="E485">
        <v>2007</v>
      </c>
      <c r="F485">
        <v>2010</v>
      </c>
      <c r="G485">
        <v>7.0370370370370361E-2</v>
      </c>
      <c r="H485">
        <v>530.35894639371531</v>
      </c>
      <c r="I485">
        <v>1</v>
      </c>
      <c r="J485">
        <v>0</v>
      </c>
      <c r="K485">
        <v>0</v>
      </c>
      <c r="L485" t="s">
        <v>238</v>
      </c>
      <c r="M485">
        <v>334.79940407074736</v>
      </c>
      <c r="N485">
        <v>334.79940407074736</v>
      </c>
      <c r="O485">
        <v>0</v>
      </c>
      <c r="P485">
        <v>1</v>
      </c>
      <c r="Q485">
        <v>0</v>
      </c>
      <c r="R485">
        <v>1</v>
      </c>
      <c r="S485">
        <v>0</v>
      </c>
      <c r="T485">
        <v>1</v>
      </c>
      <c r="U485">
        <v>0</v>
      </c>
      <c r="V485">
        <v>1.5</v>
      </c>
      <c r="W485">
        <v>-0.5</v>
      </c>
      <c r="AA485">
        <v>0</v>
      </c>
      <c r="AC485">
        <v>0</v>
      </c>
      <c r="AD485">
        <v>0</v>
      </c>
      <c r="AE485">
        <v>0</v>
      </c>
      <c r="AF485">
        <v>0</v>
      </c>
      <c r="AG485">
        <v>0</v>
      </c>
      <c r="AH485">
        <v>82</v>
      </c>
      <c r="AI485">
        <v>0</v>
      </c>
      <c r="AJ485">
        <v>8</v>
      </c>
    </row>
    <row r="486" spans="1:36" x14ac:dyDescent="0.2">
      <c r="A486" t="str">
        <f>+VLOOKUP(B486,studies!$A$2:$C$102,3)</f>
        <v>Ackerman &amp; Stanton (2012)</v>
      </c>
      <c r="B486">
        <v>72</v>
      </c>
      <c r="C486">
        <v>2012</v>
      </c>
      <c r="D486">
        <v>1</v>
      </c>
      <c r="E486">
        <v>2007</v>
      </c>
      <c r="F486">
        <v>2010</v>
      </c>
      <c r="G486">
        <v>3.518518518518518E-2</v>
      </c>
      <c r="H486">
        <v>125.8478855849494</v>
      </c>
      <c r="I486">
        <v>1</v>
      </c>
      <c r="J486">
        <v>0</v>
      </c>
      <c r="K486">
        <v>0</v>
      </c>
      <c r="L486" t="s">
        <v>238</v>
      </c>
      <c r="M486">
        <v>64.208104890280296</v>
      </c>
      <c r="N486">
        <v>64.208104890280296</v>
      </c>
      <c r="O486">
        <v>0</v>
      </c>
      <c r="P486">
        <v>1</v>
      </c>
      <c r="Q486">
        <v>0</v>
      </c>
      <c r="R486">
        <v>1</v>
      </c>
      <c r="S486">
        <v>0</v>
      </c>
      <c r="T486">
        <v>1</v>
      </c>
      <c r="U486">
        <v>0</v>
      </c>
      <c r="V486">
        <v>3</v>
      </c>
      <c r="W486">
        <v>1</v>
      </c>
      <c r="AA486">
        <v>0</v>
      </c>
      <c r="AC486">
        <v>0</v>
      </c>
      <c r="AD486">
        <v>0</v>
      </c>
      <c r="AE486">
        <v>0</v>
      </c>
      <c r="AF486">
        <v>0</v>
      </c>
      <c r="AG486">
        <v>0</v>
      </c>
      <c r="AH486">
        <v>82</v>
      </c>
      <c r="AI486">
        <v>0</v>
      </c>
      <c r="AJ486">
        <v>8</v>
      </c>
    </row>
    <row r="487" spans="1:36" x14ac:dyDescent="0.2">
      <c r="A487" t="str">
        <f>+VLOOKUP(B487,studies!$A$2:$C$102,3)</f>
        <v>Ackerman &amp; Stanton (2012)</v>
      </c>
      <c r="B487">
        <v>72</v>
      </c>
      <c r="C487">
        <v>2012</v>
      </c>
      <c r="D487">
        <v>1</v>
      </c>
      <c r="E487">
        <v>2007</v>
      </c>
      <c r="F487">
        <v>2010</v>
      </c>
      <c r="G487">
        <v>0.14074074074074072</v>
      </c>
      <c r="H487">
        <v>1083.1907294990287</v>
      </c>
      <c r="I487">
        <v>1</v>
      </c>
      <c r="J487">
        <v>0</v>
      </c>
      <c r="K487">
        <v>0</v>
      </c>
      <c r="L487" t="s">
        <v>238</v>
      </c>
      <c r="M487">
        <v>538.88945175770959</v>
      </c>
      <c r="N487">
        <v>538.88945175770959</v>
      </c>
      <c r="O487">
        <v>0</v>
      </c>
      <c r="P487">
        <v>1</v>
      </c>
      <c r="Q487">
        <v>0</v>
      </c>
      <c r="R487">
        <v>1</v>
      </c>
      <c r="S487">
        <v>0</v>
      </c>
      <c r="T487">
        <v>1</v>
      </c>
      <c r="U487">
        <v>0</v>
      </c>
      <c r="V487">
        <v>1.5</v>
      </c>
      <c r="W487">
        <v>-0.5</v>
      </c>
      <c r="AA487">
        <v>0</v>
      </c>
      <c r="AC487">
        <v>0</v>
      </c>
      <c r="AD487">
        <v>0</v>
      </c>
      <c r="AE487">
        <v>0</v>
      </c>
      <c r="AF487">
        <v>0</v>
      </c>
      <c r="AG487">
        <v>0</v>
      </c>
      <c r="AH487">
        <v>82</v>
      </c>
      <c r="AI487">
        <v>0</v>
      </c>
      <c r="AJ487">
        <v>8</v>
      </c>
    </row>
    <row r="488" spans="1:36" x14ac:dyDescent="0.2">
      <c r="A488" t="str">
        <f>+VLOOKUP(B488,studies!$A$2:$C$102,3)</f>
        <v>Ackerman &amp; Stanton (2012)</v>
      </c>
      <c r="B488">
        <v>72</v>
      </c>
      <c r="C488">
        <v>2012</v>
      </c>
      <c r="D488">
        <v>1</v>
      </c>
      <c r="E488">
        <v>2007</v>
      </c>
      <c r="F488">
        <v>2010</v>
      </c>
      <c r="G488">
        <v>7.0370370370370361E-2</v>
      </c>
      <c r="H488">
        <v>278.66317522381649</v>
      </c>
      <c r="I488">
        <v>1</v>
      </c>
      <c r="J488">
        <v>0</v>
      </c>
      <c r="K488">
        <v>0</v>
      </c>
      <c r="L488" t="s">
        <v>238</v>
      </c>
      <c r="M488">
        <v>121.5367699708877</v>
      </c>
      <c r="N488">
        <v>121.5367699708877</v>
      </c>
      <c r="O488">
        <v>0</v>
      </c>
      <c r="P488">
        <v>1</v>
      </c>
      <c r="Q488">
        <v>0</v>
      </c>
      <c r="R488">
        <v>1</v>
      </c>
      <c r="S488">
        <v>0</v>
      </c>
      <c r="T488">
        <v>1</v>
      </c>
      <c r="U488">
        <v>0</v>
      </c>
      <c r="V488">
        <v>3</v>
      </c>
      <c r="W488">
        <v>1</v>
      </c>
      <c r="AA488">
        <v>0</v>
      </c>
      <c r="AC488">
        <v>0</v>
      </c>
      <c r="AD488">
        <v>0</v>
      </c>
      <c r="AE488">
        <v>0</v>
      </c>
      <c r="AF488">
        <v>0</v>
      </c>
      <c r="AG488">
        <v>0</v>
      </c>
      <c r="AH488">
        <v>82</v>
      </c>
      <c r="AI488">
        <v>0</v>
      </c>
      <c r="AJ488">
        <v>8</v>
      </c>
    </row>
    <row r="489" spans="1:36" x14ac:dyDescent="0.2">
      <c r="A489" t="str">
        <f>+VLOOKUP(B489,studies!$A$2:$C$102,3)</f>
        <v>Ackerman &amp; Stanton (2012)</v>
      </c>
      <c r="B489">
        <v>72</v>
      </c>
      <c r="C489">
        <v>2012</v>
      </c>
      <c r="D489">
        <v>1</v>
      </c>
      <c r="E489">
        <v>2007</v>
      </c>
      <c r="F489">
        <v>2010</v>
      </c>
      <c r="G489">
        <v>0.14074074074074072</v>
      </c>
      <c r="H489">
        <v>1847.2671776933644</v>
      </c>
      <c r="I489">
        <v>1</v>
      </c>
      <c r="J489">
        <v>0</v>
      </c>
      <c r="K489">
        <v>0</v>
      </c>
      <c r="L489" t="s">
        <v>238</v>
      </c>
      <c r="M489">
        <v>1093.8309297379894</v>
      </c>
      <c r="N489">
        <v>1093.8309297379894</v>
      </c>
      <c r="O489">
        <v>0</v>
      </c>
      <c r="P489">
        <v>1</v>
      </c>
      <c r="Q489">
        <v>0</v>
      </c>
      <c r="R489">
        <v>1</v>
      </c>
      <c r="S489">
        <v>0</v>
      </c>
      <c r="T489">
        <v>1</v>
      </c>
      <c r="U489">
        <v>0</v>
      </c>
      <c r="V489">
        <v>1.5</v>
      </c>
      <c r="W489">
        <v>-0.5</v>
      </c>
      <c r="AA489">
        <v>0</v>
      </c>
      <c r="AC489">
        <v>0</v>
      </c>
      <c r="AD489">
        <v>0</v>
      </c>
      <c r="AE489">
        <v>0</v>
      </c>
      <c r="AF489">
        <v>0</v>
      </c>
      <c r="AG489">
        <v>0</v>
      </c>
      <c r="AH489">
        <v>82</v>
      </c>
      <c r="AI489">
        <v>0</v>
      </c>
      <c r="AJ489">
        <v>8</v>
      </c>
    </row>
    <row r="490" spans="1:36" x14ac:dyDescent="0.2">
      <c r="A490" t="str">
        <f>+VLOOKUP(B490,studies!$A$2:$C$102,3)</f>
        <v>Ackerman &amp; Stanton (2012)</v>
      </c>
      <c r="B490">
        <v>72</v>
      </c>
      <c r="C490">
        <v>2012</v>
      </c>
      <c r="D490">
        <v>1</v>
      </c>
      <c r="E490">
        <v>2007</v>
      </c>
      <c r="F490">
        <v>2010</v>
      </c>
      <c r="G490">
        <v>7.0370370370370361E-2</v>
      </c>
      <c r="H490">
        <v>346.08168535861086</v>
      </c>
      <c r="I490">
        <v>1</v>
      </c>
      <c r="J490">
        <v>0</v>
      </c>
      <c r="K490">
        <v>0</v>
      </c>
      <c r="L490" t="s">
        <v>238</v>
      </c>
      <c r="M490">
        <v>282.05703219658847</v>
      </c>
      <c r="N490">
        <v>282.05703219658847</v>
      </c>
      <c r="O490">
        <v>0</v>
      </c>
      <c r="P490">
        <v>1</v>
      </c>
      <c r="Q490">
        <v>0</v>
      </c>
      <c r="R490">
        <v>1</v>
      </c>
      <c r="S490">
        <v>0</v>
      </c>
      <c r="T490">
        <v>1</v>
      </c>
      <c r="U490">
        <v>0</v>
      </c>
      <c r="V490">
        <v>3</v>
      </c>
      <c r="W490">
        <v>1</v>
      </c>
      <c r="AA490">
        <v>0</v>
      </c>
      <c r="AC490">
        <v>0</v>
      </c>
      <c r="AD490">
        <v>0</v>
      </c>
      <c r="AE490">
        <v>0</v>
      </c>
      <c r="AF490">
        <v>0</v>
      </c>
      <c r="AG490">
        <v>0</v>
      </c>
      <c r="AH490">
        <v>82</v>
      </c>
      <c r="AI490">
        <v>0</v>
      </c>
      <c r="AJ490">
        <v>8</v>
      </c>
    </row>
    <row r="491" spans="1:36" x14ac:dyDescent="0.2">
      <c r="A491" t="str">
        <f>+VLOOKUP(B491,studies!$A$2:$C$102,3)</f>
        <v>Ackerman &amp; Stanton (2012)</v>
      </c>
      <c r="B491">
        <v>72</v>
      </c>
      <c r="C491">
        <v>2012</v>
      </c>
      <c r="D491">
        <v>1</v>
      </c>
      <c r="E491">
        <v>2007</v>
      </c>
      <c r="F491">
        <v>2010</v>
      </c>
      <c r="G491">
        <v>0.28148148148148144</v>
      </c>
      <c r="H491">
        <v>2000.0824673322313</v>
      </c>
      <c r="I491">
        <v>1</v>
      </c>
      <c r="J491">
        <v>0</v>
      </c>
      <c r="K491">
        <v>0</v>
      </c>
      <c r="L491" t="s">
        <v>238</v>
      </c>
      <c r="M491">
        <v>1025.0365316412606</v>
      </c>
      <c r="N491">
        <v>1025.0365316412606</v>
      </c>
      <c r="O491">
        <v>0</v>
      </c>
      <c r="P491">
        <v>1</v>
      </c>
      <c r="Q491">
        <v>0</v>
      </c>
      <c r="R491">
        <v>1</v>
      </c>
      <c r="S491">
        <v>0</v>
      </c>
      <c r="T491">
        <v>1</v>
      </c>
      <c r="U491">
        <v>0</v>
      </c>
      <c r="V491">
        <v>1.5</v>
      </c>
      <c r="W491">
        <v>-0.5</v>
      </c>
      <c r="AA491">
        <v>0</v>
      </c>
      <c r="AC491">
        <v>0</v>
      </c>
      <c r="AD491">
        <v>0</v>
      </c>
      <c r="AE491">
        <v>0</v>
      </c>
      <c r="AF491">
        <v>0</v>
      </c>
      <c r="AG491">
        <v>0</v>
      </c>
      <c r="AH491">
        <v>82</v>
      </c>
      <c r="AI491">
        <v>0</v>
      </c>
      <c r="AJ491">
        <v>8</v>
      </c>
    </row>
    <row r="492" spans="1:36" x14ac:dyDescent="0.2">
      <c r="A492" t="str">
        <f>+VLOOKUP(B492,studies!$A$2:$C$102,3)</f>
        <v>Ackerman &amp; Stanton (2012)</v>
      </c>
      <c r="B492">
        <v>72</v>
      </c>
      <c r="C492">
        <v>2012</v>
      </c>
      <c r="D492">
        <v>1</v>
      </c>
      <c r="E492">
        <v>2007</v>
      </c>
      <c r="F492">
        <v>2010</v>
      </c>
      <c r="G492">
        <v>0.14074074074074072</v>
      </c>
      <c r="H492">
        <v>431.47846486268367</v>
      </c>
      <c r="I492">
        <v>1</v>
      </c>
      <c r="J492">
        <v>0</v>
      </c>
      <c r="K492">
        <v>0</v>
      </c>
      <c r="L492" t="s">
        <v>238</v>
      </c>
      <c r="M492">
        <v>275.17759238691559</v>
      </c>
      <c r="N492">
        <v>275.17759238691559</v>
      </c>
      <c r="O492">
        <v>0</v>
      </c>
      <c r="P492">
        <v>1</v>
      </c>
      <c r="Q492">
        <v>0</v>
      </c>
      <c r="R492">
        <v>1</v>
      </c>
      <c r="S492">
        <v>0</v>
      </c>
      <c r="T492">
        <v>1</v>
      </c>
      <c r="U492">
        <v>0</v>
      </c>
      <c r="V492">
        <v>3</v>
      </c>
      <c r="W492">
        <v>1</v>
      </c>
      <c r="AA492">
        <v>0</v>
      </c>
      <c r="AC492">
        <v>0</v>
      </c>
      <c r="AD492">
        <v>0</v>
      </c>
      <c r="AE492">
        <v>0</v>
      </c>
      <c r="AF492">
        <v>0</v>
      </c>
      <c r="AG492">
        <v>0</v>
      </c>
      <c r="AH492">
        <v>82</v>
      </c>
      <c r="AI492">
        <v>0</v>
      </c>
      <c r="AJ492">
        <v>8</v>
      </c>
    </row>
    <row r="493" spans="1:36" x14ac:dyDescent="0.2">
      <c r="A493" t="str">
        <f>+VLOOKUP(B493,studies!$A$2:$C$102,3)</f>
        <v>Botzen &amp; van den Bergh (2012)</v>
      </c>
      <c r="B493">
        <v>73</v>
      </c>
      <c r="C493">
        <v>2012</v>
      </c>
      <c r="D493">
        <v>1</v>
      </c>
      <c r="E493">
        <v>2005</v>
      </c>
      <c r="F493">
        <v>2015</v>
      </c>
      <c r="G493">
        <v>0.1</v>
      </c>
      <c r="H493">
        <v>46.782111623143876</v>
      </c>
      <c r="I493">
        <v>0</v>
      </c>
      <c r="J493">
        <v>1</v>
      </c>
      <c r="K493">
        <v>0</v>
      </c>
      <c r="L493" t="s">
        <v>238</v>
      </c>
      <c r="M493" t="s">
        <v>238</v>
      </c>
      <c r="N493" t="s">
        <v>238</v>
      </c>
      <c r="O493">
        <v>0</v>
      </c>
      <c r="P493">
        <v>1</v>
      </c>
      <c r="Q493">
        <v>0</v>
      </c>
      <c r="R493">
        <v>1</v>
      </c>
      <c r="S493">
        <v>0</v>
      </c>
      <c r="T493">
        <v>1</v>
      </c>
      <c r="U493">
        <v>0</v>
      </c>
      <c r="W493">
        <v>3</v>
      </c>
      <c r="AA493">
        <v>0</v>
      </c>
      <c r="AC493">
        <v>0</v>
      </c>
      <c r="AD493">
        <v>0</v>
      </c>
      <c r="AE493">
        <v>0</v>
      </c>
      <c r="AF493">
        <v>1</v>
      </c>
      <c r="AG493">
        <v>0</v>
      </c>
      <c r="AH493">
        <v>5</v>
      </c>
      <c r="AI493">
        <v>0.81</v>
      </c>
      <c r="AJ493">
        <v>2</v>
      </c>
    </row>
    <row r="494" spans="1:36" x14ac:dyDescent="0.2">
      <c r="A494" t="str">
        <f>+VLOOKUP(B494,studies!$A$2:$C$102,3)</f>
        <v>Botzen &amp; van den Bergh (2012)</v>
      </c>
      <c r="B494">
        <v>73</v>
      </c>
      <c r="C494">
        <v>2012</v>
      </c>
      <c r="D494">
        <v>1</v>
      </c>
      <c r="E494">
        <v>2005</v>
      </c>
      <c r="F494">
        <v>2015</v>
      </c>
      <c r="G494">
        <v>0.9</v>
      </c>
      <c r="H494">
        <v>47.318040348182279</v>
      </c>
      <c r="I494">
        <v>0</v>
      </c>
      <c r="J494">
        <v>1</v>
      </c>
      <c r="K494">
        <v>0</v>
      </c>
      <c r="L494" t="s">
        <v>238</v>
      </c>
      <c r="M494" t="s">
        <v>238</v>
      </c>
      <c r="N494" t="s">
        <v>238</v>
      </c>
      <c r="O494">
        <v>0</v>
      </c>
      <c r="P494">
        <v>1</v>
      </c>
      <c r="Q494">
        <v>0</v>
      </c>
      <c r="R494">
        <v>1</v>
      </c>
      <c r="S494">
        <v>0</v>
      </c>
      <c r="T494">
        <v>1</v>
      </c>
      <c r="U494">
        <v>0</v>
      </c>
      <c r="W494">
        <v>3</v>
      </c>
      <c r="AA494">
        <v>0</v>
      </c>
      <c r="AC494">
        <v>0</v>
      </c>
      <c r="AD494">
        <v>0</v>
      </c>
      <c r="AE494">
        <v>0</v>
      </c>
      <c r="AF494">
        <v>1</v>
      </c>
      <c r="AG494">
        <v>0</v>
      </c>
      <c r="AH494">
        <v>5</v>
      </c>
      <c r="AI494">
        <v>0.81</v>
      </c>
      <c r="AJ494">
        <v>2</v>
      </c>
    </row>
    <row r="495" spans="1:36" x14ac:dyDescent="0.2">
      <c r="A495" t="str">
        <f>+VLOOKUP(B495,studies!$A$2:$C$102,3)</f>
        <v>Cai et al. (2012)</v>
      </c>
      <c r="B495">
        <v>74</v>
      </c>
      <c r="C495">
        <v>2012</v>
      </c>
      <c r="D495">
        <v>1</v>
      </c>
      <c r="E495">
        <v>2005</v>
      </c>
      <c r="F495">
        <v>2015</v>
      </c>
      <c r="G495">
        <v>0.99</v>
      </c>
      <c r="H495">
        <v>35.728581669226827</v>
      </c>
      <c r="I495">
        <v>0</v>
      </c>
      <c r="J495">
        <v>1</v>
      </c>
      <c r="K495">
        <v>0</v>
      </c>
      <c r="L495" t="s">
        <v>238</v>
      </c>
      <c r="M495" t="s">
        <v>238</v>
      </c>
      <c r="N495" t="s">
        <v>238</v>
      </c>
      <c r="O495">
        <v>0</v>
      </c>
      <c r="P495">
        <v>1</v>
      </c>
      <c r="Q495">
        <v>0</v>
      </c>
      <c r="R495">
        <v>1</v>
      </c>
      <c r="S495">
        <v>0</v>
      </c>
      <c r="T495">
        <v>1</v>
      </c>
      <c r="U495">
        <v>0</v>
      </c>
      <c r="W495">
        <v>3</v>
      </c>
      <c r="AA495">
        <v>0</v>
      </c>
      <c r="AC495">
        <v>0</v>
      </c>
      <c r="AD495">
        <v>0</v>
      </c>
      <c r="AE495">
        <v>0</v>
      </c>
      <c r="AF495">
        <v>1</v>
      </c>
      <c r="AG495">
        <v>0</v>
      </c>
      <c r="AH495">
        <v>13</v>
      </c>
      <c r="AI495">
        <v>2.67</v>
      </c>
      <c r="AJ495">
        <v>2</v>
      </c>
    </row>
    <row r="496" spans="1:36" x14ac:dyDescent="0.2">
      <c r="A496" t="str">
        <f>+VLOOKUP(B496,studies!$A$2:$C$102,3)</f>
        <v>Cai et al. (2012)</v>
      </c>
      <c r="B496">
        <v>74</v>
      </c>
      <c r="C496">
        <v>2012</v>
      </c>
      <c r="D496">
        <v>1</v>
      </c>
      <c r="E496">
        <v>2005</v>
      </c>
      <c r="F496">
        <v>2015</v>
      </c>
      <c r="G496">
        <v>0.01</v>
      </c>
      <c r="H496">
        <v>45.777245263696869</v>
      </c>
      <c r="I496">
        <v>0</v>
      </c>
      <c r="J496">
        <v>1</v>
      </c>
      <c r="K496">
        <v>0</v>
      </c>
      <c r="L496" t="s">
        <v>238</v>
      </c>
      <c r="M496" t="s">
        <v>238</v>
      </c>
      <c r="N496" t="s">
        <v>238</v>
      </c>
      <c r="O496">
        <v>0</v>
      </c>
      <c r="P496">
        <v>1</v>
      </c>
      <c r="Q496">
        <v>0</v>
      </c>
      <c r="R496">
        <v>1</v>
      </c>
      <c r="S496">
        <v>0</v>
      </c>
      <c r="T496">
        <v>1</v>
      </c>
      <c r="U496">
        <v>0</v>
      </c>
      <c r="W496">
        <v>3</v>
      </c>
      <c r="AA496">
        <v>0</v>
      </c>
      <c r="AC496">
        <v>0</v>
      </c>
      <c r="AD496">
        <v>0</v>
      </c>
      <c r="AE496">
        <v>0</v>
      </c>
      <c r="AF496">
        <v>1</v>
      </c>
      <c r="AG496">
        <v>0</v>
      </c>
      <c r="AH496">
        <v>13</v>
      </c>
      <c r="AI496">
        <v>2.67</v>
      </c>
      <c r="AJ496">
        <v>2</v>
      </c>
    </row>
    <row r="497" spans="1:36" x14ac:dyDescent="0.2">
      <c r="A497" t="str">
        <f>+VLOOKUP(B497,studies!$A$2:$C$102,3)</f>
        <v>Espagne et al. (2012)</v>
      </c>
      <c r="B497">
        <v>75</v>
      </c>
      <c r="C497">
        <v>2012</v>
      </c>
      <c r="D497">
        <v>0</v>
      </c>
      <c r="E497">
        <v>2005</v>
      </c>
      <c r="F497">
        <v>2010</v>
      </c>
      <c r="G497">
        <v>0.5</v>
      </c>
      <c r="H497">
        <v>87.481126478951879</v>
      </c>
      <c r="I497">
        <v>1</v>
      </c>
      <c r="J497">
        <v>0</v>
      </c>
      <c r="K497">
        <v>0</v>
      </c>
      <c r="O497">
        <v>1</v>
      </c>
      <c r="P497">
        <v>1</v>
      </c>
      <c r="Q497">
        <v>1</v>
      </c>
      <c r="R497">
        <v>0</v>
      </c>
      <c r="S497">
        <v>0</v>
      </c>
      <c r="T497">
        <v>0</v>
      </c>
      <c r="U497">
        <v>0</v>
      </c>
      <c r="V497">
        <v>4.0999999999999996</v>
      </c>
      <c r="W497">
        <v>1.5</v>
      </c>
      <c r="X497">
        <v>2</v>
      </c>
      <c r="Y497">
        <v>1.3</v>
      </c>
      <c r="Z497">
        <v>0.5</v>
      </c>
      <c r="AA497">
        <v>0</v>
      </c>
      <c r="AB497">
        <v>3</v>
      </c>
      <c r="AC497">
        <v>0</v>
      </c>
      <c r="AD497">
        <v>0</v>
      </c>
      <c r="AE497">
        <v>0</v>
      </c>
      <c r="AF497">
        <v>1</v>
      </c>
      <c r="AG497">
        <v>0</v>
      </c>
      <c r="AH497">
        <v>4</v>
      </c>
      <c r="AI497">
        <v>0</v>
      </c>
      <c r="AJ497">
        <v>2</v>
      </c>
    </row>
    <row r="498" spans="1:36" x14ac:dyDescent="0.2">
      <c r="A498" t="str">
        <f>+VLOOKUP(B498,studies!$A$2:$C$102,3)</f>
        <v>Espagne et al. (2012)</v>
      </c>
      <c r="B498">
        <v>75</v>
      </c>
      <c r="C498">
        <v>2012</v>
      </c>
      <c r="D498">
        <v>0</v>
      </c>
      <c r="E498">
        <v>2005</v>
      </c>
      <c r="F498">
        <v>2010</v>
      </c>
      <c r="G498">
        <v>0.5</v>
      </c>
      <c r="H498">
        <v>787.33013831056712</v>
      </c>
      <c r="I498">
        <v>1</v>
      </c>
      <c r="J498">
        <v>0</v>
      </c>
      <c r="K498">
        <v>0</v>
      </c>
      <c r="O498">
        <v>1</v>
      </c>
      <c r="P498">
        <v>1</v>
      </c>
      <c r="Q498">
        <v>1</v>
      </c>
      <c r="R498">
        <v>0</v>
      </c>
      <c r="S498">
        <v>0</v>
      </c>
      <c r="T498">
        <v>0</v>
      </c>
      <c r="U498">
        <v>0</v>
      </c>
      <c r="V498">
        <v>1.4</v>
      </c>
      <c r="W498">
        <v>0.1</v>
      </c>
      <c r="X498">
        <v>1</v>
      </c>
      <c r="Y498">
        <v>1.3</v>
      </c>
      <c r="Z498">
        <v>1</v>
      </c>
      <c r="AA498">
        <v>0</v>
      </c>
      <c r="AB498">
        <v>4</v>
      </c>
      <c r="AC498">
        <v>0</v>
      </c>
      <c r="AD498">
        <v>0</v>
      </c>
      <c r="AE498">
        <v>0</v>
      </c>
      <c r="AF498">
        <v>1</v>
      </c>
      <c r="AG498">
        <v>0</v>
      </c>
      <c r="AH498">
        <v>4</v>
      </c>
      <c r="AI498">
        <v>0</v>
      </c>
      <c r="AJ498">
        <v>2</v>
      </c>
    </row>
    <row r="499" spans="1:36" x14ac:dyDescent="0.2">
      <c r="A499" t="str">
        <f>+VLOOKUP(B499,studies!$A$2:$C$102,3)</f>
        <v>Gerlagh &amp; Liski (2012)</v>
      </c>
      <c r="B499">
        <v>76</v>
      </c>
      <c r="C499">
        <v>2012</v>
      </c>
      <c r="D499">
        <v>0</v>
      </c>
      <c r="E499">
        <v>2010</v>
      </c>
      <c r="F499">
        <v>2010</v>
      </c>
      <c r="G499">
        <v>0.33333333333333331</v>
      </c>
      <c r="H499">
        <v>46.669137259475939</v>
      </c>
      <c r="I499">
        <v>1</v>
      </c>
      <c r="J499">
        <v>0</v>
      </c>
      <c r="K499">
        <v>0</v>
      </c>
      <c r="O499">
        <v>0</v>
      </c>
      <c r="P499">
        <v>1</v>
      </c>
      <c r="Q499">
        <v>1</v>
      </c>
      <c r="R499">
        <v>0</v>
      </c>
      <c r="S499">
        <v>0</v>
      </c>
      <c r="T499">
        <v>0</v>
      </c>
      <c r="U499">
        <v>0</v>
      </c>
      <c r="W499">
        <v>2</v>
      </c>
      <c r="AA499">
        <v>0</v>
      </c>
      <c r="AB499">
        <v>3</v>
      </c>
      <c r="AC499">
        <v>0</v>
      </c>
      <c r="AD499">
        <v>0</v>
      </c>
      <c r="AE499">
        <v>0</v>
      </c>
      <c r="AF499">
        <v>1</v>
      </c>
      <c r="AG499">
        <v>0</v>
      </c>
      <c r="AH499">
        <v>42</v>
      </c>
      <c r="AI499">
        <v>0</v>
      </c>
      <c r="AJ499">
        <v>3</v>
      </c>
    </row>
    <row r="500" spans="1:36" x14ac:dyDescent="0.2">
      <c r="A500" t="str">
        <f>+VLOOKUP(B500,studies!$A$2:$C$102,3)</f>
        <v>Gerlagh &amp; Liski (2012)</v>
      </c>
      <c r="B500">
        <v>76</v>
      </c>
      <c r="C500">
        <v>2012</v>
      </c>
      <c r="D500">
        <v>0</v>
      </c>
      <c r="E500">
        <v>2010</v>
      </c>
      <c r="F500">
        <v>2010</v>
      </c>
      <c r="G500">
        <v>0.33333333333333331</v>
      </c>
      <c r="H500">
        <v>163.34198040816577</v>
      </c>
      <c r="I500">
        <v>1</v>
      </c>
      <c r="J500">
        <v>0</v>
      </c>
      <c r="K500">
        <v>0</v>
      </c>
      <c r="O500">
        <v>0</v>
      </c>
      <c r="P500">
        <v>1</v>
      </c>
      <c r="Q500">
        <v>1</v>
      </c>
      <c r="R500">
        <v>0</v>
      </c>
      <c r="S500">
        <v>0</v>
      </c>
      <c r="T500">
        <v>0</v>
      </c>
      <c r="U500">
        <v>0</v>
      </c>
      <c r="W500">
        <v>2</v>
      </c>
      <c r="AA500">
        <v>0</v>
      </c>
      <c r="AB500">
        <v>3</v>
      </c>
      <c r="AC500">
        <v>0</v>
      </c>
      <c r="AD500">
        <v>0</v>
      </c>
      <c r="AE500">
        <v>0</v>
      </c>
      <c r="AF500">
        <v>0</v>
      </c>
      <c r="AG500">
        <v>0</v>
      </c>
      <c r="AH500">
        <v>42</v>
      </c>
      <c r="AI500">
        <v>0</v>
      </c>
      <c r="AJ500">
        <v>3</v>
      </c>
    </row>
    <row r="501" spans="1:36" x14ac:dyDescent="0.2">
      <c r="A501" t="str">
        <f>+VLOOKUP(B501,studies!$A$2:$C$102,3)</f>
        <v>Gerlagh &amp; Liski (2012)</v>
      </c>
      <c r="B501">
        <v>76</v>
      </c>
      <c r="C501">
        <v>2012</v>
      </c>
      <c r="D501">
        <v>0</v>
      </c>
      <c r="E501">
        <v>2010</v>
      </c>
      <c r="F501">
        <v>2010</v>
      </c>
      <c r="G501">
        <v>0.33333333333333331</v>
      </c>
      <c r="H501">
        <v>183.34303923365547</v>
      </c>
      <c r="I501">
        <v>1</v>
      </c>
      <c r="J501">
        <v>0</v>
      </c>
      <c r="K501">
        <v>0</v>
      </c>
      <c r="O501">
        <v>0</v>
      </c>
      <c r="P501">
        <v>1</v>
      </c>
      <c r="Q501">
        <v>1</v>
      </c>
      <c r="R501">
        <v>0</v>
      </c>
      <c r="S501">
        <v>0</v>
      </c>
      <c r="T501">
        <v>0</v>
      </c>
      <c r="U501">
        <v>0</v>
      </c>
      <c r="W501">
        <v>2</v>
      </c>
      <c r="AA501">
        <v>0</v>
      </c>
      <c r="AB501">
        <v>3</v>
      </c>
      <c r="AC501">
        <v>0</v>
      </c>
      <c r="AD501">
        <v>0</v>
      </c>
      <c r="AE501">
        <v>0</v>
      </c>
      <c r="AF501">
        <v>0</v>
      </c>
      <c r="AG501">
        <v>0</v>
      </c>
      <c r="AH501">
        <v>42</v>
      </c>
      <c r="AI501">
        <v>0</v>
      </c>
      <c r="AJ501">
        <v>3</v>
      </c>
    </row>
    <row r="502" spans="1:36" x14ac:dyDescent="0.2">
      <c r="A502" t="str">
        <f>+VLOOKUP(B502,studies!$A$2:$C$102,3)</f>
        <v>Johnson &amp; Hope (2012)</v>
      </c>
      <c r="B502">
        <v>77</v>
      </c>
      <c r="C502">
        <v>2012</v>
      </c>
      <c r="D502">
        <v>1</v>
      </c>
      <c r="E502">
        <v>2007</v>
      </c>
      <c r="F502">
        <v>2010</v>
      </c>
      <c r="G502">
        <v>0.11627906976744186</v>
      </c>
      <c r="H502">
        <v>1195.5549130570193</v>
      </c>
      <c r="I502">
        <v>0</v>
      </c>
      <c r="J502">
        <v>1</v>
      </c>
      <c r="K502">
        <v>0</v>
      </c>
      <c r="L502" t="s">
        <v>238</v>
      </c>
      <c r="M502">
        <v>1128.2281287863539</v>
      </c>
      <c r="N502">
        <v>1128.2281287863539</v>
      </c>
      <c r="O502">
        <v>0</v>
      </c>
      <c r="P502">
        <v>1</v>
      </c>
      <c r="Q502">
        <v>0</v>
      </c>
      <c r="R502">
        <v>1</v>
      </c>
      <c r="S502">
        <v>1</v>
      </c>
      <c r="T502">
        <v>1</v>
      </c>
      <c r="U502">
        <v>1</v>
      </c>
      <c r="V502">
        <v>1</v>
      </c>
      <c r="AA502">
        <v>0</v>
      </c>
      <c r="AC502">
        <v>0</v>
      </c>
      <c r="AD502">
        <v>0</v>
      </c>
      <c r="AE502">
        <v>0</v>
      </c>
      <c r="AF502">
        <v>0</v>
      </c>
      <c r="AG502">
        <v>0</v>
      </c>
      <c r="AH502">
        <v>36</v>
      </c>
      <c r="AI502">
        <v>0</v>
      </c>
      <c r="AJ502">
        <v>14</v>
      </c>
    </row>
    <row r="503" spans="1:36" x14ac:dyDescent="0.2">
      <c r="A503" t="str">
        <f>+VLOOKUP(B503,studies!$A$2:$C$102,3)</f>
        <v>Johnson &amp; Hope (2012)</v>
      </c>
      <c r="B503">
        <v>77</v>
      </c>
      <c r="C503">
        <v>2012</v>
      </c>
      <c r="D503">
        <v>1</v>
      </c>
      <c r="E503">
        <v>2007</v>
      </c>
      <c r="F503">
        <v>2010</v>
      </c>
      <c r="G503">
        <v>0.11627906976744186</v>
      </c>
      <c r="H503">
        <v>548.33721576299376</v>
      </c>
      <c r="I503">
        <v>0</v>
      </c>
      <c r="J503">
        <v>1</v>
      </c>
      <c r="K503">
        <v>0</v>
      </c>
      <c r="L503" t="s">
        <v>238</v>
      </c>
      <c r="M503">
        <v>538.88945175770971</v>
      </c>
      <c r="N503">
        <v>538.88945175770971</v>
      </c>
      <c r="O503">
        <v>0</v>
      </c>
      <c r="P503">
        <v>1</v>
      </c>
      <c r="Q503">
        <v>0</v>
      </c>
      <c r="R503">
        <v>1</v>
      </c>
      <c r="S503">
        <v>1</v>
      </c>
      <c r="T503">
        <v>1</v>
      </c>
      <c r="U503">
        <v>1</v>
      </c>
      <c r="V503">
        <v>1.5</v>
      </c>
      <c r="AA503">
        <v>0</v>
      </c>
      <c r="AC503">
        <v>0</v>
      </c>
      <c r="AD503">
        <v>0</v>
      </c>
      <c r="AE503">
        <v>0</v>
      </c>
      <c r="AF503">
        <v>0</v>
      </c>
      <c r="AG503">
        <v>0</v>
      </c>
      <c r="AH503">
        <v>36</v>
      </c>
      <c r="AI503">
        <v>0</v>
      </c>
      <c r="AJ503">
        <v>14</v>
      </c>
    </row>
    <row r="504" spans="1:36" x14ac:dyDescent="0.2">
      <c r="A504" t="str">
        <f>+VLOOKUP(B504,studies!$A$2:$C$102,3)</f>
        <v>Johnson &amp; Hope (2012)</v>
      </c>
      <c r="B504">
        <v>77</v>
      </c>
      <c r="C504">
        <v>2012</v>
      </c>
      <c r="D504">
        <v>1</v>
      </c>
      <c r="E504">
        <v>2007</v>
      </c>
      <c r="F504">
        <v>2010</v>
      </c>
      <c r="G504">
        <v>0.11627906976744186</v>
      </c>
      <c r="H504">
        <v>278.66317522381649</v>
      </c>
      <c r="I504">
        <v>0</v>
      </c>
      <c r="J504">
        <v>1</v>
      </c>
      <c r="K504">
        <v>0</v>
      </c>
      <c r="L504" t="s">
        <v>238</v>
      </c>
      <c r="M504">
        <v>286.64332540303707</v>
      </c>
      <c r="N504">
        <v>286.64332540303707</v>
      </c>
      <c r="O504">
        <v>0</v>
      </c>
      <c r="P504">
        <v>1</v>
      </c>
      <c r="Q504">
        <v>0</v>
      </c>
      <c r="R504">
        <v>1</v>
      </c>
      <c r="S504">
        <v>1</v>
      </c>
      <c r="T504">
        <v>1</v>
      </c>
      <c r="U504">
        <v>1</v>
      </c>
      <c r="V504">
        <v>2</v>
      </c>
      <c r="AA504">
        <v>0</v>
      </c>
      <c r="AC504">
        <v>0</v>
      </c>
      <c r="AD504">
        <v>0</v>
      </c>
      <c r="AE504">
        <v>0</v>
      </c>
      <c r="AF504">
        <v>0</v>
      </c>
      <c r="AG504">
        <v>0</v>
      </c>
      <c r="AH504">
        <v>36</v>
      </c>
      <c r="AI504">
        <v>0</v>
      </c>
      <c r="AJ504">
        <v>14</v>
      </c>
    </row>
    <row r="505" spans="1:36" x14ac:dyDescent="0.2">
      <c r="A505" t="str">
        <f>+VLOOKUP(B505,studies!$A$2:$C$102,3)</f>
        <v>Johnson &amp; Hope (2012)</v>
      </c>
      <c r="B505">
        <v>77</v>
      </c>
      <c r="C505">
        <v>2012</v>
      </c>
      <c r="D505">
        <v>1</v>
      </c>
      <c r="E505">
        <v>2007</v>
      </c>
      <c r="F505">
        <v>2010</v>
      </c>
      <c r="G505">
        <v>1.1627906976744186E-2</v>
      </c>
      <c r="H505">
        <v>157.30985698118673</v>
      </c>
      <c r="I505">
        <v>0</v>
      </c>
      <c r="J505">
        <v>1</v>
      </c>
      <c r="K505">
        <v>0</v>
      </c>
      <c r="L505" t="s">
        <v>238</v>
      </c>
      <c r="M505">
        <v>165.10655543214938</v>
      </c>
      <c r="N505">
        <v>165.10655543214938</v>
      </c>
      <c r="O505">
        <v>0</v>
      </c>
      <c r="P505">
        <v>1</v>
      </c>
      <c r="Q505">
        <v>0</v>
      </c>
      <c r="R505">
        <v>1</v>
      </c>
      <c r="S505">
        <v>1</v>
      </c>
      <c r="T505">
        <v>1</v>
      </c>
      <c r="U505">
        <v>1</v>
      </c>
      <c r="V505">
        <v>2.5</v>
      </c>
      <c r="AA505">
        <v>0</v>
      </c>
      <c r="AC505">
        <v>0</v>
      </c>
      <c r="AD505">
        <v>0</v>
      </c>
      <c r="AE505">
        <v>0</v>
      </c>
      <c r="AF505">
        <v>0</v>
      </c>
      <c r="AG505">
        <v>0</v>
      </c>
      <c r="AH505">
        <v>36</v>
      </c>
      <c r="AI505">
        <v>0</v>
      </c>
      <c r="AJ505">
        <v>14</v>
      </c>
    </row>
    <row r="506" spans="1:36" x14ac:dyDescent="0.2">
      <c r="A506" t="str">
        <f>+VLOOKUP(B506,studies!$A$2:$C$102,3)</f>
        <v>Johnson &amp; Hope (2012)</v>
      </c>
      <c r="B506">
        <v>77</v>
      </c>
      <c r="C506">
        <v>2012</v>
      </c>
      <c r="D506">
        <v>1</v>
      </c>
      <c r="E506">
        <v>2007</v>
      </c>
      <c r="F506">
        <v>2010</v>
      </c>
      <c r="G506">
        <v>1.1627906976744186E-2</v>
      </c>
      <c r="H506">
        <v>94.38591418871205</v>
      </c>
      <c r="I506">
        <v>0</v>
      </c>
      <c r="J506">
        <v>1</v>
      </c>
      <c r="K506">
        <v>0</v>
      </c>
      <c r="L506" t="s">
        <v>238</v>
      </c>
      <c r="M506">
        <v>100.89845054186904</v>
      </c>
      <c r="N506">
        <v>100.89845054186904</v>
      </c>
      <c r="O506">
        <v>0</v>
      </c>
      <c r="P506">
        <v>1</v>
      </c>
      <c r="Q506">
        <v>0</v>
      </c>
      <c r="R506">
        <v>1</v>
      </c>
      <c r="S506">
        <v>1</v>
      </c>
      <c r="T506">
        <v>1</v>
      </c>
      <c r="U506">
        <v>1</v>
      </c>
      <c r="V506">
        <v>3</v>
      </c>
      <c r="AA506">
        <v>0</v>
      </c>
      <c r="AC506">
        <v>0</v>
      </c>
      <c r="AD506">
        <v>0</v>
      </c>
      <c r="AE506">
        <v>0</v>
      </c>
      <c r="AF506">
        <v>0</v>
      </c>
      <c r="AG506">
        <v>0</v>
      </c>
      <c r="AH506">
        <v>36</v>
      </c>
      <c r="AI506">
        <v>0</v>
      </c>
      <c r="AJ506">
        <v>14</v>
      </c>
    </row>
    <row r="507" spans="1:36" x14ac:dyDescent="0.2">
      <c r="A507" t="str">
        <f>+VLOOKUP(B507,studies!$A$2:$C$102,3)</f>
        <v>Johnson &amp; Hope (2012)</v>
      </c>
      <c r="B507">
        <v>77</v>
      </c>
      <c r="C507">
        <v>2012</v>
      </c>
      <c r="D507">
        <v>1</v>
      </c>
      <c r="E507">
        <v>2007</v>
      </c>
      <c r="F507">
        <v>2010</v>
      </c>
      <c r="G507">
        <v>1.1627906976744186E-2</v>
      </c>
      <c r="H507">
        <v>22.472836711598106</v>
      </c>
      <c r="I507">
        <v>0</v>
      </c>
      <c r="J507">
        <v>1</v>
      </c>
      <c r="K507">
        <v>0</v>
      </c>
      <c r="L507" t="s">
        <v>238</v>
      </c>
      <c r="M507">
        <v>25.22461263546726</v>
      </c>
      <c r="N507">
        <v>25.22461263546726</v>
      </c>
      <c r="O507">
        <v>0</v>
      </c>
      <c r="P507">
        <v>1</v>
      </c>
      <c r="Q507">
        <v>0</v>
      </c>
      <c r="R507">
        <v>1</v>
      </c>
      <c r="S507">
        <v>1</v>
      </c>
      <c r="T507">
        <v>1</v>
      </c>
      <c r="U507">
        <v>1</v>
      </c>
      <c r="V507">
        <v>5</v>
      </c>
      <c r="AA507">
        <v>0</v>
      </c>
      <c r="AC507">
        <v>0</v>
      </c>
      <c r="AD507">
        <v>0</v>
      </c>
      <c r="AE507">
        <v>0</v>
      </c>
      <c r="AF507">
        <v>0</v>
      </c>
      <c r="AG507">
        <v>0</v>
      </c>
      <c r="AH507">
        <v>36</v>
      </c>
      <c r="AI507">
        <v>0</v>
      </c>
      <c r="AJ507">
        <v>14</v>
      </c>
    </row>
    <row r="508" spans="1:36" x14ac:dyDescent="0.2">
      <c r="A508" t="str">
        <f>+VLOOKUP(B508,studies!$A$2:$C$102,3)</f>
        <v>Johnson &amp; Hope (2012)</v>
      </c>
      <c r="B508">
        <v>77</v>
      </c>
      <c r="C508">
        <v>2012</v>
      </c>
      <c r="D508">
        <v>1</v>
      </c>
      <c r="E508">
        <v>2007</v>
      </c>
      <c r="F508">
        <v>2010</v>
      </c>
      <c r="G508">
        <v>0.11627906976744186</v>
      </c>
      <c r="H508">
        <v>247.20120382757918</v>
      </c>
      <c r="I508">
        <v>0</v>
      </c>
      <c r="J508">
        <v>1</v>
      </c>
      <c r="K508">
        <v>0</v>
      </c>
      <c r="L508" t="s">
        <v>238</v>
      </c>
      <c r="M508">
        <v>231.60780692565396</v>
      </c>
      <c r="N508">
        <v>231.60780692565396</v>
      </c>
      <c r="O508">
        <v>0</v>
      </c>
      <c r="P508">
        <v>1</v>
      </c>
      <c r="Q508">
        <v>0</v>
      </c>
      <c r="R508">
        <v>1</v>
      </c>
      <c r="S508">
        <v>1</v>
      </c>
      <c r="T508">
        <v>1</v>
      </c>
      <c r="U508">
        <v>1</v>
      </c>
      <c r="AA508">
        <v>0</v>
      </c>
      <c r="AC508">
        <v>0</v>
      </c>
      <c r="AD508">
        <v>0</v>
      </c>
      <c r="AE508">
        <v>0</v>
      </c>
      <c r="AF508">
        <v>0</v>
      </c>
      <c r="AG508">
        <v>0</v>
      </c>
      <c r="AH508">
        <v>36</v>
      </c>
      <c r="AI508">
        <v>0</v>
      </c>
      <c r="AJ508">
        <v>14</v>
      </c>
    </row>
    <row r="509" spans="1:36" x14ac:dyDescent="0.2">
      <c r="A509" t="str">
        <f>+VLOOKUP(B509,studies!$A$2:$C$102,3)</f>
        <v>Johnson &amp; Hope (2012)</v>
      </c>
      <c r="B509">
        <v>77</v>
      </c>
      <c r="C509">
        <v>2012</v>
      </c>
      <c r="D509">
        <v>1</v>
      </c>
      <c r="E509">
        <v>2007</v>
      </c>
      <c r="F509">
        <v>2010</v>
      </c>
      <c r="G509">
        <v>0.11627906976744186</v>
      </c>
      <c r="H509">
        <v>786.54928490593363</v>
      </c>
      <c r="I509">
        <v>0</v>
      </c>
      <c r="J509">
        <v>1</v>
      </c>
      <c r="K509">
        <v>0</v>
      </c>
      <c r="L509" t="s">
        <v>238</v>
      </c>
      <c r="M509">
        <v>470.0950536609808</v>
      </c>
      <c r="N509">
        <v>470.0950536609808</v>
      </c>
      <c r="O509">
        <v>0</v>
      </c>
      <c r="P509">
        <v>1</v>
      </c>
      <c r="Q509">
        <v>0</v>
      </c>
      <c r="R509">
        <v>1</v>
      </c>
      <c r="S509">
        <v>1</v>
      </c>
      <c r="T509">
        <v>1</v>
      </c>
      <c r="U509">
        <v>1</v>
      </c>
      <c r="AA509">
        <v>0</v>
      </c>
      <c r="AC509">
        <v>0</v>
      </c>
      <c r="AD509">
        <v>0</v>
      </c>
      <c r="AE509">
        <v>0</v>
      </c>
      <c r="AF509">
        <v>0</v>
      </c>
      <c r="AG509">
        <v>0</v>
      </c>
      <c r="AH509">
        <v>36</v>
      </c>
      <c r="AI509">
        <v>0</v>
      </c>
      <c r="AJ509">
        <v>14</v>
      </c>
    </row>
    <row r="510" spans="1:36" x14ac:dyDescent="0.2">
      <c r="A510" t="str">
        <f>+VLOOKUP(B510,studies!$A$2:$C$102,3)</f>
        <v>Johnson &amp; Hope (2012)</v>
      </c>
      <c r="B510">
        <v>77</v>
      </c>
      <c r="C510">
        <v>2012</v>
      </c>
      <c r="D510">
        <v>1</v>
      </c>
      <c r="E510">
        <v>2007</v>
      </c>
      <c r="F510">
        <v>2010</v>
      </c>
      <c r="G510">
        <v>1.1627906976744186E-2</v>
      </c>
      <c r="H510">
        <v>62.923942792474698</v>
      </c>
      <c r="I510">
        <v>0</v>
      </c>
      <c r="J510">
        <v>1</v>
      </c>
      <c r="K510">
        <v>0</v>
      </c>
      <c r="L510" t="s">
        <v>238</v>
      </c>
      <c r="M510" t="s">
        <v>238</v>
      </c>
      <c r="N510" t="s">
        <v>238</v>
      </c>
      <c r="O510">
        <v>0</v>
      </c>
      <c r="P510">
        <v>1</v>
      </c>
      <c r="Q510">
        <v>0</v>
      </c>
      <c r="R510">
        <v>1</v>
      </c>
      <c r="S510">
        <v>1</v>
      </c>
      <c r="T510">
        <v>1</v>
      </c>
      <c r="U510">
        <v>1</v>
      </c>
      <c r="V510">
        <v>2.5</v>
      </c>
      <c r="AA510">
        <v>0</v>
      </c>
      <c r="AC510">
        <v>0</v>
      </c>
      <c r="AD510">
        <v>0</v>
      </c>
      <c r="AE510">
        <v>0</v>
      </c>
      <c r="AF510">
        <v>0</v>
      </c>
      <c r="AG510">
        <v>0</v>
      </c>
      <c r="AH510">
        <v>36</v>
      </c>
      <c r="AI510">
        <v>0</v>
      </c>
      <c r="AJ510">
        <v>14</v>
      </c>
    </row>
    <row r="511" spans="1:36" x14ac:dyDescent="0.2">
      <c r="A511" t="str">
        <f>+VLOOKUP(B511,studies!$A$2:$C$102,3)</f>
        <v>Johnson &amp; Hope (2012)</v>
      </c>
      <c r="B511">
        <v>77</v>
      </c>
      <c r="C511">
        <v>2012</v>
      </c>
      <c r="D511">
        <v>1</v>
      </c>
      <c r="E511">
        <v>2007</v>
      </c>
      <c r="F511">
        <v>2010</v>
      </c>
      <c r="G511">
        <v>1.1627906976744186E-2</v>
      </c>
      <c r="H511">
        <v>26.967404053917729</v>
      </c>
      <c r="I511">
        <v>0</v>
      </c>
      <c r="J511">
        <v>1</v>
      </c>
      <c r="K511">
        <v>0</v>
      </c>
      <c r="L511" t="s">
        <v>238</v>
      </c>
      <c r="M511" t="s">
        <v>238</v>
      </c>
      <c r="N511" t="s">
        <v>238</v>
      </c>
      <c r="O511">
        <v>0</v>
      </c>
      <c r="P511">
        <v>1</v>
      </c>
      <c r="Q511">
        <v>0</v>
      </c>
      <c r="R511">
        <v>1</v>
      </c>
      <c r="S511">
        <v>1</v>
      </c>
      <c r="T511">
        <v>1</v>
      </c>
      <c r="U511">
        <v>1</v>
      </c>
      <c r="V511">
        <v>3</v>
      </c>
      <c r="AA511">
        <v>0</v>
      </c>
      <c r="AC511">
        <v>0</v>
      </c>
      <c r="AD511">
        <v>0</v>
      </c>
      <c r="AE511">
        <v>0</v>
      </c>
      <c r="AF511">
        <v>0</v>
      </c>
      <c r="AG511">
        <v>0</v>
      </c>
      <c r="AH511">
        <v>36</v>
      </c>
      <c r="AI511">
        <v>0</v>
      </c>
      <c r="AJ511">
        <v>14</v>
      </c>
    </row>
    <row r="512" spans="1:36" x14ac:dyDescent="0.2">
      <c r="A512" t="str">
        <f>+VLOOKUP(B512,studies!$A$2:$C$102,3)</f>
        <v>Johnson &amp; Hope (2012)</v>
      </c>
      <c r="B512">
        <v>77</v>
      </c>
      <c r="C512">
        <v>2012</v>
      </c>
      <c r="D512">
        <v>1</v>
      </c>
      <c r="E512">
        <v>2007</v>
      </c>
      <c r="F512">
        <v>2010</v>
      </c>
      <c r="G512">
        <v>1.1627906976744186E-2</v>
      </c>
      <c r="H512">
        <v>-6.2923942792474694</v>
      </c>
      <c r="I512">
        <v>0</v>
      </c>
      <c r="J512">
        <v>1</v>
      </c>
      <c r="K512">
        <v>0</v>
      </c>
      <c r="L512" t="s">
        <v>238</v>
      </c>
      <c r="M512" t="s">
        <v>238</v>
      </c>
      <c r="N512" t="s">
        <v>238</v>
      </c>
      <c r="O512">
        <v>0</v>
      </c>
      <c r="P512">
        <v>1</v>
      </c>
      <c r="Q512">
        <v>0</v>
      </c>
      <c r="R512">
        <v>1</v>
      </c>
      <c r="S512">
        <v>1</v>
      </c>
      <c r="T512">
        <v>1</v>
      </c>
      <c r="U512">
        <v>1</v>
      </c>
      <c r="V512">
        <v>5</v>
      </c>
      <c r="AA512">
        <v>0</v>
      </c>
      <c r="AC512">
        <v>0</v>
      </c>
      <c r="AD512">
        <v>0</v>
      </c>
      <c r="AE512">
        <v>0</v>
      </c>
      <c r="AF512">
        <v>0</v>
      </c>
      <c r="AG512">
        <v>0</v>
      </c>
      <c r="AH512">
        <v>36</v>
      </c>
      <c r="AI512">
        <v>0</v>
      </c>
      <c r="AJ512">
        <v>14</v>
      </c>
    </row>
    <row r="513" spans="1:36" x14ac:dyDescent="0.2">
      <c r="A513" t="str">
        <f>+VLOOKUP(B513,studies!$A$2:$C$102,3)</f>
        <v>Johnson &amp; Hope (2012)</v>
      </c>
      <c r="B513">
        <v>77</v>
      </c>
      <c r="C513">
        <v>2012</v>
      </c>
      <c r="D513">
        <v>1</v>
      </c>
      <c r="E513">
        <v>2007</v>
      </c>
      <c r="F513">
        <v>2010</v>
      </c>
      <c r="G513">
        <v>0.11627906976744186</v>
      </c>
      <c r="H513">
        <v>651.71226463634503</v>
      </c>
      <c r="I513">
        <v>0</v>
      </c>
      <c r="J513">
        <v>1</v>
      </c>
      <c r="K513">
        <v>0</v>
      </c>
      <c r="L513" t="s">
        <v>238</v>
      </c>
      <c r="M513" t="s">
        <v>238</v>
      </c>
      <c r="N513" t="s">
        <v>238</v>
      </c>
      <c r="O513">
        <v>0</v>
      </c>
      <c r="P513">
        <v>1</v>
      </c>
      <c r="Q513">
        <v>0</v>
      </c>
      <c r="R513">
        <v>1</v>
      </c>
      <c r="S513">
        <v>1</v>
      </c>
      <c r="T513">
        <v>1</v>
      </c>
      <c r="U513">
        <v>1</v>
      </c>
      <c r="V513">
        <v>2.5</v>
      </c>
      <c r="AA513">
        <v>1</v>
      </c>
      <c r="AC513">
        <v>0</v>
      </c>
      <c r="AD513">
        <v>0</v>
      </c>
      <c r="AE513">
        <v>0</v>
      </c>
      <c r="AF513">
        <v>0</v>
      </c>
      <c r="AG513">
        <v>0</v>
      </c>
      <c r="AH513">
        <v>36</v>
      </c>
      <c r="AI513">
        <v>0</v>
      </c>
      <c r="AJ513">
        <v>14</v>
      </c>
    </row>
    <row r="514" spans="1:36" x14ac:dyDescent="0.2">
      <c r="A514" t="str">
        <f>+VLOOKUP(B514,studies!$A$2:$C$102,3)</f>
        <v>Johnson &amp; Hope (2012)</v>
      </c>
      <c r="B514">
        <v>77</v>
      </c>
      <c r="C514">
        <v>2012</v>
      </c>
      <c r="D514">
        <v>1</v>
      </c>
      <c r="E514">
        <v>2007</v>
      </c>
      <c r="F514">
        <v>2010</v>
      </c>
      <c r="G514">
        <v>0.11627906976744186</v>
      </c>
      <c r="H514">
        <v>314.61971396237345</v>
      </c>
      <c r="I514">
        <v>0</v>
      </c>
      <c r="J514">
        <v>1</v>
      </c>
      <c r="K514">
        <v>0</v>
      </c>
      <c r="L514" t="s">
        <v>238</v>
      </c>
      <c r="M514" t="s">
        <v>238</v>
      </c>
      <c r="N514" t="s">
        <v>238</v>
      </c>
      <c r="O514">
        <v>0</v>
      </c>
      <c r="P514">
        <v>1</v>
      </c>
      <c r="Q514">
        <v>0</v>
      </c>
      <c r="R514">
        <v>1</v>
      </c>
      <c r="S514">
        <v>1</v>
      </c>
      <c r="T514">
        <v>1</v>
      </c>
      <c r="U514">
        <v>1</v>
      </c>
      <c r="V514">
        <v>3</v>
      </c>
      <c r="AA514">
        <v>1</v>
      </c>
      <c r="AC514">
        <v>0</v>
      </c>
      <c r="AD514">
        <v>0</v>
      </c>
      <c r="AE514">
        <v>0</v>
      </c>
      <c r="AF514">
        <v>0</v>
      </c>
      <c r="AG514">
        <v>0</v>
      </c>
      <c r="AH514">
        <v>36</v>
      </c>
      <c r="AI514">
        <v>0</v>
      </c>
      <c r="AJ514">
        <v>14</v>
      </c>
    </row>
    <row r="515" spans="1:36" x14ac:dyDescent="0.2">
      <c r="A515" t="str">
        <f>+VLOOKUP(B515,studies!$A$2:$C$102,3)</f>
        <v>Johnson &amp; Hope (2012)</v>
      </c>
      <c r="B515">
        <v>77</v>
      </c>
      <c r="C515">
        <v>2012</v>
      </c>
      <c r="D515">
        <v>1</v>
      </c>
      <c r="E515">
        <v>2007</v>
      </c>
      <c r="F515">
        <v>2010</v>
      </c>
      <c r="G515">
        <v>0.11627906976744186</v>
      </c>
      <c r="H515">
        <v>4.4945673423196206</v>
      </c>
      <c r="I515">
        <v>0</v>
      </c>
      <c r="J515">
        <v>1</v>
      </c>
      <c r="K515">
        <v>0</v>
      </c>
      <c r="L515" t="s">
        <v>238</v>
      </c>
      <c r="M515" t="s">
        <v>238</v>
      </c>
      <c r="N515" t="s">
        <v>238</v>
      </c>
      <c r="O515">
        <v>0</v>
      </c>
      <c r="P515">
        <v>1</v>
      </c>
      <c r="Q515">
        <v>0</v>
      </c>
      <c r="R515">
        <v>1</v>
      </c>
      <c r="S515">
        <v>1</v>
      </c>
      <c r="T515">
        <v>1</v>
      </c>
      <c r="U515">
        <v>1</v>
      </c>
      <c r="V515">
        <v>5</v>
      </c>
      <c r="AA515">
        <v>1</v>
      </c>
      <c r="AC515">
        <v>0</v>
      </c>
      <c r="AD515">
        <v>0</v>
      </c>
      <c r="AE515">
        <v>0</v>
      </c>
      <c r="AF515">
        <v>0</v>
      </c>
      <c r="AG515">
        <v>0</v>
      </c>
      <c r="AH515">
        <v>36</v>
      </c>
      <c r="AI515">
        <v>0</v>
      </c>
      <c r="AJ515">
        <v>14</v>
      </c>
    </row>
    <row r="516" spans="1:36" x14ac:dyDescent="0.2">
      <c r="A516" t="str">
        <f>+VLOOKUP(B516,studies!$A$2:$C$102,3)</f>
        <v>Kopp et al. (2012)</v>
      </c>
      <c r="B516">
        <v>78</v>
      </c>
      <c r="C516">
        <v>2012</v>
      </c>
      <c r="D516">
        <v>1</v>
      </c>
      <c r="E516">
        <v>2005</v>
      </c>
      <c r="F516">
        <v>2015</v>
      </c>
      <c r="G516">
        <v>6.9444444444444441E-3</v>
      </c>
      <c r="H516">
        <v>495.36189793480105</v>
      </c>
      <c r="I516">
        <v>0</v>
      </c>
      <c r="J516">
        <v>0</v>
      </c>
      <c r="K516">
        <v>1</v>
      </c>
      <c r="L516" t="s">
        <v>238</v>
      </c>
      <c r="M516">
        <v>219.31607051422716</v>
      </c>
      <c r="N516">
        <v>268.05297507294432</v>
      </c>
      <c r="O516">
        <v>0</v>
      </c>
      <c r="P516">
        <v>1</v>
      </c>
      <c r="Q516">
        <v>0</v>
      </c>
      <c r="R516">
        <v>1</v>
      </c>
      <c r="S516">
        <v>0</v>
      </c>
      <c r="T516">
        <v>1</v>
      </c>
      <c r="U516">
        <v>0</v>
      </c>
      <c r="V516">
        <v>3</v>
      </c>
      <c r="W516">
        <v>3</v>
      </c>
      <c r="AA516">
        <v>0</v>
      </c>
      <c r="AC516">
        <v>0</v>
      </c>
      <c r="AD516">
        <v>0</v>
      </c>
      <c r="AE516">
        <v>0</v>
      </c>
      <c r="AF516">
        <v>1</v>
      </c>
      <c r="AG516">
        <v>0</v>
      </c>
      <c r="AH516">
        <v>23</v>
      </c>
      <c r="AI516">
        <v>0</v>
      </c>
      <c r="AJ516">
        <v>144</v>
      </c>
    </row>
    <row r="517" spans="1:36" x14ac:dyDescent="0.2">
      <c r="A517" t="str">
        <f>+VLOOKUP(B517,studies!$A$2:$C$102,3)</f>
        <v>Kopp et al. (2012)</v>
      </c>
      <c r="B517">
        <v>78</v>
      </c>
      <c r="C517">
        <v>2012</v>
      </c>
      <c r="D517">
        <v>1</v>
      </c>
      <c r="E517">
        <v>2005</v>
      </c>
      <c r="F517">
        <v>2015</v>
      </c>
      <c r="G517">
        <v>6.9444444444444441E-3</v>
      </c>
      <c r="H517">
        <v>525.38383114297085</v>
      </c>
      <c r="I517">
        <v>0</v>
      </c>
      <c r="J517">
        <v>0</v>
      </c>
      <c r="K517">
        <v>1</v>
      </c>
      <c r="L517" t="s">
        <v>238</v>
      </c>
      <c r="M517">
        <v>145.51447218245548</v>
      </c>
      <c r="N517">
        <v>306.34625722622212</v>
      </c>
      <c r="O517">
        <v>0</v>
      </c>
      <c r="P517">
        <v>1</v>
      </c>
      <c r="Q517">
        <v>0</v>
      </c>
      <c r="R517">
        <v>1</v>
      </c>
      <c r="S517">
        <v>0</v>
      </c>
      <c r="T517">
        <v>1</v>
      </c>
      <c r="U517">
        <v>0</v>
      </c>
      <c r="V517">
        <v>3</v>
      </c>
      <c r="W517">
        <v>3</v>
      </c>
      <c r="AA517">
        <v>0</v>
      </c>
      <c r="AC517">
        <v>0</v>
      </c>
      <c r="AD517">
        <v>0</v>
      </c>
      <c r="AE517">
        <v>0</v>
      </c>
      <c r="AF517">
        <v>1</v>
      </c>
      <c r="AG517">
        <v>0</v>
      </c>
      <c r="AH517">
        <v>23</v>
      </c>
      <c r="AI517">
        <v>0</v>
      </c>
      <c r="AJ517">
        <v>144</v>
      </c>
    </row>
    <row r="518" spans="1:36" x14ac:dyDescent="0.2">
      <c r="A518" t="str">
        <f>+VLOOKUP(B518,studies!$A$2:$C$102,3)</f>
        <v>Kopp et al. (2012)</v>
      </c>
      <c r="B518">
        <v>78</v>
      </c>
      <c r="C518">
        <v>2012</v>
      </c>
      <c r="D518">
        <v>1</v>
      </c>
      <c r="E518">
        <v>2005</v>
      </c>
      <c r="F518">
        <v>2015</v>
      </c>
      <c r="G518">
        <v>6.9444444444444441E-3</v>
      </c>
      <c r="H518">
        <v>480.35093133071615</v>
      </c>
      <c r="I518">
        <v>0</v>
      </c>
      <c r="J518">
        <v>0</v>
      </c>
      <c r="K518">
        <v>1</v>
      </c>
      <c r="L518" t="s">
        <v>238</v>
      </c>
      <c r="M518">
        <v>137.85581575179992</v>
      </c>
      <c r="N518">
        <v>314.00491365687765</v>
      </c>
      <c r="O518">
        <v>0</v>
      </c>
      <c r="P518">
        <v>1</v>
      </c>
      <c r="Q518">
        <v>0</v>
      </c>
      <c r="R518">
        <v>1</v>
      </c>
      <c r="S518">
        <v>0</v>
      </c>
      <c r="T518">
        <v>1</v>
      </c>
      <c r="U518">
        <v>0</v>
      </c>
      <c r="V518">
        <v>3</v>
      </c>
      <c r="W518">
        <v>3</v>
      </c>
      <c r="AA518">
        <v>0</v>
      </c>
      <c r="AC518">
        <v>0</v>
      </c>
      <c r="AD518">
        <v>0</v>
      </c>
      <c r="AE518">
        <v>0</v>
      </c>
      <c r="AF518">
        <v>1</v>
      </c>
      <c r="AG518">
        <v>0</v>
      </c>
      <c r="AH518">
        <v>23</v>
      </c>
      <c r="AI518">
        <v>0</v>
      </c>
      <c r="AJ518">
        <v>144</v>
      </c>
    </row>
    <row r="519" spans="1:36" x14ac:dyDescent="0.2">
      <c r="A519" t="str">
        <f>+VLOOKUP(B519,studies!$A$2:$C$102,3)</f>
        <v>Kopp et al. (2012)</v>
      </c>
      <c r="B519">
        <v>78</v>
      </c>
      <c r="C519">
        <v>2012</v>
      </c>
      <c r="D519">
        <v>1</v>
      </c>
      <c r="E519">
        <v>2005</v>
      </c>
      <c r="F519">
        <v>2015</v>
      </c>
      <c r="G519">
        <v>6.9444444444444441E-3</v>
      </c>
      <c r="H519">
        <v>690.50446378790446</v>
      </c>
      <c r="I519">
        <v>0</v>
      </c>
      <c r="J519">
        <v>0</v>
      </c>
      <c r="K519">
        <v>1</v>
      </c>
      <c r="L519" t="s">
        <v>238</v>
      </c>
      <c r="M519">
        <v>176.14909790507767</v>
      </c>
      <c r="N519">
        <v>306.34625722622212</v>
      </c>
      <c r="O519">
        <v>0</v>
      </c>
      <c r="P519">
        <v>1</v>
      </c>
      <c r="Q519">
        <v>0</v>
      </c>
      <c r="R519">
        <v>1</v>
      </c>
      <c r="S519">
        <v>0</v>
      </c>
      <c r="T519">
        <v>1</v>
      </c>
      <c r="U519">
        <v>0</v>
      </c>
      <c r="V519">
        <v>3</v>
      </c>
      <c r="W519">
        <v>3</v>
      </c>
      <c r="AA519">
        <v>0</v>
      </c>
      <c r="AC519">
        <v>0</v>
      </c>
      <c r="AD519">
        <v>0</v>
      </c>
      <c r="AE519">
        <v>0</v>
      </c>
      <c r="AF519">
        <v>1</v>
      </c>
      <c r="AG519">
        <v>0</v>
      </c>
      <c r="AH519">
        <v>23</v>
      </c>
      <c r="AI519">
        <v>0</v>
      </c>
      <c r="AJ519">
        <v>144</v>
      </c>
    </row>
    <row r="520" spans="1:36" x14ac:dyDescent="0.2">
      <c r="A520" t="str">
        <f>+VLOOKUP(B520,studies!$A$2:$C$102,3)</f>
        <v>Kopp et al. (2012)</v>
      </c>
      <c r="B520">
        <v>78</v>
      </c>
      <c r="C520">
        <v>2012</v>
      </c>
      <c r="D520">
        <v>1</v>
      </c>
      <c r="E520">
        <v>2005</v>
      </c>
      <c r="F520">
        <v>2015</v>
      </c>
      <c r="G520">
        <v>6.9444444444444441E-3</v>
      </c>
      <c r="H520">
        <v>360.26319849803713</v>
      </c>
      <c r="I520">
        <v>0</v>
      </c>
      <c r="J520">
        <v>0</v>
      </c>
      <c r="K520">
        <v>1</v>
      </c>
      <c r="L520" t="s">
        <v>238</v>
      </c>
      <c r="M520">
        <v>91.903877167866611</v>
      </c>
      <c r="N520">
        <v>168.49044147442211</v>
      </c>
      <c r="O520">
        <v>0</v>
      </c>
      <c r="P520">
        <v>1</v>
      </c>
      <c r="Q520">
        <v>0</v>
      </c>
      <c r="R520">
        <v>1</v>
      </c>
      <c r="S520">
        <v>0</v>
      </c>
      <c r="T520">
        <v>1</v>
      </c>
      <c r="U520">
        <v>0</v>
      </c>
      <c r="V520">
        <v>3</v>
      </c>
      <c r="W520">
        <v>3</v>
      </c>
      <c r="AA520">
        <v>0</v>
      </c>
      <c r="AC520">
        <v>0</v>
      </c>
      <c r="AD520">
        <v>0</v>
      </c>
      <c r="AE520">
        <v>0</v>
      </c>
      <c r="AF520">
        <v>1</v>
      </c>
      <c r="AG520">
        <v>0</v>
      </c>
      <c r="AH520">
        <v>23</v>
      </c>
      <c r="AI520">
        <v>0</v>
      </c>
      <c r="AJ520">
        <v>144</v>
      </c>
    </row>
    <row r="521" spans="1:36" x14ac:dyDescent="0.2">
      <c r="A521" t="str">
        <f>+VLOOKUP(B521,studies!$A$2:$C$102,3)</f>
        <v>Kopp et al. (2012)</v>
      </c>
      <c r="B521">
        <v>78</v>
      </c>
      <c r="C521">
        <v>2012</v>
      </c>
      <c r="D521">
        <v>1</v>
      </c>
      <c r="E521">
        <v>2005</v>
      </c>
      <c r="F521">
        <v>2015</v>
      </c>
      <c r="G521">
        <v>6.9444444444444441E-3</v>
      </c>
      <c r="H521">
        <v>705.51543039198941</v>
      </c>
      <c r="I521">
        <v>0</v>
      </c>
      <c r="J521">
        <v>0</v>
      </c>
      <c r="K521">
        <v>1</v>
      </c>
      <c r="L521" t="s">
        <v>238</v>
      </c>
      <c r="M521">
        <v>176.14909790507767</v>
      </c>
      <c r="N521">
        <v>260.39431864228868</v>
      </c>
      <c r="O521">
        <v>0</v>
      </c>
      <c r="P521">
        <v>1</v>
      </c>
      <c r="Q521">
        <v>0</v>
      </c>
      <c r="R521">
        <v>1</v>
      </c>
      <c r="S521">
        <v>0</v>
      </c>
      <c r="T521">
        <v>1</v>
      </c>
      <c r="U521">
        <v>0</v>
      </c>
      <c r="V521">
        <v>3</v>
      </c>
      <c r="W521">
        <v>3</v>
      </c>
      <c r="AA521">
        <v>0</v>
      </c>
      <c r="AC521">
        <v>0</v>
      </c>
      <c r="AD521">
        <v>0</v>
      </c>
      <c r="AE521">
        <v>0</v>
      </c>
      <c r="AF521">
        <v>1</v>
      </c>
      <c r="AG521">
        <v>0</v>
      </c>
      <c r="AH521">
        <v>23</v>
      </c>
      <c r="AI521">
        <v>0</v>
      </c>
      <c r="AJ521">
        <v>144</v>
      </c>
    </row>
    <row r="522" spans="1:36" x14ac:dyDescent="0.2">
      <c r="A522" t="str">
        <f>+VLOOKUP(B522,studies!$A$2:$C$102,3)</f>
        <v>Kopp et al. (2012)</v>
      </c>
      <c r="B522">
        <v>78</v>
      </c>
      <c r="C522">
        <v>2012</v>
      </c>
      <c r="D522">
        <v>1</v>
      </c>
      <c r="E522">
        <v>2005</v>
      </c>
      <c r="F522">
        <v>2015</v>
      </c>
      <c r="G522">
        <v>6.9444444444444441E-3</v>
      </c>
      <c r="H522">
        <v>405.29609831029177</v>
      </c>
      <c r="I522">
        <v>0</v>
      </c>
      <c r="J522">
        <v>0</v>
      </c>
      <c r="K522">
        <v>1</v>
      </c>
      <c r="L522" t="s">
        <v>238</v>
      </c>
      <c r="M522">
        <v>99.562533598522165</v>
      </c>
      <c r="N522">
        <v>214.44238005835544</v>
      </c>
      <c r="O522">
        <v>0</v>
      </c>
      <c r="P522">
        <v>1</v>
      </c>
      <c r="Q522">
        <v>0</v>
      </c>
      <c r="R522">
        <v>1</v>
      </c>
      <c r="S522">
        <v>0</v>
      </c>
      <c r="T522">
        <v>1</v>
      </c>
      <c r="U522">
        <v>0</v>
      </c>
      <c r="V522">
        <v>3</v>
      </c>
      <c r="W522">
        <v>3</v>
      </c>
      <c r="AA522">
        <v>0</v>
      </c>
      <c r="AC522">
        <v>0</v>
      </c>
      <c r="AD522">
        <v>0</v>
      </c>
      <c r="AE522">
        <v>0</v>
      </c>
      <c r="AF522">
        <v>1</v>
      </c>
      <c r="AG522">
        <v>0</v>
      </c>
      <c r="AH522">
        <v>23</v>
      </c>
      <c r="AI522">
        <v>0</v>
      </c>
      <c r="AJ522">
        <v>144</v>
      </c>
    </row>
    <row r="523" spans="1:36" x14ac:dyDescent="0.2">
      <c r="A523" t="str">
        <f>+VLOOKUP(B523,studies!$A$2:$C$102,3)</f>
        <v>Kopp et al. (2012)</v>
      </c>
      <c r="B523">
        <v>78</v>
      </c>
      <c r="C523">
        <v>2012</v>
      </c>
      <c r="D523">
        <v>1</v>
      </c>
      <c r="E523">
        <v>2005</v>
      </c>
      <c r="F523">
        <v>2015</v>
      </c>
      <c r="G523">
        <v>6.9444444444444441E-3</v>
      </c>
      <c r="H523">
        <v>525.38383114297085</v>
      </c>
      <c r="I523">
        <v>0</v>
      </c>
      <c r="J523">
        <v>0</v>
      </c>
      <c r="K523">
        <v>1</v>
      </c>
      <c r="L523" t="s">
        <v>238</v>
      </c>
      <c r="M523">
        <v>145.51447218245548</v>
      </c>
      <c r="N523">
        <v>283.37028793425543</v>
      </c>
      <c r="O523">
        <v>0</v>
      </c>
      <c r="P523">
        <v>1</v>
      </c>
      <c r="Q523">
        <v>0</v>
      </c>
      <c r="R523">
        <v>1</v>
      </c>
      <c r="S523">
        <v>0</v>
      </c>
      <c r="T523">
        <v>1</v>
      </c>
      <c r="U523">
        <v>0</v>
      </c>
      <c r="V523">
        <v>3</v>
      </c>
      <c r="W523">
        <v>3</v>
      </c>
      <c r="AA523">
        <v>0</v>
      </c>
      <c r="AC523">
        <v>0</v>
      </c>
      <c r="AD523">
        <v>0</v>
      </c>
      <c r="AE523">
        <v>0</v>
      </c>
      <c r="AF523">
        <v>1</v>
      </c>
      <c r="AG523">
        <v>0</v>
      </c>
      <c r="AH523">
        <v>23</v>
      </c>
      <c r="AI523">
        <v>0</v>
      </c>
      <c r="AJ523">
        <v>144</v>
      </c>
    </row>
    <row r="524" spans="1:36" x14ac:dyDescent="0.2">
      <c r="A524" t="str">
        <f>+VLOOKUP(B524,studies!$A$2:$C$102,3)</f>
        <v>Kopp et al. (2012)</v>
      </c>
      <c r="B524">
        <v>78</v>
      </c>
      <c r="C524">
        <v>2012</v>
      </c>
      <c r="D524">
        <v>1</v>
      </c>
      <c r="E524">
        <v>2005</v>
      </c>
      <c r="F524">
        <v>2015</v>
      </c>
      <c r="G524">
        <v>6.9444444444444441E-3</v>
      </c>
      <c r="H524">
        <v>495.36189793480105</v>
      </c>
      <c r="I524">
        <v>0</v>
      </c>
      <c r="J524">
        <v>0</v>
      </c>
      <c r="K524">
        <v>1</v>
      </c>
      <c r="L524" t="s">
        <v>238</v>
      </c>
      <c r="M524">
        <v>130.19715932114437</v>
      </c>
      <c r="N524">
        <v>268.05297507294432</v>
      </c>
      <c r="O524">
        <v>0</v>
      </c>
      <c r="P524">
        <v>1</v>
      </c>
      <c r="Q524">
        <v>0</v>
      </c>
      <c r="R524">
        <v>1</v>
      </c>
      <c r="S524">
        <v>0</v>
      </c>
      <c r="T524">
        <v>1</v>
      </c>
      <c r="U524">
        <v>0</v>
      </c>
      <c r="V524">
        <v>3</v>
      </c>
      <c r="W524">
        <v>3</v>
      </c>
      <c r="AA524">
        <v>0</v>
      </c>
      <c r="AC524">
        <v>0</v>
      </c>
      <c r="AD524">
        <v>0</v>
      </c>
      <c r="AE524">
        <v>0</v>
      </c>
      <c r="AF524">
        <v>1</v>
      </c>
      <c r="AG524">
        <v>0</v>
      </c>
      <c r="AH524">
        <v>23</v>
      </c>
      <c r="AI524">
        <v>0</v>
      </c>
      <c r="AJ524">
        <v>144</v>
      </c>
    </row>
    <row r="525" spans="1:36" x14ac:dyDescent="0.2">
      <c r="A525" t="str">
        <f>+VLOOKUP(B525,studies!$A$2:$C$102,3)</f>
        <v>Kopp et al. (2012)</v>
      </c>
      <c r="B525">
        <v>78</v>
      </c>
      <c r="C525">
        <v>2012</v>
      </c>
      <c r="D525">
        <v>1</v>
      </c>
      <c r="E525">
        <v>2005</v>
      </c>
      <c r="F525">
        <v>2015</v>
      </c>
      <c r="G525">
        <v>6.9444444444444441E-3</v>
      </c>
      <c r="H525">
        <v>675.49349718381961</v>
      </c>
      <c r="I525">
        <v>0</v>
      </c>
      <c r="J525">
        <v>0</v>
      </c>
      <c r="K525">
        <v>1</v>
      </c>
      <c r="L525" t="s">
        <v>238</v>
      </c>
      <c r="M525">
        <v>222.10103648901097</v>
      </c>
      <c r="N525">
        <v>1072.2119002917771</v>
      </c>
      <c r="O525">
        <v>0</v>
      </c>
      <c r="P525">
        <v>1</v>
      </c>
      <c r="Q525">
        <v>0</v>
      </c>
      <c r="R525">
        <v>1</v>
      </c>
      <c r="S525">
        <v>0</v>
      </c>
      <c r="T525">
        <v>1</v>
      </c>
      <c r="U525">
        <v>0</v>
      </c>
      <c r="V525">
        <v>3</v>
      </c>
      <c r="W525">
        <v>3</v>
      </c>
      <c r="AA525">
        <v>0</v>
      </c>
      <c r="AC525">
        <v>0</v>
      </c>
      <c r="AD525">
        <v>0</v>
      </c>
      <c r="AE525">
        <v>0</v>
      </c>
      <c r="AF525">
        <v>1</v>
      </c>
      <c r="AG525">
        <v>0</v>
      </c>
      <c r="AH525">
        <v>23</v>
      </c>
      <c r="AI525">
        <v>0</v>
      </c>
      <c r="AJ525">
        <v>144</v>
      </c>
    </row>
    <row r="526" spans="1:36" x14ac:dyDescent="0.2">
      <c r="A526" t="str">
        <f>+VLOOKUP(B526,studies!$A$2:$C$102,3)</f>
        <v>Kopp et al. (2012)</v>
      </c>
      <c r="B526">
        <v>78</v>
      </c>
      <c r="C526">
        <v>2012</v>
      </c>
      <c r="D526">
        <v>1</v>
      </c>
      <c r="E526">
        <v>2005</v>
      </c>
      <c r="F526">
        <v>2015</v>
      </c>
      <c r="G526">
        <v>6.9444444444444441E-3</v>
      </c>
      <c r="H526">
        <v>225.1644990612732</v>
      </c>
      <c r="I526">
        <v>0</v>
      </c>
      <c r="J526">
        <v>0</v>
      </c>
      <c r="K526">
        <v>1</v>
      </c>
      <c r="L526" t="s">
        <v>238</v>
      </c>
      <c r="M526">
        <v>68.927907875899962</v>
      </c>
      <c r="N526">
        <v>1026.2599617078438</v>
      </c>
      <c r="O526">
        <v>0</v>
      </c>
      <c r="P526">
        <v>1</v>
      </c>
      <c r="Q526">
        <v>0</v>
      </c>
      <c r="R526">
        <v>1</v>
      </c>
      <c r="S526">
        <v>0</v>
      </c>
      <c r="T526">
        <v>1</v>
      </c>
      <c r="U526">
        <v>0</v>
      </c>
      <c r="V526">
        <v>3</v>
      </c>
      <c r="W526">
        <v>3</v>
      </c>
      <c r="AA526">
        <v>0</v>
      </c>
      <c r="AC526">
        <v>0</v>
      </c>
      <c r="AD526">
        <v>0</v>
      </c>
      <c r="AE526">
        <v>0</v>
      </c>
      <c r="AF526">
        <v>1</v>
      </c>
      <c r="AG526">
        <v>0</v>
      </c>
      <c r="AH526">
        <v>23</v>
      </c>
      <c r="AI526">
        <v>0</v>
      </c>
      <c r="AJ526">
        <v>144</v>
      </c>
    </row>
    <row r="527" spans="1:36" x14ac:dyDescent="0.2">
      <c r="A527" t="str">
        <f>+VLOOKUP(B527,studies!$A$2:$C$102,3)</f>
        <v>Kopp et al. (2012)</v>
      </c>
      <c r="B527">
        <v>78</v>
      </c>
      <c r="C527">
        <v>2012</v>
      </c>
      <c r="D527">
        <v>1</v>
      </c>
      <c r="E527">
        <v>2005</v>
      </c>
      <c r="F527">
        <v>2015</v>
      </c>
      <c r="G527">
        <v>6.9444444444444441E-3</v>
      </c>
      <c r="H527">
        <v>165.12063264493366</v>
      </c>
      <c r="I527">
        <v>0</v>
      </c>
      <c r="J527">
        <v>0</v>
      </c>
      <c r="K527">
        <v>1</v>
      </c>
      <c r="L527" t="s">
        <v>238</v>
      </c>
      <c r="M527">
        <v>45.951938583933298</v>
      </c>
      <c r="N527">
        <v>1049.2359309998105</v>
      </c>
      <c r="O527">
        <v>0</v>
      </c>
      <c r="P527">
        <v>1</v>
      </c>
      <c r="Q527">
        <v>0</v>
      </c>
      <c r="R527">
        <v>1</v>
      </c>
      <c r="S527">
        <v>0</v>
      </c>
      <c r="T527">
        <v>1</v>
      </c>
      <c r="U527">
        <v>0</v>
      </c>
      <c r="V527">
        <v>3</v>
      </c>
      <c r="W527">
        <v>3</v>
      </c>
      <c r="AA527">
        <v>0</v>
      </c>
      <c r="AC527">
        <v>0</v>
      </c>
      <c r="AD527">
        <v>0</v>
      </c>
      <c r="AE527">
        <v>0</v>
      </c>
      <c r="AF527">
        <v>1</v>
      </c>
      <c r="AG527">
        <v>0</v>
      </c>
      <c r="AH527">
        <v>23</v>
      </c>
      <c r="AI527">
        <v>0</v>
      </c>
      <c r="AJ527">
        <v>144</v>
      </c>
    </row>
    <row r="528" spans="1:36" x14ac:dyDescent="0.2">
      <c r="A528" t="str">
        <f>+VLOOKUP(B528,studies!$A$2:$C$102,3)</f>
        <v>Kopp et al. (2012)</v>
      </c>
      <c r="B528">
        <v>78</v>
      </c>
      <c r="C528">
        <v>2012</v>
      </c>
      <c r="D528">
        <v>1</v>
      </c>
      <c r="E528">
        <v>2005</v>
      </c>
      <c r="F528">
        <v>2015</v>
      </c>
      <c r="G528">
        <v>6.9444444444444441E-3</v>
      </c>
      <c r="H528">
        <v>300.21933208169759</v>
      </c>
      <c r="I528">
        <v>0</v>
      </c>
      <c r="J528">
        <v>0</v>
      </c>
      <c r="K528">
        <v>1</v>
      </c>
      <c r="L528" t="s">
        <v>238</v>
      </c>
      <c r="M528">
        <v>91.903877167866611</v>
      </c>
      <c r="N528">
        <v>1256.0196546275106</v>
      </c>
      <c r="O528">
        <v>0</v>
      </c>
      <c r="P528">
        <v>1</v>
      </c>
      <c r="Q528">
        <v>0</v>
      </c>
      <c r="R528">
        <v>1</v>
      </c>
      <c r="S528">
        <v>0</v>
      </c>
      <c r="T528">
        <v>1</v>
      </c>
      <c r="U528">
        <v>0</v>
      </c>
      <c r="V528">
        <v>3</v>
      </c>
      <c r="W528">
        <v>3</v>
      </c>
      <c r="AA528">
        <v>0</v>
      </c>
      <c r="AC528">
        <v>0</v>
      </c>
      <c r="AD528">
        <v>0</v>
      </c>
      <c r="AE528">
        <v>0</v>
      </c>
      <c r="AF528">
        <v>1</v>
      </c>
      <c r="AG528">
        <v>0</v>
      </c>
      <c r="AH528">
        <v>23</v>
      </c>
      <c r="AI528">
        <v>0</v>
      </c>
      <c r="AJ528">
        <v>144</v>
      </c>
    </row>
    <row r="529" spans="1:36" x14ac:dyDescent="0.2">
      <c r="A529" t="str">
        <f>+VLOOKUP(B529,studies!$A$2:$C$102,3)</f>
        <v>Kopp et al. (2012)</v>
      </c>
      <c r="B529">
        <v>78</v>
      </c>
      <c r="C529">
        <v>2012</v>
      </c>
      <c r="D529">
        <v>1</v>
      </c>
      <c r="E529">
        <v>2005</v>
      </c>
      <c r="F529">
        <v>2015</v>
      </c>
      <c r="G529">
        <v>6.9444444444444441E-3</v>
      </c>
      <c r="H529">
        <v>120.08773283267904</v>
      </c>
      <c r="I529">
        <v>0</v>
      </c>
      <c r="J529">
        <v>0</v>
      </c>
      <c r="K529">
        <v>1</v>
      </c>
      <c r="L529" t="s">
        <v>238</v>
      </c>
      <c r="M529">
        <v>30.634625722622204</v>
      </c>
      <c r="N529">
        <v>850.11086380276618</v>
      </c>
      <c r="O529">
        <v>0</v>
      </c>
      <c r="P529">
        <v>1</v>
      </c>
      <c r="Q529">
        <v>0</v>
      </c>
      <c r="R529">
        <v>1</v>
      </c>
      <c r="S529">
        <v>0</v>
      </c>
      <c r="T529">
        <v>1</v>
      </c>
      <c r="U529">
        <v>0</v>
      </c>
      <c r="V529">
        <v>3</v>
      </c>
      <c r="W529">
        <v>3</v>
      </c>
      <c r="AA529">
        <v>0</v>
      </c>
      <c r="AC529">
        <v>0</v>
      </c>
      <c r="AD529">
        <v>0</v>
      </c>
      <c r="AE529">
        <v>0</v>
      </c>
      <c r="AF529">
        <v>1</v>
      </c>
      <c r="AG529">
        <v>0</v>
      </c>
      <c r="AH529">
        <v>23</v>
      </c>
      <c r="AI529">
        <v>0</v>
      </c>
      <c r="AJ529">
        <v>144</v>
      </c>
    </row>
    <row r="530" spans="1:36" x14ac:dyDescent="0.2">
      <c r="A530" t="str">
        <f>+VLOOKUP(B530,studies!$A$2:$C$102,3)</f>
        <v>Kopp et al. (2012)</v>
      </c>
      <c r="B530">
        <v>78</v>
      </c>
      <c r="C530">
        <v>2012</v>
      </c>
      <c r="D530">
        <v>1</v>
      </c>
      <c r="E530">
        <v>2005</v>
      </c>
      <c r="F530">
        <v>2015</v>
      </c>
      <c r="G530">
        <v>6.9444444444444441E-3</v>
      </c>
      <c r="H530">
        <v>120.08773283267904</v>
      </c>
      <c r="I530">
        <v>0</v>
      </c>
      <c r="J530">
        <v>0</v>
      </c>
      <c r="K530">
        <v>1</v>
      </c>
      <c r="L530" t="s">
        <v>238</v>
      </c>
      <c r="M530">
        <v>53.61059501458886</v>
      </c>
      <c r="N530">
        <v>1547.0485989924214</v>
      </c>
      <c r="O530">
        <v>0</v>
      </c>
      <c r="P530">
        <v>1</v>
      </c>
      <c r="Q530">
        <v>0</v>
      </c>
      <c r="R530">
        <v>1</v>
      </c>
      <c r="S530">
        <v>0</v>
      </c>
      <c r="T530">
        <v>1</v>
      </c>
      <c r="U530">
        <v>0</v>
      </c>
      <c r="V530">
        <v>3</v>
      </c>
      <c r="W530">
        <v>3</v>
      </c>
      <c r="AA530">
        <v>0</v>
      </c>
      <c r="AC530">
        <v>0</v>
      </c>
      <c r="AD530">
        <v>0</v>
      </c>
      <c r="AE530">
        <v>0</v>
      </c>
      <c r="AF530">
        <v>1</v>
      </c>
      <c r="AG530">
        <v>0</v>
      </c>
      <c r="AH530">
        <v>23</v>
      </c>
      <c r="AI530">
        <v>0</v>
      </c>
      <c r="AJ530">
        <v>144</v>
      </c>
    </row>
    <row r="531" spans="1:36" x14ac:dyDescent="0.2">
      <c r="A531" t="str">
        <f>+VLOOKUP(B531,studies!$A$2:$C$102,3)</f>
        <v>Kopp et al. (2012)</v>
      </c>
      <c r="B531">
        <v>78</v>
      </c>
      <c r="C531">
        <v>2012</v>
      </c>
      <c r="D531">
        <v>1</v>
      </c>
      <c r="E531">
        <v>2005</v>
      </c>
      <c r="F531">
        <v>2015</v>
      </c>
      <c r="G531">
        <v>6.9444444444444441E-3</v>
      </c>
      <c r="H531">
        <v>105.07676622859417</v>
      </c>
      <c r="I531">
        <v>0</v>
      </c>
      <c r="J531">
        <v>0</v>
      </c>
      <c r="K531">
        <v>1</v>
      </c>
      <c r="L531" t="s">
        <v>238</v>
      </c>
      <c r="M531">
        <v>45.951938583933305</v>
      </c>
      <c r="N531">
        <v>1531.7312861311102</v>
      </c>
      <c r="O531">
        <v>0</v>
      </c>
      <c r="P531">
        <v>1</v>
      </c>
      <c r="Q531">
        <v>0</v>
      </c>
      <c r="R531">
        <v>1</v>
      </c>
      <c r="S531">
        <v>0</v>
      </c>
      <c r="T531">
        <v>1</v>
      </c>
      <c r="U531">
        <v>0</v>
      </c>
      <c r="V531">
        <v>3</v>
      </c>
      <c r="W531">
        <v>3</v>
      </c>
      <c r="AA531">
        <v>0</v>
      </c>
      <c r="AC531">
        <v>0</v>
      </c>
      <c r="AD531">
        <v>0</v>
      </c>
      <c r="AE531">
        <v>0</v>
      </c>
      <c r="AF531">
        <v>1</v>
      </c>
      <c r="AG531">
        <v>0</v>
      </c>
      <c r="AH531">
        <v>23</v>
      </c>
      <c r="AI531">
        <v>0</v>
      </c>
      <c r="AJ531">
        <v>144</v>
      </c>
    </row>
    <row r="532" spans="1:36" x14ac:dyDescent="0.2">
      <c r="A532" t="str">
        <f>+VLOOKUP(B532,studies!$A$2:$C$102,3)</f>
        <v>Kopp et al. (2012)</v>
      </c>
      <c r="B532">
        <v>78</v>
      </c>
      <c r="C532">
        <v>2012</v>
      </c>
      <c r="D532">
        <v>1</v>
      </c>
      <c r="E532">
        <v>2005</v>
      </c>
      <c r="F532">
        <v>2015</v>
      </c>
      <c r="G532">
        <v>6.9444444444444441E-3</v>
      </c>
      <c r="H532">
        <v>135.09869943676392</v>
      </c>
      <c r="I532">
        <v>0</v>
      </c>
      <c r="J532">
        <v>0</v>
      </c>
      <c r="K532">
        <v>1</v>
      </c>
      <c r="L532" t="s">
        <v>238</v>
      </c>
      <c r="M532">
        <v>61.269251445244407</v>
      </c>
      <c r="N532">
        <v>1700.2217276055326</v>
      </c>
      <c r="O532">
        <v>0</v>
      </c>
      <c r="P532">
        <v>1</v>
      </c>
      <c r="Q532">
        <v>0</v>
      </c>
      <c r="R532">
        <v>1</v>
      </c>
      <c r="S532">
        <v>0</v>
      </c>
      <c r="T532">
        <v>1</v>
      </c>
      <c r="U532">
        <v>0</v>
      </c>
      <c r="V532">
        <v>3</v>
      </c>
      <c r="W532">
        <v>3</v>
      </c>
      <c r="AA532">
        <v>0</v>
      </c>
      <c r="AC532">
        <v>0</v>
      </c>
      <c r="AD532">
        <v>0</v>
      </c>
      <c r="AE532">
        <v>0</v>
      </c>
      <c r="AF532">
        <v>1</v>
      </c>
      <c r="AG532">
        <v>0</v>
      </c>
      <c r="AH532">
        <v>23</v>
      </c>
      <c r="AI532">
        <v>0</v>
      </c>
      <c r="AJ532">
        <v>144</v>
      </c>
    </row>
    <row r="533" spans="1:36" x14ac:dyDescent="0.2">
      <c r="A533" t="str">
        <f>+VLOOKUP(B533,studies!$A$2:$C$102,3)</f>
        <v>Kopp et al. (2012)</v>
      </c>
      <c r="B533">
        <v>78</v>
      </c>
      <c r="C533">
        <v>2012</v>
      </c>
      <c r="D533">
        <v>1</v>
      </c>
      <c r="E533">
        <v>2005</v>
      </c>
      <c r="F533">
        <v>2015</v>
      </c>
      <c r="G533">
        <v>6.9444444444444441E-3</v>
      </c>
      <c r="H533">
        <v>90.065799624509282</v>
      </c>
      <c r="I533">
        <v>0</v>
      </c>
      <c r="J533">
        <v>0</v>
      </c>
      <c r="K533">
        <v>1</v>
      </c>
      <c r="L533" t="s">
        <v>238</v>
      </c>
      <c r="M533">
        <v>38.293282153277758</v>
      </c>
      <c r="N533">
        <v>1439.8274089632437</v>
      </c>
      <c r="O533">
        <v>0</v>
      </c>
      <c r="P533">
        <v>1</v>
      </c>
      <c r="Q533">
        <v>0</v>
      </c>
      <c r="R533">
        <v>1</v>
      </c>
      <c r="S533">
        <v>0</v>
      </c>
      <c r="T533">
        <v>1</v>
      </c>
      <c r="U533">
        <v>0</v>
      </c>
      <c r="V533">
        <v>3</v>
      </c>
      <c r="W533">
        <v>3</v>
      </c>
      <c r="AA533">
        <v>0</v>
      </c>
      <c r="AC533">
        <v>0</v>
      </c>
      <c r="AD533">
        <v>0</v>
      </c>
      <c r="AE533">
        <v>0</v>
      </c>
      <c r="AF533">
        <v>1</v>
      </c>
      <c r="AG533">
        <v>0</v>
      </c>
      <c r="AH533">
        <v>23</v>
      </c>
      <c r="AI533">
        <v>0</v>
      </c>
      <c r="AJ533">
        <v>144</v>
      </c>
    </row>
    <row r="534" spans="1:36" x14ac:dyDescent="0.2">
      <c r="A534" t="str">
        <f>+VLOOKUP(B534,studies!$A$2:$C$102,3)</f>
        <v>Kopp et al. (2012)</v>
      </c>
      <c r="B534">
        <v>78</v>
      </c>
      <c r="C534">
        <v>2012</v>
      </c>
      <c r="D534">
        <v>1</v>
      </c>
      <c r="E534">
        <v>2005</v>
      </c>
      <c r="F534">
        <v>2015</v>
      </c>
      <c r="G534">
        <v>6.9444444444444441E-3</v>
      </c>
      <c r="H534">
        <v>585.42769755931033</v>
      </c>
      <c r="I534">
        <v>0</v>
      </c>
      <c r="J534">
        <v>0</v>
      </c>
      <c r="K534">
        <v>1</v>
      </c>
      <c r="L534" t="s">
        <v>238</v>
      </c>
      <c r="M534">
        <v>160.83178504376656</v>
      </c>
      <c r="N534">
        <v>413.56744725539983</v>
      </c>
      <c r="O534">
        <v>0</v>
      </c>
      <c r="P534">
        <v>1</v>
      </c>
      <c r="Q534">
        <v>0</v>
      </c>
      <c r="R534">
        <v>1</v>
      </c>
      <c r="S534">
        <v>0</v>
      </c>
      <c r="T534">
        <v>1</v>
      </c>
      <c r="U534">
        <v>0</v>
      </c>
      <c r="V534">
        <v>3</v>
      </c>
      <c r="W534">
        <v>0.95</v>
      </c>
      <c r="AA534">
        <v>0</v>
      </c>
      <c r="AC534">
        <v>0</v>
      </c>
      <c r="AD534">
        <v>0</v>
      </c>
      <c r="AE534">
        <v>0</v>
      </c>
      <c r="AF534">
        <v>1</v>
      </c>
      <c r="AG534">
        <v>0</v>
      </c>
      <c r="AH534">
        <v>23</v>
      </c>
      <c r="AI534">
        <v>0</v>
      </c>
      <c r="AJ534">
        <v>144</v>
      </c>
    </row>
    <row r="535" spans="1:36" x14ac:dyDescent="0.2">
      <c r="A535" t="str">
        <f>+VLOOKUP(B535,studies!$A$2:$C$102,3)</f>
        <v>Kopp et al. (2012)</v>
      </c>
      <c r="B535">
        <v>78</v>
      </c>
      <c r="C535">
        <v>2012</v>
      </c>
      <c r="D535">
        <v>1</v>
      </c>
      <c r="E535">
        <v>2005</v>
      </c>
      <c r="F535">
        <v>2015</v>
      </c>
      <c r="G535">
        <v>6.9444444444444441E-3</v>
      </c>
      <c r="H535">
        <v>615.44963076748013</v>
      </c>
      <c r="I535">
        <v>0</v>
      </c>
      <c r="J535">
        <v>0</v>
      </c>
      <c r="K535">
        <v>1</v>
      </c>
      <c r="L535" t="s">
        <v>238</v>
      </c>
      <c r="M535">
        <v>176.14909790507767</v>
      </c>
      <c r="N535">
        <v>513.12998085392189</v>
      </c>
      <c r="O535">
        <v>0</v>
      </c>
      <c r="P535">
        <v>1</v>
      </c>
      <c r="Q535">
        <v>0</v>
      </c>
      <c r="R535">
        <v>1</v>
      </c>
      <c r="S535">
        <v>0</v>
      </c>
      <c r="T535">
        <v>1</v>
      </c>
      <c r="U535">
        <v>0</v>
      </c>
      <c r="V535">
        <v>3</v>
      </c>
      <c r="W535">
        <v>0.95</v>
      </c>
      <c r="AA535">
        <v>0</v>
      </c>
      <c r="AC535">
        <v>0</v>
      </c>
      <c r="AD535">
        <v>0</v>
      </c>
      <c r="AE535">
        <v>0</v>
      </c>
      <c r="AF535">
        <v>1</v>
      </c>
      <c r="AG535">
        <v>0</v>
      </c>
      <c r="AH535">
        <v>23</v>
      </c>
      <c r="AI535">
        <v>0</v>
      </c>
      <c r="AJ535">
        <v>144</v>
      </c>
    </row>
    <row r="536" spans="1:36" x14ac:dyDescent="0.2">
      <c r="A536" t="str">
        <f>+VLOOKUP(B536,studies!$A$2:$C$102,3)</f>
        <v>Kopp et al. (2012)</v>
      </c>
      <c r="B536">
        <v>78</v>
      </c>
      <c r="C536">
        <v>2012</v>
      </c>
      <c r="D536">
        <v>1</v>
      </c>
      <c r="E536">
        <v>2005</v>
      </c>
      <c r="F536">
        <v>2015</v>
      </c>
      <c r="G536">
        <v>6.9444444444444441E-3</v>
      </c>
      <c r="H536">
        <v>555.40576435114065</v>
      </c>
      <c r="I536">
        <v>0</v>
      </c>
      <c r="J536">
        <v>0</v>
      </c>
      <c r="K536">
        <v>1</v>
      </c>
      <c r="L536" t="s">
        <v>238</v>
      </c>
      <c r="M536">
        <v>168.49044147442214</v>
      </c>
      <c r="N536">
        <v>428.88476011671094</v>
      </c>
      <c r="O536">
        <v>0</v>
      </c>
      <c r="P536">
        <v>1</v>
      </c>
      <c r="Q536">
        <v>0</v>
      </c>
      <c r="R536">
        <v>1</v>
      </c>
      <c r="S536">
        <v>0</v>
      </c>
      <c r="T536">
        <v>1</v>
      </c>
      <c r="U536">
        <v>0</v>
      </c>
      <c r="V536">
        <v>3</v>
      </c>
      <c r="W536">
        <v>0.95</v>
      </c>
      <c r="AA536">
        <v>0</v>
      </c>
      <c r="AC536">
        <v>0</v>
      </c>
      <c r="AD536">
        <v>0</v>
      </c>
      <c r="AE536">
        <v>0</v>
      </c>
      <c r="AF536">
        <v>1</v>
      </c>
      <c r="AG536">
        <v>0</v>
      </c>
      <c r="AH536">
        <v>23</v>
      </c>
      <c r="AI536">
        <v>0</v>
      </c>
      <c r="AJ536">
        <v>144</v>
      </c>
    </row>
    <row r="537" spans="1:36" x14ac:dyDescent="0.2">
      <c r="A537" t="str">
        <f>+VLOOKUP(B537,studies!$A$2:$C$102,3)</f>
        <v>Kopp et al. (2012)</v>
      </c>
      <c r="B537">
        <v>78</v>
      </c>
      <c r="C537">
        <v>2012</v>
      </c>
      <c r="D537">
        <v>1</v>
      </c>
      <c r="E537">
        <v>2005</v>
      </c>
      <c r="F537">
        <v>2015</v>
      </c>
      <c r="G537">
        <v>6.9444444444444441E-3</v>
      </c>
      <c r="H537">
        <v>930.6799294532625</v>
      </c>
      <c r="I537">
        <v>0</v>
      </c>
      <c r="J537">
        <v>0</v>
      </c>
      <c r="K537">
        <v>1</v>
      </c>
      <c r="L537" t="s">
        <v>238</v>
      </c>
      <c r="M537">
        <v>252.73566221163316</v>
      </c>
      <c r="N537">
        <v>574.39923229916644</v>
      </c>
      <c r="O537">
        <v>0</v>
      </c>
      <c r="P537">
        <v>1</v>
      </c>
      <c r="Q537">
        <v>0</v>
      </c>
      <c r="R537">
        <v>1</v>
      </c>
      <c r="S537">
        <v>0</v>
      </c>
      <c r="T537">
        <v>1</v>
      </c>
      <c r="U537">
        <v>0</v>
      </c>
      <c r="V537">
        <v>3</v>
      </c>
      <c r="W537">
        <v>0.95</v>
      </c>
      <c r="AA537">
        <v>0</v>
      </c>
      <c r="AC537">
        <v>0</v>
      </c>
      <c r="AD537">
        <v>0</v>
      </c>
      <c r="AE537">
        <v>0</v>
      </c>
      <c r="AF537">
        <v>1</v>
      </c>
      <c r="AG537">
        <v>0</v>
      </c>
      <c r="AH537">
        <v>23</v>
      </c>
      <c r="AI537">
        <v>0</v>
      </c>
      <c r="AJ537">
        <v>144</v>
      </c>
    </row>
    <row r="538" spans="1:36" x14ac:dyDescent="0.2">
      <c r="A538" t="str">
        <f>+VLOOKUP(B538,studies!$A$2:$C$102,3)</f>
        <v>Kopp et al. (2012)</v>
      </c>
      <c r="B538">
        <v>78</v>
      </c>
      <c r="C538">
        <v>2012</v>
      </c>
      <c r="D538">
        <v>1</v>
      </c>
      <c r="E538">
        <v>2005</v>
      </c>
      <c r="F538">
        <v>2015</v>
      </c>
      <c r="G538">
        <v>6.9444444444444441E-3</v>
      </c>
      <c r="H538">
        <v>585.42769755931033</v>
      </c>
      <c r="I538">
        <v>0</v>
      </c>
      <c r="J538">
        <v>0</v>
      </c>
      <c r="K538">
        <v>1</v>
      </c>
      <c r="L538" t="s">
        <v>238</v>
      </c>
      <c r="M538">
        <v>160.83178504376656</v>
      </c>
      <c r="N538">
        <v>398.25013439408872</v>
      </c>
      <c r="O538">
        <v>0</v>
      </c>
      <c r="P538">
        <v>1</v>
      </c>
      <c r="Q538">
        <v>0</v>
      </c>
      <c r="R538">
        <v>1</v>
      </c>
      <c r="S538">
        <v>0</v>
      </c>
      <c r="T538">
        <v>1</v>
      </c>
      <c r="U538">
        <v>0</v>
      </c>
      <c r="V538">
        <v>3</v>
      </c>
      <c r="W538">
        <v>0.95</v>
      </c>
      <c r="AA538">
        <v>0</v>
      </c>
      <c r="AC538">
        <v>0</v>
      </c>
      <c r="AD538">
        <v>0</v>
      </c>
      <c r="AE538">
        <v>0</v>
      </c>
      <c r="AF538">
        <v>1</v>
      </c>
      <c r="AG538">
        <v>0</v>
      </c>
      <c r="AH538">
        <v>23</v>
      </c>
      <c r="AI538">
        <v>0</v>
      </c>
      <c r="AJ538">
        <v>144</v>
      </c>
    </row>
    <row r="539" spans="1:36" x14ac:dyDescent="0.2">
      <c r="A539" t="str">
        <f>+VLOOKUP(B539,studies!$A$2:$C$102,3)</f>
        <v>Kopp et al. (2012)</v>
      </c>
      <c r="B539">
        <v>78</v>
      </c>
      <c r="C539">
        <v>2012</v>
      </c>
      <c r="D539">
        <v>1</v>
      </c>
      <c r="E539">
        <v>2005</v>
      </c>
      <c r="F539">
        <v>2015</v>
      </c>
      <c r="G539">
        <v>6.9444444444444441E-3</v>
      </c>
      <c r="H539">
        <v>1155.8444285145358</v>
      </c>
      <c r="I539">
        <v>0</v>
      </c>
      <c r="J539">
        <v>0</v>
      </c>
      <c r="K539">
        <v>1</v>
      </c>
      <c r="L539" t="s">
        <v>238</v>
      </c>
      <c r="M539">
        <v>314.00491365687765</v>
      </c>
      <c r="N539">
        <v>643.32714017506623</v>
      </c>
      <c r="O539">
        <v>0</v>
      </c>
      <c r="P539">
        <v>1</v>
      </c>
      <c r="Q539">
        <v>0</v>
      </c>
      <c r="R539">
        <v>1</v>
      </c>
      <c r="S539">
        <v>0</v>
      </c>
      <c r="T539">
        <v>1</v>
      </c>
      <c r="U539">
        <v>0</v>
      </c>
      <c r="V539">
        <v>3</v>
      </c>
      <c r="W539">
        <v>0.95</v>
      </c>
      <c r="AA539">
        <v>0</v>
      </c>
      <c r="AC539">
        <v>0</v>
      </c>
      <c r="AD539">
        <v>0</v>
      </c>
      <c r="AE539">
        <v>0</v>
      </c>
      <c r="AF539">
        <v>1</v>
      </c>
      <c r="AG539">
        <v>0</v>
      </c>
      <c r="AH539">
        <v>23</v>
      </c>
      <c r="AI539">
        <v>0</v>
      </c>
      <c r="AJ539">
        <v>144</v>
      </c>
    </row>
    <row r="540" spans="1:36" x14ac:dyDescent="0.2">
      <c r="A540" t="str">
        <f>+VLOOKUP(B540,studies!$A$2:$C$102,3)</f>
        <v>Kopp et al. (2012)</v>
      </c>
      <c r="B540">
        <v>78</v>
      </c>
      <c r="C540">
        <v>2012</v>
      </c>
      <c r="D540">
        <v>1</v>
      </c>
      <c r="E540">
        <v>2005</v>
      </c>
      <c r="F540">
        <v>2015</v>
      </c>
      <c r="G540">
        <v>6.9444444444444441E-3</v>
      </c>
      <c r="H540">
        <v>450.32899812254641</v>
      </c>
      <c r="I540">
        <v>0</v>
      </c>
      <c r="J540">
        <v>0</v>
      </c>
      <c r="K540">
        <v>1</v>
      </c>
      <c r="L540" t="s">
        <v>238</v>
      </c>
      <c r="M540">
        <v>114.87984645983326</v>
      </c>
      <c r="N540">
        <v>283.37028793425543</v>
      </c>
      <c r="O540">
        <v>0</v>
      </c>
      <c r="P540">
        <v>1</v>
      </c>
      <c r="Q540">
        <v>0</v>
      </c>
      <c r="R540">
        <v>1</v>
      </c>
      <c r="S540">
        <v>0</v>
      </c>
      <c r="T540">
        <v>1</v>
      </c>
      <c r="U540">
        <v>0</v>
      </c>
      <c r="V540">
        <v>3</v>
      </c>
      <c r="W540">
        <v>0.95</v>
      </c>
      <c r="AA540">
        <v>0</v>
      </c>
      <c r="AC540">
        <v>0</v>
      </c>
      <c r="AD540">
        <v>0</v>
      </c>
      <c r="AE540">
        <v>0</v>
      </c>
      <c r="AF540">
        <v>1</v>
      </c>
      <c r="AG540">
        <v>0</v>
      </c>
      <c r="AH540">
        <v>23</v>
      </c>
      <c r="AI540">
        <v>0</v>
      </c>
      <c r="AJ540">
        <v>144</v>
      </c>
    </row>
    <row r="541" spans="1:36" x14ac:dyDescent="0.2">
      <c r="A541" t="str">
        <f>+VLOOKUP(B541,studies!$A$2:$C$102,3)</f>
        <v>Kopp et al. (2012)</v>
      </c>
      <c r="B541">
        <v>78</v>
      </c>
      <c r="C541">
        <v>2012</v>
      </c>
      <c r="D541">
        <v>1</v>
      </c>
      <c r="E541">
        <v>2005</v>
      </c>
      <c r="F541">
        <v>2015</v>
      </c>
      <c r="G541">
        <v>6.9444444444444441E-3</v>
      </c>
      <c r="H541">
        <v>615.44963076748013</v>
      </c>
      <c r="I541">
        <v>0</v>
      </c>
      <c r="J541">
        <v>0</v>
      </c>
      <c r="K541">
        <v>1</v>
      </c>
      <c r="L541" t="s">
        <v>238</v>
      </c>
      <c r="M541">
        <v>176.14909790507767</v>
      </c>
      <c r="N541">
        <v>451.86072940867751</v>
      </c>
      <c r="O541">
        <v>0</v>
      </c>
      <c r="P541">
        <v>1</v>
      </c>
      <c r="Q541">
        <v>0</v>
      </c>
      <c r="R541">
        <v>1</v>
      </c>
      <c r="S541">
        <v>0</v>
      </c>
      <c r="T541">
        <v>1</v>
      </c>
      <c r="U541">
        <v>0</v>
      </c>
      <c r="V541">
        <v>3</v>
      </c>
      <c r="W541">
        <v>0.95</v>
      </c>
      <c r="AA541">
        <v>0</v>
      </c>
      <c r="AC541">
        <v>0</v>
      </c>
      <c r="AD541">
        <v>0</v>
      </c>
      <c r="AE541">
        <v>0</v>
      </c>
      <c r="AF541">
        <v>1</v>
      </c>
      <c r="AG541">
        <v>0</v>
      </c>
      <c r="AH541">
        <v>23</v>
      </c>
      <c r="AI541">
        <v>0</v>
      </c>
      <c r="AJ541">
        <v>144</v>
      </c>
    </row>
    <row r="542" spans="1:36" x14ac:dyDescent="0.2">
      <c r="A542" t="str">
        <f>+VLOOKUP(B542,studies!$A$2:$C$102,3)</f>
        <v>Kopp et al. (2012)</v>
      </c>
      <c r="B542">
        <v>78</v>
      </c>
      <c r="C542">
        <v>2012</v>
      </c>
      <c r="D542">
        <v>1</v>
      </c>
      <c r="E542">
        <v>2005</v>
      </c>
      <c r="F542">
        <v>2015</v>
      </c>
      <c r="G542">
        <v>6.9444444444444441E-3</v>
      </c>
      <c r="H542">
        <v>585.42769755931033</v>
      </c>
      <c r="I542">
        <v>0</v>
      </c>
      <c r="J542">
        <v>0</v>
      </c>
      <c r="K542">
        <v>1</v>
      </c>
      <c r="L542" t="s">
        <v>238</v>
      </c>
      <c r="M542">
        <v>160.83178504376656</v>
      </c>
      <c r="N542">
        <v>413.56744725539983</v>
      </c>
      <c r="O542">
        <v>0</v>
      </c>
      <c r="P542">
        <v>1</v>
      </c>
      <c r="Q542">
        <v>0</v>
      </c>
      <c r="R542">
        <v>1</v>
      </c>
      <c r="S542">
        <v>0</v>
      </c>
      <c r="T542">
        <v>1</v>
      </c>
      <c r="U542">
        <v>0</v>
      </c>
      <c r="V542">
        <v>3</v>
      </c>
      <c r="W542">
        <v>0.95</v>
      </c>
      <c r="AA542">
        <v>0</v>
      </c>
      <c r="AC542">
        <v>0</v>
      </c>
      <c r="AD542">
        <v>0</v>
      </c>
      <c r="AE542">
        <v>0</v>
      </c>
      <c r="AF542">
        <v>1</v>
      </c>
      <c r="AG542">
        <v>0</v>
      </c>
      <c r="AH542">
        <v>23</v>
      </c>
      <c r="AI542">
        <v>0</v>
      </c>
      <c r="AJ542">
        <v>144</v>
      </c>
    </row>
    <row r="543" spans="1:36" x14ac:dyDescent="0.2">
      <c r="A543" t="str">
        <f>+VLOOKUP(B543,studies!$A$2:$C$102,3)</f>
        <v>Kopp et al. (2012)</v>
      </c>
      <c r="B543">
        <v>78</v>
      </c>
      <c r="C543">
        <v>2012</v>
      </c>
      <c r="D543">
        <v>1</v>
      </c>
      <c r="E543">
        <v>2005</v>
      </c>
      <c r="F543">
        <v>2015</v>
      </c>
      <c r="G543">
        <v>6.9444444444444441E-3</v>
      </c>
      <c r="H543">
        <v>855.62509643283818</v>
      </c>
      <c r="I543">
        <v>0</v>
      </c>
      <c r="J543">
        <v>0</v>
      </c>
      <c r="K543">
        <v>1</v>
      </c>
      <c r="L543" t="s">
        <v>238</v>
      </c>
      <c r="M543">
        <v>298.68760079556648</v>
      </c>
      <c r="N543">
        <v>2297.5969291966658</v>
      </c>
      <c r="O543">
        <v>0</v>
      </c>
      <c r="P543">
        <v>1</v>
      </c>
      <c r="Q543">
        <v>0</v>
      </c>
      <c r="R543">
        <v>1</v>
      </c>
      <c r="S543">
        <v>0</v>
      </c>
      <c r="T543">
        <v>1</v>
      </c>
      <c r="U543">
        <v>0</v>
      </c>
      <c r="V543">
        <v>3</v>
      </c>
      <c r="W543">
        <v>0.95</v>
      </c>
      <c r="AA543">
        <v>0</v>
      </c>
      <c r="AC543">
        <v>0</v>
      </c>
      <c r="AD543">
        <v>0</v>
      </c>
      <c r="AE543">
        <v>0</v>
      </c>
      <c r="AF543">
        <v>1</v>
      </c>
      <c r="AG543">
        <v>0</v>
      </c>
      <c r="AH543">
        <v>23</v>
      </c>
      <c r="AI543">
        <v>0</v>
      </c>
      <c r="AJ543">
        <v>144</v>
      </c>
    </row>
    <row r="544" spans="1:36" x14ac:dyDescent="0.2">
      <c r="A544" t="str">
        <f>+VLOOKUP(B544,studies!$A$2:$C$102,3)</f>
        <v>Kopp et al. (2012)</v>
      </c>
      <c r="B544">
        <v>78</v>
      </c>
      <c r="C544">
        <v>2012</v>
      </c>
      <c r="D544">
        <v>1</v>
      </c>
      <c r="E544">
        <v>2005</v>
      </c>
      <c r="F544">
        <v>2015</v>
      </c>
      <c r="G544">
        <v>6.9444444444444441E-3</v>
      </c>
      <c r="H544">
        <v>270.19739887352785</v>
      </c>
      <c r="I544">
        <v>0</v>
      </c>
      <c r="J544">
        <v>0</v>
      </c>
      <c r="K544">
        <v>1</v>
      </c>
      <c r="L544" t="s">
        <v>238</v>
      </c>
      <c r="M544">
        <v>84.245220737211056</v>
      </c>
      <c r="N544">
        <v>1332.606218934066</v>
      </c>
      <c r="O544">
        <v>0</v>
      </c>
      <c r="P544">
        <v>1</v>
      </c>
      <c r="Q544">
        <v>0</v>
      </c>
      <c r="R544">
        <v>1</v>
      </c>
      <c r="S544">
        <v>0</v>
      </c>
      <c r="T544">
        <v>1</v>
      </c>
      <c r="U544">
        <v>0</v>
      </c>
      <c r="V544">
        <v>3</v>
      </c>
      <c r="W544">
        <v>0.95</v>
      </c>
      <c r="AA544">
        <v>0</v>
      </c>
      <c r="AC544">
        <v>0</v>
      </c>
      <c r="AD544">
        <v>0</v>
      </c>
      <c r="AE544">
        <v>0</v>
      </c>
      <c r="AF544">
        <v>1</v>
      </c>
      <c r="AG544">
        <v>0</v>
      </c>
      <c r="AH544">
        <v>23</v>
      </c>
      <c r="AI544">
        <v>0</v>
      </c>
      <c r="AJ544">
        <v>144</v>
      </c>
    </row>
    <row r="545" spans="1:36" x14ac:dyDescent="0.2">
      <c r="A545" t="str">
        <f>+VLOOKUP(B545,studies!$A$2:$C$102,3)</f>
        <v>Kopp et al. (2012)</v>
      </c>
      <c r="B545">
        <v>78</v>
      </c>
      <c r="C545">
        <v>2012</v>
      </c>
      <c r="D545">
        <v>1</v>
      </c>
      <c r="E545">
        <v>2005</v>
      </c>
      <c r="F545">
        <v>2015</v>
      </c>
      <c r="G545">
        <v>6.9444444444444441E-3</v>
      </c>
      <c r="H545">
        <v>195.14256585310346</v>
      </c>
      <c r="I545">
        <v>0</v>
      </c>
      <c r="J545">
        <v>0</v>
      </c>
      <c r="K545">
        <v>1</v>
      </c>
      <c r="L545" t="s">
        <v>238</v>
      </c>
      <c r="M545">
        <v>61.269251445244414</v>
      </c>
      <c r="N545">
        <v>1332.606218934066</v>
      </c>
      <c r="O545">
        <v>0</v>
      </c>
      <c r="P545">
        <v>1</v>
      </c>
      <c r="Q545">
        <v>0</v>
      </c>
      <c r="R545">
        <v>1</v>
      </c>
      <c r="S545">
        <v>0</v>
      </c>
      <c r="T545">
        <v>1</v>
      </c>
      <c r="U545">
        <v>0</v>
      </c>
      <c r="V545">
        <v>3</v>
      </c>
      <c r="W545">
        <v>0.95</v>
      </c>
      <c r="AA545">
        <v>0</v>
      </c>
      <c r="AC545">
        <v>0</v>
      </c>
      <c r="AD545">
        <v>0</v>
      </c>
      <c r="AE545">
        <v>0</v>
      </c>
      <c r="AF545">
        <v>1</v>
      </c>
      <c r="AG545">
        <v>0</v>
      </c>
      <c r="AH545">
        <v>23</v>
      </c>
      <c r="AI545">
        <v>0</v>
      </c>
      <c r="AJ545">
        <v>144</v>
      </c>
    </row>
    <row r="546" spans="1:36" x14ac:dyDescent="0.2">
      <c r="A546" t="str">
        <f>+VLOOKUP(B546,studies!$A$2:$C$102,3)</f>
        <v>Kopp et al. (2012)</v>
      </c>
      <c r="B546">
        <v>78</v>
      </c>
      <c r="C546">
        <v>2012</v>
      </c>
      <c r="D546">
        <v>1</v>
      </c>
      <c r="E546">
        <v>2005</v>
      </c>
      <c r="F546">
        <v>2015</v>
      </c>
      <c r="G546">
        <v>6.9444444444444441E-3</v>
      </c>
      <c r="H546">
        <v>390.28513170620693</v>
      </c>
      <c r="I546">
        <v>0</v>
      </c>
      <c r="J546">
        <v>0</v>
      </c>
      <c r="K546">
        <v>1</v>
      </c>
      <c r="L546" t="s">
        <v>238</v>
      </c>
      <c r="M546">
        <v>130.19715932114437</v>
      </c>
      <c r="N546">
        <v>1799.7842612040545</v>
      </c>
      <c r="O546">
        <v>0</v>
      </c>
      <c r="P546">
        <v>1</v>
      </c>
      <c r="Q546">
        <v>0</v>
      </c>
      <c r="R546">
        <v>1</v>
      </c>
      <c r="S546">
        <v>0</v>
      </c>
      <c r="T546">
        <v>1</v>
      </c>
      <c r="U546">
        <v>0</v>
      </c>
      <c r="V546">
        <v>3</v>
      </c>
      <c r="W546">
        <v>0.95</v>
      </c>
      <c r="AA546">
        <v>0</v>
      </c>
      <c r="AC546">
        <v>0</v>
      </c>
      <c r="AD546">
        <v>0</v>
      </c>
      <c r="AE546">
        <v>0</v>
      </c>
      <c r="AF546">
        <v>1</v>
      </c>
      <c r="AG546">
        <v>0</v>
      </c>
      <c r="AH546">
        <v>23</v>
      </c>
      <c r="AI546">
        <v>0</v>
      </c>
      <c r="AJ546">
        <v>144</v>
      </c>
    </row>
    <row r="547" spans="1:36" x14ac:dyDescent="0.2">
      <c r="A547" t="str">
        <f>+VLOOKUP(B547,studies!$A$2:$C$102,3)</f>
        <v>Kopp et al. (2012)</v>
      </c>
      <c r="B547">
        <v>78</v>
      </c>
      <c r="C547">
        <v>2012</v>
      </c>
      <c r="D547">
        <v>1</v>
      </c>
      <c r="E547">
        <v>2005</v>
      </c>
      <c r="F547">
        <v>2015</v>
      </c>
      <c r="G547">
        <v>6.9444444444444441E-3</v>
      </c>
      <c r="H547">
        <v>210.15353245718833</v>
      </c>
      <c r="I547">
        <v>0</v>
      </c>
      <c r="J547">
        <v>0</v>
      </c>
      <c r="K547">
        <v>1</v>
      </c>
      <c r="L547" t="s">
        <v>238</v>
      </c>
      <c r="M547">
        <v>61.269251445244407</v>
      </c>
      <c r="N547">
        <v>1462.8033782552104</v>
      </c>
      <c r="O547">
        <v>0</v>
      </c>
      <c r="P547">
        <v>1</v>
      </c>
      <c r="Q547">
        <v>0</v>
      </c>
      <c r="R547">
        <v>1</v>
      </c>
      <c r="S547">
        <v>0</v>
      </c>
      <c r="T547">
        <v>1</v>
      </c>
      <c r="U547">
        <v>0</v>
      </c>
      <c r="V547">
        <v>3</v>
      </c>
      <c r="W547">
        <v>0.95</v>
      </c>
      <c r="AA547">
        <v>0</v>
      </c>
      <c r="AC547">
        <v>0</v>
      </c>
      <c r="AD547">
        <v>0</v>
      </c>
      <c r="AE547">
        <v>0</v>
      </c>
      <c r="AF547">
        <v>1</v>
      </c>
      <c r="AG547">
        <v>0</v>
      </c>
      <c r="AH547">
        <v>23</v>
      </c>
      <c r="AI547">
        <v>0</v>
      </c>
      <c r="AJ547">
        <v>144</v>
      </c>
    </row>
    <row r="548" spans="1:36" x14ac:dyDescent="0.2">
      <c r="A548" t="str">
        <f>+VLOOKUP(B548,studies!$A$2:$C$102,3)</f>
        <v>Kopp et al. (2012)</v>
      </c>
      <c r="B548">
        <v>78</v>
      </c>
      <c r="C548">
        <v>2012</v>
      </c>
      <c r="D548">
        <v>1</v>
      </c>
      <c r="E548">
        <v>2005</v>
      </c>
      <c r="F548">
        <v>2015</v>
      </c>
      <c r="G548">
        <v>6.9444444444444441E-3</v>
      </c>
      <c r="H548">
        <v>135.09869943676392</v>
      </c>
      <c r="I548">
        <v>0</v>
      </c>
      <c r="J548">
        <v>0</v>
      </c>
      <c r="K548">
        <v>1</v>
      </c>
      <c r="L548" t="s">
        <v>238</v>
      </c>
      <c r="M548">
        <v>61.269251445244407</v>
      </c>
      <c r="N548">
        <v>2672.8710942987873</v>
      </c>
      <c r="O548">
        <v>0</v>
      </c>
      <c r="P548">
        <v>1</v>
      </c>
      <c r="Q548">
        <v>0</v>
      </c>
      <c r="R548">
        <v>1</v>
      </c>
      <c r="S548">
        <v>0</v>
      </c>
      <c r="T548">
        <v>1</v>
      </c>
      <c r="U548">
        <v>0</v>
      </c>
      <c r="V548">
        <v>3</v>
      </c>
      <c r="W548">
        <v>0.95</v>
      </c>
      <c r="AA548">
        <v>0</v>
      </c>
      <c r="AC548">
        <v>0</v>
      </c>
      <c r="AD548">
        <v>0</v>
      </c>
      <c r="AE548">
        <v>0</v>
      </c>
      <c r="AF548">
        <v>1</v>
      </c>
      <c r="AG548">
        <v>0</v>
      </c>
      <c r="AH548">
        <v>23</v>
      </c>
      <c r="AI548">
        <v>0</v>
      </c>
      <c r="AJ548">
        <v>144</v>
      </c>
    </row>
    <row r="549" spans="1:36" x14ac:dyDescent="0.2">
      <c r="A549" t="str">
        <f>+VLOOKUP(B549,studies!$A$2:$C$102,3)</f>
        <v>Kopp et al. (2012)</v>
      </c>
      <c r="B549">
        <v>78</v>
      </c>
      <c r="C549">
        <v>2012</v>
      </c>
      <c r="D549">
        <v>1</v>
      </c>
      <c r="E549">
        <v>2005</v>
      </c>
      <c r="F549">
        <v>2015</v>
      </c>
      <c r="G549">
        <v>6.9444444444444441E-3</v>
      </c>
      <c r="H549">
        <v>105.07676622859417</v>
      </c>
      <c r="I549">
        <v>0</v>
      </c>
      <c r="J549">
        <v>0</v>
      </c>
      <c r="K549">
        <v>1</v>
      </c>
      <c r="L549" t="s">
        <v>238</v>
      </c>
      <c r="M549">
        <v>45.951938583933305</v>
      </c>
      <c r="N549">
        <v>2374.1834935032211</v>
      </c>
      <c r="O549">
        <v>0</v>
      </c>
      <c r="P549">
        <v>1</v>
      </c>
      <c r="Q549">
        <v>0</v>
      </c>
      <c r="R549">
        <v>1</v>
      </c>
      <c r="S549">
        <v>0</v>
      </c>
      <c r="T549">
        <v>1</v>
      </c>
      <c r="U549">
        <v>0</v>
      </c>
      <c r="V549">
        <v>3</v>
      </c>
      <c r="W549">
        <v>0.95</v>
      </c>
      <c r="AA549">
        <v>0</v>
      </c>
      <c r="AC549">
        <v>0</v>
      </c>
      <c r="AD549">
        <v>0</v>
      </c>
      <c r="AE549">
        <v>0</v>
      </c>
      <c r="AF549">
        <v>1</v>
      </c>
      <c r="AG549">
        <v>0</v>
      </c>
      <c r="AH549">
        <v>23</v>
      </c>
      <c r="AI549">
        <v>0</v>
      </c>
      <c r="AJ549">
        <v>144</v>
      </c>
    </row>
    <row r="550" spans="1:36" x14ac:dyDescent="0.2">
      <c r="A550" t="str">
        <f>+VLOOKUP(B550,studies!$A$2:$C$102,3)</f>
        <v>Kopp et al. (2012)</v>
      </c>
      <c r="B550">
        <v>78</v>
      </c>
      <c r="C550">
        <v>2012</v>
      </c>
      <c r="D550">
        <v>1</v>
      </c>
      <c r="E550">
        <v>2005</v>
      </c>
      <c r="F550">
        <v>2015</v>
      </c>
      <c r="G550">
        <v>6.9444444444444441E-3</v>
      </c>
      <c r="H550">
        <v>150.10966604084879</v>
      </c>
      <c r="I550">
        <v>0</v>
      </c>
      <c r="J550">
        <v>0</v>
      </c>
      <c r="K550">
        <v>1</v>
      </c>
      <c r="L550" t="s">
        <v>238</v>
      </c>
      <c r="M550">
        <v>68.927907875899962</v>
      </c>
      <c r="N550">
        <v>2887.3134743571427</v>
      </c>
      <c r="O550">
        <v>0</v>
      </c>
      <c r="P550">
        <v>1</v>
      </c>
      <c r="Q550">
        <v>0</v>
      </c>
      <c r="R550">
        <v>1</v>
      </c>
      <c r="S550">
        <v>0</v>
      </c>
      <c r="T550">
        <v>1</v>
      </c>
      <c r="U550">
        <v>0</v>
      </c>
      <c r="V550">
        <v>3</v>
      </c>
      <c r="W550">
        <v>0.95</v>
      </c>
      <c r="AA550">
        <v>0</v>
      </c>
      <c r="AC550">
        <v>0</v>
      </c>
      <c r="AD550">
        <v>0</v>
      </c>
      <c r="AE550">
        <v>0</v>
      </c>
      <c r="AF550">
        <v>1</v>
      </c>
      <c r="AG550">
        <v>0</v>
      </c>
      <c r="AH550">
        <v>23</v>
      </c>
      <c r="AI550">
        <v>0</v>
      </c>
      <c r="AJ550">
        <v>144</v>
      </c>
    </row>
    <row r="551" spans="1:36" x14ac:dyDescent="0.2">
      <c r="A551" t="str">
        <f>+VLOOKUP(B551,studies!$A$2:$C$102,3)</f>
        <v>Kopp et al. (2012)</v>
      </c>
      <c r="B551">
        <v>78</v>
      </c>
      <c r="C551">
        <v>2012</v>
      </c>
      <c r="D551">
        <v>1</v>
      </c>
      <c r="E551">
        <v>2005</v>
      </c>
      <c r="F551">
        <v>2015</v>
      </c>
      <c r="G551">
        <v>6.9444444444444441E-3</v>
      </c>
      <c r="H551">
        <v>120.08773283267904</v>
      </c>
      <c r="I551">
        <v>0</v>
      </c>
      <c r="J551">
        <v>0</v>
      </c>
      <c r="K551">
        <v>1</v>
      </c>
      <c r="L551" t="s">
        <v>238</v>
      </c>
      <c r="M551">
        <v>53.61059501458886</v>
      </c>
      <c r="N551">
        <v>2711.1643764520654</v>
      </c>
      <c r="O551">
        <v>0</v>
      </c>
      <c r="P551">
        <v>1</v>
      </c>
      <c r="Q551">
        <v>0</v>
      </c>
      <c r="R551">
        <v>1</v>
      </c>
      <c r="S551">
        <v>0</v>
      </c>
      <c r="T551">
        <v>1</v>
      </c>
      <c r="U551">
        <v>0</v>
      </c>
      <c r="V551">
        <v>3</v>
      </c>
      <c r="W551">
        <v>0.95</v>
      </c>
      <c r="AA551">
        <v>0</v>
      </c>
      <c r="AC551">
        <v>0</v>
      </c>
      <c r="AD551">
        <v>0</v>
      </c>
      <c r="AE551">
        <v>0</v>
      </c>
      <c r="AF551">
        <v>1</v>
      </c>
      <c r="AG551">
        <v>0</v>
      </c>
      <c r="AH551">
        <v>23</v>
      </c>
      <c r="AI551">
        <v>0</v>
      </c>
      <c r="AJ551">
        <v>144</v>
      </c>
    </row>
    <row r="552" spans="1:36" x14ac:dyDescent="0.2">
      <c r="A552" t="str">
        <f>+VLOOKUP(B552,studies!$A$2:$C$102,3)</f>
        <v>Kopp et al. (2012)</v>
      </c>
      <c r="B552">
        <v>78</v>
      </c>
      <c r="C552">
        <v>2012</v>
      </c>
      <c r="D552">
        <v>1</v>
      </c>
      <c r="E552">
        <v>2005</v>
      </c>
      <c r="F552">
        <v>2015</v>
      </c>
      <c r="G552">
        <v>6.9444444444444441E-3</v>
      </c>
      <c r="H552">
        <v>660.48253057973466</v>
      </c>
      <c r="I552">
        <v>0</v>
      </c>
      <c r="J552">
        <v>0</v>
      </c>
      <c r="K552">
        <v>1</v>
      </c>
      <c r="L552" t="s">
        <v>238</v>
      </c>
      <c r="M552">
        <v>183.80775433573319</v>
      </c>
      <c r="N552">
        <v>536.10595014588864</v>
      </c>
      <c r="O552">
        <v>0</v>
      </c>
      <c r="P552">
        <v>1</v>
      </c>
      <c r="Q552">
        <v>0</v>
      </c>
      <c r="R552">
        <v>1</v>
      </c>
      <c r="S552">
        <v>0</v>
      </c>
      <c r="T552">
        <v>1</v>
      </c>
      <c r="U552">
        <v>0</v>
      </c>
      <c r="V552">
        <v>3</v>
      </c>
      <c r="W552">
        <v>0.14000000000000001</v>
      </c>
      <c r="AA552">
        <v>0</v>
      </c>
      <c r="AC552">
        <v>0</v>
      </c>
      <c r="AD552">
        <v>0</v>
      </c>
      <c r="AE552">
        <v>0</v>
      </c>
      <c r="AF552">
        <v>1</v>
      </c>
      <c r="AG552">
        <v>0</v>
      </c>
      <c r="AH552">
        <v>23</v>
      </c>
      <c r="AI552">
        <v>0</v>
      </c>
      <c r="AJ552">
        <v>144</v>
      </c>
    </row>
    <row r="553" spans="1:36" x14ac:dyDescent="0.2">
      <c r="A553" t="str">
        <f>+VLOOKUP(B553,studies!$A$2:$C$102,3)</f>
        <v>Kopp et al. (2012)</v>
      </c>
      <c r="B553">
        <v>78</v>
      </c>
      <c r="C553">
        <v>2012</v>
      </c>
      <c r="D553">
        <v>1</v>
      </c>
      <c r="E553">
        <v>2005</v>
      </c>
      <c r="F553">
        <v>2015</v>
      </c>
      <c r="G553">
        <v>6.9444444444444441E-3</v>
      </c>
      <c r="H553">
        <v>690.50446378790446</v>
      </c>
      <c r="I553">
        <v>0</v>
      </c>
      <c r="J553">
        <v>0</v>
      </c>
      <c r="K553">
        <v>1</v>
      </c>
      <c r="L553" t="s">
        <v>238</v>
      </c>
      <c r="M553">
        <v>199.12506719704433</v>
      </c>
      <c r="N553">
        <v>704.59639162031067</v>
      </c>
      <c r="O553">
        <v>0</v>
      </c>
      <c r="P553">
        <v>1</v>
      </c>
      <c r="Q553">
        <v>0</v>
      </c>
      <c r="R553">
        <v>1</v>
      </c>
      <c r="S553">
        <v>0</v>
      </c>
      <c r="T553">
        <v>1</v>
      </c>
      <c r="U553">
        <v>0</v>
      </c>
      <c r="V553">
        <v>3</v>
      </c>
      <c r="W553">
        <v>0.14000000000000001</v>
      </c>
      <c r="AA553">
        <v>0</v>
      </c>
      <c r="AC553">
        <v>0</v>
      </c>
      <c r="AD553">
        <v>0</v>
      </c>
      <c r="AE553">
        <v>0</v>
      </c>
      <c r="AF553">
        <v>1</v>
      </c>
      <c r="AG553">
        <v>0</v>
      </c>
      <c r="AH553">
        <v>23</v>
      </c>
      <c r="AI553">
        <v>0</v>
      </c>
      <c r="AJ553">
        <v>144</v>
      </c>
    </row>
    <row r="554" spans="1:36" x14ac:dyDescent="0.2">
      <c r="A554" t="str">
        <f>+VLOOKUP(B554,studies!$A$2:$C$102,3)</f>
        <v>Kopp et al. (2012)</v>
      </c>
      <c r="B554">
        <v>78</v>
      </c>
      <c r="C554">
        <v>2012</v>
      </c>
      <c r="D554">
        <v>1</v>
      </c>
      <c r="E554">
        <v>2005</v>
      </c>
      <c r="F554">
        <v>2015</v>
      </c>
      <c r="G554">
        <v>6.9444444444444441E-3</v>
      </c>
      <c r="H554">
        <v>600.43866416339517</v>
      </c>
      <c r="I554">
        <v>0</v>
      </c>
      <c r="J554">
        <v>0</v>
      </c>
      <c r="K554">
        <v>1</v>
      </c>
      <c r="L554" t="s">
        <v>238</v>
      </c>
      <c r="M554">
        <v>176.14909790507767</v>
      </c>
      <c r="N554">
        <v>528.44729371523306</v>
      </c>
      <c r="O554">
        <v>0</v>
      </c>
      <c r="P554">
        <v>1</v>
      </c>
      <c r="Q554">
        <v>0</v>
      </c>
      <c r="R554">
        <v>1</v>
      </c>
      <c r="S554">
        <v>0</v>
      </c>
      <c r="T554">
        <v>1</v>
      </c>
      <c r="U554">
        <v>0</v>
      </c>
      <c r="V554">
        <v>3</v>
      </c>
      <c r="W554">
        <v>0.14000000000000001</v>
      </c>
      <c r="AA554">
        <v>0</v>
      </c>
      <c r="AC554">
        <v>0</v>
      </c>
      <c r="AD554">
        <v>0</v>
      </c>
      <c r="AE554">
        <v>0</v>
      </c>
      <c r="AF554">
        <v>1</v>
      </c>
      <c r="AG554">
        <v>0</v>
      </c>
      <c r="AH554">
        <v>23</v>
      </c>
      <c r="AI554">
        <v>0</v>
      </c>
      <c r="AJ554">
        <v>144</v>
      </c>
    </row>
    <row r="555" spans="1:36" x14ac:dyDescent="0.2">
      <c r="A555" t="str">
        <f>+VLOOKUP(B555,studies!$A$2:$C$102,3)</f>
        <v>Kopp et al. (2012)</v>
      </c>
      <c r="B555">
        <v>78</v>
      </c>
      <c r="C555">
        <v>2012</v>
      </c>
      <c r="D555">
        <v>1</v>
      </c>
      <c r="E555">
        <v>2005</v>
      </c>
      <c r="F555">
        <v>2015</v>
      </c>
      <c r="G555">
        <v>6.9444444444444441E-3</v>
      </c>
      <c r="H555">
        <v>1140.8334619104508</v>
      </c>
      <c r="I555">
        <v>0</v>
      </c>
      <c r="J555">
        <v>0</v>
      </c>
      <c r="K555">
        <v>1</v>
      </c>
      <c r="L555" t="s">
        <v>238</v>
      </c>
      <c r="M555">
        <v>329.3222265181887</v>
      </c>
      <c r="N555">
        <v>903.72145881735491</v>
      </c>
      <c r="O555">
        <v>0</v>
      </c>
      <c r="P555">
        <v>1</v>
      </c>
      <c r="Q555">
        <v>0</v>
      </c>
      <c r="R555">
        <v>1</v>
      </c>
      <c r="S555">
        <v>0</v>
      </c>
      <c r="T555">
        <v>1</v>
      </c>
      <c r="U555">
        <v>0</v>
      </c>
      <c r="V555">
        <v>3</v>
      </c>
      <c r="W555">
        <v>0.14000000000000001</v>
      </c>
      <c r="AA555">
        <v>0</v>
      </c>
      <c r="AC555">
        <v>0</v>
      </c>
      <c r="AD555">
        <v>0</v>
      </c>
      <c r="AE555">
        <v>0</v>
      </c>
      <c r="AF555">
        <v>1</v>
      </c>
      <c r="AG555">
        <v>0</v>
      </c>
      <c r="AH555">
        <v>23</v>
      </c>
      <c r="AI555">
        <v>0</v>
      </c>
      <c r="AJ555">
        <v>144</v>
      </c>
    </row>
    <row r="556" spans="1:36" x14ac:dyDescent="0.2">
      <c r="A556" t="str">
        <f>+VLOOKUP(B556,studies!$A$2:$C$102,3)</f>
        <v>Kopp et al. (2012)</v>
      </c>
      <c r="B556">
        <v>78</v>
      </c>
      <c r="C556">
        <v>2012</v>
      </c>
      <c r="D556">
        <v>1</v>
      </c>
      <c r="E556">
        <v>2005</v>
      </c>
      <c r="F556">
        <v>2015</v>
      </c>
      <c r="G556">
        <v>6.9444444444444441E-3</v>
      </c>
      <c r="H556">
        <v>810.59219662058354</v>
      </c>
      <c r="I556">
        <v>0</v>
      </c>
      <c r="J556">
        <v>0</v>
      </c>
      <c r="K556">
        <v>1</v>
      </c>
      <c r="L556" t="s">
        <v>238</v>
      </c>
      <c r="M556">
        <v>229.75969291966652</v>
      </c>
      <c r="N556">
        <v>704.59639162031067</v>
      </c>
      <c r="O556">
        <v>0</v>
      </c>
      <c r="P556">
        <v>1</v>
      </c>
      <c r="Q556">
        <v>0</v>
      </c>
      <c r="R556">
        <v>1</v>
      </c>
      <c r="S556">
        <v>0</v>
      </c>
      <c r="T556">
        <v>1</v>
      </c>
      <c r="U556">
        <v>0</v>
      </c>
      <c r="V556">
        <v>3</v>
      </c>
      <c r="W556">
        <v>0.14000000000000001</v>
      </c>
      <c r="AA556">
        <v>0</v>
      </c>
      <c r="AC556">
        <v>0</v>
      </c>
      <c r="AD556">
        <v>0</v>
      </c>
      <c r="AE556">
        <v>0</v>
      </c>
      <c r="AF556">
        <v>1</v>
      </c>
      <c r="AG556">
        <v>0</v>
      </c>
      <c r="AH556">
        <v>23</v>
      </c>
      <c r="AI556">
        <v>0</v>
      </c>
      <c r="AJ556">
        <v>144</v>
      </c>
    </row>
    <row r="557" spans="1:36" x14ac:dyDescent="0.2">
      <c r="A557" t="str">
        <f>+VLOOKUP(B557,studies!$A$2:$C$102,3)</f>
        <v>Kopp et al. (2012)</v>
      </c>
      <c r="B557">
        <v>78</v>
      </c>
      <c r="C557">
        <v>2012</v>
      </c>
      <c r="D557">
        <v>1</v>
      </c>
      <c r="E557">
        <v>2005</v>
      </c>
      <c r="F557">
        <v>2015</v>
      </c>
      <c r="G557">
        <v>6.9444444444444441E-3</v>
      </c>
      <c r="H557">
        <v>1666.2172930534218</v>
      </c>
      <c r="I557">
        <v>0</v>
      </c>
      <c r="J557">
        <v>0</v>
      </c>
      <c r="K557">
        <v>1</v>
      </c>
      <c r="L557" t="s">
        <v>238</v>
      </c>
      <c r="M557">
        <v>474.83669870064421</v>
      </c>
      <c r="N557">
        <v>1286.6542803501325</v>
      </c>
      <c r="O557">
        <v>0</v>
      </c>
      <c r="P557">
        <v>1</v>
      </c>
      <c r="Q557">
        <v>0</v>
      </c>
      <c r="R557">
        <v>1</v>
      </c>
      <c r="S557">
        <v>0</v>
      </c>
      <c r="T557">
        <v>1</v>
      </c>
      <c r="U557">
        <v>0</v>
      </c>
      <c r="V557">
        <v>3</v>
      </c>
      <c r="W557">
        <v>0.14000000000000001</v>
      </c>
      <c r="AA557">
        <v>0</v>
      </c>
      <c r="AC557">
        <v>0</v>
      </c>
      <c r="AD557">
        <v>0</v>
      </c>
      <c r="AE557">
        <v>0</v>
      </c>
      <c r="AF557">
        <v>1</v>
      </c>
      <c r="AG557">
        <v>0</v>
      </c>
      <c r="AH557">
        <v>23</v>
      </c>
      <c r="AI557">
        <v>0</v>
      </c>
      <c r="AJ557">
        <v>144</v>
      </c>
    </row>
    <row r="558" spans="1:36" x14ac:dyDescent="0.2">
      <c r="A558" t="str">
        <f>+VLOOKUP(B558,studies!$A$2:$C$102,3)</f>
        <v>Kopp et al. (2012)</v>
      </c>
      <c r="B558">
        <v>78</v>
      </c>
      <c r="C558">
        <v>2012</v>
      </c>
      <c r="D558">
        <v>1</v>
      </c>
      <c r="E558">
        <v>2005</v>
      </c>
      <c r="F558">
        <v>2015</v>
      </c>
      <c r="G558">
        <v>6.9444444444444441E-3</v>
      </c>
      <c r="H558">
        <v>480.35093133071615</v>
      </c>
      <c r="I558">
        <v>0</v>
      </c>
      <c r="J558">
        <v>0</v>
      </c>
      <c r="K558">
        <v>1</v>
      </c>
      <c r="L558" t="s">
        <v>238</v>
      </c>
      <c r="M558">
        <v>130.19715932114437</v>
      </c>
      <c r="N558">
        <v>329.32222651818876</v>
      </c>
      <c r="O558">
        <v>0</v>
      </c>
      <c r="P558">
        <v>1</v>
      </c>
      <c r="Q558">
        <v>0</v>
      </c>
      <c r="R558">
        <v>1</v>
      </c>
      <c r="S558">
        <v>0</v>
      </c>
      <c r="T558">
        <v>1</v>
      </c>
      <c r="U558">
        <v>0</v>
      </c>
      <c r="V558">
        <v>3</v>
      </c>
      <c r="W558">
        <v>0.14000000000000001</v>
      </c>
      <c r="AA558">
        <v>0</v>
      </c>
      <c r="AC558">
        <v>0</v>
      </c>
      <c r="AD558">
        <v>0</v>
      </c>
      <c r="AE558">
        <v>0</v>
      </c>
      <c r="AF558">
        <v>1</v>
      </c>
      <c r="AG558">
        <v>0</v>
      </c>
      <c r="AH558">
        <v>23</v>
      </c>
      <c r="AI558">
        <v>0</v>
      </c>
      <c r="AJ558">
        <v>144</v>
      </c>
    </row>
    <row r="559" spans="1:36" x14ac:dyDescent="0.2">
      <c r="A559" t="str">
        <f>+VLOOKUP(B559,studies!$A$2:$C$102,3)</f>
        <v>Kopp et al. (2012)</v>
      </c>
      <c r="B559">
        <v>78</v>
      </c>
      <c r="C559">
        <v>2012</v>
      </c>
      <c r="D559">
        <v>1</v>
      </c>
      <c r="E559">
        <v>2005</v>
      </c>
      <c r="F559">
        <v>2015</v>
      </c>
      <c r="G559">
        <v>6.9444444444444441E-3</v>
      </c>
      <c r="H559">
        <v>690.50446378790446</v>
      </c>
      <c r="I559">
        <v>0</v>
      </c>
      <c r="J559">
        <v>0</v>
      </c>
      <c r="K559">
        <v>1</v>
      </c>
      <c r="L559" t="s">
        <v>238</v>
      </c>
      <c r="M559">
        <v>199.12506719704433</v>
      </c>
      <c r="N559">
        <v>589.71654516047749</v>
      </c>
      <c r="O559">
        <v>0</v>
      </c>
      <c r="P559">
        <v>1</v>
      </c>
      <c r="Q559">
        <v>0</v>
      </c>
      <c r="R559">
        <v>1</v>
      </c>
      <c r="S559">
        <v>0</v>
      </c>
      <c r="T559">
        <v>1</v>
      </c>
      <c r="U559">
        <v>0</v>
      </c>
      <c r="V559">
        <v>3</v>
      </c>
      <c r="W559">
        <v>0.14000000000000001</v>
      </c>
      <c r="AA559">
        <v>0</v>
      </c>
      <c r="AC559">
        <v>0</v>
      </c>
      <c r="AD559">
        <v>0</v>
      </c>
      <c r="AE559">
        <v>0</v>
      </c>
      <c r="AF559">
        <v>1</v>
      </c>
      <c r="AG559">
        <v>0</v>
      </c>
      <c r="AH559">
        <v>23</v>
      </c>
      <c r="AI559">
        <v>0</v>
      </c>
      <c r="AJ559">
        <v>144</v>
      </c>
    </row>
    <row r="560" spans="1:36" x14ac:dyDescent="0.2">
      <c r="A560" t="str">
        <f>+VLOOKUP(B560,studies!$A$2:$C$102,3)</f>
        <v>Kopp et al. (2012)</v>
      </c>
      <c r="B560">
        <v>78</v>
      </c>
      <c r="C560">
        <v>2012</v>
      </c>
      <c r="D560">
        <v>1</v>
      </c>
      <c r="E560">
        <v>2005</v>
      </c>
      <c r="F560">
        <v>2015</v>
      </c>
      <c r="G560">
        <v>6.9444444444444441E-3</v>
      </c>
      <c r="H560">
        <v>660.48253057973466</v>
      </c>
      <c r="I560">
        <v>0</v>
      </c>
      <c r="J560">
        <v>0</v>
      </c>
      <c r="K560">
        <v>1</v>
      </c>
      <c r="L560" t="s">
        <v>238</v>
      </c>
      <c r="M560">
        <v>183.80775433573319</v>
      </c>
      <c r="N560">
        <v>536.10595014588864</v>
      </c>
      <c r="O560">
        <v>0</v>
      </c>
      <c r="P560">
        <v>1</v>
      </c>
      <c r="Q560">
        <v>0</v>
      </c>
      <c r="R560">
        <v>1</v>
      </c>
      <c r="S560">
        <v>0</v>
      </c>
      <c r="T560">
        <v>1</v>
      </c>
      <c r="U560">
        <v>0</v>
      </c>
      <c r="V560">
        <v>3</v>
      </c>
      <c r="W560">
        <v>0.14000000000000001</v>
      </c>
      <c r="AA560">
        <v>0</v>
      </c>
      <c r="AC560">
        <v>0</v>
      </c>
      <c r="AD560">
        <v>0</v>
      </c>
      <c r="AE560">
        <v>0</v>
      </c>
      <c r="AF560">
        <v>1</v>
      </c>
      <c r="AG560">
        <v>0</v>
      </c>
      <c r="AH560">
        <v>23</v>
      </c>
      <c r="AI560">
        <v>0</v>
      </c>
      <c r="AJ560">
        <v>144</v>
      </c>
    </row>
    <row r="561" spans="1:36" x14ac:dyDescent="0.2">
      <c r="A561" t="str">
        <f>+VLOOKUP(B561,studies!$A$2:$C$102,3)</f>
        <v>Kopp et al. (2012)</v>
      </c>
      <c r="B561">
        <v>78</v>
      </c>
      <c r="C561">
        <v>2012</v>
      </c>
      <c r="D561">
        <v>1</v>
      </c>
      <c r="E561">
        <v>2005</v>
      </c>
      <c r="F561">
        <v>2015</v>
      </c>
      <c r="G561">
        <v>6.9444444444444441E-3</v>
      </c>
      <c r="H561">
        <v>1005.7347624736871</v>
      </c>
      <c r="I561">
        <v>0</v>
      </c>
      <c r="J561">
        <v>0</v>
      </c>
      <c r="K561">
        <v>1</v>
      </c>
      <c r="L561" t="s">
        <v>238</v>
      </c>
      <c r="M561">
        <v>367.61550867146644</v>
      </c>
      <c r="N561">
        <v>3882.9388103423648</v>
      </c>
      <c r="O561">
        <v>0</v>
      </c>
      <c r="P561">
        <v>1</v>
      </c>
      <c r="Q561">
        <v>0</v>
      </c>
      <c r="R561">
        <v>1</v>
      </c>
      <c r="S561">
        <v>0</v>
      </c>
      <c r="T561">
        <v>1</v>
      </c>
      <c r="U561">
        <v>0</v>
      </c>
      <c r="V561">
        <v>3</v>
      </c>
      <c r="W561">
        <v>0.14000000000000001</v>
      </c>
      <c r="AA561">
        <v>0</v>
      </c>
      <c r="AC561">
        <v>0</v>
      </c>
      <c r="AD561">
        <v>0</v>
      </c>
      <c r="AE561">
        <v>0</v>
      </c>
      <c r="AF561">
        <v>1</v>
      </c>
      <c r="AG561">
        <v>0</v>
      </c>
      <c r="AH561">
        <v>23</v>
      </c>
      <c r="AI561">
        <v>0</v>
      </c>
      <c r="AJ561">
        <v>144</v>
      </c>
    </row>
    <row r="562" spans="1:36" x14ac:dyDescent="0.2">
      <c r="A562" t="str">
        <f>+VLOOKUP(B562,studies!$A$2:$C$102,3)</f>
        <v>Kopp et al. (2012)</v>
      </c>
      <c r="B562">
        <v>78</v>
      </c>
      <c r="C562">
        <v>2012</v>
      </c>
      <c r="D562">
        <v>1</v>
      </c>
      <c r="E562">
        <v>2005</v>
      </c>
      <c r="F562">
        <v>2015</v>
      </c>
      <c r="G562">
        <v>6.9444444444444441E-3</v>
      </c>
      <c r="H562">
        <v>300.21933208169759</v>
      </c>
      <c r="I562">
        <v>0</v>
      </c>
      <c r="J562">
        <v>0</v>
      </c>
      <c r="K562">
        <v>1</v>
      </c>
      <c r="L562" t="s">
        <v>238</v>
      </c>
      <c r="M562">
        <v>99.56253359852218</v>
      </c>
      <c r="N562">
        <v>1516.4139732697993</v>
      </c>
      <c r="O562">
        <v>0</v>
      </c>
      <c r="P562">
        <v>1</v>
      </c>
      <c r="Q562">
        <v>0</v>
      </c>
      <c r="R562">
        <v>1</v>
      </c>
      <c r="S562">
        <v>0</v>
      </c>
      <c r="T562">
        <v>1</v>
      </c>
      <c r="U562">
        <v>0</v>
      </c>
      <c r="V562">
        <v>3</v>
      </c>
      <c r="W562">
        <v>0.14000000000000001</v>
      </c>
      <c r="AA562">
        <v>0</v>
      </c>
      <c r="AC562">
        <v>0</v>
      </c>
      <c r="AD562">
        <v>0</v>
      </c>
      <c r="AE562">
        <v>0</v>
      </c>
      <c r="AF562">
        <v>1</v>
      </c>
      <c r="AG562">
        <v>0</v>
      </c>
      <c r="AH562">
        <v>23</v>
      </c>
      <c r="AI562">
        <v>0</v>
      </c>
      <c r="AJ562">
        <v>144</v>
      </c>
    </row>
    <row r="563" spans="1:36" x14ac:dyDescent="0.2">
      <c r="A563" t="str">
        <f>+VLOOKUP(B563,studies!$A$2:$C$102,3)</f>
        <v>Kopp et al. (2012)</v>
      </c>
      <c r="B563">
        <v>78</v>
      </c>
      <c r="C563">
        <v>2012</v>
      </c>
      <c r="D563">
        <v>1</v>
      </c>
      <c r="E563">
        <v>2005</v>
      </c>
      <c r="F563">
        <v>2015</v>
      </c>
      <c r="G563">
        <v>6.9444444444444441E-3</v>
      </c>
      <c r="H563">
        <v>210.15353245718833</v>
      </c>
      <c r="I563">
        <v>0</v>
      </c>
      <c r="J563">
        <v>0</v>
      </c>
      <c r="K563">
        <v>1</v>
      </c>
      <c r="L563" t="s">
        <v>238</v>
      </c>
      <c r="M563">
        <v>68.927907875899962</v>
      </c>
      <c r="N563">
        <v>1501.0966604084881</v>
      </c>
      <c r="O563">
        <v>0</v>
      </c>
      <c r="P563">
        <v>1</v>
      </c>
      <c r="Q563">
        <v>0</v>
      </c>
      <c r="R563">
        <v>1</v>
      </c>
      <c r="S563">
        <v>0</v>
      </c>
      <c r="T563">
        <v>1</v>
      </c>
      <c r="U563">
        <v>0</v>
      </c>
      <c r="V563">
        <v>3</v>
      </c>
      <c r="W563">
        <v>0.14000000000000001</v>
      </c>
      <c r="AA563">
        <v>0</v>
      </c>
      <c r="AC563">
        <v>0</v>
      </c>
      <c r="AD563">
        <v>0</v>
      </c>
      <c r="AE563">
        <v>0</v>
      </c>
      <c r="AF563">
        <v>1</v>
      </c>
      <c r="AG563">
        <v>0</v>
      </c>
      <c r="AH563">
        <v>23</v>
      </c>
      <c r="AI563">
        <v>0</v>
      </c>
      <c r="AJ563">
        <v>144</v>
      </c>
    </row>
    <row r="564" spans="1:36" x14ac:dyDescent="0.2">
      <c r="A564" t="str">
        <f>+VLOOKUP(B564,studies!$A$2:$C$102,3)</f>
        <v>Kopp et al. (2012)</v>
      </c>
      <c r="B564">
        <v>78</v>
      </c>
      <c r="C564">
        <v>2012</v>
      </c>
      <c r="D564">
        <v>1</v>
      </c>
      <c r="E564">
        <v>2005</v>
      </c>
      <c r="F564">
        <v>2015</v>
      </c>
      <c r="G564">
        <v>6.9444444444444441E-3</v>
      </c>
      <c r="H564">
        <v>450.32899812254641</v>
      </c>
      <c r="I564">
        <v>0</v>
      </c>
      <c r="J564">
        <v>0</v>
      </c>
      <c r="K564">
        <v>1</v>
      </c>
      <c r="L564" t="s">
        <v>238</v>
      </c>
      <c r="M564">
        <v>153.173128613111</v>
      </c>
      <c r="N564">
        <v>2129.1064877222434</v>
      </c>
      <c r="O564">
        <v>0</v>
      </c>
      <c r="P564">
        <v>1</v>
      </c>
      <c r="Q564">
        <v>0</v>
      </c>
      <c r="R564">
        <v>1</v>
      </c>
      <c r="S564">
        <v>0</v>
      </c>
      <c r="T564">
        <v>1</v>
      </c>
      <c r="U564">
        <v>0</v>
      </c>
      <c r="V564">
        <v>3</v>
      </c>
      <c r="W564">
        <v>0.14000000000000001</v>
      </c>
      <c r="AA564">
        <v>0</v>
      </c>
      <c r="AC564">
        <v>0</v>
      </c>
      <c r="AD564">
        <v>0</v>
      </c>
      <c r="AE564">
        <v>0</v>
      </c>
      <c r="AF564">
        <v>1</v>
      </c>
      <c r="AG564">
        <v>0</v>
      </c>
      <c r="AH564">
        <v>23</v>
      </c>
      <c r="AI564">
        <v>0</v>
      </c>
      <c r="AJ564">
        <v>144</v>
      </c>
    </row>
    <row r="565" spans="1:36" x14ac:dyDescent="0.2">
      <c r="A565" t="str">
        <f>+VLOOKUP(B565,studies!$A$2:$C$102,3)</f>
        <v>Kopp et al. (2012)</v>
      </c>
      <c r="B565">
        <v>78</v>
      </c>
      <c r="C565">
        <v>2012</v>
      </c>
      <c r="D565">
        <v>1</v>
      </c>
      <c r="E565">
        <v>2005</v>
      </c>
      <c r="F565">
        <v>2015</v>
      </c>
      <c r="G565">
        <v>6.9444444444444441E-3</v>
      </c>
      <c r="H565">
        <v>285.20836547761269</v>
      </c>
      <c r="I565">
        <v>0</v>
      </c>
      <c r="J565">
        <v>0</v>
      </c>
      <c r="K565">
        <v>1</v>
      </c>
      <c r="L565" t="s">
        <v>238</v>
      </c>
      <c r="M565">
        <v>91.903877167866611</v>
      </c>
      <c r="N565">
        <v>1884.0294819412657</v>
      </c>
      <c r="O565">
        <v>0</v>
      </c>
      <c r="P565">
        <v>1</v>
      </c>
      <c r="Q565">
        <v>0</v>
      </c>
      <c r="R565">
        <v>1</v>
      </c>
      <c r="S565">
        <v>0</v>
      </c>
      <c r="T565">
        <v>1</v>
      </c>
      <c r="U565">
        <v>0</v>
      </c>
      <c r="V565">
        <v>3</v>
      </c>
      <c r="W565">
        <v>0.14000000000000001</v>
      </c>
      <c r="AA565">
        <v>0</v>
      </c>
      <c r="AC565">
        <v>0</v>
      </c>
      <c r="AD565">
        <v>0</v>
      </c>
      <c r="AE565">
        <v>0</v>
      </c>
      <c r="AF565">
        <v>1</v>
      </c>
      <c r="AG565">
        <v>0</v>
      </c>
      <c r="AH565">
        <v>23</v>
      </c>
      <c r="AI565">
        <v>0</v>
      </c>
      <c r="AJ565">
        <v>144</v>
      </c>
    </row>
    <row r="566" spans="1:36" x14ac:dyDescent="0.2">
      <c r="A566" t="str">
        <f>+VLOOKUP(B566,studies!$A$2:$C$102,3)</f>
        <v>Kopp et al. (2012)</v>
      </c>
      <c r="B566">
        <v>78</v>
      </c>
      <c r="C566">
        <v>2012</v>
      </c>
      <c r="D566">
        <v>1</v>
      </c>
      <c r="E566">
        <v>2005</v>
      </c>
      <c r="F566">
        <v>2015</v>
      </c>
      <c r="G566">
        <v>6.9444444444444441E-3</v>
      </c>
      <c r="H566">
        <v>150.10966604084879</v>
      </c>
      <c r="I566">
        <v>0</v>
      </c>
      <c r="J566">
        <v>0</v>
      </c>
      <c r="K566">
        <v>1</v>
      </c>
      <c r="L566" t="s">
        <v>238</v>
      </c>
      <c r="M566">
        <v>68.927907875899962</v>
      </c>
      <c r="N566">
        <v>4143.3331289846528</v>
      </c>
      <c r="O566">
        <v>0</v>
      </c>
      <c r="P566">
        <v>1</v>
      </c>
      <c r="Q566">
        <v>0</v>
      </c>
      <c r="R566">
        <v>1</v>
      </c>
      <c r="S566">
        <v>0</v>
      </c>
      <c r="T566">
        <v>1</v>
      </c>
      <c r="U566">
        <v>0</v>
      </c>
      <c r="V566">
        <v>3</v>
      </c>
      <c r="W566">
        <v>0.14000000000000001</v>
      </c>
      <c r="AA566">
        <v>0</v>
      </c>
      <c r="AC566">
        <v>0</v>
      </c>
      <c r="AD566">
        <v>0</v>
      </c>
      <c r="AE566">
        <v>0</v>
      </c>
      <c r="AF566">
        <v>1</v>
      </c>
      <c r="AG566">
        <v>0</v>
      </c>
      <c r="AH566">
        <v>23</v>
      </c>
      <c r="AI566">
        <v>0</v>
      </c>
      <c r="AJ566">
        <v>144</v>
      </c>
    </row>
    <row r="567" spans="1:36" x14ac:dyDescent="0.2">
      <c r="A567" t="str">
        <f>+VLOOKUP(B567,studies!$A$2:$C$102,3)</f>
        <v>Kopp et al. (2012)</v>
      </c>
      <c r="B567">
        <v>78</v>
      </c>
      <c r="C567">
        <v>2012</v>
      </c>
      <c r="D567">
        <v>1</v>
      </c>
      <c r="E567">
        <v>2005</v>
      </c>
      <c r="F567">
        <v>2015</v>
      </c>
      <c r="G567">
        <v>6.9444444444444441E-3</v>
      </c>
      <c r="H567">
        <v>120.08773283267904</v>
      </c>
      <c r="I567">
        <v>0</v>
      </c>
      <c r="J567">
        <v>0</v>
      </c>
      <c r="K567">
        <v>1</v>
      </c>
      <c r="L567" t="s">
        <v>238</v>
      </c>
      <c r="M567">
        <v>53.61059501458886</v>
      </c>
      <c r="N567">
        <v>3163.0251058607423</v>
      </c>
      <c r="O567">
        <v>0</v>
      </c>
      <c r="P567">
        <v>1</v>
      </c>
      <c r="Q567">
        <v>0</v>
      </c>
      <c r="R567">
        <v>1</v>
      </c>
      <c r="S567">
        <v>0</v>
      </c>
      <c r="T567">
        <v>1</v>
      </c>
      <c r="U567">
        <v>0</v>
      </c>
      <c r="V567">
        <v>3</v>
      </c>
      <c r="W567">
        <v>0.14000000000000001</v>
      </c>
      <c r="AA567">
        <v>0</v>
      </c>
      <c r="AC567">
        <v>0</v>
      </c>
      <c r="AD567">
        <v>0</v>
      </c>
      <c r="AE567">
        <v>0</v>
      </c>
      <c r="AF567">
        <v>1</v>
      </c>
      <c r="AG567">
        <v>0</v>
      </c>
      <c r="AH567">
        <v>23</v>
      </c>
      <c r="AI567">
        <v>0</v>
      </c>
      <c r="AJ567">
        <v>144</v>
      </c>
    </row>
    <row r="568" spans="1:36" x14ac:dyDescent="0.2">
      <c r="A568" t="str">
        <f>+VLOOKUP(B568,studies!$A$2:$C$102,3)</f>
        <v>Kopp et al. (2012)</v>
      </c>
      <c r="B568">
        <v>78</v>
      </c>
      <c r="C568">
        <v>2012</v>
      </c>
      <c r="D568">
        <v>1</v>
      </c>
      <c r="E568">
        <v>2005</v>
      </c>
      <c r="F568">
        <v>2015</v>
      </c>
      <c r="G568">
        <v>6.9444444444444441E-3</v>
      </c>
      <c r="H568">
        <v>150.10966604084879</v>
      </c>
      <c r="I568">
        <v>0</v>
      </c>
      <c r="J568">
        <v>0</v>
      </c>
      <c r="K568">
        <v>1</v>
      </c>
      <c r="L568" t="s">
        <v>238</v>
      </c>
      <c r="M568">
        <v>68.927907875899962</v>
      </c>
      <c r="N568">
        <v>4066.7465646780979</v>
      </c>
      <c r="O568">
        <v>0</v>
      </c>
      <c r="P568">
        <v>1</v>
      </c>
      <c r="Q568">
        <v>0</v>
      </c>
      <c r="R568">
        <v>1</v>
      </c>
      <c r="S568">
        <v>0</v>
      </c>
      <c r="T568">
        <v>1</v>
      </c>
      <c r="U568">
        <v>0</v>
      </c>
      <c r="V568">
        <v>3</v>
      </c>
      <c r="W568">
        <v>0.14000000000000001</v>
      </c>
      <c r="AA568">
        <v>0</v>
      </c>
      <c r="AC568">
        <v>0</v>
      </c>
      <c r="AD568">
        <v>0</v>
      </c>
      <c r="AE568">
        <v>0</v>
      </c>
      <c r="AF568">
        <v>1</v>
      </c>
      <c r="AG568">
        <v>0</v>
      </c>
      <c r="AH568">
        <v>23</v>
      </c>
      <c r="AI568">
        <v>0</v>
      </c>
      <c r="AJ568">
        <v>144</v>
      </c>
    </row>
    <row r="569" spans="1:36" x14ac:dyDescent="0.2">
      <c r="A569" t="str">
        <f>+VLOOKUP(B569,studies!$A$2:$C$102,3)</f>
        <v>Kopp et al. (2012)</v>
      </c>
      <c r="B569">
        <v>78</v>
      </c>
      <c r="C569">
        <v>2012</v>
      </c>
      <c r="D569">
        <v>1</v>
      </c>
      <c r="E569">
        <v>2005</v>
      </c>
      <c r="F569">
        <v>2015</v>
      </c>
      <c r="G569">
        <v>6.9444444444444441E-3</v>
      </c>
      <c r="H569">
        <v>150.10966604084879</v>
      </c>
      <c r="I569">
        <v>0</v>
      </c>
      <c r="J569">
        <v>0</v>
      </c>
      <c r="K569">
        <v>1</v>
      </c>
      <c r="L569" t="s">
        <v>238</v>
      </c>
      <c r="M569">
        <v>68.927907875899962</v>
      </c>
      <c r="N569">
        <v>4074.4052211087533</v>
      </c>
      <c r="O569">
        <v>0</v>
      </c>
      <c r="P569">
        <v>1</v>
      </c>
      <c r="Q569">
        <v>0</v>
      </c>
      <c r="R569">
        <v>1</v>
      </c>
      <c r="S569">
        <v>0</v>
      </c>
      <c r="T569">
        <v>1</v>
      </c>
      <c r="U569">
        <v>0</v>
      </c>
      <c r="V569">
        <v>3</v>
      </c>
      <c r="W569">
        <v>0.14000000000000001</v>
      </c>
      <c r="AA569">
        <v>0</v>
      </c>
      <c r="AC569">
        <v>0</v>
      </c>
      <c r="AD569">
        <v>0</v>
      </c>
      <c r="AE569">
        <v>0</v>
      </c>
      <c r="AF569">
        <v>1</v>
      </c>
      <c r="AG569">
        <v>0</v>
      </c>
      <c r="AH569">
        <v>23</v>
      </c>
      <c r="AI569">
        <v>0</v>
      </c>
      <c r="AJ569">
        <v>144</v>
      </c>
    </row>
    <row r="570" spans="1:36" x14ac:dyDescent="0.2">
      <c r="A570" t="str">
        <f>+VLOOKUP(B570,studies!$A$2:$C$102,3)</f>
        <v>Kopp et al. (2012)</v>
      </c>
      <c r="B570">
        <v>78</v>
      </c>
      <c r="C570">
        <v>2012</v>
      </c>
      <c r="D570">
        <v>1</v>
      </c>
      <c r="E570">
        <v>2005</v>
      </c>
      <c r="F570">
        <v>2015</v>
      </c>
      <c r="G570">
        <v>6.9444444444444441E-3</v>
      </c>
      <c r="H570">
        <v>855.62509643283818</v>
      </c>
      <c r="I570">
        <v>0</v>
      </c>
      <c r="J570">
        <v>0</v>
      </c>
      <c r="K570">
        <v>1</v>
      </c>
      <c r="L570" t="s">
        <v>238</v>
      </c>
      <c r="M570">
        <v>252.73566221163318</v>
      </c>
      <c r="N570">
        <v>964.99071026259946</v>
      </c>
      <c r="O570">
        <v>0</v>
      </c>
      <c r="P570">
        <v>1</v>
      </c>
      <c r="Q570">
        <v>0</v>
      </c>
      <c r="R570">
        <v>1</v>
      </c>
      <c r="S570">
        <v>0</v>
      </c>
      <c r="T570">
        <v>1</v>
      </c>
      <c r="U570">
        <v>0</v>
      </c>
      <c r="V570">
        <v>3</v>
      </c>
      <c r="W570">
        <v>-1.1000000000000001</v>
      </c>
      <c r="AA570">
        <v>0</v>
      </c>
      <c r="AC570">
        <v>0</v>
      </c>
      <c r="AD570">
        <v>0</v>
      </c>
      <c r="AE570">
        <v>0</v>
      </c>
      <c r="AF570">
        <v>1</v>
      </c>
      <c r="AG570">
        <v>0</v>
      </c>
      <c r="AH570">
        <v>23</v>
      </c>
      <c r="AI570">
        <v>0</v>
      </c>
      <c r="AJ570">
        <v>144</v>
      </c>
    </row>
    <row r="571" spans="1:36" x14ac:dyDescent="0.2">
      <c r="A571" t="str">
        <f>+VLOOKUP(B571,studies!$A$2:$C$102,3)</f>
        <v>Kopp et al. (2012)</v>
      </c>
      <c r="B571">
        <v>78</v>
      </c>
      <c r="C571">
        <v>2012</v>
      </c>
      <c r="D571">
        <v>1</v>
      </c>
      <c r="E571">
        <v>2005</v>
      </c>
      <c r="F571">
        <v>2015</v>
      </c>
      <c r="G571">
        <v>6.9444444444444441E-3</v>
      </c>
      <c r="H571">
        <v>915.66896284917766</v>
      </c>
      <c r="I571">
        <v>0</v>
      </c>
      <c r="J571">
        <v>0</v>
      </c>
      <c r="K571">
        <v>1</v>
      </c>
      <c r="L571" t="s">
        <v>238</v>
      </c>
      <c r="M571">
        <v>283.37028793425537</v>
      </c>
      <c r="N571">
        <v>1424.5100961019327</v>
      </c>
      <c r="O571">
        <v>0</v>
      </c>
      <c r="P571">
        <v>1</v>
      </c>
      <c r="Q571">
        <v>0</v>
      </c>
      <c r="R571">
        <v>1</v>
      </c>
      <c r="S571">
        <v>0</v>
      </c>
      <c r="T571">
        <v>1</v>
      </c>
      <c r="U571">
        <v>0</v>
      </c>
      <c r="V571">
        <v>3</v>
      </c>
      <c r="W571">
        <v>-1.1000000000000001</v>
      </c>
      <c r="AA571">
        <v>0</v>
      </c>
      <c r="AC571">
        <v>0</v>
      </c>
      <c r="AD571">
        <v>0</v>
      </c>
      <c r="AE571">
        <v>0</v>
      </c>
      <c r="AF571">
        <v>1</v>
      </c>
      <c r="AG571">
        <v>0</v>
      </c>
      <c r="AH571">
        <v>23</v>
      </c>
      <c r="AI571">
        <v>0</v>
      </c>
      <c r="AJ571">
        <v>144</v>
      </c>
    </row>
    <row r="572" spans="1:36" x14ac:dyDescent="0.2">
      <c r="A572" t="str">
        <f>+VLOOKUP(B572,studies!$A$2:$C$102,3)</f>
        <v>Kopp et al. (2012)</v>
      </c>
      <c r="B572">
        <v>78</v>
      </c>
      <c r="C572">
        <v>2012</v>
      </c>
      <c r="D572">
        <v>1</v>
      </c>
      <c r="E572">
        <v>2005</v>
      </c>
      <c r="F572">
        <v>2015</v>
      </c>
      <c r="G572">
        <v>6.9444444444444441E-3</v>
      </c>
      <c r="H572">
        <v>750.54833020424405</v>
      </c>
      <c r="I572">
        <v>0</v>
      </c>
      <c r="J572">
        <v>0</v>
      </c>
      <c r="K572">
        <v>1</v>
      </c>
      <c r="L572" t="s">
        <v>238</v>
      </c>
      <c r="M572">
        <v>229.75969291966655</v>
      </c>
      <c r="N572">
        <v>834.79355094145512</v>
      </c>
      <c r="O572">
        <v>0</v>
      </c>
      <c r="P572">
        <v>1</v>
      </c>
      <c r="Q572">
        <v>0</v>
      </c>
      <c r="R572">
        <v>1</v>
      </c>
      <c r="S572">
        <v>0</v>
      </c>
      <c r="T572">
        <v>1</v>
      </c>
      <c r="U572">
        <v>0</v>
      </c>
      <c r="V572">
        <v>3</v>
      </c>
      <c r="W572">
        <v>-1.1000000000000001</v>
      </c>
      <c r="AA572">
        <v>0</v>
      </c>
      <c r="AC572">
        <v>0</v>
      </c>
      <c r="AD572">
        <v>0</v>
      </c>
      <c r="AE572">
        <v>0</v>
      </c>
      <c r="AF572">
        <v>1</v>
      </c>
      <c r="AG572">
        <v>0</v>
      </c>
      <c r="AH572">
        <v>23</v>
      </c>
      <c r="AI572">
        <v>0</v>
      </c>
      <c r="AJ572">
        <v>144</v>
      </c>
    </row>
    <row r="573" spans="1:36" x14ac:dyDescent="0.2">
      <c r="A573" t="str">
        <f>+VLOOKUP(B573,studies!$A$2:$C$102,3)</f>
        <v>Kopp et al. (2012)</v>
      </c>
      <c r="B573">
        <v>78</v>
      </c>
      <c r="C573">
        <v>2012</v>
      </c>
      <c r="D573">
        <v>1</v>
      </c>
      <c r="E573">
        <v>2005</v>
      </c>
      <c r="F573">
        <v>2015</v>
      </c>
      <c r="G573">
        <v>6.9444444444444441E-3</v>
      </c>
      <c r="H573">
        <v>1921.4037253228646</v>
      </c>
      <c r="I573">
        <v>0</v>
      </c>
      <c r="J573">
        <v>0</v>
      </c>
      <c r="K573">
        <v>1</v>
      </c>
      <c r="L573" t="s">
        <v>238</v>
      </c>
      <c r="M573">
        <v>605.03385802178855</v>
      </c>
      <c r="N573">
        <v>2596.2845299922319</v>
      </c>
      <c r="O573">
        <v>0</v>
      </c>
      <c r="P573">
        <v>1</v>
      </c>
      <c r="Q573">
        <v>0</v>
      </c>
      <c r="R573">
        <v>1</v>
      </c>
      <c r="S573">
        <v>0</v>
      </c>
      <c r="T573">
        <v>1</v>
      </c>
      <c r="U573">
        <v>0</v>
      </c>
      <c r="V573">
        <v>3</v>
      </c>
      <c r="W573">
        <v>-1.1000000000000001</v>
      </c>
      <c r="AA573">
        <v>0</v>
      </c>
      <c r="AC573">
        <v>0</v>
      </c>
      <c r="AD573">
        <v>0</v>
      </c>
      <c r="AE573">
        <v>0</v>
      </c>
      <c r="AF573">
        <v>1</v>
      </c>
      <c r="AG573">
        <v>0</v>
      </c>
      <c r="AH573">
        <v>23</v>
      </c>
      <c r="AI573">
        <v>0</v>
      </c>
      <c r="AJ573">
        <v>144</v>
      </c>
    </row>
    <row r="574" spans="1:36" x14ac:dyDescent="0.2">
      <c r="A574" t="str">
        <f>+VLOOKUP(B574,studies!$A$2:$C$102,3)</f>
        <v>Kopp et al. (2012)</v>
      </c>
      <c r="B574">
        <v>78</v>
      </c>
      <c r="C574">
        <v>2012</v>
      </c>
      <c r="D574">
        <v>1</v>
      </c>
      <c r="E574">
        <v>2005</v>
      </c>
      <c r="F574">
        <v>2015</v>
      </c>
      <c r="G574">
        <v>6.9444444444444441E-3</v>
      </c>
      <c r="H574">
        <v>1921.4037253228646</v>
      </c>
      <c r="I574">
        <v>0</v>
      </c>
      <c r="J574">
        <v>0</v>
      </c>
      <c r="K574">
        <v>1</v>
      </c>
      <c r="L574" t="s">
        <v>238</v>
      </c>
      <c r="M574">
        <v>605.03385802178855</v>
      </c>
      <c r="N574">
        <v>2596.2845299922319</v>
      </c>
      <c r="O574">
        <v>0</v>
      </c>
      <c r="P574">
        <v>1</v>
      </c>
      <c r="Q574">
        <v>0</v>
      </c>
      <c r="R574">
        <v>1</v>
      </c>
      <c r="S574">
        <v>0</v>
      </c>
      <c r="T574">
        <v>1</v>
      </c>
      <c r="U574">
        <v>0</v>
      </c>
      <c r="V574">
        <v>3</v>
      </c>
      <c r="W574">
        <v>-1.1000000000000001</v>
      </c>
      <c r="AA574">
        <v>0</v>
      </c>
      <c r="AC574">
        <v>0</v>
      </c>
      <c r="AD574">
        <v>0</v>
      </c>
      <c r="AE574">
        <v>0</v>
      </c>
      <c r="AF574">
        <v>1</v>
      </c>
      <c r="AG574">
        <v>0</v>
      </c>
      <c r="AH574">
        <v>23</v>
      </c>
      <c r="AI574">
        <v>0</v>
      </c>
      <c r="AJ574">
        <v>144</v>
      </c>
    </row>
    <row r="575" spans="1:36" x14ac:dyDescent="0.2">
      <c r="A575" t="str">
        <f>+VLOOKUP(B575,studies!$A$2:$C$102,3)</f>
        <v>Kopp et al. (2012)</v>
      </c>
      <c r="B575">
        <v>78</v>
      </c>
      <c r="C575">
        <v>2012</v>
      </c>
      <c r="D575">
        <v>1</v>
      </c>
      <c r="E575">
        <v>2005</v>
      </c>
      <c r="F575">
        <v>2015</v>
      </c>
      <c r="G575">
        <v>6.9444444444444441E-3</v>
      </c>
      <c r="H575">
        <v>4143.0267827274265</v>
      </c>
      <c r="I575">
        <v>0</v>
      </c>
      <c r="J575">
        <v>0</v>
      </c>
      <c r="K575">
        <v>1</v>
      </c>
      <c r="L575" t="s">
        <v>238</v>
      </c>
      <c r="M575">
        <v>1370.8995010873437</v>
      </c>
      <c r="N575">
        <v>6708.9830332542633</v>
      </c>
      <c r="O575">
        <v>0</v>
      </c>
      <c r="P575">
        <v>1</v>
      </c>
      <c r="Q575">
        <v>0</v>
      </c>
      <c r="R575">
        <v>1</v>
      </c>
      <c r="S575">
        <v>0</v>
      </c>
      <c r="T575">
        <v>1</v>
      </c>
      <c r="U575">
        <v>0</v>
      </c>
      <c r="V575">
        <v>3</v>
      </c>
      <c r="W575">
        <v>-1.1000000000000001</v>
      </c>
      <c r="AA575">
        <v>0</v>
      </c>
      <c r="AC575">
        <v>0</v>
      </c>
      <c r="AD575">
        <v>0</v>
      </c>
      <c r="AE575">
        <v>0</v>
      </c>
      <c r="AF575">
        <v>1</v>
      </c>
      <c r="AG575">
        <v>0</v>
      </c>
      <c r="AH575">
        <v>23</v>
      </c>
      <c r="AI575">
        <v>0</v>
      </c>
      <c r="AJ575">
        <v>144</v>
      </c>
    </row>
    <row r="576" spans="1:36" x14ac:dyDescent="0.2">
      <c r="A576" t="str">
        <f>+VLOOKUP(B576,studies!$A$2:$C$102,3)</f>
        <v>Kopp et al. (2012)</v>
      </c>
      <c r="B576">
        <v>78</v>
      </c>
      <c r="C576">
        <v>2012</v>
      </c>
      <c r="D576">
        <v>1</v>
      </c>
      <c r="E576">
        <v>2005</v>
      </c>
      <c r="F576">
        <v>2015</v>
      </c>
      <c r="G576">
        <v>6.9444444444444441E-3</v>
      </c>
      <c r="H576">
        <v>540.39479774705569</v>
      </c>
      <c r="I576">
        <v>0</v>
      </c>
      <c r="J576">
        <v>0</v>
      </c>
      <c r="K576">
        <v>1</v>
      </c>
      <c r="L576" t="s">
        <v>238</v>
      </c>
      <c r="M576">
        <v>145.51447218245548</v>
      </c>
      <c r="N576">
        <v>467.17804226998857</v>
      </c>
      <c r="O576">
        <v>0</v>
      </c>
      <c r="P576">
        <v>1</v>
      </c>
      <c r="Q576">
        <v>0</v>
      </c>
      <c r="R576">
        <v>1</v>
      </c>
      <c r="S576">
        <v>0</v>
      </c>
      <c r="T576">
        <v>1</v>
      </c>
      <c r="U576">
        <v>0</v>
      </c>
      <c r="V576">
        <v>3</v>
      </c>
      <c r="W576">
        <v>-1.1000000000000001</v>
      </c>
      <c r="AA576">
        <v>0</v>
      </c>
      <c r="AC576">
        <v>0</v>
      </c>
      <c r="AD576">
        <v>0</v>
      </c>
      <c r="AE576">
        <v>0</v>
      </c>
      <c r="AF576">
        <v>1</v>
      </c>
      <c r="AG576">
        <v>0</v>
      </c>
      <c r="AH576">
        <v>23</v>
      </c>
      <c r="AI576">
        <v>0</v>
      </c>
      <c r="AJ576">
        <v>144</v>
      </c>
    </row>
    <row r="577" spans="1:36" x14ac:dyDescent="0.2">
      <c r="A577" t="str">
        <f>+VLOOKUP(B577,studies!$A$2:$C$102,3)</f>
        <v>Kopp et al. (2012)</v>
      </c>
      <c r="B577">
        <v>78</v>
      </c>
      <c r="C577">
        <v>2012</v>
      </c>
      <c r="D577">
        <v>1</v>
      </c>
      <c r="E577">
        <v>2005</v>
      </c>
      <c r="F577">
        <v>2015</v>
      </c>
      <c r="G577">
        <v>6.9444444444444441E-3</v>
      </c>
      <c r="H577">
        <v>900.65799624509282</v>
      </c>
      <c r="I577">
        <v>0</v>
      </c>
      <c r="J577">
        <v>0</v>
      </c>
      <c r="K577">
        <v>1</v>
      </c>
      <c r="L577" t="s">
        <v>238</v>
      </c>
      <c r="M577">
        <v>275.71163150359985</v>
      </c>
      <c r="N577">
        <v>1018.6013052771883</v>
      </c>
      <c r="O577">
        <v>0</v>
      </c>
      <c r="P577">
        <v>1</v>
      </c>
      <c r="Q577">
        <v>0</v>
      </c>
      <c r="R577">
        <v>1</v>
      </c>
      <c r="S577">
        <v>0</v>
      </c>
      <c r="T577">
        <v>1</v>
      </c>
      <c r="U577">
        <v>0</v>
      </c>
      <c r="V577">
        <v>3</v>
      </c>
      <c r="W577">
        <v>-1.1000000000000001</v>
      </c>
      <c r="AA577">
        <v>0</v>
      </c>
      <c r="AC577">
        <v>0</v>
      </c>
      <c r="AD577">
        <v>0</v>
      </c>
      <c r="AE577">
        <v>0</v>
      </c>
      <c r="AF577">
        <v>1</v>
      </c>
      <c r="AG577">
        <v>0</v>
      </c>
      <c r="AH577">
        <v>23</v>
      </c>
      <c r="AI577">
        <v>0</v>
      </c>
      <c r="AJ577">
        <v>144</v>
      </c>
    </row>
    <row r="578" spans="1:36" x14ac:dyDescent="0.2">
      <c r="A578" t="str">
        <f>+VLOOKUP(B578,studies!$A$2:$C$102,3)</f>
        <v>Kopp et al. (2012)</v>
      </c>
      <c r="B578">
        <v>78</v>
      </c>
      <c r="C578">
        <v>2012</v>
      </c>
      <c r="D578">
        <v>1</v>
      </c>
      <c r="E578">
        <v>2005</v>
      </c>
      <c r="F578">
        <v>2015</v>
      </c>
      <c r="G578">
        <v>6.9444444444444441E-3</v>
      </c>
      <c r="H578">
        <v>855.62509643283818</v>
      </c>
      <c r="I578">
        <v>0</v>
      </c>
      <c r="J578">
        <v>0</v>
      </c>
      <c r="K578">
        <v>1</v>
      </c>
      <c r="L578" t="s">
        <v>238</v>
      </c>
      <c r="M578">
        <v>252.73566221163318</v>
      </c>
      <c r="N578">
        <v>964.99071026259946</v>
      </c>
      <c r="O578">
        <v>0</v>
      </c>
      <c r="P578">
        <v>1</v>
      </c>
      <c r="Q578">
        <v>0</v>
      </c>
      <c r="R578">
        <v>1</v>
      </c>
      <c r="S578">
        <v>0</v>
      </c>
      <c r="T578">
        <v>1</v>
      </c>
      <c r="U578">
        <v>0</v>
      </c>
      <c r="V578">
        <v>3</v>
      </c>
      <c r="W578">
        <v>-1.1000000000000001</v>
      </c>
      <c r="AA578">
        <v>0</v>
      </c>
      <c r="AC578">
        <v>0</v>
      </c>
      <c r="AD578">
        <v>0</v>
      </c>
      <c r="AE578">
        <v>0</v>
      </c>
      <c r="AF578">
        <v>1</v>
      </c>
      <c r="AG578">
        <v>0</v>
      </c>
      <c r="AH578">
        <v>23</v>
      </c>
      <c r="AI578">
        <v>0</v>
      </c>
      <c r="AJ578">
        <v>144</v>
      </c>
    </row>
    <row r="579" spans="1:36" x14ac:dyDescent="0.2">
      <c r="A579" t="str">
        <f>+VLOOKUP(B579,studies!$A$2:$C$102,3)</f>
        <v>Kopp et al. (2012)</v>
      </c>
      <c r="B579">
        <v>78</v>
      </c>
      <c r="C579">
        <v>2012</v>
      </c>
      <c r="D579">
        <v>1</v>
      </c>
      <c r="E579">
        <v>2005</v>
      </c>
      <c r="F579">
        <v>2015</v>
      </c>
      <c r="G579">
        <v>6.9444444444444441E-3</v>
      </c>
      <c r="H579">
        <v>1411.0308607839788</v>
      </c>
      <c r="I579">
        <v>0</v>
      </c>
      <c r="J579">
        <v>0</v>
      </c>
      <c r="K579">
        <v>1</v>
      </c>
      <c r="L579" t="s">
        <v>238</v>
      </c>
      <c r="M579">
        <v>543.76460657654411</v>
      </c>
      <c r="N579">
        <v>14015.341268099659</v>
      </c>
      <c r="O579">
        <v>0</v>
      </c>
      <c r="P579">
        <v>1</v>
      </c>
      <c r="Q579">
        <v>0</v>
      </c>
      <c r="R579">
        <v>1</v>
      </c>
      <c r="S579">
        <v>0</v>
      </c>
      <c r="T579">
        <v>1</v>
      </c>
      <c r="U579">
        <v>0</v>
      </c>
      <c r="V579">
        <v>3</v>
      </c>
      <c r="W579">
        <v>-1.1000000000000001</v>
      </c>
      <c r="AA579">
        <v>0</v>
      </c>
      <c r="AC579">
        <v>0</v>
      </c>
      <c r="AD579">
        <v>0</v>
      </c>
      <c r="AE579">
        <v>0</v>
      </c>
      <c r="AF579">
        <v>1</v>
      </c>
      <c r="AG579">
        <v>0</v>
      </c>
      <c r="AH579">
        <v>23</v>
      </c>
      <c r="AI579">
        <v>0</v>
      </c>
      <c r="AJ579">
        <v>144</v>
      </c>
    </row>
    <row r="580" spans="1:36" x14ac:dyDescent="0.2">
      <c r="A580" t="str">
        <f>+VLOOKUP(B580,studies!$A$2:$C$102,3)</f>
        <v>Kopp et al. (2012)</v>
      </c>
      <c r="B580">
        <v>78</v>
      </c>
      <c r="C580">
        <v>2012</v>
      </c>
      <c r="D580">
        <v>1</v>
      </c>
      <c r="E580">
        <v>2005</v>
      </c>
      <c r="F580">
        <v>2015</v>
      </c>
      <c r="G580">
        <v>6.9444444444444441E-3</v>
      </c>
      <c r="H580">
        <v>390.28513170620693</v>
      </c>
      <c r="I580">
        <v>0</v>
      </c>
      <c r="J580">
        <v>0</v>
      </c>
      <c r="K580">
        <v>1</v>
      </c>
      <c r="L580" t="s">
        <v>238</v>
      </c>
      <c r="M580">
        <v>137.85581575179995</v>
      </c>
      <c r="N580">
        <v>1929.9814205251989</v>
      </c>
      <c r="O580">
        <v>0</v>
      </c>
      <c r="P580">
        <v>1</v>
      </c>
      <c r="Q580">
        <v>0</v>
      </c>
      <c r="R580">
        <v>1</v>
      </c>
      <c r="S580">
        <v>0</v>
      </c>
      <c r="T580">
        <v>1</v>
      </c>
      <c r="U580">
        <v>0</v>
      </c>
      <c r="V580">
        <v>3</v>
      </c>
      <c r="W580">
        <v>-1.1000000000000001</v>
      </c>
      <c r="AA580">
        <v>0</v>
      </c>
      <c r="AC580">
        <v>0</v>
      </c>
      <c r="AD580">
        <v>0</v>
      </c>
      <c r="AE580">
        <v>0</v>
      </c>
      <c r="AF580">
        <v>1</v>
      </c>
      <c r="AG580">
        <v>0</v>
      </c>
      <c r="AH580">
        <v>23</v>
      </c>
      <c r="AI580">
        <v>0</v>
      </c>
      <c r="AJ580">
        <v>144</v>
      </c>
    </row>
    <row r="581" spans="1:36" x14ac:dyDescent="0.2">
      <c r="A581" t="str">
        <f>+VLOOKUP(B581,studies!$A$2:$C$102,3)</f>
        <v>Kopp et al. (2012)</v>
      </c>
      <c r="B581">
        <v>78</v>
      </c>
      <c r="C581">
        <v>2012</v>
      </c>
      <c r="D581">
        <v>1</v>
      </c>
      <c r="E581">
        <v>2005</v>
      </c>
      <c r="F581">
        <v>2015</v>
      </c>
      <c r="G581">
        <v>6.9444444444444441E-3</v>
      </c>
      <c r="H581">
        <v>240.17546566535808</v>
      </c>
      <c r="I581">
        <v>0</v>
      </c>
      <c r="J581">
        <v>0</v>
      </c>
      <c r="K581">
        <v>1</v>
      </c>
      <c r="L581" t="s">
        <v>238</v>
      </c>
      <c r="M581">
        <v>76.586564306555516</v>
      </c>
      <c r="N581">
        <v>1807.4429176347101</v>
      </c>
      <c r="O581">
        <v>0</v>
      </c>
      <c r="P581">
        <v>1</v>
      </c>
      <c r="Q581">
        <v>0</v>
      </c>
      <c r="R581">
        <v>1</v>
      </c>
      <c r="S581">
        <v>0</v>
      </c>
      <c r="T581">
        <v>1</v>
      </c>
      <c r="U581">
        <v>0</v>
      </c>
      <c r="V581">
        <v>3</v>
      </c>
      <c r="W581">
        <v>-1.1000000000000001</v>
      </c>
      <c r="AA581">
        <v>0</v>
      </c>
      <c r="AC581">
        <v>0</v>
      </c>
      <c r="AD581">
        <v>0</v>
      </c>
      <c r="AE581">
        <v>0</v>
      </c>
      <c r="AF581">
        <v>1</v>
      </c>
      <c r="AG581">
        <v>0</v>
      </c>
      <c r="AH581">
        <v>23</v>
      </c>
      <c r="AI581">
        <v>0</v>
      </c>
      <c r="AJ581">
        <v>144</v>
      </c>
    </row>
    <row r="582" spans="1:36" x14ac:dyDescent="0.2">
      <c r="A582" t="str">
        <f>+VLOOKUP(B582,studies!$A$2:$C$102,3)</f>
        <v>Kopp et al. (2012)</v>
      </c>
      <c r="B582">
        <v>78</v>
      </c>
      <c r="C582">
        <v>2012</v>
      </c>
      <c r="D582">
        <v>1</v>
      </c>
      <c r="E582">
        <v>2005</v>
      </c>
      <c r="F582">
        <v>2015</v>
      </c>
      <c r="G582">
        <v>6.9444444444444441E-3</v>
      </c>
      <c r="H582">
        <v>630.46059737156497</v>
      </c>
      <c r="I582">
        <v>0</v>
      </c>
      <c r="J582">
        <v>0</v>
      </c>
      <c r="K582">
        <v>1</v>
      </c>
      <c r="L582" t="s">
        <v>238</v>
      </c>
      <c r="M582">
        <v>222.10103648901099</v>
      </c>
      <c r="N582">
        <v>6670.6897511009847</v>
      </c>
      <c r="O582">
        <v>0</v>
      </c>
      <c r="P582">
        <v>1</v>
      </c>
      <c r="Q582">
        <v>0</v>
      </c>
      <c r="R582">
        <v>1</v>
      </c>
      <c r="S582">
        <v>0</v>
      </c>
      <c r="T582">
        <v>1</v>
      </c>
      <c r="U582">
        <v>0</v>
      </c>
      <c r="V582">
        <v>3</v>
      </c>
      <c r="W582">
        <v>-1.1000000000000001</v>
      </c>
      <c r="AA582">
        <v>0</v>
      </c>
      <c r="AC582">
        <v>0</v>
      </c>
      <c r="AD582">
        <v>0</v>
      </c>
      <c r="AE582">
        <v>0</v>
      </c>
      <c r="AF582">
        <v>1</v>
      </c>
      <c r="AG582">
        <v>0</v>
      </c>
      <c r="AH582">
        <v>23</v>
      </c>
      <c r="AI582">
        <v>0</v>
      </c>
      <c r="AJ582">
        <v>144</v>
      </c>
    </row>
    <row r="583" spans="1:36" x14ac:dyDescent="0.2">
      <c r="A583" t="str">
        <f>+VLOOKUP(B583,studies!$A$2:$C$102,3)</f>
        <v>Kopp et al. (2012)</v>
      </c>
      <c r="B583">
        <v>78</v>
      </c>
      <c r="C583">
        <v>2012</v>
      </c>
      <c r="D583">
        <v>1</v>
      </c>
      <c r="E583">
        <v>2005</v>
      </c>
      <c r="F583">
        <v>2015</v>
      </c>
      <c r="G583">
        <v>6.9444444444444441E-3</v>
      </c>
      <c r="H583">
        <v>630.46059737156497</v>
      </c>
      <c r="I583">
        <v>0</v>
      </c>
      <c r="J583">
        <v>0</v>
      </c>
      <c r="K583">
        <v>1</v>
      </c>
      <c r="L583" t="s">
        <v>238</v>
      </c>
      <c r="M583">
        <v>222.10103648901099</v>
      </c>
      <c r="N583">
        <v>6670.6897511009847</v>
      </c>
      <c r="O583">
        <v>0</v>
      </c>
      <c r="P583">
        <v>1</v>
      </c>
      <c r="Q583">
        <v>0</v>
      </c>
      <c r="R583">
        <v>1</v>
      </c>
      <c r="S583">
        <v>0</v>
      </c>
      <c r="T583">
        <v>1</v>
      </c>
      <c r="U583">
        <v>0</v>
      </c>
      <c r="V583">
        <v>3</v>
      </c>
      <c r="W583">
        <v>-1.1000000000000001</v>
      </c>
      <c r="AA583">
        <v>0</v>
      </c>
      <c r="AC583">
        <v>0</v>
      </c>
      <c r="AD583">
        <v>0</v>
      </c>
      <c r="AE583">
        <v>0</v>
      </c>
      <c r="AF583">
        <v>1</v>
      </c>
      <c r="AG583">
        <v>0</v>
      </c>
      <c r="AH583">
        <v>23</v>
      </c>
      <c r="AI583">
        <v>0</v>
      </c>
      <c r="AJ583">
        <v>144</v>
      </c>
    </row>
    <row r="584" spans="1:36" x14ac:dyDescent="0.2">
      <c r="A584" t="str">
        <f>+VLOOKUP(B584,studies!$A$2:$C$102,3)</f>
        <v>Kopp et al. (2012)</v>
      </c>
      <c r="B584">
        <v>78</v>
      </c>
      <c r="C584">
        <v>2012</v>
      </c>
      <c r="D584">
        <v>1</v>
      </c>
      <c r="E584">
        <v>2005</v>
      </c>
      <c r="F584">
        <v>2015</v>
      </c>
      <c r="G584">
        <v>6.9444444444444441E-3</v>
      </c>
      <c r="H584">
        <v>195.14256585310346</v>
      </c>
      <c r="I584">
        <v>0</v>
      </c>
      <c r="J584">
        <v>0</v>
      </c>
      <c r="K584">
        <v>1</v>
      </c>
      <c r="L584" t="s">
        <v>238</v>
      </c>
      <c r="M584">
        <v>91.903877167866611</v>
      </c>
      <c r="N584">
        <v>13471.576661523113</v>
      </c>
      <c r="O584">
        <v>0</v>
      </c>
      <c r="P584">
        <v>1</v>
      </c>
      <c r="Q584">
        <v>0</v>
      </c>
      <c r="R584">
        <v>1</v>
      </c>
      <c r="S584">
        <v>0</v>
      </c>
      <c r="T584">
        <v>1</v>
      </c>
      <c r="U584">
        <v>0</v>
      </c>
      <c r="V584">
        <v>3</v>
      </c>
      <c r="W584">
        <v>-1.1000000000000001</v>
      </c>
      <c r="AA584">
        <v>0</v>
      </c>
      <c r="AC584">
        <v>0</v>
      </c>
      <c r="AD584">
        <v>0</v>
      </c>
      <c r="AE584">
        <v>0</v>
      </c>
      <c r="AF584">
        <v>1</v>
      </c>
      <c r="AG584">
        <v>0</v>
      </c>
      <c r="AH584">
        <v>23</v>
      </c>
      <c r="AI584">
        <v>0</v>
      </c>
      <c r="AJ584">
        <v>144</v>
      </c>
    </row>
    <row r="585" spans="1:36" x14ac:dyDescent="0.2">
      <c r="A585" t="str">
        <f>+VLOOKUP(B585,studies!$A$2:$C$102,3)</f>
        <v>Kopp et al. (2012)</v>
      </c>
      <c r="B585">
        <v>78</v>
      </c>
      <c r="C585">
        <v>2012</v>
      </c>
      <c r="D585">
        <v>1</v>
      </c>
      <c r="E585">
        <v>2005</v>
      </c>
      <c r="F585">
        <v>2015</v>
      </c>
      <c r="G585">
        <v>6.9444444444444441E-3</v>
      </c>
      <c r="H585">
        <v>135.09869943676392</v>
      </c>
      <c r="I585">
        <v>0</v>
      </c>
      <c r="J585">
        <v>0</v>
      </c>
      <c r="K585">
        <v>1</v>
      </c>
      <c r="L585" t="s">
        <v>238</v>
      </c>
      <c r="M585">
        <v>61.269251445244407</v>
      </c>
      <c r="N585">
        <v>6747.276315407541</v>
      </c>
      <c r="O585">
        <v>0</v>
      </c>
      <c r="P585">
        <v>1</v>
      </c>
      <c r="Q585">
        <v>0</v>
      </c>
      <c r="R585">
        <v>1</v>
      </c>
      <c r="S585">
        <v>0</v>
      </c>
      <c r="T585">
        <v>1</v>
      </c>
      <c r="U585">
        <v>0</v>
      </c>
      <c r="V585">
        <v>3</v>
      </c>
      <c r="W585">
        <v>-1.1000000000000001</v>
      </c>
      <c r="AA585">
        <v>0</v>
      </c>
      <c r="AC585">
        <v>0</v>
      </c>
      <c r="AD585">
        <v>0</v>
      </c>
      <c r="AE585">
        <v>0</v>
      </c>
      <c r="AF585">
        <v>1</v>
      </c>
      <c r="AG585">
        <v>0</v>
      </c>
      <c r="AH585">
        <v>23</v>
      </c>
      <c r="AI585">
        <v>0</v>
      </c>
      <c r="AJ585">
        <v>144</v>
      </c>
    </row>
    <row r="586" spans="1:36" x14ac:dyDescent="0.2">
      <c r="A586" t="str">
        <f>+VLOOKUP(B586,studies!$A$2:$C$102,3)</f>
        <v>Kopp et al. (2012)</v>
      </c>
      <c r="B586">
        <v>78</v>
      </c>
      <c r="C586">
        <v>2012</v>
      </c>
      <c r="D586">
        <v>1</v>
      </c>
      <c r="E586">
        <v>2005</v>
      </c>
      <c r="F586">
        <v>2015</v>
      </c>
      <c r="G586">
        <v>6.9444444444444441E-3</v>
      </c>
      <c r="H586">
        <v>180.13159924901856</v>
      </c>
      <c r="I586">
        <v>0</v>
      </c>
      <c r="J586">
        <v>0</v>
      </c>
      <c r="K586">
        <v>1</v>
      </c>
      <c r="L586" t="s">
        <v>238</v>
      </c>
      <c r="M586">
        <v>84.245220737211056</v>
      </c>
      <c r="N586">
        <v>10247.282304217128</v>
      </c>
      <c r="O586">
        <v>0</v>
      </c>
      <c r="P586">
        <v>1</v>
      </c>
      <c r="Q586">
        <v>0</v>
      </c>
      <c r="R586">
        <v>1</v>
      </c>
      <c r="S586">
        <v>0</v>
      </c>
      <c r="T586">
        <v>1</v>
      </c>
      <c r="U586">
        <v>0</v>
      </c>
      <c r="V586">
        <v>3</v>
      </c>
      <c r="W586">
        <v>-1.1000000000000001</v>
      </c>
      <c r="AA586">
        <v>0</v>
      </c>
      <c r="AC586">
        <v>0</v>
      </c>
      <c r="AD586">
        <v>0</v>
      </c>
      <c r="AE586">
        <v>0</v>
      </c>
      <c r="AF586">
        <v>1</v>
      </c>
      <c r="AG586">
        <v>0</v>
      </c>
      <c r="AH586">
        <v>23</v>
      </c>
      <c r="AI586">
        <v>0</v>
      </c>
      <c r="AJ586">
        <v>144</v>
      </c>
    </row>
    <row r="587" spans="1:36" x14ac:dyDescent="0.2">
      <c r="A587" t="str">
        <f>+VLOOKUP(B587,studies!$A$2:$C$102,3)</f>
        <v>Kopp et al. (2012)</v>
      </c>
      <c r="B587">
        <v>78</v>
      </c>
      <c r="C587">
        <v>2012</v>
      </c>
      <c r="D587">
        <v>1</v>
      </c>
      <c r="E587">
        <v>2005</v>
      </c>
      <c r="F587">
        <v>2015</v>
      </c>
      <c r="G587">
        <v>6.9444444444444441E-3</v>
      </c>
      <c r="H587">
        <v>225.1644990612732</v>
      </c>
      <c r="I587">
        <v>0</v>
      </c>
      <c r="J587">
        <v>0</v>
      </c>
      <c r="K587">
        <v>1</v>
      </c>
      <c r="L587" t="s">
        <v>238</v>
      </c>
      <c r="M587">
        <v>99.562533598522165</v>
      </c>
      <c r="N587">
        <v>12904.836085654602</v>
      </c>
      <c r="O587">
        <v>0</v>
      </c>
      <c r="P587">
        <v>1</v>
      </c>
      <c r="Q587">
        <v>0</v>
      </c>
      <c r="R587">
        <v>1</v>
      </c>
      <c r="S587">
        <v>0</v>
      </c>
      <c r="T587">
        <v>1</v>
      </c>
      <c r="U587">
        <v>0</v>
      </c>
      <c r="V587">
        <v>3</v>
      </c>
      <c r="W587">
        <v>-1.1000000000000001</v>
      </c>
      <c r="AA587">
        <v>0</v>
      </c>
      <c r="AC587">
        <v>0</v>
      </c>
      <c r="AD587">
        <v>0</v>
      </c>
      <c r="AE587">
        <v>0</v>
      </c>
      <c r="AF587">
        <v>1</v>
      </c>
      <c r="AG587">
        <v>0</v>
      </c>
      <c r="AH587">
        <v>23</v>
      </c>
      <c r="AI587">
        <v>0</v>
      </c>
      <c r="AJ587">
        <v>144</v>
      </c>
    </row>
    <row r="588" spans="1:36" x14ac:dyDescent="0.2">
      <c r="A588" t="str">
        <f>+VLOOKUP(B588,studies!$A$2:$C$102,3)</f>
        <v>Kopp et al. (2012)</v>
      </c>
      <c r="B588">
        <v>78</v>
      </c>
      <c r="C588">
        <v>2012</v>
      </c>
      <c r="D588">
        <v>1</v>
      </c>
      <c r="E588">
        <v>2005</v>
      </c>
      <c r="F588">
        <v>2015</v>
      </c>
      <c r="G588">
        <v>6.9444444444444441E-3</v>
      </c>
      <c r="H588">
        <v>450.32899812254641</v>
      </c>
      <c r="I588">
        <v>0</v>
      </c>
      <c r="J588">
        <v>0</v>
      </c>
      <c r="K588">
        <v>1</v>
      </c>
      <c r="L588" t="s">
        <v>238</v>
      </c>
      <c r="M588">
        <v>122.5385028904888</v>
      </c>
      <c r="N588">
        <v>298.68760079556648</v>
      </c>
      <c r="O588">
        <v>0</v>
      </c>
      <c r="P588">
        <v>1</v>
      </c>
      <c r="Q588">
        <v>0</v>
      </c>
      <c r="R588">
        <v>1</v>
      </c>
      <c r="S588">
        <v>0</v>
      </c>
      <c r="T588">
        <v>1</v>
      </c>
      <c r="U588">
        <v>0</v>
      </c>
      <c r="V588">
        <v>3</v>
      </c>
      <c r="W588">
        <v>3</v>
      </c>
      <c r="AA588">
        <v>0</v>
      </c>
      <c r="AC588">
        <v>0</v>
      </c>
      <c r="AD588">
        <v>0</v>
      </c>
      <c r="AE588">
        <v>0</v>
      </c>
      <c r="AF588">
        <v>1</v>
      </c>
      <c r="AG588">
        <v>0</v>
      </c>
      <c r="AH588">
        <v>23</v>
      </c>
      <c r="AI588">
        <v>0</v>
      </c>
      <c r="AJ588">
        <v>144</v>
      </c>
    </row>
    <row r="589" spans="1:36" x14ac:dyDescent="0.2">
      <c r="A589" t="str">
        <f>+VLOOKUP(B589,studies!$A$2:$C$102,3)</f>
        <v>Kopp et al. (2012)</v>
      </c>
      <c r="B589">
        <v>78</v>
      </c>
      <c r="C589">
        <v>2012</v>
      </c>
      <c r="D589">
        <v>1</v>
      </c>
      <c r="E589">
        <v>2005</v>
      </c>
      <c r="F589">
        <v>2015</v>
      </c>
      <c r="G589">
        <v>6.9444444444444441E-3</v>
      </c>
      <c r="H589">
        <v>465.33996472663125</v>
      </c>
      <c r="I589">
        <v>0</v>
      </c>
      <c r="J589">
        <v>0</v>
      </c>
      <c r="K589">
        <v>1</v>
      </c>
      <c r="L589" t="s">
        <v>238</v>
      </c>
      <c r="M589">
        <v>130.19715932114437</v>
      </c>
      <c r="N589">
        <v>306.34625722622206</v>
      </c>
      <c r="O589">
        <v>0</v>
      </c>
      <c r="P589">
        <v>1</v>
      </c>
      <c r="Q589">
        <v>0</v>
      </c>
      <c r="R589">
        <v>1</v>
      </c>
      <c r="S589">
        <v>0</v>
      </c>
      <c r="T589">
        <v>1</v>
      </c>
      <c r="U589">
        <v>0</v>
      </c>
      <c r="V589">
        <v>3</v>
      </c>
      <c r="W589">
        <v>3</v>
      </c>
      <c r="AA589">
        <v>0</v>
      </c>
      <c r="AC589">
        <v>0</v>
      </c>
      <c r="AD589">
        <v>0</v>
      </c>
      <c r="AE589">
        <v>0</v>
      </c>
      <c r="AF589">
        <v>1</v>
      </c>
      <c r="AG589">
        <v>0</v>
      </c>
      <c r="AH589">
        <v>23</v>
      </c>
      <c r="AI589">
        <v>0</v>
      </c>
      <c r="AJ589">
        <v>144</v>
      </c>
    </row>
    <row r="590" spans="1:36" x14ac:dyDescent="0.2">
      <c r="A590" t="str">
        <f>+VLOOKUP(B590,studies!$A$2:$C$102,3)</f>
        <v>Kopp et al. (2012)</v>
      </c>
      <c r="B590">
        <v>78</v>
      </c>
      <c r="C590">
        <v>2012</v>
      </c>
      <c r="D590">
        <v>1</v>
      </c>
      <c r="E590">
        <v>2005</v>
      </c>
      <c r="F590">
        <v>2015</v>
      </c>
      <c r="G590">
        <v>6.9444444444444441E-3</v>
      </c>
      <c r="H590">
        <v>420.30706491437667</v>
      </c>
      <c r="I590">
        <v>0</v>
      </c>
      <c r="J590">
        <v>0</v>
      </c>
      <c r="K590">
        <v>1</v>
      </c>
      <c r="L590" t="s">
        <v>238</v>
      </c>
      <c r="M590">
        <v>122.53850289048881</v>
      </c>
      <c r="N590">
        <v>314.00491365687765</v>
      </c>
      <c r="O590">
        <v>0</v>
      </c>
      <c r="P590">
        <v>1</v>
      </c>
      <c r="Q590">
        <v>0</v>
      </c>
      <c r="R590">
        <v>1</v>
      </c>
      <c r="S590">
        <v>0</v>
      </c>
      <c r="T590">
        <v>1</v>
      </c>
      <c r="U590">
        <v>0</v>
      </c>
      <c r="V590">
        <v>3</v>
      </c>
      <c r="W590">
        <v>3</v>
      </c>
      <c r="AA590">
        <v>0</v>
      </c>
      <c r="AC590">
        <v>0</v>
      </c>
      <c r="AD590">
        <v>0</v>
      </c>
      <c r="AE590">
        <v>0</v>
      </c>
      <c r="AF590">
        <v>1</v>
      </c>
      <c r="AG590">
        <v>0</v>
      </c>
      <c r="AH590">
        <v>23</v>
      </c>
      <c r="AI590">
        <v>0</v>
      </c>
      <c r="AJ590">
        <v>144</v>
      </c>
    </row>
    <row r="591" spans="1:36" x14ac:dyDescent="0.2">
      <c r="A591" t="str">
        <f>+VLOOKUP(B591,studies!$A$2:$C$102,3)</f>
        <v>Kopp et al. (2012)</v>
      </c>
      <c r="B591">
        <v>78</v>
      </c>
      <c r="C591">
        <v>2012</v>
      </c>
      <c r="D591">
        <v>1</v>
      </c>
      <c r="E591">
        <v>2005</v>
      </c>
      <c r="F591">
        <v>2015</v>
      </c>
      <c r="G591">
        <v>6.9444444444444441E-3</v>
      </c>
      <c r="H591">
        <v>690.50446378790446</v>
      </c>
      <c r="I591">
        <v>0</v>
      </c>
      <c r="J591">
        <v>0</v>
      </c>
      <c r="K591">
        <v>1</v>
      </c>
      <c r="L591" t="s">
        <v>238</v>
      </c>
      <c r="M591">
        <v>191.46641076638878</v>
      </c>
      <c r="N591">
        <v>451.86072940867751</v>
      </c>
      <c r="O591">
        <v>0</v>
      </c>
      <c r="P591">
        <v>1</v>
      </c>
      <c r="Q591">
        <v>0</v>
      </c>
      <c r="R591">
        <v>1</v>
      </c>
      <c r="S591">
        <v>0</v>
      </c>
      <c r="T591">
        <v>1</v>
      </c>
      <c r="U591">
        <v>0</v>
      </c>
      <c r="V591">
        <v>3</v>
      </c>
      <c r="W591">
        <v>3</v>
      </c>
      <c r="AA591">
        <v>0</v>
      </c>
      <c r="AC591">
        <v>0</v>
      </c>
      <c r="AD591">
        <v>0</v>
      </c>
      <c r="AE591">
        <v>0</v>
      </c>
      <c r="AF591">
        <v>1</v>
      </c>
      <c r="AG591">
        <v>0</v>
      </c>
      <c r="AH591">
        <v>23</v>
      </c>
      <c r="AI591">
        <v>0</v>
      </c>
      <c r="AJ591">
        <v>144</v>
      </c>
    </row>
    <row r="592" spans="1:36" x14ac:dyDescent="0.2">
      <c r="A592" t="str">
        <f>+VLOOKUP(B592,studies!$A$2:$C$102,3)</f>
        <v>Kopp et al. (2012)</v>
      </c>
      <c r="B592">
        <v>78</v>
      </c>
      <c r="C592">
        <v>2012</v>
      </c>
      <c r="D592">
        <v>1</v>
      </c>
      <c r="E592">
        <v>2005</v>
      </c>
      <c r="F592">
        <v>2015</v>
      </c>
      <c r="G592">
        <v>6.9444444444444441E-3</v>
      </c>
      <c r="H592">
        <v>330.24126528986733</v>
      </c>
      <c r="I592">
        <v>0</v>
      </c>
      <c r="J592">
        <v>0</v>
      </c>
      <c r="K592">
        <v>1</v>
      </c>
      <c r="L592" t="s">
        <v>238</v>
      </c>
      <c r="M592">
        <v>84.245220737211056</v>
      </c>
      <c r="N592">
        <v>168.49044147442211</v>
      </c>
      <c r="O592">
        <v>0</v>
      </c>
      <c r="P592">
        <v>1</v>
      </c>
      <c r="Q592">
        <v>0</v>
      </c>
      <c r="R592">
        <v>1</v>
      </c>
      <c r="S592">
        <v>0</v>
      </c>
      <c r="T592">
        <v>1</v>
      </c>
      <c r="U592">
        <v>0</v>
      </c>
      <c r="V592">
        <v>3</v>
      </c>
      <c r="W592">
        <v>3</v>
      </c>
      <c r="AA592">
        <v>0</v>
      </c>
      <c r="AC592">
        <v>0</v>
      </c>
      <c r="AD592">
        <v>0</v>
      </c>
      <c r="AE592">
        <v>0</v>
      </c>
      <c r="AF592">
        <v>1</v>
      </c>
      <c r="AG592">
        <v>0</v>
      </c>
      <c r="AH592">
        <v>23</v>
      </c>
      <c r="AI592">
        <v>0</v>
      </c>
      <c r="AJ592">
        <v>144</v>
      </c>
    </row>
    <row r="593" spans="1:36" x14ac:dyDescent="0.2">
      <c r="A593" t="str">
        <f>+VLOOKUP(B593,studies!$A$2:$C$102,3)</f>
        <v>Kopp et al. (2012)</v>
      </c>
      <c r="B593">
        <v>78</v>
      </c>
      <c r="C593">
        <v>2012</v>
      </c>
      <c r="D593">
        <v>1</v>
      </c>
      <c r="E593">
        <v>2005</v>
      </c>
      <c r="F593">
        <v>2015</v>
      </c>
      <c r="G593">
        <v>6.9444444444444441E-3</v>
      </c>
      <c r="H593">
        <v>870.63606303692313</v>
      </c>
      <c r="I593">
        <v>0</v>
      </c>
      <c r="J593">
        <v>0</v>
      </c>
      <c r="K593">
        <v>1</v>
      </c>
      <c r="L593" t="s">
        <v>238</v>
      </c>
      <c r="M593">
        <v>245.07700578097763</v>
      </c>
      <c r="N593">
        <v>497.81266799261084</v>
      </c>
      <c r="O593">
        <v>0</v>
      </c>
      <c r="P593">
        <v>1</v>
      </c>
      <c r="Q593">
        <v>0</v>
      </c>
      <c r="R593">
        <v>1</v>
      </c>
      <c r="S593">
        <v>0</v>
      </c>
      <c r="T593">
        <v>1</v>
      </c>
      <c r="U593">
        <v>0</v>
      </c>
      <c r="V593">
        <v>3</v>
      </c>
      <c r="W593">
        <v>3</v>
      </c>
      <c r="AA593">
        <v>0</v>
      </c>
      <c r="AC593">
        <v>0</v>
      </c>
      <c r="AD593">
        <v>0</v>
      </c>
      <c r="AE593">
        <v>0</v>
      </c>
      <c r="AF593">
        <v>1</v>
      </c>
      <c r="AG593">
        <v>0</v>
      </c>
      <c r="AH593">
        <v>23</v>
      </c>
      <c r="AI593">
        <v>0</v>
      </c>
      <c r="AJ593">
        <v>144</v>
      </c>
    </row>
    <row r="594" spans="1:36" x14ac:dyDescent="0.2">
      <c r="A594" t="str">
        <f>+VLOOKUP(B594,studies!$A$2:$C$102,3)</f>
        <v>Kopp et al. (2012)</v>
      </c>
      <c r="B594">
        <v>78</v>
      </c>
      <c r="C594">
        <v>2012</v>
      </c>
      <c r="D594">
        <v>1</v>
      </c>
      <c r="E594">
        <v>2005</v>
      </c>
      <c r="F594">
        <v>2015</v>
      </c>
      <c r="G594">
        <v>6.9444444444444441E-3</v>
      </c>
      <c r="H594">
        <v>360.26319849803713</v>
      </c>
      <c r="I594">
        <v>0</v>
      </c>
      <c r="J594">
        <v>0</v>
      </c>
      <c r="K594">
        <v>1</v>
      </c>
      <c r="L594" t="s">
        <v>238</v>
      </c>
      <c r="M594">
        <v>91.903877167866611</v>
      </c>
      <c r="N594">
        <v>206.78372362769991</v>
      </c>
      <c r="O594">
        <v>0</v>
      </c>
      <c r="P594">
        <v>1</v>
      </c>
      <c r="Q594">
        <v>0</v>
      </c>
      <c r="R594">
        <v>1</v>
      </c>
      <c r="S594">
        <v>0</v>
      </c>
      <c r="T594">
        <v>1</v>
      </c>
      <c r="U594">
        <v>0</v>
      </c>
      <c r="V594">
        <v>3</v>
      </c>
      <c r="W594">
        <v>3</v>
      </c>
      <c r="AA594">
        <v>0</v>
      </c>
      <c r="AC594">
        <v>0</v>
      </c>
      <c r="AD594">
        <v>0</v>
      </c>
      <c r="AE594">
        <v>0</v>
      </c>
      <c r="AF594">
        <v>1</v>
      </c>
      <c r="AG594">
        <v>0</v>
      </c>
      <c r="AH594">
        <v>23</v>
      </c>
      <c r="AI594">
        <v>0</v>
      </c>
      <c r="AJ594">
        <v>144</v>
      </c>
    </row>
    <row r="595" spans="1:36" x14ac:dyDescent="0.2">
      <c r="A595" t="str">
        <f>+VLOOKUP(B595,studies!$A$2:$C$102,3)</f>
        <v>Kopp et al. (2012)</v>
      </c>
      <c r="B595">
        <v>78</v>
      </c>
      <c r="C595">
        <v>2012</v>
      </c>
      <c r="D595">
        <v>1</v>
      </c>
      <c r="E595">
        <v>2005</v>
      </c>
      <c r="F595">
        <v>2015</v>
      </c>
      <c r="G595">
        <v>6.9444444444444441E-3</v>
      </c>
      <c r="H595">
        <v>450.32899812254641</v>
      </c>
      <c r="I595">
        <v>0</v>
      </c>
      <c r="J595">
        <v>0</v>
      </c>
      <c r="K595">
        <v>1</v>
      </c>
      <c r="L595" t="s">
        <v>238</v>
      </c>
      <c r="M595">
        <v>122.5385028904888</v>
      </c>
      <c r="N595">
        <v>306.34625722622206</v>
      </c>
      <c r="O595">
        <v>0</v>
      </c>
      <c r="P595">
        <v>1</v>
      </c>
      <c r="Q595">
        <v>0</v>
      </c>
      <c r="R595">
        <v>1</v>
      </c>
      <c r="S595">
        <v>0</v>
      </c>
      <c r="T595">
        <v>1</v>
      </c>
      <c r="U595">
        <v>0</v>
      </c>
      <c r="V595">
        <v>3</v>
      </c>
      <c r="W595">
        <v>3</v>
      </c>
      <c r="AA595">
        <v>0</v>
      </c>
      <c r="AC595">
        <v>0</v>
      </c>
      <c r="AD595">
        <v>0</v>
      </c>
      <c r="AE595">
        <v>0</v>
      </c>
      <c r="AF595">
        <v>1</v>
      </c>
      <c r="AG595">
        <v>0</v>
      </c>
      <c r="AH595">
        <v>23</v>
      </c>
      <c r="AI595">
        <v>0</v>
      </c>
      <c r="AJ595">
        <v>144</v>
      </c>
    </row>
    <row r="596" spans="1:36" x14ac:dyDescent="0.2">
      <c r="A596" t="str">
        <f>+VLOOKUP(B596,studies!$A$2:$C$102,3)</f>
        <v>Kopp et al. (2012)</v>
      </c>
      <c r="B596">
        <v>78</v>
      </c>
      <c r="C596">
        <v>2012</v>
      </c>
      <c r="D596">
        <v>1</v>
      </c>
      <c r="E596">
        <v>2005</v>
      </c>
      <c r="F596">
        <v>2015</v>
      </c>
      <c r="G596">
        <v>6.9444444444444441E-3</v>
      </c>
      <c r="H596">
        <v>450.32899812254641</v>
      </c>
      <c r="I596">
        <v>0</v>
      </c>
      <c r="J596">
        <v>0</v>
      </c>
      <c r="K596">
        <v>1</v>
      </c>
      <c r="L596" t="s">
        <v>238</v>
      </c>
      <c r="M596">
        <v>122.5385028904888</v>
      </c>
      <c r="N596">
        <v>298.68760079556648</v>
      </c>
      <c r="O596">
        <v>0</v>
      </c>
      <c r="P596">
        <v>1</v>
      </c>
      <c r="Q596">
        <v>0</v>
      </c>
      <c r="R596">
        <v>1</v>
      </c>
      <c r="S596">
        <v>0</v>
      </c>
      <c r="T596">
        <v>1</v>
      </c>
      <c r="U596">
        <v>0</v>
      </c>
      <c r="V596">
        <v>3</v>
      </c>
      <c r="W596">
        <v>3</v>
      </c>
      <c r="AA596">
        <v>0</v>
      </c>
      <c r="AC596">
        <v>0</v>
      </c>
      <c r="AD596">
        <v>0</v>
      </c>
      <c r="AE596">
        <v>0</v>
      </c>
      <c r="AF596">
        <v>1</v>
      </c>
      <c r="AG596">
        <v>0</v>
      </c>
      <c r="AH596">
        <v>23</v>
      </c>
      <c r="AI596">
        <v>0</v>
      </c>
      <c r="AJ596">
        <v>144</v>
      </c>
    </row>
    <row r="597" spans="1:36" x14ac:dyDescent="0.2">
      <c r="A597" t="str">
        <f>+VLOOKUP(B597,studies!$A$2:$C$102,3)</f>
        <v>Kopp et al. (2012)</v>
      </c>
      <c r="B597">
        <v>78</v>
      </c>
      <c r="C597">
        <v>2012</v>
      </c>
      <c r="D597">
        <v>1</v>
      </c>
      <c r="E597">
        <v>2005</v>
      </c>
      <c r="F597">
        <v>2015</v>
      </c>
      <c r="G597">
        <v>6.9444444444444441E-3</v>
      </c>
      <c r="H597">
        <v>510.37286453888595</v>
      </c>
      <c r="I597">
        <v>0</v>
      </c>
      <c r="J597">
        <v>0</v>
      </c>
      <c r="K597">
        <v>1</v>
      </c>
      <c r="L597" t="s">
        <v>238</v>
      </c>
      <c r="M597">
        <v>160.83178504376659</v>
      </c>
      <c r="N597">
        <v>873.08683309473281</v>
      </c>
      <c r="O597">
        <v>0</v>
      </c>
      <c r="P597">
        <v>1</v>
      </c>
      <c r="Q597">
        <v>0</v>
      </c>
      <c r="R597">
        <v>1</v>
      </c>
      <c r="S597">
        <v>0</v>
      </c>
      <c r="T597">
        <v>1</v>
      </c>
      <c r="U597">
        <v>0</v>
      </c>
      <c r="V597">
        <v>3</v>
      </c>
      <c r="W597">
        <v>3</v>
      </c>
      <c r="AA597">
        <v>0</v>
      </c>
      <c r="AC597">
        <v>0</v>
      </c>
      <c r="AD597">
        <v>0</v>
      </c>
      <c r="AE597">
        <v>0</v>
      </c>
      <c r="AF597">
        <v>1</v>
      </c>
      <c r="AG597">
        <v>0</v>
      </c>
      <c r="AH597">
        <v>23</v>
      </c>
      <c r="AI597">
        <v>0</v>
      </c>
      <c r="AJ597">
        <v>144</v>
      </c>
    </row>
    <row r="598" spans="1:36" x14ac:dyDescent="0.2">
      <c r="A598" t="str">
        <f>+VLOOKUP(B598,studies!$A$2:$C$102,3)</f>
        <v>Kopp et al. (2012)</v>
      </c>
      <c r="B598">
        <v>78</v>
      </c>
      <c r="C598">
        <v>2012</v>
      </c>
      <c r="D598">
        <v>1</v>
      </c>
      <c r="E598">
        <v>2005</v>
      </c>
      <c r="F598">
        <v>2015</v>
      </c>
      <c r="G598">
        <v>6.9444444444444441E-3</v>
      </c>
      <c r="H598">
        <v>165.12063264493366</v>
      </c>
      <c r="I598">
        <v>0</v>
      </c>
      <c r="J598">
        <v>0</v>
      </c>
      <c r="K598">
        <v>1</v>
      </c>
      <c r="L598" t="s">
        <v>238</v>
      </c>
      <c r="M598">
        <v>45.951938583933298</v>
      </c>
      <c r="N598">
        <v>781.18295592686616</v>
      </c>
      <c r="O598">
        <v>0</v>
      </c>
      <c r="P598">
        <v>1</v>
      </c>
      <c r="Q598">
        <v>0</v>
      </c>
      <c r="R598">
        <v>1</v>
      </c>
      <c r="S598">
        <v>0</v>
      </c>
      <c r="T598">
        <v>1</v>
      </c>
      <c r="U598">
        <v>0</v>
      </c>
      <c r="V598">
        <v>3</v>
      </c>
      <c r="W598">
        <v>3</v>
      </c>
      <c r="AA598">
        <v>0</v>
      </c>
      <c r="AC598">
        <v>0</v>
      </c>
      <c r="AD598">
        <v>0</v>
      </c>
      <c r="AE598">
        <v>0</v>
      </c>
      <c r="AF598">
        <v>1</v>
      </c>
      <c r="AG598">
        <v>0</v>
      </c>
      <c r="AH598">
        <v>23</v>
      </c>
      <c r="AI598">
        <v>0</v>
      </c>
      <c r="AJ598">
        <v>144</v>
      </c>
    </row>
    <row r="599" spans="1:36" x14ac:dyDescent="0.2">
      <c r="A599" t="str">
        <f>+VLOOKUP(B599,studies!$A$2:$C$102,3)</f>
        <v>Kopp et al. (2012)</v>
      </c>
      <c r="B599">
        <v>78</v>
      </c>
      <c r="C599">
        <v>2012</v>
      </c>
      <c r="D599">
        <v>1</v>
      </c>
      <c r="E599">
        <v>2005</v>
      </c>
      <c r="F599">
        <v>2015</v>
      </c>
      <c r="G599">
        <v>6.9444444444444441E-3</v>
      </c>
      <c r="H599">
        <v>135.09869943676392</v>
      </c>
      <c r="I599">
        <v>0</v>
      </c>
      <c r="J599">
        <v>0</v>
      </c>
      <c r="K599">
        <v>1</v>
      </c>
      <c r="L599" t="s">
        <v>238</v>
      </c>
      <c r="M599">
        <v>38.293282153277758</v>
      </c>
      <c r="N599">
        <v>781.18295592686627</v>
      </c>
      <c r="O599">
        <v>0</v>
      </c>
      <c r="P599">
        <v>1</v>
      </c>
      <c r="Q599">
        <v>0</v>
      </c>
      <c r="R599">
        <v>1</v>
      </c>
      <c r="S599">
        <v>0</v>
      </c>
      <c r="T599">
        <v>1</v>
      </c>
      <c r="U599">
        <v>0</v>
      </c>
      <c r="V599">
        <v>3</v>
      </c>
      <c r="W599">
        <v>3</v>
      </c>
      <c r="AA599">
        <v>0</v>
      </c>
      <c r="AC599">
        <v>0</v>
      </c>
      <c r="AD599">
        <v>0</v>
      </c>
      <c r="AE599">
        <v>0</v>
      </c>
      <c r="AF599">
        <v>1</v>
      </c>
      <c r="AG599">
        <v>0</v>
      </c>
      <c r="AH599">
        <v>23</v>
      </c>
      <c r="AI599">
        <v>0</v>
      </c>
      <c r="AJ599">
        <v>144</v>
      </c>
    </row>
    <row r="600" spans="1:36" x14ac:dyDescent="0.2">
      <c r="A600" t="str">
        <f>+VLOOKUP(B600,studies!$A$2:$C$102,3)</f>
        <v>Kopp et al. (2012)</v>
      </c>
      <c r="B600">
        <v>78</v>
      </c>
      <c r="C600">
        <v>2012</v>
      </c>
      <c r="D600">
        <v>1</v>
      </c>
      <c r="E600">
        <v>2005</v>
      </c>
      <c r="F600">
        <v>2015</v>
      </c>
      <c r="G600">
        <v>6.9444444444444441E-3</v>
      </c>
      <c r="H600">
        <v>225.1644990612732</v>
      </c>
      <c r="I600">
        <v>0</v>
      </c>
      <c r="J600">
        <v>0</v>
      </c>
      <c r="K600">
        <v>1</v>
      </c>
      <c r="L600" t="s">
        <v>238</v>
      </c>
      <c r="M600">
        <v>61.2692514452444</v>
      </c>
      <c r="N600">
        <v>1424.5100961019327</v>
      </c>
      <c r="O600">
        <v>0</v>
      </c>
      <c r="P600">
        <v>1</v>
      </c>
      <c r="Q600">
        <v>0</v>
      </c>
      <c r="R600">
        <v>1</v>
      </c>
      <c r="S600">
        <v>0</v>
      </c>
      <c r="T600">
        <v>1</v>
      </c>
      <c r="U600">
        <v>0</v>
      </c>
      <c r="V600">
        <v>3</v>
      </c>
      <c r="W600">
        <v>3</v>
      </c>
      <c r="AA600">
        <v>0</v>
      </c>
      <c r="AC600">
        <v>0</v>
      </c>
      <c r="AD600">
        <v>0</v>
      </c>
      <c r="AE600">
        <v>0</v>
      </c>
      <c r="AF600">
        <v>1</v>
      </c>
      <c r="AG600">
        <v>0</v>
      </c>
      <c r="AH600">
        <v>23</v>
      </c>
      <c r="AI600">
        <v>0</v>
      </c>
      <c r="AJ600">
        <v>144</v>
      </c>
    </row>
    <row r="601" spans="1:36" x14ac:dyDescent="0.2">
      <c r="A601" t="str">
        <f>+VLOOKUP(B601,studies!$A$2:$C$102,3)</f>
        <v>Kopp et al. (2012)</v>
      </c>
      <c r="B601">
        <v>78</v>
      </c>
      <c r="C601">
        <v>2012</v>
      </c>
      <c r="D601">
        <v>1</v>
      </c>
      <c r="E601">
        <v>2005</v>
      </c>
      <c r="F601">
        <v>2015</v>
      </c>
      <c r="G601">
        <v>6.9444444444444441E-3</v>
      </c>
      <c r="H601">
        <v>105.07676622859417</v>
      </c>
      <c r="I601">
        <v>0</v>
      </c>
      <c r="J601">
        <v>0</v>
      </c>
      <c r="K601">
        <v>1</v>
      </c>
      <c r="L601" t="s">
        <v>238</v>
      </c>
      <c r="M601">
        <v>30.634625722622204</v>
      </c>
      <c r="N601">
        <v>490.15401156195526</v>
      </c>
      <c r="O601">
        <v>0</v>
      </c>
      <c r="P601">
        <v>1</v>
      </c>
      <c r="Q601">
        <v>0</v>
      </c>
      <c r="R601">
        <v>1</v>
      </c>
      <c r="S601">
        <v>0</v>
      </c>
      <c r="T601">
        <v>1</v>
      </c>
      <c r="U601">
        <v>0</v>
      </c>
      <c r="V601">
        <v>3</v>
      </c>
      <c r="W601">
        <v>3</v>
      </c>
      <c r="AA601">
        <v>0</v>
      </c>
      <c r="AC601">
        <v>0</v>
      </c>
      <c r="AD601">
        <v>0</v>
      </c>
      <c r="AE601">
        <v>0</v>
      </c>
      <c r="AF601">
        <v>1</v>
      </c>
      <c r="AG601">
        <v>0</v>
      </c>
      <c r="AH601">
        <v>23</v>
      </c>
      <c r="AI601">
        <v>0</v>
      </c>
      <c r="AJ601">
        <v>144</v>
      </c>
    </row>
    <row r="602" spans="1:36" x14ac:dyDescent="0.2">
      <c r="A602" t="str">
        <f>+VLOOKUP(B602,studies!$A$2:$C$102,3)</f>
        <v>Kopp et al. (2012)</v>
      </c>
      <c r="B602">
        <v>78</v>
      </c>
      <c r="C602">
        <v>2012</v>
      </c>
      <c r="D602">
        <v>1</v>
      </c>
      <c r="E602">
        <v>2005</v>
      </c>
      <c r="F602">
        <v>2015</v>
      </c>
      <c r="G602">
        <v>6.9444444444444441E-3</v>
      </c>
      <c r="H602">
        <v>90.065799624509282</v>
      </c>
      <c r="I602">
        <v>0</v>
      </c>
      <c r="J602">
        <v>0</v>
      </c>
      <c r="K602">
        <v>1</v>
      </c>
      <c r="L602" t="s">
        <v>238</v>
      </c>
      <c r="M602">
        <v>38.293282153277758</v>
      </c>
      <c r="N602">
        <v>1646.6111325909435</v>
      </c>
      <c r="O602">
        <v>0</v>
      </c>
      <c r="P602">
        <v>1</v>
      </c>
      <c r="Q602">
        <v>0</v>
      </c>
      <c r="R602">
        <v>1</v>
      </c>
      <c r="S602">
        <v>0</v>
      </c>
      <c r="T602">
        <v>1</v>
      </c>
      <c r="U602">
        <v>0</v>
      </c>
      <c r="V602">
        <v>3</v>
      </c>
      <c r="W602">
        <v>3</v>
      </c>
      <c r="AA602">
        <v>0</v>
      </c>
      <c r="AC602">
        <v>0</v>
      </c>
      <c r="AD602">
        <v>0</v>
      </c>
      <c r="AE602">
        <v>0</v>
      </c>
      <c r="AF602">
        <v>1</v>
      </c>
      <c r="AG602">
        <v>0</v>
      </c>
      <c r="AH602">
        <v>23</v>
      </c>
      <c r="AI602">
        <v>0</v>
      </c>
      <c r="AJ602">
        <v>144</v>
      </c>
    </row>
    <row r="603" spans="1:36" x14ac:dyDescent="0.2">
      <c r="A603" t="str">
        <f>+VLOOKUP(B603,studies!$A$2:$C$102,3)</f>
        <v>Kopp et al. (2012)</v>
      </c>
      <c r="B603">
        <v>78</v>
      </c>
      <c r="C603">
        <v>2012</v>
      </c>
      <c r="D603">
        <v>1</v>
      </c>
      <c r="E603">
        <v>2005</v>
      </c>
      <c r="F603">
        <v>2015</v>
      </c>
      <c r="G603">
        <v>6.9444444444444441E-3</v>
      </c>
      <c r="H603">
        <v>75.054833020424397</v>
      </c>
      <c r="I603">
        <v>0</v>
      </c>
      <c r="J603">
        <v>0</v>
      </c>
      <c r="K603">
        <v>1</v>
      </c>
      <c r="L603" t="s">
        <v>238</v>
      </c>
      <c r="M603">
        <v>30.634625722622204</v>
      </c>
      <c r="N603">
        <v>1524.0726297004549</v>
      </c>
      <c r="O603">
        <v>0</v>
      </c>
      <c r="P603">
        <v>1</v>
      </c>
      <c r="Q603">
        <v>0</v>
      </c>
      <c r="R603">
        <v>1</v>
      </c>
      <c r="S603">
        <v>0</v>
      </c>
      <c r="T603">
        <v>1</v>
      </c>
      <c r="U603">
        <v>0</v>
      </c>
      <c r="V603">
        <v>3</v>
      </c>
      <c r="W603">
        <v>3</v>
      </c>
      <c r="AA603">
        <v>0</v>
      </c>
      <c r="AC603">
        <v>0</v>
      </c>
      <c r="AD603">
        <v>0</v>
      </c>
      <c r="AE603">
        <v>0</v>
      </c>
      <c r="AF603">
        <v>1</v>
      </c>
      <c r="AG603">
        <v>0</v>
      </c>
      <c r="AH603">
        <v>23</v>
      </c>
      <c r="AI603">
        <v>0</v>
      </c>
      <c r="AJ603">
        <v>144</v>
      </c>
    </row>
    <row r="604" spans="1:36" x14ac:dyDescent="0.2">
      <c r="A604" t="str">
        <f>+VLOOKUP(B604,studies!$A$2:$C$102,3)</f>
        <v>Kopp et al. (2012)</v>
      </c>
      <c r="B604">
        <v>78</v>
      </c>
      <c r="C604">
        <v>2012</v>
      </c>
      <c r="D604">
        <v>1</v>
      </c>
      <c r="E604">
        <v>2005</v>
      </c>
      <c r="F604">
        <v>2015</v>
      </c>
      <c r="G604">
        <v>6.9444444444444441E-3</v>
      </c>
      <c r="H604">
        <v>105.07676622859417</v>
      </c>
      <c r="I604">
        <v>0</v>
      </c>
      <c r="J604">
        <v>0</v>
      </c>
      <c r="K604">
        <v>1</v>
      </c>
      <c r="L604" t="s">
        <v>238</v>
      </c>
      <c r="M604">
        <v>45.951938583933305</v>
      </c>
      <c r="N604">
        <v>1853.3948562186431</v>
      </c>
      <c r="O604">
        <v>0</v>
      </c>
      <c r="P604">
        <v>1</v>
      </c>
      <c r="Q604">
        <v>0</v>
      </c>
      <c r="R604">
        <v>1</v>
      </c>
      <c r="S604">
        <v>0</v>
      </c>
      <c r="T604">
        <v>1</v>
      </c>
      <c r="U604">
        <v>0</v>
      </c>
      <c r="V604">
        <v>3</v>
      </c>
      <c r="W604">
        <v>3</v>
      </c>
      <c r="AA604">
        <v>0</v>
      </c>
      <c r="AC604">
        <v>0</v>
      </c>
      <c r="AD604">
        <v>0</v>
      </c>
      <c r="AE604">
        <v>0</v>
      </c>
      <c r="AF604">
        <v>1</v>
      </c>
      <c r="AG604">
        <v>0</v>
      </c>
      <c r="AH604">
        <v>23</v>
      </c>
      <c r="AI604">
        <v>0</v>
      </c>
      <c r="AJ604">
        <v>144</v>
      </c>
    </row>
    <row r="605" spans="1:36" x14ac:dyDescent="0.2">
      <c r="A605" t="str">
        <f>+VLOOKUP(B605,studies!$A$2:$C$102,3)</f>
        <v>Kopp et al. (2012)</v>
      </c>
      <c r="B605">
        <v>78</v>
      </c>
      <c r="C605">
        <v>2012</v>
      </c>
      <c r="D605">
        <v>1</v>
      </c>
      <c r="E605">
        <v>2005</v>
      </c>
      <c r="F605">
        <v>2015</v>
      </c>
      <c r="G605">
        <v>6.9444444444444441E-3</v>
      </c>
      <c r="H605">
        <v>75.054833020424397</v>
      </c>
      <c r="I605">
        <v>0</v>
      </c>
      <c r="J605">
        <v>0</v>
      </c>
      <c r="K605">
        <v>1</v>
      </c>
      <c r="L605" t="s">
        <v>238</v>
      </c>
      <c r="M605">
        <v>30.634625722622204</v>
      </c>
      <c r="N605">
        <v>1393.8754703793104</v>
      </c>
      <c r="O605">
        <v>0</v>
      </c>
      <c r="P605">
        <v>1</v>
      </c>
      <c r="Q605">
        <v>0</v>
      </c>
      <c r="R605">
        <v>1</v>
      </c>
      <c r="S605">
        <v>0</v>
      </c>
      <c r="T605">
        <v>1</v>
      </c>
      <c r="U605">
        <v>0</v>
      </c>
      <c r="V605">
        <v>3</v>
      </c>
      <c r="W605">
        <v>3</v>
      </c>
      <c r="AA605">
        <v>0</v>
      </c>
      <c r="AC605">
        <v>0</v>
      </c>
      <c r="AD605">
        <v>0</v>
      </c>
      <c r="AE605">
        <v>0</v>
      </c>
      <c r="AF605">
        <v>1</v>
      </c>
      <c r="AG605">
        <v>0</v>
      </c>
      <c r="AH605">
        <v>23</v>
      </c>
      <c r="AI605">
        <v>0</v>
      </c>
      <c r="AJ605">
        <v>144</v>
      </c>
    </row>
    <row r="606" spans="1:36" x14ac:dyDescent="0.2">
      <c r="A606" t="str">
        <f>+VLOOKUP(B606,studies!$A$2:$C$102,3)</f>
        <v>Kopp et al. (2012)</v>
      </c>
      <c r="B606">
        <v>78</v>
      </c>
      <c r="C606">
        <v>2012</v>
      </c>
      <c r="D606">
        <v>1</v>
      </c>
      <c r="E606">
        <v>2005</v>
      </c>
      <c r="F606">
        <v>2015</v>
      </c>
      <c r="G606">
        <v>6.9444444444444441E-3</v>
      </c>
      <c r="H606">
        <v>525.38383114297085</v>
      </c>
      <c r="I606">
        <v>0</v>
      </c>
      <c r="J606">
        <v>0</v>
      </c>
      <c r="K606">
        <v>1</v>
      </c>
      <c r="L606" t="s">
        <v>238</v>
      </c>
      <c r="M606">
        <v>145.51447218245548</v>
      </c>
      <c r="N606">
        <v>405.90879082474419</v>
      </c>
      <c r="O606">
        <v>0</v>
      </c>
      <c r="P606">
        <v>1</v>
      </c>
      <c r="Q606">
        <v>0</v>
      </c>
      <c r="R606">
        <v>1</v>
      </c>
      <c r="S606">
        <v>0</v>
      </c>
      <c r="T606">
        <v>1</v>
      </c>
      <c r="U606">
        <v>0</v>
      </c>
      <c r="V606">
        <v>3</v>
      </c>
      <c r="W606">
        <v>0.95</v>
      </c>
      <c r="AA606">
        <v>0</v>
      </c>
      <c r="AC606">
        <v>0</v>
      </c>
      <c r="AD606">
        <v>0</v>
      </c>
      <c r="AE606">
        <v>0</v>
      </c>
      <c r="AF606">
        <v>1</v>
      </c>
      <c r="AG606">
        <v>0</v>
      </c>
      <c r="AH606">
        <v>23</v>
      </c>
      <c r="AI606">
        <v>0</v>
      </c>
      <c r="AJ606">
        <v>144</v>
      </c>
    </row>
    <row r="607" spans="1:36" x14ac:dyDescent="0.2">
      <c r="A607" t="str">
        <f>+VLOOKUP(B607,studies!$A$2:$C$102,3)</f>
        <v>Kopp et al. (2012)</v>
      </c>
      <c r="B607">
        <v>78</v>
      </c>
      <c r="C607">
        <v>2012</v>
      </c>
      <c r="D607">
        <v>1</v>
      </c>
      <c r="E607">
        <v>2005</v>
      </c>
      <c r="F607">
        <v>2015</v>
      </c>
      <c r="G607">
        <v>6.9444444444444441E-3</v>
      </c>
      <c r="H607">
        <v>540.39479774705569</v>
      </c>
      <c r="I607">
        <v>0</v>
      </c>
      <c r="J607">
        <v>0</v>
      </c>
      <c r="K607">
        <v>1</v>
      </c>
      <c r="L607" t="s">
        <v>238</v>
      </c>
      <c r="M607">
        <v>153.17312861311103</v>
      </c>
      <c r="N607">
        <v>428.88476011671082</v>
      </c>
      <c r="O607">
        <v>0</v>
      </c>
      <c r="P607">
        <v>1</v>
      </c>
      <c r="Q607">
        <v>0</v>
      </c>
      <c r="R607">
        <v>1</v>
      </c>
      <c r="S607">
        <v>0</v>
      </c>
      <c r="T607">
        <v>1</v>
      </c>
      <c r="U607">
        <v>0</v>
      </c>
      <c r="V607">
        <v>3</v>
      </c>
      <c r="W607">
        <v>0.95</v>
      </c>
      <c r="AA607">
        <v>0</v>
      </c>
      <c r="AC607">
        <v>0</v>
      </c>
      <c r="AD607">
        <v>0</v>
      </c>
      <c r="AE607">
        <v>0</v>
      </c>
      <c r="AF607">
        <v>1</v>
      </c>
      <c r="AG607">
        <v>0</v>
      </c>
      <c r="AH607">
        <v>23</v>
      </c>
      <c r="AI607">
        <v>0</v>
      </c>
      <c r="AJ607">
        <v>144</v>
      </c>
    </row>
    <row r="608" spans="1:36" x14ac:dyDescent="0.2">
      <c r="A608" t="str">
        <f>+VLOOKUP(B608,studies!$A$2:$C$102,3)</f>
        <v>Kopp et al. (2012)</v>
      </c>
      <c r="B608">
        <v>78</v>
      </c>
      <c r="C608">
        <v>2012</v>
      </c>
      <c r="D608">
        <v>1</v>
      </c>
      <c r="E608">
        <v>2005</v>
      </c>
      <c r="F608">
        <v>2015</v>
      </c>
      <c r="G608">
        <v>6.9444444444444441E-3</v>
      </c>
      <c r="H608">
        <v>480.35093133071615</v>
      </c>
      <c r="I608">
        <v>0</v>
      </c>
      <c r="J608">
        <v>0</v>
      </c>
      <c r="K608">
        <v>1</v>
      </c>
      <c r="L608" t="s">
        <v>238</v>
      </c>
      <c r="M608">
        <v>145.51447218245548</v>
      </c>
      <c r="N608">
        <v>398.25013439408872</v>
      </c>
      <c r="O608">
        <v>0</v>
      </c>
      <c r="P608">
        <v>1</v>
      </c>
      <c r="Q608">
        <v>0</v>
      </c>
      <c r="R608">
        <v>1</v>
      </c>
      <c r="S608">
        <v>0</v>
      </c>
      <c r="T608">
        <v>1</v>
      </c>
      <c r="U608">
        <v>0</v>
      </c>
      <c r="V608">
        <v>3</v>
      </c>
      <c r="W608">
        <v>0.95</v>
      </c>
      <c r="AA608">
        <v>0</v>
      </c>
      <c r="AC608">
        <v>0</v>
      </c>
      <c r="AD608">
        <v>0</v>
      </c>
      <c r="AE608">
        <v>0</v>
      </c>
      <c r="AF608">
        <v>1</v>
      </c>
      <c r="AG608">
        <v>0</v>
      </c>
      <c r="AH608">
        <v>23</v>
      </c>
      <c r="AI608">
        <v>0</v>
      </c>
      <c r="AJ608">
        <v>144</v>
      </c>
    </row>
    <row r="609" spans="1:36" x14ac:dyDescent="0.2">
      <c r="A609" t="str">
        <f>+VLOOKUP(B609,studies!$A$2:$C$102,3)</f>
        <v>Kopp et al. (2012)</v>
      </c>
      <c r="B609">
        <v>78</v>
      </c>
      <c r="C609">
        <v>2012</v>
      </c>
      <c r="D609">
        <v>1</v>
      </c>
      <c r="E609">
        <v>2005</v>
      </c>
      <c r="F609">
        <v>2015</v>
      </c>
      <c r="G609">
        <v>6.9444444444444441E-3</v>
      </c>
      <c r="H609">
        <v>915.66896284917766</v>
      </c>
      <c r="I609">
        <v>0</v>
      </c>
      <c r="J609">
        <v>0</v>
      </c>
      <c r="K609">
        <v>1</v>
      </c>
      <c r="L609" t="s">
        <v>238</v>
      </c>
      <c r="M609">
        <v>268.05297507294426</v>
      </c>
      <c r="N609">
        <v>750.54833020424417</v>
      </c>
      <c r="O609">
        <v>0</v>
      </c>
      <c r="P609">
        <v>1</v>
      </c>
      <c r="Q609">
        <v>0</v>
      </c>
      <c r="R609">
        <v>1</v>
      </c>
      <c r="S609">
        <v>0</v>
      </c>
      <c r="T609">
        <v>1</v>
      </c>
      <c r="U609">
        <v>0</v>
      </c>
      <c r="V609">
        <v>3</v>
      </c>
      <c r="W609">
        <v>0.95</v>
      </c>
      <c r="AA609">
        <v>0</v>
      </c>
      <c r="AC609">
        <v>0</v>
      </c>
      <c r="AD609">
        <v>0</v>
      </c>
      <c r="AE609">
        <v>0</v>
      </c>
      <c r="AF609">
        <v>1</v>
      </c>
      <c r="AG609">
        <v>0</v>
      </c>
      <c r="AH609">
        <v>23</v>
      </c>
      <c r="AI609">
        <v>0</v>
      </c>
      <c r="AJ609">
        <v>144</v>
      </c>
    </row>
    <row r="610" spans="1:36" x14ac:dyDescent="0.2">
      <c r="A610" t="str">
        <f>+VLOOKUP(B610,studies!$A$2:$C$102,3)</f>
        <v>Kopp et al. (2012)</v>
      </c>
      <c r="B610">
        <v>78</v>
      </c>
      <c r="C610">
        <v>2012</v>
      </c>
      <c r="D610">
        <v>1</v>
      </c>
      <c r="E610">
        <v>2005</v>
      </c>
      <c r="F610">
        <v>2015</v>
      </c>
      <c r="G610">
        <v>6.9444444444444441E-3</v>
      </c>
      <c r="H610">
        <v>525.38383114297085</v>
      </c>
      <c r="I610">
        <v>0</v>
      </c>
      <c r="J610">
        <v>0</v>
      </c>
      <c r="K610">
        <v>1</v>
      </c>
      <c r="L610" t="s">
        <v>238</v>
      </c>
      <c r="M610">
        <v>145.51447218245548</v>
      </c>
      <c r="N610">
        <v>382.93282153277761</v>
      </c>
      <c r="O610">
        <v>0</v>
      </c>
      <c r="P610">
        <v>1</v>
      </c>
      <c r="Q610">
        <v>0</v>
      </c>
      <c r="R610">
        <v>1</v>
      </c>
      <c r="S610">
        <v>0</v>
      </c>
      <c r="T610">
        <v>1</v>
      </c>
      <c r="U610">
        <v>0</v>
      </c>
      <c r="V610">
        <v>3</v>
      </c>
      <c r="W610">
        <v>0.95</v>
      </c>
      <c r="AA610">
        <v>0</v>
      </c>
      <c r="AC610">
        <v>0</v>
      </c>
      <c r="AD610">
        <v>0</v>
      </c>
      <c r="AE610">
        <v>0</v>
      </c>
      <c r="AF610">
        <v>1</v>
      </c>
      <c r="AG610">
        <v>0</v>
      </c>
      <c r="AH610">
        <v>23</v>
      </c>
      <c r="AI610">
        <v>0</v>
      </c>
      <c r="AJ610">
        <v>144</v>
      </c>
    </row>
    <row r="611" spans="1:36" x14ac:dyDescent="0.2">
      <c r="A611" t="str">
        <f>+VLOOKUP(B611,studies!$A$2:$C$102,3)</f>
        <v>Kopp et al. (2012)</v>
      </c>
      <c r="B611">
        <v>78</v>
      </c>
      <c r="C611">
        <v>2012</v>
      </c>
      <c r="D611">
        <v>1</v>
      </c>
      <c r="E611">
        <v>2005</v>
      </c>
      <c r="F611">
        <v>2015</v>
      </c>
      <c r="G611">
        <v>6.9444444444444441E-3</v>
      </c>
      <c r="H611">
        <v>1365.9979609717241</v>
      </c>
      <c r="I611">
        <v>0</v>
      </c>
      <c r="J611">
        <v>0</v>
      </c>
      <c r="K611">
        <v>1</v>
      </c>
      <c r="L611" t="s">
        <v>238</v>
      </c>
      <c r="M611">
        <v>413.56744725539983</v>
      </c>
      <c r="N611">
        <v>1095.1878695837438</v>
      </c>
      <c r="O611">
        <v>0</v>
      </c>
      <c r="P611">
        <v>1</v>
      </c>
      <c r="Q611">
        <v>0</v>
      </c>
      <c r="R611">
        <v>1</v>
      </c>
      <c r="S611">
        <v>0</v>
      </c>
      <c r="T611">
        <v>1</v>
      </c>
      <c r="U611">
        <v>0</v>
      </c>
      <c r="V611">
        <v>3</v>
      </c>
      <c r="W611">
        <v>0.95</v>
      </c>
      <c r="AA611">
        <v>0</v>
      </c>
      <c r="AC611">
        <v>0</v>
      </c>
      <c r="AD611">
        <v>0</v>
      </c>
      <c r="AE611">
        <v>0</v>
      </c>
      <c r="AF611">
        <v>1</v>
      </c>
      <c r="AG611">
        <v>0</v>
      </c>
      <c r="AH611">
        <v>23</v>
      </c>
      <c r="AI611">
        <v>0</v>
      </c>
      <c r="AJ611">
        <v>144</v>
      </c>
    </row>
    <row r="612" spans="1:36" x14ac:dyDescent="0.2">
      <c r="A612" t="str">
        <f>+VLOOKUP(B612,studies!$A$2:$C$102,3)</f>
        <v>Kopp et al. (2012)</v>
      </c>
      <c r="B612">
        <v>78</v>
      </c>
      <c r="C612">
        <v>2012</v>
      </c>
      <c r="D612">
        <v>1</v>
      </c>
      <c r="E612">
        <v>2005</v>
      </c>
      <c r="F612">
        <v>2015</v>
      </c>
      <c r="G612">
        <v>6.9444444444444441E-3</v>
      </c>
      <c r="H612">
        <v>390.28513170620693</v>
      </c>
      <c r="I612">
        <v>0</v>
      </c>
      <c r="J612">
        <v>0</v>
      </c>
      <c r="K612">
        <v>1</v>
      </c>
      <c r="L612" t="s">
        <v>238</v>
      </c>
      <c r="M612">
        <v>99.56253359852218</v>
      </c>
      <c r="N612">
        <v>252.73566221163318</v>
      </c>
      <c r="O612">
        <v>0</v>
      </c>
      <c r="P612">
        <v>1</v>
      </c>
      <c r="Q612">
        <v>0</v>
      </c>
      <c r="R612">
        <v>1</v>
      </c>
      <c r="S612">
        <v>0</v>
      </c>
      <c r="T612">
        <v>1</v>
      </c>
      <c r="U612">
        <v>0</v>
      </c>
      <c r="V612">
        <v>3</v>
      </c>
      <c r="W612">
        <v>0.95</v>
      </c>
      <c r="AA612">
        <v>0</v>
      </c>
      <c r="AC612">
        <v>0</v>
      </c>
      <c r="AD612">
        <v>0</v>
      </c>
      <c r="AE612">
        <v>0</v>
      </c>
      <c r="AF612">
        <v>1</v>
      </c>
      <c r="AG612">
        <v>0</v>
      </c>
      <c r="AH612">
        <v>23</v>
      </c>
      <c r="AI612">
        <v>0</v>
      </c>
      <c r="AJ612">
        <v>144</v>
      </c>
    </row>
    <row r="613" spans="1:36" x14ac:dyDescent="0.2">
      <c r="A613" t="str">
        <f>+VLOOKUP(B613,studies!$A$2:$C$102,3)</f>
        <v>Kopp et al. (2012)</v>
      </c>
      <c r="B613">
        <v>78</v>
      </c>
      <c r="C613">
        <v>2012</v>
      </c>
      <c r="D613">
        <v>1</v>
      </c>
      <c r="E613">
        <v>2005</v>
      </c>
      <c r="F613">
        <v>2015</v>
      </c>
      <c r="G613">
        <v>6.9444444444444441E-3</v>
      </c>
      <c r="H613">
        <v>525.38383114297085</v>
      </c>
      <c r="I613">
        <v>0</v>
      </c>
      <c r="J613">
        <v>0</v>
      </c>
      <c r="K613">
        <v>1</v>
      </c>
      <c r="L613" t="s">
        <v>238</v>
      </c>
      <c r="M613">
        <v>145.51447218245548</v>
      </c>
      <c r="N613">
        <v>428.88476011671094</v>
      </c>
      <c r="O613">
        <v>0</v>
      </c>
      <c r="P613">
        <v>1</v>
      </c>
      <c r="Q613">
        <v>0</v>
      </c>
      <c r="R613">
        <v>1</v>
      </c>
      <c r="S613">
        <v>0</v>
      </c>
      <c r="T613">
        <v>1</v>
      </c>
      <c r="U613">
        <v>0</v>
      </c>
      <c r="V613">
        <v>3</v>
      </c>
      <c r="W613">
        <v>0.95</v>
      </c>
      <c r="AA613">
        <v>0</v>
      </c>
      <c r="AC613">
        <v>0</v>
      </c>
      <c r="AD613">
        <v>0</v>
      </c>
      <c r="AE613">
        <v>0</v>
      </c>
      <c r="AF613">
        <v>1</v>
      </c>
      <c r="AG613">
        <v>0</v>
      </c>
      <c r="AH613">
        <v>23</v>
      </c>
      <c r="AI613">
        <v>0</v>
      </c>
      <c r="AJ613">
        <v>144</v>
      </c>
    </row>
    <row r="614" spans="1:36" x14ac:dyDescent="0.2">
      <c r="A614" t="str">
        <f>+VLOOKUP(B614,studies!$A$2:$C$102,3)</f>
        <v>Kopp et al. (2012)</v>
      </c>
      <c r="B614">
        <v>78</v>
      </c>
      <c r="C614">
        <v>2012</v>
      </c>
      <c r="D614">
        <v>1</v>
      </c>
      <c r="E614">
        <v>2005</v>
      </c>
      <c r="F614">
        <v>2015</v>
      </c>
      <c r="G614">
        <v>6.9444444444444441E-3</v>
      </c>
      <c r="H614">
        <v>525.38383114297085</v>
      </c>
      <c r="I614">
        <v>0</v>
      </c>
      <c r="J614">
        <v>0</v>
      </c>
      <c r="K614">
        <v>1</v>
      </c>
      <c r="L614" t="s">
        <v>238</v>
      </c>
      <c r="M614">
        <v>145.51447218245548</v>
      </c>
      <c r="N614">
        <v>405.90879082474419</v>
      </c>
      <c r="O614">
        <v>0</v>
      </c>
      <c r="P614">
        <v>1</v>
      </c>
      <c r="Q614">
        <v>0</v>
      </c>
      <c r="R614">
        <v>1</v>
      </c>
      <c r="S614">
        <v>0</v>
      </c>
      <c r="T614">
        <v>1</v>
      </c>
      <c r="U614">
        <v>0</v>
      </c>
      <c r="V614">
        <v>3</v>
      </c>
      <c r="W614">
        <v>0.95</v>
      </c>
      <c r="AA614">
        <v>0</v>
      </c>
      <c r="AC614">
        <v>0</v>
      </c>
      <c r="AD614">
        <v>0</v>
      </c>
      <c r="AE614">
        <v>0</v>
      </c>
      <c r="AF614">
        <v>1</v>
      </c>
      <c r="AG614">
        <v>0</v>
      </c>
      <c r="AH614">
        <v>23</v>
      </c>
      <c r="AI614">
        <v>0</v>
      </c>
      <c r="AJ614">
        <v>144</v>
      </c>
    </row>
    <row r="615" spans="1:36" x14ac:dyDescent="0.2">
      <c r="A615" t="str">
        <f>+VLOOKUP(B615,studies!$A$2:$C$102,3)</f>
        <v>Kopp et al. (2012)</v>
      </c>
      <c r="B615">
        <v>78</v>
      </c>
      <c r="C615">
        <v>2012</v>
      </c>
      <c r="D615">
        <v>1</v>
      </c>
      <c r="E615">
        <v>2005</v>
      </c>
      <c r="F615">
        <v>2015</v>
      </c>
      <c r="G615">
        <v>6.9444444444444441E-3</v>
      </c>
      <c r="H615">
        <v>585.42769755931033</v>
      </c>
      <c r="I615">
        <v>0</v>
      </c>
      <c r="J615">
        <v>0</v>
      </c>
      <c r="K615">
        <v>1</v>
      </c>
      <c r="L615" t="s">
        <v>238</v>
      </c>
      <c r="M615">
        <v>191.4664107663888</v>
      </c>
      <c r="N615">
        <v>1263.6783110581659</v>
      </c>
      <c r="O615">
        <v>0</v>
      </c>
      <c r="P615">
        <v>1</v>
      </c>
      <c r="Q615">
        <v>0</v>
      </c>
      <c r="R615">
        <v>1</v>
      </c>
      <c r="S615">
        <v>0</v>
      </c>
      <c r="T615">
        <v>1</v>
      </c>
      <c r="U615">
        <v>0</v>
      </c>
      <c r="V615">
        <v>3</v>
      </c>
      <c r="W615">
        <v>0.95</v>
      </c>
      <c r="AA615">
        <v>0</v>
      </c>
      <c r="AC615">
        <v>0</v>
      </c>
      <c r="AD615">
        <v>0</v>
      </c>
      <c r="AE615">
        <v>0</v>
      </c>
      <c r="AF615">
        <v>1</v>
      </c>
      <c r="AG615">
        <v>0</v>
      </c>
      <c r="AH615">
        <v>23</v>
      </c>
      <c r="AI615">
        <v>0</v>
      </c>
      <c r="AJ615">
        <v>144</v>
      </c>
    </row>
    <row r="616" spans="1:36" x14ac:dyDescent="0.2">
      <c r="A616" t="str">
        <f>+VLOOKUP(B616,studies!$A$2:$C$102,3)</f>
        <v>Kopp et al. (2012)</v>
      </c>
      <c r="B616">
        <v>78</v>
      </c>
      <c r="C616">
        <v>2012</v>
      </c>
      <c r="D616">
        <v>1</v>
      </c>
      <c r="E616">
        <v>2005</v>
      </c>
      <c r="F616">
        <v>2015</v>
      </c>
      <c r="G616">
        <v>6.9444444444444441E-3</v>
      </c>
      <c r="H616">
        <v>195.14256585310346</v>
      </c>
      <c r="I616">
        <v>0</v>
      </c>
      <c r="J616">
        <v>0</v>
      </c>
      <c r="K616">
        <v>1</v>
      </c>
      <c r="L616" t="s">
        <v>238</v>
      </c>
      <c r="M616">
        <v>53.610595014588867</v>
      </c>
      <c r="N616">
        <v>1248.3609981968548</v>
      </c>
      <c r="O616">
        <v>0</v>
      </c>
      <c r="P616">
        <v>1</v>
      </c>
      <c r="Q616">
        <v>0</v>
      </c>
      <c r="R616">
        <v>1</v>
      </c>
      <c r="S616">
        <v>0</v>
      </c>
      <c r="T616">
        <v>1</v>
      </c>
      <c r="U616">
        <v>0</v>
      </c>
      <c r="V616">
        <v>3</v>
      </c>
      <c r="W616">
        <v>0.95</v>
      </c>
      <c r="AA616">
        <v>0</v>
      </c>
      <c r="AC616">
        <v>0</v>
      </c>
      <c r="AD616">
        <v>0</v>
      </c>
      <c r="AE616">
        <v>0</v>
      </c>
      <c r="AF616">
        <v>1</v>
      </c>
      <c r="AG616">
        <v>0</v>
      </c>
      <c r="AH616">
        <v>23</v>
      </c>
      <c r="AI616">
        <v>0</v>
      </c>
      <c r="AJ616">
        <v>144</v>
      </c>
    </row>
    <row r="617" spans="1:36" x14ac:dyDescent="0.2">
      <c r="A617" t="str">
        <f>+VLOOKUP(B617,studies!$A$2:$C$102,3)</f>
        <v>Kopp et al. (2012)</v>
      </c>
      <c r="B617">
        <v>78</v>
      </c>
      <c r="C617">
        <v>2012</v>
      </c>
      <c r="D617">
        <v>1</v>
      </c>
      <c r="E617">
        <v>2005</v>
      </c>
      <c r="F617">
        <v>2015</v>
      </c>
      <c r="G617">
        <v>6.9444444444444441E-3</v>
      </c>
      <c r="H617">
        <v>135.09869943676392</v>
      </c>
      <c r="I617">
        <v>0</v>
      </c>
      <c r="J617">
        <v>0</v>
      </c>
      <c r="K617">
        <v>1</v>
      </c>
      <c r="L617" t="s">
        <v>238</v>
      </c>
      <c r="M617">
        <v>38.293282153277758</v>
      </c>
      <c r="N617">
        <v>1263.6783110581659</v>
      </c>
      <c r="O617">
        <v>0</v>
      </c>
      <c r="P617">
        <v>1</v>
      </c>
      <c r="Q617">
        <v>0</v>
      </c>
      <c r="R617">
        <v>1</v>
      </c>
      <c r="S617">
        <v>0</v>
      </c>
      <c r="T617">
        <v>1</v>
      </c>
      <c r="U617">
        <v>0</v>
      </c>
      <c r="V617">
        <v>3</v>
      </c>
      <c r="W617">
        <v>0.95</v>
      </c>
      <c r="AA617">
        <v>0</v>
      </c>
      <c r="AC617">
        <v>0</v>
      </c>
      <c r="AD617">
        <v>0</v>
      </c>
      <c r="AE617">
        <v>0</v>
      </c>
      <c r="AF617">
        <v>1</v>
      </c>
      <c r="AG617">
        <v>0</v>
      </c>
      <c r="AH617">
        <v>23</v>
      </c>
      <c r="AI617">
        <v>0</v>
      </c>
      <c r="AJ617">
        <v>144</v>
      </c>
    </row>
    <row r="618" spans="1:36" x14ac:dyDescent="0.2">
      <c r="A618" t="str">
        <f>+VLOOKUP(B618,studies!$A$2:$C$102,3)</f>
        <v>Kopp et al. (2012)</v>
      </c>
      <c r="B618">
        <v>78</v>
      </c>
      <c r="C618">
        <v>2012</v>
      </c>
      <c r="D618">
        <v>1</v>
      </c>
      <c r="E618">
        <v>2005</v>
      </c>
      <c r="F618">
        <v>2015</v>
      </c>
      <c r="G618">
        <v>6.9444444444444441E-3</v>
      </c>
      <c r="H618">
        <v>270.19739887352785</v>
      </c>
      <c r="I618">
        <v>0</v>
      </c>
      <c r="J618">
        <v>0</v>
      </c>
      <c r="K618">
        <v>1</v>
      </c>
      <c r="L618" t="s">
        <v>238</v>
      </c>
      <c r="M618">
        <v>76.586564306555516</v>
      </c>
      <c r="N618">
        <v>2067.8372362769987</v>
      </c>
      <c r="O618">
        <v>0</v>
      </c>
      <c r="P618">
        <v>1</v>
      </c>
      <c r="Q618">
        <v>0</v>
      </c>
      <c r="R618">
        <v>1</v>
      </c>
      <c r="S618">
        <v>0</v>
      </c>
      <c r="T618">
        <v>1</v>
      </c>
      <c r="U618">
        <v>0</v>
      </c>
      <c r="V618">
        <v>3</v>
      </c>
      <c r="W618">
        <v>0.95</v>
      </c>
      <c r="AA618">
        <v>0</v>
      </c>
      <c r="AC618">
        <v>0</v>
      </c>
      <c r="AD618">
        <v>0</v>
      </c>
      <c r="AE618">
        <v>0</v>
      </c>
      <c r="AF618">
        <v>1</v>
      </c>
      <c r="AG618">
        <v>0</v>
      </c>
      <c r="AH618">
        <v>23</v>
      </c>
      <c r="AI618">
        <v>0</v>
      </c>
      <c r="AJ618">
        <v>144</v>
      </c>
    </row>
    <row r="619" spans="1:36" x14ac:dyDescent="0.2">
      <c r="A619" t="str">
        <f>+VLOOKUP(B619,studies!$A$2:$C$102,3)</f>
        <v>Kopp et al. (2012)</v>
      </c>
      <c r="B619">
        <v>78</v>
      </c>
      <c r="C619">
        <v>2012</v>
      </c>
      <c r="D619">
        <v>1</v>
      </c>
      <c r="E619">
        <v>2005</v>
      </c>
      <c r="F619">
        <v>2015</v>
      </c>
      <c r="G619">
        <v>6.9444444444444441E-3</v>
      </c>
      <c r="H619">
        <v>150.10966604084879</v>
      </c>
      <c r="I619">
        <v>0</v>
      </c>
      <c r="J619">
        <v>0</v>
      </c>
      <c r="K619">
        <v>1</v>
      </c>
      <c r="L619" t="s">
        <v>238</v>
      </c>
      <c r="M619">
        <v>38.293282153277758</v>
      </c>
      <c r="N619">
        <v>1194.7504031822659</v>
      </c>
      <c r="O619">
        <v>0</v>
      </c>
      <c r="P619">
        <v>1</v>
      </c>
      <c r="Q619">
        <v>0</v>
      </c>
      <c r="R619">
        <v>1</v>
      </c>
      <c r="S619">
        <v>0</v>
      </c>
      <c r="T619">
        <v>1</v>
      </c>
      <c r="U619">
        <v>0</v>
      </c>
      <c r="V619">
        <v>3</v>
      </c>
      <c r="W619">
        <v>0.95</v>
      </c>
      <c r="AA619">
        <v>0</v>
      </c>
      <c r="AC619">
        <v>0</v>
      </c>
      <c r="AD619">
        <v>0</v>
      </c>
      <c r="AE619">
        <v>0</v>
      </c>
      <c r="AF619">
        <v>1</v>
      </c>
      <c r="AG619">
        <v>0</v>
      </c>
      <c r="AH619">
        <v>23</v>
      </c>
      <c r="AI619">
        <v>0</v>
      </c>
      <c r="AJ619">
        <v>144</v>
      </c>
    </row>
    <row r="620" spans="1:36" x14ac:dyDescent="0.2">
      <c r="A620" t="str">
        <f>+VLOOKUP(B620,studies!$A$2:$C$102,3)</f>
        <v>Kopp et al. (2012)</v>
      </c>
      <c r="B620">
        <v>78</v>
      </c>
      <c r="C620">
        <v>2012</v>
      </c>
      <c r="D620">
        <v>1</v>
      </c>
      <c r="E620">
        <v>2005</v>
      </c>
      <c r="F620">
        <v>2015</v>
      </c>
      <c r="G620">
        <v>6.9444444444444441E-3</v>
      </c>
      <c r="H620">
        <v>105.07676622859417</v>
      </c>
      <c r="I620">
        <v>0</v>
      </c>
      <c r="J620">
        <v>0</v>
      </c>
      <c r="K620">
        <v>1</v>
      </c>
      <c r="L620" t="s">
        <v>238</v>
      </c>
      <c r="M620">
        <v>45.951938583933305</v>
      </c>
      <c r="N620">
        <v>2389.5008063645319</v>
      </c>
      <c r="O620">
        <v>0</v>
      </c>
      <c r="P620">
        <v>1</v>
      </c>
      <c r="Q620">
        <v>0</v>
      </c>
      <c r="R620">
        <v>1</v>
      </c>
      <c r="S620">
        <v>0</v>
      </c>
      <c r="T620">
        <v>1</v>
      </c>
      <c r="U620">
        <v>0</v>
      </c>
      <c r="V620">
        <v>3</v>
      </c>
      <c r="W620">
        <v>0.95</v>
      </c>
      <c r="AA620">
        <v>0</v>
      </c>
      <c r="AC620">
        <v>0</v>
      </c>
      <c r="AD620">
        <v>0</v>
      </c>
      <c r="AE620">
        <v>0</v>
      </c>
      <c r="AF620">
        <v>1</v>
      </c>
      <c r="AG620">
        <v>0</v>
      </c>
      <c r="AH620">
        <v>23</v>
      </c>
      <c r="AI620">
        <v>0</v>
      </c>
      <c r="AJ620">
        <v>144</v>
      </c>
    </row>
    <row r="621" spans="1:36" x14ac:dyDescent="0.2">
      <c r="A621" t="str">
        <f>+VLOOKUP(B621,studies!$A$2:$C$102,3)</f>
        <v>Kopp et al. (2012)</v>
      </c>
      <c r="B621">
        <v>78</v>
      </c>
      <c r="C621">
        <v>2012</v>
      </c>
      <c r="D621">
        <v>1</v>
      </c>
      <c r="E621">
        <v>2005</v>
      </c>
      <c r="F621">
        <v>2015</v>
      </c>
      <c r="G621">
        <v>6.9444444444444441E-3</v>
      </c>
      <c r="H621">
        <v>90.065799624509282</v>
      </c>
      <c r="I621">
        <v>0</v>
      </c>
      <c r="J621">
        <v>0</v>
      </c>
      <c r="K621">
        <v>1</v>
      </c>
      <c r="L621" t="s">
        <v>238</v>
      </c>
      <c r="M621">
        <v>38.293282153277758</v>
      </c>
      <c r="N621">
        <v>2167.3997698755211</v>
      </c>
      <c r="O621">
        <v>0</v>
      </c>
      <c r="P621">
        <v>1</v>
      </c>
      <c r="Q621">
        <v>0</v>
      </c>
      <c r="R621">
        <v>1</v>
      </c>
      <c r="S621">
        <v>0</v>
      </c>
      <c r="T621">
        <v>1</v>
      </c>
      <c r="U621">
        <v>0</v>
      </c>
      <c r="V621">
        <v>3</v>
      </c>
      <c r="W621">
        <v>0.95</v>
      </c>
      <c r="AA621">
        <v>0</v>
      </c>
      <c r="AC621">
        <v>0</v>
      </c>
      <c r="AD621">
        <v>0</v>
      </c>
      <c r="AE621">
        <v>0</v>
      </c>
      <c r="AF621">
        <v>1</v>
      </c>
      <c r="AG621">
        <v>0</v>
      </c>
      <c r="AH621">
        <v>23</v>
      </c>
      <c r="AI621">
        <v>0</v>
      </c>
      <c r="AJ621">
        <v>144</v>
      </c>
    </row>
    <row r="622" spans="1:36" x14ac:dyDescent="0.2">
      <c r="A622" t="str">
        <f>+VLOOKUP(B622,studies!$A$2:$C$102,3)</f>
        <v>Kopp et al. (2012)</v>
      </c>
      <c r="B622">
        <v>78</v>
      </c>
      <c r="C622">
        <v>2012</v>
      </c>
      <c r="D622">
        <v>1</v>
      </c>
      <c r="E622">
        <v>2005</v>
      </c>
      <c r="F622">
        <v>2015</v>
      </c>
      <c r="G622">
        <v>6.9444444444444441E-3</v>
      </c>
      <c r="H622">
        <v>105.07676622859417</v>
      </c>
      <c r="I622">
        <v>0</v>
      </c>
      <c r="J622">
        <v>0</v>
      </c>
      <c r="K622">
        <v>1</v>
      </c>
      <c r="L622" t="s">
        <v>238</v>
      </c>
      <c r="M622">
        <v>45.951938583933305</v>
      </c>
      <c r="N622">
        <v>2780.0922843279645</v>
      </c>
      <c r="O622">
        <v>0</v>
      </c>
      <c r="P622">
        <v>1</v>
      </c>
      <c r="Q622">
        <v>0</v>
      </c>
      <c r="R622">
        <v>1</v>
      </c>
      <c r="S622">
        <v>0</v>
      </c>
      <c r="T622">
        <v>1</v>
      </c>
      <c r="U622">
        <v>0</v>
      </c>
      <c r="V622">
        <v>3</v>
      </c>
      <c r="W622">
        <v>0.95</v>
      </c>
      <c r="AA622">
        <v>0</v>
      </c>
      <c r="AC622">
        <v>0</v>
      </c>
      <c r="AD622">
        <v>0</v>
      </c>
      <c r="AE622">
        <v>0</v>
      </c>
      <c r="AF622">
        <v>1</v>
      </c>
      <c r="AG622">
        <v>0</v>
      </c>
      <c r="AH622">
        <v>23</v>
      </c>
      <c r="AI622">
        <v>0</v>
      </c>
      <c r="AJ622">
        <v>144</v>
      </c>
    </row>
    <row r="623" spans="1:36" x14ac:dyDescent="0.2">
      <c r="A623" t="str">
        <f>+VLOOKUP(B623,studies!$A$2:$C$102,3)</f>
        <v>Kopp et al. (2012)</v>
      </c>
      <c r="B623">
        <v>78</v>
      </c>
      <c r="C623">
        <v>2012</v>
      </c>
      <c r="D623">
        <v>1</v>
      </c>
      <c r="E623">
        <v>2005</v>
      </c>
      <c r="F623">
        <v>2015</v>
      </c>
      <c r="G623">
        <v>6.9444444444444441E-3</v>
      </c>
      <c r="H623">
        <v>90.065799624509282</v>
      </c>
      <c r="I623">
        <v>0</v>
      </c>
      <c r="J623">
        <v>0</v>
      </c>
      <c r="K623">
        <v>1</v>
      </c>
      <c r="L623" t="s">
        <v>238</v>
      </c>
      <c r="M623">
        <v>38.293282153277758</v>
      </c>
      <c r="N623">
        <v>2496.7219963937096</v>
      </c>
      <c r="O623">
        <v>0</v>
      </c>
      <c r="P623">
        <v>1</v>
      </c>
      <c r="Q623">
        <v>0</v>
      </c>
      <c r="R623">
        <v>1</v>
      </c>
      <c r="S623">
        <v>0</v>
      </c>
      <c r="T623">
        <v>1</v>
      </c>
      <c r="U623">
        <v>0</v>
      </c>
      <c r="V623">
        <v>3</v>
      </c>
      <c r="W623">
        <v>0.95</v>
      </c>
      <c r="AA623">
        <v>0</v>
      </c>
      <c r="AC623">
        <v>0</v>
      </c>
      <c r="AD623">
        <v>0</v>
      </c>
      <c r="AE623">
        <v>0</v>
      </c>
      <c r="AF623">
        <v>1</v>
      </c>
      <c r="AG623">
        <v>0</v>
      </c>
      <c r="AH623">
        <v>23</v>
      </c>
      <c r="AI623">
        <v>0</v>
      </c>
      <c r="AJ623">
        <v>144</v>
      </c>
    </row>
    <row r="624" spans="1:36" x14ac:dyDescent="0.2">
      <c r="A624" t="str">
        <f>+VLOOKUP(B624,studies!$A$2:$C$102,3)</f>
        <v>Kopp et al. (2012)</v>
      </c>
      <c r="B624">
        <v>78</v>
      </c>
      <c r="C624">
        <v>2012</v>
      </c>
      <c r="D624">
        <v>1</v>
      </c>
      <c r="E624">
        <v>2005</v>
      </c>
      <c r="F624">
        <v>2015</v>
      </c>
      <c r="G624">
        <v>6.9444444444444441E-3</v>
      </c>
      <c r="H624">
        <v>585.42769755931033</v>
      </c>
      <c r="I624">
        <v>0</v>
      </c>
      <c r="J624">
        <v>0</v>
      </c>
      <c r="K624">
        <v>1</v>
      </c>
      <c r="L624" t="s">
        <v>238</v>
      </c>
      <c r="M624">
        <v>168.49044147442211</v>
      </c>
      <c r="N624">
        <v>482.49535513129979</v>
      </c>
      <c r="O624">
        <v>0</v>
      </c>
      <c r="P624">
        <v>1</v>
      </c>
      <c r="Q624">
        <v>0</v>
      </c>
      <c r="R624">
        <v>1</v>
      </c>
      <c r="S624">
        <v>0</v>
      </c>
      <c r="T624">
        <v>1</v>
      </c>
      <c r="U624">
        <v>0</v>
      </c>
      <c r="V624">
        <v>3</v>
      </c>
      <c r="W624">
        <v>0.14000000000000001</v>
      </c>
      <c r="AA624">
        <v>0</v>
      </c>
      <c r="AC624">
        <v>0</v>
      </c>
      <c r="AD624">
        <v>0</v>
      </c>
      <c r="AE624">
        <v>0</v>
      </c>
      <c r="AF624">
        <v>1</v>
      </c>
      <c r="AG624">
        <v>0</v>
      </c>
      <c r="AH624">
        <v>23</v>
      </c>
      <c r="AI624">
        <v>0</v>
      </c>
      <c r="AJ624">
        <v>144</v>
      </c>
    </row>
    <row r="625" spans="1:36" x14ac:dyDescent="0.2">
      <c r="A625" t="str">
        <f>+VLOOKUP(B625,studies!$A$2:$C$102,3)</f>
        <v>Kopp et al. (2012)</v>
      </c>
      <c r="B625">
        <v>78</v>
      </c>
      <c r="C625">
        <v>2012</v>
      </c>
      <c r="D625">
        <v>1</v>
      </c>
      <c r="E625">
        <v>2005</v>
      </c>
      <c r="F625">
        <v>2015</v>
      </c>
      <c r="G625">
        <v>6.9444444444444441E-3</v>
      </c>
      <c r="H625">
        <v>585.42769755931033</v>
      </c>
      <c r="I625">
        <v>0</v>
      </c>
      <c r="J625">
        <v>0</v>
      </c>
      <c r="K625">
        <v>1</v>
      </c>
      <c r="L625" t="s">
        <v>238</v>
      </c>
      <c r="M625">
        <v>168.49044147442211</v>
      </c>
      <c r="N625">
        <v>520.78863728457748</v>
      </c>
      <c r="O625">
        <v>0</v>
      </c>
      <c r="P625">
        <v>1</v>
      </c>
      <c r="Q625">
        <v>0</v>
      </c>
      <c r="R625">
        <v>1</v>
      </c>
      <c r="S625">
        <v>0</v>
      </c>
      <c r="T625">
        <v>1</v>
      </c>
      <c r="U625">
        <v>0</v>
      </c>
      <c r="V625">
        <v>3</v>
      </c>
      <c r="W625">
        <v>0.14000000000000001</v>
      </c>
      <c r="AA625">
        <v>0</v>
      </c>
      <c r="AC625">
        <v>0</v>
      </c>
      <c r="AD625">
        <v>0</v>
      </c>
      <c r="AE625">
        <v>0</v>
      </c>
      <c r="AF625">
        <v>1</v>
      </c>
      <c r="AG625">
        <v>0</v>
      </c>
      <c r="AH625">
        <v>23</v>
      </c>
      <c r="AI625">
        <v>0</v>
      </c>
      <c r="AJ625">
        <v>144</v>
      </c>
    </row>
    <row r="626" spans="1:36" x14ac:dyDescent="0.2">
      <c r="A626" t="str">
        <f>+VLOOKUP(B626,studies!$A$2:$C$102,3)</f>
        <v>Kopp et al. (2012)</v>
      </c>
      <c r="B626">
        <v>78</v>
      </c>
      <c r="C626">
        <v>2012</v>
      </c>
      <c r="D626">
        <v>1</v>
      </c>
      <c r="E626">
        <v>2005</v>
      </c>
      <c r="F626">
        <v>2015</v>
      </c>
      <c r="G626">
        <v>6.9444444444444441E-3</v>
      </c>
      <c r="H626">
        <v>525.38383114297085</v>
      </c>
      <c r="I626">
        <v>0</v>
      </c>
      <c r="J626">
        <v>0</v>
      </c>
      <c r="K626">
        <v>1</v>
      </c>
      <c r="L626" t="s">
        <v>238</v>
      </c>
      <c r="M626">
        <v>160.83178504376656</v>
      </c>
      <c r="N626">
        <v>459.51938583933315</v>
      </c>
      <c r="O626">
        <v>0</v>
      </c>
      <c r="P626">
        <v>1</v>
      </c>
      <c r="Q626">
        <v>0</v>
      </c>
      <c r="R626">
        <v>1</v>
      </c>
      <c r="S626">
        <v>0</v>
      </c>
      <c r="T626">
        <v>1</v>
      </c>
      <c r="U626">
        <v>0</v>
      </c>
      <c r="V626">
        <v>3</v>
      </c>
      <c r="W626">
        <v>0.14000000000000001</v>
      </c>
      <c r="AA626">
        <v>0</v>
      </c>
      <c r="AC626">
        <v>0</v>
      </c>
      <c r="AD626">
        <v>0</v>
      </c>
      <c r="AE626">
        <v>0</v>
      </c>
      <c r="AF626">
        <v>1</v>
      </c>
      <c r="AG626">
        <v>0</v>
      </c>
      <c r="AH626">
        <v>23</v>
      </c>
      <c r="AI626">
        <v>0</v>
      </c>
      <c r="AJ626">
        <v>144</v>
      </c>
    </row>
    <row r="627" spans="1:36" x14ac:dyDescent="0.2">
      <c r="A627" t="str">
        <f>+VLOOKUP(B627,studies!$A$2:$C$102,3)</f>
        <v>Kopp et al. (2012)</v>
      </c>
      <c r="B627">
        <v>78</v>
      </c>
      <c r="C627">
        <v>2012</v>
      </c>
      <c r="D627">
        <v>1</v>
      </c>
      <c r="E627">
        <v>2005</v>
      </c>
      <c r="F627">
        <v>2015</v>
      </c>
      <c r="G627">
        <v>6.9444444444444441E-3</v>
      </c>
      <c r="H627">
        <v>1080.7895954941114</v>
      </c>
      <c r="I627">
        <v>0</v>
      </c>
      <c r="J627">
        <v>0</v>
      </c>
      <c r="K627">
        <v>1</v>
      </c>
      <c r="L627" t="s">
        <v>238</v>
      </c>
      <c r="M627">
        <v>321.66357008753317</v>
      </c>
      <c r="N627">
        <v>1041.577274569155</v>
      </c>
      <c r="O627">
        <v>0</v>
      </c>
      <c r="P627">
        <v>1</v>
      </c>
      <c r="Q627">
        <v>0</v>
      </c>
      <c r="R627">
        <v>1</v>
      </c>
      <c r="S627">
        <v>0</v>
      </c>
      <c r="T627">
        <v>1</v>
      </c>
      <c r="U627">
        <v>0</v>
      </c>
      <c r="V627">
        <v>3</v>
      </c>
      <c r="W627">
        <v>0.14000000000000001</v>
      </c>
      <c r="AA627">
        <v>0</v>
      </c>
      <c r="AC627">
        <v>0</v>
      </c>
      <c r="AD627">
        <v>0</v>
      </c>
      <c r="AE627">
        <v>0</v>
      </c>
      <c r="AF627">
        <v>1</v>
      </c>
      <c r="AG627">
        <v>0</v>
      </c>
      <c r="AH627">
        <v>23</v>
      </c>
      <c r="AI627">
        <v>0</v>
      </c>
      <c r="AJ627">
        <v>144</v>
      </c>
    </row>
    <row r="628" spans="1:36" x14ac:dyDescent="0.2">
      <c r="A628" t="str">
        <f>+VLOOKUP(B628,studies!$A$2:$C$102,3)</f>
        <v>Kopp et al. (2012)</v>
      </c>
      <c r="B628">
        <v>78</v>
      </c>
      <c r="C628">
        <v>2012</v>
      </c>
      <c r="D628">
        <v>1</v>
      </c>
      <c r="E628">
        <v>2005</v>
      </c>
      <c r="F628">
        <v>2015</v>
      </c>
      <c r="G628">
        <v>6.9444444444444441E-3</v>
      </c>
      <c r="H628">
        <v>720.52639699607425</v>
      </c>
      <c r="I628">
        <v>0</v>
      </c>
      <c r="J628">
        <v>0</v>
      </c>
      <c r="K628">
        <v>1</v>
      </c>
      <c r="L628" t="s">
        <v>238</v>
      </c>
      <c r="M628">
        <v>206.78372362769989</v>
      </c>
      <c r="N628">
        <v>643.32714017506635</v>
      </c>
      <c r="O628">
        <v>0</v>
      </c>
      <c r="P628">
        <v>1</v>
      </c>
      <c r="Q628">
        <v>0</v>
      </c>
      <c r="R628">
        <v>1</v>
      </c>
      <c r="S628">
        <v>0</v>
      </c>
      <c r="T628">
        <v>1</v>
      </c>
      <c r="U628">
        <v>0</v>
      </c>
      <c r="V628">
        <v>3</v>
      </c>
      <c r="W628">
        <v>0.14000000000000001</v>
      </c>
      <c r="AA628">
        <v>0</v>
      </c>
      <c r="AC628">
        <v>0</v>
      </c>
      <c r="AD628">
        <v>0</v>
      </c>
      <c r="AE628">
        <v>0</v>
      </c>
      <c r="AF628">
        <v>1</v>
      </c>
      <c r="AG628">
        <v>0</v>
      </c>
      <c r="AH628">
        <v>23</v>
      </c>
      <c r="AI628">
        <v>0</v>
      </c>
      <c r="AJ628">
        <v>144</v>
      </c>
    </row>
    <row r="629" spans="1:36" x14ac:dyDescent="0.2">
      <c r="A629" t="str">
        <f>+VLOOKUP(B629,studies!$A$2:$C$102,3)</f>
        <v>Kopp et al. (2012)</v>
      </c>
      <c r="B629">
        <v>78</v>
      </c>
      <c r="C629">
        <v>2012</v>
      </c>
      <c r="D629">
        <v>1</v>
      </c>
      <c r="E629">
        <v>2005</v>
      </c>
      <c r="F629">
        <v>2015</v>
      </c>
      <c r="G629">
        <v>6.9444444444444441E-3</v>
      </c>
      <c r="H629">
        <v>1831.3379256983553</v>
      </c>
      <c r="I629">
        <v>0</v>
      </c>
      <c r="J629">
        <v>0</v>
      </c>
      <c r="K629">
        <v>1</v>
      </c>
      <c r="L629" t="s">
        <v>238</v>
      </c>
      <c r="M629">
        <v>566.74057586851075</v>
      </c>
      <c r="N629">
        <v>1807.4429176347101</v>
      </c>
      <c r="O629">
        <v>0</v>
      </c>
      <c r="P629">
        <v>1</v>
      </c>
      <c r="Q629">
        <v>0</v>
      </c>
      <c r="R629">
        <v>1</v>
      </c>
      <c r="S629">
        <v>0</v>
      </c>
      <c r="T629">
        <v>1</v>
      </c>
      <c r="U629">
        <v>0</v>
      </c>
      <c r="V629">
        <v>3</v>
      </c>
      <c r="W629">
        <v>0.14000000000000001</v>
      </c>
      <c r="AA629">
        <v>0</v>
      </c>
      <c r="AC629">
        <v>0</v>
      </c>
      <c r="AD629">
        <v>0</v>
      </c>
      <c r="AE629">
        <v>0</v>
      </c>
      <c r="AF629">
        <v>1</v>
      </c>
      <c r="AG629">
        <v>0</v>
      </c>
      <c r="AH629">
        <v>23</v>
      </c>
      <c r="AI629">
        <v>0</v>
      </c>
      <c r="AJ629">
        <v>144</v>
      </c>
    </row>
    <row r="630" spans="1:36" x14ac:dyDescent="0.2">
      <c r="A630" t="str">
        <f>+VLOOKUP(B630,studies!$A$2:$C$102,3)</f>
        <v>Kopp et al. (2012)</v>
      </c>
      <c r="B630">
        <v>78</v>
      </c>
      <c r="C630">
        <v>2012</v>
      </c>
      <c r="D630">
        <v>1</v>
      </c>
      <c r="E630">
        <v>2005</v>
      </c>
      <c r="F630">
        <v>2015</v>
      </c>
      <c r="G630">
        <v>6.9444444444444441E-3</v>
      </c>
      <c r="H630">
        <v>420.30706491437667</v>
      </c>
      <c r="I630">
        <v>0</v>
      </c>
      <c r="J630">
        <v>0</v>
      </c>
      <c r="K630">
        <v>1</v>
      </c>
      <c r="L630" t="s">
        <v>238</v>
      </c>
      <c r="M630">
        <v>114.87984645983326</v>
      </c>
      <c r="N630">
        <v>283.37028793425543</v>
      </c>
      <c r="O630">
        <v>0</v>
      </c>
      <c r="P630">
        <v>1</v>
      </c>
      <c r="Q630">
        <v>0</v>
      </c>
      <c r="R630">
        <v>1</v>
      </c>
      <c r="S630">
        <v>0</v>
      </c>
      <c r="T630">
        <v>1</v>
      </c>
      <c r="U630">
        <v>0</v>
      </c>
      <c r="V630">
        <v>3</v>
      </c>
      <c r="W630">
        <v>0.14000000000000001</v>
      </c>
      <c r="AA630">
        <v>0</v>
      </c>
      <c r="AC630">
        <v>0</v>
      </c>
      <c r="AD630">
        <v>0</v>
      </c>
      <c r="AE630">
        <v>0</v>
      </c>
      <c r="AF630">
        <v>1</v>
      </c>
      <c r="AG630">
        <v>0</v>
      </c>
      <c r="AH630">
        <v>23</v>
      </c>
      <c r="AI630">
        <v>0</v>
      </c>
      <c r="AJ630">
        <v>144</v>
      </c>
    </row>
    <row r="631" spans="1:36" x14ac:dyDescent="0.2">
      <c r="A631" t="str">
        <f>+VLOOKUP(B631,studies!$A$2:$C$102,3)</f>
        <v>Kopp et al. (2012)</v>
      </c>
      <c r="B631">
        <v>78</v>
      </c>
      <c r="C631">
        <v>2012</v>
      </c>
      <c r="D631">
        <v>1</v>
      </c>
      <c r="E631">
        <v>2005</v>
      </c>
      <c r="F631">
        <v>2015</v>
      </c>
      <c r="G631">
        <v>6.9444444444444441E-3</v>
      </c>
      <c r="H631">
        <v>585.42769755931033</v>
      </c>
      <c r="I631">
        <v>0</v>
      </c>
      <c r="J631">
        <v>0</v>
      </c>
      <c r="K631">
        <v>1</v>
      </c>
      <c r="L631" t="s">
        <v>238</v>
      </c>
      <c r="M631">
        <v>168.49044147442211</v>
      </c>
      <c r="N631">
        <v>536.10595014588864</v>
      </c>
      <c r="O631">
        <v>0</v>
      </c>
      <c r="P631">
        <v>1</v>
      </c>
      <c r="Q631">
        <v>0</v>
      </c>
      <c r="R631">
        <v>1</v>
      </c>
      <c r="S631">
        <v>0</v>
      </c>
      <c r="T631">
        <v>1</v>
      </c>
      <c r="U631">
        <v>0</v>
      </c>
      <c r="V631">
        <v>3</v>
      </c>
      <c r="W631">
        <v>0.14000000000000001</v>
      </c>
      <c r="AA631">
        <v>0</v>
      </c>
      <c r="AC631">
        <v>0</v>
      </c>
      <c r="AD631">
        <v>0</v>
      </c>
      <c r="AE631">
        <v>0</v>
      </c>
      <c r="AF631">
        <v>1</v>
      </c>
      <c r="AG631">
        <v>0</v>
      </c>
      <c r="AH631">
        <v>23</v>
      </c>
      <c r="AI631">
        <v>0</v>
      </c>
      <c r="AJ631">
        <v>144</v>
      </c>
    </row>
    <row r="632" spans="1:36" x14ac:dyDescent="0.2">
      <c r="A632" t="str">
        <f>+VLOOKUP(B632,studies!$A$2:$C$102,3)</f>
        <v>Kopp et al. (2012)</v>
      </c>
      <c r="B632">
        <v>78</v>
      </c>
      <c r="C632">
        <v>2012</v>
      </c>
      <c r="D632">
        <v>1</v>
      </c>
      <c r="E632">
        <v>2005</v>
      </c>
      <c r="F632">
        <v>2015</v>
      </c>
      <c r="G632">
        <v>6.9444444444444441E-3</v>
      </c>
      <c r="H632">
        <v>585.42769755931033</v>
      </c>
      <c r="I632">
        <v>0</v>
      </c>
      <c r="J632">
        <v>0</v>
      </c>
      <c r="K632">
        <v>1</v>
      </c>
      <c r="L632" t="s">
        <v>238</v>
      </c>
      <c r="M632">
        <v>168.49044147442211</v>
      </c>
      <c r="N632">
        <v>482.49535513129979</v>
      </c>
      <c r="O632">
        <v>0</v>
      </c>
      <c r="P632">
        <v>1</v>
      </c>
      <c r="Q632">
        <v>0</v>
      </c>
      <c r="R632">
        <v>1</v>
      </c>
      <c r="S632">
        <v>0</v>
      </c>
      <c r="T632">
        <v>1</v>
      </c>
      <c r="U632">
        <v>0</v>
      </c>
      <c r="V632">
        <v>3</v>
      </c>
      <c r="W632">
        <v>0.14000000000000001</v>
      </c>
      <c r="AA632">
        <v>0</v>
      </c>
      <c r="AC632">
        <v>0</v>
      </c>
      <c r="AD632">
        <v>0</v>
      </c>
      <c r="AE632">
        <v>0</v>
      </c>
      <c r="AF632">
        <v>1</v>
      </c>
      <c r="AG632">
        <v>0</v>
      </c>
      <c r="AH632">
        <v>23</v>
      </c>
      <c r="AI632">
        <v>0</v>
      </c>
      <c r="AJ632">
        <v>144</v>
      </c>
    </row>
    <row r="633" spans="1:36" x14ac:dyDescent="0.2">
      <c r="A633" t="str">
        <f>+VLOOKUP(B633,studies!$A$2:$C$102,3)</f>
        <v>Kopp et al. (2012)</v>
      </c>
      <c r="B633">
        <v>78</v>
      </c>
      <c r="C633">
        <v>2012</v>
      </c>
      <c r="D633">
        <v>1</v>
      </c>
      <c r="E633">
        <v>2005</v>
      </c>
      <c r="F633">
        <v>2015</v>
      </c>
      <c r="G633">
        <v>6.9444444444444441E-3</v>
      </c>
      <c r="H633">
        <v>660.48253057973466</v>
      </c>
      <c r="I633">
        <v>0</v>
      </c>
      <c r="J633">
        <v>0</v>
      </c>
      <c r="K633">
        <v>1</v>
      </c>
      <c r="L633" t="s">
        <v>238</v>
      </c>
      <c r="M633">
        <v>214.44238005835541</v>
      </c>
      <c r="N633">
        <v>1539.3899425617658</v>
      </c>
      <c r="O633">
        <v>0</v>
      </c>
      <c r="P633">
        <v>1</v>
      </c>
      <c r="Q633">
        <v>0</v>
      </c>
      <c r="R633">
        <v>1</v>
      </c>
      <c r="S633">
        <v>0</v>
      </c>
      <c r="T633">
        <v>1</v>
      </c>
      <c r="U633">
        <v>0</v>
      </c>
      <c r="V633">
        <v>3</v>
      </c>
      <c r="W633">
        <v>0.14000000000000001</v>
      </c>
      <c r="AA633">
        <v>0</v>
      </c>
      <c r="AC633">
        <v>0</v>
      </c>
      <c r="AD633">
        <v>0</v>
      </c>
      <c r="AE633">
        <v>0</v>
      </c>
      <c r="AF633">
        <v>1</v>
      </c>
      <c r="AG633">
        <v>0</v>
      </c>
      <c r="AH633">
        <v>23</v>
      </c>
      <c r="AI633">
        <v>0</v>
      </c>
      <c r="AJ633">
        <v>144</v>
      </c>
    </row>
    <row r="634" spans="1:36" x14ac:dyDescent="0.2">
      <c r="A634" t="str">
        <f>+VLOOKUP(B634,studies!$A$2:$C$102,3)</f>
        <v>Kopp et al. (2012)</v>
      </c>
      <c r="B634">
        <v>78</v>
      </c>
      <c r="C634">
        <v>2012</v>
      </c>
      <c r="D634">
        <v>1</v>
      </c>
      <c r="E634">
        <v>2005</v>
      </c>
      <c r="F634">
        <v>2015</v>
      </c>
      <c r="G634">
        <v>6.9444444444444441E-3</v>
      </c>
      <c r="H634">
        <v>210.15353245718833</v>
      </c>
      <c r="I634">
        <v>0</v>
      </c>
      <c r="J634">
        <v>0</v>
      </c>
      <c r="K634">
        <v>1</v>
      </c>
      <c r="L634" t="s">
        <v>238</v>
      </c>
      <c r="M634">
        <v>61.269251445244407</v>
      </c>
      <c r="N634">
        <v>1462.8033782552104</v>
      </c>
      <c r="O634">
        <v>0</v>
      </c>
      <c r="P634">
        <v>1</v>
      </c>
      <c r="Q634">
        <v>0</v>
      </c>
      <c r="R634">
        <v>1</v>
      </c>
      <c r="S634">
        <v>0</v>
      </c>
      <c r="T634">
        <v>1</v>
      </c>
      <c r="U634">
        <v>0</v>
      </c>
      <c r="V634">
        <v>3</v>
      </c>
      <c r="W634">
        <v>0.14000000000000001</v>
      </c>
      <c r="AA634">
        <v>0</v>
      </c>
      <c r="AC634">
        <v>0</v>
      </c>
      <c r="AD634">
        <v>0</v>
      </c>
      <c r="AE634">
        <v>0</v>
      </c>
      <c r="AF634">
        <v>1</v>
      </c>
      <c r="AG634">
        <v>0</v>
      </c>
      <c r="AH634">
        <v>23</v>
      </c>
      <c r="AI634">
        <v>0</v>
      </c>
      <c r="AJ634">
        <v>144</v>
      </c>
    </row>
    <row r="635" spans="1:36" x14ac:dyDescent="0.2">
      <c r="A635" t="str">
        <f>+VLOOKUP(B635,studies!$A$2:$C$102,3)</f>
        <v>Kopp et al. (2012)</v>
      </c>
      <c r="B635">
        <v>78</v>
      </c>
      <c r="C635">
        <v>2012</v>
      </c>
      <c r="D635">
        <v>1</v>
      </c>
      <c r="E635">
        <v>2005</v>
      </c>
      <c r="F635">
        <v>2015</v>
      </c>
      <c r="G635">
        <v>6.9444444444444441E-3</v>
      </c>
      <c r="H635">
        <v>150.10966604084879</v>
      </c>
      <c r="I635">
        <v>0</v>
      </c>
      <c r="J635">
        <v>0</v>
      </c>
      <c r="K635">
        <v>1</v>
      </c>
      <c r="L635" t="s">
        <v>238</v>
      </c>
      <c r="M635">
        <v>38.293282153277758</v>
      </c>
      <c r="N635">
        <v>1470.4620346858658</v>
      </c>
      <c r="O635">
        <v>0</v>
      </c>
      <c r="P635">
        <v>1</v>
      </c>
      <c r="Q635">
        <v>0</v>
      </c>
      <c r="R635">
        <v>1</v>
      </c>
      <c r="S635">
        <v>0</v>
      </c>
      <c r="T635">
        <v>1</v>
      </c>
      <c r="U635">
        <v>0</v>
      </c>
      <c r="V635">
        <v>3</v>
      </c>
      <c r="W635">
        <v>0.14000000000000001</v>
      </c>
      <c r="AA635">
        <v>0</v>
      </c>
      <c r="AC635">
        <v>0</v>
      </c>
      <c r="AD635">
        <v>0</v>
      </c>
      <c r="AE635">
        <v>0</v>
      </c>
      <c r="AF635">
        <v>1</v>
      </c>
      <c r="AG635">
        <v>0</v>
      </c>
      <c r="AH635">
        <v>23</v>
      </c>
      <c r="AI635">
        <v>0</v>
      </c>
      <c r="AJ635">
        <v>144</v>
      </c>
    </row>
    <row r="636" spans="1:36" x14ac:dyDescent="0.2">
      <c r="A636" t="str">
        <f>+VLOOKUP(B636,studies!$A$2:$C$102,3)</f>
        <v>Kopp et al. (2012)</v>
      </c>
      <c r="B636">
        <v>78</v>
      </c>
      <c r="C636">
        <v>2012</v>
      </c>
      <c r="D636">
        <v>1</v>
      </c>
      <c r="E636">
        <v>2005</v>
      </c>
      <c r="F636">
        <v>2015</v>
      </c>
      <c r="G636">
        <v>6.9444444444444441E-3</v>
      </c>
      <c r="H636">
        <v>300.21933208169759</v>
      </c>
      <c r="I636">
        <v>0</v>
      </c>
      <c r="J636">
        <v>0</v>
      </c>
      <c r="K636">
        <v>1</v>
      </c>
      <c r="L636" t="s">
        <v>238</v>
      </c>
      <c r="M636">
        <v>84.245220737211056</v>
      </c>
      <c r="N636">
        <v>2481.4046835323988</v>
      </c>
      <c r="O636">
        <v>0</v>
      </c>
      <c r="P636">
        <v>1</v>
      </c>
      <c r="Q636">
        <v>0</v>
      </c>
      <c r="R636">
        <v>1</v>
      </c>
      <c r="S636">
        <v>0</v>
      </c>
      <c r="T636">
        <v>1</v>
      </c>
      <c r="U636">
        <v>0</v>
      </c>
      <c r="V636">
        <v>3</v>
      </c>
      <c r="W636">
        <v>0.14000000000000001</v>
      </c>
      <c r="AA636">
        <v>0</v>
      </c>
      <c r="AC636">
        <v>0</v>
      </c>
      <c r="AD636">
        <v>0</v>
      </c>
      <c r="AE636">
        <v>0</v>
      </c>
      <c r="AF636">
        <v>1</v>
      </c>
      <c r="AG636">
        <v>0</v>
      </c>
      <c r="AH636">
        <v>23</v>
      </c>
      <c r="AI636">
        <v>0</v>
      </c>
      <c r="AJ636">
        <v>144</v>
      </c>
    </row>
    <row r="637" spans="1:36" x14ac:dyDescent="0.2">
      <c r="A637" t="str">
        <f>+VLOOKUP(B637,studies!$A$2:$C$102,3)</f>
        <v>Kopp et al. (2012)</v>
      </c>
      <c r="B637">
        <v>78</v>
      </c>
      <c r="C637">
        <v>2012</v>
      </c>
      <c r="D637">
        <v>1</v>
      </c>
      <c r="E637">
        <v>2005</v>
      </c>
      <c r="F637">
        <v>2015</v>
      </c>
      <c r="G637">
        <v>6.9444444444444441E-3</v>
      </c>
      <c r="H637">
        <v>195.14256585310346</v>
      </c>
      <c r="I637">
        <v>0</v>
      </c>
      <c r="J637">
        <v>0</v>
      </c>
      <c r="K637">
        <v>1</v>
      </c>
      <c r="L637" t="s">
        <v>238</v>
      </c>
      <c r="M637">
        <v>53.610595014588867</v>
      </c>
      <c r="N637">
        <v>2083.1545491383099</v>
      </c>
      <c r="O637">
        <v>0</v>
      </c>
      <c r="P637">
        <v>1</v>
      </c>
      <c r="Q637">
        <v>0</v>
      </c>
      <c r="R637">
        <v>1</v>
      </c>
      <c r="S637">
        <v>0</v>
      </c>
      <c r="T637">
        <v>1</v>
      </c>
      <c r="U637">
        <v>0</v>
      </c>
      <c r="V637">
        <v>3</v>
      </c>
      <c r="W637">
        <v>0.14000000000000001</v>
      </c>
      <c r="AA637">
        <v>0</v>
      </c>
      <c r="AC637">
        <v>0</v>
      </c>
      <c r="AD637">
        <v>0</v>
      </c>
      <c r="AE637">
        <v>0</v>
      </c>
      <c r="AF637">
        <v>1</v>
      </c>
      <c r="AG637">
        <v>0</v>
      </c>
      <c r="AH637">
        <v>23</v>
      </c>
      <c r="AI637">
        <v>0</v>
      </c>
      <c r="AJ637">
        <v>144</v>
      </c>
    </row>
    <row r="638" spans="1:36" x14ac:dyDescent="0.2">
      <c r="A638" t="str">
        <f>+VLOOKUP(B638,studies!$A$2:$C$102,3)</f>
        <v>Kopp et al. (2012)</v>
      </c>
      <c r="B638">
        <v>78</v>
      </c>
      <c r="C638">
        <v>2012</v>
      </c>
      <c r="D638">
        <v>1</v>
      </c>
      <c r="E638">
        <v>2005</v>
      </c>
      <c r="F638">
        <v>2015</v>
      </c>
      <c r="G638">
        <v>6.9444444444444441E-3</v>
      </c>
      <c r="H638">
        <v>120.08773283267904</v>
      </c>
      <c r="I638">
        <v>0</v>
      </c>
      <c r="J638">
        <v>0</v>
      </c>
      <c r="K638">
        <v>1</v>
      </c>
      <c r="L638" t="s">
        <v>238</v>
      </c>
      <c r="M638">
        <v>53.61059501458886</v>
      </c>
      <c r="N638">
        <v>2818.3855664812427</v>
      </c>
      <c r="O638">
        <v>0</v>
      </c>
      <c r="P638">
        <v>1</v>
      </c>
      <c r="Q638">
        <v>0</v>
      </c>
      <c r="R638">
        <v>1</v>
      </c>
      <c r="S638">
        <v>0</v>
      </c>
      <c r="T638">
        <v>1</v>
      </c>
      <c r="U638">
        <v>0</v>
      </c>
      <c r="V638">
        <v>3</v>
      </c>
      <c r="W638">
        <v>0.14000000000000001</v>
      </c>
      <c r="AA638">
        <v>0</v>
      </c>
      <c r="AC638">
        <v>0</v>
      </c>
      <c r="AD638">
        <v>0</v>
      </c>
      <c r="AE638">
        <v>0</v>
      </c>
      <c r="AF638">
        <v>1</v>
      </c>
      <c r="AG638">
        <v>0</v>
      </c>
      <c r="AH638">
        <v>23</v>
      </c>
      <c r="AI638">
        <v>0</v>
      </c>
      <c r="AJ638">
        <v>144</v>
      </c>
    </row>
    <row r="639" spans="1:36" x14ac:dyDescent="0.2">
      <c r="A639" t="str">
        <f>+VLOOKUP(B639,studies!$A$2:$C$102,3)</f>
        <v>Kopp et al. (2012)</v>
      </c>
      <c r="B639">
        <v>78</v>
      </c>
      <c r="C639">
        <v>2012</v>
      </c>
      <c r="D639">
        <v>1</v>
      </c>
      <c r="E639">
        <v>2005</v>
      </c>
      <c r="F639">
        <v>2015</v>
      </c>
      <c r="G639">
        <v>6.9444444444444441E-3</v>
      </c>
      <c r="H639">
        <v>90.065799624509282</v>
      </c>
      <c r="I639">
        <v>0</v>
      </c>
      <c r="J639">
        <v>0</v>
      </c>
      <c r="K639">
        <v>1</v>
      </c>
      <c r="L639" t="s">
        <v>238</v>
      </c>
      <c r="M639">
        <v>38.293282153277758</v>
      </c>
      <c r="N639">
        <v>2626.9191557148538</v>
      </c>
      <c r="O639">
        <v>0</v>
      </c>
      <c r="P639">
        <v>1</v>
      </c>
      <c r="Q639">
        <v>0</v>
      </c>
      <c r="R639">
        <v>1</v>
      </c>
      <c r="S639">
        <v>0</v>
      </c>
      <c r="T639">
        <v>1</v>
      </c>
      <c r="U639">
        <v>0</v>
      </c>
      <c r="V639">
        <v>3</v>
      </c>
      <c r="W639">
        <v>0.14000000000000001</v>
      </c>
      <c r="AA639">
        <v>0</v>
      </c>
      <c r="AC639">
        <v>0</v>
      </c>
      <c r="AD639">
        <v>0</v>
      </c>
      <c r="AE639">
        <v>0</v>
      </c>
      <c r="AF639">
        <v>1</v>
      </c>
      <c r="AG639">
        <v>0</v>
      </c>
      <c r="AH639">
        <v>23</v>
      </c>
      <c r="AI639">
        <v>0</v>
      </c>
      <c r="AJ639">
        <v>144</v>
      </c>
    </row>
    <row r="640" spans="1:36" x14ac:dyDescent="0.2">
      <c r="A640" t="str">
        <f>+VLOOKUP(B640,studies!$A$2:$C$102,3)</f>
        <v>Kopp et al. (2012)</v>
      </c>
      <c r="B640">
        <v>78</v>
      </c>
      <c r="C640">
        <v>2012</v>
      </c>
      <c r="D640">
        <v>1</v>
      </c>
      <c r="E640">
        <v>2005</v>
      </c>
      <c r="F640">
        <v>2015</v>
      </c>
      <c r="G640">
        <v>6.9444444444444441E-3</v>
      </c>
      <c r="H640">
        <v>120.08773283267904</v>
      </c>
      <c r="I640">
        <v>0</v>
      </c>
      <c r="J640">
        <v>0</v>
      </c>
      <c r="K640">
        <v>1</v>
      </c>
      <c r="L640" t="s">
        <v>238</v>
      </c>
      <c r="M640">
        <v>53.61059501458886</v>
      </c>
      <c r="N640">
        <v>3500.0059888095871</v>
      </c>
      <c r="O640">
        <v>0</v>
      </c>
      <c r="P640">
        <v>1</v>
      </c>
      <c r="Q640">
        <v>0</v>
      </c>
      <c r="R640">
        <v>1</v>
      </c>
      <c r="S640">
        <v>0</v>
      </c>
      <c r="T640">
        <v>1</v>
      </c>
      <c r="U640">
        <v>0</v>
      </c>
      <c r="V640">
        <v>3</v>
      </c>
      <c r="W640">
        <v>0.14000000000000001</v>
      </c>
      <c r="AA640">
        <v>0</v>
      </c>
      <c r="AC640">
        <v>0</v>
      </c>
      <c r="AD640">
        <v>0</v>
      </c>
      <c r="AE640">
        <v>0</v>
      </c>
      <c r="AF640">
        <v>1</v>
      </c>
      <c r="AG640">
        <v>0</v>
      </c>
      <c r="AH640">
        <v>23</v>
      </c>
      <c r="AI640">
        <v>0</v>
      </c>
      <c r="AJ640">
        <v>144</v>
      </c>
    </row>
    <row r="641" spans="1:36" x14ac:dyDescent="0.2">
      <c r="A641" t="str">
        <f>+VLOOKUP(B641,studies!$A$2:$C$102,3)</f>
        <v>Kopp et al. (2012)</v>
      </c>
      <c r="B641">
        <v>78</v>
      </c>
      <c r="C641">
        <v>2012</v>
      </c>
      <c r="D641">
        <v>1</v>
      </c>
      <c r="E641">
        <v>2005</v>
      </c>
      <c r="F641">
        <v>2015</v>
      </c>
      <c r="G641">
        <v>6.9444444444444441E-3</v>
      </c>
      <c r="H641">
        <v>120.08773283267904</v>
      </c>
      <c r="I641">
        <v>0</v>
      </c>
      <c r="J641">
        <v>0</v>
      </c>
      <c r="K641">
        <v>1</v>
      </c>
      <c r="L641" t="s">
        <v>238</v>
      </c>
      <c r="M641">
        <v>53.61059501458886</v>
      </c>
      <c r="N641">
        <v>3392.7847987804093</v>
      </c>
      <c r="O641">
        <v>0</v>
      </c>
      <c r="P641">
        <v>1</v>
      </c>
      <c r="Q641">
        <v>0</v>
      </c>
      <c r="R641">
        <v>1</v>
      </c>
      <c r="S641">
        <v>0</v>
      </c>
      <c r="T641">
        <v>1</v>
      </c>
      <c r="U641">
        <v>0</v>
      </c>
      <c r="V641">
        <v>3</v>
      </c>
      <c r="W641">
        <v>0.14000000000000001</v>
      </c>
      <c r="AA641">
        <v>0</v>
      </c>
      <c r="AC641">
        <v>0</v>
      </c>
      <c r="AD641">
        <v>0</v>
      </c>
      <c r="AE641">
        <v>0</v>
      </c>
      <c r="AF641">
        <v>1</v>
      </c>
      <c r="AG641">
        <v>0</v>
      </c>
      <c r="AH641">
        <v>23</v>
      </c>
      <c r="AI641">
        <v>0</v>
      </c>
      <c r="AJ641">
        <v>144</v>
      </c>
    </row>
    <row r="642" spans="1:36" x14ac:dyDescent="0.2">
      <c r="A642" t="str">
        <f>+VLOOKUP(B642,studies!$A$2:$C$102,3)</f>
        <v>Kopp et al. (2012)</v>
      </c>
      <c r="B642">
        <v>78</v>
      </c>
      <c r="C642">
        <v>2012</v>
      </c>
      <c r="D642">
        <v>1</v>
      </c>
      <c r="E642">
        <v>2005</v>
      </c>
      <c r="F642">
        <v>2015</v>
      </c>
      <c r="G642">
        <v>6.9444444444444441E-3</v>
      </c>
      <c r="H642">
        <v>720.52639699607425</v>
      </c>
      <c r="I642">
        <v>0</v>
      </c>
      <c r="J642">
        <v>0</v>
      </c>
      <c r="K642">
        <v>1</v>
      </c>
      <c r="L642" t="s">
        <v>238</v>
      </c>
      <c r="M642">
        <v>206.78372362769989</v>
      </c>
      <c r="N642">
        <v>735.23101734293289</v>
      </c>
      <c r="O642">
        <v>0</v>
      </c>
      <c r="P642">
        <v>1</v>
      </c>
      <c r="Q642">
        <v>0</v>
      </c>
      <c r="R642">
        <v>1</v>
      </c>
      <c r="S642">
        <v>0</v>
      </c>
      <c r="T642">
        <v>1</v>
      </c>
      <c r="U642">
        <v>0</v>
      </c>
      <c r="V642">
        <v>3</v>
      </c>
      <c r="W642">
        <v>-1.1000000000000001</v>
      </c>
      <c r="AA642">
        <v>0</v>
      </c>
      <c r="AC642">
        <v>0</v>
      </c>
      <c r="AD642">
        <v>0</v>
      </c>
      <c r="AE642">
        <v>0</v>
      </c>
      <c r="AF642">
        <v>1</v>
      </c>
      <c r="AG642">
        <v>0</v>
      </c>
      <c r="AH642">
        <v>23</v>
      </c>
      <c r="AI642">
        <v>0</v>
      </c>
      <c r="AJ642">
        <v>144</v>
      </c>
    </row>
    <row r="643" spans="1:36" x14ac:dyDescent="0.2">
      <c r="A643" t="str">
        <f>+VLOOKUP(B643,studies!$A$2:$C$102,3)</f>
        <v>Kopp et al. (2012)</v>
      </c>
      <c r="B643">
        <v>78</v>
      </c>
      <c r="C643">
        <v>2012</v>
      </c>
      <c r="D643">
        <v>1</v>
      </c>
      <c r="E643">
        <v>2005</v>
      </c>
      <c r="F643">
        <v>2015</v>
      </c>
      <c r="G643">
        <v>6.9444444444444441E-3</v>
      </c>
      <c r="H643">
        <v>735.53736360015921</v>
      </c>
      <c r="I643">
        <v>0</v>
      </c>
      <c r="J643">
        <v>0</v>
      </c>
      <c r="K643">
        <v>1</v>
      </c>
      <c r="L643" t="s">
        <v>238</v>
      </c>
      <c r="M643">
        <v>214.44238005835544</v>
      </c>
      <c r="N643">
        <v>788.84161235752163</v>
      </c>
      <c r="O643">
        <v>0</v>
      </c>
      <c r="P643">
        <v>1</v>
      </c>
      <c r="Q643">
        <v>0</v>
      </c>
      <c r="R643">
        <v>1</v>
      </c>
      <c r="S643">
        <v>0</v>
      </c>
      <c r="T643">
        <v>1</v>
      </c>
      <c r="U643">
        <v>0</v>
      </c>
      <c r="V643">
        <v>3</v>
      </c>
      <c r="W643">
        <v>-1.1000000000000001</v>
      </c>
      <c r="AA643">
        <v>0</v>
      </c>
      <c r="AC643">
        <v>0</v>
      </c>
      <c r="AD643">
        <v>0</v>
      </c>
      <c r="AE643">
        <v>0</v>
      </c>
      <c r="AF643">
        <v>1</v>
      </c>
      <c r="AG643">
        <v>0</v>
      </c>
      <c r="AH643">
        <v>23</v>
      </c>
      <c r="AI643">
        <v>0</v>
      </c>
      <c r="AJ643">
        <v>144</v>
      </c>
    </row>
    <row r="644" spans="1:36" x14ac:dyDescent="0.2">
      <c r="A644" t="str">
        <f>+VLOOKUP(B644,studies!$A$2:$C$102,3)</f>
        <v>Kopp et al. (2012)</v>
      </c>
      <c r="B644">
        <v>78</v>
      </c>
      <c r="C644">
        <v>2012</v>
      </c>
      <c r="D644">
        <v>1</v>
      </c>
      <c r="E644">
        <v>2005</v>
      </c>
      <c r="F644">
        <v>2015</v>
      </c>
      <c r="G644">
        <v>6.9444444444444441E-3</v>
      </c>
      <c r="H644">
        <v>630.46059737156497</v>
      </c>
      <c r="I644">
        <v>0</v>
      </c>
      <c r="J644">
        <v>0</v>
      </c>
      <c r="K644">
        <v>1</v>
      </c>
      <c r="L644" t="s">
        <v>238</v>
      </c>
      <c r="M644">
        <v>191.4664107663888</v>
      </c>
      <c r="N644">
        <v>650.98579660572193</v>
      </c>
      <c r="O644">
        <v>0</v>
      </c>
      <c r="P644">
        <v>1</v>
      </c>
      <c r="Q644">
        <v>0</v>
      </c>
      <c r="R644">
        <v>1</v>
      </c>
      <c r="S644">
        <v>0</v>
      </c>
      <c r="T644">
        <v>1</v>
      </c>
      <c r="U644">
        <v>0</v>
      </c>
      <c r="V644">
        <v>3</v>
      </c>
      <c r="W644">
        <v>-1.1000000000000001</v>
      </c>
      <c r="AA644">
        <v>0</v>
      </c>
      <c r="AC644">
        <v>0</v>
      </c>
      <c r="AD644">
        <v>0</v>
      </c>
      <c r="AE644">
        <v>0</v>
      </c>
      <c r="AF644">
        <v>1</v>
      </c>
      <c r="AG644">
        <v>0</v>
      </c>
      <c r="AH644">
        <v>23</v>
      </c>
      <c r="AI644">
        <v>0</v>
      </c>
      <c r="AJ644">
        <v>144</v>
      </c>
    </row>
    <row r="645" spans="1:36" x14ac:dyDescent="0.2">
      <c r="A645" t="str">
        <f>+VLOOKUP(B645,studies!$A$2:$C$102,3)</f>
        <v>Kopp et al. (2012)</v>
      </c>
      <c r="B645">
        <v>78</v>
      </c>
      <c r="C645">
        <v>2012</v>
      </c>
      <c r="D645">
        <v>1</v>
      </c>
      <c r="E645">
        <v>2005</v>
      </c>
      <c r="F645">
        <v>2015</v>
      </c>
      <c r="G645">
        <v>6.9444444444444441E-3</v>
      </c>
      <c r="H645">
        <v>1621.1843932411671</v>
      </c>
      <c r="I645">
        <v>0</v>
      </c>
      <c r="J645">
        <v>0</v>
      </c>
      <c r="K645">
        <v>1</v>
      </c>
      <c r="L645" t="s">
        <v>238</v>
      </c>
      <c r="M645">
        <v>497.81266799261078</v>
      </c>
      <c r="N645">
        <v>2060.1785798463434</v>
      </c>
      <c r="O645">
        <v>0</v>
      </c>
      <c r="P645">
        <v>1</v>
      </c>
      <c r="Q645">
        <v>0</v>
      </c>
      <c r="R645">
        <v>1</v>
      </c>
      <c r="S645">
        <v>0</v>
      </c>
      <c r="T645">
        <v>1</v>
      </c>
      <c r="U645">
        <v>0</v>
      </c>
      <c r="V645">
        <v>3</v>
      </c>
      <c r="W645">
        <v>-1.1000000000000001</v>
      </c>
      <c r="AA645">
        <v>0</v>
      </c>
      <c r="AC645">
        <v>0</v>
      </c>
      <c r="AD645">
        <v>0</v>
      </c>
      <c r="AE645">
        <v>0</v>
      </c>
      <c r="AF645">
        <v>1</v>
      </c>
      <c r="AG645">
        <v>0</v>
      </c>
      <c r="AH645">
        <v>23</v>
      </c>
      <c r="AI645">
        <v>0</v>
      </c>
      <c r="AJ645">
        <v>144</v>
      </c>
    </row>
    <row r="646" spans="1:36" x14ac:dyDescent="0.2">
      <c r="A646" t="str">
        <f>+VLOOKUP(B646,studies!$A$2:$C$102,3)</f>
        <v>Kopp et al. (2012)</v>
      </c>
      <c r="B646">
        <v>78</v>
      </c>
      <c r="C646">
        <v>2012</v>
      </c>
      <c r="D646">
        <v>1</v>
      </c>
      <c r="E646">
        <v>2005</v>
      </c>
      <c r="F646">
        <v>2015</v>
      </c>
      <c r="G646">
        <v>6.9444444444444441E-3</v>
      </c>
      <c r="H646">
        <v>1621.1843932411671</v>
      </c>
      <c r="I646">
        <v>0</v>
      </c>
      <c r="J646">
        <v>0</v>
      </c>
      <c r="K646">
        <v>1</v>
      </c>
      <c r="L646" t="s">
        <v>238</v>
      </c>
      <c r="M646">
        <v>497.81266799261078</v>
      </c>
      <c r="N646">
        <v>2060.1785798463434</v>
      </c>
      <c r="O646">
        <v>0</v>
      </c>
      <c r="P646">
        <v>1</v>
      </c>
      <c r="Q646">
        <v>0</v>
      </c>
      <c r="R646">
        <v>1</v>
      </c>
      <c r="S646">
        <v>0</v>
      </c>
      <c r="T646">
        <v>1</v>
      </c>
      <c r="U646">
        <v>0</v>
      </c>
      <c r="V646">
        <v>3</v>
      </c>
      <c r="W646">
        <v>-1.1000000000000001</v>
      </c>
      <c r="AA646">
        <v>0</v>
      </c>
      <c r="AC646">
        <v>0</v>
      </c>
      <c r="AD646">
        <v>0</v>
      </c>
      <c r="AE646">
        <v>0</v>
      </c>
      <c r="AF646">
        <v>1</v>
      </c>
      <c r="AG646">
        <v>0</v>
      </c>
      <c r="AH646">
        <v>23</v>
      </c>
      <c r="AI646">
        <v>0</v>
      </c>
      <c r="AJ646">
        <v>144</v>
      </c>
    </row>
    <row r="647" spans="1:36" x14ac:dyDescent="0.2">
      <c r="A647" t="str">
        <f>+VLOOKUP(B647,studies!$A$2:$C$102,3)</f>
        <v>Kopp et al. (2012)</v>
      </c>
      <c r="B647">
        <v>78</v>
      </c>
      <c r="C647">
        <v>2012</v>
      </c>
      <c r="D647">
        <v>1</v>
      </c>
      <c r="E647">
        <v>2005</v>
      </c>
      <c r="F647">
        <v>2015</v>
      </c>
      <c r="G647">
        <v>6.9444444444444441E-3</v>
      </c>
      <c r="H647">
        <v>3422.5003857313527</v>
      </c>
      <c r="I647">
        <v>0</v>
      </c>
      <c r="J647">
        <v>0</v>
      </c>
      <c r="K647">
        <v>1</v>
      </c>
      <c r="L647" t="s">
        <v>238</v>
      </c>
      <c r="M647">
        <v>1110.505182445055</v>
      </c>
      <c r="N647">
        <v>5070.0305570939754</v>
      </c>
      <c r="O647">
        <v>0</v>
      </c>
      <c r="P647">
        <v>1</v>
      </c>
      <c r="Q647">
        <v>0</v>
      </c>
      <c r="R647">
        <v>1</v>
      </c>
      <c r="S647">
        <v>0</v>
      </c>
      <c r="T647">
        <v>1</v>
      </c>
      <c r="U647">
        <v>0</v>
      </c>
      <c r="V647">
        <v>3</v>
      </c>
      <c r="W647">
        <v>-1.1000000000000001</v>
      </c>
      <c r="AA647">
        <v>0</v>
      </c>
      <c r="AC647">
        <v>0</v>
      </c>
      <c r="AD647">
        <v>0</v>
      </c>
      <c r="AE647">
        <v>0</v>
      </c>
      <c r="AF647">
        <v>1</v>
      </c>
      <c r="AG647">
        <v>0</v>
      </c>
      <c r="AH647">
        <v>23</v>
      </c>
      <c r="AI647">
        <v>0</v>
      </c>
      <c r="AJ647">
        <v>144</v>
      </c>
    </row>
    <row r="648" spans="1:36" x14ac:dyDescent="0.2">
      <c r="A648" t="str">
        <f>+VLOOKUP(B648,studies!$A$2:$C$102,3)</f>
        <v>Kopp et al. (2012)</v>
      </c>
      <c r="B648">
        <v>78</v>
      </c>
      <c r="C648">
        <v>2012</v>
      </c>
      <c r="D648">
        <v>1</v>
      </c>
      <c r="E648">
        <v>2005</v>
      </c>
      <c r="F648">
        <v>2015</v>
      </c>
      <c r="G648">
        <v>6.9444444444444441E-3</v>
      </c>
      <c r="H648">
        <v>480.35093133071615</v>
      </c>
      <c r="I648">
        <v>0</v>
      </c>
      <c r="J648">
        <v>0</v>
      </c>
      <c r="K648">
        <v>1</v>
      </c>
      <c r="L648" t="s">
        <v>238</v>
      </c>
      <c r="M648">
        <v>130.19715932114437</v>
      </c>
      <c r="N648">
        <v>359.95685224081097</v>
      </c>
      <c r="O648">
        <v>0</v>
      </c>
      <c r="P648">
        <v>1</v>
      </c>
      <c r="Q648">
        <v>0</v>
      </c>
      <c r="R648">
        <v>1</v>
      </c>
      <c r="S648">
        <v>0</v>
      </c>
      <c r="T648">
        <v>1</v>
      </c>
      <c r="U648">
        <v>0</v>
      </c>
      <c r="V648">
        <v>3</v>
      </c>
      <c r="W648">
        <v>-1.1000000000000001</v>
      </c>
      <c r="AA648">
        <v>0</v>
      </c>
      <c r="AC648">
        <v>0</v>
      </c>
      <c r="AD648">
        <v>0</v>
      </c>
      <c r="AE648">
        <v>0</v>
      </c>
      <c r="AF648">
        <v>1</v>
      </c>
      <c r="AG648">
        <v>0</v>
      </c>
      <c r="AH648">
        <v>23</v>
      </c>
      <c r="AI648">
        <v>0</v>
      </c>
      <c r="AJ648">
        <v>144</v>
      </c>
    </row>
    <row r="649" spans="1:36" x14ac:dyDescent="0.2">
      <c r="A649" t="str">
        <f>+VLOOKUP(B649,studies!$A$2:$C$102,3)</f>
        <v>Kopp et al. (2012)</v>
      </c>
      <c r="B649">
        <v>78</v>
      </c>
      <c r="C649">
        <v>2012</v>
      </c>
      <c r="D649">
        <v>1</v>
      </c>
      <c r="E649">
        <v>2005</v>
      </c>
      <c r="F649">
        <v>2015</v>
      </c>
      <c r="G649">
        <v>6.9444444444444441E-3</v>
      </c>
      <c r="H649">
        <v>720.52639699607425</v>
      </c>
      <c r="I649">
        <v>0</v>
      </c>
      <c r="J649">
        <v>0</v>
      </c>
      <c r="K649">
        <v>1</v>
      </c>
      <c r="L649" t="s">
        <v>238</v>
      </c>
      <c r="M649">
        <v>206.78372362769989</v>
      </c>
      <c r="N649">
        <v>934.35608453997725</v>
      </c>
      <c r="O649">
        <v>0</v>
      </c>
      <c r="P649">
        <v>1</v>
      </c>
      <c r="Q649">
        <v>0</v>
      </c>
      <c r="R649">
        <v>1</v>
      </c>
      <c r="S649">
        <v>0</v>
      </c>
      <c r="T649">
        <v>1</v>
      </c>
      <c r="U649">
        <v>0</v>
      </c>
      <c r="V649">
        <v>3</v>
      </c>
      <c r="W649">
        <v>-1.1000000000000001</v>
      </c>
      <c r="AA649">
        <v>0</v>
      </c>
      <c r="AC649">
        <v>0</v>
      </c>
      <c r="AD649">
        <v>0</v>
      </c>
      <c r="AE649">
        <v>0</v>
      </c>
      <c r="AF649">
        <v>1</v>
      </c>
      <c r="AG649">
        <v>0</v>
      </c>
      <c r="AH649">
        <v>23</v>
      </c>
      <c r="AI649">
        <v>0</v>
      </c>
      <c r="AJ649">
        <v>144</v>
      </c>
    </row>
    <row r="650" spans="1:36" x14ac:dyDescent="0.2">
      <c r="A650" t="str">
        <f>+VLOOKUP(B650,studies!$A$2:$C$102,3)</f>
        <v>Kopp et al. (2012)</v>
      </c>
      <c r="B650">
        <v>78</v>
      </c>
      <c r="C650">
        <v>2012</v>
      </c>
      <c r="D650">
        <v>1</v>
      </c>
      <c r="E650">
        <v>2005</v>
      </c>
      <c r="F650">
        <v>2015</v>
      </c>
      <c r="G650">
        <v>6.9444444444444441E-3</v>
      </c>
      <c r="H650">
        <v>720.52639699607425</v>
      </c>
      <c r="I650">
        <v>0</v>
      </c>
      <c r="J650">
        <v>0</v>
      </c>
      <c r="K650">
        <v>1</v>
      </c>
      <c r="L650" t="s">
        <v>238</v>
      </c>
      <c r="M650">
        <v>206.78372362769989</v>
      </c>
      <c r="N650">
        <v>735.23101734293289</v>
      </c>
      <c r="O650">
        <v>0</v>
      </c>
      <c r="P650">
        <v>1</v>
      </c>
      <c r="Q650">
        <v>0</v>
      </c>
      <c r="R650">
        <v>1</v>
      </c>
      <c r="S650">
        <v>0</v>
      </c>
      <c r="T650">
        <v>1</v>
      </c>
      <c r="U650">
        <v>0</v>
      </c>
      <c r="V650">
        <v>3</v>
      </c>
      <c r="W650">
        <v>-1.1000000000000001</v>
      </c>
      <c r="AA650">
        <v>0</v>
      </c>
      <c r="AC650">
        <v>0</v>
      </c>
      <c r="AD650">
        <v>0</v>
      </c>
      <c r="AE650">
        <v>0</v>
      </c>
      <c r="AF650">
        <v>1</v>
      </c>
      <c r="AG650">
        <v>0</v>
      </c>
      <c r="AH650">
        <v>23</v>
      </c>
      <c r="AI650">
        <v>0</v>
      </c>
      <c r="AJ650">
        <v>144</v>
      </c>
    </row>
    <row r="651" spans="1:36" x14ac:dyDescent="0.2">
      <c r="A651" t="str">
        <f>+VLOOKUP(B651,studies!$A$2:$C$102,3)</f>
        <v>Kopp et al. (2012)</v>
      </c>
      <c r="B651">
        <v>78</v>
      </c>
      <c r="C651">
        <v>2012</v>
      </c>
      <c r="D651">
        <v>1</v>
      </c>
      <c r="E651">
        <v>2005</v>
      </c>
      <c r="F651">
        <v>2015</v>
      </c>
      <c r="G651">
        <v>6.9444444444444441E-3</v>
      </c>
      <c r="H651">
        <v>825.60316322466838</v>
      </c>
      <c r="I651">
        <v>0</v>
      </c>
      <c r="J651">
        <v>0</v>
      </c>
      <c r="K651">
        <v>1</v>
      </c>
      <c r="L651" t="s">
        <v>238</v>
      </c>
      <c r="M651">
        <v>275.71163150359985</v>
      </c>
      <c r="N651">
        <v>2404.818119225843</v>
      </c>
      <c r="O651">
        <v>0</v>
      </c>
      <c r="P651">
        <v>1</v>
      </c>
      <c r="Q651">
        <v>0</v>
      </c>
      <c r="R651">
        <v>1</v>
      </c>
      <c r="S651">
        <v>0</v>
      </c>
      <c r="T651">
        <v>1</v>
      </c>
      <c r="U651">
        <v>0</v>
      </c>
      <c r="V651">
        <v>3</v>
      </c>
      <c r="W651">
        <v>-1.1000000000000001</v>
      </c>
      <c r="AA651">
        <v>0</v>
      </c>
      <c r="AC651">
        <v>0</v>
      </c>
      <c r="AD651">
        <v>0</v>
      </c>
      <c r="AE651">
        <v>0</v>
      </c>
      <c r="AF651">
        <v>1</v>
      </c>
      <c r="AG651">
        <v>0</v>
      </c>
      <c r="AH651">
        <v>23</v>
      </c>
      <c r="AI651">
        <v>0</v>
      </c>
      <c r="AJ651">
        <v>144</v>
      </c>
    </row>
    <row r="652" spans="1:36" x14ac:dyDescent="0.2">
      <c r="A652" t="str">
        <f>+VLOOKUP(B652,studies!$A$2:$C$102,3)</f>
        <v>Kopp et al. (2012)</v>
      </c>
      <c r="B652">
        <v>78</v>
      </c>
      <c r="C652">
        <v>2012</v>
      </c>
      <c r="D652">
        <v>1</v>
      </c>
      <c r="E652">
        <v>2005</v>
      </c>
      <c r="F652">
        <v>2015</v>
      </c>
      <c r="G652">
        <v>6.9444444444444441E-3</v>
      </c>
      <c r="H652">
        <v>255.18643226944297</v>
      </c>
      <c r="I652">
        <v>0</v>
      </c>
      <c r="J652">
        <v>0</v>
      </c>
      <c r="K652">
        <v>1</v>
      </c>
      <c r="L652" t="s">
        <v>238</v>
      </c>
      <c r="M652">
        <v>76.58656430655553</v>
      </c>
      <c r="N652">
        <v>1998.9093284010987</v>
      </c>
      <c r="O652">
        <v>0</v>
      </c>
      <c r="P652">
        <v>1</v>
      </c>
      <c r="Q652">
        <v>0</v>
      </c>
      <c r="R652">
        <v>1</v>
      </c>
      <c r="S652">
        <v>0</v>
      </c>
      <c r="T652">
        <v>1</v>
      </c>
      <c r="U652">
        <v>0</v>
      </c>
      <c r="V652">
        <v>3</v>
      </c>
      <c r="W652">
        <v>-1.1000000000000001</v>
      </c>
      <c r="AA652">
        <v>0</v>
      </c>
      <c r="AC652">
        <v>0</v>
      </c>
      <c r="AD652">
        <v>0</v>
      </c>
      <c r="AE652">
        <v>0</v>
      </c>
      <c r="AF652">
        <v>1</v>
      </c>
      <c r="AG652">
        <v>0</v>
      </c>
      <c r="AH652">
        <v>23</v>
      </c>
      <c r="AI652">
        <v>0</v>
      </c>
      <c r="AJ652">
        <v>144</v>
      </c>
    </row>
    <row r="653" spans="1:36" x14ac:dyDescent="0.2">
      <c r="A653" t="str">
        <f>+VLOOKUP(B653,studies!$A$2:$C$102,3)</f>
        <v>Kopp et al. (2012)</v>
      </c>
      <c r="B653">
        <v>78</v>
      </c>
      <c r="C653">
        <v>2012</v>
      </c>
      <c r="D653">
        <v>1</v>
      </c>
      <c r="E653">
        <v>2005</v>
      </c>
      <c r="F653">
        <v>2015</v>
      </c>
      <c r="G653">
        <v>6.9444444444444441E-3</v>
      </c>
      <c r="H653">
        <v>165.12063264493366</v>
      </c>
      <c r="I653">
        <v>0</v>
      </c>
      <c r="J653">
        <v>0</v>
      </c>
      <c r="K653">
        <v>1</v>
      </c>
      <c r="L653" t="s">
        <v>238</v>
      </c>
      <c r="M653">
        <v>45.951938583933298</v>
      </c>
      <c r="N653">
        <v>2014.2266412624101</v>
      </c>
      <c r="O653">
        <v>0</v>
      </c>
      <c r="P653">
        <v>1</v>
      </c>
      <c r="Q653">
        <v>0</v>
      </c>
      <c r="R653">
        <v>1</v>
      </c>
      <c r="S653">
        <v>0</v>
      </c>
      <c r="T653">
        <v>1</v>
      </c>
      <c r="U653">
        <v>0</v>
      </c>
      <c r="V653">
        <v>3</v>
      </c>
      <c r="W653">
        <v>-1.1000000000000001</v>
      </c>
      <c r="AA653">
        <v>0</v>
      </c>
      <c r="AC653">
        <v>0</v>
      </c>
      <c r="AD653">
        <v>0</v>
      </c>
      <c r="AE653">
        <v>0</v>
      </c>
      <c r="AF653">
        <v>1</v>
      </c>
      <c r="AG653">
        <v>0</v>
      </c>
      <c r="AH653">
        <v>23</v>
      </c>
      <c r="AI653">
        <v>0</v>
      </c>
      <c r="AJ653">
        <v>144</v>
      </c>
    </row>
    <row r="654" spans="1:36" x14ac:dyDescent="0.2">
      <c r="A654" t="str">
        <f>+VLOOKUP(B654,studies!$A$2:$C$102,3)</f>
        <v>Kopp et al. (2012)</v>
      </c>
      <c r="B654">
        <v>78</v>
      </c>
      <c r="C654">
        <v>2012</v>
      </c>
      <c r="D654">
        <v>1</v>
      </c>
      <c r="E654">
        <v>2005</v>
      </c>
      <c r="F654">
        <v>2015</v>
      </c>
      <c r="G654">
        <v>6.9444444444444441E-3</v>
      </c>
      <c r="H654">
        <v>390.28513170620693</v>
      </c>
      <c r="I654">
        <v>0</v>
      </c>
      <c r="J654">
        <v>0</v>
      </c>
      <c r="K654">
        <v>1</v>
      </c>
      <c r="L654" t="s">
        <v>238</v>
      </c>
      <c r="M654">
        <v>114.87984645983329</v>
      </c>
      <c r="N654">
        <v>3637.8618045613871</v>
      </c>
      <c r="O654">
        <v>0</v>
      </c>
      <c r="P654">
        <v>1</v>
      </c>
      <c r="Q654">
        <v>0</v>
      </c>
      <c r="R654">
        <v>1</v>
      </c>
      <c r="S654">
        <v>0</v>
      </c>
      <c r="T654">
        <v>1</v>
      </c>
      <c r="U654">
        <v>0</v>
      </c>
      <c r="V654">
        <v>3</v>
      </c>
      <c r="W654">
        <v>-1.1000000000000001</v>
      </c>
      <c r="AA654">
        <v>0</v>
      </c>
      <c r="AC654">
        <v>0</v>
      </c>
      <c r="AD654">
        <v>0</v>
      </c>
      <c r="AE654">
        <v>0</v>
      </c>
      <c r="AF654">
        <v>1</v>
      </c>
      <c r="AG654">
        <v>0</v>
      </c>
      <c r="AH654">
        <v>23</v>
      </c>
      <c r="AI654">
        <v>0</v>
      </c>
      <c r="AJ654">
        <v>144</v>
      </c>
    </row>
    <row r="655" spans="1:36" x14ac:dyDescent="0.2">
      <c r="A655" t="str">
        <f>+VLOOKUP(B655,studies!$A$2:$C$102,3)</f>
        <v>Kopp et al. (2012)</v>
      </c>
      <c r="B655">
        <v>78</v>
      </c>
      <c r="C655">
        <v>2012</v>
      </c>
      <c r="D655">
        <v>1</v>
      </c>
      <c r="E655">
        <v>2005</v>
      </c>
      <c r="F655">
        <v>2015</v>
      </c>
      <c r="G655">
        <v>6.9444444444444441E-3</v>
      </c>
      <c r="H655">
        <v>390.28513170620693</v>
      </c>
      <c r="I655">
        <v>0</v>
      </c>
      <c r="J655">
        <v>0</v>
      </c>
      <c r="K655">
        <v>1</v>
      </c>
      <c r="L655" t="s">
        <v>238</v>
      </c>
      <c r="M655">
        <v>114.87984645983329</v>
      </c>
      <c r="N655">
        <v>3637.8618045613871</v>
      </c>
      <c r="O655">
        <v>0</v>
      </c>
      <c r="P655">
        <v>1</v>
      </c>
      <c r="Q655">
        <v>0</v>
      </c>
      <c r="R655">
        <v>1</v>
      </c>
      <c r="S655">
        <v>0</v>
      </c>
      <c r="T655">
        <v>1</v>
      </c>
      <c r="U655">
        <v>0</v>
      </c>
      <c r="V655">
        <v>3</v>
      </c>
      <c r="W655">
        <v>-1.1000000000000001</v>
      </c>
      <c r="AA655">
        <v>0</v>
      </c>
      <c r="AC655">
        <v>0</v>
      </c>
      <c r="AD655">
        <v>0</v>
      </c>
      <c r="AE655">
        <v>0</v>
      </c>
      <c r="AF655">
        <v>1</v>
      </c>
      <c r="AG655">
        <v>0</v>
      </c>
      <c r="AH655">
        <v>23</v>
      </c>
      <c r="AI655">
        <v>0</v>
      </c>
      <c r="AJ655">
        <v>144</v>
      </c>
    </row>
    <row r="656" spans="1:36" x14ac:dyDescent="0.2">
      <c r="A656" t="str">
        <f>+VLOOKUP(B656,studies!$A$2:$C$102,3)</f>
        <v>Kopp et al. (2012)</v>
      </c>
      <c r="B656">
        <v>78</v>
      </c>
      <c r="C656">
        <v>2012</v>
      </c>
      <c r="D656">
        <v>1</v>
      </c>
      <c r="E656">
        <v>2005</v>
      </c>
      <c r="F656">
        <v>2015</v>
      </c>
      <c r="G656">
        <v>6.9444444444444441E-3</v>
      </c>
      <c r="H656">
        <v>150.10966604084879</v>
      </c>
      <c r="I656">
        <v>0</v>
      </c>
      <c r="J656">
        <v>0</v>
      </c>
      <c r="K656">
        <v>1</v>
      </c>
      <c r="L656" t="s">
        <v>238</v>
      </c>
      <c r="M656">
        <v>61.269251445244407</v>
      </c>
      <c r="N656">
        <v>4143.3331289846528</v>
      </c>
      <c r="O656">
        <v>0</v>
      </c>
      <c r="P656">
        <v>1</v>
      </c>
      <c r="Q656">
        <v>0</v>
      </c>
      <c r="R656">
        <v>1</v>
      </c>
      <c r="S656">
        <v>0</v>
      </c>
      <c r="T656">
        <v>1</v>
      </c>
      <c r="U656">
        <v>0</v>
      </c>
      <c r="V656">
        <v>3</v>
      </c>
      <c r="W656">
        <v>-1.1000000000000001</v>
      </c>
      <c r="AA656">
        <v>0</v>
      </c>
      <c r="AC656">
        <v>0</v>
      </c>
      <c r="AD656">
        <v>0</v>
      </c>
      <c r="AE656">
        <v>0</v>
      </c>
      <c r="AF656">
        <v>1</v>
      </c>
      <c r="AG656">
        <v>0</v>
      </c>
      <c r="AH656">
        <v>23</v>
      </c>
      <c r="AI656">
        <v>0</v>
      </c>
      <c r="AJ656">
        <v>144</v>
      </c>
    </row>
    <row r="657" spans="1:36" x14ac:dyDescent="0.2">
      <c r="A657" t="str">
        <f>+VLOOKUP(B657,studies!$A$2:$C$102,3)</f>
        <v>Kopp et al. (2012)</v>
      </c>
      <c r="B657">
        <v>78</v>
      </c>
      <c r="C657">
        <v>2012</v>
      </c>
      <c r="D657">
        <v>1</v>
      </c>
      <c r="E657">
        <v>2005</v>
      </c>
      <c r="F657">
        <v>2015</v>
      </c>
      <c r="G657">
        <v>6.9444444444444441E-3</v>
      </c>
      <c r="H657">
        <v>105.07676622859417</v>
      </c>
      <c r="I657">
        <v>0</v>
      </c>
      <c r="J657">
        <v>0</v>
      </c>
      <c r="K657">
        <v>1</v>
      </c>
      <c r="L657" t="s">
        <v>238</v>
      </c>
      <c r="M657">
        <v>45.951938583933305</v>
      </c>
      <c r="N657">
        <v>3691.4723995759755</v>
      </c>
      <c r="O657">
        <v>0</v>
      </c>
      <c r="P657">
        <v>1</v>
      </c>
      <c r="Q657">
        <v>0</v>
      </c>
      <c r="R657">
        <v>1</v>
      </c>
      <c r="S657">
        <v>0</v>
      </c>
      <c r="T657">
        <v>1</v>
      </c>
      <c r="U657">
        <v>0</v>
      </c>
      <c r="V657">
        <v>3</v>
      </c>
      <c r="W657">
        <v>-1.1000000000000001</v>
      </c>
      <c r="AA657">
        <v>0</v>
      </c>
      <c r="AC657">
        <v>0</v>
      </c>
      <c r="AD657">
        <v>0</v>
      </c>
      <c r="AE657">
        <v>0</v>
      </c>
      <c r="AF657">
        <v>1</v>
      </c>
      <c r="AG657">
        <v>0</v>
      </c>
      <c r="AH657">
        <v>23</v>
      </c>
      <c r="AI657">
        <v>0</v>
      </c>
      <c r="AJ657">
        <v>144</v>
      </c>
    </row>
    <row r="658" spans="1:36" x14ac:dyDescent="0.2">
      <c r="A658" t="str">
        <f>+VLOOKUP(B658,studies!$A$2:$C$102,3)</f>
        <v>Kopp et al. (2012)</v>
      </c>
      <c r="B658">
        <v>78</v>
      </c>
      <c r="C658">
        <v>2012</v>
      </c>
      <c r="D658">
        <v>1</v>
      </c>
      <c r="E658">
        <v>2005</v>
      </c>
      <c r="F658">
        <v>2015</v>
      </c>
      <c r="G658">
        <v>6.9444444444444441E-3</v>
      </c>
      <c r="H658">
        <v>135.09869943676392</v>
      </c>
      <c r="I658">
        <v>0</v>
      </c>
      <c r="J658">
        <v>0</v>
      </c>
      <c r="K658">
        <v>1</v>
      </c>
      <c r="L658" t="s">
        <v>238</v>
      </c>
      <c r="M658">
        <v>53.61059501458886</v>
      </c>
      <c r="N658">
        <v>4855.58817703562</v>
      </c>
      <c r="O658">
        <v>0</v>
      </c>
      <c r="P658">
        <v>1</v>
      </c>
      <c r="Q658">
        <v>0</v>
      </c>
      <c r="R658">
        <v>1</v>
      </c>
      <c r="S658">
        <v>0</v>
      </c>
      <c r="T658">
        <v>1</v>
      </c>
      <c r="U658">
        <v>0</v>
      </c>
      <c r="V658">
        <v>3</v>
      </c>
      <c r="W658">
        <v>-1.1000000000000001</v>
      </c>
      <c r="AA658">
        <v>0</v>
      </c>
      <c r="AC658">
        <v>0</v>
      </c>
      <c r="AD658">
        <v>0</v>
      </c>
      <c r="AE658">
        <v>0</v>
      </c>
      <c r="AF658">
        <v>1</v>
      </c>
      <c r="AG658">
        <v>0</v>
      </c>
      <c r="AH658">
        <v>23</v>
      </c>
      <c r="AI658">
        <v>0</v>
      </c>
      <c r="AJ658">
        <v>144</v>
      </c>
    </row>
    <row r="659" spans="1:36" x14ac:dyDescent="0.2">
      <c r="A659" t="str">
        <f>+VLOOKUP(B659,studies!$A$2:$C$102,3)</f>
        <v>Kopp et al. (2012)</v>
      </c>
      <c r="B659">
        <v>78</v>
      </c>
      <c r="C659">
        <v>2012</v>
      </c>
      <c r="D659">
        <v>1</v>
      </c>
      <c r="E659">
        <v>2005</v>
      </c>
      <c r="F659">
        <v>2015</v>
      </c>
      <c r="G659">
        <v>6.9444444444444441E-3</v>
      </c>
      <c r="H659">
        <v>180.13159924901856</v>
      </c>
      <c r="I659">
        <v>0</v>
      </c>
      <c r="J659">
        <v>0</v>
      </c>
      <c r="K659">
        <v>1</v>
      </c>
      <c r="L659" t="s">
        <v>238</v>
      </c>
      <c r="M659">
        <v>76.586564306555516</v>
      </c>
      <c r="N659">
        <v>5705.6990408383863</v>
      </c>
      <c r="O659">
        <v>0</v>
      </c>
      <c r="P659">
        <v>1</v>
      </c>
      <c r="Q659">
        <v>0</v>
      </c>
      <c r="R659">
        <v>1</v>
      </c>
      <c r="S659">
        <v>0</v>
      </c>
      <c r="T659">
        <v>1</v>
      </c>
      <c r="U659">
        <v>0</v>
      </c>
      <c r="V659">
        <v>3</v>
      </c>
      <c r="W659">
        <v>-1.1000000000000001</v>
      </c>
      <c r="AA659">
        <v>0</v>
      </c>
      <c r="AC659">
        <v>0</v>
      </c>
      <c r="AD659">
        <v>0</v>
      </c>
      <c r="AE659">
        <v>0</v>
      </c>
      <c r="AF659">
        <v>1</v>
      </c>
      <c r="AG659">
        <v>0</v>
      </c>
      <c r="AH659">
        <v>23</v>
      </c>
      <c r="AI659">
        <v>0</v>
      </c>
      <c r="AJ659">
        <v>144</v>
      </c>
    </row>
    <row r="660" spans="1:36" x14ac:dyDescent="0.2">
      <c r="A660" t="str">
        <f>+VLOOKUP(B660,studies!$A$2:$C$102,3)</f>
        <v>Marten &amp; Newbold (2012)</v>
      </c>
      <c r="B660">
        <v>79</v>
      </c>
      <c r="C660">
        <v>2012</v>
      </c>
      <c r="D660">
        <v>1</v>
      </c>
      <c r="E660">
        <v>2007</v>
      </c>
      <c r="F660">
        <v>2015</v>
      </c>
      <c r="G660">
        <v>2.2222222222222223E-2</v>
      </c>
      <c r="H660">
        <v>42.417480941311133</v>
      </c>
      <c r="I660">
        <v>1</v>
      </c>
      <c r="J660">
        <v>0</v>
      </c>
      <c r="K660">
        <v>0</v>
      </c>
      <c r="L660" t="s">
        <v>238</v>
      </c>
      <c r="M660" t="s">
        <v>238</v>
      </c>
      <c r="N660" t="s">
        <v>238</v>
      </c>
      <c r="O660">
        <v>0</v>
      </c>
      <c r="P660">
        <v>1</v>
      </c>
      <c r="Q660">
        <v>0</v>
      </c>
      <c r="R660">
        <v>1</v>
      </c>
      <c r="S660">
        <v>0</v>
      </c>
      <c r="T660">
        <v>1</v>
      </c>
      <c r="U660">
        <v>0</v>
      </c>
      <c r="V660">
        <v>2.5</v>
      </c>
      <c r="AA660">
        <v>0</v>
      </c>
      <c r="AC660">
        <v>0</v>
      </c>
      <c r="AD660">
        <v>0</v>
      </c>
      <c r="AE660">
        <v>0</v>
      </c>
      <c r="AF660">
        <v>0</v>
      </c>
      <c r="AG660">
        <v>0</v>
      </c>
      <c r="AH660">
        <v>15</v>
      </c>
      <c r="AI660">
        <v>1.6</v>
      </c>
      <c r="AJ660">
        <v>3</v>
      </c>
    </row>
    <row r="661" spans="1:36" x14ac:dyDescent="0.2">
      <c r="A661" t="str">
        <f>+VLOOKUP(B661,studies!$A$2:$C$102,3)</f>
        <v>Marten &amp; Newbold (2012)</v>
      </c>
      <c r="B661">
        <v>79</v>
      </c>
      <c r="C661">
        <v>2012</v>
      </c>
      <c r="D661">
        <v>1</v>
      </c>
      <c r="E661">
        <v>2007</v>
      </c>
      <c r="F661">
        <v>2015</v>
      </c>
      <c r="G661">
        <v>2.2222222222222223E-2</v>
      </c>
      <c r="H661">
        <v>142.67698134804652</v>
      </c>
      <c r="I661">
        <v>1</v>
      </c>
      <c r="J661">
        <v>0</v>
      </c>
      <c r="K661">
        <v>0</v>
      </c>
      <c r="L661" t="s">
        <v>238</v>
      </c>
      <c r="M661">
        <v>90.501118891480161</v>
      </c>
      <c r="N661">
        <v>90.501118891480161</v>
      </c>
      <c r="O661">
        <v>0</v>
      </c>
      <c r="P661">
        <v>1</v>
      </c>
      <c r="Q661">
        <v>0</v>
      </c>
      <c r="R661">
        <v>1</v>
      </c>
      <c r="S661">
        <v>0</v>
      </c>
      <c r="T661">
        <v>1</v>
      </c>
      <c r="U661">
        <v>0</v>
      </c>
      <c r="V661">
        <v>3</v>
      </c>
      <c r="AA661">
        <v>0</v>
      </c>
      <c r="AC661">
        <v>0</v>
      </c>
      <c r="AD661">
        <v>0</v>
      </c>
      <c r="AE661">
        <v>0</v>
      </c>
      <c r="AF661">
        <v>0</v>
      </c>
      <c r="AG661">
        <v>0</v>
      </c>
      <c r="AH661">
        <v>15</v>
      </c>
      <c r="AI661">
        <v>1.6</v>
      </c>
      <c r="AJ661">
        <v>3</v>
      </c>
    </row>
    <row r="662" spans="1:36" x14ac:dyDescent="0.2">
      <c r="A662" t="str">
        <f>+VLOOKUP(B662,studies!$A$2:$C$102,3)</f>
        <v>Marten &amp; Newbold (2012)</v>
      </c>
      <c r="B662">
        <v>79</v>
      </c>
      <c r="C662">
        <v>2012</v>
      </c>
      <c r="D662">
        <v>1</v>
      </c>
      <c r="E662">
        <v>2007</v>
      </c>
      <c r="F662">
        <v>2015</v>
      </c>
      <c r="G662">
        <v>2.2222222222222223E-2</v>
      </c>
      <c r="H662">
        <v>223.65580859964052</v>
      </c>
      <c r="I662">
        <v>1</v>
      </c>
      <c r="J662">
        <v>0</v>
      </c>
      <c r="K662">
        <v>0</v>
      </c>
      <c r="L662" t="s">
        <v>238</v>
      </c>
      <c r="M662" t="s">
        <v>238</v>
      </c>
      <c r="N662" t="s">
        <v>238</v>
      </c>
      <c r="O662">
        <v>0</v>
      </c>
      <c r="P662">
        <v>1</v>
      </c>
      <c r="Q662">
        <v>0</v>
      </c>
      <c r="R662">
        <v>1</v>
      </c>
      <c r="S662">
        <v>0</v>
      </c>
      <c r="T662">
        <v>1</v>
      </c>
      <c r="U662">
        <v>0</v>
      </c>
      <c r="V662">
        <v>5</v>
      </c>
      <c r="AA662">
        <v>0</v>
      </c>
      <c r="AC662">
        <v>0</v>
      </c>
      <c r="AD662">
        <v>0</v>
      </c>
      <c r="AE662">
        <v>0</v>
      </c>
      <c r="AF662">
        <v>0</v>
      </c>
      <c r="AG662">
        <v>0</v>
      </c>
      <c r="AH662">
        <v>15</v>
      </c>
      <c r="AI662">
        <v>1.6</v>
      </c>
      <c r="AJ662">
        <v>3</v>
      </c>
    </row>
    <row r="663" spans="1:36" x14ac:dyDescent="0.2">
      <c r="A663" t="str">
        <f>+VLOOKUP(B663,studies!$A$2:$C$102,3)</f>
        <v>Perrissin-Fabert et al. (2012)</v>
      </c>
      <c r="B663">
        <v>80</v>
      </c>
      <c r="C663">
        <v>2012</v>
      </c>
      <c r="D663">
        <v>0</v>
      </c>
      <c r="E663">
        <v>2010</v>
      </c>
      <c r="F663">
        <v>2020</v>
      </c>
      <c r="G663">
        <v>1</v>
      </c>
      <c r="H663">
        <v>51.277085325751017</v>
      </c>
      <c r="I663">
        <v>0</v>
      </c>
      <c r="J663">
        <v>0</v>
      </c>
      <c r="K663">
        <v>1</v>
      </c>
      <c r="L663" t="s">
        <v>238</v>
      </c>
      <c r="M663">
        <v>21.327684444525723</v>
      </c>
      <c r="N663">
        <v>55.506665926137593</v>
      </c>
      <c r="O663">
        <v>0</v>
      </c>
      <c r="P663">
        <v>1</v>
      </c>
      <c r="Q663">
        <v>0</v>
      </c>
      <c r="R663">
        <v>1</v>
      </c>
      <c r="S663">
        <v>0</v>
      </c>
      <c r="T663">
        <v>1</v>
      </c>
      <c r="U663">
        <v>0</v>
      </c>
      <c r="W663">
        <v>0</v>
      </c>
      <c r="AA663">
        <v>0</v>
      </c>
      <c r="AC663">
        <v>0</v>
      </c>
      <c r="AD663">
        <v>0</v>
      </c>
      <c r="AE663">
        <v>0</v>
      </c>
      <c r="AF663">
        <v>0</v>
      </c>
      <c r="AG663">
        <v>0</v>
      </c>
      <c r="AH663">
        <v>7</v>
      </c>
      <c r="AI663">
        <v>0</v>
      </c>
      <c r="AJ663">
        <v>1</v>
      </c>
    </row>
    <row r="664" spans="1:36" x14ac:dyDescent="0.2">
      <c r="A664" t="str">
        <f>+VLOOKUP(B664,studies!$A$2:$C$102,3)</f>
        <v>Tol (2012)</v>
      </c>
      <c r="B664">
        <v>81</v>
      </c>
      <c r="C664">
        <v>2012</v>
      </c>
      <c r="D664">
        <v>1</v>
      </c>
      <c r="E664">
        <v>1990</v>
      </c>
      <c r="F664">
        <v>2015</v>
      </c>
      <c r="G664">
        <v>1</v>
      </c>
      <c r="H664">
        <v>48.3827390971691</v>
      </c>
      <c r="I664">
        <v>1</v>
      </c>
      <c r="J664">
        <v>0</v>
      </c>
      <c r="K664">
        <v>0</v>
      </c>
      <c r="L664" t="s">
        <v>238</v>
      </c>
      <c r="M664">
        <v>23.833861624221232</v>
      </c>
      <c r="N664">
        <v>30.643536373998728</v>
      </c>
      <c r="O664">
        <v>1</v>
      </c>
      <c r="P664">
        <v>1</v>
      </c>
      <c r="Q664">
        <v>0</v>
      </c>
      <c r="R664">
        <v>1</v>
      </c>
      <c r="S664">
        <v>0</v>
      </c>
      <c r="T664">
        <v>1</v>
      </c>
      <c r="U664">
        <v>0</v>
      </c>
      <c r="W664">
        <v>3</v>
      </c>
      <c r="AA664">
        <v>0</v>
      </c>
      <c r="AC664">
        <v>0</v>
      </c>
      <c r="AD664">
        <v>0</v>
      </c>
      <c r="AE664">
        <v>1</v>
      </c>
      <c r="AF664">
        <v>0</v>
      </c>
      <c r="AG664">
        <v>0</v>
      </c>
      <c r="AH664">
        <v>30</v>
      </c>
      <c r="AI664">
        <v>1.65</v>
      </c>
      <c r="AJ664">
        <v>1</v>
      </c>
    </row>
    <row r="665" spans="1:36" x14ac:dyDescent="0.2">
      <c r="A665" t="str">
        <f>+VLOOKUP(B665,studies!$A$2:$C$102,3)</f>
        <v>Anthoff &amp; Tol (2013)</v>
      </c>
      <c r="B665">
        <v>82</v>
      </c>
      <c r="C665">
        <v>2013</v>
      </c>
      <c r="D665">
        <v>1</v>
      </c>
      <c r="E665">
        <v>1995</v>
      </c>
      <c r="F665">
        <v>2015</v>
      </c>
      <c r="G665">
        <v>9.0909090909090912E-2</v>
      </c>
      <c r="H665">
        <v>535.18153700787411</v>
      </c>
      <c r="I665">
        <v>1</v>
      </c>
      <c r="J665">
        <v>0</v>
      </c>
      <c r="K665">
        <v>0</v>
      </c>
      <c r="L665" t="s">
        <v>238</v>
      </c>
      <c r="M665" t="s">
        <v>238</v>
      </c>
      <c r="N665" t="s">
        <v>238</v>
      </c>
      <c r="O665">
        <v>0</v>
      </c>
      <c r="P665">
        <v>1</v>
      </c>
      <c r="Q665">
        <v>1</v>
      </c>
      <c r="R665">
        <v>1</v>
      </c>
      <c r="S665">
        <v>1</v>
      </c>
      <c r="T665">
        <v>0</v>
      </c>
      <c r="U665">
        <v>0</v>
      </c>
      <c r="W665">
        <v>0.1</v>
      </c>
      <c r="X665">
        <v>1</v>
      </c>
      <c r="AA665">
        <v>0</v>
      </c>
      <c r="AC665">
        <v>0</v>
      </c>
      <c r="AD665">
        <v>0</v>
      </c>
      <c r="AE665">
        <v>1</v>
      </c>
      <c r="AF665">
        <v>0</v>
      </c>
      <c r="AG665">
        <v>0</v>
      </c>
      <c r="AH665">
        <v>24</v>
      </c>
      <c r="AI665">
        <v>1.56</v>
      </c>
      <c r="AJ665">
        <v>11</v>
      </c>
    </row>
    <row r="666" spans="1:36" x14ac:dyDescent="0.2">
      <c r="A666" t="str">
        <f>+VLOOKUP(B666,studies!$A$2:$C$102,3)</f>
        <v>Anthoff &amp; Tol (2013)</v>
      </c>
      <c r="B666">
        <v>82</v>
      </c>
      <c r="C666">
        <v>2013</v>
      </c>
      <c r="D666">
        <v>1</v>
      </c>
      <c r="E666">
        <v>1995</v>
      </c>
      <c r="F666">
        <v>2015</v>
      </c>
      <c r="G666">
        <v>9.0909090909090912E-2</v>
      </c>
      <c r="H666">
        <v>209.68574015748032</v>
      </c>
      <c r="I666">
        <v>1</v>
      </c>
      <c r="J666">
        <v>0</v>
      </c>
      <c r="K666">
        <v>0</v>
      </c>
      <c r="L666" t="s">
        <v>238</v>
      </c>
      <c r="M666" t="s">
        <v>238</v>
      </c>
      <c r="N666" t="s">
        <v>238</v>
      </c>
      <c r="O666">
        <v>0</v>
      </c>
      <c r="P666">
        <v>1</v>
      </c>
      <c r="Q666">
        <v>1</v>
      </c>
      <c r="R666">
        <v>1</v>
      </c>
      <c r="S666">
        <v>1</v>
      </c>
      <c r="T666">
        <v>0</v>
      </c>
      <c r="U666">
        <v>0</v>
      </c>
      <c r="W666">
        <v>0.1</v>
      </c>
      <c r="X666">
        <v>1.5</v>
      </c>
      <c r="AA666">
        <v>0</v>
      </c>
      <c r="AC666">
        <v>0</v>
      </c>
      <c r="AD666">
        <v>0</v>
      </c>
      <c r="AE666">
        <v>1</v>
      </c>
      <c r="AF666">
        <v>0</v>
      </c>
      <c r="AG666">
        <v>0</v>
      </c>
      <c r="AH666">
        <v>24</v>
      </c>
      <c r="AI666">
        <v>1.56</v>
      </c>
      <c r="AJ666">
        <v>11</v>
      </c>
    </row>
    <row r="667" spans="1:36" x14ac:dyDescent="0.2">
      <c r="A667" t="str">
        <f>+VLOOKUP(B667,studies!$A$2:$C$102,3)</f>
        <v>Anthoff &amp; Tol (2013)</v>
      </c>
      <c r="B667">
        <v>82</v>
      </c>
      <c r="C667">
        <v>2013</v>
      </c>
      <c r="D667">
        <v>1</v>
      </c>
      <c r="E667">
        <v>1995</v>
      </c>
      <c r="F667">
        <v>2015</v>
      </c>
      <c r="G667">
        <v>9.0909090909090912E-2</v>
      </c>
      <c r="H667">
        <v>88.810603149606308</v>
      </c>
      <c r="I667">
        <v>1</v>
      </c>
      <c r="J667">
        <v>0</v>
      </c>
      <c r="K667">
        <v>0</v>
      </c>
      <c r="L667" t="s">
        <v>238</v>
      </c>
      <c r="M667" t="s">
        <v>238</v>
      </c>
      <c r="N667" t="s">
        <v>238</v>
      </c>
      <c r="O667">
        <v>0</v>
      </c>
      <c r="P667">
        <v>1</v>
      </c>
      <c r="Q667">
        <v>1</v>
      </c>
      <c r="R667">
        <v>1</v>
      </c>
      <c r="S667">
        <v>1</v>
      </c>
      <c r="T667">
        <v>0</v>
      </c>
      <c r="U667">
        <v>0</v>
      </c>
      <c r="W667">
        <v>0.1</v>
      </c>
      <c r="X667">
        <v>2</v>
      </c>
      <c r="AA667">
        <v>0</v>
      </c>
      <c r="AC667">
        <v>0</v>
      </c>
      <c r="AD667">
        <v>0</v>
      </c>
      <c r="AE667">
        <v>1</v>
      </c>
      <c r="AF667">
        <v>0</v>
      </c>
      <c r="AG667">
        <v>0</v>
      </c>
      <c r="AH667">
        <v>24</v>
      </c>
      <c r="AI667">
        <v>1.56</v>
      </c>
      <c r="AJ667">
        <v>11</v>
      </c>
    </row>
    <row r="668" spans="1:36" x14ac:dyDescent="0.2">
      <c r="A668" t="str">
        <f>+VLOOKUP(B668,studies!$A$2:$C$102,3)</f>
        <v>Anthoff &amp; Tol (2013)</v>
      </c>
      <c r="B668">
        <v>82</v>
      </c>
      <c r="C668">
        <v>2013</v>
      </c>
      <c r="D668">
        <v>1</v>
      </c>
      <c r="E668">
        <v>1995</v>
      </c>
      <c r="F668">
        <v>2015</v>
      </c>
      <c r="G668">
        <v>9.0909090909090912E-2</v>
      </c>
      <c r="H668">
        <v>147.60273595800524</v>
      </c>
      <c r="I668">
        <v>1</v>
      </c>
      <c r="J668">
        <v>0</v>
      </c>
      <c r="K668">
        <v>0</v>
      </c>
      <c r="L668" t="s">
        <v>238</v>
      </c>
      <c r="M668" t="s">
        <v>238</v>
      </c>
      <c r="N668" t="s">
        <v>238</v>
      </c>
      <c r="O668">
        <v>0</v>
      </c>
      <c r="P668">
        <v>1</v>
      </c>
      <c r="Q668">
        <v>1</v>
      </c>
      <c r="R668">
        <v>1</v>
      </c>
      <c r="S668">
        <v>1</v>
      </c>
      <c r="T668">
        <v>0</v>
      </c>
      <c r="U668">
        <v>0</v>
      </c>
      <c r="W668">
        <v>1</v>
      </c>
      <c r="X668">
        <v>1</v>
      </c>
      <c r="AA668">
        <v>0</v>
      </c>
      <c r="AC668">
        <v>0</v>
      </c>
      <c r="AD668">
        <v>0</v>
      </c>
      <c r="AE668">
        <v>1</v>
      </c>
      <c r="AF668">
        <v>0</v>
      </c>
      <c r="AG668">
        <v>0</v>
      </c>
      <c r="AH668">
        <v>24</v>
      </c>
      <c r="AI668">
        <v>1.56</v>
      </c>
      <c r="AJ668">
        <v>11</v>
      </c>
    </row>
    <row r="669" spans="1:36" x14ac:dyDescent="0.2">
      <c r="A669" t="str">
        <f>+VLOOKUP(B669,studies!$A$2:$C$102,3)</f>
        <v>Anthoff &amp; Tol (2013)</v>
      </c>
      <c r="B669">
        <v>82</v>
      </c>
      <c r="C669">
        <v>2013</v>
      </c>
      <c r="D669">
        <v>1</v>
      </c>
      <c r="E669">
        <v>1995</v>
      </c>
      <c r="F669">
        <v>2015</v>
      </c>
      <c r="G669">
        <v>9.0909090909090912E-2</v>
      </c>
      <c r="H669">
        <v>64.558311811023614</v>
      </c>
      <c r="I669">
        <v>1</v>
      </c>
      <c r="J669">
        <v>0</v>
      </c>
      <c r="K669">
        <v>0</v>
      </c>
      <c r="L669" t="s">
        <v>238</v>
      </c>
      <c r="M669" t="s">
        <v>238</v>
      </c>
      <c r="N669" t="s">
        <v>238</v>
      </c>
      <c r="O669">
        <v>0</v>
      </c>
      <c r="P669">
        <v>1</v>
      </c>
      <c r="Q669">
        <v>1</v>
      </c>
      <c r="R669">
        <v>1</v>
      </c>
      <c r="S669">
        <v>1</v>
      </c>
      <c r="T669">
        <v>0</v>
      </c>
      <c r="U669">
        <v>0</v>
      </c>
      <c r="W669">
        <v>1</v>
      </c>
      <c r="X669">
        <v>1.5</v>
      </c>
      <c r="AA669">
        <v>0</v>
      </c>
      <c r="AC669">
        <v>0</v>
      </c>
      <c r="AD669">
        <v>0</v>
      </c>
      <c r="AE669">
        <v>1</v>
      </c>
      <c r="AF669">
        <v>0</v>
      </c>
      <c r="AG669">
        <v>0</v>
      </c>
      <c r="AH669">
        <v>24</v>
      </c>
      <c r="AI669">
        <v>1.56</v>
      </c>
      <c r="AJ669">
        <v>11</v>
      </c>
    </row>
    <row r="670" spans="1:36" x14ac:dyDescent="0.2">
      <c r="A670" t="str">
        <f>+VLOOKUP(B670,studies!$A$2:$C$102,3)</f>
        <v>Anthoff &amp; Tol (2013)</v>
      </c>
      <c r="B670">
        <v>82</v>
      </c>
      <c r="C670">
        <v>2013</v>
      </c>
      <c r="D670">
        <v>1</v>
      </c>
      <c r="E670">
        <v>1995</v>
      </c>
      <c r="F670">
        <v>2015</v>
      </c>
      <c r="G670">
        <v>9.0909090909090912E-2</v>
      </c>
      <c r="H670">
        <v>73.543821522309713</v>
      </c>
      <c r="I670">
        <v>1</v>
      </c>
      <c r="J670">
        <v>0</v>
      </c>
      <c r="K670">
        <v>0</v>
      </c>
      <c r="L670" t="s">
        <v>238</v>
      </c>
      <c r="M670" t="s">
        <v>238</v>
      </c>
      <c r="N670" t="s">
        <v>238</v>
      </c>
      <c r="O670">
        <v>0</v>
      </c>
      <c r="P670">
        <v>1</v>
      </c>
      <c r="Q670">
        <v>1</v>
      </c>
      <c r="R670">
        <v>1</v>
      </c>
      <c r="S670">
        <v>1</v>
      </c>
      <c r="T670">
        <v>0</v>
      </c>
      <c r="U670">
        <v>0</v>
      </c>
      <c r="W670">
        <v>1</v>
      </c>
      <c r="X670">
        <v>1.5</v>
      </c>
      <c r="AA670">
        <v>0</v>
      </c>
      <c r="AC670">
        <v>0</v>
      </c>
      <c r="AD670">
        <v>0</v>
      </c>
      <c r="AE670">
        <v>1</v>
      </c>
      <c r="AF670">
        <v>0</v>
      </c>
      <c r="AG670">
        <v>0</v>
      </c>
      <c r="AH670">
        <v>24</v>
      </c>
      <c r="AI670">
        <v>1.56</v>
      </c>
      <c r="AJ670">
        <v>11</v>
      </c>
    </row>
    <row r="671" spans="1:36" x14ac:dyDescent="0.2">
      <c r="A671" t="str">
        <f>+VLOOKUP(B671,studies!$A$2:$C$102,3)</f>
        <v>Anthoff &amp; Tol (2013)</v>
      </c>
      <c r="B671">
        <v>82</v>
      </c>
      <c r="C671">
        <v>2013</v>
      </c>
      <c r="D671">
        <v>1</v>
      </c>
      <c r="E671">
        <v>1995</v>
      </c>
      <c r="F671">
        <v>2015</v>
      </c>
      <c r="G671">
        <v>9.0909090909090912E-2</v>
      </c>
      <c r="H671">
        <v>470.63753333333335</v>
      </c>
      <c r="I671">
        <v>1</v>
      </c>
      <c r="J671">
        <v>0</v>
      </c>
      <c r="K671">
        <v>0</v>
      </c>
      <c r="L671" t="s">
        <v>238</v>
      </c>
      <c r="M671" t="s">
        <v>238</v>
      </c>
      <c r="N671" t="s">
        <v>238</v>
      </c>
      <c r="O671">
        <v>0</v>
      </c>
      <c r="P671">
        <v>1</v>
      </c>
      <c r="Q671">
        <v>1</v>
      </c>
      <c r="R671">
        <v>1</v>
      </c>
      <c r="S671">
        <v>1</v>
      </c>
      <c r="T671">
        <v>0</v>
      </c>
      <c r="U671">
        <v>0</v>
      </c>
      <c r="W671">
        <v>1</v>
      </c>
      <c r="X671">
        <v>1.5</v>
      </c>
      <c r="AA671">
        <v>1</v>
      </c>
      <c r="AC671">
        <v>0</v>
      </c>
      <c r="AD671">
        <v>0</v>
      </c>
      <c r="AE671">
        <v>1</v>
      </c>
      <c r="AF671">
        <v>0</v>
      </c>
      <c r="AG671">
        <v>0</v>
      </c>
      <c r="AH671">
        <v>24</v>
      </c>
      <c r="AI671">
        <v>1.56</v>
      </c>
      <c r="AJ671">
        <v>11</v>
      </c>
    </row>
    <row r="672" spans="1:36" x14ac:dyDescent="0.2">
      <c r="A672" t="str">
        <f>+VLOOKUP(B672,studies!$A$2:$C$102,3)</f>
        <v>Anthoff &amp; Tol (2013)</v>
      </c>
      <c r="B672">
        <v>82</v>
      </c>
      <c r="C672">
        <v>2013</v>
      </c>
      <c r="D672">
        <v>1</v>
      </c>
      <c r="E672">
        <v>1995</v>
      </c>
      <c r="F672">
        <v>2015</v>
      </c>
      <c r="G672">
        <v>9.0909090909090912E-2</v>
      </c>
      <c r="H672">
        <v>28.988284514435698</v>
      </c>
      <c r="I672">
        <v>1</v>
      </c>
      <c r="J672">
        <v>0</v>
      </c>
      <c r="K672">
        <v>0</v>
      </c>
      <c r="L672" t="s">
        <v>238</v>
      </c>
      <c r="M672" t="s">
        <v>238</v>
      </c>
      <c r="N672" t="s">
        <v>238</v>
      </c>
      <c r="O672">
        <v>0</v>
      </c>
      <c r="P672">
        <v>1</v>
      </c>
      <c r="Q672">
        <v>1</v>
      </c>
      <c r="R672">
        <v>1</v>
      </c>
      <c r="S672">
        <v>1</v>
      </c>
      <c r="T672">
        <v>0</v>
      </c>
      <c r="U672">
        <v>0</v>
      </c>
      <c r="W672">
        <v>1</v>
      </c>
      <c r="X672">
        <v>2</v>
      </c>
      <c r="AA672">
        <v>0</v>
      </c>
      <c r="AC672">
        <v>0</v>
      </c>
      <c r="AD672">
        <v>0</v>
      </c>
      <c r="AE672">
        <v>1</v>
      </c>
      <c r="AF672">
        <v>0</v>
      </c>
      <c r="AG672">
        <v>0</v>
      </c>
      <c r="AH672">
        <v>24</v>
      </c>
      <c r="AI672">
        <v>1.56</v>
      </c>
      <c r="AJ672">
        <v>11</v>
      </c>
    </row>
    <row r="673" spans="1:36" x14ac:dyDescent="0.2">
      <c r="A673" t="str">
        <f>+VLOOKUP(B673,studies!$A$2:$C$102,3)</f>
        <v>Anthoff &amp; Tol (2013)</v>
      </c>
      <c r="B673">
        <v>82</v>
      </c>
      <c r="C673">
        <v>2013</v>
      </c>
      <c r="D673">
        <v>1</v>
      </c>
      <c r="E673">
        <v>1995</v>
      </c>
      <c r="F673">
        <v>2015</v>
      </c>
      <c r="G673">
        <v>9.0909090909090912E-2</v>
      </c>
      <c r="H673">
        <v>14.336752755905511</v>
      </c>
      <c r="I673">
        <v>1</v>
      </c>
      <c r="J673">
        <v>0</v>
      </c>
      <c r="K673">
        <v>0</v>
      </c>
      <c r="L673" t="s">
        <v>238</v>
      </c>
      <c r="M673" t="s">
        <v>238</v>
      </c>
      <c r="N673" t="s">
        <v>238</v>
      </c>
      <c r="O673">
        <v>0</v>
      </c>
      <c r="P673">
        <v>1</v>
      </c>
      <c r="Q673">
        <v>1</v>
      </c>
      <c r="R673">
        <v>1</v>
      </c>
      <c r="S673">
        <v>1</v>
      </c>
      <c r="T673">
        <v>0</v>
      </c>
      <c r="U673">
        <v>0</v>
      </c>
      <c r="W673">
        <v>3</v>
      </c>
      <c r="X673">
        <v>1</v>
      </c>
      <c r="AA673">
        <v>0</v>
      </c>
      <c r="AC673">
        <v>0</v>
      </c>
      <c r="AD673">
        <v>0</v>
      </c>
      <c r="AE673">
        <v>1</v>
      </c>
      <c r="AF673">
        <v>0</v>
      </c>
      <c r="AG673">
        <v>0</v>
      </c>
      <c r="AH673">
        <v>24</v>
      </c>
      <c r="AI673">
        <v>1.56</v>
      </c>
      <c r="AJ673">
        <v>11</v>
      </c>
    </row>
    <row r="674" spans="1:36" x14ac:dyDescent="0.2">
      <c r="A674" t="str">
        <f>+VLOOKUP(B674,studies!$A$2:$C$102,3)</f>
        <v>Anthoff &amp; Tol (2013)</v>
      </c>
      <c r="B674">
        <v>82</v>
      </c>
      <c r="C674">
        <v>2013</v>
      </c>
      <c r="D674">
        <v>1</v>
      </c>
      <c r="E674">
        <v>1995</v>
      </c>
      <c r="F674">
        <v>2015</v>
      </c>
      <c r="G674">
        <v>9.0909090909090912E-2</v>
      </c>
      <c r="H674">
        <v>5.5372488188976376</v>
      </c>
      <c r="I674">
        <v>1</v>
      </c>
      <c r="J674">
        <v>0</v>
      </c>
      <c r="K674">
        <v>0</v>
      </c>
      <c r="L674" t="s">
        <v>238</v>
      </c>
      <c r="M674" t="s">
        <v>238</v>
      </c>
      <c r="N674" t="s">
        <v>238</v>
      </c>
      <c r="O674">
        <v>0</v>
      </c>
      <c r="P674">
        <v>1</v>
      </c>
      <c r="Q674">
        <v>1</v>
      </c>
      <c r="R674">
        <v>1</v>
      </c>
      <c r="S674">
        <v>1</v>
      </c>
      <c r="T674">
        <v>0</v>
      </c>
      <c r="U674">
        <v>0</v>
      </c>
      <c r="W674">
        <v>3</v>
      </c>
      <c r="X674">
        <v>1.5</v>
      </c>
      <c r="AA674">
        <v>0</v>
      </c>
      <c r="AC674">
        <v>0</v>
      </c>
      <c r="AD674">
        <v>0</v>
      </c>
      <c r="AE674">
        <v>1</v>
      </c>
      <c r="AF674">
        <v>0</v>
      </c>
      <c r="AG674">
        <v>0</v>
      </c>
      <c r="AH674">
        <v>24</v>
      </c>
      <c r="AI674">
        <v>1.56</v>
      </c>
      <c r="AJ674">
        <v>11</v>
      </c>
    </row>
    <row r="675" spans="1:36" x14ac:dyDescent="0.2">
      <c r="A675" t="str">
        <f>+VLOOKUP(B675,studies!$A$2:$C$102,3)</f>
        <v>Anthoff &amp; Tol (2013)</v>
      </c>
      <c r="B675">
        <v>82</v>
      </c>
      <c r="C675">
        <v>2013</v>
      </c>
      <c r="D675">
        <v>1</v>
      </c>
      <c r="E675">
        <v>1995</v>
      </c>
      <c r="F675">
        <v>2015</v>
      </c>
      <c r="G675">
        <v>9.0909090909090912E-2</v>
      </c>
      <c r="H675">
        <v>1.0158776902887139</v>
      </c>
      <c r="I675">
        <v>1</v>
      </c>
      <c r="J675">
        <v>0</v>
      </c>
      <c r="K675">
        <v>0</v>
      </c>
      <c r="L675" t="s">
        <v>238</v>
      </c>
      <c r="M675" t="s">
        <v>238</v>
      </c>
      <c r="N675" t="s">
        <v>238</v>
      </c>
      <c r="O675">
        <v>0</v>
      </c>
      <c r="P675">
        <v>1</v>
      </c>
      <c r="Q675">
        <v>1</v>
      </c>
      <c r="R675">
        <v>1</v>
      </c>
      <c r="S675">
        <v>1</v>
      </c>
      <c r="T675">
        <v>0</v>
      </c>
      <c r="U675">
        <v>0</v>
      </c>
      <c r="W675">
        <v>3</v>
      </c>
      <c r="X675">
        <v>2</v>
      </c>
      <c r="AA675">
        <v>0</v>
      </c>
      <c r="AC675">
        <v>0</v>
      </c>
      <c r="AD675">
        <v>0</v>
      </c>
      <c r="AE675">
        <v>1</v>
      </c>
      <c r="AF675">
        <v>0</v>
      </c>
      <c r="AG675">
        <v>0</v>
      </c>
      <c r="AH675">
        <v>24</v>
      </c>
      <c r="AI675">
        <v>1.56</v>
      </c>
      <c r="AJ675">
        <v>11</v>
      </c>
    </row>
    <row r="676" spans="1:36" x14ac:dyDescent="0.2">
      <c r="A676" t="str">
        <f>+VLOOKUP(B676,studies!$A$2:$C$102,3)</f>
        <v>van den Bijgaart et al. (2013)</v>
      </c>
      <c r="B676">
        <v>83</v>
      </c>
      <c r="C676">
        <v>2013</v>
      </c>
      <c r="D676">
        <v>0</v>
      </c>
      <c r="E676">
        <v>2010</v>
      </c>
      <c r="F676">
        <v>2015</v>
      </c>
      <c r="G676">
        <v>0.25</v>
      </c>
      <c r="H676">
        <v>233.59893758300134</v>
      </c>
      <c r="I676">
        <v>0</v>
      </c>
      <c r="J676">
        <v>0</v>
      </c>
      <c r="K676">
        <v>1</v>
      </c>
      <c r="L676">
        <v>2046.0485651214128</v>
      </c>
      <c r="M676">
        <v>2046.0485651214128</v>
      </c>
      <c r="N676">
        <v>2046.0485651214128</v>
      </c>
      <c r="O676">
        <v>1</v>
      </c>
      <c r="P676">
        <v>1</v>
      </c>
      <c r="Q676">
        <v>1</v>
      </c>
      <c r="R676">
        <v>0</v>
      </c>
      <c r="S676">
        <v>0</v>
      </c>
      <c r="T676">
        <v>0</v>
      </c>
      <c r="U676">
        <v>0</v>
      </c>
      <c r="V676">
        <v>0.1</v>
      </c>
      <c r="W676">
        <v>2</v>
      </c>
      <c r="AA676">
        <v>0</v>
      </c>
      <c r="AB676">
        <v>3</v>
      </c>
      <c r="AC676">
        <v>0</v>
      </c>
      <c r="AD676">
        <v>0</v>
      </c>
      <c r="AE676">
        <v>0</v>
      </c>
      <c r="AF676">
        <v>1</v>
      </c>
      <c r="AG676">
        <v>0</v>
      </c>
      <c r="AH676">
        <v>3</v>
      </c>
      <c r="AI676">
        <v>0</v>
      </c>
      <c r="AJ676">
        <v>4</v>
      </c>
    </row>
    <row r="677" spans="1:36" x14ac:dyDescent="0.2">
      <c r="A677" t="str">
        <f>+VLOOKUP(B677,studies!$A$2:$C$102,3)</f>
        <v>van den Bijgaart et al. (2013)</v>
      </c>
      <c r="B677">
        <v>83</v>
      </c>
      <c r="C677">
        <v>2013</v>
      </c>
      <c r="D677">
        <v>0</v>
      </c>
      <c r="E677">
        <v>2010</v>
      </c>
      <c r="F677">
        <v>2015</v>
      </c>
      <c r="G677">
        <v>0.25</v>
      </c>
      <c r="H677">
        <v>38.778220451527226</v>
      </c>
      <c r="I677">
        <v>0</v>
      </c>
      <c r="J677">
        <v>0</v>
      </c>
      <c r="K677">
        <v>1</v>
      </c>
      <c r="L677">
        <v>284.10596026490066</v>
      </c>
      <c r="M677">
        <v>284.10596026490066</v>
      </c>
      <c r="N677">
        <v>284.10596026490066</v>
      </c>
      <c r="O677">
        <v>1</v>
      </c>
      <c r="P677">
        <v>1</v>
      </c>
      <c r="Q677">
        <v>1</v>
      </c>
      <c r="R677">
        <v>0</v>
      </c>
      <c r="S677">
        <v>0</v>
      </c>
      <c r="T677">
        <v>0</v>
      </c>
      <c r="U677">
        <v>0</v>
      </c>
      <c r="V677">
        <v>1</v>
      </c>
      <c r="W677">
        <v>2</v>
      </c>
      <c r="AA677">
        <v>0</v>
      </c>
      <c r="AB677">
        <v>3</v>
      </c>
      <c r="AC677">
        <v>0</v>
      </c>
      <c r="AD677">
        <v>0</v>
      </c>
      <c r="AE677">
        <v>0</v>
      </c>
      <c r="AF677">
        <v>1</v>
      </c>
      <c r="AG677">
        <v>0</v>
      </c>
      <c r="AH677">
        <v>3</v>
      </c>
      <c r="AI677">
        <v>0</v>
      </c>
      <c r="AJ677">
        <v>4</v>
      </c>
    </row>
    <row r="678" spans="1:36" x14ac:dyDescent="0.2">
      <c r="A678" t="str">
        <f>+VLOOKUP(B678,studies!$A$2:$C$102,3)</f>
        <v>van den Bijgaart et al. (2013)</v>
      </c>
      <c r="B678">
        <v>83</v>
      </c>
      <c r="C678">
        <v>2013</v>
      </c>
      <c r="D678">
        <v>0</v>
      </c>
      <c r="E678">
        <v>2010</v>
      </c>
      <c r="F678">
        <v>2015</v>
      </c>
      <c r="G678">
        <v>0.25</v>
      </c>
      <c r="H678">
        <v>18.193891102257634</v>
      </c>
      <c r="I678">
        <v>0</v>
      </c>
      <c r="J678">
        <v>0</v>
      </c>
      <c r="K678">
        <v>1</v>
      </c>
      <c r="L678">
        <v>123.841059602649</v>
      </c>
      <c r="M678">
        <v>123.841059602649</v>
      </c>
      <c r="N678">
        <v>123.841059602649</v>
      </c>
      <c r="O678">
        <v>1</v>
      </c>
      <c r="P678">
        <v>1</v>
      </c>
      <c r="Q678">
        <v>1</v>
      </c>
      <c r="R678">
        <v>0</v>
      </c>
      <c r="S678">
        <v>0</v>
      </c>
      <c r="T678">
        <v>0</v>
      </c>
      <c r="U678">
        <v>0</v>
      </c>
      <c r="V678">
        <v>2</v>
      </c>
      <c r="W678">
        <v>2</v>
      </c>
      <c r="AA678">
        <v>0</v>
      </c>
      <c r="AB678">
        <v>3</v>
      </c>
      <c r="AC678">
        <v>0</v>
      </c>
      <c r="AD678">
        <v>0</v>
      </c>
      <c r="AE678">
        <v>0</v>
      </c>
      <c r="AF678">
        <v>1</v>
      </c>
      <c r="AG678">
        <v>0</v>
      </c>
      <c r="AH678">
        <v>3</v>
      </c>
      <c r="AI678">
        <v>0</v>
      </c>
      <c r="AJ678">
        <v>4</v>
      </c>
    </row>
    <row r="679" spans="1:36" x14ac:dyDescent="0.2">
      <c r="A679" t="str">
        <f>+VLOOKUP(B679,studies!$A$2:$C$102,3)</f>
        <v>van den Bijgaart et al. (2013)</v>
      </c>
      <c r="B679">
        <v>83</v>
      </c>
      <c r="C679">
        <v>2013</v>
      </c>
      <c r="D679">
        <v>0</v>
      </c>
      <c r="E679">
        <v>2010</v>
      </c>
      <c r="F679">
        <v>2015</v>
      </c>
      <c r="G679">
        <v>0.25</v>
      </c>
      <c r="H679">
        <v>10.889774236387781</v>
      </c>
      <c r="I679">
        <v>0</v>
      </c>
      <c r="J679">
        <v>0</v>
      </c>
      <c r="K679">
        <v>1</v>
      </c>
      <c r="L679">
        <v>71.390728476821181</v>
      </c>
      <c r="M679">
        <v>71.390728476821181</v>
      </c>
      <c r="N679">
        <v>71.390728476821181</v>
      </c>
      <c r="O679">
        <v>1</v>
      </c>
      <c r="P679">
        <v>1</v>
      </c>
      <c r="Q679">
        <v>1</v>
      </c>
      <c r="R679">
        <v>0</v>
      </c>
      <c r="S679">
        <v>0</v>
      </c>
      <c r="T679">
        <v>0</v>
      </c>
      <c r="U679">
        <v>0</v>
      </c>
      <c r="V679">
        <v>3</v>
      </c>
      <c r="W679">
        <v>2</v>
      </c>
      <c r="AA679">
        <v>0</v>
      </c>
      <c r="AB679">
        <v>3</v>
      </c>
      <c r="AC679">
        <v>0</v>
      </c>
      <c r="AD679">
        <v>0</v>
      </c>
      <c r="AE679">
        <v>0</v>
      </c>
      <c r="AF679">
        <v>1</v>
      </c>
      <c r="AG679">
        <v>0</v>
      </c>
      <c r="AH679">
        <v>3</v>
      </c>
      <c r="AI679">
        <v>0</v>
      </c>
      <c r="AJ679">
        <v>4</v>
      </c>
    </row>
    <row r="680" spans="1:36" x14ac:dyDescent="0.2">
      <c r="A680" t="str">
        <f>+VLOOKUP(B680,studies!$A$2:$C$102,3)</f>
        <v>Cai et al. (2013)</v>
      </c>
      <c r="B680">
        <v>84</v>
      </c>
      <c r="C680">
        <v>2013</v>
      </c>
      <c r="D680">
        <v>0</v>
      </c>
      <c r="E680">
        <v>2005</v>
      </c>
      <c r="F680">
        <v>2015</v>
      </c>
      <c r="G680">
        <v>0.33333333333333331</v>
      </c>
      <c r="H680">
        <v>171.94379928315411</v>
      </c>
      <c r="I680">
        <v>0</v>
      </c>
      <c r="J680">
        <v>1</v>
      </c>
      <c r="K680">
        <v>0</v>
      </c>
      <c r="O680">
        <v>0</v>
      </c>
      <c r="P680">
        <v>1</v>
      </c>
      <c r="Q680">
        <v>1</v>
      </c>
      <c r="R680">
        <v>1</v>
      </c>
      <c r="S680">
        <v>0</v>
      </c>
      <c r="T680">
        <v>1</v>
      </c>
      <c r="U680">
        <v>0</v>
      </c>
      <c r="X680">
        <v>10</v>
      </c>
      <c r="Z680">
        <v>0.5</v>
      </c>
      <c r="AA680">
        <v>0</v>
      </c>
      <c r="AB680">
        <v>3</v>
      </c>
      <c r="AC680">
        <v>0</v>
      </c>
      <c r="AD680">
        <v>0</v>
      </c>
      <c r="AE680">
        <v>0</v>
      </c>
      <c r="AF680">
        <v>1</v>
      </c>
      <c r="AG680">
        <v>0</v>
      </c>
      <c r="AH680">
        <v>18</v>
      </c>
      <c r="AI680">
        <v>0</v>
      </c>
      <c r="AJ680">
        <v>3</v>
      </c>
    </row>
    <row r="681" spans="1:36" x14ac:dyDescent="0.2">
      <c r="A681" t="str">
        <f>+VLOOKUP(B681,studies!$A$2:$C$102,3)</f>
        <v>Cai et al. (2013)</v>
      </c>
      <c r="B681">
        <v>84</v>
      </c>
      <c r="C681">
        <v>2013</v>
      </c>
      <c r="D681">
        <v>0</v>
      </c>
      <c r="E681">
        <v>2005</v>
      </c>
      <c r="F681">
        <v>2015</v>
      </c>
      <c r="G681">
        <v>0.33333333333333331</v>
      </c>
      <c r="H681">
        <v>286.57299880525682</v>
      </c>
      <c r="I681">
        <v>0</v>
      </c>
      <c r="J681">
        <v>1</v>
      </c>
      <c r="K681">
        <v>0</v>
      </c>
      <c r="O681">
        <v>0</v>
      </c>
      <c r="P681">
        <v>1</v>
      </c>
      <c r="Q681">
        <v>1</v>
      </c>
      <c r="R681">
        <v>1</v>
      </c>
      <c r="S681">
        <v>0</v>
      </c>
      <c r="T681">
        <v>1</v>
      </c>
      <c r="U681">
        <v>0</v>
      </c>
      <c r="X681">
        <v>10</v>
      </c>
      <c r="Z681">
        <v>0.83333333333333337</v>
      </c>
      <c r="AA681">
        <v>0</v>
      </c>
      <c r="AB681">
        <v>3</v>
      </c>
      <c r="AC681">
        <v>0</v>
      </c>
      <c r="AD681">
        <v>0</v>
      </c>
      <c r="AE681">
        <v>0</v>
      </c>
      <c r="AF681">
        <v>1</v>
      </c>
      <c r="AG681">
        <v>0</v>
      </c>
      <c r="AH681">
        <v>18</v>
      </c>
      <c r="AI681">
        <v>0</v>
      </c>
      <c r="AJ681">
        <v>3</v>
      </c>
    </row>
    <row r="682" spans="1:36" x14ac:dyDescent="0.2">
      <c r="A682" t="str">
        <f>+VLOOKUP(B682,studies!$A$2:$C$102,3)</f>
        <v>Cai et al. (2013)</v>
      </c>
      <c r="B682">
        <v>84</v>
      </c>
      <c r="C682">
        <v>2013</v>
      </c>
      <c r="D682">
        <v>0</v>
      </c>
      <c r="E682">
        <v>2005</v>
      </c>
      <c r="F682">
        <v>2015</v>
      </c>
      <c r="G682">
        <v>0.33333333333333331</v>
      </c>
      <c r="H682">
        <v>552.6764976958525</v>
      </c>
      <c r="I682">
        <v>0</v>
      </c>
      <c r="J682">
        <v>1</v>
      </c>
      <c r="K682">
        <v>0</v>
      </c>
      <c r="O682">
        <v>0</v>
      </c>
      <c r="P682">
        <v>1</v>
      </c>
      <c r="Q682">
        <v>1</v>
      </c>
      <c r="R682">
        <v>1</v>
      </c>
      <c r="S682">
        <v>0</v>
      </c>
      <c r="T682">
        <v>1</v>
      </c>
      <c r="U682">
        <v>0</v>
      </c>
      <c r="X682">
        <v>10</v>
      </c>
      <c r="Z682">
        <v>2</v>
      </c>
      <c r="AA682">
        <v>0</v>
      </c>
      <c r="AB682">
        <v>3</v>
      </c>
      <c r="AC682">
        <v>0</v>
      </c>
      <c r="AD682">
        <v>0</v>
      </c>
      <c r="AE682">
        <v>0</v>
      </c>
      <c r="AF682">
        <v>1</v>
      </c>
      <c r="AG682">
        <v>0</v>
      </c>
      <c r="AH682">
        <v>18</v>
      </c>
      <c r="AI682">
        <v>0</v>
      </c>
      <c r="AJ682">
        <v>3</v>
      </c>
    </row>
    <row r="683" spans="1:36" x14ac:dyDescent="0.2">
      <c r="A683" t="str">
        <f>+VLOOKUP(B683,studies!$A$2:$C$102,3)</f>
        <v>Dennig (2013)</v>
      </c>
      <c r="B683">
        <v>85</v>
      </c>
      <c r="C683">
        <v>2013</v>
      </c>
      <c r="D683">
        <v>0</v>
      </c>
      <c r="E683">
        <v>2005</v>
      </c>
      <c r="F683">
        <v>2015</v>
      </c>
      <c r="G683">
        <v>1</v>
      </c>
      <c r="H683">
        <v>126.16655401945724</v>
      </c>
      <c r="I683">
        <v>0</v>
      </c>
      <c r="J683">
        <v>1</v>
      </c>
      <c r="K683">
        <v>0</v>
      </c>
      <c r="O683">
        <v>1</v>
      </c>
      <c r="P683">
        <v>1</v>
      </c>
      <c r="Q683">
        <v>0</v>
      </c>
      <c r="R683">
        <v>0</v>
      </c>
      <c r="S683">
        <v>0</v>
      </c>
      <c r="T683">
        <v>1</v>
      </c>
      <c r="U683">
        <v>0</v>
      </c>
      <c r="W683">
        <v>0.1</v>
      </c>
      <c r="X683">
        <v>1.5</v>
      </c>
      <c r="Z683">
        <v>0.66666666666666663</v>
      </c>
      <c r="AA683">
        <v>1</v>
      </c>
      <c r="AC683">
        <v>0</v>
      </c>
      <c r="AD683">
        <v>0</v>
      </c>
      <c r="AE683">
        <v>0</v>
      </c>
      <c r="AF683">
        <v>1</v>
      </c>
      <c r="AG683">
        <v>0</v>
      </c>
      <c r="AH683">
        <v>1</v>
      </c>
      <c r="AI683">
        <v>0</v>
      </c>
      <c r="AJ683">
        <v>1</v>
      </c>
    </row>
    <row r="684" spans="1:36" x14ac:dyDescent="0.2">
      <c r="A684" t="str">
        <f>+VLOOKUP(B684,studies!$A$2:$C$102,3)</f>
        <v>Foley et al. (2013)</v>
      </c>
      <c r="B684">
        <v>86</v>
      </c>
      <c r="C684">
        <v>2013</v>
      </c>
      <c r="D684">
        <v>1</v>
      </c>
      <c r="E684">
        <v>2009</v>
      </c>
      <c r="F684">
        <v>2009</v>
      </c>
      <c r="G684">
        <v>1</v>
      </c>
      <c r="H684">
        <v>246.34446124790517</v>
      </c>
      <c r="I684">
        <v>0</v>
      </c>
      <c r="J684">
        <v>1</v>
      </c>
      <c r="K684">
        <v>0</v>
      </c>
      <c r="O684">
        <v>1</v>
      </c>
      <c r="P684">
        <v>1</v>
      </c>
      <c r="Q684">
        <v>1</v>
      </c>
      <c r="R684">
        <v>0</v>
      </c>
      <c r="S684">
        <v>0</v>
      </c>
      <c r="T684">
        <v>0</v>
      </c>
      <c r="U684">
        <v>0</v>
      </c>
      <c r="V684">
        <v>2</v>
      </c>
      <c r="W684">
        <v>1</v>
      </c>
      <c r="X684">
        <v>2</v>
      </c>
      <c r="AA684">
        <v>0</v>
      </c>
      <c r="AC684">
        <v>0</v>
      </c>
      <c r="AD684">
        <v>0</v>
      </c>
      <c r="AE684">
        <v>0</v>
      </c>
      <c r="AF684">
        <v>1</v>
      </c>
      <c r="AG684">
        <v>0</v>
      </c>
      <c r="AH684">
        <v>3</v>
      </c>
      <c r="AI684">
        <v>0.81</v>
      </c>
      <c r="AJ684">
        <v>1</v>
      </c>
    </row>
    <row r="685" spans="1:36" x14ac:dyDescent="0.2">
      <c r="A685" t="str">
        <f>+VLOOKUP(B685,studies!$A$2:$C$102,3)</f>
        <v>Greenstone et al. (2013)</v>
      </c>
      <c r="B685">
        <v>87</v>
      </c>
      <c r="C685">
        <v>2013</v>
      </c>
      <c r="D685">
        <v>1</v>
      </c>
      <c r="E685">
        <v>2007</v>
      </c>
      <c r="F685">
        <v>2010</v>
      </c>
      <c r="G685">
        <v>2.1276595744680851E-2</v>
      </c>
      <c r="H685">
        <v>48.541327297051907</v>
      </c>
      <c r="I685">
        <v>1</v>
      </c>
      <c r="J685">
        <v>0</v>
      </c>
      <c r="K685">
        <v>0</v>
      </c>
      <c r="L685" t="s">
        <v>238</v>
      </c>
      <c r="M685" t="s">
        <v>238</v>
      </c>
      <c r="N685" t="s">
        <v>238</v>
      </c>
      <c r="O685">
        <v>0</v>
      </c>
      <c r="P685">
        <v>1</v>
      </c>
      <c r="Q685">
        <v>1</v>
      </c>
      <c r="R685">
        <v>1</v>
      </c>
      <c r="S685">
        <v>1</v>
      </c>
      <c r="T685">
        <v>1</v>
      </c>
      <c r="U685">
        <v>1</v>
      </c>
      <c r="V685">
        <v>5</v>
      </c>
      <c r="AA685">
        <v>0</v>
      </c>
      <c r="AC685">
        <v>0</v>
      </c>
      <c r="AD685">
        <v>0</v>
      </c>
      <c r="AE685">
        <v>0</v>
      </c>
      <c r="AF685">
        <v>0</v>
      </c>
      <c r="AG685">
        <v>0</v>
      </c>
      <c r="AH685">
        <v>23</v>
      </c>
      <c r="AI685">
        <v>2.42</v>
      </c>
      <c r="AJ685">
        <v>47</v>
      </c>
    </row>
    <row r="686" spans="1:36" x14ac:dyDescent="0.2">
      <c r="A686" t="str">
        <f>+VLOOKUP(B686,studies!$A$2:$C$102,3)</f>
        <v>Greenstone et al. (2013)</v>
      </c>
      <c r="B686">
        <v>87</v>
      </c>
      <c r="C686">
        <v>2013</v>
      </c>
      <c r="D686">
        <v>1</v>
      </c>
      <c r="E686">
        <v>2007</v>
      </c>
      <c r="F686">
        <v>2010</v>
      </c>
      <c r="G686">
        <v>2.1276595744680851E-2</v>
      </c>
      <c r="H686">
        <v>33.709255067397159</v>
      </c>
      <c r="I686">
        <v>1</v>
      </c>
      <c r="J686">
        <v>0</v>
      </c>
      <c r="K686">
        <v>0</v>
      </c>
      <c r="L686" t="s">
        <v>238</v>
      </c>
      <c r="M686" t="s">
        <v>238</v>
      </c>
      <c r="N686" t="s">
        <v>238</v>
      </c>
      <c r="O686">
        <v>0</v>
      </c>
      <c r="P686">
        <v>1</v>
      </c>
      <c r="Q686">
        <v>1</v>
      </c>
      <c r="R686">
        <v>1</v>
      </c>
      <c r="S686">
        <v>1</v>
      </c>
      <c r="T686">
        <v>1</v>
      </c>
      <c r="U686">
        <v>1</v>
      </c>
      <c r="V686">
        <v>5</v>
      </c>
      <c r="AA686">
        <v>0</v>
      </c>
      <c r="AC686">
        <v>0</v>
      </c>
      <c r="AD686">
        <v>0</v>
      </c>
      <c r="AE686">
        <v>0</v>
      </c>
      <c r="AF686">
        <v>0</v>
      </c>
      <c r="AG686">
        <v>0</v>
      </c>
      <c r="AH686">
        <v>23</v>
      </c>
      <c r="AI686">
        <v>2.42</v>
      </c>
      <c r="AJ686">
        <v>47</v>
      </c>
    </row>
    <row r="687" spans="1:36" x14ac:dyDescent="0.2">
      <c r="A687" t="str">
        <f>+VLOOKUP(B687,studies!$A$2:$C$102,3)</f>
        <v>Greenstone et al. (2013)</v>
      </c>
      <c r="B687">
        <v>87</v>
      </c>
      <c r="C687">
        <v>2013</v>
      </c>
      <c r="D687">
        <v>1</v>
      </c>
      <c r="E687">
        <v>2007</v>
      </c>
      <c r="F687">
        <v>2010</v>
      </c>
      <c r="G687">
        <v>2.1276595744680851E-2</v>
      </c>
      <c r="H687">
        <v>44.046759954732295</v>
      </c>
      <c r="I687">
        <v>1</v>
      </c>
      <c r="J687">
        <v>0</v>
      </c>
      <c r="K687">
        <v>0</v>
      </c>
      <c r="L687" t="s">
        <v>238</v>
      </c>
      <c r="M687" t="s">
        <v>238</v>
      </c>
      <c r="N687" t="s">
        <v>238</v>
      </c>
      <c r="O687">
        <v>0</v>
      </c>
      <c r="P687">
        <v>1</v>
      </c>
      <c r="Q687">
        <v>1</v>
      </c>
      <c r="R687">
        <v>1</v>
      </c>
      <c r="S687">
        <v>1</v>
      </c>
      <c r="T687">
        <v>1</v>
      </c>
      <c r="U687">
        <v>1</v>
      </c>
      <c r="V687">
        <v>5</v>
      </c>
      <c r="AA687">
        <v>0</v>
      </c>
      <c r="AC687">
        <v>0</v>
      </c>
      <c r="AD687">
        <v>0</v>
      </c>
      <c r="AE687">
        <v>0</v>
      </c>
      <c r="AF687">
        <v>0</v>
      </c>
      <c r="AG687">
        <v>0</v>
      </c>
      <c r="AH687">
        <v>23</v>
      </c>
      <c r="AI687">
        <v>2.42</v>
      </c>
      <c r="AJ687">
        <v>47</v>
      </c>
    </row>
    <row r="688" spans="1:36" x14ac:dyDescent="0.2">
      <c r="A688" t="str">
        <f>+VLOOKUP(B688,studies!$A$2:$C$102,3)</f>
        <v>Greenstone et al. (2013)</v>
      </c>
      <c r="B688">
        <v>87</v>
      </c>
      <c r="C688">
        <v>2013</v>
      </c>
      <c r="D688">
        <v>1</v>
      </c>
      <c r="E688">
        <v>2007</v>
      </c>
      <c r="F688">
        <v>2010</v>
      </c>
      <c r="G688">
        <v>2.1276595744680851E-2</v>
      </c>
      <c r="H688">
        <v>38.653279143948737</v>
      </c>
      <c r="I688">
        <v>1</v>
      </c>
      <c r="J688">
        <v>0</v>
      </c>
      <c r="K688">
        <v>0</v>
      </c>
      <c r="L688" t="s">
        <v>238</v>
      </c>
      <c r="M688" t="s">
        <v>238</v>
      </c>
      <c r="N688" t="s">
        <v>238</v>
      </c>
      <c r="O688">
        <v>0</v>
      </c>
      <c r="P688">
        <v>1</v>
      </c>
      <c r="Q688">
        <v>1</v>
      </c>
      <c r="R688">
        <v>1</v>
      </c>
      <c r="S688">
        <v>1</v>
      </c>
      <c r="T688">
        <v>1</v>
      </c>
      <c r="U688">
        <v>1</v>
      </c>
      <c r="V688">
        <v>5</v>
      </c>
      <c r="AA688">
        <v>0</v>
      </c>
      <c r="AC688">
        <v>0</v>
      </c>
      <c r="AD688">
        <v>0</v>
      </c>
      <c r="AE688">
        <v>0</v>
      </c>
      <c r="AF688">
        <v>0</v>
      </c>
      <c r="AG688">
        <v>0</v>
      </c>
      <c r="AH688">
        <v>23</v>
      </c>
      <c r="AI688">
        <v>2.42</v>
      </c>
      <c r="AJ688">
        <v>47</v>
      </c>
    </row>
    <row r="689" spans="1:36" x14ac:dyDescent="0.2">
      <c r="A689" t="str">
        <f>+VLOOKUP(B689,studies!$A$2:$C$102,3)</f>
        <v>Greenstone et al. (2013)</v>
      </c>
      <c r="B689">
        <v>87</v>
      </c>
      <c r="C689">
        <v>2013</v>
      </c>
      <c r="D689">
        <v>1</v>
      </c>
      <c r="E689">
        <v>2007</v>
      </c>
      <c r="F689">
        <v>2010</v>
      </c>
      <c r="G689">
        <v>2.1276595744680851E-2</v>
      </c>
      <c r="H689">
        <v>36.855452207020889</v>
      </c>
      <c r="I689">
        <v>1</v>
      </c>
      <c r="J689">
        <v>0</v>
      </c>
      <c r="K689">
        <v>0</v>
      </c>
      <c r="L689" t="s">
        <v>238</v>
      </c>
      <c r="M689" t="s">
        <v>238</v>
      </c>
      <c r="N689" t="s">
        <v>238</v>
      </c>
      <c r="O689">
        <v>0</v>
      </c>
      <c r="P689">
        <v>1</v>
      </c>
      <c r="Q689">
        <v>1</v>
      </c>
      <c r="R689">
        <v>1</v>
      </c>
      <c r="S689">
        <v>1</v>
      </c>
      <c r="T689">
        <v>1</v>
      </c>
      <c r="U689">
        <v>1</v>
      </c>
      <c r="V689">
        <v>5</v>
      </c>
      <c r="AA689">
        <v>0</v>
      </c>
      <c r="AC689">
        <v>0</v>
      </c>
      <c r="AD689">
        <v>0</v>
      </c>
      <c r="AE689">
        <v>0</v>
      </c>
      <c r="AF689">
        <v>0</v>
      </c>
      <c r="AG689">
        <v>0</v>
      </c>
      <c r="AH689">
        <v>23</v>
      </c>
      <c r="AI689">
        <v>2.42</v>
      </c>
      <c r="AJ689">
        <v>47</v>
      </c>
    </row>
    <row r="690" spans="1:36" x14ac:dyDescent="0.2">
      <c r="A690" t="str">
        <f>+VLOOKUP(B690,studies!$A$2:$C$102,3)</f>
        <v>Greenstone et al. (2013)</v>
      </c>
      <c r="B690">
        <v>87</v>
      </c>
      <c r="C690">
        <v>2013</v>
      </c>
      <c r="D690">
        <v>1</v>
      </c>
      <c r="E690">
        <v>2007</v>
      </c>
      <c r="F690">
        <v>2010</v>
      </c>
      <c r="G690">
        <v>2.1276595744680851E-2</v>
      </c>
      <c r="H690">
        <v>37.304908941252862</v>
      </c>
      <c r="I690">
        <v>1</v>
      </c>
      <c r="J690">
        <v>0</v>
      </c>
      <c r="K690">
        <v>0</v>
      </c>
      <c r="L690" t="s">
        <v>238</v>
      </c>
      <c r="M690" t="s">
        <v>238</v>
      </c>
      <c r="N690" t="s">
        <v>238</v>
      </c>
      <c r="O690">
        <v>0</v>
      </c>
      <c r="P690">
        <v>1</v>
      </c>
      <c r="Q690">
        <v>1</v>
      </c>
      <c r="R690">
        <v>1</v>
      </c>
      <c r="S690">
        <v>1</v>
      </c>
      <c r="T690">
        <v>1</v>
      </c>
      <c r="U690">
        <v>1</v>
      </c>
      <c r="V690">
        <v>5</v>
      </c>
      <c r="AA690">
        <v>0</v>
      </c>
      <c r="AC690">
        <v>0</v>
      </c>
      <c r="AD690">
        <v>0</v>
      </c>
      <c r="AE690">
        <v>0</v>
      </c>
      <c r="AF690">
        <v>0</v>
      </c>
      <c r="AG690">
        <v>0</v>
      </c>
      <c r="AH690">
        <v>23</v>
      </c>
      <c r="AI690">
        <v>2.42</v>
      </c>
      <c r="AJ690">
        <v>47</v>
      </c>
    </row>
    <row r="691" spans="1:36" x14ac:dyDescent="0.2">
      <c r="A691" t="str">
        <f>+VLOOKUP(B691,studies!$A$2:$C$102,3)</f>
        <v>Greenstone et al. (2013)</v>
      </c>
      <c r="B691">
        <v>87</v>
      </c>
      <c r="C691">
        <v>2013</v>
      </c>
      <c r="D691">
        <v>1</v>
      </c>
      <c r="E691">
        <v>2007</v>
      </c>
      <c r="F691">
        <v>2010</v>
      </c>
      <c r="G691">
        <v>2.1276595744680851E-2</v>
      </c>
      <c r="H691">
        <v>23.37175018006203</v>
      </c>
      <c r="I691">
        <v>1</v>
      </c>
      <c r="J691">
        <v>0</v>
      </c>
      <c r="K691">
        <v>0</v>
      </c>
      <c r="L691" t="s">
        <v>238</v>
      </c>
      <c r="M691" t="s">
        <v>238</v>
      </c>
      <c r="N691" t="s">
        <v>238</v>
      </c>
      <c r="O691">
        <v>0</v>
      </c>
      <c r="P691">
        <v>1</v>
      </c>
      <c r="Q691">
        <v>1</v>
      </c>
      <c r="R691">
        <v>1</v>
      </c>
      <c r="S691">
        <v>1</v>
      </c>
      <c r="T691">
        <v>1</v>
      </c>
      <c r="U691">
        <v>1</v>
      </c>
      <c r="V691">
        <v>5</v>
      </c>
      <c r="AA691">
        <v>0</v>
      </c>
      <c r="AC691">
        <v>0</v>
      </c>
      <c r="AD691">
        <v>0</v>
      </c>
      <c r="AE691">
        <v>0</v>
      </c>
      <c r="AF691">
        <v>0</v>
      </c>
      <c r="AG691">
        <v>0</v>
      </c>
      <c r="AH691">
        <v>23</v>
      </c>
      <c r="AI691">
        <v>2.42</v>
      </c>
      <c r="AJ691">
        <v>47</v>
      </c>
    </row>
    <row r="692" spans="1:36" x14ac:dyDescent="0.2">
      <c r="A692" t="str">
        <f>+VLOOKUP(B692,studies!$A$2:$C$102,3)</f>
        <v>Greenstone et al. (2013)</v>
      </c>
      <c r="B692">
        <v>87</v>
      </c>
      <c r="C692">
        <v>2013</v>
      </c>
      <c r="D692">
        <v>1</v>
      </c>
      <c r="E692">
        <v>2007</v>
      </c>
      <c r="F692">
        <v>2010</v>
      </c>
      <c r="G692">
        <v>2.1276595744680851E-2</v>
      </c>
      <c r="H692">
        <v>32.360884864701269</v>
      </c>
      <c r="I692">
        <v>1</v>
      </c>
      <c r="J692">
        <v>0</v>
      </c>
      <c r="K692">
        <v>0</v>
      </c>
      <c r="L692" t="s">
        <v>238</v>
      </c>
      <c r="M692" t="s">
        <v>238</v>
      </c>
      <c r="N692" t="s">
        <v>238</v>
      </c>
      <c r="O692">
        <v>0</v>
      </c>
      <c r="P692">
        <v>1</v>
      </c>
      <c r="Q692">
        <v>1</v>
      </c>
      <c r="R692">
        <v>1</v>
      </c>
      <c r="S692">
        <v>1</v>
      </c>
      <c r="T692">
        <v>1</v>
      </c>
      <c r="U692">
        <v>1</v>
      </c>
      <c r="V692">
        <v>5</v>
      </c>
      <c r="AA692">
        <v>0</v>
      </c>
      <c r="AC692">
        <v>0</v>
      </c>
      <c r="AD692">
        <v>0</v>
      </c>
      <c r="AE692">
        <v>0</v>
      </c>
      <c r="AF692">
        <v>0</v>
      </c>
      <c r="AG692">
        <v>0</v>
      </c>
      <c r="AH692">
        <v>23</v>
      </c>
      <c r="AI692">
        <v>2.42</v>
      </c>
      <c r="AJ692">
        <v>47</v>
      </c>
    </row>
    <row r="693" spans="1:36" x14ac:dyDescent="0.2">
      <c r="A693" t="str">
        <f>+VLOOKUP(B693,studies!$A$2:$C$102,3)</f>
        <v>Greenstone et al. (2013)</v>
      </c>
      <c r="B693">
        <v>87</v>
      </c>
      <c r="C693">
        <v>2013</v>
      </c>
      <c r="D693">
        <v>1</v>
      </c>
      <c r="E693">
        <v>2007</v>
      </c>
      <c r="F693">
        <v>2010</v>
      </c>
      <c r="G693">
        <v>2.1276595744680851E-2</v>
      </c>
      <c r="H693">
        <v>28.765230990845577</v>
      </c>
      <c r="I693">
        <v>1</v>
      </c>
      <c r="J693">
        <v>0</v>
      </c>
      <c r="K693">
        <v>0</v>
      </c>
      <c r="L693" t="s">
        <v>238</v>
      </c>
      <c r="M693" t="s">
        <v>238</v>
      </c>
      <c r="N693" t="s">
        <v>238</v>
      </c>
      <c r="O693">
        <v>0</v>
      </c>
      <c r="P693">
        <v>1</v>
      </c>
      <c r="Q693">
        <v>1</v>
      </c>
      <c r="R693">
        <v>1</v>
      </c>
      <c r="S693">
        <v>1</v>
      </c>
      <c r="T693">
        <v>1</v>
      </c>
      <c r="U693">
        <v>1</v>
      </c>
      <c r="V693">
        <v>5</v>
      </c>
      <c r="AA693">
        <v>0</v>
      </c>
      <c r="AC693">
        <v>0</v>
      </c>
      <c r="AD693">
        <v>0</v>
      </c>
      <c r="AE693">
        <v>0</v>
      </c>
      <c r="AF693">
        <v>0</v>
      </c>
      <c r="AG693">
        <v>0</v>
      </c>
      <c r="AH693">
        <v>23</v>
      </c>
      <c r="AI693">
        <v>2.42</v>
      </c>
      <c r="AJ693">
        <v>47</v>
      </c>
    </row>
    <row r="694" spans="1:36" x14ac:dyDescent="0.2">
      <c r="A694" t="str">
        <f>+VLOOKUP(B694,studies!$A$2:$C$102,3)</f>
        <v>Greenstone et al. (2013)</v>
      </c>
      <c r="B694">
        <v>87</v>
      </c>
      <c r="C694">
        <v>2013</v>
      </c>
      <c r="D694">
        <v>1</v>
      </c>
      <c r="E694">
        <v>2007</v>
      </c>
      <c r="F694">
        <v>2010</v>
      </c>
      <c r="G694">
        <v>2.1276595744680851E-2</v>
      </c>
      <c r="H694">
        <v>24.720120382757916</v>
      </c>
      <c r="I694">
        <v>1</v>
      </c>
      <c r="J694">
        <v>0</v>
      </c>
      <c r="K694">
        <v>0</v>
      </c>
      <c r="L694" t="s">
        <v>238</v>
      </c>
      <c r="M694" t="s">
        <v>238</v>
      </c>
      <c r="N694" t="s">
        <v>238</v>
      </c>
      <c r="O694">
        <v>0</v>
      </c>
      <c r="P694">
        <v>1</v>
      </c>
      <c r="Q694">
        <v>1</v>
      </c>
      <c r="R694">
        <v>1</v>
      </c>
      <c r="S694">
        <v>1</v>
      </c>
      <c r="T694">
        <v>1</v>
      </c>
      <c r="U694">
        <v>1</v>
      </c>
      <c r="V694">
        <v>5</v>
      </c>
      <c r="AA694">
        <v>0</v>
      </c>
      <c r="AC694">
        <v>0</v>
      </c>
      <c r="AD694">
        <v>0</v>
      </c>
      <c r="AE694">
        <v>0</v>
      </c>
      <c r="AF694">
        <v>0</v>
      </c>
      <c r="AG694">
        <v>0</v>
      </c>
      <c r="AH694">
        <v>23</v>
      </c>
      <c r="AI694">
        <v>2.42</v>
      </c>
      <c r="AJ694">
        <v>47</v>
      </c>
    </row>
    <row r="695" spans="1:36" x14ac:dyDescent="0.2">
      <c r="A695" t="str">
        <f>+VLOOKUP(B695,studies!$A$2:$C$102,3)</f>
        <v>Greenstone et al. (2013)</v>
      </c>
      <c r="B695">
        <v>87</v>
      </c>
      <c r="C695">
        <v>2013</v>
      </c>
      <c r="D695">
        <v>1</v>
      </c>
      <c r="E695">
        <v>2007</v>
      </c>
      <c r="F695">
        <v>2010</v>
      </c>
      <c r="G695">
        <v>2.1276595744680851E-2</v>
      </c>
      <c r="H695">
        <v>-5.8429375450155074</v>
      </c>
      <c r="I695">
        <v>1</v>
      </c>
      <c r="J695">
        <v>0</v>
      </c>
      <c r="K695">
        <v>0</v>
      </c>
      <c r="L695" t="s">
        <v>238</v>
      </c>
      <c r="M695" t="s">
        <v>238</v>
      </c>
      <c r="N695" t="s">
        <v>238</v>
      </c>
      <c r="O695">
        <v>0</v>
      </c>
      <c r="P695">
        <v>1</v>
      </c>
      <c r="Q695">
        <v>1</v>
      </c>
      <c r="R695">
        <v>1</v>
      </c>
      <c r="S695">
        <v>1</v>
      </c>
      <c r="T695">
        <v>1</v>
      </c>
      <c r="U695">
        <v>1</v>
      </c>
      <c r="V695">
        <v>5</v>
      </c>
      <c r="AA695">
        <v>0</v>
      </c>
      <c r="AC695">
        <v>0</v>
      </c>
      <c r="AD695">
        <v>0</v>
      </c>
      <c r="AE695">
        <v>0</v>
      </c>
      <c r="AF695">
        <v>0</v>
      </c>
      <c r="AG695">
        <v>0</v>
      </c>
      <c r="AH695">
        <v>23</v>
      </c>
      <c r="AI695">
        <v>2.42</v>
      </c>
      <c r="AJ695">
        <v>47</v>
      </c>
    </row>
    <row r="696" spans="1:36" x14ac:dyDescent="0.2">
      <c r="A696" t="str">
        <f>+VLOOKUP(B696,studies!$A$2:$C$102,3)</f>
        <v>Greenstone et al. (2013)</v>
      </c>
      <c r="B696">
        <v>87</v>
      </c>
      <c r="C696">
        <v>2013</v>
      </c>
      <c r="D696">
        <v>1</v>
      </c>
      <c r="E696">
        <v>2007</v>
      </c>
      <c r="F696">
        <v>2010</v>
      </c>
      <c r="G696">
        <v>2.1276595744680851E-2</v>
      </c>
      <c r="H696">
        <v>-1.3483702026958861</v>
      </c>
      <c r="I696">
        <v>1</v>
      </c>
      <c r="J696">
        <v>0</v>
      </c>
      <c r="K696">
        <v>0</v>
      </c>
      <c r="L696" t="s">
        <v>238</v>
      </c>
      <c r="M696" t="s">
        <v>238</v>
      </c>
      <c r="N696" t="s">
        <v>238</v>
      </c>
      <c r="O696">
        <v>0</v>
      </c>
      <c r="P696">
        <v>1</v>
      </c>
      <c r="Q696">
        <v>1</v>
      </c>
      <c r="R696">
        <v>1</v>
      </c>
      <c r="S696">
        <v>1</v>
      </c>
      <c r="T696">
        <v>1</v>
      </c>
      <c r="U696">
        <v>1</v>
      </c>
      <c r="V696">
        <v>5</v>
      </c>
      <c r="AA696">
        <v>0</v>
      </c>
      <c r="AC696">
        <v>0</v>
      </c>
      <c r="AD696">
        <v>0</v>
      </c>
      <c r="AE696">
        <v>0</v>
      </c>
      <c r="AF696">
        <v>0</v>
      </c>
      <c r="AG696">
        <v>0</v>
      </c>
      <c r="AH696">
        <v>23</v>
      </c>
      <c r="AI696">
        <v>2.42</v>
      </c>
      <c r="AJ696">
        <v>47</v>
      </c>
    </row>
    <row r="697" spans="1:36" x14ac:dyDescent="0.2">
      <c r="A697" t="str">
        <f>+VLOOKUP(B697,studies!$A$2:$C$102,3)</f>
        <v>Greenstone et al. (2013)</v>
      </c>
      <c r="B697">
        <v>87</v>
      </c>
      <c r="C697">
        <v>2013</v>
      </c>
      <c r="D697">
        <v>1</v>
      </c>
      <c r="E697">
        <v>2007</v>
      </c>
      <c r="F697">
        <v>2010</v>
      </c>
      <c r="G697">
        <v>2.1276595744680851E-2</v>
      </c>
      <c r="H697">
        <v>-8.5396779504072793</v>
      </c>
      <c r="I697">
        <v>1</v>
      </c>
      <c r="J697">
        <v>0</v>
      </c>
      <c r="K697">
        <v>0</v>
      </c>
      <c r="L697" t="s">
        <v>238</v>
      </c>
      <c r="M697" t="s">
        <v>238</v>
      </c>
      <c r="N697" t="s">
        <v>238</v>
      </c>
      <c r="O697">
        <v>0</v>
      </c>
      <c r="P697">
        <v>1</v>
      </c>
      <c r="Q697">
        <v>1</v>
      </c>
      <c r="R697">
        <v>1</v>
      </c>
      <c r="S697">
        <v>1</v>
      </c>
      <c r="T697">
        <v>1</v>
      </c>
      <c r="U697">
        <v>1</v>
      </c>
      <c r="V697">
        <v>5</v>
      </c>
      <c r="AA697">
        <v>0</v>
      </c>
      <c r="AC697">
        <v>0</v>
      </c>
      <c r="AD697">
        <v>0</v>
      </c>
      <c r="AE697">
        <v>0</v>
      </c>
      <c r="AF697">
        <v>0</v>
      </c>
      <c r="AG697">
        <v>0</v>
      </c>
      <c r="AH697">
        <v>23</v>
      </c>
      <c r="AI697">
        <v>2.42</v>
      </c>
      <c r="AJ697">
        <v>47</v>
      </c>
    </row>
    <row r="698" spans="1:36" x14ac:dyDescent="0.2">
      <c r="A698" t="str">
        <f>+VLOOKUP(B698,studies!$A$2:$C$102,3)</f>
        <v>Greenstone et al. (2013)</v>
      </c>
      <c r="B698">
        <v>87</v>
      </c>
      <c r="C698">
        <v>2013</v>
      </c>
      <c r="D698">
        <v>1</v>
      </c>
      <c r="E698">
        <v>2007</v>
      </c>
      <c r="F698">
        <v>2010</v>
      </c>
      <c r="G698">
        <v>2.1276595744680851E-2</v>
      </c>
      <c r="H698">
        <v>-2.6967404053917723</v>
      </c>
      <c r="I698">
        <v>1</v>
      </c>
      <c r="J698">
        <v>0</v>
      </c>
      <c r="K698">
        <v>0</v>
      </c>
      <c r="L698" t="s">
        <v>238</v>
      </c>
      <c r="M698" t="s">
        <v>238</v>
      </c>
      <c r="N698" t="s">
        <v>238</v>
      </c>
      <c r="O698">
        <v>0</v>
      </c>
      <c r="P698">
        <v>1</v>
      </c>
      <c r="Q698">
        <v>1</v>
      </c>
      <c r="R698">
        <v>1</v>
      </c>
      <c r="S698">
        <v>1</v>
      </c>
      <c r="T698">
        <v>1</v>
      </c>
      <c r="U698">
        <v>1</v>
      </c>
      <c r="V698">
        <v>5</v>
      </c>
      <c r="AA698">
        <v>0</v>
      </c>
      <c r="AC698">
        <v>0</v>
      </c>
      <c r="AD698">
        <v>0</v>
      </c>
      <c r="AE698">
        <v>0</v>
      </c>
      <c r="AF698">
        <v>0</v>
      </c>
      <c r="AG698">
        <v>0</v>
      </c>
      <c r="AH698">
        <v>23</v>
      </c>
      <c r="AI698">
        <v>2.42</v>
      </c>
      <c r="AJ698">
        <v>47</v>
      </c>
    </row>
    <row r="699" spans="1:36" x14ac:dyDescent="0.2">
      <c r="A699" t="str">
        <f>+VLOOKUP(B699,studies!$A$2:$C$102,3)</f>
        <v>Greenstone et al. (2013)</v>
      </c>
      <c r="B699">
        <v>87</v>
      </c>
      <c r="C699">
        <v>2013</v>
      </c>
      <c r="D699">
        <v>1</v>
      </c>
      <c r="E699">
        <v>2007</v>
      </c>
      <c r="F699">
        <v>2010</v>
      </c>
      <c r="G699">
        <v>2.1276595744680851E-2</v>
      </c>
      <c r="H699">
        <v>-12.135331824262977</v>
      </c>
      <c r="I699">
        <v>1</v>
      </c>
      <c r="J699">
        <v>0</v>
      </c>
      <c r="K699">
        <v>0</v>
      </c>
      <c r="L699" t="s">
        <v>238</v>
      </c>
      <c r="M699" t="s">
        <v>238</v>
      </c>
      <c r="N699" t="s">
        <v>238</v>
      </c>
      <c r="O699">
        <v>0</v>
      </c>
      <c r="P699">
        <v>1</v>
      </c>
      <c r="Q699">
        <v>1</v>
      </c>
      <c r="R699">
        <v>1</v>
      </c>
      <c r="S699">
        <v>1</v>
      </c>
      <c r="T699">
        <v>1</v>
      </c>
      <c r="U699">
        <v>1</v>
      </c>
      <c r="V699">
        <v>5</v>
      </c>
      <c r="AA699">
        <v>0</v>
      </c>
      <c r="AC699">
        <v>0</v>
      </c>
      <c r="AD699">
        <v>0</v>
      </c>
      <c r="AE699">
        <v>0</v>
      </c>
      <c r="AF699">
        <v>0</v>
      </c>
      <c r="AG699">
        <v>0</v>
      </c>
      <c r="AH699">
        <v>23</v>
      </c>
      <c r="AI699">
        <v>2.42</v>
      </c>
      <c r="AJ699">
        <v>47</v>
      </c>
    </row>
    <row r="700" spans="1:36" x14ac:dyDescent="0.2">
      <c r="A700" t="str">
        <f>+VLOOKUP(B700,studies!$A$2:$C$102,3)</f>
        <v>Greenstone et al. (2013)</v>
      </c>
      <c r="B700">
        <v>87</v>
      </c>
      <c r="C700">
        <v>2013</v>
      </c>
      <c r="D700">
        <v>1</v>
      </c>
      <c r="E700">
        <v>2007</v>
      </c>
      <c r="F700">
        <v>2010</v>
      </c>
      <c r="G700">
        <v>2.1276595744680851E-2</v>
      </c>
      <c r="H700">
        <v>160.90551085504242</v>
      </c>
      <c r="I700">
        <v>1</v>
      </c>
      <c r="J700">
        <v>0</v>
      </c>
      <c r="K700">
        <v>0</v>
      </c>
      <c r="L700" t="s">
        <v>238</v>
      </c>
      <c r="M700">
        <v>80.260131112850374</v>
      </c>
      <c r="N700">
        <v>80.260131112850374</v>
      </c>
      <c r="O700">
        <v>0</v>
      </c>
      <c r="P700">
        <v>1</v>
      </c>
      <c r="Q700">
        <v>1</v>
      </c>
      <c r="R700">
        <v>1</v>
      </c>
      <c r="S700">
        <v>1</v>
      </c>
      <c r="T700">
        <v>1</v>
      </c>
      <c r="U700">
        <v>1</v>
      </c>
      <c r="V700">
        <v>3</v>
      </c>
      <c r="AA700">
        <v>0</v>
      </c>
      <c r="AC700">
        <v>0</v>
      </c>
      <c r="AD700">
        <v>0</v>
      </c>
      <c r="AE700">
        <v>0</v>
      </c>
      <c r="AF700">
        <v>0</v>
      </c>
      <c r="AG700">
        <v>0</v>
      </c>
      <c r="AH700">
        <v>23</v>
      </c>
      <c r="AI700">
        <v>2.42</v>
      </c>
      <c r="AJ700">
        <v>47</v>
      </c>
    </row>
    <row r="701" spans="1:36" x14ac:dyDescent="0.2">
      <c r="A701" t="str">
        <f>+VLOOKUP(B701,studies!$A$2:$C$102,3)</f>
        <v>Greenstone et al. (2013)</v>
      </c>
      <c r="B701">
        <v>87</v>
      </c>
      <c r="C701">
        <v>2013</v>
      </c>
      <c r="D701">
        <v>1</v>
      </c>
      <c r="E701">
        <v>2007</v>
      </c>
      <c r="F701">
        <v>2010</v>
      </c>
      <c r="G701">
        <v>2.1276595744680851E-2</v>
      </c>
      <c r="H701">
        <v>98.880481531031663</v>
      </c>
      <c r="I701">
        <v>1</v>
      </c>
      <c r="J701">
        <v>0</v>
      </c>
      <c r="K701">
        <v>0</v>
      </c>
      <c r="L701" t="s">
        <v>238</v>
      </c>
      <c r="M701">
        <v>46.092246724808376</v>
      </c>
      <c r="N701">
        <v>46.092246724808376</v>
      </c>
      <c r="O701">
        <v>0</v>
      </c>
      <c r="P701">
        <v>1</v>
      </c>
      <c r="Q701">
        <v>1</v>
      </c>
      <c r="R701">
        <v>1</v>
      </c>
      <c r="S701">
        <v>1</v>
      </c>
      <c r="T701">
        <v>1</v>
      </c>
      <c r="U701">
        <v>1</v>
      </c>
      <c r="V701">
        <v>3</v>
      </c>
      <c r="AA701">
        <v>0</v>
      </c>
      <c r="AC701">
        <v>0</v>
      </c>
      <c r="AD701">
        <v>0</v>
      </c>
      <c r="AE701">
        <v>0</v>
      </c>
      <c r="AF701">
        <v>0</v>
      </c>
      <c r="AG701">
        <v>0</v>
      </c>
      <c r="AH701">
        <v>23</v>
      </c>
      <c r="AI701">
        <v>2.42</v>
      </c>
      <c r="AJ701">
        <v>47</v>
      </c>
    </row>
    <row r="702" spans="1:36" x14ac:dyDescent="0.2">
      <c r="A702" t="str">
        <f>+VLOOKUP(B702,studies!$A$2:$C$102,3)</f>
        <v>Greenstone et al. (2013)</v>
      </c>
      <c r="B702">
        <v>87</v>
      </c>
      <c r="C702">
        <v>2013</v>
      </c>
      <c r="D702">
        <v>1</v>
      </c>
      <c r="E702">
        <v>2007</v>
      </c>
      <c r="F702">
        <v>2010</v>
      </c>
      <c r="G702">
        <v>2.1276595744680851E-2</v>
      </c>
      <c r="H702">
        <v>133.93810680112472</v>
      </c>
      <c r="I702">
        <v>1</v>
      </c>
      <c r="J702">
        <v>0</v>
      </c>
      <c r="K702">
        <v>0</v>
      </c>
      <c r="L702" t="s">
        <v>238</v>
      </c>
      <c r="M702">
        <v>66.042622172859751</v>
      </c>
      <c r="N702">
        <v>66.042622172859751</v>
      </c>
      <c r="O702">
        <v>0</v>
      </c>
      <c r="P702">
        <v>1</v>
      </c>
      <c r="Q702">
        <v>1</v>
      </c>
      <c r="R702">
        <v>1</v>
      </c>
      <c r="S702">
        <v>1</v>
      </c>
      <c r="T702">
        <v>1</v>
      </c>
      <c r="U702">
        <v>1</v>
      </c>
      <c r="V702">
        <v>3</v>
      </c>
      <c r="AA702">
        <v>0</v>
      </c>
      <c r="AC702">
        <v>0</v>
      </c>
      <c r="AD702">
        <v>0</v>
      </c>
      <c r="AE702">
        <v>0</v>
      </c>
      <c r="AF702">
        <v>0</v>
      </c>
      <c r="AG702">
        <v>0</v>
      </c>
      <c r="AH702">
        <v>23</v>
      </c>
      <c r="AI702">
        <v>2.42</v>
      </c>
      <c r="AJ702">
        <v>47</v>
      </c>
    </row>
    <row r="703" spans="1:36" x14ac:dyDescent="0.2">
      <c r="A703" t="str">
        <f>+VLOOKUP(B703,studies!$A$2:$C$102,3)</f>
        <v>Greenstone et al. (2013)</v>
      </c>
      <c r="B703">
        <v>87</v>
      </c>
      <c r="C703">
        <v>2013</v>
      </c>
      <c r="D703">
        <v>1</v>
      </c>
      <c r="E703">
        <v>2007</v>
      </c>
      <c r="F703">
        <v>2010</v>
      </c>
      <c r="G703">
        <v>2.1276595744680851E-2</v>
      </c>
      <c r="H703">
        <v>129.44353945880508</v>
      </c>
      <c r="I703">
        <v>1</v>
      </c>
      <c r="J703">
        <v>0</v>
      </c>
      <c r="K703">
        <v>0</v>
      </c>
      <c r="L703" t="s">
        <v>238</v>
      </c>
      <c r="M703">
        <v>66.730566153827027</v>
      </c>
      <c r="N703">
        <v>66.730566153827027</v>
      </c>
      <c r="O703">
        <v>0</v>
      </c>
      <c r="P703">
        <v>1</v>
      </c>
      <c r="Q703">
        <v>1</v>
      </c>
      <c r="R703">
        <v>1</v>
      </c>
      <c r="S703">
        <v>1</v>
      </c>
      <c r="T703">
        <v>1</v>
      </c>
      <c r="U703">
        <v>1</v>
      </c>
      <c r="V703">
        <v>3</v>
      </c>
      <c r="AA703">
        <v>0</v>
      </c>
      <c r="AC703">
        <v>0</v>
      </c>
      <c r="AD703">
        <v>0</v>
      </c>
      <c r="AE703">
        <v>0</v>
      </c>
      <c r="AF703">
        <v>0</v>
      </c>
      <c r="AG703">
        <v>0</v>
      </c>
      <c r="AH703">
        <v>23</v>
      </c>
      <c r="AI703">
        <v>2.42</v>
      </c>
      <c r="AJ703">
        <v>47</v>
      </c>
    </row>
    <row r="704" spans="1:36" x14ac:dyDescent="0.2">
      <c r="A704" t="str">
        <f>+VLOOKUP(B704,studies!$A$2:$C$102,3)</f>
        <v>Greenstone et al. (2013)</v>
      </c>
      <c r="B704">
        <v>87</v>
      </c>
      <c r="C704">
        <v>2013</v>
      </c>
      <c r="D704">
        <v>1</v>
      </c>
      <c r="E704">
        <v>2007</v>
      </c>
      <c r="F704">
        <v>2010</v>
      </c>
      <c r="G704">
        <v>2.1276595744680851E-2</v>
      </c>
      <c r="H704">
        <v>111.91472682375857</v>
      </c>
      <c r="I704">
        <v>1</v>
      </c>
      <c r="J704">
        <v>0</v>
      </c>
      <c r="K704">
        <v>0</v>
      </c>
      <c r="L704" t="s">
        <v>238</v>
      </c>
      <c r="M704">
        <v>59.392497023509272</v>
      </c>
      <c r="N704">
        <v>59.392497023509272</v>
      </c>
      <c r="O704">
        <v>0</v>
      </c>
      <c r="P704">
        <v>1</v>
      </c>
      <c r="Q704">
        <v>1</v>
      </c>
      <c r="R704">
        <v>1</v>
      </c>
      <c r="S704">
        <v>1</v>
      </c>
      <c r="T704">
        <v>1</v>
      </c>
      <c r="U704">
        <v>1</v>
      </c>
      <c r="V704">
        <v>3</v>
      </c>
      <c r="AA704">
        <v>0</v>
      </c>
      <c r="AC704">
        <v>0</v>
      </c>
      <c r="AD704">
        <v>0</v>
      </c>
      <c r="AE704">
        <v>0</v>
      </c>
      <c r="AF704">
        <v>0</v>
      </c>
      <c r="AG704">
        <v>0</v>
      </c>
      <c r="AH704">
        <v>23</v>
      </c>
      <c r="AI704">
        <v>2.42</v>
      </c>
      <c r="AJ704">
        <v>47</v>
      </c>
    </row>
    <row r="705" spans="1:36" x14ac:dyDescent="0.2">
      <c r="A705" t="str">
        <f>+VLOOKUP(B705,studies!$A$2:$C$102,3)</f>
        <v>Greenstone et al. (2013)</v>
      </c>
      <c r="B705">
        <v>87</v>
      </c>
      <c r="C705">
        <v>2013</v>
      </c>
      <c r="D705">
        <v>1</v>
      </c>
      <c r="E705">
        <v>2007</v>
      </c>
      <c r="F705">
        <v>2010</v>
      </c>
      <c r="G705">
        <v>2.1276595744680851E-2</v>
      </c>
      <c r="H705">
        <v>177.53541002162501</v>
      </c>
      <c r="I705">
        <v>1</v>
      </c>
      <c r="J705">
        <v>0</v>
      </c>
      <c r="K705">
        <v>0</v>
      </c>
      <c r="L705" t="s">
        <v>238</v>
      </c>
      <c r="M705">
        <v>235.96478547178012</v>
      </c>
      <c r="N705">
        <v>235.96478547178012</v>
      </c>
      <c r="O705">
        <v>0</v>
      </c>
      <c r="P705">
        <v>1</v>
      </c>
      <c r="Q705">
        <v>1</v>
      </c>
      <c r="R705">
        <v>1</v>
      </c>
      <c r="S705">
        <v>1</v>
      </c>
      <c r="T705">
        <v>1</v>
      </c>
      <c r="U705">
        <v>1</v>
      </c>
      <c r="V705">
        <v>3</v>
      </c>
      <c r="AA705">
        <v>0</v>
      </c>
      <c r="AC705">
        <v>0</v>
      </c>
      <c r="AD705">
        <v>0</v>
      </c>
      <c r="AE705">
        <v>0</v>
      </c>
      <c r="AF705">
        <v>0</v>
      </c>
      <c r="AG705">
        <v>0</v>
      </c>
      <c r="AH705">
        <v>23</v>
      </c>
      <c r="AI705">
        <v>2.42</v>
      </c>
      <c r="AJ705">
        <v>47</v>
      </c>
    </row>
    <row r="706" spans="1:36" x14ac:dyDescent="0.2">
      <c r="A706" t="str">
        <f>+VLOOKUP(B706,studies!$A$2:$C$102,3)</f>
        <v>Greenstone et al. (2013)</v>
      </c>
      <c r="B706">
        <v>87</v>
      </c>
      <c r="C706">
        <v>2013</v>
      </c>
      <c r="D706">
        <v>1</v>
      </c>
      <c r="E706">
        <v>2007</v>
      </c>
      <c r="F706">
        <v>2010</v>
      </c>
      <c r="G706">
        <v>2.1276595744680851E-2</v>
      </c>
      <c r="H706">
        <v>100.22885173372755</v>
      </c>
      <c r="I706">
        <v>1</v>
      </c>
      <c r="J706">
        <v>0</v>
      </c>
      <c r="K706">
        <v>0</v>
      </c>
      <c r="L706" t="s">
        <v>238</v>
      </c>
      <c r="M706">
        <v>137.81811085378024</v>
      </c>
      <c r="N706">
        <v>137.81811085378024</v>
      </c>
      <c r="O706">
        <v>0</v>
      </c>
      <c r="P706">
        <v>1</v>
      </c>
      <c r="Q706">
        <v>1</v>
      </c>
      <c r="R706">
        <v>1</v>
      </c>
      <c r="S706">
        <v>1</v>
      </c>
      <c r="T706">
        <v>1</v>
      </c>
      <c r="U706">
        <v>1</v>
      </c>
      <c r="V706">
        <v>3</v>
      </c>
      <c r="AA706">
        <v>0</v>
      </c>
      <c r="AC706">
        <v>0</v>
      </c>
      <c r="AD706">
        <v>0</v>
      </c>
      <c r="AE706">
        <v>0</v>
      </c>
      <c r="AF706">
        <v>0</v>
      </c>
      <c r="AG706">
        <v>0</v>
      </c>
      <c r="AH706">
        <v>23</v>
      </c>
      <c r="AI706">
        <v>2.42</v>
      </c>
      <c r="AJ706">
        <v>47</v>
      </c>
    </row>
    <row r="707" spans="1:36" x14ac:dyDescent="0.2">
      <c r="A707" t="str">
        <f>+VLOOKUP(B707,studies!$A$2:$C$102,3)</f>
        <v>Greenstone et al. (2013)</v>
      </c>
      <c r="B707">
        <v>87</v>
      </c>
      <c r="C707">
        <v>2013</v>
      </c>
      <c r="D707">
        <v>1</v>
      </c>
      <c r="E707">
        <v>2007</v>
      </c>
      <c r="F707">
        <v>2010</v>
      </c>
      <c r="G707">
        <v>2.1276595744680851E-2</v>
      </c>
      <c r="H707">
        <v>136.18539047228452</v>
      </c>
      <c r="I707">
        <v>1</v>
      </c>
      <c r="J707">
        <v>0</v>
      </c>
      <c r="K707">
        <v>0</v>
      </c>
      <c r="L707" t="s">
        <v>238</v>
      </c>
      <c r="M707">
        <v>195.60540525503251</v>
      </c>
      <c r="N707">
        <v>195.60540525503251</v>
      </c>
      <c r="O707">
        <v>0</v>
      </c>
      <c r="P707">
        <v>1</v>
      </c>
      <c r="Q707">
        <v>1</v>
      </c>
      <c r="R707">
        <v>1</v>
      </c>
      <c r="S707">
        <v>1</v>
      </c>
      <c r="T707">
        <v>1</v>
      </c>
      <c r="U707">
        <v>1</v>
      </c>
      <c r="V707">
        <v>3</v>
      </c>
      <c r="AA707">
        <v>0</v>
      </c>
      <c r="AC707">
        <v>0</v>
      </c>
      <c r="AD707">
        <v>0</v>
      </c>
      <c r="AE707">
        <v>0</v>
      </c>
      <c r="AF707">
        <v>0</v>
      </c>
      <c r="AG707">
        <v>0</v>
      </c>
      <c r="AH707">
        <v>23</v>
      </c>
      <c r="AI707">
        <v>2.42</v>
      </c>
      <c r="AJ707">
        <v>47</v>
      </c>
    </row>
    <row r="708" spans="1:36" x14ac:dyDescent="0.2">
      <c r="A708" t="str">
        <f>+VLOOKUP(B708,studies!$A$2:$C$102,3)</f>
        <v>Greenstone et al. (2013)</v>
      </c>
      <c r="B708">
        <v>87</v>
      </c>
      <c r="C708">
        <v>2013</v>
      </c>
      <c r="D708">
        <v>1</v>
      </c>
      <c r="E708">
        <v>2007</v>
      </c>
      <c r="F708">
        <v>2010</v>
      </c>
      <c r="G708">
        <v>2.1276595744680851E-2</v>
      </c>
      <c r="H708">
        <v>142.92724148576394</v>
      </c>
      <c r="I708">
        <v>1</v>
      </c>
      <c r="J708">
        <v>0</v>
      </c>
      <c r="K708">
        <v>0</v>
      </c>
      <c r="L708" t="s">
        <v>238</v>
      </c>
      <c r="M708">
        <v>191.70705602955118</v>
      </c>
      <c r="N708">
        <v>191.70705602955118</v>
      </c>
      <c r="O708">
        <v>0</v>
      </c>
      <c r="P708">
        <v>1</v>
      </c>
      <c r="Q708">
        <v>1</v>
      </c>
      <c r="R708">
        <v>1</v>
      </c>
      <c r="S708">
        <v>1</v>
      </c>
      <c r="T708">
        <v>1</v>
      </c>
      <c r="U708">
        <v>1</v>
      </c>
      <c r="V708">
        <v>3</v>
      </c>
      <c r="AA708">
        <v>0</v>
      </c>
      <c r="AC708">
        <v>0</v>
      </c>
      <c r="AD708">
        <v>0</v>
      </c>
      <c r="AE708">
        <v>0</v>
      </c>
      <c r="AF708">
        <v>0</v>
      </c>
      <c r="AG708">
        <v>0</v>
      </c>
      <c r="AH708">
        <v>23</v>
      </c>
      <c r="AI708">
        <v>2.42</v>
      </c>
      <c r="AJ708">
        <v>47</v>
      </c>
    </row>
    <row r="709" spans="1:36" x14ac:dyDescent="0.2">
      <c r="A709" t="str">
        <f>+VLOOKUP(B709,studies!$A$2:$C$102,3)</f>
        <v>Greenstone et al. (2013)</v>
      </c>
      <c r="B709">
        <v>87</v>
      </c>
      <c r="C709">
        <v>2013</v>
      </c>
      <c r="D709">
        <v>1</v>
      </c>
      <c r="E709">
        <v>2007</v>
      </c>
      <c r="F709">
        <v>2010</v>
      </c>
      <c r="G709">
        <v>2.1276595744680851E-2</v>
      </c>
      <c r="H709">
        <v>114.16201049491836</v>
      </c>
      <c r="I709">
        <v>1</v>
      </c>
      <c r="J709">
        <v>0</v>
      </c>
      <c r="K709">
        <v>0</v>
      </c>
      <c r="L709" t="s">
        <v>238</v>
      </c>
      <c r="M709">
        <v>181.84652563568673</v>
      </c>
      <c r="N709">
        <v>181.84652563568673</v>
      </c>
      <c r="O709">
        <v>0</v>
      </c>
      <c r="P709">
        <v>1</v>
      </c>
      <c r="Q709">
        <v>1</v>
      </c>
      <c r="R709">
        <v>1</v>
      </c>
      <c r="S709">
        <v>1</v>
      </c>
      <c r="T709">
        <v>1</v>
      </c>
      <c r="U709">
        <v>1</v>
      </c>
      <c r="V709">
        <v>3</v>
      </c>
      <c r="AA709">
        <v>0</v>
      </c>
      <c r="AC709">
        <v>0</v>
      </c>
      <c r="AD709">
        <v>0</v>
      </c>
      <c r="AE709">
        <v>0</v>
      </c>
      <c r="AF709">
        <v>0</v>
      </c>
      <c r="AG709">
        <v>0</v>
      </c>
      <c r="AH709">
        <v>23</v>
      </c>
      <c r="AI709">
        <v>2.42</v>
      </c>
      <c r="AJ709">
        <v>47</v>
      </c>
    </row>
    <row r="710" spans="1:36" x14ac:dyDescent="0.2">
      <c r="A710" t="str">
        <f>+VLOOKUP(B710,studies!$A$2:$C$102,3)</f>
        <v>Greenstone et al. (2013)</v>
      </c>
      <c r="B710">
        <v>87</v>
      </c>
      <c r="C710">
        <v>2013</v>
      </c>
      <c r="D710">
        <v>1</v>
      </c>
      <c r="E710">
        <v>2007</v>
      </c>
      <c r="F710">
        <v>2010</v>
      </c>
      <c r="G710">
        <v>2.1276595744680851E-2</v>
      </c>
      <c r="H710">
        <v>36.855452207020889</v>
      </c>
      <c r="I710">
        <v>1</v>
      </c>
      <c r="J710">
        <v>0</v>
      </c>
      <c r="K710">
        <v>0</v>
      </c>
      <c r="L710" t="s">
        <v>238</v>
      </c>
      <c r="M710">
        <v>72.234118001565335</v>
      </c>
      <c r="N710">
        <v>72.234118001565335</v>
      </c>
      <c r="O710">
        <v>0</v>
      </c>
      <c r="P710">
        <v>1</v>
      </c>
      <c r="Q710">
        <v>1</v>
      </c>
      <c r="R710">
        <v>1</v>
      </c>
      <c r="S710">
        <v>1</v>
      </c>
      <c r="T710">
        <v>1</v>
      </c>
      <c r="U710">
        <v>1</v>
      </c>
      <c r="V710">
        <v>3</v>
      </c>
      <c r="AA710">
        <v>0</v>
      </c>
      <c r="AC710">
        <v>0</v>
      </c>
      <c r="AD710">
        <v>0</v>
      </c>
      <c r="AE710">
        <v>0</v>
      </c>
      <c r="AF710">
        <v>0</v>
      </c>
      <c r="AG710">
        <v>0</v>
      </c>
      <c r="AH710">
        <v>23</v>
      </c>
      <c r="AI710">
        <v>2.42</v>
      </c>
      <c r="AJ710">
        <v>47</v>
      </c>
    </row>
    <row r="711" spans="1:36" x14ac:dyDescent="0.2">
      <c r="A711" t="str">
        <f>+VLOOKUP(B711,studies!$A$2:$C$102,3)</f>
        <v>Greenstone et al. (2013)</v>
      </c>
      <c r="B711">
        <v>87</v>
      </c>
      <c r="C711">
        <v>2013</v>
      </c>
      <c r="D711">
        <v>1</v>
      </c>
      <c r="E711">
        <v>2007</v>
      </c>
      <c r="F711">
        <v>2010</v>
      </c>
      <c r="G711">
        <v>2.1276595744680851E-2</v>
      </c>
      <c r="H711">
        <v>35.956538738556965</v>
      </c>
      <c r="I711">
        <v>1</v>
      </c>
      <c r="J711">
        <v>0</v>
      </c>
      <c r="K711">
        <v>0</v>
      </c>
      <c r="L711" t="s">
        <v>238</v>
      </c>
      <c r="M711">
        <v>76.361781887369062</v>
      </c>
      <c r="N711">
        <v>76.361781887369062</v>
      </c>
      <c r="O711">
        <v>0</v>
      </c>
      <c r="P711">
        <v>1</v>
      </c>
      <c r="Q711">
        <v>1</v>
      </c>
      <c r="R711">
        <v>1</v>
      </c>
      <c r="S711">
        <v>1</v>
      </c>
      <c r="T711">
        <v>1</v>
      </c>
      <c r="U711">
        <v>1</v>
      </c>
      <c r="V711">
        <v>3</v>
      </c>
      <c r="AA711">
        <v>0</v>
      </c>
      <c r="AC711">
        <v>0</v>
      </c>
      <c r="AD711">
        <v>0</v>
      </c>
      <c r="AE711">
        <v>0</v>
      </c>
      <c r="AF711">
        <v>0</v>
      </c>
      <c r="AG711">
        <v>0</v>
      </c>
      <c r="AH711">
        <v>23</v>
      </c>
      <c r="AI711">
        <v>2.42</v>
      </c>
      <c r="AJ711">
        <v>47</v>
      </c>
    </row>
    <row r="712" spans="1:36" x14ac:dyDescent="0.2">
      <c r="A712" t="str">
        <f>+VLOOKUP(B712,studies!$A$2:$C$102,3)</f>
        <v>Greenstone et al. (2013)</v>
      </c>
      <c r="B712">
        <v>87</v>
      </c>
      <c r="C712">
        <v>2013</v>
      </c>
      <c r="D712">
        <v>1</v>
      </c>
      <c r="E712">
        <v>2007</v>
      </c>
      <c r="F712">
        <v>2010</v>
      </c>
      <c r="G712">
        <v>2.1276595744680851E-2</v>
      </c>
      <c r="H712">
        <v>16.180442432350635</v>
      </c>
      <c r="I712">
        <v>1</v>
      </c>
      <c r="J712">
        <v>0</v>
      </c>
      <c r="K712">
        <v>0</v>
      </c>
      <c r="L712" t="s">
        <v>238</v>
      </c>
      <c r="M712">
        <v>65.354678191892447</v>
      </c>
      <c r="N712">
        <v>65.354678191892447</v>
      </c>
      <c r="O712">
        <v>0</v>
      </c>
      <c r="P712">
        <v>1</v>
      </c>
      <c r="Q712">
        <v>1</v>
      </c>
      <c r="R712">
        <v>1</v>
      </c>
      <c r="S712">
        <v>1</v>
      </c>
      <c r="T712">
        <v>1</v>
      </c>
      <c r="U712">
        <v>1</v>
      </c>
      <c r="V712">
        <v>3</v>
      </c>
      <c r="AA712">
        <v>0</v>
      </c>
      <c r="AC712">
        <v>0</v>
      </c>
      <c r="AD712">
        <v>0</v>
      </c>
      <c r="AE712">
        <v>0</v>
      </c>
      <c r="AF712">
        <v>0</v>
      </c>
      <c r="AG712">
        <v>0</v>
      </c>
      <c r="AH712">
        <v>23</v>
      </c>
      <c r="AI712">
        <v>2.42</v>
      </c>
      <c r="AJ712">
        <v>47</v>
      </c>
    </row>
    <row r="713" spans="1:36" x14ac:dyDescent="0.2">
      <c r="A713" t="str">
        <f>+VLOOKUP(B713,studies!$A$2:$C$102,3)</f>
        <v>Greenstone et al. (2013)</v>
      </c>
      <c r="B713">
        <v>87</v>
      </c>
      <c r="C713">
        <v>2013</v>
      </c>
      <c r="D713">
        <v>1</v>
      </c>
      <c r="E713">
        <v>2007</v>
      </c>
      <c r="F713">
        <v>2010</v>
      </c>
      <c r="G713">
        <v>2.1276595744680851E-2</v>
      </c>
      <c r="H713">
        <v>45.844586891660136</v>
      </c>
      <c r="I713">
        <v>1</v>
      </c>
      <c r="J713">
        <v>0</v>
      </c>
      <c r="K713">
        <v>0</v>
      </c>
      <c r="L713" t="s">
        <v>238</v>
      </c>
      <c r="M713">
        <v>74.297949944467206</v>
      </c>
      <c r="N713">
        <v>74.297949944467206</v>
      </c>
      <c r="O713">
        <v>0</v>
      </c>
      <c r="P713">
        <v>1</v>
      </c>
      <c r="Q713">
        <v>1</v>
      </c>
      <c r="R713">
        <v>1</v>
      </c>
      <c r="S713">
        <v>1</v>
      </c>
      <c r="T713">
        <v>1</v>
      </c>
      <c r="U713">
        <v>1</v>
      </c>
      <c r="V713">
        <v>3</v>
      </c>
      <c r="AA713">
        <v>0</v>
      </c>
      <c r="AC713">
        <v>0</v>
      </c>
      <c r="AD713">
        <v>0</v>
      </c>
      <c r="AE713">
        <v>0</v>
      </c>
      <c r="AF713">
        <v>0</v>
      </c>
      <c r="AG713">
        <v>0</v>
      </c>
      <c r="AH713">
        <v>23</v>
      </c>
      <c r="AI713">
        <v>2.42</v>
      </c>
      <c r="AJ713">
        <v>47</v>
      </c>
    </row>
    <row r="714" spans="1:36" x14ac:dyDescent="0.2">
      <c r="A714" t="str">
        <f>+VLOOKUP(B714,studies!$A$2:$C$102,3)</f>
        <v>Greenstone et al. (2013)</v>
      </c>
      <c r="B714">
        <v>87</v>
      </c>
      <c r="C714">
        <v>2013</v>
      </c>
      <c r="D714">
        <v>1</v>
      </c>
      <c r="E714">
        <v>2007</v>
      </c>
      <c r="F714">
        <v>2010</v>
      </c>
      <c r="G714">
        <v>2.1276595744680851E-2</v>
      </c>
      <c r="H714">
        <v>-0.89891346846392428</v>
      </c>
      <c r="I714">
        <v>1</v>
      </c>
      <c r="J714">
        <v>0</v>
      </c>
      <c r="K714">
        <v>0</v>
      </c>
      <c r="L714" t="s">
        <v>238</v>
      </c>
      <c r="M714">
        <v>44.945673423196212</v>
      </c>
      <c r="N714">
        <v>44.945673423196212</v>
      </c>
      <c r="O714">
        <v>0</v>
      </c>
      <c r="P714">
        <v>1</v>
      </c>
      <c r="Q714">
        <v>1</v>
      </c>
      <c r="R714">
        <v>1</v>
      </c>
      <c r="S714">
        <v>1</v>
      </c>
      <c r="T714">
        <v>1</v>
      </c>
      <c r="U714">
        <v>1</v>
      </c>
      <c r="V714">
        <v>3</v>
      </c>
      <c r="AA714">
        <v>0</v>
      </c>
      <c r="AC714">
        <v>0</v>
      </c>
      <c r="AD714">
        <v>0</v>
      </c>
      <c r="AE714">
        <v>0</v>
      </c>
      <c r="AF714">
        <v>0</v>
      </c>
      <c r="AG714">
        <v>0</v>
      </c>
      <c r="AH714">
        <v>23</v>
      </c>
      <c r="AI714">
        <v>2.42</v>
      </c>
      <c r="AJ714">
        <v>47</v>
      </c>
    </row>
    <row r="715" spans="1:36" x14ac:dyDescent="0.2">
      <c r="A715" t="str">
        <f>+VLOOKUP(B715,studies!$A$2:$C$102,3)</f>
        <v>Greenstone et al. (2013)</v>
      </c>
      <c r="B715">
        <v>87</v>
      </c>
      <c r="C715">
        <v>2013</v>
      </c>
      <c r="D715">
        <v>1</v>
      </c>
      <c r="E715">
        <v>2007</v>
      </c>
      <c r="F715">
        <v>2010</v>
      </c>
      <c r="G715">
        <v>2.1276595744680851E-2</v>
      </c>
      <c r="H715">
        <v>243.60554995372351</v>
      </c>
      <c r="I715">
        <v>1</v>
      </c>
      <c r="J715">
        <v>0</v>
      </c>
      <c r="K715">
        <v>0</v>
      </c>
      <c r="L715" t="s">
        <v>238</v>
      </c>
      <c r="O715">
        <v>0</v>
      </c>
      <c r="P715">
        <v>1</v>
      </c>
      <c r="Q715">
        <v>1</v>
      </c>
      <c r="R715">
        <v>1</v>
      </c>
      <c r="S715">
        <v>1</v>
      </c>
      <c r="T715">
        <v>1</v>
      </c>
      <c r="U715">
        <v>1</v>
      </c>
      <c r="V715">
        <v>2.5</v>
      </c>
      <c r="AA715">
        <v>0</v>
      </c>
      <c r="AC715">
        <v>0</v>
      </c>
      <c r="AD715">
        <v>0</v>
      </c>
      <c r="AE715">
        <v>0</v>
      </c>
      <c r="AF715">
        <v>0</v>
      </c>
      <c r="AG715">
        <v>0</v>
      </c>
      <c r="AH715">
        <v>23</v>
      </c>
      <c r="AI715">
        <v>2.42</v>
      </c>
      <c r="AJ715">
        <v>47</v>
      </c>
    </row>
    <row r="716" spans="1:36" x14ac:dyDescent="0.2">
      <c r="A716" t="str">
        <f>+VLOOKUP(B716,studies!$A$2:$C$102,3)</f>
        <v>Greenstone et al. (2013)</v>
      </c>
      <c r="B716">
        <v>87</v>
      </c>
      <c r="C716">
        <v>2013</v>
      </c>
      <c r="D716">
        <v>1</v>
      </c>
      <c r="E716">
        <v>2007</v>
      </c>
      <c r="F716">
        <v>2010</v>
      </c>
      <c r="G716">
        <v>2.1276595744680851E-2</v>
      </c>
      <c r="H716">
        <v>142.02832801730003</v>
      </c>
      <c r="I716">
        <v>1</v>
      </c>
      <c r="J716">
        <v>0</v>
      </c>
      <c r="K716">
        <v>0</v>
      </c>
      <c r="L716" t="s">
        <v>238</v>
      </c>
      <c r="M716" t="s">
        <v>238</v>
      </c>
      <c r="N716" t="s">
        <v>238</v>
      </c>
      <c r="O716">
        <v>0</v>
      </c>
      <c r="P716">
        <v>1</v>
      </c>
      <c r="Q716">
        <v>1</v>
      </c>
      <c r="R716">
        <v>1</v>
      </c>
      <c r="S716">
        <v>1</v>
      </c>
      <c r="T716">
        <v>1</v>
      </c>
      <c r="U716">
        <v>1</v>
      </c>
      <c r="V716">
        <v>2.5</v>
      </c>
      <c r="AA716">
        <v>0</v>
      </c>
      <c r="AC716">
        <v>0</v>
      </c>
      <c r="AD716">
        <v>0</v>
      </c>
      <c r="AE716">
        <v>0</v>
      </c>
      <c r="AF716">
        <v>0</v>
      </c>
      <c r="AG716">
        <v>0</v>
      </c>
      <c r="AH716">
        <v>23</v>
      </c>
      <c r="AI716">
        <v>2.42</v>
      </c>
      <c r="AJ716">
        <v>47</v>
      </c>
    </row>
    <row r="717" spans="1:36" x14ac:dyDescent="0.2">
      <c r="A717" t="str">
        <f>+VLOOKUP(B717,studies!$A$2:$C$102,3)</f>
        <v>Greenstone et al. (2013)</v>
      </c>
      <c r="B717">
        <v>87</v>
      </c>
      <c r="C717">
        <v>2013</v>
      </c>
      <c r="D717">
        <v>1</v>
      </c>
      <c r="E717">
        <v>2007</v>
      </c>
      <c r="F717">
        <v>2010</v>
      </c>
      <c r="G717">
        <v>2.1276595744680851E-2</v>
      </c>
      <c r="H717">
        <v>195.51367939090352</v>
      </c>
      <c r="I717">
        <v>1</v>
      </c>
      <c r="J717">
        <v>0</v>
      </c>
      <c r="K717">
        <v>0</v>
      </c>
      <c r="L717" t="s">
        <v>238</v>
      </c>
      <c r="M717" t="s">
        <v>238</v>
      </c>
      <c r="N717" t="s">
        <v>238</v>
      </c>
      <c r="O717">
        <v>0</v>
      </c>
      <c r="P717">
        <v>1</v>
      </c>
      <c r="Q717">
        <v>1</v>
      </c>
      <c r="R717">
        <v>1</v>
      </c>
      <c r="S717">
        <v>1</v>
      </c>
      <c r="T717">
        <v>1</v>
      </c>
      <c r="U717">
        <v>1</v>
      </c>
      <c r="V717">
        <v>2.5</v>
      </c>
      <c r="AA717">
        <v>0</v>
      </c>
      <c r="AC717">
        <v>0</v>
      </c>
      <c r="AD717">
        <v>0</v>
      </c>
      <c r="AE717">
        <v>0</v>
      </c>
      <c r="AF717">
        <v>0</v>
      </c>
      <c r="AG717">
        <v>0</v>
      </c>
      <c r="AH717">
        <v>23</v>
      </c>
      <c r="AI717">
        <v>2.42</v>
      </c>
      <c r="AJ717">
        <v>47</v>
      </c>
    </row>
    <row r="718" spans="1:36" x14ac:dyDescent="0.2">
      <c r="A718" t="str">
        <f>+VLOOKUP(B718,studies!$A$2:$C$102,3)</f>
        <v>Greenstone et al. (2013)</v>
      </c>
      <c r="B718">
        <v>87</v>
      </c>
      <c r="C718">
        <v>2013</v>
      </c>
      <c r="D718">
        <v>1</v>
      </c>
      <c r="E718">
        <v>2007</v>
      </c>
      <c r="F718">
        <v>2010</v>
      </c>
      <c r="G718">
        <v>2.1276595744680851E-2</v>
      </c>
      <c r="H718">
        <v>199.55878999899119</v>
      </c>
      <c r="I718">
        <v>1</v>
      </c>
      <c r="J718">
        <v>0</v>
      </c>
      <c r="K718">
        <v>0</v>
      </c>
      <c r="L718" t="s">
        <v>238</v>
      </c>
      <c r="M718" t="s">
        <v>238</v>
      </c>
      <c r="N718" t="s">
        <v>238</v>
      </c>
      <c r="O718">
        <v>0</v>
      </c>
      <c r="P718">
        <v>1</v>
      </c>
      <c r="Q718">
        <v>1</v>
      </c>
      <c r="R718">
        <v>1</v>
      </c>
      <c r="S718">
        <v>1</v>
      </c>
      <c r="T718">
        <v>1</v>
      </c>
      <c r="U718">
        <v>1</v>
      </c>
      <c r="V718">
        <v>2.5</v>
      </c>
      <c r="AA718">
        <v>0</v>
      </c>
      <c r="AC718">
        <v>0</v>
      </c>
      <c r="AD718">
        <v>0</v>
      </c>
      <c r="AE718">
        <v>0</v>
      </c>
      <c r="AF718">
        <v>0</v>
      </c>
      <c r="AG718">
        <v>0</v>
      </c>
      <c r="AH718">
        <v>23</v>
      </c>
      <c r="AI718">
        <v>2.42</v>
      </c>
      <c r="AJ718">
        <v>47</v>
      </c>
    </row>
    <row r="719" spans="1:36" x14ac:dyDescent="0.2">
      <c r="A719" t="str">
        <f>+VLOOKUP(B719,studies!$A$2:$C$102,3)</f>
        <v>Greenstone et al. (2013)</v>
      </c>
      <c r="B719">
        <v>87</v>
      </c>
      <c r="C719">
        <v>2013</v>
      </c>
      <c r="D719">
        <v>1</v>
      </c>
      <c r="E719">
        <v>2007</v>
      </c>
      <c r="F719">
        <v>2010</v>
      </c>
      <c r="G719">
        <v>2.1276595744680851E-2</v>
      </c>
      <c r="H719">
        <v>168.09681860275384</v>
      </c>
      <c r="I719">
        <v>1</v>
      </c>
      <c r="J719">
        <v>0</v>
      </c>
      <c r="K719">
        <v>0</v>
      </c>
      <c r="L719" t="s">
        <v>238</v>
      </c>
      <c r="M719" t="s">
        <v>238</v>
      </c>
      <c r="N719" t="s">
        <v>238</v>
      </c>
      <c r="O719">
        <v>0</v>
      </c>
      <c r="P719">
        <v>1</v>
      </c>
      <c r="Q719">
        <v>1</v>
      </c>
      <c r="R719">
        <v>1</v>
      </c>
      <c r="S719">
        <v>1</v>
      </c>
      <c r="T719">
        <v>1</v>
      </c>
      <c r="U719">
        <v>1</v>
      </c>
      <c r="V719">
        <v>2.5</v>
      </c>
      <c r="AA719">
        <v>0</v>
      </c>
      <c r="AC719">
        <v>0</v>
      </c>
      <c r="AD719">
        <v>0</v>
      </c>
      <c r="AE719">
        <v>0</v>
      </c>
      <c r="AF719">
        <v>0</v>
      </c>
      <c r="AG719">
        <v>0</v>
      </c>
      <c r="AH719">
        <v>23</v>
      </c>
      <c r="AI719">
        <v>2.42</v>
      </c>
      <c r="AJ719">
        <v>47</v>
      </c>
    </row>
    <row r="720" spans="1:36" x14ac:dyDescent="0.2">
      <c r="A720" t="str">
        <f>+VLOOKUP(B720,studies!$A$2:$C$102,3)</f>
        <v>Greenstone et al. (2013)</v>
      </c>
      <c r="B720">
        <v>87</v>
      </c>
      <c r="C720">
        <v>2013</v>
      </c>
      <c r="D720">
        <v>1</v>
      </c>
      <c r="E720">
        <v>2007</v>
      </c>
      <c r="F720">
        <v>2010</v>
      </c>
      <c r="G720">
        <v>2.1276595744680851E-2</v>
      </c>
      <c r="H720">
        <v>294.39416092193522</v>
      </c>
      <c r="I720">
        <v>1</v>
      </c>
      <c r="J720">
        <v>0</v>
      </c>
      <c r="K720">
        <v>0</v>
      </c>
      <c r="L720" t="s">
        <v>238</v>
      </c>
      <c r="M720" t="s">
        <v>238</v>
      </c>
      <c r="N720" t="s">
        <v>238</v>
      </c>
      <c r="O720">
        <v>0</v>
      </c>
      <c r="P720">
        <v>1</v>
      </c>
      <c r="Q720">
        <v>1</v>
      </c>
      <c r="R720">
        <v>1</v>
      </c>
      <c r="S720">
        <v>1</v>
      </c>
      <c r="T720">
        <v>1</v>
      </c>
      <c r="U720">
        <v>1</v>
      </c>
      <c r="V720">
        <v>2.5</v>
      </c>
      <c r="AA720">
        <v>0</v>
      </c>
      <c r="AC720">
        <v>0</v>
      </c>
      <c r="AD720">
        <v>0</v>
      </c>
      <c r="AE720">
        <v>0</v>
      </c>
      <c r="AF720">
        <v>0</v>
      </c>
      <c r="AG720">
        <v>0</v>
      </c>
      <c r="AH720">
        <v>23</v>
      </c>
      <c r="AI720">
        <v>2.42</v>
      </c>
      <c r="AJ720">
        <v>47</v>
      </c>
    </row>
    <row r="721" spans="1:36" x14ac:dyDescent="0.2">
      <c r="A721" t="str">
        <f>+VLOOKUP(B721,studies!$A$2:$C$102,3)</f>
        <v>Greenstone et al. (2013)</v>
      </c>
      <c r="B721">
        <v>87</v>
      </c>
      <c r="C721">
        <v>2013</v>
      </c>
      <c r="D721">
        <v>1</v>
      </c>
      <c r="E721">
        <v>2007</v>
      </c>
      <c r="F721">
        <v>2010</v>
      </c>
      <c r="G721">
        <v>2.1276595744680851E-2</v>
      </c>
      <c r="H721">
        <v>155.51203004425886</v>
      </c>
      <c r="I721">
        <v>1</v>
      </c>
      <c r="J721">
        <v>0</v>
      </c>
      <c r="K721">
        <v>0</v>
      </c>
      <c r="L721" t="s">
        <v>238</v>
      </c>
      <c r="M721" t="s">
        <v>238</v>
      </c>
      <c r="N721" t="s">
        <v>238</v>
      </c>
      <c r="O721">
        <v>0</v>
      </c>
      <c r="P721">
        <v>1</v>
      </c>
      <c r="Q721">
        <v>1</v>
      </c>
      <c r="R721">
        <v>1</v>
      </c>
      <c r="S721">
        <v>1</v>
      </c>
      <c r="T721">
        <v>1</v>
      </c>
      <c r="U721">
        <v>1</v>
      </c>
      <c r="V721">
        <v>2.5</v>
      </c>
      <c r="AA721">
        <v>0</v>
      </c>
      <c r="AC721">
        <v>0</v>
      </c>
      <c r="AD721">
        <v>0</v>
      </c>
      <c r="AE721">
        <v>0</v>
      </c>
      <c r="AF721">
        <v>0</v>
      </c>
      <c r="AG721">
        <v>0</v>
      </c>
      <c r="AH721">
        <v>23</v>
      </c>
      <c r="AI721">
        <v>2.42</v>
      </c>
      <c r="AJ721">
        <v>47</v>
      </c>
    </row>
    <row r="722" spans="1:36" x14ac:dyDescent="0.2">
      <c r="A722" t="str">
        <f>+VLOOKUP(B722,studies!$A$2:$C$102,3)</f>
        <v>Greenstone et al. (2013)</v>
      </c>
      <c r="B722">
        <v>87</v>
      </c>
      <c r="C722">
        <v>2013</v>
      </c>
      <c r="D722">
        <v>1</v>
      </c>
      <c r="E722">
        <v>2007</v>
      </c>
      <c r="F722">
        <v>2010</v>
      </c>
      <c r="G722">
        <v>2.1276595744680851E-2</v>
      </c>
      <c r="H722">
        <v>221.13271324212539</v>
      </c>
      <c r="I722">
        <v>1</v>
      </c>
      <c r="J722">
        <v>0</v>
      </c>
      <c r="K722">
        <v>0</v>
      </c>
      <c r="L722" t="s">
        <v>238</v>
      </c>
      <c r="M722" t="s">
        <v>238</v>
      </c>
      <c r="N722" t="s">
        <v>238</v>
      </c>
      <c r="O722">
        <v>0</v>
      </c>
      <c r="P722">
        <v>1</v>
      </c>
      <c r="Q722">
        <v>1</v>
      </c>
      <c r="R722">
        <v>1</v>
      </c>
      <c r="S722">
        <v>1</v>
      </c>
      <c r="T722">
        <v>1</v>
      </c>
      <c r="U722">
        <v>1</v>
      </c>
      <c r="V722">
        <v>2.5</v>
      </c>
      <c r="AA722">
        <v>0</v>
      </c>
      <c r="AC722">
        <v>0</v>
      </c>
      <c r="AD722">
        <v>0</v>
      </c>
      <c r="AE722">
        <v>0</v>
      </c>
      <c r="AF722">
        <v>0</v>
      </c>
      <c r="AG722">
        <v>0</v>
      </c>
      <c r="AH722">
        <v>23</v>
      </c>
      <c r="AI722">
        <v>2.42</v>
      </c>
      <c r="AJ722">
        <v>47</v>
      </c>
    </row>
    <row r="723" spans="1:36" x14ac:dyDescent="0.2">
      <c r="A723" t="str">
        <f>+VLOOKUP(B723,studies!$A$2:$C$102,3)</f>
        <v>Greenstone et al. (2013)</v>
      </c>
      <c r="B723">
        <v>87</v>
      </c>
      <c r="C723">
        <v>2013</v>
      </c>
      <c r="D723">
        <v>1</v>
      </c>
      <c r="E723">
        <v>2007</v>
      </c>
      <c r="F723">
        <v>2010</v>
      </c>
      <c r="G723">
        <v>2.1276595744680851E-2</v>
      </c>
      <c r="H723">
        <v>245.85283362488329</v>
      </c>
      <c r="I723">
        <v>1</v>
      </c>
      <c r="J723">
        <v>0</v>
      </c>
      <c r="K723">
        <v>0</v>
      </c>
      <c r="L723" t="s">
        <v>238</v>
      </c>
      <c r="M723" t="s">
        <v>238</v>
      </c>
      <c r="N723" t="s">
        <v>238</v>
      </c>
      <c r="O723">
        <v>0</v>
      </c>
      <c r="P723">
        <v>1</v>
      </c>
      <c r="Q723">
        <v>1</v>
      </c>
      <c r="R723">
        <v>1</v>
      </c>
      <c r="S723">
        <v>1</v>
      </c>
      <c r="T723">
        <v>1</v>
      </c>
      <c r="U723">
        <v>1</v>
      </c>
      <c r="V723">
        <v>2.5</v>
      </c>
      <c r="AA723">
        <v>0</v>
      </c>
      <c r="AC723">
        <v>0</v>
      </c>
      <c r="AD723">
        <v>0</v>
      </c>
      <c r="AE723">
        <v>0</v>
      </c>
      <c r="AF723">
        <v>0</v>
      </c>
      <c r="AG723">
        <v>0</v>
      </c>
      <c r="AH723">
        <v>23</v>
      </c>
      <c r="AI723">
        <v>2.42</v>
      </c>
      <c r="AJ723">
        <v>47</v>
      </c>
    </row>
    <row r="724" spans="1:36" x14ac:dyDescent="0.2">
      <c r="A724" t="str">
        <f>+VLOOKUP(B724,studies!$A$2:$C$102,3)</f>
        <v>Greenstone et al. (2013)</v>
      </c>
      <c r="B724">
        <v>87</v>
      </c>
      <c r="C724">
        <v>2013</v>
      </c>
      <c r="D724">
        <v>1</v>
      </c>
      <c r="E724">
        <v>2007</v>
      </c>
      <c r="F724">
        <v>2010</v>
      </c>
      <c r="G724">
        <v>2.1276595744680851E-2</v>
      </c>
      <c r="H724">
        <v>192.81693898551174</v>
      </c>
      <c r="I724">
        <v>1</v>
      </c>
      <c r="J724">
        <v>0</v>
      </c>
      <c r="K724">
        <v>0</v>
      </c>
      <c r="L724" t="s">
        <v>238</v>
      </c>
      <c r="M724" t="s">
        <v>238</v>
      </c>
      <c r="N724" t="s">
        <v>238</v>
      </c>
      <c r="O724">
        <v>0</v>
      </c>
      <c r="P724">
        <v>1</v>
      </c>
      <c r="Q724">
        <v>1</v>
      </c>
      <c r="R724">
        <v>1</v>
      </c>
      <c r="S724">
        <v>1</v>
      </c>
      <c r="T724">
        <v>1</v>
      </c>
      <c r="U724">
        <v>1</v>
      </c>
      <c r="V724">
        <v>2.5</v>
      </c>
      <c r="AA724">
        <v>0</v>
      </c>
      <c r="AC724">
        <v>0</v>
      </c>
      <c r="AD724">
        <v>0</v>
      </c>
      <c r="AE724">
        <v>0</v>
      </c>
      <c r="AF724">
        <v>0</v>
      </c>
      <c r="AG724">
        <v>0</v>
      </c>
      <c r="AH724">
        <v>23</v>
      </c>
      <c r="AI724">
        <v>2.42</v>
      </c>
      <c r="AJ724">
        <v>47</v>
      </c>
    </row>
    <row r="725" spans="1:36" x14ac:dyDescent="0.2">
      <c r="A725" t="str">
        <f>+VLOOKUP(B725,studies!$A$2:$C$102,3)</f>
        <v>Greenstone et al. (2013)</v>
      </c>
      <c r="B725">
        <v>87</v>
      </c>
      <c r="C725">
        <v>2013</v>
      </c>
      <c r="D725">
        <v>1</v>
      </c>
      <c r="E725">
        <v>2007</v>
      </c>
      <c r="F725">
        <v>2010</v>
      </c>
      <c r="G725">
        <v>2.1276595744680851E-2</v>
      </c>
      <c r="H725">
        <v>86.7451497067687</v>
      </c>
      <c r="I725">
        <v>1</v>
      </c>
      <c r="J725">
        <v>0</v>
      </c>
      <c r="K725">
        <v>0</v>
      </c>
      <c r="L725" t="s">
        <v>238</v>
      </c>
      <c r="M725" t="s">
        <v>238</v>
      </c>
      <c r="N725" t="s">
        <v>238</v>
      </c>
      <c r="O725">
        <v>0</v>
      </c>
      <c r="P725">
        <v>1</v>
      </c>
      <c r="Q725">
        <v>1</v>
      </c>
      <c r="R725">
        <v>1</v>
      </c>
      <c r="S725">
        <v>1</v>
      </c>
      <c r="T725">
        <v>1</v>
      </c>
      <c r="U725">
        <v>1</v>
      </c>
      <c r="V725">
        <v>2.5</v>
      </c>
      <c r="AA725">
        <v>0</v>
      </c>
      <c r="AC725">
        <v>0</v>
      </c>
      <c r="AD725">
        <v>0</v>
      </c>
      <c r="AE725">
        <v>0</v>
      </c>
      <c r="AF725">
        <v>0</v>
      </c>
      <c r="AG725">
        <v>0</v>
      </c>
      <c r="AH725">
        <v>23</v>
      </c>
      <c r="AI725">
        <v>2.42</v>
      </c>
      <c r="AJ725">
        <v>47</v>
      </c>
    </row>
    <row r="726" spans="1:36" x14ac:dyDescent="0.2">
      <c r="A726" t="str">
        <f>+VLOOKUP(B726,studies!$A$2:$C$102,3)</f>
        <v>Greenstone et al. (2013)</v>
      </c>
      <c r="B726">
        <v>87</v>
      </c>
      <c r="C726">
        <v>2013</v>
      </c>
      <c r="D726">
        <v>1</v>
      </c>
      <c r="E726">
        <v>2007</v>
      </c>
      <c r="F726">
        <v>2010</v>
      </c>
      <c r="G726">
        <v>2.1276595744680851E-2</v>
      </c>
      <c r="H726">
        <v>66.519596666330386</v>
      </c>
      <c r="I726">
        <v>1</v>
      </c>
      <c r="J726">
        <v>0</v>
      </c>
      <c r="K726">
        <v>0</v>
      </c>
      <c r="L726" t="s">
        <v>238</v>
      </c>
      <c r="M726" t="s">
        <v>238</v>
      </c>
      <c r="N726" t="s">
        <v>238</v>
      </c>
      <c r="O726">
        <v>0</v>
      </c>
      <c r="P726">
        <v>1</v>
      </c>
      <c r="Q726">
        <v>1</v>
      </c>
      <c r="R726">
        <v>1</v>
      </c>
      <c r="S726">
        <v>1</v>
      </c>
      <c r="T726">
        <v>1</v>
      </c>
      <c r="U726">
        <v>1</v>
      </c>
      <c r="V726">
        <v>2.5</v>
      </c>
      <c r="AA726">
        <v>0</v>
      </c>
      <c r="AC726">
        <v>0</v>
      </c>
      <c r="AD726">
        <v>0</v>
      </c>
      <c r="AE726">
        <v>0</v>
      </c>
      <c r="AF726">
        <v>0</v>
      </c>
      <c r="AG726">
        <v>0</v>
      </c>
      <c r="AH726">
        <v>23</v>
      </c>
      <c r="AI726">
        <v>2.42</v>
      </c>
      <c r="AJ726">
        <v>47</v>
      </c>
    </row>
    <row r="727" spans="1:36" x14ac:dyDescent="0.2">
      <c r="A727" t="str">
        <f>+VLOOKUP(B727,studies!$A$2:$C$102,3)</f>
        <v>Greenstone et al. (2013)</v>
      </c>
      <c r="B727">
        <v>87</v>
      </c>
      <c r="C727">
        <v>2013</v>
      </c>
      <c r="D727">
        <v>1</v>
      </c>
      <c r="E727">
        <v>2007</v>
      </c>
      <c r="F727">
        <v>2010</v>
      </c>
      <c r="G727">
        <v>2.1276595744680851E-2</v>
      </c>
      <c r="H727">
        <v>39.552192612412668</v>
      </c>
      <c r="I727">
        <v>1</v>
      </c>
      <c r="J727">
        <v>0</v>
      </c>
      <c r="K727">
        <v>0</v>
      </c>
      <c r="L727" t="s">
        <v>238</v>
      </c>
      <c r="M727" t="s">
        <v>238</v>
      </c>
      <c r="N727" t="s">
        <v>238</v>
      </c>
      <c r="O727">
        <v>0</v>
      </c>
      <c r="P727">
        <v>1</v>
      </c>
      <c r="Q727">
        <v>1</v>
      </c>
      <c r="R727">
        <v>1</v>
      </c>
      <c r="S727">
        <v>1</v>
      </c>
      <c r="T727">
        <v>1</v>
      </c>
      <c r="U727">
        <v>1</v>
      </c>
      <c r="V727">
        <v>2.5</v>
      </c>
      <c r="AA727">
        <v>0</v>
      </c>
      <c r="AC727">
        <v>0</v>
      </c>
      <c r="AD727">
        <v>0</v>
      </c>
      <c r="AE727">
        <v>0</v>
      </c>
      <c r="AF727">
        <v>0</v>
      </c>
      <c r="AG727">
        <v>0</v>
      </c>
      <c r="AH727">
        <v>23</v>
      </c>
      <c r="AI727">
        <v>2.42</v>
      </c>
      <c r="AJ727">
        <v>47</v>
      </c>
    </row>
    <row r="728" spans="1:36" x14ac:dyDescent="0.2">
      <c r="A728" t="str">
        <f>+VLOOKUP(B728,studies!$A$2:$C$102,3)</f>
        <v>Greenstone et al. (2013)</v>
      </c>
      <c r="B728">
        <v>87</v>
      </c>
      <c r="C728">
        <v>2013</v>
      </c>
      <c r="D728">
        <v>1</v>
      </c>
      <c r="E728">
        <v>2007</v>
      </c>
      <c r="F728">
        <v>2010</v>
      </c>
      <c r="G728">
        <v>2.1276595744680851E-2</v>
      </c>
      <c r="H728">
        <v>99.779394999495594</v>
      </c>
      <c r="I728">
        <v>1</v>
      </c>
      <c r="J728">
        <v>0</v>
      </c>
      <c r="K728">
        <v>0</v>
      </c>
      <c r="L728" t="s">
        <v>238</v>
      </c>
      <c r="M728" t="s">
        <v>238</v>
      </c>
      <c r="N728" t="s">
        <v>238</v>
      </c>
      <c r="O728">
        <v>0</v>
      </c>
      <c r="P728">
        <v>1</v>
      </c>
      <c r="Q728">
        <v>1</v>
      </c>
      <c r="R728">
        <v>1</v>
      </c>
      <c r="S728">
        <v>1</v>
      </c>
      <c r="T728">
        <v>1</v>
      </c>
      <c r="U728">
        <v>1</v>
      </c>
      <c r="V728">
        <v>2.5</v>
      </c>
      <c r="AA728">
        <v>0</v>
      </c>
      <c r="AC728">
        <v>0</v>
      </c>
      <c r="AD728">
        <v>0</v>
      </c>
      <c r="AE728">
        <v>0</v>
      </c>
      <c r="AF728">
        <v>0</v>
      </c>
      <c r="AG728">
        <v>0</v>
      </c>
      <c r="AH728">
        <v>23</v>
      </c>
      <c r="AI728">
        <v>2.42</v>
      </c>
      <c r="AJ728">
        <v>47</v>
      </c>
    </row>
    <row r="729" spans="1:36" x14ac:dyDescent="0.2">
      <c r="A729" t="str">
        <f>+VLOOKUP(B729,studies!$A$2:$C$102,3)</f>
        <v>Greenstone et al. (2013)</v>
      </c>
      <c r="B729">
        <v>87</v>
      </c>
      <c r="C729">
        <v>2013</v>
      </c>
      <c r="D729">
        <v>1</v>
      </c>
      <c r="E729">
        <v>2007</v>
      </c>
      <c r="F729">
        <v>2015</v>
      </c>
      <c r="G729">
        <v>2.1276595744680851E-2</v>
      </c>
      <c r="H729">
        <v>21.979967396861223</v>
      </c>
      <c r="I729">
        <v>1</v>
      </c>
      <c r="J729">
        <v>0</v>
      </c>
      <c r="K729">
        <v>0</v>
      </c>
      <c r="L729" t="s">
        <v>238</v>
      </c>
      <c r="M729" t="s">
        <v>238</v>
      </c>
      <c r="N729" t="s">
        <v>238</v>
      </c>
      <c r="O729">
        <v>0</v>
      </c>
      <c r="P729">
        <v>1</v>
      </c>
      <c r="Q729">
        <v>1</v>
      </c>
      <c r="R729">
        <v>1</v>
      </c>
      <c r="S729">
        <v>1</v>
      </c>
      <c r="T729">
        <v>1</v>
      </c>
      <c r="U729">
        <v>1</v>
      </c>
      <c r="V729">
        <v>5</v>
      </c>
      <c r="AA729">
        <v>0</v>
      </c>
      <c r="AC729">
        <v>0</v>
      </c>
      <c r="AD729">
        <v>0</v>
      </c>
      <c r="AE729">
        <v>0</v>
      </c>
      <c r="AF729">
        <v>0</v>
      </c>
      <c r="AG729">
        <v>0</v>
      </c>
      <c r="AH729">
        <v>23</v>
      </c>
      <c r="AI729">
        <v>2.42</v>
      </c>
      <c r="AJ729">
        <v>47</v>
      </c>
    </row>
    <row r="730" spans="1:36" x14ac:dyDescent="0.2">
      <c r="A730" t="str">
        <f>+VLOOKUP(B730,studies!$A$2:$C$102,3)</f>
        <v>Greenstone et al. (2013)</v>
      </c>
      <c r="B730">
        <v>87</v>
      </c>
      <c r="C730">
        <v>2013</v>
      </c>
      <c r="D730">
        <v>1</v>
      </c>
      <c r="E730">
        <v>2007</v>
      </c>
      <c r="F730">
        <v>2015</v>
      </c>
      <c r="G730">
        <v>2.1276595744680851E-2</v>
      </c>
      <c r="H730">
        <v>91.77600421847319</v>
      </c>
      <c r="I730">
        <v>1</v>
      </c>
      <c r="J730">
        <v>0</v>
      </c>
      <c r="K730">
        <v>0</v>
      </c>
      <c r="L730" t="s">
        <v>238</v>
      </c>
      <c r="M730">
        <v>96.40336577570713</v>
      </c>
      <c r="N730">
        <v>96.40336577570713</v>
      </c>
      <c r="O730">
        <v>0</v>
      </c>
      <c r="P730">
        <v>1</v>
      </c>
      <c r="Q730">
        <v>1</v>
      </c>
      <c r="R730">
        <v>1</v>
      </c>
      <c r="S730">
        <v>1</v>
      </c>
      <c r="T730">
        <v>1</v>
      </c>
      <c r="U730">
        <v>1</v>
      </c>
      <c r="V730">
        <v>3</v>
      </c>
      <c r="AA730">
        <v>0</v>
      </c>
      <c r="AC730">
        <v>0</v>
      </c>
      <c r="AD730">
        <v>0</v>
      </c>
      <c r="AE730">
        <v>0</v>
      </c>
      <c r="AF730">
        <v>0</v>
      </c>
      <c r="AG730">
        <v>0</v>
      </c>
      <c r="AH730">
        <v>23</v>
      </c>
      <c r="AI730">
        <v>2.42</v>
      </c>
      <c r="AJ730">
        <v>47</v>
      </c>
    </row>
    <row r="731" spans="1:36" x14ac:dyDescent="0.2">
      <c r="A731" t="str">
        <f>+VLOOKUP(B731,studies!$A$2:$C$102,3)</f>
        <v>Greenstone et al. (2013)</v>
      </c>
      <c r="B731">
        <v>87</v>
      </c>
      <c r="C731">
        <v>2013</v>
      </c>
      <c r="D731">
        <v>1</v>
      </c>
      <c r="E731">
        <v>2007</v>
      </c>
      <c r="F731">
        <v>2015</v>
      </c>
      <c r="G731">
        <v>2.1276595744680851E-2</v>
      </c>
      <c r="H731">
        <v>148.07556983148612</v>
      </c>
      <c r="I731">
        <v>1</v>
      </c>
      <c r="J731">
        <v>0</v>
      </c>
      <c r="K731">
        <v>0</v>
      </c>
      <c r="L731" t="s">
        <v>238</v>
      </c>
      <c r="M731" t="s">
        <v>238</v>
      </c>
      <c r="N731" t="s">
        <v>238</v>
      </c>
      <c r="O731">
        <v>0</v>
      </c>
      <c r="P731">
        <v>1</v>
      </c>
      <c r="Q731">
        <v>1</v>
      </c>
      <c r="R731">
        <v>1</v>
      </c>
      <c r="S731">
        <v>1</v>
      </c>
      <c r="T731">
        <v>1</v>
      </c>
      <c r="U731">
        <v>1</v>
      </c>
      <c r="V731">
        <v>2.5</v>
      </c>
      <c r="AA731">
        <v>0</v>
      </c>
      <c r="AC731">
        <v>0</v>
      </c>
      <c r="AD731">
        <v>0</v>
      </c>
      <c r="AE731">
        <v>0</v>
      </c>
      <c r="AF731">
        <v>0</v>
      </c>
      <c r="AG731">
        <v>0</v>
      </c>
      <c r="AH731">
        <v>23</v>
      </c>
      <c r="AI731">
        <v>2.42</v>
      </c>
      <c r="AJ731">
        <v>47</v>
      </c>
    </row>
    <row r="732" spans="1:36" x14ac:dyDescent="0.2">
      <c r="A732" t="str">
        <f>+VLOOKUP(B732,studies!$A$2:$C$102,3)</f>
        <v>Hwang et al. (2013)</v>
      </c>
      <c r="B732">
        <v>88</v>
      </c>
      <c r="C732">
        <v>2013</v>
      </c>
      <c r="D732">
        <v>1</v>
      </c>
      <c r="E732">
        <v>2005</v>
      </c>
      <c r="F732">
        <v>2005</v>
      </c>
      <c r="G732">
        <v>8.3333333333333329E-2</v>
      </c>
      <c r="H732">
        <v>48.538593034519891</v>
      </c>
      <c r="I732">
        <v>0</v>
      </c>
      <c r="J732">
        <v>1</v>
      </c>
      <c r="K732">
        <v>0</v>
      </c>
      <c r="O732">
        <v>1</v>
      </c>
      <c r="P732">
        <v>1</v>
      </c>
      <c r="Q732">
        <v>0</v>
      </c>
      <c r="R732">
        <v>1</v>
      </c>
      <c r="S732">
        <v>0</v>
      </c>
      <c r="T732">
        <v>1</v>
      </c>
      <c r="U732">
        <v>0</v>
      </c>
      <c r="Y732">
        <v>0</v>
      </c>
      <c r="AA732">
        <v>0</v>
      </c>
      <c r="AC732">
        <v>0</v>
      </c>
      <c r="AD732">
        <v>0</v>
      </c>
      <c r="AE732">
        <v>1</v>
      </c>
      <c r="AF732">
        <v>0</v>
      </c>
      <c r="AG732">
        <v>0</v>
      </c>
      <c r="AH732">
        <v>7</v>
      </c>
      <c r="AI732">
        <v>1.65</v>
      </c>
      <c r="AJ732">
        <v>12</v>
      </c>
    </row>
    <row r="733" spans="1:36" x14ac:dyDescent="0.2">
      <c r="A733" t="str">
        <f>+VLOOKUP(B733,studies!$A$2:$C$102,3)</f>
        <v>Hwang et al. (2013)</v>
      </c>
      <c r="B733">
        <v>88</v>
      </c>
      <c r="C733">
        <v>2013</v>
      </c>
      <c r="D733">
        <v>1</v>
      </c>
      <c r="E733">
        <v>2005</v>
      </c>
      <c r="F733">
        <v>2005</v>
      </c>
      <c r="G733">
        <v>8.3333333333333329E-2</v>
      </c>
      <c r="H733">
        <v>51.572255099177383</v>
      </c>
      <c r="I733">
        <v>0</v>
      </c>
      <c r="J733">
        <v>1</v>
      </c>
      <c r="K733">
        <v>0</v>
      </c>
      <c r="O733">
        <v>1</v>
      </c>
      <c r="P733">
        <v>1</v>
      </c>
      <c r="Q733">
        <v>0</v>
      </c>
      <c r="R733">
        <v>1</v>
      </c>
      <c r="S733">
        <v>0</v>
      </c>
      <c r="T733">
        <v>1</v>
      </c>
      <c r="U733">
        <v>0</v>
      </c>
      <c r="Y733">
        <v>4</v>
      </c>
      <c r="AA733">
        <v>0</v>
      </c>
      <c r="AC733">
        <v>0</v>
      </c>
      <c r="AD733">
        <v>0</v>
      </c>
      <c r="AE733">
        <v>1</v>
      </c>
      <c r="AF733">
        <v>0</v>
      </c>
      <c r="AG733">
        <v>0</v>
      </c>
      <c r="AH733">
        <v>7</v>
      </c>
      <c r="AI733">
        <v>1.65</v>
      </c>
      <c r="AJ733">
        <v>12</v>
      </c>
    </row>
    <row r="734" spans="1:36" x14ac:dyDescent="0.2">
      <c r="A734" t="str">
        <f>+VLOOKUP(B734,studies!$A$2:$C$102,3)</f>
        <v>Hwang et al. (2013)</v>
      </c>
      <c r="B734">
        <v>88</v>
      </c>
      <c r="C734">
        <v>2013</v>
      </c>
      <c r="D734">
        <v>1</v>
      </c>
      <c r="E734">
        <v>2005</v>
      </c>
      <c r="F734">
        <v>2005</v>
      </c>
      <c r="G734">
        <v>8.3333333333333329E-2</v>
      </c>
      <c r="H734">
        <v>63.706903357807356</v>
      </c>
      <c r="I734">
        <v>0</v>
      </c>
      <c r="J734">
        <v>1</v>
      </c>
      <c r="K734">
        <v>0</v>
      </c>
      <c r="O734">
        <v>1</v>
      </c>
      <c r="P734">
        <v>1</v>
      </c>
      <c r="Q734">
        <v>0</v>
      </c>
      <c r="R734">
        <v>1</v>
      </c>
      <c r="S734">
        <v>0</v>
      </c>
      <c r="T734">
        <v>1</v>
      </c>
      <c r="U734">
        <v>0</v>
      </c>
      <c r="Y734">
        <v>0.2</v>
      </c>
      <c r="AA734">
        <v>0</v>
      </c>
      <c r="AC734">
        <v>0</v>
      </c>
      <c r="AD734">
        <v>0</v>
      </c>
      <c r="AE734">
        <v>1</v>
      </c>
      <c r="AF734">
        <v>0</v>
      </c>
      <c r="AG734">
        <v>0</v>
      </c>
      <c r="AH734">
        <v>7</v>
      </c>
      <c r="AI734">
        <v>1.65</v>
      </c>
      <c r="AJ734">
        <v>12</v>
      </c>
    </row>
    <row r="735" spans="1:36" x14ac:dyDescent="0.2">
      <c r="A735" t="str">
        <f>+VLOOKUP(B735,studies!$A$2:$C$102,3)</f>
        <v>Hwang et al. (2013)</v>
      </c>
      <c r="B735">
        <v>88</v>
      </c>
      <c r="C735">
        <v>2013</v>
      </c>
      <c r="D735">
        <v>1</v>
      </c>
      <c r="E735">
        <v>2005</v>
      </c>
      <c r="F735">
        <v>2005</v>
      </c>
      <c r="G735">
        <v>8.3333333333333329E-2</v>
      </c>
      <c r="H735">
        <v>81.908875745752312</v>
      </c>
      <c r="I735">
        <v>0</v>
      </c>
      <c r="J735">
        <v>1</v>
      </c>
      <c r="K735">
        <v>0</v>
      </c>
      <c r="O735">
        <v>1</v>
      </c>
      <c r="P735">
        <v>1</v>
      </c>
      <c r="Q735">
        <v>0</v>
      </c>
      <c r="R735">
        <v>1</v>
      </c>
      <c r="S735">
        <v>0</v>
      </c>
      <c r="T735">
        <v>1</v>
      </c>
      <c r="U735">
        <v>0</v>
      </c>
      <c r="Y735">
        <v>2.2000000000000002</v>
      </c>
      <c r="AA735">
        <v>0</v>
      </c>
      <c r="AC735">
        <v>0</v>
      </c>
      <c r="AD735">
        <v>0</v>
      </c>
      <c r="AE735">
        <v>1</v>
      </c>
      <c r="AF735">
        <v>0</v>
      </c>
      <c r="AG735">
        <v>0</v>
      </c>
      <c r="AH735">
        <v>7</v>
      </c>
      <c r="AI735">
        <v>1.65</v>
      </c>
      <c r="AJ735">
        <v>12</v>
      </c>
    </row>
    <row r="736" spans="1:36" x14ac:dyDescent="0.2">
      <c r="A736" t="str">
        <f>+VLOOKUP(B736,studies!$A$2:$C$102,3)</f>
        <v>Hwang et al. (2013)</v>
      </c>
      <c r="B736">
        <v>88</v>
      </c>
      <c r="C736">
        <v>2013</v>
      </c>
      <c r="D736">
        <v>1</v>
      </c>
      <c r="E736">
        <v>2005</v>
      </c>
      <c r="F736">
        <v>2005</v>
      </c>
      <c r="G736">
        <v>8.3333333333333329E-2</v>
      </c>
      <c r="H736">
        <v>479.3186062158839</v>
      </c>
      <c r="I736">
        <v>0</v>
      </c>
      <c r="J736">
        <v>1</v>
      </c>
      <c r="K736">
        <v>0</v>
      </c>
      <c r="O736">
        <v>1</v>
      </c>
      <c r="P736">
        <v>1</v>
      </c>
      <c r="Q736">
        <v>0</v>
      </c>
      <c r="R736">
        <v>1</v>
      </c>
      <c r="S736">
        <v>0</v>
      </c>
      <c r="T736">
        <v>1</v>
      </c>
      <c r="U736">
        <v>0</v>
      </c>
      <c r="W736">
        <v>0</v>
      </c>
      <c r="AA736">
        <v>0</v>
      </c>
      <c r="AC736">
        <v>0</v>
      </c>
      <c r="AD736">
        <v>0</v>
      </c>
      <c r="AE736">
        <v>1</v>
      </c>
      <c r="AF736">
        <v>0</v>
      </c>
      <c r="AG736">
        <v>0</v>
      </c>
      <c r="AH736">
        <v>7</v>
      </c>
      <c r="AI736">
        <v>1.65</v>
      </c>
      <c r="AJ736">
        <v>12</v>
      </c>
    </row>
    <row r="737" spans="1:36" x14ac:dyDescent="0.2">
      <c r="A737" t="str">
        <f>+VLOOKUP(B737,studies!$A$2:$C$102,3)</f>
        <v>Hwang et al. (2013)</v>
      </c>
      <c r="B737">
        <v>88</v>
      </c>
      <c r="C737">
        <v>2013</v>
      </c>
      <c r="D737">
        <v>1</v>
      </c>
      <c r="E737">
        <v>2005</v>
      </c>
      <c r="F737">
        <v>2005</v>
      </c>
      <c r="G737">
        <v>8.3333333333333329E-2</v>
      </c>
      <c r="H737">
        <v>215.39000659068202</v>
      </c>
      <c r="I737">
        <v>0</v>
      </c>
      <c r="J737">
        <v>1</v>
      </c>
      <c r="K737">
        <v>0</v>
      </c>
      <c r="O737">
        <v>1</v>
      </c>
      <c r="P737">
        <v>1</v>
      </c>
      <c r="Q737">
        <v>0</v>
      </c>
      <c r="R737">
        <v>1</v>
      </c>
      <c r="S737">
        <v>0</v>
      </c>
      <c r="T737">
        <v>1</v>
      </c>
      <c r="U737">
        <v>0</v>
      </c>
      <c r="W737">
        <v>1</v>
      </c>
      <c r="AA737">
        <v>0</v>
      </c>
      <c r="AC737">
        <v>0</v>
      </c>
      <c r="AD737">
        <v>0</v>
      </c>
      <c r="AE737">
        <v>1</v>
      </c>
      <c r="AF737">
        <v>0</v>
      </c>
      <c r="AG737">
        <v>0</v>
      </c>
      <c r="AH737">
        <v>7</v>
      </c>
      <c r="AI737">
        <v>1.65</v>
      </c>
      <c r="AJ737">
        <v>12</v>
      </c>
    </row>
    <row r="738" spans="1:36" x14ac:dyDescent="0.2">
      <c r="A738" t="str">
        <f>+VLOOKUP(B738,studies!$A$2:$C$102,3)</f>
        <v>Hwang et al. (2013)</v>
      </c>
      <c r="B738">
        <v>88</v>
      </c>
      <c r="C738">
        <v>2013</v>
      </c>
      <c r="D738">
        <v>1</v>
      </c>
      <c r="E738">
        <v>2005</v>
      </c>
      <c r="F738">
        <v>2005</v>
      </c>
      <c r="G738">
        <v>8.3333333333333329E-2</v>
      </c>
      <c r="H738">
        <v>122.86331361862848</v>
      </c>
      <c r="I738">
        <v>0</v>
      </c>
      <c r="J738">
        <v>1</v>
      </c>
      <c r="K738">
        <v>0</v>
      </c>
      <c r="O738">
        <v>1</v>
      </c>
      <c r="P738">
        <v>1</v>
      </c>
      <c r="Q738">
        <v>0</v>
      </c>
      <c r="R738">
        <v>1</v>
      </c>
      <c r="S738">
        <v>0</v>
      </c>
      <c r="T738">
        <v>1</v>
      </c>
      <c r="U738">
        <v>0</v>
      </c>
      <c r="W738">
        <v>2</v>
      </c>
      <c r="AA738">
        <v>0</v>
      </c>
      <c r="AC738">
        <v>0</v>
      </c>
      <c r="AD738">
        <v>0</v>
      </c>
      <c r="AE738">
        <v>1</v>
      </c>
      <c r="AF738">
        <v>0</v>
      </c>
      <c r="AG738">
        <v>0</v>
      </c>
      <c r="AH738">
        <v>7</v>
      </c>
      <c r="AI738">
        <v>1.65</v>
      </c>
      <c r="AJ738">
        <v>12</v>
      </c>
    </row>
    <row r="739" spans="1:36" x14ac:dyDescent="0.2">
      <c r="A739" t="str">
        <f>+VLOOKUP(B739,studies!$A$2:$C$102,3)</f>
        <v>Hwang et al. (2013)</v>
      </c>
      <c r="B739">
        <v>88</v>
      </c>
      <c r="C739">
        <v>2013</v>
      </c>
      <c r="D739">
        <v>1</v>
      </c>
      <c r="E739">
        <v>2005</v>
      </c>
      <c r="F739">
        <v>2005</v>
      </c>
      <c r="G739">
        <v>8.3333333333333329E-2</v>
      </c>
      <c r="H739">
        <v>78.87521368109482</v>
      </c>
      <c r="I739">
        <v>0</v>
      </c>
      <c r="J739">
        <v>1</v>
      </c>
      <c r="K739">
        <v>0</v>
      </c>
      <c r="O739">
        <v>1</v>
      </c>
      <c r="P739">
        <v>1</v>
      </c>
      <c r="Q739">
        <v>0</v>
      </c>
      <c r="R739">
        <v>1</v>
      </c>
      <c r="S739">
        <v>0</v>
      </c>
      <c r="T739">
        <v>1</v>
      </c>
      <c r="U739">
        <v>0</v>
      </c>
      <c r="W739">
        <v>3</v>
      </c>
      <c r="AA739">
        <v>0</v>
      </c>
      <c r="AC739">
        <v>0</v>
      </c>
      <c r="AD739">
        <v>0</v>
      </c>
      <c r="AE739">
        <v>1</v>
      </c>
      <c r="AF739">
        <v>0</v>
      </c>
      <c r="AG739">
        <v>0</v>
      </c>
      <c r="AH739">
        <v>7</v>
      </c>
      <c r="AI739">
        <v>1.65</v>
      </c>
      <c r="AJ739">
        <v>12</v>
      </c>
    </row>
    <row r="740" spans="1:36" x14ac:dyDescent="0.2">
      <c r="A740" t="str">
        <f>+VLOOKUP(B740,studies!$A$2:$C$102,3)</f>
        <v>Hwang et al. (2013)</v>
      </c>
      <c r="B740">
        <v>88</v>
      </c>
      <c r="C740">
        <v>2013</v>
      </c>
      <c r="D740">
        <v>1</v>
      </c>
      <c r="E740">
        <v>2005</v>
      </c>
      <c r="F740">
        <v>2005</v>
      </c>
      <c r="G740">
        <v>8.3333333333333329E-2</v>
      </c>
      <c r="H740">
        <v>109.21183432766976</v>
      </c>
      <c r="I740">
        <v>0</v>
      </c>
      <c r="J740">
        <v>1</v>
      </c>
      <c r="K740">
        <v>0</v>
      </c>
      <c r="O740">
        <v>1</v>
      </c>
      <c r="P740">
        <v>1</v>
      </c>
      <c r="Q740">
        <v>0</v>
      </c>
      <c r="R740">
        <v>1</v>
      </c>
      <c r="S740">
        <v>0</v>
      </c>
      <c r="T740">
        <v>1</v>
      </c>
      <c r="U740">
        <v>0</v>
      </c>
      <c r="X740">
        <v>1</v>
      </c>
      <c r="AA740">
        <v>0</v>
      </c>
      <c r="AC740">
        <v>0</v>
      </c>
      <c r="AD740">
        <v>0</v>
      </c>
      <c r="AE740">
        <v>1</v>
      </c>
      <c r="AF740">
        <v>0</v>
      </c>
      <c r="AG740">
        <v>0</v>
      </c>
      <c r="AH740">
        <v>7</v>
      </c>
      <c r="AI740">
        <v>1.65</v>
      </c>
      <c r="AJ740">
        <v>12</v>
      </c>
    </row>
    <row r="741" spans="1:36" x14ac:dyDescent="0.2">
      <c r="A741" t="str">
        <f>+VLOOKUP(B741,studies!$A$2:$C$102,3)</f>
        <v>Hwang et al. (2013)</v>
      </c>
      <c r="B741">
        <v>88</v>
      </c>
      <c r="C741">
        <v>2013</v>
      </c>
      <c r="D741">
        <v>1</v>
      </c>
      <c r="E741">
        <v>2005</v>
      </c>
      <c r="F741">
        <v>2005</v>
      </c>
      <c r="G741">
        <v>8.3333333333333329E-2</v>
      </c>
      <c r="H741">
        <v>48.538593034519891</v>
      </c>
      <c r="I741">
        <v>0</v>
      </c>
      <c r="J741">
        <v>1</v>
      </c>
      <c r="K741">
        <v>0</v>
      </c>
      <c r="O741">
        <v>1</v>
      </c>
      <c r="P741">
        <v>1</v>
      </c>
      <c r="Q741">
        <v>0</v>
      </c>
      <c r="R741">
        <v>1</v>
      </c>
      <c r="S741">
        <v>0</v>
      </c>
      <c r="T741">
        <v>1</v>
      </c>
      <c r="U741">
        <v>0</v>
      </c>
      <c r="X741">
        <v>2</v>
      </c>
      <c r="AA741">
        <v>0</v>
      </c>
      <c r="AC741">
        <v>0</v>
      </c>
      <c r="AD741">
        <v>0</v>
      </c>
      <c r="AE741">
        <v>1</v>
      </c>
      <c r="AF741">
        <v>0</v>
      </c>
      <c r="AG741">
        <v>0</v>
      </c>
      <c r="AH741">
        <v>7</v>
      </c>
      <c r="AI741">
        <v>1.65</v>
      </c>
      <c r="AJ741">
        <v>12</v>
      </c>
    </row>
    <row r="742" spans="1:36" x14ac:dyDescent="0.2">
      <c r="A742" t="str">
        <f>+VLOOKUP(B742,studies!$A$2:$C$102,3)</f>
        <v>Hwang et al. (2013)</v>
      </c>
      <c r="B742">
        <v>88</v>
      </c>
      <c r="C742">
        <v>2013</v>
      </c>
      <c r="D742">
        <v>1</v>
      </c>
      <c r="E742">
        <v>2005</v>
      </c>
      <c r="F742">
        <v>2005</v>
      </c>
      <c r="G742">
        <v>8.3333333333333329E-2</v>
      </c>
      <c r="H742">
        <v>28.819789614246183</v>
      </c>
      <c r="I742">
        <v>0</v>
      </c>
      <c r="J742">
        <v>1</v>
      </c>
      <c r="K742">
        <v>0</v>
      </c>
      <c r="O742">
        <v>1</v>
      </c>
      <c r="P742">
        <v>1</v>
      </c>
      <c r="Q742">
        <v>0</v>
      </c>
      <c r="R742">
        <v>1</v>
      </c>
      <c r="S742">
        <v>0</v>
      </c>
      <c r="T742">
        <v>1</v>
      </c>
      <c r="U742">
        <v>0</v>
      </c>
      <c r="X742">
        <v>3</v>
      </c>
      <c r="AA742">
        <v>0</v>
      </c>
      <c r="AC742">
        <v>0</v>
      </c>
      <c r="AD742">
        <v>0</v>
      </c>
      <c r="AE742">
        <v>1</v>
      </c>
      <c r="AF742">
        <v>0</v>
      </c>
      <c r="AG742">
        <v>0</v>
      </c>
      <c r="AH742">
        <v>7</v>
      </c>
      <c r="AI742">
        <v>1.65</v>
      </c>
      <c r="AJ742">
        <v>12</v>
      </c>
    </row>
    <row r="743" spans="1:36" x14ac:dyDescent="0.2">
      <c r="A743" t="str">
        <f>+VLOOKUP(B743,studies!$A$2:$C$102,3)</f>
        <v>Hwang et al. (2013)</v>
      </c>
      <c r="B743">
        <v>88</v>
      </c>
      <c r="C743">
        <v>2013</v>
      </c>
      <c r="D743">
        <v>1</v>
      </c>
      <c r="E743">
        <v>2005</v>
      </c>
      <c r="F743">
        <v>2005</v>
      </c>
      <c r="G743">
        <v>8.3333333333333329E-2</v>
      </c>
      <c r="H743">
        <v>21.235634452602451</v>
      </c>
      <c r="I743">
        <v>0</v>
      </c>
      <c r="J743">
        <v>1</v>
      </c>
      <c r="K743">
        <v>0</v>
      </c>
      <c r="O743">
        <v>1</v>
      </c>
      <c r="P743">
        <v>1</v>
      </c>
      <c r="Q743">
        <v>0</v>
      </c>
      <c r="R743">
        <v>1</v>
      </c>
      <c r="S743">
        <v>0</v>
      </c>
      <c r="T743">
        <v>1</v>
      </c>
      <c r="U743">
        <v>0</v>
      </c>
      <c r="X743">
        <v>4</v>
      </c>
      <c r="AA743">
        <v>0</v>
      </c>
      <c r="AC743">
        <v>0</v>
      </c>
      <c r="AD743">
        <v>0</v>
      </c>
      <c r="AE743">
        <v>1</v>
      </c>
      <c r="AF743">
        <v>0</v>
      </c>
      <c r="AG743">
        <v>0</v>
      </c>
      <c r="AH743">
        <v>7</v>
      </c>
      <c r="AI743">
        <v>1.65</v>
      </c>
      <c r="AJ743">
        <v>12</v>
      </c>
    </row>
    <row r="744" spans="1:36" x14ac:dyDescent="0.2">
      <c r="A744" t="str">
        <f>+VLOOKUP(B744,studies!$A$2:$C$102,3)</f>
        <v>Jensen &amp; Traeger (2014b)</v>
      </c>
      <c r="B744">
        <v>89</v>
      </c>
      <c r="C744">
        <v>2013</v>
      </c>
      <c r="D744">
        <v>0</v>
      </c>
      <c r="E744">
        <v>2005</v>
      </c>
      <c r="F744">
        <v>2014</v>
      </c>
      <c r="G744">
        <v>1</v>
      </c>
      <c r="H744">
        <v>46.011974134695237</v>
      </c>
      <c r="I744">
        <v>0</v>
      </c>
      <c r="J744">
        <v>1</v>
      </c>
      <c r="K744">
        <v>0</v>
      </c>
      <c r="O744">
        <v>1</v>
      </c>
      <c r="P744">
        <v>1</v>
      </c>
      <c r="Q744">
        <v>1</v>
      </c>
      <c r="R744">
        <v>1</v>
      </c>
      <c r="S744">
        <v>0</v>
      </c>
      <c r="T744">
        <v>1</v>
      </c>
      <c r="U744">
        <v>0</v>
      </c>
      <c r="W744">
        <v>1.5</v>
      </c>
      <c r="X744">
        <v>2</v>
      </c>
      <c r="AA744">
        <v>0</v>
      </c>
      <c r="AB744">
        <v>3</v>
      </c>
      <c r="AC744">
        <v>0</v>
      </c>
      <c r="AD744">
        <v>0</v>
      </c>
      <c r="AE744">
        <v>0</v>
      </c>
      <c r="AF744">
        <v>1</v>
      </c>
      <c r="AG744">
        <v>0</v>
      </c>
      <c r="AH744">
        <v>3</v>
      </c>
      <c r="AI744">
        <v>0</v>
      </c>
      <c r="AJ744">
        <v>1</v>
      </c>
    </row>
    <row r="745" spans="1:36" x14ac:dyDescent="0.2">
      <c r="A745" t="str">
        <f>+VLOOKUP(B745,studies!$A$2:$C$102,3)</f>
        <v>Lintunen &amp; Vilmi (2013)</v>
      </c>
      <c r="B745">
        <v>90</v>
      </c>
      <c r="C745">
        <v>2013</v>
      </c>
      <c r="D745">
        <v>0</v>
      </c>
      <c r="E745">
        <v>2010</v>
      </c>
      <c r="F745">
        <v>2013</v>
      </c>
      <c r="G745">
        <v>1</v>
      </c>
      <c r="H745">
        <v>116.56197575383956</v>
      </c>
      <c r="I745">
        <v>0</v>
      </c>
      <c r="J745">
        <v>1</v>
      </c>
      <c r="K745">
        <v>0</v>
      </c>
      <c r="O745">
        <v>1</v>
      </c>
      <c r="P745">
        <v>1</v>
      </c>
      <c r="Q745">
        <v>1</v>
      </c>
      <c r="R745">
        <v>0</v>
      </c>
      <c r="S745">
        <v>0</v>
      </c>
      <c r="T745">
        <v>0</v>
      </c>
      <c r="U745">
        <v>0</v>
      </c>
      <c r="W745">
        <v>0.995</v>
      </c>
      <c r="Z745">
        <v>1</v>
      </c>
      <c r="AA745">
        <v>0</v>
      </c>
      <c r="AB745">
        <v>3</v>
      </c>
      <c r="AC745">
        <v>0</v>
      </c>
      <c r="AD745">
        <v>0</v>
      </c>
      <c r="AE745">
        <v>0</v>
      </c>
      <c r="AF745">
        <v>1</v>
      </c>
      <c r="AG745">
        <v>0</v>
      </c>
      <c r="AH745">
        <v>2</v>
      </c>
      <c r="AI745">
        <v>0</v>
      </c>
      <c r="AJ745">
        <v>1</v>
      </c>
    </row>
    <row r="746" spans="1:36" x14ac:dyDescent="0.2">
      <c r="A746" t="str">
        <f>+VLOOKUP(B746,studies!$A$2:$C$102,3)</f>
        <v>Moyer et al. (2013)</v>
      </c>
      <c r="B746">
        <v>91</v>
      </c>
      <c r="C746">
        <v>2013</v>
      </c>
      <c r="D746">
        <v>0</v>
      </c>
      <c r="E746">
        <v>2007</v>
      </c>
      <c r="F746">
        <v>2010</v>
      </c>
      <c r="G746">
        <v>0.5</v>
      </c>
      <c r="H746">
        <v>71.91307747711393</v>
      </c>
      <c r="I746">
        <v>0</v>
      </c>
      <c r="J746">
        <v>1</v>
      </c>
      <c r="K746">
        <v>0</v>
      </c>
      <c r="O746">
        <v>0</v>
      </c>
      <c r="P746">
        <v>1</v>
      </c>
      <c r="Q746">
        <v>0</v>
      </c>
      <c r="R746">
        <v>1</v>
      </c>
      <c r="S746">
        <v>0</v>
      </c>
      <c r="T746">
        <v>1</v>
      </c>
      <c r="U746">
        <v>0</v>
      </c>
      <c r="W746">
        <v>1</v>
      </c>
      <c r="X746">
        <v>2</v>
      </c>
      <c r="AA746">
        <v>0</v>
      </c>
      <c r="AC746">
        <v>0</v>
      </c>
      <c r="AD746">
        <v>0</v>
      </c>
      <c r="AE746">
        <v>0</v>
      </c>
      <c r="AF746">
        <v>0</v>
      </c>
      <c r="AG746">
        <v>0</v>
      </c>
      <c r="AH746">
        <v>7</v>
      </c>
      <c r="AI746">
        <v>0</v>
      </c>
      <c r="AJ746">
        <v>2</v>
      </c>
    </row>
    <row r="747" spans="1:36" x14ac:dyDescent="0.2">
      <c r="A747" t="str">
        <f>+VLOOKUP(B747,studies!$A$2:$C$102,3)</f>
        <v>Moyer et al. (2013)</v>
      </c>
      <c r="B747">
        <v>91</v>
      </c>
      <c r="C747">
        <v>2013</v>
      </c>
      <c r="D747">
        <v>0</v>
      </c>
      <c r="E747">
        <v>2007</v>
      </c>
      <c r="F747">
        <v>2010</v>
      </c>
      <c r="G747">
        <v>0.5</v>
      </c>
      <c r="H747">
        <v>943.85914188712047</v>
      </c>
      <c r="I747">
        <v>0</v>
      </c>
      <c r="J747">
        <v>1</v>
      </c>
      <c r="K747">
        <v>0</v>
      </c>
      <c r="O747">
        <v>0</v>
      </c>
      <c r="P747">
        <v>1</v>
      </c>
      <c r="Q747">
        <v>0</v>
      </c>
      <c r="R747">
        <v>1</v>
      </c>
      <c r="S747">
        <v>0</v>
      </c>
      <c r="T747">
        <v>1</v>
      </c>
      <c r="U747">
        <v>0</v>
      </c>
      <c r="W747">
        <v>0.1</v>
      </c>
      <c r="X747">
        <v>1</v>
      </c>
      <c r="AA747">
        <v>0</v>
      </c>
      <c r="AC747">
        <v>0</v>
      </c>
      <c r="AD747">
        <v>0</v>
      </c>
      <c r="AE747">
        <v>0</v>
      </c>
      <c r="AF747">
        <v>0</v>
      </c>
      <c r="AG747">
        <v>0</v>
      </c>
      <c r="AH747">
        <v>7</v>
      </c>
      <c r="AI747">
        <v>0</v>
      </c>
      <c r="AJ747">
        <v>2</v>
      </c>
    </row>
    <row r="748" spans="1:36" x14ac:dyDescent="0.2">
      <c r="A748" t="str">
        <f>+VLOOKUP(B748,studies!$A$2:$C$102,3)</f>
        <v>Newbold et al. (2013)</v>
      </c>
      <c r="B748">
        <v>92</v>
      </c>
      <c r="C748">
        <v>2013</v>
      </c>
      <c r="D748">
        <v>1</v>
      </c>
      <c r="E748">
        <v>2005</v>
      </c>
      <c r="F748">
        <v>2015</v>
      </c>
      <c r="G748">
        <v>0.33333333333333331</v>
      </c>
      <c r="H748">
        <v>61.408499743983612</v>
      </c>
      <c r="I748">
        <v>0</v>
      </c>
      <c r="J748">
        <v>0</v>
      </c>
      <c r="K748">
        <v>1</v>
      </c>
      <c r="O748">
        <v>1</v>
      </c>
      <c r="P748">
        <v>1</v>
      </c>
      <c r="Q748">
        <v>1</v>
      </c>
      <c r="R748">
        <v>1</v>
      </c>
      <c r="S748">
        <v>0</v>
      </c>
      <c r="T748">
        <v>0</v>
      </c>
      <c r="U748">
        <v>0</v>
      </c>
      <c r="V748">
        <v>4.7</v>
      </c>
      <c r="W748">
        <v>1.34</v>
      </c>
      <c r="X748">
        <v>1.71</v>
      </c>
      <c r="AA748">
        <v>0</v>
      </c>
      <c r="AC748">
        <v>0</v>
      </c>
      <c r="AD748">
        <v>0</v>
      </c>
      <c r="AE748">
        <v>0</v>
      </c>
      <c r="AF748">
        <v>0</v>
      </c>
      <c r="AG748">
        <v>0</v>
      </c>
      <c r="AH748">
        <v>1</v>
      </c>
      <c r="AI748">
        <v>0</v>
      </c>
      <c r="AJ748">
        <v>3</v>
      </c>
    </row>
    <row r="749" spans="1:36" x14ac:dyDescent="0.2">
      <c r="A749" t="str">
        <f>+VLOOKUP(B749,studies!$A$2:$C$102,3)</f>
        <v>Newbold et al. (2013)</v>
      </c>
      <c r="B749">
        <v>92</v>
      </c>
      <c r="C749">
        <v>2013</v>
      </c>
      <c r="D749">
        <v>1</v>
      </c>
      <c r="E749">
        <v>2005</v>
      </c>
      <c r="F749">
        <v>2015</v>
      </c>
      <c r="G749">
        <v>0.33333333333333331</v>
      </c>
      <c r="H749">
        <v>17.417683563748078</v>
      </c>
      <c r="I749">
        <v>0</v>
      </c>
      <c r="J749">
        <v>0</v>
      </c>
      <c r="K749">
        <v>1</v>
      </c>
      <c r="O749">
        <v>1</v>
      </c>
      <c r="P749">
        <v>1</v>
      </c>
      <c r="Q749">
        <v>1</v>
      </c>
      <c r="R749">
        <v>1</v>
      </c>
      <c r="S749">
        <v>0</v>
      </c>
      <c r="T749">
        <v>0</v>
      </c>
      <c r="U749">
        <v>0</v>
      </c>
      <c r="V749">
        <v>2.8000000000000003</v>
      </c>
      <c r="W749">
        <v>1.34</v>
      </c>
      <c r="X749">
        <v>1.71</v>
      </c>
      <c r="AA749">
        <v>0</v>
      </c>
      <c r="AC749">
        <v>0</v>
      </c>
      <c r="AD749">
        <v>0</v>
      </c>
      <c r="AE749">
        <v>0</v>
      </c>
      <c r="AF749">
        <v>0</v>
      </c>
      <c r="AG749">
        <v>0</v>
      </c>
      <c r="AH749">
        <v>1</v>
      </c>
      <c r="AI749">
        <v>0</v>
      </c>
      <c r="AJ749">
        <v>3</v>
      </c>
    </row>
    <row r="750" spans="1:36" x14ac:dyDescent="0.2">
      <c r="A750" t="str">
        <f>+VLOOKUP(B750,studies!$A$2:$C$102,3)</f>
        <v>Newbold et al. (2013)</v>
      </c>
      <c r="B750">
        <v>92</v>
      </c>
      <c r="C750">
        <v>2013</v>
      </c>
      <c r="D750">
        <v>1</v>
      </c>
      <c r="E750">
        <v>2005</v>
      </c>
      <c r="F750">
        <v>2005</v>
      </c>
      <c r="G750">
        <v>0.33333333333333331</v>
      </c>
      <c r="H750">
        <v>61.178851637259505</v>
      </c>
      <c r="I750">
        <v>0</v>
      </c>
      <c r="J750">
        <v>0</v>
      </c>
      <c r="K750">
        <v>1</v>
      </c>
      <c r="M750">
        <v>136.20523555605084</v>
      </c>
      <c r="N750">
        <v>136.20523555605084</v>
      </c>
      <c r="O750">
        <v>1</v>
      </c>
      <c r="P750">
        <v>1</v>
      </c>
      <c r="Q750">
        <v>1</v>
      </c>
      <c r="R750">
        <v>1</v>
      </c>
      <c r="S750">
        <v>0</v>
      </c>
      <c r="T750">
        <v>0</v>
      </c>
      <c r="U750">
        <v>0</v>
      </c>
      <c r="W750">
        <v>1.34</v>
      </c>
      <c r="X750">
        <v>1.71</v>
      </c>
      <c r="AA750">
        <v>0</v>
      </c>
      <c r="AC750">
        <v>0</v>
      </c>
      <c r="AD750">
        <v>0</v>
      </c>
      <c r="AE750">
        <v>0</v>
      </c>
      <c r="AF750">
        <v>0</v>
      </c>
      <c r="AG750">
        <v>0</v>
      </c>
      <c r="AH750">
        <v>1</v>
      </c>
      <c r="AI750">
        <v>0</v>
      </c>
      <c r="AJ750">
        <v>3</v>
      </c>
    </row>
    <row r="751" spans="1:36" x14ac:dyDescent="0.2">
      <c r="A751" t="str">
        <f>+VLOOKUP(B751,studies!$A$2:$C$102,3)</f>
        <v>Nordhaus &amp; Sztorc (2014)</v>
      </c>
      <c r="B751">
        <v>93</v>
      </c>
      <c r="C751">
        <v>2014</v>
      </c>
      <c r="D751">
        <v>0</v>
      </c>
      <c r="E751">
        <v>2005</v>
      </c>
      <c r="F751">
        <v>2015</v>
      </c>
      <c r="G751">
        <v>1</v>
      </c>
      <c r="H751">
        <v>80.158561665813252</v>
      </c>
      <c r="I751">
        <v>0</v>
      </c>
      <c r="J751">
        <v>1</v>
      </c>
      <c r="K751">
        <v>0</v>
      </c>
      <c r="O751">
        <v>1</v>
      </c>
      <c r="P751">
        <v>1</v>
      </c>
      <c r="Q751">
        <v>0</v>
      </c>
      <c r="R751">
        <v>1</v>
      </c>
      <c r="S751">
        <v>0</v>
      </c>
      <c r="T751">
        <v>1</v>
      </c>
      <c r="U751">
        <v>0</v>
      </c>
      <c r="V751">
        <v>5.16</v>
      </c>
      <c r="AA751">
        <v>1</v>
      </c>
      <c r="AB751">
        <v>3.2</v>
      </c>
      <c r="AC751">
        <v>0</v>
      </c>
      <c r="AD751">
        <v>1</v>
      </c>
      <c r="AE751">
        <v>0</v>
      </c>
      <c r="AF751">
        <v>1</v>
      </c>
      <c r="AG751">
        <v>0</v>
      </c>
      <c r="AH751">
        <v>9</v>
      </c>
      <c r="AI751">
        <v>0</v>
      </c>
      <c r="AJ751">
        <v>1</v>
      </c>
    </row>
    <row r="752" spans="1:36" x14ac:dyDescent="0.2">
      <c r="A752" t="str">
        <f>+VLOOKUP(B752,studies!$A$2:$C$102,3)</f>
        <v>Tol (2013)</v>
      </c>
      <c r="B752">
        <v>94</v>
      </c>
      <c r="C752">
        <v>2013</v>
      </c>
      <c r="D752">
        <v>1</v>
      </c>
      <c r="E752">
        <v>2010</v>
      </c>
      <c r="F752">
        <v>2013</v>
      </c>
      <c r="G752">
        <v>7.1428571428571425E-2</v>
      </c>
      <c r="H752">
        <v>0.10631983194330152</v>
      </c>
      <c r="I752">
        <v>0</v>
      </c>
      <c r="J752">
        <v>1</v>
      </c>
      <c r="K752">
        <v>0</v>
      </c>
      <c r="O752">
        <v>0</v>
      </c>
      <c r="P752">
        <v>1</v>
      </c>
      <c r="Q752">
        <v>0</v>
      </c>
      <c r="R752">
        <v>0</v>
      </c>
      <c r="S752">
        <v>0</v>
      </c>
      <c r="T752">
        <v>0</v>
      </c>
      <c r="U752">
        <v>0</v>
      </c>
      <c r="X752">
        <v>1.5</v>
      </c>
      <c r="AA752">
        <v>1</v>
      </c>
      <c r="AB752">
        <v>3</v>
      </c>
      <c r="AC752">
        <v>0</v>
      </c>
      <c r="AD752">
        <v>0</v>
      </c>
      <c r="AE752">
        <v>1</v>
      </c>
      <c r="AF752">
        <v>1</v>
      </c>
      <c r="AG752">
        <v>0</v>
      </c>
      <c r="AH752">
        <v>2</v>
      </c>
      <c r="AI752">
        <v>0.81</v>
      </c>
      <c r="AJ752">
        <v>14</v>
      </c>
    </row>
    <row r="753" spans="1:36" x14ac:dyDescent="0.2">
      <c r="A753" t="str">
        <f>+VLOOKUP(B753,studies!$A$2:$C$102,3)</f>
        <v>Tol (2013)</v>
      </c>
      <c r="B753">
        <v>94</v>
      </c>
      <c r="C753">
        <v>2013</v>
      </c>
      <c r="D753">
        <v>1</v>
      </c>
      <c r="E753">
        <v>2010</v>
      </c>
      <c r="F753">
        <v>2013</v>
      </c>
      <c r="G753">
        <v>7.1428571428571425E-2</v>
      </c>
      <c r="H753">
        <v>0</v>
      </c>
      <c r="I753">
        <v>0</v>
      </c>
      <c r="J753">
        <v>1</v>
      </c>
      <c r="K753">
        <v>0</v>
      </c>
      <c r="O753">
        <v>0</v>
      </c>
      <c r="P753">
        <v>1</v>
      </c>
      <c r="Q753">
        <v>0</v>
      </c>
      <c r="R753">
        <v>0</v>
      </c>
      <c r="S753">
        <v>0</v>
      </c>
      <c r="T753">
        <v>0</v>
      </c>
      <c r="U753">
        <v>0</v>
      </c>
      <c r="X753">
        <v>1</v>
      </c>
      <c r="AA753">
        <v>1</v>
      </c>
      <c r="AB753">
        <v>3</v>
      </c>
      <c r="AC753">
        <v>0</v>
      </c>
      <c r="AD753">
        <v>0</v>
      </c>
      <c r="AE753">
        <v>1</v>
      </c>
      <c r="AF753">
        <v>1</v>
      </c>
      <c r="AG753">
        <v>0</v>
      </c>
      <c r="AH753">
        <v>2</v>
      </c>
      <c r="AI753">
        <v>0.81</v>
      </c>
      <c r="AJ753">
        <v>14</v>
      </c>
    </row>
    <row r="754" spans="1:36" x14ac:dyDescent="0.2">
      <c r="A754" t="str">
        <f>+VLOOKUP(B754,studies!$A$2:$C$102,3)</f>
        <v>Tol (2013)</v>
      </c>
      <c r="B754">
        <v>94</v>
      </c>
      <c r="C754">
        <v>2013</v>
      </c>
      <c r="D754">
        <v>1</v>
      </c>
      <c r="E754">
        <v>2010</v>
      </c>
      <c r="F754">
        <v>2013</v>
      </c>
      <c r="G754">
        <v>7.1428571428571425E-2</v>
      </c>
      <c r="H754">
        <v>0.74423882360311067</v>
      </c>
      <c r="I754">
        <v>0</v>
      </c>
      <c r="J754">
        <v>1</v>
      </c>
      <c r="K754">
        <v>0</v>
      </c>
      <c r="O754">
        <v>0</v>
      </c>
      <c r="P754">
        <v>1</v>
      </c>
      <c r="Q754">
        <v>0</v>
      </c>
      <c r="R754">
        <v>0</v>
      </c>
      <c r="S754">
        <v>0</v>
      </c>
      <c r="T754">
        <v>0</v>
      </c>
      <c r="U754">
        <v>0</v>
      </c>
      <c r="X754">
        <v>2</v>
      </c>
      <c r="AA754">
        <v>1</v>
      </c>
      <c r="AB754">
        <v>3</v>
      </c>
      <c r="AC754">
        <v>0</v>
      </c>
      <c r="AD754">
        <v>0</v>
      </c>
      <c r="AE754">
        <v>1</v>
      </c>
      <c r="AF754">
        <v>1</v>
      </c>
      <c r="AG754">
        <v>0</v>
      </c>
      <c r="AH754">
        <v>2</v>
      </c>
      <c r="AI754">
        <v>0.81</v>
      </c>
      <c r="AJ754">
        <v>14</v>
      </c>
    </row>
    <row r="755" spans="1:36" x14ac:dyDescent="0.2">
      <c r="A755" t="str">
        <f>+VLOOKUP(B755,studies!$A$2:$C$102,3)</f>
        <v>Tol (2013)</v>
      </c>
      <c r="B755">
        <v>94</v>
      </c>
      <c r="C755">
        <v>2013</v>
      </c>
      <c r="D755">
        <v>1</v>
      </c>
      <c r="E755">
        <v>2010</v>
      </c>
      <c r="F755">
        <v>2013</v>
      </c>
      <c r="G755">
        <v>7.1428571428571425E-2</v>
      </c>
      <c r="H755">
        <v>-0.53159915971650762</v>
      </c>
      <c r="I755">
        <v>0</v>
      </c>
      <c r="J755">
        <v>1</v>
      </c>
      <c r="K755">
        <v>0</v>
      </c>
      <c r="O755">
        <v>0</v>
      </c>
      <c r="P755">
        <v>1</v>
      </c>
      <c r="Q755">
        <v>0</v>
      </c>
      <c r="R755">
        <v>0</v>
      </c>
      <c r="S755">
        <v>0</v>
      </c>
      <c r="T755">
        <v>0</v>
      </c>
      <c r="U755">
        <v>0</v>
      </c>
      <c r="X755">
        <v>1.5</v>
      </c>
      <c r="AA755">
        <v>1</v>
      </c>
      <c r="AB755">
        <v>3</v>
      </c>
      <c r="AC755">
        <v>0</v>
      </c>
      <c r="AD755">
        <v>0</v>
      </c>
      <c r="AE755">
        <v>1</v>
      </c>
      <c r="AF755">
        <v>1</v>
      </c>
      <c r="AG755">
        <v>0</v>
      </c>
      <c r="AH755">
        <v>2</v>
      </c>
      <c r="AI755">
        <v>0.81</v>
      </c>
      <c r="AJ755">
        <v>14</v>
      </c>
    </row>
    <row r="756" spans="1:36" x14ac:dyDescent="0.2">
      <c r="A756" t="str">
        <f>+VLOOKUP(B756,studies!$A$2:$C$102,3)</f>
        <v>Tol (2013)</v>
      </c>
      <c r="B756">
        <v>94</v>
      </c>
      <c r="C756">
        <v>2013</v>
      </c>
      <c r="D756">
        <v>1</v>
      </c>
      <c r="E756">
        <v>2010</v>
      </c>
      <c r="F756">
        <v>2013</v>
      </c>
      <c r="G756">
        <v>7.1428571428571425E-2</v>
      </c>
      <c r="H756">
        <v>0.4252793277732061</v>
      </c>
      <c r="I756">
        <v>0</v>
      </c>
      <c r="J756">
        <v>1</v>
      </c>
      <c r="K756">
        <v>0</v>
      </c>
      <c r="O756">
        <v>0</v>
      </c>
      <c r="P756">
        <v>1</v>
      </c>
      <c r="Q756">
        <v>0</v>
      </c>
      <c r="R756">
        <v>0</v>
      </c>
      <c r="S756">
        <v>0</v>
      </c>
      <c r="T756">
        <v>0</v>
      </c>
      <c r="U756">
        <v>0</v>
      </c>
      <c r="X756">
        <v>1.5</v>
      </c>
      <c r="AA756">
        <v>1</v>
      </c>
      <c r="AB756">
        <v>3</v>
      </c>
      <c r="AC756">
        <v>0</v>
      </c>
      <c r="AD756">
        <v>0</v>
      </c>
      <c r="AE756">
        <v>1</v>
      </c>
      <c r="AF756">
        <v>1</v>
      </c>
      <c r="AG756">
        <v>0</v>
      </c>
      <c r="AH756">
        <v>2</v>
      </c>
      <c r="AI756">
        <v>0.81</v>
      </c>
      <c r="AJ756">
        <v>14</v>
      </c>
    </row>
    <row r="757" spans="1:36" x14ac:dyDescent="0.2">
      <c r="A757" t="str">
        <f>+VLOOKUP(B757,studies!$A$2:$C$102,3)</f>
        <v>Tol (2013)</v>
      </c>
      <c r="B757">
        <v>94</v>
      </c>
      <c r="C757">
        <v>2013</v>
      </c>
      <c r="D757">
        <v>1</v>
      </c>
      <c r="E757">
        <v>2010</v>
      </c>
      <c r="F757">
        <v>2013</v>
      </c>
      <c r="G757">
        <v>7.1428571428571425E-2</v>
      </c>
      <c r="H757">
        <v>-0.21263966388660305</v>
      </c>
      <c r="I757">
        <v>0</v>
      </c>
      <c r="J757">
        <v>1</v>
      </c>
      <c r="K757">
        <v>0</v>
      </c>
      <c r="O757">
        <v>0</v>
      </c>
      <c r="P757">
        <v>1</v>
      </c>
      <c r="Q757">
        <v>0</v>
      </c>
      <c r="R757">
        <v>0</v>
      </c>
      <c r="S757">
        <v>0</v>
      </c>
      <c r="T757">
        <v>0</v>
      </c>
      <c r="U757">
        <v>0</v>
      </c>
      <c r="X757">
        <v>1.5</v>
      </c>
      <c r="AA757">
        <v>1</v>
      </c>
      <c r="AB757">
        <v>1.5</v>
      </c>
      <c r="AC757">
        <v>0</v>
      </c>
      <c r="AD757">
        <v>0</v>
      </c>
      <c r="AE757">
        <v>1</v>
      </c>
      <c r="AF757">
        <v>1</v>
      </c>
      <c r="AG757">
        <v>0</v>
      </c>
      <c r="AH757">
        <v>2</v>
      </c>
      <c r="AI757">
        <v>0.81</v>
      </c>
      <c r="AJ757">
        <v>14</v>
      </c>
    </row>
    <row r="758" spans="1:36" x14ac:dyDescent="0.2">
      <c r="A758" t="str">
        <f>+VLOOKUP(B758,studies!$A$2:$C$102,3)</f>
        <v>Tol (2013)</v>
      </c>
      <c r="B758">
        <v>94</v>
      </c>
      <c r="C758">
        <v>2013</v>
      </c>
      <c r="D758">
        <v>1</v>
      </c>
      <c r="E758">
        <v>2010</v>
      </c>
      <c r="F758">
        <v>2013</v>
      </c>
      <c r="G758">
        <v>7.1428571428571425E-2</v>
      </c>
      <c r="H758">
        <v>1.0631983194330152</v>
      </c>
      <c r="I758">
        <v>0</v>
      </c>
      <c r="J758">
        <v>1</v>
      </c>
      <c r="K758">
        <v>0</v>
      </c>
      <c r="O758">
        <v>0</v>
      </c>
      <c r="P758">
        <v>1</v>
      </c>
      <c r="Q758">
        <v>0</v>
      </c>
      <c r="R758">
        <v>0</v>
      </c>
      <c r="S758">
        <v>0</v>
      </c>
      <c r="T758">
        <v>0</v>
      </c>
      <c r="U758">
        <v>0</v>
      </c>
      <c r="X758">
        <v>1.5</v>
      </c>
      <c r="AA758">
        <v>1</v>
      </c>
      <c r="AB758">
        <v>4.5</v>
      </c>
      <c r="AC758">
        <v>0</v>
      </c>
      <c r="AD758">
        <v>0</v>
      </c>
      <c r="AE758">
        <v>1</v>
      </c>
      <c r="AF758">
        <v>1</v>
      </c>
      <c r="AG758">
        <v>0</v>
      </c>
      <c r="AH758">
        <v>2</v>
      </c>
      <c r="AI758">
        <v>0.81</v>
      </c>
      <c r="AJ758">
        <v>14</v>
      </c>
    </row>
    <row r="759" spans="1:36" x14ac:dyDescent="0.2">
      <c r="A759" t="str">
        <f>+VLOOKUP(B759,studies!$A$2:$C$102,3)</f>
        <v>Tol (2013)</v>
      </c>
      <c r="B759">
        <v>94</v>
      </c>
      <c r="C759">
        <v>2013</v>
      </c>
      <c r="D759">
        <v>1</v>
      </c>
      <c r="E759">
        <v>2010</v>
      </c>
      <c r="F759">
        <v>2013</v>
      </c>
      <c r="G759">
        <v>7.1428571428571425E-2</v>
      </c>
      <c r="H759">
        <v>21.370286220603607</v>
      </c>
      <c r="I759">
        <v>0</v>
      </c>
      <c r="J759">
        <v>1</v>
      </c>
      <c r="K759">
        <v>0</v>
      </c>
      <c r="O759">
        <v>0</v>
      </c>
      <c r="P759">
        <v>1</v>
      </c>
      <c r="Q759">
        <v>0</v>
      </c>
      <c r="R759">
        <v>0</v>
      </c>
      <c r="S759">
        <v>0</v>
      </c>
      <c r="T759">
        <v>0</v>
      </c>
      <c r="U759">
        <v>0</v>
      </c>
      <c r="X759">
        <v>1.5</v>
      </c>
      <c r="AA759">
        <v>1</v>
      </c>
      <c r="AB759">
        <v>3</v>
      </c>
      <c r="AC759">
        <v>0</v>
      </c>
      <c r="AD759">
        <v>0</v>
      </c>
      <c r="AE759">
        <v>1</v>
      </c>
      <c r="AF759">
        <v>1</v>
      </c>
      <c r="AG759">
        <v>0</v>
      </c>
      <c r="AH759">
        <v>2</v>
      </c>
      <c r="AI759">
        <v>0.81</v>
      </c>
      <c r="AJ759">
        <v>14</v>
      </c>
    </row>
    <row r="760" spans="1:36" x14ac:dyDescent="0.2">
      <c r="A760" t="str">
        <f>+VLOOKUP(B760,studies!$A$2:$C$102,3)</f>
        <v>Tol (2013)</v>
      </c>
      <c r="B760">
        <v>94</v>
      </c>
      <c r="C760">
        <v>2013</v>
      </c>
      <c r="D760">
        <v>1</v>
      </c>
      <c r="E760">
        <v>2010</v>
      </c>
      <c r="F760">
        <v>2013</v>
      </c>
      <c r="G760">
        <v>7.1428571428571425E-2</v>
      </c>
      <c r="H760">
        <v>4.7843924374485685</v>
      </c>
      <c r="I760">
        <v>0</v>
      </c>
      <c r="J760">
        <v>1</v>
      </c>
      <c r="K760">
        <v>0</v>
      </c>
      <c r="O760">
        <v>0</v>
      </c>
      <c r="P760">
        <v>1</v>
      </c>
      <c r="Q760">
        <v>0</v>
      </c>
      <c r="R760">
        <v>0</v>
      </c>
      <c r="S760">
        <v>0</v>
      </c>
      <c r="T760">
        <v>0</v>
      </c>
      <c r="U760">
        <v>0</v>
      </c>
      <c r="X760">
        <v>1</v>
      </c>
      <c r="AA760">
        <v>1</v>
      </c>
      <c r="AB760">
        <v>3</v>
      </c>
      <c r="AC760">
        <v>0</v>
      </c>
      <c r="AD760">
        <v>0</v>
      </c>
      <c r="AE760">
        <v>1</v>
      </c>
      <c r="AF760">
        <v>1</v>
      </c>
      <c r="AG760">
        <v>0</v>
      </c>
      <c r="AH760">
        <v>2</v>
      </c>
      <c r="AI760">
        <v>0.81</v>
      </c>
      <c r="AJ760">
        <v>14</v>
      </c>
    </row>
    <row r="761" spans="1:36" x14ac:dyDescent="0.2">
      <c r="A761" t="str">
        <f>+VLOOKUP(B761,studies!$A$2:$C$102,3)</f>
        <v>Tol (2013)</v>
      </c>
      <c r="B761">
        <v>94</v>
      </c>
      <c r="C761">
        <v>2013</v>
      </c>
      <c r="D761">
        <v>1</v>
      </c>
      <c r="E761">
        <v>2010</v>
      </c>
      <c r="F761">
        <v>2013</v>
      </c>
      <c r="G761">
        <v>7.1428571428571425E-2</v>
      </c>
      <c r="H761">
        <v>95.794168580914672</v>
      </c>
      <c r="I761">
        <v>0</v>
      </c>
      <c r="J761">
        <v>1</v>
      </c>
      <c r="K761">
        <v>0</v>
      </c>
      <c r="O761">
        <v>0</v>
      </c>
      <c r="P761">
        <v>1</v>
      </c>
      <c r="Q761">
        <v>0</v>
      </c>
      <c r="R761">
        <v>0</v>
      </c>
      <c r="S761">
        <v>0</v>
      </c>
      <c r="T761">
        <v>0</v>
      </c>
      <c r="U761">
        <v>0</v>
      </c>
      <c r="X761">
        <v>2</v>
      </c>
      <c r="AA761">
        <v>1</v>
      </c>
      <c r="AB761">
        <v>3</v>
      </c>
      <c r="AC761">
        <v>0</v>
      </c>
      <c r="AD761">
        <v>0</v>
      </c>
      <c r="AE761">
        <v>1</v>
      </c>
      <c r="AF761">
        <v>1</v>
      </c>
      <c r="AG761">
        <v>0</v>
      </c>
      <c r="AH761">
        <v>2</v>
      </c>
      <c r="AI761">
        <v>0.81</v>
      </c>
      <c r="AJ761">
        <v>14</v>
      </c>
    </row>
    <row r="762" spans="1:36" x14ac:dyDescent="0.2">
      <c r="A762" t="str">
        <f>+VLOOKUP(B762,studies!$A$2:$C$102,3)</f>
        <v>Tol (2013)</v>
      </c>
      <c r="B762">
        <v>94</v>
      </c>
      <c r="C762">
        <v>2013</v>
      </c>
      <c r="D762">
        <v>1</v>
      </c>
      <c r="E762">
        <v>2010</v>
      </c>
      <c r="F762">
        <v>2013</v>
      </c>
      <c r="G762">
        <v>7.1428571428571425E-2</v>
      </c>
      <c r="H762">
        <v>1.2758379833196183</v>
      </c>
      <c r="I762">
        <v>0</v>
      </c>
      <c r="J762">
        <v>1</v>
      </c>
      <c r="K762">
        <v>0</v>
      </c>
      <c r="O762">
        <v>0</v>
      </c>
      <c r="P762">
        <v>1</v>
      </c>
      <c r="Q762">
        <v>0</v>
      </c>
      <c r="R762">
        <v>0</v>
      </c>
      <c r="S762">
        <v>0</v>
      </c>
      <c r="T762">
        <v>0</v>
      </c>
      <c r="U762">
        <v>0</v>
      </c>
      <c r="X762">
        <v>1.5</v>
      </c>
      <c r="AA762">
        <v>1</v>
      </c>
      <c r="AB762">
        <v>3</v>
      </c>
      <c r="AC762">
        <v>0</v>
      </c>
      <c r="AD762">
        <v>0</v>
      </c>
      <c r="AE762">
        <v>1</v>
      </c>
      <c r="AF762">
        <v>1</v>
      </c>
      <c r="AG762">
        <v>0</v>
      </c>
      <c r="AH762">
        <v>2</v>
      </c>
      <c r="AI762">
        <v>0.81</v>
      </c>
      <c r="AJ762">
        <v>14</v>
      </c>
    </row>
    <row r="763" spans="1:36" x14ac:dyDescent="0.2">
      <c r="A763" t="str">
        <f>+VLOOKUP(B763,studies!$A$2:$C$102,3)</f>
        <v>Tol (2013)</v>
      </c>
      <c r="B763">
        <v>94</v>
      </c>
      <c r="C763">
        <v>2013</v>
      </c>
      <c r="D763">
        <v>1</v>
      </c>
      <c r="E763">
        <v>2010</v>
      </c>
      <c r="F763">
        <v>2013</v>
      </c>
      <c r="G763">
        <v>7.1428571428571425E-2</v>
      </c>
      <c r="H763">
        <v>202.9645591797626</v>
      </c>
      <c r="I763">
        <v>0</v>
      </c>
      <c r="J763">
        <v>1</v>
      </c>
      <c r="K763">
        <v>0</v>
      </c>
      <c r="O763">
        <v>0</v>
      </c>
      <c r="P763">
        <v>1</v>
      </c>
      <c r="Q763">
        <v>0</v>
      </c>
      <c r="R763">
        <v>0</v>
      </c>
      <c r="S763">
        <v>0</v>
      </c>
      <c r="T763">
        <v>0</v>
      </c>
      <c r="U763">
        <v>0</v>
      </c>
      <c r="X763">
        <v>1.5</v>
      </c>
      <c r="AA763">
        <v>1</v>
      </c>
      <c r="AB763">
        <v>3</v>
      </c>
      <c r="AC763">
        <v>0</v>
      </c>
      <c r="AD763">
        <v>0</v>
      </c>
      <c r="AE763">
        <v>1</v>
      </c>
      <c r="AF763">
        <v>1</v>
      </c>
      <c r="AG763">
        <v>0</v>
      </c>
      <c r="AH763">
        <v>2</v>
      </c>
      <c r="AI763">
        <v>0.81</v>
      </c>
      <c r="AJ763">
        <v>14</v>
      </c>
    </row>
    <row r="764" spans="1:36" x14ac:dyDescent="0.2">
      <c r="A764" t="str">
        <f>+VLOOKUP(B764,studies!$A$2:$C$102,3)</f>
        <v>Tol (2013)</v>
      </c>
      <c r="B764">
        <v>94</v>
      </c>
      <c r="C764">
        <v>2013</v>
      </c>
      <c r="D764">
        <v>1</v>
      </c>
      <c r="E764">
        <v>2010</v>
      </c>
      <c r="F764">
        <v>2013</v>
      </c>
      <c r="G764">
        <v>7.1428571428571425E-2</v>
      </c>
      <c r="H764">
        <v>0.21263966388660305</v>
      </c>
      <c r="I764">
        <v>0</v>
      </c>
      <c r="J764">
        <v>1</v>
      </c>
      <c r="K764">
        <v>0</v>
      </c>
      <c r="O764">
        <v>0</v>
      </c>
      <c r="P764">
        <v>1</v>
      </c>
      <c r="Q764">
        <v>0</v>
      </c>
      <c r="R764">
        <v>0</v>
      </c>
      <c r="S764">
        <v>0</v>
      </c>
      <c r="T764">
        <v>0</v>
      </c>
      <c r="U764">
        <v>0</v>
      </c>
      <c r="X764">
        <v>1.5</v>
      </c>
      <c r="AA764">
        <v>1</v>
      </c>
      <c r="AB764">
        <v>1.5</v>
      </c>
      <c r="AC764">
        <v>0</v>
      </c>
      <c r="AD764">
        <v>0</v>
      </c>
      <c r="AE764">
        <v>1</v>
      </c>
      <c r="AF764">
        <v>1</v>
      </c>
      <c r="AG764">
        <v>0</v>
      </c>
      <c r="AH764">
        <v>2</v>
      </c>
      <c r="AI764">
        <v>0.81</v>
      </c>
      <c r="AJ764">
        <v>14</v>
      </c>
    </row>
    <row r="765" spans="1:36" x14ac:dyDescent="0.2">
      <c r="A765" t="str">
        <f>+VLOOKUP(B765,studies!$A$2:$C$102,3)</f>
        <v>Tol (2013)</v>
      </c>
      <c r="B765">
        <v>94</v>
      </c>
      <c r="C765">
        <v>2013</v>
      </c>
      <c r="D765">
        <v>1</v>
      </c>
      <c r="E765">
        <v>2010</v>
      </c>
      <c r="F765">
        <v>2013</v>
      </c>
      <c r="G765">
        <v>7.1428571428571425E-2</v>
      </c>
      <c r="H765">
        <v>249.95792489870189</v>
      </c>
      <c r="I765">
        <v>0</v>
      </c>
      <c r="J765">
        <v>1</v>
      </c>
      <c r="K765">
        <v>0</v>
      </c>
      <c r="O765">
        <v>0</v>
      </c>
      <c r="P765">
        <v>1</v>
      </c>
      <c r="Q765">
        <v>0</v>
      </c>
      <c r="R765">
        <v>0</v>
      </c>
      <c r="S765">
        <v>0</v>
      </c>
      <c r="T765">
        <v>0</v>
      </c>
      <c r="U765">
        <v>0</v>
      </c>
      <c r="X765">
        <v>1.5</v>
      </c>
      <c r="AA765">
        <v>1</v>
      </c>
      <c r="AB765">
        <v>4.5</v>
      </c>
      <c r="AC765">
        <v>0</v>
      </c>
      <c r="AD765">
        <v>0</v>
      </c>
      <c r="AE765">
        <v>1</v>
      </c>
      <c r="AF765">
        <v>1</v>
      </c>
      <c r="AG765">
        <v>0</v>
      </c>
      <c r="AH765">
        <v>2</v>
      </c>
      <c r="AI765">
        <v>0.81</v>
      </c>
      <c r="AJ765">
        <v>14</v>
      </c>
    </row>
    <row r="766" spans="1:36" x14ac:dyDescent="0.2">
      <c r="A766" t="str">
        <f>+VLOOKUP(B766,studies!$A$2:$C$102,3)</f>
        <v>Weitzman (2013)</v>
      </c>
      <c r="B766">
        <v>95</v>
      </c>
      <c r="C766">
        <v>2013</v>
      </c>
      <c r="D766">
        <v>1</v>
      </c>
      <c r="E766">
        <v>2007</v>
      </c>
      <c r="F766">
        <v>2010</v>
      </c>
      <c r="G766">
        <v>7.1428571428571425E-2</v>
      </c>
      <c r="H766">
        <v>4.4945673423196206</v>
      </c>
      <c r="I766">
        <v>0</v>
      </c>
      <c r="J766">
        <v>1</v>
      </c>
      <c r="K766">
        <v>0</v>
      </c>
      <c r="L766" t="s">
        <v>238</v>
      </c>
      <c r="M766" t="s">
        <v>238</v>
      </c>
      <c r="N766" t="s">
        <v>238</v>
      </c>
      <c r="O766">
        <v>0</v>
      </c>
      <c r="P766">
        <v>1</v>
      </c>
      <c r="Q766">
        <v>1</v>
      </c>
      <c r="R766">
        <v>1</v>
      </c>
      <c r="S766">
        <v>1</v>
      </c>
      <c r="T766">
        <v>1</v>
      </c>
      <c r="U766">
        <v>1</v>
      </c>
      <c r="V766">
        <v>7.0000000000000009</v>
      </c>
      <c r="AA766">
        <v>0</v>
      </c>
      <c r="AC766">
        <v>0</v>
      </c>
      <c r="AD766">
        <v>0</v>
      </c>
      <c r="AE766">
        <v>0</v>
      </c>
      <c r="AF766">
        <v>0</v>
      </c>
      <c r="AG766">
        <v>0</v>
      </c>
      <c r="AH766">
        <v>17</v>
      </c>
      <c r="AI766">
        <v>13.13</v>
      </c>
      <c r="AJ766">
        <v>14</v>
      </c>
    </row>
    <row r="767" spans="1:36" x14ac:dyDescent="0.2">
      <c r="A767" t="str">
        <f>+VLOOKUP(B767,studies!$A$2:$C$102,3)</f>
        <v>Weitzman (2013)</v>
      </c>
      <c r="B767">
        <v>95</v>
      </c>
      <c r="C767">
        <v>2013</v>
      </c>
      <c r="D767">
        <v>1</v>
      </c>
      <c r="E767">
        <v>2007</v>
      </c>
      <c r="F767">
        <v>2010</v>
      </c>
      <c r="G767">
        <v>7.1428571428571425E-2</v>
      </c>
      <c r="H767">
        <v>22.472836711598106</v>
      </c>
      <c r="I767">
        <v>0</v>
      </c>
      <c r="J767">
        <v>1</v>
      </c>
      <c r="K767">
        <v>0</v>
      </c>
      <c r="L767" t="s">
        <v>238</v>
      </c>
      <c r="M767" t="s">
        <v>238</v>
      </c>
      <c r="N767" t="s">
        <v>238</v>
      </c>
      <c r="O767">
        <v>0</v>
      </c>
      <c r="P767">
        <v>1</v>
      </c>
      <c r="Q767">
        <v>1</v>
      </c>
      <c r="R767">
        <v>1</v>
      </c>
      <c r="S767">
        <v>1</v>
      </c>
      <c r="T767">
        <v>1</v>
      </c>
      <c r="U767">
        <v>1</v>
      </c>
      <c r="V767">
        <v>5</v>
      </c>
      <c r="AA767">
        <v>0</v>
      </c>
      <c r="AC767">
        <v>0</v>
      </c>
      <c r="AD767">
        <v>0</v>
      </c>
      <c r="AE767">
        <v>0</v>
      </c>
      <c r="AF767">
        <v>0</v>
      </c>
      <c r="AG767">
        <v>0</v>
      </c>
      <c r="AH767">
        <v>17</v>
      </c>
      <c r="AI767">
        <v>13.13</v>
      </c>
      <c r="AJ767">
        <v>14</v>
      </c>
    </row>
    <row r="768" spans="1:36" x14ac:dyDescent="0.2">
      <c r="A768" t="str">
        <f>+VLOOKUP(B768,studies!$A$2:$C$102,3)</f>
        <v>Weitzman (2013)</v>
      </c>
      <c r="B768">
        <v>95</v>
      </c>
      <c r="C768">
        <v>2013</v>
      </c>
      <c r="D768">
        <v>1</v>
      </c>
      <c r="E768">
        <v>2007</v>
      </c>
      <c r="F768">
        <v>2010</v>
      </c>
      <c r="G768">
        <v>7.1428571428571425E-2</v>
      </c>
      <c r="H768">
        <v>94.38591418871205</v>
      </c>
      <c r="I768">
        <v>0</v>
      </c>
      <c r="J768">
        <v>1</v>
      </c>
      <c r="K768">
        <v>0</v>
      </c>
      <c r="L768" t="s">
        <v>238</v>
      </c>
      <c r="M768" t="s">
        <v>238</v>
      </c>
      <c r="N768" t="s">
        <v>238</v>
      </c>
      <c r="O768">
        <v>0</v>
      </c>
      <c r="P768">
        <v>1</v>
      </c>
      <c r="Q768">
        <v>1</v>
      </c>
      <c r="R768">
        <v>1</v>
      </c>
      <c r="S768">
        <v>1</v>
      </c>
      <c r="T768">
        <v>1</v>
      </c>
      <c r="U768">
        <v>1</v>
      </c>
      <c r="V768">
        <v>3</v>
      </c>
      <c r="AA768">
        <v>0</v>
      </c>
      <c r="AC768">
        <v>0</v>
      </c>
      <c r="AD768">
        <v>0</v>
      </c>
      <c r="AE768">
        <v>0</v>
      </c>
      <c r="AF768">
        <v>0</v>
      </c>
      <c r="AG768">
        <v>0</v>
      </c>
      <c r="AH768">
        <v>17</v>
      </c>
      <c r="AI768">
        <v>13.13</v>
      </c>
      <c r="AJ768">
        <v>14</v>
      </c>
    </row>
    <row r="769" spans="1:36" x14ac:dyDescent="0.2">
      <c r="A769" t="str">
        <f>+VLOOKUP(B769,studies!$A$2:$C$102,3)</f>
        <v>Weitzman (2013)</v>
      </c>
      <c r="B769">
        <v>95</v>
      </c>
      <c r="C769">
        <v>2013</v>
      </c>
      <c r="D769">
        <v>1</v>
      </c>
      <c r="E769">
        <v>2007</v>
      </c>
      <c r="F769">
        <v>2010</v>
      </c>
      <c r="G769">
        <v>7.1428571428571425E-2</v>
      </c>
      <c r="H769">
        <v>157.30985698118673</v>
      </c>
      <c r="I769">
        <v>0</v>
      </c>
      <c r="J769">
        <v>1</v>
      </c>
      <c r="K769">
        <v>0</v>
      </c>
      <c r="L769" t="s">
        <v>238</v>
      </c>
      <c r="M769" t="s">
        <v>238</v>
      </c>
      <c r="N769" t="s">
        <v>238</v>
      </c>
      <c r="O769">
        <v>0</v>
      </c>
      <c r="P769">
        <v>1</v>
      </c>
      <c r="Q769">
        <v>1</v>
      </c>
      <c r="R769">
        <v>1</v>
      </c>
      <c r="S769">
        <v>1</v>
      </c>
      <c r="T769">
        <v>1</v>
      </c>
      <c r="U769">
        <v>1</v>
      </c>
      <c r="V769">
        <v>2.5</v>
      </c>
      <c r="AA769">
        <v>0</v>
      </c>
      <c r="AC769">
        <v>0</v>
      </c>
      <c r="AD769">
        <v>0</v>
      </c>
      <c r="AE769">
        <v>0</v>
      </c>
      <c r="AF769">
        <v>0</v>
      </c>
      <c r="AG769">
        <v>0</v>
      </c>
      <c r="AH769">
        <v>17</v>
      </c>
      <c r="AI769">
        <v>13.13</v>
      </c>
      <c r="AJ769">
        <v>14</v>
      </c>
    </row>
    <row r="770" spans="1:36" x14ac:dyDescent="0.2">
      <c r="A770" t="str">
        <f>+VLOOKUP(B770,studies!$A$2:$C$102,3)</f>
        <v>Weitzman (2013)</v>
      </c>
      <c r="B770">
        <v>95</v>
      </c>
      <c r="C770">
        <v>2013</v>
      </c>
      <c r="D770">
        <v>1</v>
      </c>
      <c r="E770">
        <v>2007</v>
      </c>
      <c r="F770">
        <v>2010</v>
      </c>
      <c r="G770">
        <v>7.1428571428571425E-2</v>
      </c>
      <c r="H770">
        <v>278.66317522381649</v>
      </c>
      <c r="I770">
        <v>0</v>
      </c>
      <c r="J770">
        <v>1</v>
      </c>
      <c r="K770">
        <v>0</v>
      </c>
      <c r="L770" t="s">
        <v>238</v>
      </c>
      <c r="M770" t="s">
        <v>238</v>
      </c>
      <c r="N770" t="s">
        <v>238</v>
      </c>
      <c r="O770">
        <v>0</v>
      </c>
      <c r="P770">
        <v>1</v>
      </c>
      <c r="Q770">
        <v>1</v>
      </c>
      <c r="R770">
        <v>1</v>
      </c>
      <c r="S770">
        <v>1</v>
      </c>
      <c r="T770">
        <v>1</v>
      </c>
      <c r="U770">
        <v>1</v>
      </c>
      <c r="V770">
        <v>2</v>
      </c>
      <c r="AA770">
        <v>0</v>
      </c>
      <c r="AC770">
        <v>0</v>
      </c>
      <c r="AD770">
        <v>0</v>
      </c>
      <c r="AE770">
        <v>0</v>
      </c>
      <c r="AF770">
        <v>0</v>
      </c>
      <c r="AG770">
        <v>0</v>
      </c>
      <c r="AH770">
        <v>17</v>
      </c>
      <c r="AI770">
        <v>13.13</v>
      </c>
      <c r="AJ770">
        <v>14</v>
      </c>
    </row>
    <row r="771" spans="1:36" x14ac:dyDescent="0.2">
      <c r="A771" t="str">
        <f>+VLOOKUP(B771,studies!$A$2:$C$102,3)</f>
        <v>Weitzman (2013)</v>
      </c>
      <c r="B771">
        <v>95</v>
      </c>
      <c r="C771">
        <v>2013</v>
      </c>
      <c r="D771">
        <v>1</v>
      </c>
      <c r="E771">
        <v>2007</v>
      </c>
      <c r="F771">
        <v>2010</v>
      </c>
      <c r="G771">
        <v>7.1428571428571425E-2</v>
      </c>
      <c r="H771">
        <v>548.33721576299376</v>
      </c>
      <c r="I771">
        <v>0</v>
      </c>
      <c r="J771">
        <v>1</v>
      </c>
      <c r="K771">
        <v>0</v>
      </c>
      <c r="L771" t="s">
        <v>238</v>
      </c>
      <c r="M771" t="s">
        <v>238</v>
      </c>
      <c r="N771" t="s">
        <v>238</v>
      </c>
      <c r="O771">
        <v>0</v>
      </c>
      <c r="P771">
        <v>1</v>
      </c>
      <c r="Q771">
        <v>1</v>
      </c>
      <c r="R771">
        <v>1</v>
      </c>
      <c r="S771">
        <v>1</v>
      </c>
      <c r="T771">
        <v>1</v>
      </c>
      <c r="U771">
        <v>1</v>
      </c>
      <c r="V771">
        <v>1.5</v>
      </c>
      <c r="AA771">
        <v>0</v>
      </c>
      <c r="AC771">
        <v>0</v>
      </c>
      <c r="AD771">
        <v>0</v>
      </c>
      <c r="AE771">
        <v>0</v>
      </c>
      <c r="AF771">
        <v>0</v>
      </c>
      <c r="AG771">
        <v>0</v>
      </c>
      <c r="AH771">
        <v>17</v>
      </c>
      <c r="AI771">
        <v>13.13</v>
      </c>
      <c r="AJ771">
        <v>14</v>
      </c>
    </row>
    <row r="772" spans="1:36" x14ac:dyDescent="0.2">
      <c r="A772" t="str">
        <f>+VLOOKUP(B772,studies!$A$2:$C$102,3)</f>
        <v>Weitzman (2013)</v>
      </c>
      <c r="B772">
        <v>95</v>
      </c>
      <c r="C772">
        <v>2013</v>
      </c>
      <c r="D772">
        <v>1</v>
      </c>
      <c r="E772">
        <v>2007</v>
      </c>
      <c r="F772">
        <v>2010</v>
      </c>
      <c r="G772">
        <v>7.1428571428571425E-2</v>
      </c>
      <c r="H772">
        <v>1195.5549130570193</v>
      </c>
      <c r="I772">
        <v>0</v>
      </c>
      <c r="J772">
        <v>1</v>
      </c>
      <c r="K772">
        <v>0</v>
      </c>
      <c r="L772" t="s">
        <v>238</v>
      </c>
      <c r="M772" t="s">
        <v>238</v>
      </c>
      <c r="N772" t="s">
        <v>238</v>
      </c>
      <c r="O772">
        <v>0</v>
      </c>
      <c r="P772">
        <v>1</v>
      </c>
      <c r="Q772">
        <v>1</v>
      </c>
      <c r="R772">
        <v>1</v>
      </c>
      <c r="S772">
        <v>1</v>
      </c>
      <c r="T772">
        <v>1</v>
      </c>
      <c r="U772">
        <v>1</v>
      </c>
      <c r="V772">
        <v>1</v>
      </c>
      <c r="AA772">
        <v>0</v>
      </c>
      <c r="AC772">
        <v>0</v>
      </c>
      <c r="AD772">
        <v>0</v>
      </c>
      <c r="AE772">
        <v>0</v>
      </c>
      <c r="AF772">
        <v>0</v>
      </c>
      <c r="AG772">
        <v>0</v>
      </c>
      <c r="AH772">
        <v>17</v>
      </c>
      <c r="AI772">
        <v>13.13</v>
      </c>
      <c r="AJ772">
        <v>14</v>
      </c>
    </row>
    <row r="773" spans="1:36" x14ac:dyDescent="0.2">
      <c r="A773" t="str">
        <f>+VLOOKUP(B773,studies!$A$2:$C$102,3)</f>
        <v>Weitzman (2013)</v>
      </c>
      <c r="B773">
        <v>95</v>
      </c>
      <c r="C773">
        <v>2013</v>
      </c>
      <c r="D773">
        <v>1</v>
      </c>
      <c r="E773">
        <v>2007</v>
      </c>
      <c r="F773">
        <v>2010</v>
      </c>
      <c r="G773">
        <v>7.1428571428571425E-2</v>
      </c>
      <c r="H773">
        <v>1195.5549130570193</v>
      </c>
      <c r="I773">
        <v>0</v>
      </c>
      <c r="J773">
        <v>1</v>
      </c>
      <c r="K773">
        <v>0</v>
      </c>
      <c r="L773" t="s">
        <v>238</v>
      </c>
      <c r="M773" t="s">
        <v>238</v>
      </c>
      <c r="N773" t="s">
        <v>238</v>
      </c>
      <c r="O773">
        <v>0</v>
      </c>
      <c r="P773">
        <v>1</v>
      </c>
      <c r="Q773">
        <v>1</v>
      </c>
      <c r="R773">
        <v>1</v>
      </c>
      <c r="S773">
        <v>1</v>
      </c>
      <c r="T773">
        <v>1</v>
      </c>
      <c r="U773">
        <v>1</v>
      </c>
      <c r="V773">
        <v>1</v>
      </c>
      <c r="AA773">
        <v>0</v>
      </c>
      <c r="AC773">
        <v>0</v>
      </c>
      <c r="AD773">
        <v>0</v>
      </c>
      <c r="AE773">
        <v>0</v>
      </c>
      <c r="AF773">
        <v>0</v>
      </c>
      <c r="AG773">
        <v>0</v>
      </c>
      <c r="AH773">
        <v>17</v>
      </c>
      <c r="AI773">
        <v>13.13</v>
      </c>
      <c r="AJ773">
        <v>14</v>
      </c>
    </row>
    <row r="774" spans="1:36" x14ac:dyDescent="0.2">
      <c r="A774" t="str">
        <f>+VLOOKUP(B774,studies!$A$2:$C$102,3)</f>
        <v>Weitzman (2013)</v>
      </c>
      <c r="B774">
        <v>95</v>
      </c>
      <c r="C774">
        <v>2013</v>
      </c>
      <c r="D774">
        <v>1</v>
      </c>
      <c r="E774">
        <v>2007</v>
      </c>
      <c r="F774">
        <v>2010</v>
      </c>
      <c r="G774">
        <v>7.1428571428571425E-2</v>
      </c>
      <c r="H774">
        <v>1024.7613540488737</v>
      </c>
      <c r="I774">
        <v>0</v>
      </c>
      <c r="J774">
        <v>1</v>
      </c>
      <c r="K774">
        <v>0</v>
      </c>
      <c r="L774" t="s">
        <v>238</v>
      </c>
      <c r="M774" t="s">
        <v>238</v>
      </c>
      <c r="N774" t="s">
        <v>238</v>
      </c>
      <c r="O774">
        <v>0</v>
      </c>
      <c r="P774">
        <v>1</v>
      </c>
      <c r="Q774">
        <v>1</v>
      </c>
      <c r="R774">
        <v>1</v>
      </c>
      <c r="S774">
        <v>1</v>
      </c>
      <c r="T774">
        <v>1</v>
      </c>
      <c r="U774">
        <v>1</v>
      </c>
      <c r="V774">
        <v>1</v>
      </c>
      <c r="AA774">
        <v>0</v>
      </c>
      <c r="AC774">
        <v>0</v>
      </c>
      <c r="AD774">
        <v>0</v>
      </c>
      <c r="AE774">
        <v>0</v>
      </c>
      <c r="AF774">
        <v>0</v>
      </c>
      <c r="AG774">
        <v>0</v>
      </c>
      <c r="AH774">
        <v>17</v>
      </c>
      <c r="AI774">
        <v>13.13</v>
      </c>
      <c r="AJ774">
        <v>14</v>
      </c>
    </row>
    <row r="775" spans="1:36" x14ac:dyDescent="0.2">
      <c r="A775" t="str">
        <f>+VLOOKUP(B775,studies!$A$2:$C$102,3)</f>
        <v>Weitzman (2013)</v>
      </c>
      <c r="B775">
        <v>95</v>
      </c>
      <c r="C775">
        <v>2013</v>
      </c>
      <c r="D775">
        <v>1</v>
      </c>
      <c r="E775">
        <v>2007</v>
      </c>
      <c r="F775">
        <v>2010</v>
      </c>
      <c r="G775">
        <v>7.1428571428571425E-2</v>
      </c>
      <c r="H775">
        <v>822.50582364449076</v>
      </c>
      <c r="I775">
        <v>0</v>
      </c>
      <c r="J775">
        <v>1</v>
      </c>
      <c r="K775">
        <v>0</v>
      </c>
      <c r="L775" t="s">
        <v>238</v>
      </c>
      <c r="M775" t="s">
        <v>238</v>
      </c>
      <c r="N775" t="s">
        <v>238</v>
      </c>
      <c r="O775">
        <v>0</v>
      </c>
      <c r="P775">
        <v>1</v>
      </c>
      <c r="Q775">
        <v>1</v>
      </c>
      <c r="R775">
        <v>1</v>
      </c>
      <c r="S775">
        <v>1</v>
      </c>
      <c r="T775">
        <v>1</v>
      </c>
      <c r="U775">
        <v>1</v>
      </c>
      <c r="V775">
        <v>1</v>
      </c>
      <c r="AA775">
        <v>0</v>
      </c>
      <c r="AC775">
        <v>0</v>
      </c>
      <c r="AD775">
        <v>0</v>
      </c>
      <c r="AE775">
        <v>0</v>
      </c>
      <c r="AF775">
        <v>0</v>
      </c>
      <c r="AG775">
        <v>0</v>
      </c>
      <c r="AH775">
        <v>17</v>
      </c>
      <c r="AI775">
        <v>13.13</v>
      </c>
      <c r="AJ775">
        <v>14</v>
      </c>
    </row>
    <row r="776" spans="1:36" x14ac:dyDescent="0.2">
      <c r="A776" t="str">
        <f>+VLOOKUP(B776,studies!$A$2:$C$102,3)</f>
        <v>Weitzman (2013)</v>
      </c>
      <c r="B776">
        <v>95</v>
      </c>
      <c r="C776">
        <v>2013</v>
      </c>
      <c r="D776">
        <v>1</v>
      </c>
      <c r="E776">
        <v>2007</v>
      </c>
      <c r="F776">
        <v>2010</v>
      </c>
      <c r="G776">
        <v>7.1428571428571425E-2</v>
      </c>
      <c r="H776">
        <v>629.23942792474691</v>
      </c>
      <c r="I776">
        <v>0</v>
      </c>
      <c r="J776">
        <v>1</v>
      </c>
      <c r="K776">
        <v>0</v>
      </c>
      <c r="L776" t="s">
        <v>238</v>
      </c>
      <c r="M776" t="s">
        <v>238</v>
      </c>
      <c r="N776" t="s">
        <v>238</v>
      </c>
      <c r="O776">
        <v>0</v>
      </c>
      <c r="P776">
        <v>1</v>
      </c>
      <c r="Q776">
        <v>1</v>
      </c>
      <c r="R776">
        <v>1</v>
      </c>
      <c r="S776">
        <v>1</v>
      </c>
      <c r="T776">
        <v>1</v>
      </c>
      <c r="U776">
        <v>1</v>
      </c>
      <c r="V776">
        <v>1</v>
      </c>
      <c r="AA776">
        <v>0</v>
      </c>
      <c r="AC776">
        <v>0</v>
      </c>
      <c r="AD776">
        <v>0</v>
      </c>
      <c r="AE776">
        <v>0</v>
      </c>
      <c r="AF776">
        <v>0</v>
      </c>
      <c r="AG776">
        <v>0</v>
      </c>
      <c r="AH776">
        <v>17</v>
      </c>
      <c r="AI776">
        <v>13.13</v>
      </c>
      <c r="AJ776">
        <v>14</v>
      </c>
    </row>
    <row r="777" spans="1:36" x14ac:dyDescent="0.2">
      <c r="A777" t="str">
        <f>+VLOOKUP(B777,studies!$A$2:$C$102,3)</f>
        <v>Weitzman (2013)</v>
      </c>
      <c r="B777">
        <v>95</v>
      </c>
      <c r="C777">
        <v>2013</v>
      </c>
      <c r="D777">
        <v>1</v>
      </c>
      <c r="E777">
        <v>2007</v>
      </c>
      <c r="F777">
        <v>2010</v>
      </c>
      <c r="G777">
        <v>7.1428571428571425E-2</v>
      </c>
      <c r="H777">
        <v>413.50019549340516</v>
      </c>
      <c r="I777">
        <v>0</v>
      </c>
      <c r="J777">
        <v>1</v>
      </c>
      <c r="K777">
        <v>0</v>
      </c>
      <c r="L777" t="s">
        <v>238</v>
      </c>
      <c r="M777" t="s">
        <v>238</v>
      </c>
      <c r="N777" t="s">
        <v>238</v>
      </c>
      <c r="O777">
        <v>0</v>
      </c>
      <c r="P777">
        <v>1</v>
      </c>
      <c r="Q777">
        <v>1</v>
      </c>
      <c r="R777">
        <v>1</v>
      </c>
      <c r="S777">
        <v>1</v>
      </c>
      <c r="T777">
        <v>1</v>
      </c>
      <c r="U777">
        <v>1</v>
      </c>
      <c r="V777">
        <v>1</v>
      </c>
      <c r="AA777">
        <v>0</v>
      </c>
      <c r="AC777">
        <v>0</v>
      </c>
      <c r="AD777">
        <v>0</v>
      </c>
      <c r="AE777">
        <v>0</v>
      </c>
      <c r="AF777">
        <v>0</v>
      </c>
      <c r="AG777">
        <v>0</v>
      </c>
      <c r="AH777">
        <v>17</v>
      </c>
      <c r="AI777">
        <v>13.13</v>
      </c>
      <c r="AJ777">
        <v>14</v>
      </c>
    </row>
    <row r="778" spans="1:36" x14ac:dyDescent="0.2">
      <c r="A778" t="str">
        <f>+VLOOKUP(B778,studies!$A$2:$C$102,3)</f>
        <v>Weitzman (2013)</v>
      </c>
      <c r="B778">
        <v>95</v>
      </c>
      <c r="C778">
        <v>2013</v>
      </c>
      <c r="D778">
        <v>1</v>
      </c>
      <c r="E778">
        <v>2007</v>
      </c>
      <c r="F778">
        <v>2010</v>
      </c>
      <c r="G778">
        <v>7.1428571428571425E-2</v>
      </c>
      <c r="H778">
        <v>202.25553040438294</v>
      </c>
      <c r="I778">
        <v>0</v>
      </c>
      <c r="J778">
        <v>1</v>
      </c>
      <c r="K778">
        <v>0</v>
      </c>
      <c r="L778" t="s">
        <v>238</v>
      </c>
      <c r="M778" t="s">
        <v>238</v>
      </c>
      <c r="N778" t="s">
        <v>238</v>
      </c>
      <c r="O778">
        <v>0</v>
      </c>
      <c r="P778">
        <v>1</v>
      </c>
      <c r="Q778">
        <v>1</v>
      </c>
      <c r="R778">
        <v>1</v>
      </c>
      <c r="S778">
        <v>1</v>
      </c>
      <c r="T778">
        <v>1</v>
      </c>
      <c r="U778">
        <v>1</v>
      </c>
      <c r="V778">
        <v>1</v>
      </c>
      <c r="AA778">
        <v>0</v>
      </c>
      <c r="AC778">
        <v>0</v>
      </c>
      <c r="AD778">
        <v>0</v>
      </c>
      <c r="AE778">
        <v>0</v>
      </c>
      <c r="AF778">
        <v>0</v>
      </c>
      <c r="AG778">
        <v>0</v>
      </c>
      <c r="AH778">
        <v>17</v>
      </c>
      <c r="AI778">
        <v>13.13</v>
      </c>
      <c r="AJ778">
        <v>14</v>
      </c>
    </row>
    <row r="779" spans="1:36" x14ac:dyDescent="0.2">
      <c r="A779" t="str">
        <f>+VLOOKUP(B779,studies!$A$2:$C$102,3)</f>
        <v>Weitzman (2013)</v>
      </c>
      <c r="B779">
        <v>95</v>
      </c>
      <c r="C779">
        <v>2013</v>
      </c>
      <c r="D779">
        <v>1</v>
      </c>
      <c r="E779">
        <v>2007</v>
      </c>
      <c r="F779">
        <v>2010</v>
      </c>
      <c r="G779">
        <v>7.1428571428571425E-2</v>
      </c>
      <c r="H779">
        <v>4.4945673423196206</v>
      </c>
      <c r="I779">
        <v>0</v>
      </c>
      <c r="J779">
        <v>1</v>
      </c>
      <c r="K779">
        <v>0</v>
      </c>
      <c r="L779" t="s">
        <v>238</v>
      </c>
      <c r="M779" t="s">
        <v>238</v>
      </c>
      <c r="N779" t="s">
        <v>238</v>
      </c>
      <c r="O779">
        <v>0</v>
      </c>
      <c r="P779">
        <v>1</v>
      </c>
      <c r="Q779">
        <v>1</v>
      </c>
      <c r="R779">
        <v>1</v>
      </c>
      <c r="S779">
        <v>1</v>
      </c>
      <c r="T779">
        <v>1</v>
      </c>
      <c r="U779">
        <v>1</v>
      </c>
      <c r="V779">
        <v>1</v>
      </c>
      <c r="AA779">
        <v>0</v>
      </c>
      <c r="AC779">
        <v>0</v>
      </c>
      <c r="AD779">
        <v>0</v>
      </c>
      <c r="AE779">
        <v>0</v>
      </c>
      <c r="AF779">
        <v>0</v>
      </c>
      <c r="AG779">
        <v>0</v>
      </c>
      <c r="AH779">
        <v>17</v>
      </c>
      <c r="AI779">
        <v>13.13</v>
      </c>
      <c r="AJ779">
        <v>14</v>
      </c>
    </row>
    <row r="780" spans="1:36" x14ac:dyDescent="0.2">
      <c r="A780" t="str">
        <f>+VLOOKUP(B780,studies!$A$2:$C$102,3)</f>
        <v>Golosov et al. (2014)</v>
      </c>
      <c r="B780">
        <v>96</v>
      </c>
      <c r="C780">
        <v>2014</v>
      </c>
      <c r="D780">
        <v>1</v>
      </c>
      <c r="E780">
        <v>2013</v>
      </c>
      <c r="F780">
        <v>2013</v>
      </c>
      <c r="G780">
        <v>1.5714285714285714</v>
      </c>
      <c r="H780">
        <v>58.644843130964617</v>
      </c>
      <c r="I780">
        <v>1</v>
      </c>
      <c r="J780">
        <v>0</v>
      </c>
      <c r="K780">
        <v>0</v>
      </c>
      <c r="O780">
        <v>1</v>
      </c>
      <c r="P780">
        <v>1</v>
      </c>
      <c r="Q780">
        <v>0</v>
      </c>
      <c r="R780">
        <v>0</v>
      </c>
      <c r="S780">
        <v>0</v>
      </c>
      <c r="T780">
        <v>0</v>
      </c>
      <c r="U780">
        <v>0</v>
      </c>
      <c r="W780">
        <v>0.1</v>
      </c>
      <c r="Z780">
        <v>0.5</v>
      </c>
      <c r="AA780">
        <v>0</v>
      </c>
      <c r="AC780">
        <v>0</v>
      </c>
      <c r="AD780">
        <v>0</v>
      </c>
      <c r="AE780">
        <v>0</v>
      </c>
      <c r="AF780">
        <v>1</v>
      </c>
      <c r="AG780">
        <v>0</v>
      </c>
      <c r="AH780">
        <v>87</v>
      </c>
      <c r="AI780">
        <v>15.1</v>
      </c>
      <c r="AJ780">
        <v>7</v>
      </c>
    </row>
    <row r="781" spans="1:36" x14ac:dyDescent="0.2">
      <c r="A781" t="str">
        <f>+VLOOKUP(B781,studies!$A$2:$C$102,3)</f>
        <v>Golosov et al. (2014)</v>
      </c>
      <c r="B781">
        <v>96</v>
      </c>
      <c r="C781">
        <v>2014</v>
      </c>
      <c r="D781">
        <v>1</v>
      </c>
      <c r="E781">
        <v>2013</v>
      </c>
      <c r="F781">
        <v>2013</v>
      </c>
      <c r="G781">
        <v>1.5714285714285714</v>
      </c>
      <c r="H781">
        <v>511.2098803683383</v>
      </c>
      <c r="I781">
        <v>1</v>
      </c>
      <c r="J781">
        <v>0</v>
      </c>
      <c r="K781">
        <v>0</v>
      </c>
      <c r="O781">
        <v>1</v>
      </c>
      <c r="P781">
        <v>1</v>
      </c>
      <c r="Q781">
        <v>0</v>
      </c>
      <c r="R781">
        <v>0</v>
      </c>
      <c r="S781">
        <v>0</v>
      </c>
      <c r="T781">
        <v>0</v>
      </c>
      <c r="U781">
        <v>0</v>
      </c>
      <c r="W781">
        <v>2.7</v>
      </c>
      <c r="Z781">
        <v>0.5</v>
      </c>
      <c r="AA781">
        <v>0</v>
      </c>
      <c r="AC781">
        <v>0</v>
      </c>
      <c r="AD781">
        <v>0</v>
      </c>
      <c r="AE781">
        <v>0</v>
      </c>
      <c r="AF781">
        <v>1</v>
      </c>
      <c r="AG781">
        <v>0</v>
      </c>
      <c r="AH781">
        <v>87</v>
      </c>
      <c r="AI781">
        <v>15.1</v>
      </c>
      <c r="AJ781">
        <v>7</v>
      </c>
    </row>
    <row r="782" spans="1:36" x14ac:dyDescent="0.2">
      <c r="A782" t="str">
        <f>+VLOOKUP(B782,studies!$A$2:$C$102,3)</f>
        <v>Golosov et al. (2014)</v>
      </c>
      <c r="B782">
        <v>96</v>
      </c>
      <c r="C782">
        <v>2014</v>
      </c>
      <c r="D782">
        <v>1</v>
      </c>
      <c r="E782">
        <v>2013</v>
      </c>
      <c r="F782">
        <v>2013</v>
      </c>
      <c r="G782">
        <v>1.5714285714285714</v>
      </c>
      <c r="H782">
        <v>26.075826559110805</v>
      </c>
      <c r="I782">
        <v>1</v>
      </c>
      <c r="J782">
        <v>0</v>
      </c>
      <c r="K782">
        <v>0</v>
      </c>
      <c r="O782">
        <v>1</v>
      </c>
      <c r="P782">
        <v>1</v>
      </c>
      <c r="Q782">
        <v>0</v>
      </c>
      <c r="R782">
        <v>0</v>
      </c>
      <c r="S782">
        <v>0</v>
      </c>
      <c r="T782">
        <v>0</v>
      </c>
      <c r="U782">
        <v>0</v>
      </c>
      <c r="W782">
        <v>0.1</v>
      </c>
      <c r="Z782">
        <v>0.5</v>
      </c>
      <c r="AA782">
        <v>0</v>
      </c>
      <c r="AC782">
        <v>0</v>
      </c>
      <c r="AD782">
        <v>0</v>
      </c>
      <c r="AE782">
        <v>0</v>
      </c>
      <c r="AF782">
        <v>1</v>
      </c>
      <c r="AG782">
        <v>0</v>
      </c>
      <c r="AH782">
        <v>87</v>
      </c>
      <c r="AI782">
        <v>15.1</v>
      </c>
      <c r="AJ782">
        <v>7</v>
      </c>
    </row>
    <row r="783" spans="1:36" x14ac:dyDescent="0.2">
      <c r="A783" t="str">
        <f>+VLOOKUP(B783,studies!$A$2:$C$102,3)</f>
        <v>Golosov et al. (2014)</v>
      </c>
      <c r="B783">
        <v>96</v>
      </c>
      <c r="C783">
        <v>2014</v>
      </c>
      <c r="D783">
        <v>1</v>
      </c>
      <c r="E783">
        <v>2013</v>
      </c>
      <c r="F783">
        <v>2013</v>
      </c>
      <c r="G783">
        <v>1.5714285714285714</v>
      </c>
      <c r="H783">
        <v>503.99522479862389</v>
      </c>
      <c r="I783">
        <v>1</v>
      </c>
      <c r="J783">
        <v>0</v>
      </c>
      <c r="K783">
        <v>0</v>
      </c>
      <c r="O783">
        <v>1</v>
      </c>
      <c r="P783">
        <v>1</v>
      </c>
      <c r="Q783">
        <v>0</v>
      </c>
      <c r="R783">
        <v>0</v>
      </c>
      <c r="S783">
        <v>0</v>
      </c>
      <c r="T783">
        <v>0</v>
      </c>
      <c r="U783">
        <v>0</v>
      </c>
      <c r="W783">
        <v>2.7</v>
      </c>
      <c r="Z783">
        <v>0.5</v>
      </c>
      <c r="AA783">
        <v>0</v>
      </c>
      <c r="AC783">
        <v>0</v>
      </c>
      <c r="AD783">
        <v>0</v>
      </c>
      <c r="AE783">
        <v>0</v>
      </c>
      <c r="AF783">
        <v>1</v>
      </c>
      <c r="AG783">
        <v>0</v>
      </c>
      <c r="AH783">
        <v>87</v>
      </c>
      <c r="AI783">
        <v>15.1</v>
      </c>
      <c r="AJ783">
        <v>7</v>
      </c>
    </row>
    <row r="784" spans="1:36" x14ac:dyDescent="0.2">
      <c r="A784" t="str">
        <f>+VLOOKUP(B784,studies!$A$2:$C$102,3)</f>
        <v>Golosov et al. (2014)</v>
      </c>
      <c r="B784">
        <v>96</v>
      </c>
      <c r="C784">
        <v>2014</v>
      </c>
      <c r="D784">
        <v>1</v>
      </c>
      <c r="E784">
        <v>2013</v>
      </c>
      <c r="F784">
        <v>2013</v>
      </c>
      <c r="G784">
        <v>1.5714285714285714</v>
      </c>
      <c r="H784">
        <v>227.7769829866991</v>
      </c>
      <c r="I784">
        <v>1</v>
      </c>
      <c r="J784">
        <v>0</v>
      </c>
      <c r="K784">
        <v>0</v>
      </c>
      <c r="O784">
        <v>1</v>
      </c>
      <c r="P784">
        <v>1</v>
      </c>
      <c r="Q784">
        <v>0</v>
      </c>
      <c r="R784">
        <v>0</v>
      </c>
      <c r="S784">
        <v>0</v>
      </c>
      <c r="T784">
        <v>0</v>
      </c>
      <c r="U784">
        <v>0</v>
      </c>
      <c r="W784">
        <v>0.1</v>
      </c>
      <c r="Z784">
        <v>0.5</v>
      </c>
      <c r="AA784">
        <v>0</v>
      </c>
      <c r="AC784">
        <v>0</v>
      </c>
      <c r="AD784">
        <v>0</v>
      </c>
      <c r="AE784">
        <v>0</v>
      </c>
      <c r="AF784">
        <v>1</v>
      </c>
      <c r="AG784">
        <v>0</v>
      </c>
      <c r="AH784">
        <v>87</v>
      </c>
      <c r="AI784">
        <v>15.1</v>
      </c>
      <c r="AJ784">
        <v>7</v>
      </c>
    </row>
    <row r="785" spans="1:36" x14ac:dyDescent="0.2">
      <c r="A785" t="str">
        <f>+VLOOKUP(B785,studies!$A$2:$C$102,3)</f>
        <v>Golosov et al. (2014)</v>
      </c>
      <c r="B785">
        <v>96</v>
      </c>
      <c r="C785">
        <v>2014</v>
      </c>
      <c r="D785">
        <v>1</v>
      </c>
      <c r="E785">
        <v>2013</v>
      </c>
      <c r="F785">
        <v>2013</v>
      </c>
      <c r="G785">
        <v>1.5714285714285714</v>
      </c>
      <c r="H785">
        <v>4393.7252419561009</v>
      </c>
      <c r="I785">
        <v>1</v>
      </c>
      <c r="J785">
        <v>0</v>
      </c>
      <c r="K785">
        <v>0</v>
      </c>
      <c r="O785">
        <v>1</v>
      </c>
      <c r="P785">
        <v>1</v>
      </c>
      <c r="Q785">
        <v>0</v>
      </c>
      <c r="R785">
        <v>0</v>
      </c>
      <c r="S785">
        <v>0</v>
      </c>
      <c r="T785">
        <v>0</v>
      </c>
      <c r="U785">
        <v>0</v>
      </c>
      <c r="W785">
        <v>2.7</v>
      </c>
      <c r="Z785">
        <v>0.5</v>
      </c>
      <c r="AA785">
        <v>0</v>
      </c>
      <c r="AC785">
        <v>0</v>
      </c>
      <c r="AD785">
        <v>0</v>
      </c>
      <c r="AE785">
        <v>0</v>
      </c>
      <c r="AF785">
        <v>1</v>
      </c>
      <c r="AG785">
        <v>0</v>
      </c>
      <c r="AH785">
        <v>87</v>
      </c>
      <c r="AI785">
        <v>15.1</v>
      </c>
      <c r="AJ785">
        <v>7</v>
      </c>
    </row>
    <row r="786" spans="1:36" x14ac:dyDescent="0.2">
      <c r="A786" t="str">
        <f>+VLOOKUP(B786,studies!$A$2:$C$102,3)</f>
        <v>Golosov et al. (2014)</v>
      </c>
      <c r="B786">
        <v>96</v>
      </c>
      <c r="C786">
        <v>2014</v>
      </c>
      <c r="D786">
        <v>1</v>
      </c>
      <c r="E786">
        <v>2013</v>
      </c>
      <c r="F786">
        <v>2013</v>
      </c>
      <c r="G786">
        <v>1.5714285714285714</v>
      </c>
      <c r="H786">
        <v>32.981282604408925</v>
      </c>
      <c r="I786">
        <v>1</v>
      </c>
      <c r="J786">
        <v>0</v>
      </c>
      <c r="K786">
        <v>0</v>
      </c>
      <c r="O786">
        <v>1</v>
      </c>
      <c r="P786">
        <v>1</v>
      </c>
      <c r="Q786">
        <v>0</v>
      </c>
      <c r="R786">
        <v>0</v>
      </c>
      <c r="S786">
        <v>0</v>
      </c>
      <c r="T786">
        <v>0</v>
      </c>
      <c r="U786">
        <v>0</v>
      </c>
      <c r="W786">
        <v>3</v>
      </c>
      <c r="Y786">
        <v>1.5</v>
      </c>
      <c r="Z786">
        <v>0.5</v>
      </c>
      <c r="AA786">
        <v>0</v>
      </c>
      <c r="AC786">
        <v>0</v>
      </c>
      <c r="AD786">
        <v>0</v>
      </c>
      <c r="AE786">
        <v>0</v>
      </c>
      <c r="AF786">
        <v>1</v>
      </c>
      <c r="AG786">
        <v>0</v>
      </c>
      <c r="AH786">
        <v>87</v>
      </c>
      <c r="AI786">
        <v>15.1</v>
      </c>
      <c r="AJ786">
        <v>7</v>
      </c>
    </row>
    <row r="787" spans="1:36" x14ac:dyDescent="0.2">
      <c r="A787" t="str">
        <f>+VLOOKUP(B787,studies!$A$2:$C$102,3)</f>
        <v>Howarth et al. (2014)</v>
      </c>
      <c r="B787">
        <v>97</v>
      </c>
      <c r="C787">
        <v>2014</v>
      </c>
      <c r="D787">
        <v>1</v>
      </c>
      <c r="E787">
        <v>2005</v>
      </c>
      <c r="F787">
        <v>2010</v>
      </c>
      <c r="G787">
        <v>0.5</v>
      </c>
      <c r="H787">
        <v>47.716978079428308</v>
      </c>
      <c r="I787">
        <v>0</v>
      </c>
      <c r="J787">
        <v>1</v>
      </c>
      <c r="K787">
        <v>0</v>
      </c>
      <c r="O787">
        <v>0</v>
      </c>
      <c r="P787">
        <v>1</v>
      </c>
      <c r="Q787">
        <v>0</v>
      </c>
      <c r="R787">
        <v>1</v>
      </c>
      <c r="S787">
        <v>0</v>
      </c>
      <c r="T787">
        <v>1</v>
      </c>
      <c r="U787">
        <v>0</v>
      </c>
      <c r="X787">
        <v>2</v>
      </c>
      <c r="AA787">
        <v>0</v>
      </c>
      <c r="AC787">
        <v>0</v>
      </c>
      <c r="AD787">
        <v>0</v>
      </c>
      <c r="AE787">
        <v>0</v>
      </c>
      <c r="AF787">
        <v>0</v>
      </c>
      <c r="AG787">
        <v>0</v>
      </c>
      <c r="AH787">
        <v>2</v>
      </c>
      <c r="AI787">
        <v>2.42</v>
      </c>
      <c r="AJ787">
        <v>2</v>
      </c>
    </row>
    <row r="788" spans="1:36" x14ac:dyDescent="0.2">
      <c r="A788" t="str">
        <f>+VLOOKUP(B788,studies!$A$2:$C$102,3)</f>
        <v>Howarth et al. (2014)</v>
      </c>
      <c r="B788">
        <v>97</v>
      </c>
      <c r="C788">
        <v>2014</v>
      </c>
      <c r="D788">
        <v>1</v>
      </c>
      <c r="E788">
        <v>2005</v>
      </c>
      <c r="F788">
        <v>2010</v>
      </c>
      <c r="G788">
        <v>0.5</v>
      </c>
      <c r="H788">
        <v>209.95470354948455</v>
      </c>
      <c r="I788">
        <v>0</v>
      </c>
      <c r="J788">
        <v>1</v>
      </c>
      <c r="K788">
        <v>0</v>
      </c>
      <c r="O788">
        <v>0</v>
      </c>
      <c r="P788">
        <v>1</v>
      </c>
      <c r="Q788">
        <v>0</v>
      </c>
      <c r="R788">
        <v>1</v>
      </c>
      <c r="S788">
        <v>0</v>
      </c>
      <c r="T788">
        <v>1</v>
      </c>
      <c r="U788">
        <v>0</v>
      </c>
      <c r="X788">
        <v>3.5</v>
      </c>
      <c r="AA788">
        <v>0</v>
      </c>
      <c r="AC788">
        <v>0</v>
      </c>
      <c r="AD788">
        <v>0</v>
      </c>
      <c r="AE788">
        <v>0</v>
      </c>
      <c r="AF788">
        <v>0</v>
      </c>
      <c r="AG788">
        <v>0</v>
      </c>
      <c r="AH788">
        <v>2</v>
      </c>
      <c r="AI788">
        <v>2.42</v>
      </c>
      <c r="AJ788">
        <v>2</v>
      </c>
    </row>
    <row r="789" spans="1:36" x14ac:dyDescent="0.2">
      <c r="A789" t="str">
        <f>+VLOOKUP(B789,studies!$A$2:$C$102,3)</f>
        <v>Jensen &amp; Traeger (2014a)</v>
      </c>
      <c r="B789">
        <v>98</v>
      </c>
      <c r="C789">
        <v>2014</v>
      </c>
      <c r="D789">
        <v>1</v>
      </c>
      <c r="E789">
        <v>2012</v>
      </c>
      <c r="F789">
        <v>2012</v>
      </c>
      <c r="G789">
        <v>0.16666666666666666</v>
      </c>
      <c r="H789">
        <v>37.195700971125198</v>
      </c>
      <c r="I789">
        <v>0</v>
      </c>
      <c r="J789">
        <v>1</v>
      </c>
      <c r="K789">
        <v>0</v>
      </c>
      <c r="O789">
        <v>0</v>
      </c>
      <c r="P789">
        <v>1</v>
      </c>
      <c r="Q789">
        <v>0</v>
      </c>
      <c r="R789">
        <v>0</v>
      </c>
      <c r="S789">
        <v>0</v>
      </c>
      <c r="T789">
        <v>1</v>
      </c>
      <c r="U789">
        <v>0</v>
      </c>
      <c r="X789">
        <v>2</v>
      </c>
      <c r="Z789">
        <v>0.5</v>
      </c>
      <c r="AA789">
        <v>0</v>
      </c>
      <c r="AB789">
        <v>3</v>
      </c>
      <c r="AC789">
        <v>0</v>
      </c>
      <c r="AD789">
        <v>0</v>
      </c>
      <c r="AE789">
        <v>0</v>
      </c>
      <c r="AF789">
        <v>0</v>
      </c>
      <c r="AG789">
        <v>0</v>
      </c>
      <c r="AH789">
        <v>0</v>
      </c>
      <c r="AI789">
        <v>1.88</v>
      </c>
      <c r="AJ789">
        <v>6</v>
      </c>
    </row>
    <row r="790" spans="1:36" x14ac:dyDescent="0.2">
      <c r="A790" t="str">
        <f>+VLOOKUP(B790,studies!$A$2:$C$102,3)</f>
        <v>Jensen &amp; Traeger (2014a)</v>
      </c>
      <c r="B790">
        <v>98</v>
      </c>
      <c r="C790">
        <v>2014</v>
      </c>
      <c r="D790">
        <v>1</v>
      </c>
      <c r="E790">
        <v>2012</v>
      </c>
      <c r="F790">
        <v>2012</v>
      </c>
      <c r="G790">
        <v>0.16666666666666666</v>
      </c>
      <c r="H790">
        <v>45.697575478810961</v>
      </c>
      <c r="I790">
        <v>0</v>
      </c>
      <c r="J790">
        <v>1</v>
      </c>
      <c r="K790">
        <v>0</v>
      </c>
      <c r="O790">
        <v>0</v>
      </c>
      <c r="P790">
        <v>1</v>
      </c>
      <c r="Q790">
        <v>0</v>
      </c>
      <c r="R790">
        <v>0</v>
      </c>
      <c r="S790">
        <v>0</v>
      </c>
      <c r="T790">
        <v>1</v>
      </c>
      <c r="U790">
        <v>0</v>
      </c>
      <c r="X790">
        <v>10</v>
      </c>
      <c r="Z790">
        <v>0.5</v>
      </c>
      <c r="AA790">
        <v>0</v>
      </c>
      <c r="AB790">
        <v>3</v>
      </c>
      <c r="AC790">
        <v>0</v>
      </c>
      <c r="AD790">
        <v>0</v>
      </c>
      <c r="AE790">
        <v>0</v>
      </c>
      <c r="AF790">
        <v>0</v>
      </c>
      <c r="AG790">
        <v>0</v>
      </c>
      <c r="AH790">
        <v>0</v>
      </c>
      <c r="AI790">
        <v>1.88</v>
      </c>
      <c r="AJ790">
        <v>6</v>
      </c>
    </row>
    <row r="791" spans="1:36" x14ac:dyDescent="0.2">
      <c r="A791" t="str">
        <f>+VLOOKUP(B791,studies!$A$2:$C$102,3)</f>
        <v>Jensen &amp; Traeger (2014a)</v>
      </c>
      <c r="B791">
        <v>98</v>
      </c>
      <c r="C791">
        <v>2014</v>
      </c>
      <c r="D791">
        <v>1</v>
      </c>
      <c r="E791">
        <v>2012</v>
      </c>
      <c r="F791">
        <v>2012</v>
      </c>
      <c r="G791">
        <v>0.16666666666666666</v>
      </c>
      <c r="H791">
        <v>47.823044105732407</v>
      </c>
      <c r="I791">
        <v>0</v>
      </c>
      <c r="J791">
        <v>1</v>
      </c>
      <c r="K791">
        <v>0</v>
      </c>
      <c r="O791">
        <v>0</v>
      </c>
      <c r="P791">
        <v>1</v>
      </c>
      <c r="Q791">
        <v>0</v>
      </c>
      <c r="R791">
        <v>0</v>
      </c>
      <c r="S791">
        <v>0</v>
      </c>
      <c r="T791">
        <v>1</v>
      </c>
      <c r="U791">
        <v>0</v>
      </c>
      <c r="X791">
        <v>10</v>
      </c>
      <c r="Z791">
        <v>0.5</v>
      </c>
      <c r="AA791">
        <v>0</v>
      </c>
      <c r="AB791">
        <v>3</v>
      </c>
      <c r="AC791">
        <v>0</v>
      </c>
      <c r="AD791">
        <v>0</v>
      </c>
      <c r="AE791">
        <v>0</v>
      </c>
      <c r="AF791">
        <v>0</v>
      </c>
      <c r="AG791">
        <v>0</v>
      </c>
      <c r="AH791">
        <v>0</v>
      </c>
      <c r="AI791">
        <v>1.88</v>
      </c>
      <c r="AJ791">
        <v>6</v>
      </c>
    </row>
    <row r="792" spans="1:36" x14ac:dyDescent="0.2">
      <c r="A792" t="str">
        <f>+VLOOKUP(B792,studies!$A$2:$C$102,3)</f>
        <v>Jensen &amp; Traeger (2014a)</v>
      </c>
      <c r="B792">
        <v>98</v>
      </c>
      <c r="C792">
        <v>2014</v>
      </c>
      <c r="D792">
        <v>1</v>
      </c>
      <c r="E792">
        <v>2012</v>
      </c>
      <c r="F792">
        <v>2012</v>
      </c>
      <c r="G792">
        <v>0.16666666666666666</v>
      </c>
      <c r="H792">
        <v>90.332416644161199</v>
      </c>
      <c r="I792">
        <v>0</v>
      </c>
      <c r="J792">
        <v>1</v>
      </c>
      <c r="K792">
        <v>0</v>
      </c>
      <c r="O792">
        <v>0</v>
      </c>
      <c r="P792">
        <v>1</v>
      </c>
      <c r="Q792">
        <v>0</v>
      </c>
      <c r="R792">
        <v>0</v>
      </c>
      <c r="S792">
        <v>0</v>
      </c>
      <c r="T792">
        <v>1</v>
      </c>
      <c r="U792">
        <v>0</v>
      </c>
      <c r="X792">
        <v>2</v>
      </c>
      <c r="Z792">
        <v>1.5</v>
      </c>
      <c r="AA792">
        <v>0</v>
      </c>
      <c r="AB792">
        <v>3</v>
      </c>
      <c r="AC792">
        <v>0</v>
      </c>
      <c r="AD792">
        <v>0</v>
      </c>
      <c r="AE792">
        <v>0</v>
      </c>
      <c r="AF792">
        <v>0</v>
      </c>
      <c r="AG792">
        <v>0</v>
      </c>
      <c r="AH792">
        <v>0</v>
      </c>
      <c r="AI792">
        <v>1.88</v>
      </c>
      <c r="AJ792">
        <v>6</v>
      </c>
    </row>
    <row r="793" spans="1:36" x14ac:dyDescent="0.2">
      <c r="A793" t="str">
        <f>+VLOOKUP(B793,studies!$A$2:$C$102,3)</f>
        <v>Jensen &amp; Traeger (2014a)</v>
      </c>
      <c r="B793">
        <v>98</v>
      </c>
      <c r="C793">
        <v>2014</v>
      </c>
      <c r="D793">
        <v>1</v>
      </c>
      <c r="E793">
        <v>2012</v>
      </c>
      <c r="F793">
        <v>2012</v>
      </c>
      <c r="G793">
        <v>0.16666666666666666</v>
      </c>
      <c r="H793">
        <v>75.45413625571112</v>
      </c>
      <c r="I793">
        <v>0</v>
      </c>
      <c r="J793">
        <v>1</v>
      </c>
      <c r="K793">
        <v>0</v>
      </c>
      <c r="O793">
        <v>0</v>
      </c>
      <c r="P793">
        <v>1</v>
      </c>
      <c r="Q793">
        <v>0</v>
      </c>
      <c r="R793">
        <v>0</v>
      </c>
      <c r="S793">
        <v>0</v>
      </c>
      <c r="T793">
        <v>1</v>
      </c>
      <c r="U793">
        <v>0</v>
      </c>
      <c r="X793">
        <v>10</v>
      </c>
      <c r="Z793">
        <v>1.5</v>
      </c>
      <c r="AA793">
        <v>0</v>
      </c>
      <c r="AB793">
        <v>3</v>
      </c>
      <c r="AC793">
        <v>0</v>
      </c>
      <c r="AD793">
        <v>0</v>
      </c>
      <c r="AE793">
        <v>0</v>
      </c>
      <c r="AF793">
        <v>0</v>
      </c>
      <c r="AG793">
        <v>0</v>
      </c>
      <c r="AH793">
        <v>0</v>
      </c>
      <c r="AI793">
        <v>1.88</v>
      </c>
      <c r="AJ793">
        <v>6</v>
      </c>
    </row>
    <row r="794" spans="1:36" x14ac:dyDescent="0.2">
      <c r="A794" t="str">
        <f>+VLOOKUP(B794,studies!$A$2:$C$102,3)</f>
        <v>Jensen &amp; Traeger (2014a)</v>
      </c>
      <c r="B794">
        <v>98</v>
      </c>
      <c r="C794">
        <v>2014</v>
      </c>
      <c r="D794">
        <v>1</v>
      </c>
      <c r="E794">
        <v>2012</v>
      </c>
      <c r="F794">
        <v>2012</v>
      </c>
      <c r="G794">
        <v>0.16666666666666666</v>
      </c>
      <c r="H794">
        <v>59.513121553800325</v>
      </c>
      <c r="I794">
        <v>0</v>
      </c>
      <c r="J794">
        <v>1</v>
      </c>
      <c r="K794">
        <v>0</v>
      </c>
      <c r="O794">
        <v>0</v>
      </c>
      <c r="P794">
        <v>1</v>
      </c>
      <c r="Q794">
        <v>0</v>
      </c>
      <c r="R794">
        <v>0</v>
      </c>
      <c r="S794">
        <v>0</v>
      </c>
      <c r="T794">
        <v>1</v>
      </c>
      <c r="U794">
        <v>0</v>
      </c>
      <c r="X794">
        <v>10</v>
      </c>
      <c r="Z794">
        <v>1.5</v>
      </c>
      <c r="AA794">
        <v>0</v>
      </c>
      <c r="AB794">
        <v>3</v>
      </c>
      <c r="AC794">
        <v>0</v>
      </c>
      <c r="AD794">
        <v>0</v>
      </c>
      <c r="AE794">
        <v>0</v>
      </c>
      <c r="AF794">
        <v>0</v>
      </c>
      <c r="AG794">
        <v>0</v>
      </c>
      <c r="AH794">
        <v>0</v>
      </c>
      <c r="AI794">
        <v>1.88</v>
      </c>
      <c r="AJ794">
        <v>6</v>
      </c>
    </row>
    <row r="795" spans="1:36" x14ac:dyDescent="0.2">
      <c r="A795" t="str">
        <f>+VLOOKUP(B795,studies!$A$2:$C$102,3)</f>
        <v>Lemoine &amp; Traeger (2014)</v>
      </c>
      <c r="B795">
        <v>99</v>
      </c>
      <c r="C795">
        <v>2014</v>
      </c>
      <c r="D795">
        <v>1</v>
      </c>
      <c r="E795">
        <v>2005</v>
      </c>
      <c r="F795">
        <v>2015</v>
      </c>
      <c r="G795">
        <v>0.2</v>
      </c>
      <c r="H795">
        <v>40.938999829322405</v>
      </c>
      <c r="I795">
        <v>0</v>
      </c>
      <c r="J795">
        <v>1</v>
      </c>
      <c r="K795">
        <v>0</v>
      </c>
      <c r="O795">
        <v>1</v>
      </c>
      <c r="P795">
        <v>1</v>
      </c>
      <c r="Q795">
        <v>1</v>
      </c>
      <c r="R795">
        <v>0</v>
      </c>
      <c r="S795">
        <v>0</v>
      </c>
      <c r="T795">
        <v>1</v>
      </c>
      <c r="U795">
        <v>0</v>
      </c>
      <c r="X795">
        <v>2</v>
      </c>
      <c r="Z795">
        <v>0.5</v>
      </c>
      <c r="AA795">
        <v>0</v>
      </c>
      <c r="AB795">
        <v>3</v>
      </c>
      <c r="AC795">
        <v>0</v>
      </c>
      <c r="AD795">
        <v>0</v>
      </c>
      <c r="AE795">
        <v>0</v>
      </c>
      <c r="AF795">
        <v>1</v>
      </c>
      <c r="AG795">
        <v>0</v>
      </c>
      <c r="AH795">
        <v>28</v>
      </c>
      <c r="AI795">
        <v>2.86</v>
      </c>
      <c r="AJ795">
        <v>5</v>
      </c>
    </row>
    <row r="796" spans="1:36" x14ac:dyDescent="0.2">
      <c r="A796" t="str">
        <f>+VLOOKUP(B796,studies!$A$2:$C$102,3)</f>
        <v>Lemoine &amp; Traeger (2014)</v>
      </c>
      <c r="B796">
        <v>99</v>
      </c>
      <c r="C796">
        <v>2014</v>
      </c>
      <c r="D796">
        <v>1</v>
      </c>
      <c r="E796">
        <v>2005</v>
      </c>
      <c r="F796">
        <v>2015</v>
      </c>
      <c r="G796">
        <v>0.2</v>
      </c>
      <c r="H796">
        <v>49.126799795186884</v>
      </c>
      <c r="I796">
        <v>0</v>
      </c>
      <c r="J796">
        <v>1</v>
      </c>
      <c r="K796">
        <v>0</v>
      </c>
      <c r="O796">
        <v>1</v>
      </c>
      <c r="P796">
        <v>1</v>
      </c>
      <c r="Q796">
        <v>1</v>
      </c>
      <c r="R796">
        <v>0</v>
      </c>
      <c r="S796">
        <v>0</v>
      </c>
      <c r="T796">
        <v>1</v>
      </c>
      <c r="U796">
        <v>0</v>
      </c>
      <c r="X796">
        <v>2</v>
      </c>
      <c r="Z796">
        <v>0.5</v>
      </c>
      <c r="AA796">
        <v>0</v>
      </c>
      <c r="AB796">
        <v>3</v>
      </c>
      <c r="AC796">
        <v>0</v>
      </c>
      <c r="AD796">
        <v>0</v>
      </c>
      <c r="AE796">
        <v>0</v>
      </c>
      <c r="AF796">
        <v>1</v>
      </c>
      <c r="AG796">
        <v>0</v>
      </c>
      <c r="AH796">
        <v>28</v>
      </c>
      <c r="AI796">
        <v>2.86</v>
      </c>
      <c r="AJ796">
        <v>5</v>
      </c>
    </row>
    <row r="797" spans="1:36" x14ac:dyDescent="0.2">
      <c r="A797" t="str">
        <f>+VLOOKUP(B797,studies!$A$2:$C$102,3)</f>
        <v>Lemoine &amp; Traeger (2014)</v>
      </c>
      <c r="B797">
        <v>99</v>
      </c>
      <c r="C797">
        <v>2014</v>
      </c>
      <c r="D797">
        <v>1</v>
      </c>
      <c r="E797">
        <v>2005</v>
      </c>
      <c r="F797">
        <v>2015</v>
      </c>
      <c r="G797">
        <v>0.2</v>
      </c>
      <c r="H797">
        <v>49.126799795186884</v>
      </c>
      <c r="I797">
        <v>0</v>
      </c>
      <c r="J797">
        <v>1</v>
      </c>
      <c r="K797">
        <v>0</v>
      </c>
      <c r="O797">
        <v>1</v>
      </c>
      <c r="P797">
        <v>1</v>
      </c>
      <c r="Q797">
        <v>1</v>
      </c>
      <c r="R797">
        <v>0</v>
      </c>
      <c r="S797">
        <v>0</v>
      </c>
      <c r="T797">
        <v>1</v>
      </c>
      <c r="U797">
        <v>0</v>
      </c>
      <c r="X797">
        <v>2</v>
      </c>
      <c r="Z797">
        <v>0.5</v>
      </c>
      <c r="AA797">
        <v>0</v>
      </c>
      <c r="AB797">
        <v>3</v>
      </c>
      <c r="AC797">
        <v>0</v>
      </c>
      <c r="AD797">
        <v>0</v>
      </c>
      <c r="AE797">
        <v>0</v>
      </c>
      <c r="AF797">
        <v>1</v>
      </c>
      <c r="AG797">
        <v>0</v>
      </c>
      <c r="AH797">
        <v>28</v>
      </c>
      <c r="AI797">
        <v>2.86</v>
      </c>
      <c r="AJ797">
        <v>5</v>
      </c>
    </row>
    <row r="798" spans="1:36" x14ac:dyDescent="0.2">
      <c r="A798" t="str">
        <f>+VLOOKUP(B798,studies!$A$2:$C$102,3)</f>
        <v>Lemoine &amp; Traeger (2014)</v>
      </c>
      <c r="B798">
        <v>99</v>
      </c>
      <c r="C798">
        <v>2014</v>
      </c>
      <c r="D798">
        <v>1</v>
      </c>
      <c r="E798">
        <v>2005</v>
      </c>
      <c r="F798">
        <v>2015</v>
      </c>
      <c r="G798">
        <v>0.2</v>
      </c>
      <c r="H798">
        <v>61.408499743983612</v>
      </c>
      <c r="I798">
        <v>0</v>
      </c>
      <c r="J798">
        <v>1</v>
      </c>
      <c r="K798">
        <v>0</v>
      </c>
      <c r="O798">
        <v>1</v>
      </c>
      <c r="P798">
        <v>1</v>
      </c>
      <c r="Q798">
        <v>1</v>
      </c>
      <c r="R798">
        <v>0</v>
      </c>
      <c r="S798">
        <v>0</v>
      </c>
      <c r="T798">
        <v>1</v>
      </c>
      <c r="U798">
        <v>0</v>
      </c>
      <c r="X798">
        <v>2</v>
      </c>
      <c r="Z798">
        <v>0.5</v>
      </c>
      <c r="AA798">
        <v>0</v>
      </c>
      <c r="AB798">
        <v>3</v>
      </c>
      <c r="AC798">
        <v>0</v>
      </c>
      <c r="AD798">
        <v>0</v>
      </c>
      <c r="AE798">
        <v>0</v>
      </c>
      <c r="AF798">
        <v>1</v>
      </c>
      <c r="AG798">
        <v>0</v>
      </c>
      <c r="AH798">
        <v>28</v>
      </c>
      <c r="AI798">
        <v>2.86</v>
      </c>
      <c r="AJ798">
        <v>5</v>
      </c>
    </row>
    <row r="799" spans="1:36" x14ac:dyDescent="0.2">
      <c r="A799" t="str">
        <f>+VLOOKUP(B799,studies!$A$2:$C$102,3)</f>
        <v>Lemoine &amp; Traeger (2014)</v>
      </c>
      <c r="B799">
        <v>99</v>
      </c>
      <c r="C799">
        <v>2014</v>
      </c>
      <c r="D799">
        <v>1</v>
      </c>
      <c r="E799">
        <v>2005</v>
      </c>
      <c r="F799">
        <v>2015</v>
      </c>
      <c r="G799">
        <v>0.2</v>
      </c>
      <c r="H799">
        <v>57.314599761051362</v>
      </c>
      <c r="I799">
        <v>0</v>
      </c>
      <c r="J799">
        <v>1</v>
      </c>
      <c r="K799">
        <v>0</v>
      </c>
      <c r="O799">
        <v>1</v>
      </c>
      <c r="P799">
        <v>1</v>
      </c>
      <c r="Q799">
        <v>1</v>
      </c>
      <c r="R799">
        <v>0</v>
      </c>
      <c r="S799">
        <v>0</v>
      </c>
      <c r="T799">
        <v>1</v>
      </c>
      <c r="U799">
        <v>0</v>
      </c>
      <c r="X799">
        <v>2</v>
      </c>
      <c r="Z799">
        <v>0.5</v>
      </c>
      <c r="AA799">
        <v>0</v>
      </c>
      <c r="AB799">
        <v>3</v>
      </c>
      <c r="AC799">
        <v>0</v>
      </c>
      <c r="AD799">
        <v>0</v>
      </c>
      <c r="AE799">
        <v>0</v>
      </c>
      <c r="AF799">
        <v>1</v>
      </c>
      <c r="AG799">
        <v>0</v>
      </c>
      <c r="AH799">
        <v>28</v>
      </c>
      <c r="AI799">
        <v>2.86</v>
      </c>
      <c r="AJ799">
        <v>5</v>
      </c>
    </row>
    <row r="800" spans="1:36" x14ac:dyDescent="0.2">
      <c r="A800" t="str">
        <f>+VLOOKUP(B800,studies!$A$2:$C$102,3)</f>
        <v>Newbold &amp; Marten (2014)</v>
      </c>
      <c r="B800">
        <v>100</v>
      </c>
      <c r="C800">
        <v>2014</v>
      </c>
      <c r="D800">
        <v>1</v>
      </c>
      <c r="E800">
        <v>2005</v>
      </c>
      <c r="F800">
        <v>2015</v>
      </c>
      <c r="G800">
        <v>1</v>
      </c>
      <c r="H800">
        <v>49.126799795186884</v>
      </c>
      <c r="I800">
        <v>0</v>
      </c>
      <c r="J800">
        <v>1</v>
      </c>
      <c r="K800">
        <v>0</v>
      </c>
      <c r="O800">
        <v>1</v>
      </c>
      <c r="P800">
        <v>1</v>
      </c>
      <c r="Q800">
        <v>1</v>
      </c>
      <c r="R800">
        <v>1</v>
      </c>
      <c r="S800">
        <v>0</v>
      </c>
      <c r="T800">
        <v>0</v>
      </c>
      <c r="U800">
        <v>0</v>
      </c>
      <c r="AA800">
        <v>0</v>
      </c>
      <c r="AC800">
        <v>0</v>
      </c>
      <c r="AD800">
        <v>0</v>
      </c>
      <c r="AE800">
        <v>0</v>
      </c>
      <c r="AF800">
        <v>0</v>
      </c>
      <c r="AG800">
        <v>0</v>
      </c>
      <c r="AH800">
        <v>1</v>
      </c>
      <c r="AI800">
        <v>2.2599999999999998</v>
      </c>
      <c r="AJ800">
        <v>1</v>
      </c>
    </row>
    <row r="801" spans="1:36" x14ac:dyDescent="0.2">
      <c r="A801" t="str">
        <f>+VLOOKUP(B801,studies!$A$2:$C$102,3)</f>
        <v>Pycroft et al. (2014)</v>
      </c>
      <c r="B801">
        <v>101</v>
      </c>
      <c r="C801">
        <v>2014</v>
      </c>
      <c r="D801">
        <v>1</v>
      </c>
      <c r="E801">
        <v>2005</v>
      </c>
      <c r="F801">
        <v>2009</v>
      </c>
      <c r="G801">
        <v>0.125</v>
      </c>
      <c r="H801">
        <v>236.16814046191016</v>
      </c>
      <c r="I801">
        <v>1</v>
      </c>
      <c r="J801">
        <v>0</v>
      </c>
      <c r="K801">
        <v>0</v>
      </c>
      <c r="M801">
        <v>92.880752520096493</v>
      </c>
      <c r="N801">
        <v>446.83172833992353</v>
      </c>
      <c r="O801">
        <v>0</v>
      </c>
      <c r="P801">
        <v>1</v>
      </c>
      <c r="Q801">
        <v>0</v>
      </c>
      <c r="R801">
        <v>1</v>
      </c>
      <c r="S801">
        <v>0</v>
      </c>
      <c r="T801">
        <v>0</v>
      </c>
      <c r="U801">
        <v>1</v>
      </c>
      <c r="AA801">
        <v>1</v>
      </c>
      <c r="AC801">
        <v>1</v>
      </c>
      <c r="AD801">
        <v>0</v>
      </c>
      <c r="AE801">
        <v>0</v>
      </c>
      <c r="AF801">
        <v>0</v>
      </c>
      <c r="AG801">
        <v>0</v>
      </c>
      <c r="AH801">
        <v>0</v>
      </c>
      <c r="AI801">
        <v>2.42</v>
      </c>
      <c r="AJ801">
        <v>8</v>
      </c>
    </row>
    <row r="802" spans="1:36" x14ac:dyDescent="0.2">
      <c r="A802" t="str">
        <f>+VLOOKUP(B802,studies!$A$2:$C$102,3)</f>
        <v>Pycroft et al. (2014)</v>
      </c>
      <c r="B802">
        <v>101</v>
      </c>
      <c r="C802">
        <v>2014</v>
      </c>
      <c r="D802">
        <v>1</v>
      </c>
      <c r="E802">
        <v>2005</v>
      </c>
      <c r="F802">
        <v>2009</v>
      </c>
      <c r="G802">
        <v>0.125</v>
      </c>
      <c r="H802">
        <v>285.36983639147473</v>
      </c>
      <c r="I802">
        <v>1</v>
      </c>
      <c r="J802">
        <v>0</v>
      </c>
      <c r="K802">
        <v>0</v>
      </c>
      <c r="M802">
        <v>115.47336799795778</v>
      </c>
      <c r="N802">
        <v>1081.9352523286911</v>
      </c>
      <c r="O802">
        <v>0</v>
      </c>
      <c r="P802">
        <v>1</v>
      </c>
      <c r="Q802">
        <v>0</v>
      </c>
      <c r="R802">
        <v>1</v>
      </c>
      <c r="S802">
        <v>0</v>
      </c>
      <c r="T802">
        <v>0</v>
      </c>
      <c r="U802">
        <v>1</v>
      </c>
      <c r="AA802">
        <v>1</v>
      </c>
      <c r="AC802">
        <v>1</v>
      </c>
      <c r="AD802">
        <v>0</v>
      </c>
      <c r="AE802">
        <v>0</v>
      </c>
      <c r="AF802">
        <v>0</v>
      </c>
      <c r="AG802">
        <v>0</v>
      </c>
      <c r="AH802">
        <v>0</v>
      </c>
      <c r="AI802">
        <v>2.42</v>
      </c>
      <c r="AJ802">
        <v>8</v>
      </c>
    </row>
    <row r="803" spans="1:36" x14ac:dyDescent="0.2">
      <c r="A803" t="str">
        <f>+VLOOKUP(B803,studies!$A$2:$C$102,3)</f>
        <v>Pycroft et al. (2014)</v>
      </c>
      <c r="B803">
        <v>101</v>
      </c>
      <c r="C803">
        <v>2014</v>
      </c>
      <c r="D803">
        <v>1</v>
      </c>
      <c r="E803">
        <v>2005</v>
      </c>
      <c r="F803">
        <v>2009</v>
      </c>
      <c r="G803">
        <v>0.125</v>
      </c>
      <c r="H803">
        <v>280.44966679851831</v>
      </c>
      <c r="I803">
        <v>1</v>
      </c>
      <c r="J803">
        <v>0</v>
      </c>
      <c r="K803">
        <v>0</v>
      </c>
      <c r="M803">
        <v>112.96307738930652</v>
      </c>
      <c r="N803">
        <v>1240.0835606737205</v>
      </c>
      <c r="O803">
        <v>0</v>
      </c>
      <c r="P803">
        <v>1</v>
      </c>
      <c r="Q803">
        <v>0</v>
      </c>
      <c r="R803">
        <v>1</v>
      </c>
      <c r="S803">
        <v>0</v>
      </c>
      <c r="T803">
        <v>0</v>
      </c>
      <c r="U803">
        <v>1</v>
      </c>
      <c r="AA803">
        <v>1</v>
      </c>
      <c r="AC803">
        <v>1</v>
      </c>
      <c r="AD803">
        <v>0</v>
      </c>
      <c r="AE803">
        <v>0</v>
      </c>
      <c r="AF803">
        <v>0</v>
      </c>
      <c r="AG803">
        <v>0</v>
      </c>
      <c r="AH803">
        <v>0</v>
      </c>
      <c r="AI803">
        <v>2.42</v>
      </c>
      <c r="AJ803">
        <v>8</v>
      </c>
    </row>
    <row r="804" spans="1:36" x14ac:dyDescent="0.2">
      <c r="A804" t="str">
        <f>+VLOOKUP(B804,studies!$A$2:$C$102,3)</f>
        <v>Pycroft et al. (2014)</v>
      </c>
      <c r="B804">
        <v>101</v>
      </c>
      <c r="C804">
        <v>2014</v>
      </c>
      <c r="D804">
        <v>1</v>
      </c>
      <c r="E804">
        <v>2005</v>
      </c>
      <c r="F804">
        <v>2009</v>
      </c>
      <c r="G804">
        <v>0.125</v>
      </c>
      <c r="H804">
        <v>270.6093276126054</v>
      </c>
      <c r="I804">
        <v>1</v>
      </c>
      <c r="J804">
        <v>0</v>
      </c>
      <c r="K804">
        <v>0</v>
      </c>
      <c r="M804">
        <v>110.45278678065525</v>
      </c>
      <c r="N804">
        <v>1968.0678371825845</v>
      </c>
      <c r="O804">
        <v>0</v>
      </c>
      <c r="P804">
        <v>1</v>
      </c>
      <c r="Q804">
        <v>0</v>
      </c>
      <c r="R804">
        <v>1</v>
      </c>
      <c r="S804">
        <v>0</v>
      </c>
      <c r="T804">
        <v>0</v>
      </c>
      <c r="U804">
        <v>1</v>
      </c>
      <c r="AA804">
        <v>1</v>
      </c>
      <c r="AC804">
        <v>1</v>
      </c>
      <c r="AD804">
        <v>0</v>
      </c>
      <c r="AE804">
        <v>0</v>
      </c>
      <c r="AF804">
        <v>0</v>
      </c>
      <c r="AG804">
        <v>0</v>
      </c>
      <c r="AH804">
        <v>0</v>
      </c>
      <c r="AI804">
        <v>2.42</v>
      </c>
      <c r="AJ804">
        <v>8</v>
      </c>
    </row>
    <row r="805" spans="1:36" x14ac:dyDescent="0.2">
      <c r="A805" t="str">
        <f>+VLOOKUP(B805,studies!$A$2:$C$102,3)</f>
        <v>Pycroft et al. (2014)</v>
      </c>
      <c r="B805">
        <v>101</v>
      </c>
      <c r="C805">
        <v>2014</v>
      </c>
      <c r="D805">
        <v>1</v>
      </c>
      <c r="E805">
        <v>2005</v>
      </c>
      <c r="F805">
        <v>2009</v>
      </c>
      <c r="G805">
        <v>0.125</v>
      </c>
      <c r="H805">
        <v>300.13034517034413</v>
      </c>
      <c r="I805">
        <v>1</v>
      </c>
      <c r="J805">
        <v>0</v>
      </c>
      <c r="K805">
        <v>0</v>
      </c>
      <c r="M805">
        <v>110.45278678065525</v>
      </c>
      <c r="N805">
        <v>481.9757968610412</v>
      </c>
      <c r="O805">
        <v>0</v>
      </c>
      <c r="P805">
        <v>1</v>
      </c>
      <c r="Q805">
        <v>0</v>
      </c>
      <c r="R805">
        <v>1</v>
      </c>
      <c r="S805">
        <v>0</v>
      </c>
      <c r="T805">
        <v>0</v>
      </c>
      <c r="U805">
        <v>1</v>
      </c>
      <c r="AA805">
        <v>1</v>
      </c>
      <c r="AC805">
        <v>1</v>
      </c>
      <c r="AD805">
        <v>0</v>
      </c>
      <c r="AE805">
        <v>0</v>
      </c>
      <c r="AF805">
        <v>0</v>
      </c>
      <c r="AG805">
        <v>0</v>
      </c>
      <c r="AH805">
        <v>0</v>
      </c>
      <c r="AI805">
        <v>2.42</v>
      </c>
      <c r="AJ805">
        <v>8</v>
      </c>
    </row>
    <row r="806" spans="1:36" x14ac:dyDescent="0.2">
      <c r="A806" t="str">
        <f>+VLOOKUP(B806,studies!$A$2:$C$102,3)</f>
        <v>Pycroft et al. (2014)</v>
      </c>
      <c r="B806">
        <v>101</v>
      </c>
      <c r="C806">
        <v>2014</v>
      </c>
      <c r="D806">
        <v>1</v>
      </c>
      <c r="E806">
        <v>2005</v>
      </c>
      <c r="F806">
        <v>2009</v>
      </c>
      <c r="G806">
        <v>0.125</v>
      </c>
      <c r="H806">
        <v>339.49170191399588</v>
      </c>
      <c r="I806">
        <v>1</v>
      </c>
      <c r="J806">
        <v>0</v>
      </c>
      <c r="K806">
        <v>0</v>
      </c>
      <c r="M806">
        <v>130.53511164986534</v>
      </c>
      <c r="N806">
        <v>1167.2851330228341</v>
      </c>
      <c r="O806">
        <v>0</v>
      </c>
      <c r="P806">
        <v>1</v>
      </c>
      <c r="Q806">
        <v>0</v>
      </c>
      <c r="R806">
        <v>1</v>
      </c>
      <c r="S806">
        <v>0</v>
      </c>
      <c r="T806">
        <v>0</v>
      </c>
      <c r="U806">
        <v>1</v>
      </c>
      <c r="AA806">
        <v>1</v>
      </c>
      <c r="AC806">
        <v>1</v>
      </c>
      <c r="AD806">
        <v>0</v>
      </c>
      <c r="AE806">
        <v>0</v>
      </c>
      <c r="AF806">
        <v>0</v>
      </c>
      <c r="AG806">
        <v>0</v>
      </c>
      <c r="AH806">
        <v>0</v>
      </c>
      <c r="AI806">
        <v>2.42</v>
      </c>
      <c r="AJ806">
        <v>8</v>
      </c>
    </row>
    <row r="807" spans="1:36" x14ac:dyDescent="0.2">
      <c r="A807" t="str">
        <f>+VLOOKUP(B807,studies!$A$2:$C$102,3)</f>
        <v>Pycroft et al. (2014)</v>
      </c>
      <c r="B807">
        <v>101</v>
      </c>
      <c r="C807">
        <v>2014</v>
      </c>
      <c r="D807">
        <v>1</v>
      </c>
      <c r="E807">
        <v>2005</v>
      </c>
      <c r="F807">
        <v>2009</v>
      </c>
      <c r="G807">
        <v>0.125</v>
      </c>
      <c r="H807">
        <v>334.57153232103934</v>
      </c>
      <c r="I807">
        <v>1</v>
      </c>
      <c r="J807">
        <v>0</v>
      </c>
      <c r="K807">
        <v>0</v>
      </c>
      <c r="M807">
        <v>128.02482104121407</v>
      </c>
      <c r="N807">
        <v>1267.6967573688844</v>
      </c>
      <c r="O807">
        <v>0</v>
      </c>
      <c r="P807">
        <v>1</v>
      </c>
      <c r="Q807">
        <v>0</v>
      </c>
      <c r="R807">
        <v>1</v>
      </c>
      <c r="S807">
        <v>0</v>
      </c>
      <c r="T807">
        <v>0</v>
      </c>
      <c r="U807">
        <v>1</v>
      </c>
      <c r="AA807">
        <v>1</v>
      </c>
      <c r="AC807">
        <v>1</v>
      </c>
      <c r="AD807">
        <v>0</v>
      </c>
      <c r="AE807">
        <v>0</v>
      </c>
      <c r="AF807">
        <v>0</v>
      </c>
      <c r="AG807">
        <v>0</v>
      </c>
      <c r="AH807">
        <v>0</v>
      </c>
      <c r="AI807">
        <v>2.42</v>
      </c>
      <c r="AJ807">
        <v>8</v>
      </c>
    </row>
    <row r="808" spans="1:36" x14ac:dyDescent="0.2">
      <c r="A808" t="str">
        <f>+VLOOKUP(B808,studies!$A$2:$C$102,3)</f>
        <v>Pycroft et al. (2014)</v>
      </c>
      <c r="B808">
        <v>101</v>
      </c>
      <c r="C808">
        <v>2014</v>
      </c>
      <c r="D808">
        <v>1</v>
      </c>
      <c r="E808">
        <v>2005</v>
      </c>
      <c r="F808">
        <v>2009</v>
      </c>
      <c r="G808">
        <v>0.125</v>
      </c>
      <c r="H808">
        <v>324.73119313512649</v>
      </c>
      <c r="I808">
        <v>1</v>
      </c>
      <c r="J808">
        <v>0</v>
      </c>
      <c r="K808">
        <v>0</v>
      </c>
      <c r="M808">
        <v>123.00423982391156</v>
      </c>
      <c r="N808">
        <v>2076.010333354589</v>
      </c>
      <c r="O808">
        <v>0</v>
      </c>
      <c r="P808">
        <v>1</v>
      </c>
      <c r="Q808">
        <v>0</v>
      </c>
      <c r="R808">
        <v>1</v>
      </c>
      <c r="S808">
        <v>0</v>
      </c>
      <c r="T808">
        <v>0</v>
      </c>
      <c r="U808">
        <v>1</v>
      </c>
      <c r="AA808">
        <v>1</v>
      </c>
      <c r="AC808">
        <v>1</v>
      </c>
      <c r="AD808">
        <v>0</v>
      </c>
      <c r="AE808">
        <v>0</v>
      </c>
      <c r="AF808">
        <v>0</v>
      </c>
      <c r="AG808">
        <v>0</v>
      </c>
      <c r="AH808">
        <v>0</v>
      </c>
      <c r="AI808">
        <v>2.42</v>
      </c>
      <c r="AJ808">
        <v>8</v>
      </c>
    </row>
    <row r="809" spans="1:36" x14ac:dyDescent="0.2">
      <c r="A809" t="str">
        <f>+VLOOKUP(B809,studies!$A$2:$C$102,3)</f>
        <v>Rezai &amp; van der Ploeg (2014)</v>
      </c>
      <c r="B809">
        <v>102</v>
      </c>
      <c r="C809">
        <v>2014</v>
      </c>
      <c r="D809">
        <v>0</v>
      </c>
      <c r="E809">
        <v>2010</v>
      </c>
      <c r="F809">
        <v>2010</v>
      </c>
      <c r="G809">
        <v>0.5</v>
      </c>
      <c r="H809">
        <v>87.417215146371007</v>
      </c>
      <c r="I809">
        <v>0</v>
      </c>
      <c r="J809">
        <v>1</v>
      </c>
      <c r="K809">
        <v>0</v>
      </c>
      <c r="O809">
        <v>1</v>
      </c>
      <c r="P809">
        <v>1</v>
      </c>
      <c r="Q809">
        <v>0</v>
      </c>
      <c r="R809">
        <v>0</v>
      </c>
      <c r="S809">
        <v>0</v>
      </c>
      <c r="T809">
        <v>0</v>
      </c>
      <c r="U809">
        <v>0</v>
      </c>
      <c r="W809">
        <v>0.96</v>
      </c>
      <c r="X809">
        <v>2</v>
      </c>
      <c r="Z809">
        <v>0.5</v>
      </c>
      <c r="AA809">
        <v>0</v>
      </c>
      <c r="AB809">
        <v>2.2999999999999998</v>
      </c>
      <c r="AC809">
        <v>0</v>
      </c>
      <c r="AD809">
        <v>0</v>
      </c>
      <c r="AE809">
        <v>0</v>
      </c>
      <c r="AF809">
        <v>1</v>
      </c>
      <c r="AG809">
        <v>0</v>
      </c>
      <c r="AH809">
        <v>3</v>
      </c>
      <c r="AI809">
        <v>0</v>
      </c>
      <c r="AJ809">
        <v>2</v>
      </c>
    </row>
    <row r="810" spans="1:36" x14ac:dyDescent="0.2">
      <c r="A810" t="str">
        <f>+VLOOKUP(B810,studies!$A$2:$C$102,3)</f>
        <v>Rezai &amp; van der Ploeg (2014)</v>
      </c>
      <c r="B810">
        <v>102</v>
      </c>
      <c r="C810">
        <v>2014</v>
      </c>
      <c r="D810">
        <v>0</v>
      </c>
      <c r="E810">
        <v>2010</v>
      </c>
      <c r="F810">
        <v>2010</v>
      </c>
      <c r="G810">
        <v>0.5</v>
      </c>
      <c r="H810">
        <v>110.72847251873662</v>
      </c>
      <c r="I810">
        <v>0</v>
      </c>
      <c r="J810">
        <v>1</v>
      </c>
      <c r="K810">
        <v>0</v>
      </c>
      <c r="O810">
        <v>1</v>
      </c>
      <c r="P810">
        <v>1</v>
      </c>
      <c r="Q810">
        <v>0</v>
      </c>
      <c r="R810">
        <v>0</v>
      </c>
      <c r="S810">
        <v>0</v>
      </c>
      <c r="T810">
        <v>0</v>
      </c>
      <c r="U810">
        <v>0</v>
      </c>
      <c r="W810">
        <v>0.96</v>
      </c>
      <c r="X810">
        <v>2</v>
      </c>
      <c r="Z810">
        <v>0.5</v>
      </c>
      <c r="AA810">
        <v>0</v>
      </c>
      <c r="AB810">
        <v>2.2999999999999998</v>
      </c>
      <c r="AC810">
        <v>0</v>
      </c>
      <c r="AD810">
        <v>0</v>
      </c>
      <c r="AE810">
        <v>0</v>
      </c>
      <c r="AF810">
        <v>1</v>
      </c>
      <c r="AG810">
        <v>0</v>
      </c>
      <c r="AH810">
        <v>3</v>
      </c>
      <c r="AI810">
        <v>0</v>
      </c>
      <c r="AJ810">
        <v>2</v>
      </c>
    </row>
    <row r="811" spans="1:36" x14ac:dyDescent="0.2">
      <c r="A811" t="str">
        <f>+VLOOKUP(B811,studies!$A$2:$C$102,3)</f>
        <v>Cline (1992)</v>
      </c>
      <c r="B811">
        <v>4</v>
      </c>
      <c r="C811">
        <v>1992</v>
      </c>
      <c r="D811">
        <v>0</v>
      </c>
      <c r="E811">
        <v>1989</v>
      </c>
      <c r="F811">
        <v>1990</v>
      </c>
      <c r="G811">
        <v>1</v>
      </c>
      <c r="H811">
        <v>245.51021749099118</v>
      </c>
      <c r="I811">
        <v>0</v>
      </c>
      <c r="J811">
        <v>1</v>
      </c>
      <c r="K811">
        <v>0</v>
      </c>
      <c r="L811">
        <v>111.78469841076718</v>
      </c>
      <c r="M811">
        <v>114.06601878649712</v>
      </c>
      <c r="N811">
        <v>114.06601878649708</v>
      </c>
      <c r="O811">
        <v>1</v>
      </c>
      <c r="P811">
        <v>1</v>
      </c>
      <c r="Q811">
        <v>0</v>
      </c>
      <c r="R811">
        <v>1</v>
      </c>
      <c r="S811">
        <v>0</v>
      </c>
      <c r="T811">
        <v>0</v>
      </c>
      <c r="U811">
        <v>0</v>
      </c>
      <c r="V811">
        <v>1.5</v>
      </c>
      <c r="W811">
        <v>0</v>
      </c>
      <c r="X811">
        <v>1.5</v>
      </c>
      <c r="Y811">
        <v>1</v>
      </c>
      <c r="Z811">
        <v>0.66666666666666663</v>
      </c>
      <c r="AA811">
        <v>0</v>
      </c>
      <c r="AC811">
        <v>0</v>
      </c>
      <c r="AD811">
        <v>0</v>
      </c>
      <c r="AE811">
        <v>0</v>
      </c>
      <c r="AF811">
        <v>0</v>
      </c>
      <c r="AG811">
        <v>1</v>
      </c>
      <c r="AH811">
        <v>39</v>
      </c>
      <c r="AI811">
        <v>0</v>
      </c>
      <c r="AJ811">
        <v>1</v>
      </c>
    </row>
    <row r="812" spans="1:36" x14ac:dyDescent="0.2">
      <c r="A812" t="str">
        <f>+VLOOKUP(B812,studies!$A$2:$C$102,3)</f>
        <v>Fankhauser (1994)</v>
      </c>
      <c r="B812">
        <v>14</v>
      </c>
      <c r="C812">
        <v>1994</v>
      </c>
      <c r="D812">
        <v>1</v>
      </c>
      <c r="E812">
        <v>1988</v>
      </c>
      <c r="F812">
        <v>2015</v>
      </c>
      <c r="G812">
        <v>1</v>
      </c>
      <c r="H812">
        <v>46.634123415046496</v>
      </c>
      <c r="I812">
        <v>1</v>
      </c>
      <c r="J812">
        <v>0</v>
      </c>
      <c r="K812">
        <v>0</v>
      </c>
      <c r="L812">
        <v>32.256804733727812</v>
      </c>
      <c r="M812">
        <v>15.987337623130403</v>
      </c>
      <c r="N812">
        <v>29.247423534079736</v>
      </c>
      <c r="O812">
        <v>1</v>
      </c>
      <c r="P812">
        <v>1</v>
      </c>
      <c r="Q812">
        <v>0</v>
      </c>
      <c r="R812">
        <v>1</v>
      </c>
      <c r="S812">
        <v>0</v>
      </c>
      <c r="T812">
        <v>0</v>
      </c>
      <c r="U812">
        <v>0</v>
      </c>
      <c r="X812">
        <v>1</v>
      </c>
      <c r="AA812">
        <v>0</v>
      </c>
      <c r="AB812">
        <v>6</v>
      </c>
      <c r="AC812">
        <v>0</v>
      </c>
      <c r="AD812">
        <v>0</v>
      </c>
      <c r="AE812">
        <v>0</v>
      </c>
      <c r="AF812">
        <v>0</v>
      </c>
      <c r="AG812">
        <v>1</v>
      </c>
      <c r="AH812">
        <v>296</v>
      </c>
      <c r="AI812">
        <v>1.85</v>
      </c>
      <c r="AJ812">
        <v>1</v>
      </c>
    </row>
    <row r="813" spans="1:36" x14ac:dyDescent="0.2">
      <c r="A813" t="str">
        <f>+VLOOKUP(B813,studies!$A$2:$C$102,3)</f>
        <v>Schauer (1995)</v>
      </c>
      <c r="B813">
        <v>17</v>
      </c>
      <c r="C813">
        <v>1995</v>
      </c>
      <c r="D813">
        <v>1</v>
      </c>
      <c r="E813">
        <v>1990</v>
      </c>
      <c r="F813">
        <v>1990</v>
      </c>
      <c r="G813">
        <v>0.5</v>
      </c>
      <c r="H813">
        <v>6.3273707730144029</v>
      </c>
      <c r="I813">
        <v>0</v>
      </c>
      <c r="J813">
        <v>0</v>
      </c>
      <c r="K813">
        <v>1</v>
      </c>
      <c r="L813">
        <v>75.942805193978899</v>
      </c>
      <c r="M813">
        <v>75.942805193978899</v>
      </c>
      <c r="N813">
        <v>75.942805193978899</v>
      </c>
      <c r="O813">
        <v>1</v>
      </c>
      <c r="P813">
        <v>1</v>
      </c>
      <c r="Q813">
        <v>0</v>
      </c>
      <c r="R813">
        <v>1</v>
      </c>
      <c r="S813">
        <v>0</v>
      </c>
      <c r="T813">
        <v>0</v>
      </c>
      <c r="U813">
        <v>0</v>
      </c>
      <c r="V813">
        <v>4.91</v>
      </c>
      <c r="W813">
        <v>2.3000000000000003</v>
      </c>
      <c r="AA813">
        <v>0</v>
      </c>
      <c r="AC813">
        <v>0</v>
      </c>
      <c r="AD813">
        <v>0</v>
      </c>
      <c r="AE813">
        <v>0</v>
      </c>
      <c r="AF813">
        <v>0</v>
      </c>
      <c r="AG813">
        <v>1</v>
      </c>
      <c r="AH813">
        <v>15</v>
      </c>
      <c r="AI813">
        <v>1.65</v>
      </c>
      <c r="AJ813">
        <v>2</v>
      </c>
    </row>
    <row r="814" spans="1:36" x14ac:dyDescent="0.2">
      <c r="A814" t="str">
        <f>+VLOOKUP(B814,studies!$A$2:$C$102,3)</f>
        <v>Schauer (1995)</v>
      </c>
      <c r="B814">
        <v>17</v>
      </c>
      <c r="C814">
        <v>1995</v>
      </c>
      <c r="D814">
        <v>1</v>
      </c>
      <c r="E814">
        <v>1990</v>
      </c>
      <c r="F814">
        <v>1990</v>
      </c>
      <c r="G814">
        <v>0.5</v>
      </c>
      <c r="H814">
        <v>192.08218024488423</v>
      </c>
      <c r="I814">
        <v>0</v>
      </c>
      <c r="J814">
        <v>0</v>
      </c>
      <c r="K814">
        <v>1</v>
      </c>
      <c r="L814">
        <v>537.62912183639116</v>
      </c>
      <c r="M814">
        <v>537.62912183639116</v>
      </c>
      <c r="N814">
        <v>537.62912183639116</v>
      </c>
      <c r="O814">
        <v>1</v>
      </c>
      <c r="P814">
        <v>1</v>
      </c>
      <c r="Q814">
        <v>0</v>
      </c>
      <c r="R814">
        <v>1</v>
      </c>
      <c r="S814">
        <v>0</v>
      </c>
      <c r="T814">
        <v>0</v>
      </c>
      <c r="U814">
        <v>0</v>
      </c>
      <c r="V814">
        <v>4.91</v>
      </c>
      <c r="W814">
        <v>2.3000000000000003</v>
      </c>
      <c r="AA814">
        <v>0</v>
      </c>
      <c r="AC814">
        <v>0</v>
      </c>
      <c r="AD814">
        <v>0</v>
      </c>
      <c r="AE814">
        <v>0</v>
      </c>
      <c r="AF814">
        <v>0</v>
      </c>
      <c r="AG814">
        <v>1</v>
      </c>
      <c r="AH814">
        <v>15</v>
      </c>
      <c r="AI814">
        <v>1.65</v>
      </c>
      <c r="AJ814">
        <v>2</v>
      </c>
    </row>
    <row r="815" spans="1:36" x14ac:dyDescent="0.2">
      <c r="A815" t="str">
        <f>+VLOOKUP(B815,studies!$A$2:$C$102,3)</f>
        <v>Hope &amp; Maul (1996)</v>
      </c>
      <c r="B815">
        <v>21</v>
      </c>
      <c r="C815">
        <v>1996</v>
      </c>
      <c r="D815">
        <v>1</v>
      </c>
      <c r="E815">
        <v>1990</v>
      </c>
      <c r="F815">
        <v>1990</v>
      </c>
      <c r="G815">
        <v>0.1</v>
      </c>
      <c r="H815">
        <v>25.122856160579026</v>
      </c>
      <c r="I815">
        <v>1</v>
      </c>
      <c r="J815">
        <v>0</v>
      </c>
      <c r="K815">
        <v>0</v>
      </c>
      <c r="L815" t="s">
        <v>238</v>
      </c>
      <c r="M815">
        <v>7.3244478602271217</v>
      </c>
      <c r="N815">
        <v>7.3244478602271217</v>
      </c>
      <c r="O815">
        <v>1</v>
      </c>
      <c r="P815">
        <v>1</v>
      </c>
      <c r="Q815">
        <v>0</v>
      </c>
      <c r="R815">
        <v>0</v>
      </c>
      <c r="S815">
        <v>0</v>
      </c>
      <c r="T815">
        <v>0</v>
      </c>
      <c r="U815">
        <v>1</v>
      </c>
      <c r="V815">
        <v>4</v>
      </c>
      <c r="W815">
        <v>2</v>
      </c>
      <c r="AA815">
        <v>0</v>
      </c>
      <c r="AC815">
        <v>1</v>
      </c>
      <c r="AD815">
        <v>0</v>
      </c>
      <c r="AE815">
        <v>0</v>
      </c>
      <c r="AF815">
        <v>0</v>
      </c>
      <c r="AG815">
        <v>1</v>
      </c>
      <c r="AH815">
        <v>38</v>
      </c>
      <c r="AI815">
        <v>1.6</v>
      </c>
      <c r="AJ815">
        <v>6</v>
      </c>
    </row>
    <row r="816" spans="1:36" x14ac:dyDescent="0.2">
      <c r="A816" t="str">
        <f>+VLOOKUP(B816,studies!$A$2:$C$102,3)</f>
        <v>Hope &amp; Maul (1996)</v>
      </c>
      <c r="B816">
        <v>21</v>
      </c>
      <c r="C816">
        <v>1996</v>
      </c>
      <c r="D816">
        <v>1</v>
      </c>
      <c r="E816">
        <v>1990</v>
      </c>
      <c r="F816">
        <v>1990</v>
      </c>
      <c r="G816">
        <v>1</v>
      </c>
      <c r="H816">
        <v>86.135506836270949</v>
      </c>
      <c r="I816">
        <v>1</v>
      </c>
      <c r="J816">
        <v>0</v>
      </c>
      <c r="K816">
        <v>0</v>
      </c>
      <c r="L816" t="s">
        <v>238</v>
      </c>
      <c r="M816">
        <v>43.946687161362725</v>
      </c>
      <c r="N816">
        <v>450.45354340396796</v>
      </c>
      <c r="O816">
        <v>1</v>
      </c>
      <c r="P816">
        <v>1</v>
      </c>
      <c r="Q816">
        <v>0</v>
      </c>
      <c r="R816">
        <v>0</v>
      </c>
      <c r="S816">
        <v>0</v>
      </c>
      <c r="T816">
        <v>0</v>
      </c>
      <c r="U816">
        <v>1</v>
      </c>
      <c r="V816">
        <v>4</v>
      </c>
      <c r="W816">
        <v>2</v>
      </c>
      <c r="AA816">
        <v>0</v>
      </c>
      <c r="AC816">
        <v>1</v>
      </c>
      <c r="AD816">
        <v>0</v>
      </c>
      <c r="AE816">
        <v>0</v>
      </c>
      <c r="AF816">
        <v>0</v>
      </c>
      <c r="AG816">
        <v>1</v>
      </c>
      <c r="AH816">
        <v>38</v>
      </c>
      <c r="AI816">
        <v>1.6</v>
      </c>
      <c r="AJ816">
        <v>6</v>
      </c>
    </row>
    <row r="817" spans="1:36" x14ac:dyDescent="0.2">
      <c r="A817" t="str">
        <f>+VLOOKUP(B817,studies!$A$2:$C$102,3)</f>
        <v>Hope &amp; Maul (1996)</v>
      </c>
      <c r="B817">
        <v>21</v>
      </c>
      <c r="C817">
        <v>1996</v>
      </c>
      <c r="D817">
        <v>1</v>
      </c>
      <c r="E817">
        <v>1990</v>
      </c>
      <c r="F817">
        <v>1990</v>
      </c>
      <c r="G817">
        <v>0.1</v>
      </c>
      <c r="H817">
        <v>32.300815063601604</v>
      </c>
      <c r="I817">
        <v>1</v>
      </c>
      <c r="J817">
        <v>0</v>
      </c>
      <c r="K817">
        <v>0</v>
      </c>
      <c r="L817" t="s">
        <v>238</v>
      </c>
      <c r="M817">
        <v>9.1555598252839019</v>
      </c>
      <c r="N817">
        <v>9.1555598252839019</v>
      </c>
      <c r="O817">
        <v>1</v>
      </c>
      <c r="P817">
        <v>1</v>
      </c>
      <c r="Q817">
        <v>0</v>
      </c>
      <c r="R817">
        <v>0</v>
      </c>
      <c r="S817">
        <v>0</v>
      </c>
      <c r="T817">
        <v>0</v>
      </c>
      <c r="U817">
        <v>1</v>
      </c>
      <c r="V817">
        <v>4</v>
      </c>
      <c r="W817">
        <v>2</v>
      </c>
      <c r="AA817">
        <v>0</v>
      </c>
      <c r="AC817">
        <v>1</v>
      </c>
      <c r="AD817">
        <v>0</v>
      </c>
      <c r="AE817">
        <v>0</v>
      </c>
      <c r="AF817">
        <v>0</v>
      </c>
      <c r="AG817">
        <v>1</v>
      </c>
      <c r="AH817">
        <v>38</v>
      </c>
      <c r="AI817">
        <v>1.6</v>
      </c>
      <c r="AJ817">
        <v>6</v>
      </c>
    </row>
    <row r="818" spans="1:36" x14ac:dyDescent="0.2">
      <c r="A818" t="str">
        <f>+VLOOKUP(B818,studies!$A$2:$C$102,3)</f>
        <v>Hope &amp; Maul (1996)</v>
      </c>
      <c r="B818">
        <v>21</v>
      </c>
      <c r="C818">
        <v>1996</v>
      </c>
      <c r="D818">
        <v>1</v>
      </c>
      <c r="E818">
        <v>1990</v>
      </c>
      <c r="F818">
        <v>1990</v>
      </c>
      <c r="G818">
        <v>0.1</v>
      </c>
      <c r="H818">
        <v>68.190609578714501</v>
      </c>
      <c r="I818">
        <v>1</v>
      </c>
      <c r="J818">
        <v>0</v>
      </c>
      <c r="K818">
        <v>0</v>
      </c>
      <c r="L818" t="s">
        <v>238</v>
      </c>
      <c r="M818">
        <v>20.142231615624585</v>
      </c>
      <c r="N818">
        <v>23.804455545738143</v>
      </c>
      <c r="O818">
        <v>1</v>
      </c>
      <c r="P818">
        <v>1</v>
      </c>
      <c r="Q818">
        <v>0</v>
      </c>
      <c r="R818">
        <v>0</v>
      </c>
      <c r="S818">
        <v>0</v>
      </c>
      <c r="T818">
        <v>0</v>
      </c>
      <c r="U818">
        <v>1</v>
      </c>
      <c r="V818">
        <v>4</v>
      </c>
      <c r="W818">
        <v>2</v>
      </c>
      <c r="AA818">
        <v>0</v>
      </c>
      <c r="AC818">
        <v>1</v>
      </c>
      <c r="AD818">
        <v>0</v>
      </c>
      <c r="AE818">
        <v>0</v>
      </c>
      <c r="AF818">
        <v>0</v>
      </c>
      <c r="AG818">
        <v>1</v>
      </c>
      <c r="AH818">
        <v>38</v>
      </c>
      <c r="AI818">
        <v>1.6</v>
      </c>
      <c r="AJ818">
        <v>6</v>
      </c>
    </row>
    <row r="819" spans="1:36" x14ac:dyDescent="0.2">
      <c r="A819" t="str">
        <f>+VLOOKUP(B819,studies!$A$2:$C$102,3)</f>
        <v>Hope &amp; Maul (1996)</v>
      </c>
      <c r="B819">
        <v>21</v>
      </c>
      <c r="C819">
        <v>1996</v>
      </c>
      <c r="D819">
        <v>1</v>
      </c>
      <c r="E819">
        <v>1990</v>
      </c>
      <c r="F819">
        <v>1990</v>
      </c>
      <c r="G819">
        <v>0.6</v>
      </c>
      <c r="H819">
        <v>17.944897257556448</v>
      </c>
      <c r="I819">
        <v>1</v>
      </c>
      <c r="J819">
        <v>0</v>
      </c>
      <c r="K819">
        <v>0</v>
      </c>
      <c r="L819" t="s">
        <v>238</v>
      </c>
      <c r="M819">
        <v>5.4933358951703406</v>
      </c>
      <c r="N819">
        <v>3.6622239301135608</v>
      </c>
      <c r="O819">
        <v>1</v>
      </c>
      <c r="P819">
        <v>1</v>
      </c>
      <c r="Q819">
        <v>0</v>
      </c>
      <c r="R819">
        <v>1</v>
      </c>
      <c r="S819">
        <v>0</v>
      </c>
      <c r="T819">
        <v>0</v>
      </c>
      <c r="U819">
        <v>1</v>
      </c>
      <c r="V819">
        <v>4</v>
      </c>
      <c r="W819">
        <v>2</v>
      </c>
      <c r="AA819">
        <v>0</v>
      </c>
      <c r="AC819">
        <v>1</v>
      </c>
      <c r="AD819">
        <v>0</v>
      </c>
      <c r="AE819">
        <v>0</v>
      </c>
      <c r="AF819">
        <v>0</v>
      </c>
      <c r="AG819">
        <v>1</v>
      </c>
      <c r="AH819">
        <v>38</v>
      </c>
      <c r="AI819">
        <v>1.6</v>
      </c>
      <c r="AJ819">
        <v>6</v>
      </c>
    </row>
    <row r="820" spans="1:36" x14ac:dyDescent="0.2">
      <c r="A820" t="str">
        <f>+VLOOKUP(B820,studies!$A$2:$C$102,3)</f>
        <v>Hope &amp; Maul (1996)</v>
      </c>
      <c r="B820">
        <v>21</v>
      </c>
      <c r="C820">
        <v>1996</v>
      </c>
      <c r="D820">
        <v>1</v>
      </c>
      <c r="E820">
        <v>1990</v>
      </c>
      <c r="F820">
        <v>1990</v>
      </c>
      <c r="G820">
        <v>0.1</v>
      </c>
      <c r="H820">
        <v>104.0804040938274</v>
      </c>
      <c r="I820">
        <v>1</v>
      </c>
      <c r="J820">
        <v>0</v>
      </c>
      <c r="K820">
        <v>0</v>
      </c>
      <c r="L820" t="s">
        <v>238</v>
      </c>
      <c r="M820">
        <v>31.128903405965264</v>
      </c>
      <c r="N820">
        <v>29.297791440908487</v>
      </c>
      <c r="O820">
        <v>1</v>
      </c>
      <c r="P820">
        <v>1</v>
      </c>
      <c r="Q820">
        <v>0</v>
      </c>
      <c r="R820">
        <v>0</v>
      </c>
      <c r="S820">
        <v>0</v>
      </c>
      <c r="T820">
        <v>0</v>
      </c>
      <c r="U820">
        <v>1</v>
      </c>
      <c r="V820">
        <v>4</v>
      </c>
      <c r="W820">
        <v>2</v>
      </c>
      <c r="AA820">
        <v>0</v>
      </c>
      <c r="AC820">
        <v>1</v>
      </c>
      <c r="AD820">
        <v>0</v>
      </c>
      <c r="AE820">
        <v>0</v>
      </c>
      <c r="AF820">
        <v>0</v>
      </c>
      <c r="AG820">
        <v>1</v>
      </c>
      <c r="AH820">
        <v>38</v>
      </c>
      <c r="AI820">
        <v>1.6</v>
      </c>
      <c r="AJ820">
        <v>6</v>
      </c>
    </row>
    <row r="821" spans="1:36" x14ac:dyDescent="0.2">
      <c r="A821" t="str">
        <f>+VLOOKUP(B821,studies!$A$2:$C$102,3)</f>
        <v>Plambeck &amp; Hope (1996)</v>
      </c>
      <c r="B821">
        <v>23</v>
      </c>
      <c r="C821">
        <v>1996</v>
      </c>
      <c r="D821">
        <v>1</v>
      </c>
      <c r="E821">
        <v>1990</v>
      </c>
      <c r="F821">
        <v>1990</v>
      </c>
      <c r="G821">
        <v>0.125</v>
      </c>
      <c r="H821">
        <v>10.766938354533869</v>
      </c>
      <c r="I821">
        <v>1</v>
      </c>
      <c r="J821">
        <v>0</v>
      </c>
      <c r="K821">
        <v>0</v>
      </c>
      <c r="L821" t="s">
        <v>238</v>
      </c>
      <c r="M821">
        <v>3.6622239301135608</v>
      </c>
      <c r="N821">
        <v>5.4933358951703406</v>
      </c>
      <c r="O821">
        <v>1</v>
      </c>
      <c r="P821">
        <v>1</v>
      </c>
      <c r="Q821">
        <v>0</v>
      </c>
      <c r="R821">
        <v>1</v>
      </c>
      <c r="S821">
        <v>0</v>
      </c>
      <c r="T821">
        <v>0</v>
      </c>
      <c r="U821">
        <v>1</v>
      </c>
      <c r="V821">
        <v>5</v>
      </c>
      <c r="W821">
        <v>3</v>
      </c>
      <c r="AA821">
        <v>0</v>
      </c>
      <c r="AC821">
        <v>1</v>
      </c>
      <c r="AD821">
        <v>0</v>
      </c>
      <c r="AE821">
        <v>0</v>
      </c>
      <c r="AF821">
        <v>0</v>
      </c>
      <c r="AG821">
        <v>1</v>
      </c>
      <c r="AH821">
        <v>102</v>
      </c>
      <c r="AI821">
        <v>1.6</v>
      </c>
      <c r="AJ821">
        <v>8</v>
      </c>
    </row>
    <row r="822" spans="1:36" x14ac:dyDescent="0.2">
      <c r="A822" t="str">
        <f>+VLOOKUP(B822,studies!$A$2:$C$102,3)</f>
        <v>Plambeck &amp; Hope (1996)</v>
      </c>
      <c r="B822">
        <v>23</v>
      </c>
      <c r="C822">
        <v>1996</v>
      </c>
      <c r="D822">
        <v>1</v>
      </c>
      <c r="E822">
        <v>1990</v>
      </c>
      <c r="F822">
        <v>1990</v>
      </c>
      <c r="G822">
        <v>6.25E-2</v>
      </c>
      <c r="H822">
        <v>17.944897257556448</v>
      </c>
      <c r="I822">
        <v>1</v>
      </c>
      <c r="J822">
        <v>0</v>
      </c>
      <c r="K822">
        <v>0</v>
      </c>
      <c r="L822" t="s">
        <v>238</v>
      </c>
      <c r="M822">
        <v>5.4933358951703406</v>
      </c>
      <c r="N822">
        <v>12.817783755397462</v>
      </c>
      <c r="O822">
        <v>1</v>
      </c>
      <c r="P822">
        <v>1</v>
      </c>
      <c r="Q822">
        <v>0</v>
      </c>
      <c r="R822">
        <v>1</v>
      </c>
      <c r="S822">
        <v>0</v>
      </c>
      <c r="T822">
        <v>0</v>
      </c>
      <c r="U822">
        <v>1</v>
      </c>
      <c r="V822">
        <v>5</v>
      </c>
      <c r="W822">
        <v>3</v>
      </c>
      <c r="AA822">
        <v>0</v>
      </c>
      <c r="AC822">
        <v>1</v>
      </c>
      <c r="AD822">
        <v>0</v>
      </c>
      <c r="AE822">
        <v>0</v>
      </c>
      <c r="AF822">
        <v>0</v>
      </c>
      <c r="AG822">
        <v>1</v>
      </c>
      <c r="AH822">
        <v>102</v>
      </c>
      <c r="AI822">
        <v>1.6</v>
      </c>
      <c r="AJ822">
        <v>8</v>
      </c>
    </row>
    <row r="823" spans="1:36" x14ac:dyDescent="0.2">
      <c r="A823" t="str">
        <f>+VLOOKUP(B823,studies!$A$2:$C$102,3)</f>
        <v>Plambeck &amp; Hope (1996)</v>
      </c>
      <c r="B823">
        <v>23</v>
      </c>
      <c r="C823">
        <v>1996</v>
      </c>
      <c r="D823">
        <v>1</v>
      </c>
      <c r="E823">
        <v>1990</v>
      </c>
      <c r="F823">
        <v>1990</v>
      </c>
      <c r="G823">
        <v>0.125</v>
      </c>
      <c r="H823">
        <v>28.711835612090315</v>
      </c>
      <c r="I823">
        <v>1</v>
      </c>
      <c r="J823">
        <v>0</v>
      </c>
      <c r="K823">
        <v>0</v>
      </c>
      <c r="L823" t="s">
        <v>238</v>
      </c>
      <c r="M823">
        <v>9.1555598252839019</v>
      </c>
      <c r="N823">
        <v>7.3244478602271217</v>
      </c>
      <c r="O823">
        <v>1</v>
      </c>
      <c r="P823">
        <v>1</v>
      </c>
      <c r="Q823">
        <v>0</v>
      </c>
      <c r="R823">
        <v>1</v>
      </c>
      <c r="S823">
        <v>0</v>
      </c>
      <c r="T823">
        <v>0</v>
      </c>
      <c r="U823">
        <v>1</v>
      </c>
      <c r="V823">
        <v>5</v>
      </c>
      <c r="W823">
        <v>3</v>
      </c>
      <c r="AA823">
        <v>0</v>
      </c>
      <c r="AC823">
        <v>1</v>
      </c>
      <c r="AD823">
        <v>0</v>
      </c>
      <c r="AE823">
        <v>0</v>
      </c>
      <c r="AF823">
        <v>0</v>
      </c>
      <c r="AG823">
        <v>1</v>
      </c>
      <c r="AH823">
        <v>102</v>
      </c>
      <c r="AI823">
        <v>1.6</v>
      </c>
      <c r="AJ823">
        <v>8</v>
      </c>
    </row>
    <row r="824" spans="1:36" x14ac:dyDescent="0.2">
      <c r="A824" t="str">
        <f>+VLOOKUP(B824,studies!$A$2:$C$102,3)</f>
        <v>Plambeck &amp; Hope (1996)</v>
      </c>
      <c r="B824">
        <v>23</v>
      </c>
      <c r="C824">
        <v>1996</v>
      </c>
      <c r="D824">
        <v>1</v>
      </c>
      <c r="E824">
        <v>1990</v>
      </c>
      <c r="F824">
        <v>1990</v>
      </c>
      <c r="G824">
        <v>0.125</v>
      </c>
      <c r="H824">
        <v>28.711835612090315</v>
      </c>
      <c r="I824">
        <v>1</v>
      </c>
      <c r="J824">
        <v>0</v>
      </c>
      <c r="K824">
        <v>0</v>
      </c>
      <c r="L824" t="s">
        <v>238</v>
      </c>
      <c r="M824">
        <v>3.6622239301135608</v>
      </c>
      <c r="N824">
        <v>18.311119650567804</v>
      </c>
      <c r="O824">
        <v>1</v>
      </c>
      <c r="P824">
        <v>1</v>
      </c>
      <c r="Q824">
        <v>0</v>
      </c>
      <c r="R824">
        <v>1</v>
      </c>
      <c r="S824">
        <v>0</v>
      </c>
      <c r="T824">
        <v>0</v>
      </c>
      <c r="U824">
        <v>1</v>
      </c>
      <c r="V824">
        <v>5</v>
      </c>
      <c r="W824">
        <v>3</v>
      </c>
      <c r="AA824">
        <v>0</v>
      </c>
      <c r="AC824">
        <v>1</v>
      </c>
      <c r="AD824">
        <v>0</v>
      </c>
      <c r="AE824">
        <v>0</v>
      </c>
      <c r="AF824">
        <v>0</v>
      </c>
      <c r="AG824">
        <v>1</v>
      </c>
      <c r="AH824">
        <v>102</v>
      </c>
      <c r="AI824">
        <v>1.6</v>
      </c>
      <c r="AJ824">
        <v>8</v>
      </c>
    </row>
    <row r="825" spans="1:36" x14ac:dyDescent="0.2">
      <c r="A825" t="str">
        <f>+VLOOKUP(B825,studies!$A$2:$C$102,3)</f>
        <v>Plambeck &amp; Hope (1996)</v>
      </c>
      <c r="B825">
        <v>23</v>
      </c>
      <c r="C825">
        <v>1996</v>
      </c>
      <c r="D825">
        <v>1</v>
      </c>
      <c r="E825">
        <v>1990</v>
      </c>
      <c r="F825">
        <v>1990</v>
      </c>
      <c r="G825">
        <v>0.25</v>
      </c>
      <c r="H825">
        <v>75.368568481737086</v>
      </c>
      <c r="I825">
        <v>1</v>
      </c>
      <c r="J825">
        <v>0</v>
      </c>
      <c r="K825">
        <v>0</v>
      </c>
      <c r="L825" t="s">
        <v>238</v>
      </c>
      <c r="M825">
        <v>20.142231615624585</v>
      </c>
      <c r="N825">
        <v>49.440023056533065</v>
      </c>
      <c r="O825">
        <v>1</v>
      </c>
      <c r="P825">
        <v>1</v>
      </c>
      <c r="Q825">
        <v>0</v>
      </c>
      <c r="R825">
        <v>1</v>
      </c>
      <c r="S825">
        <v>0</v>
      </c>
      <c r="T825">
        <v>0</v>
      </c>
      <c r="U825">
        <v>1</v>
      </c>
      <c r="V825">
        <v>5</v>
      </c>
      <c r="W825">
        <v>3</v>
      </c>
      <c r="AA825">
        <v>0</v>
      </c>
      <c r="AC825">
        <v>1</v>
      </c>
      <c r="AD825">
        <v>0</v>
      </c>
      <c r="AE825">
        <v>0</v>
      </c>
      <c r="AF825">
        <v>0</v>
      </c>
      <c r="AG825">
        <v>1</v>
      </c>
      <c r="AH825">
        <v>102</v>
      </c>
      <c r="AI825">
        <v>1.6</v>
      </c>
      <c r="AJ825">
        <v>8</v>
      </c>
    </row>
    <row r="826" spans="1:36" x14ac:dyDescent="0.2">
      <c r="A826" t="str">
        <f>+VLOOKUP(B826,studies!$A$2:$C$102,3)</f>
        <v>Plambeck &amp; Hope (1996)</v>
      </c>
      <c r="B826">
        <v>23</v>
      </c>
      <c r="C826">
        <v>1996</v>
      </c>
      <c r="D826">
        <v>1</v>
      </c>
      <c r="E826">
        <v>1990</v>
      </c>
      <c r="F826">
        <v>1990</v>
      </c>
      <c r="G826">
        <v>0.125</v>
      </c>
      <c r="H826">
        <v>165.09305476951931</v>
      </c>
      <c r="I826">
        <v>1</v>
      </c>
      <c r="J826">
        <v>0</v>
      </c>
      <c r="K826">
        <v>0</v>
      </c>
      <c r="L826" t="s">
        <v>238</v>
      </c>
      <c r="M826">
        <v>47.608911091476287</v>
      </c>
      <c r="N826">
        <v>87.89337432272545</v>
      </c>
      <c r="O826">
        <v>1</v>
      </c>
      <c r="P826">
        <v>1</v>
      </c>
      <c r="Q826">
        <v>0</v>
      </c>
      <c r="R826">
        <v>1</v>
      </c>
      <c r="S826">
        <v>0</v>
      </c>
      <c r="T826">
        <v>0</v>
      </c>
      <c r="U826">
        <v>1</v>
      </c>
      <c r="V826">
        <v>4</v>
      </c>
      <c r="W826">
        <v>2</v>
      </c>
      <c r="AA826">
        <v>0</v>
      </c>
      <c r="AC826">
        <v>1</v>
      </c>
      <c r="AD826">
        <v>0</v>
      </c>
      <c r="AE826">
        <v>0</v>
      </c>
      <c r="AF826">
        <v>0</v>
      </c>
      <c r="AG826">
        <v>1</v>
      </c>
      <c r="AH826">
        <v>102</v>
      </c>
      <c r="AI826">
        <v>1.6</v>
      </c>
      <c r="AJ826">
        <v>8</v>
      </c>
    </row>
    <row r="827" spans="1:36" x14ac:dyDescent="0.2">
      <c r="A827" t="str">
        <f>+VLOOKUP(B827,studies!$A$2:$C$102,3)</f>
        <v>Plambeck &amp; Hope (1996)</v>
      </c>
      <c r="B827">
        <v>23</v>
      </c>
      <c r="C827">
        <v>1996</v>
      </c>
      <c r="D827">
        <v>1</v>
      </c>
      <c r="E827">
        <v>1990</v>
      </c>
      <c r="F827">
        <v>1990</v>
      </c>
      <c r="G827">
        <v>0.125</v>
      </c>
      <c r="H827">
        <v>1579.1509586649674</v>
      </c>
      <c r="I827">
        <v>1</v>
      </c>
      <c r="J827">
        <v>0</v>
      </c>
      <c r="K827">
        <v>0</v>
      </c>
      <c r="L827" t="s">
        <v>238</v>
      </c>
      <c r="M827">
        <v>91.555598252839019</v>
      </c>
      <c r="N827">
        <v>73.244478602271215</v>
      </c>
      <c r="O827">
        <v>1</v>
      </c>
      <c r="P827">
        <v>1</v>
      </c>
      <c r="Q827">
        <v>0</v>
      </c>
      <c r="R827">
        <v>1</v>
      </c>
      <c r="S827">
        <v>0</v>
      </c>
      <c r="T827">
        <v>0</v>
      </c>
      <c r="U827">
        <v>1</v>
      </c>
      <c r="V827">
        <v>2</v>
      </c>
      <c r="W827">
        <v>0</v>
      </c>
      <c r="AA827">
        <v>0</v>
      </c>
      <c r="AC827">
        <v>1</v>
      </c>
      <c r="AD827">
        <v>0</v>
      </c>
      <c r="AE827">
        <v>0</v>
      </c>
      <c r="AF827">
        <v>0</v>
      </c>
      <c r="AG827">
        <v>1</v>
      </c>
      <c r="AH827">
        <v>102</v>
      </c>
      <c r="AI827">
        <v>1.6</v>
      </c>
      <c r="AJ827">
        <v>8</v>
      </c>
    </row>
    <row r="828" spans="1:36" x14ac:dyDescent="0.2">
      <c r="A828" t="str">
        <f>+VLOOKUP(B828,studies!$A$2:$C$102,3)</f>
        <v>Plambeck &amp; Hope (1996)</v>
      </c>
      <c r="B828">
        <v>23</v>
      </c>
      <c r="C828">
        <v>1996</v>
      </c>
      <c r="D828">
        <v>1</v>
      </c>
      <c r="E828">
        <v>1990</v>
      </c>
      <c r="F828">
        <v>1990</v>
      </c>
      <c r="G828">
        <v>6.25E-2</v>
      </c>
      <c r="H828">
        <v>114.84734244836126</v>
      </c>
      <c r="I828">
        <v>1</v>
      </c>
      <c r="J828">
        <v>0</v>
      </c>
      <c r="K828">
        <v>0</v>
      </c>
      <c r="L828" t="s">
        <v>238</v>
      </c>
      <c r="M828">
        <v>18.311119650567804</v>
      </c>
      <c r="N828">
        <v>43.946687161362725</v>
      </c>
      <c r="O828">
        <v>1</v>
      </c>
      <c r="P828">
        <v>1</v>
      </c>
      <c r="Q828">
        <v>0</v>
      </c>
      <c r="R828">
        <v>1</v>
      </c>
      <c r="S828">
        <v>0</v>
      </c>
      <c r="T828">
        <v>0</v>
      </c>
      <c r="U828">
        <v>1</v>
      </c>
      <c r="V828">
        <v>5</v>
      </c>
      <c r="W828">
        <v>3</v>
      </c>
      <c r="AA828">
        <v>0</v>
      </c>
      <c r="AC828">
        <v>1</v>
      </c>
      <c r="AD828">
        <v>0</v>
      </c>
      <c r="AE828">
        <v>0</v>
      </c>
      <c r="AF828">
        <v>0</v>
      </c>
      <c r="AG828">
        <v>1</v>
      </c>
      <c r="AH828">
        <v>102</v>
      </c>
      <c r="AI828">
        <v>1.6</v>
      </c>
      <c r="AJ828">
        <v>8</v>
      </c>
    </row>
    <row r="829" spans="1:36" x14ac:dyDescent="0.2">
      <c r="A829" t="str">
        <f>+VLOOKUP(B829,studies!$A$2:$C$102,3)</f>
        <v>Cline (1997)</v>
      </c>
      <c r="B829">
        <v>24</v>
      </c>
      <c r="C829">
        <v>1997</v>
      </c>
      <c r="D829">
        <v>0</v>
      </c>
      <c r="E829">
        <v>1995</v>
      </c>
      <c r="F829">
        <v>1995</v>
      </c>
      <c r="G829">
        <v>1</v>
      </c>
      <c r="H829">
        <v>231.7250656559599</v>
      </c>
      <c r="I829">
        <v>0</v>
      </c>
      <c r="J829">
        <v>1</v>
      </c>
      <c r="K829">
        <v>0</v>
      </c>
      <c r="L829">
        <v>105.29956687215271</v>
      </c>
      <c r="M829">
        <v>107.44853762464562</v>
      </c>
      <c r="N829">
        <v>107.44853762464562</v>
      </c>
      <c r="O829">
        <v>1</v>
      </c>
      <c r="P829">
        <v>1</v>
      </c>
      <c r="Q829">
        <v>0</v>
      </c>
      <c r="R829">
        <v>1</v>
      </c>
      <c r="S829">
        <v>0</v>
      </c>
      <c r="T829">
        <v>1</v>
      </c>
      <c r="U829">
        <v>0</v>
      </c>
      <c r="AA829">
        <v>0</v>
      </c>
      <c r="AC829">
        <v>0</v>
      </c>
      <c r="AD829">
        <v>0</v>
      </c>
      <c r="AE829">
        <v>0</v>
      </c>
      <c r="AF829">
        <v>1</v>
      </c>
      <c r="AG829">
        <v>1</v>
      </c>
      <c r="AH829">
        <v>23</v>
      </c>
      <c r="AI829">
        <v>0</v>
      </c>
      <c r="AJ829">
        <v>1</v>
      </c>
    </row>
    <row r="830" spans="1:36" x14ac:dyDescent="0.2">
      <c r="A830" t="str">
        <f>+VLOOKUP(B830,studies!$A$2:$C$102,3)</f>
        <v>Nordhaus &amp; Popp (1997)</v>
      </c>
      <c r="B830">
        <v>25</v>
      </c>
      <c r="C830">
        <v>1997</v>
      </c>
      <c r="D830">
        <v>1</v>
      </c>
      <c r="E830">
        <v>1990</v>
      </c>
      <c r="F830">
        <v>2000</v>
      </c>
      <c r="G830">
        <v>0.9</v>
      </c>
      <c r="H830">
        <v>30.750525708258014</v>
      </c>
      <c r="I830">
        <v>1</v>
      </c>
      <c r="J830">
        <v>0</v>
      </c>
      <c r="K830">
        <v>0</v>
      </c>
      <c r="L830">
        <v>2.0632440359234971</v>
      </c>
      <c r="M830">
        <v>18.629090455080632</v>
      </c>
      <c r="N830">
        <v>35.668284397184557</v>
      </c>
      <c r="O830">
        <v>0</v>
      </c>
      <c r="P830">
        <v>1</v>
      </c>
      <c r="Q830">
        <v>0</v>
      </c>
      <c r="R830">
        <v>1</v>
      </c>
      <c r="S830">
        <v>0</v>
      </c>
      <c r="T830">
        <v>1</v>
      </c>
      <c r="U830">
        <v>0</v>
      </c>
      <c r="V830">
        <v>5</v>
      </c>
      <c r="W830">
        <v>3</v>
      </c>
      <c r="X830">
        <v>1</v>
      </c>
      <c r="Y830">
        <v>2</v>
      </c>
      <c r="AA830">
        <v>0</v>
      </c>
      <c r="AC830">
        <v>0</v>
      </c>
      <c r="AD830">
        <v>1</v>
      </c>
      <c r="AE830">
        <v>0</v>
      </c>
      <c r="AF830">
        <v>1</v>
      </c>
      <c r="AG830">
        <v>1</v>
      </c>
      <c r="AH830">
        <v>204</v>
      </c>
      <c r="AI830">
        <v>1.85</v>
      </c>
      <c r="AJ830">
        <v>1</v>
      </c>
    </row>
    <row r="831" spans="1:36" x14ac:dyDescent="0.2">
      <c r="A831" t="str">
        <f>+VLOOKUP(B831,studies!$A$2:$C$102,3)</f>
        <v>Roughgarden &amp; Schneider (1999)</v>
      </c>
      <c r="B831">
        <v>27</v>
      </c>
      <c r="C831">
        <v>1999</v>
      </c>
      <c r="D831">
        <v>1</v>
      </c>
      <c r="E831">
        <v>1990</v>
      </c>
      <c r="F831">
        <v>1995</v>
      </c>
      <c r="G831">
        <v>1</v>
      </c>
      <c r="H831">
        <v>70.359293930021835</v>
      </c>
      <c r="I831">
        <v>0</v>
      </c>
      <c r="J831">
        <v>0</v>
      </c>
      <c r="K831">
        <v>1</v>
      </c>
      <c r="L831" t="s">
        <v>238</v>
      </c>
      <c r="M831">
        <v>35.897598943888688</v>
      </c>
      <c r="N831">
        <v>267.76309689262087</v>
      </c>
      <c r="O831">
        <v>1</v>
      </c>
      <c r="P831">
        <v>1</v>
      </c>
      <c r="Q831">
        <v>0</v>
      </c>
      <c r="R831">
        <v>1</v>
      </c>
      <c r="S831">
        <v>0</v>
      </c>
      <c r="T831">
        <v>1</v>
      </c>
      <c r="U831">
        <v>0</v>
      </c>
      <c r="V831">
        <v>5</v>
      </c>
      <c r="W831">
        <v>3</v>
      </c>
      <c r="AA831">
        <v>0</v>
      </c>
      <c r="AC831">
        <v>0</v>
      </c>
      <c r="AD831">
        <v>0</v>
      </c>
      <c r="AE831">
        <v>0</v>
      </c>
      <c r="AF831">
        <v>1</v>
      </c>
      <c r="AG831">
        <v>1</v>
      </c>
      <c r="AH831">
        <v>194</v>
      </c>
      <c r="AI831">
        <v>1.6</v>
      </c>
      <c r="AJ831">
        <v>1</v>
      </c>
    </row>
    <row r="832" spans="1:36" x14ac:dyDescent="0.2">
      <c r="A832" t="str">
        <f>+VLOOKUP(B832,studies!$A$2:$C$102,3)</f>
        <v>Tol (1999)</v>
      </c>
      <c r="B832">
        <v>28</v>
      </c>
      <c r="C832">
        <v>1999</v>
      </c>
      <c r="D832">
        <v>1</v>
      </c>
      <c r="E832">
        <v>1995</v>
      </c>
      <c r="F832">
        <v>2000</v>
      </c>
      <c r="G832">
        <v>0.5</v>
      </c>
      <c r="H832">
        <v>158.59453762979751</v>
      </c>
      <c r="I832">
        <v>0</v>
      </c>
      <c r="J832">
        <v>0</v>
      </c>
      <c r="K832">
        <v>1</v>
      </c>
      <c r="L832">
        <v>115.54744884456677</v>
      </c>
      <c r="M832">
        <v>50.861221980401538</v>
      </c>
      <c r="N832">
        <v>124.84118122462195</v>
      </c>
      <c r="O832">
        <v>1</v>
      </c>
      <c r="P832">
        <v>1</v>
      </c>
      <c r="Q832">
        <v>1</v>
      </c>
      <c r="R832">
        <v>1</v>
      </c>
      <c r="S832">
        <v>1</v>
      </c>
      <c r="T832">
        <v>0</v>
      </c>
      <c r="U832">
        <v>0</v>
      </c>
      <c r="V832">
        <v>3</v>
      </c>
      <c r="W832">
        <v>1</v>
      </c>
      <c r="AA832">
        <v>1</v>
      </c>
      <c r="AC832">
        <v>0</v>
      </c>
      <c r="AD832">
        <v>0</v>
      </c>
      <c r="AE832">
        <v>1</v>
      </c>
      <c r="AF832">
        <v>0</v>
      </c>
      <c r="AG832">
        <v>1</v>
      </c>
      <c r="AH832">
        <v>222</v>
      </c>
      <c r="AI832">
        <v>1.85</v>
      </c>
      <c r="AJ832">
        <v>5</v>
      </c>
    </row>
    <row r="833" spans="1:36" x14ac:dyDescent="0.2">
      <c r="A833" t="str">
        <f>+VLOOKUP(B833,studies!$A$2:$C$102,3)</f>
        <v>Tol (1999)</v>
      </c>
      <c r="B833">
        <v>28</v>
      </c>
      <c r="C833">
        <v>1999</v>
      </c>
      <c r="D833">
        <v>1</v>
      </c>
      <c r="E833">
        <v>1995</v>
      </c>
      <c r="F833">
        <v>2000</v>
      </c>
      <c r="G833">
        <v>0.1</v>
      </c>
      <c r="H833">
        <v>917.58268200097132</v>
      </c>
      <c r="I833">
        <v>0</v>
      </c>
      <c r="J833">
        <v>0</v>
      </c>
      <c r="K833">
        <v>1</v>
      </c>
      <c r="L833">
        <v>604.92487924508487</v>
      </c>
      <c r="M833">
        <v>285.51640520816312</v>
      </c>
      <c r="N833">
        <v>643.85683279735588</v>
      </c>
      <c r="O833">
        <v>1</v>
      </c>
      <c r="P833">
        <v>1</v>
      </c>
      <c r="Q833">
        <v>1</v>
      </c>
      <c r="R833">
        <v>1</v>
      </c>
      <c r="S833">
        <v>1</v>
      </c>
      <c r="T833">
        <v>0</v>
      </c>
      <c r="U833">
        <v>0</v>
      </c>
      <c r="V833">
        <v>0</v>
      </c>
      <c r="W833">
        <v>-2</v>
      </c>
      <c r="AA833">
        <v>1</v>
      </c>
      <c r="AC833">
        <v>0</v>
      </c>
      <c r="AD833">
        <v>0</v>
      </c>
      <c r="AE833">
        <v>1</v>
      </c>
      <c r="AF833">
        <v>0</v>
      </c>
      <c r="AG833">
        <v>1</v>
      </c>
      <c r="AH833">
        <v>222</v>
      </c>
      <c r="AI833">
        <v>1.85</v>
      </c>
      <c r="AJ833">
        <v>5</v>
      </c>
    </row>
    <row r="834" spans="1:36" x14ac:dyDescent="0.2">
      <c r="A834" t="str">
        <f>+VLOOKUP(B834,studies!$A$2:$C$102,3)</f>
        <v>Tol (1999)</v>
      </c>
      <c r="B834">
        <v>28</v>
      </c>
      <c r="C834">
        <v>1999</v>
      </c>
      <c r="D834">
        <v>1</v>
      </c>
      <c r="E834">
        <v>1995</v>
      </c>
      <c r="F834">
        <v>2000</v>
      </c>
      <c r="G834">
        <v>0.1</v>
      </c>
      <c r="H834">
        <v>475.7836128893926</v>
      </c>
      <c r="I834">
        <v>0</v>
      </c>
      <c r="J834">
        <v>0</v>
      </c>
      <c r="K834">
        <v>1</v>
      </c>
      <c r="L834">
        <v>323.98598401515778</v>
      </c>
      <c r="M834">
        <v>149.11585535163178</v>
      </c>
      <c r="N834">
        <v>349.09293268366508</v>
      </c>
      <c r="O834">
        <v>1</v>
      </c>
      <c r="P834">
        <v>1</v>
      </c>
      <c r="Q834">
        <v>1</v>
      </c>
      <c r="R834">
        <v>1</v>
      </c>
      <c r="S834">
        <v>1</v>
      </c>
      <c r="T834">
        <v>0</v>
      </c>
      <c r="U834">
        <v>0</v>
      </c>
      <c r="V834">
        <v>1</v>
      </c>
      <c r="W834">
        <v>-1</v>
      </c>
      <c r="AA834">
        <v>1</v>
      </c>
      <c r="AC834">
        <v>0</v>
      </c>
      <c r="AD834">
        <v>0</v>
      </c>
      <c r="AE834">
        <v>1</v>
      </c>
      <c r="AF834">
        <v>0</v>
      </c>
      <c r="AG834">
        <v>1</v>
      </c>
      <c r="AH834">
        <v>222</v>
      </c>
      <c r="AI834">
        <v>1.85</v>
      </c>
      <c r="AJ834">
        <v>5</v>
      </c>
    </row>
    <row r="835" spans="1:36" x14ac:dyDescent="0.2">
      <c r="A835" t="str">
        <f>+VLOOKUP(B835,studies!$A$2:$C$102,3)</f>
        <v>Tol (1999)</v>
      </c>
      <c r="B835">
        <v>28</v>
      </c>
      <c r="C835">
        <v>1999</v>
      </c>
      <c r="D835">
        <v>1</v>
      </c>
      <c r="E835">
        <v>1995</v>
      </c>
      <c r="F835">
        <v>2000</v>
      </c>
      <c r="G835">
        <v>0.2</v>
      </c>
      <c r="H835">
        <v>65.703451303773264</v>
      </c>
      <c r="I835">
        <v>0</v>
      </c>
      <c r="J835">
        <v>0</v>
      </c>
      <c r="K835">
        <v>1</v>
      </c>
      <c r="L835">
        <v>49.843997540793502</v>
      </c>
      <c r="M835">
        <v>20.806863537436996</v>
      </c>
      <c r="N835">
        <v>55.484969433165311</v>
      </c>
      <c r="O835">
        <v>1</v>
      </c>
      <c r="P835">
        <v>1</v>
      </c>
      <c r="Q835">
        <v>1</v>
      </c>
      <c r="R835">
        <v>1</v>
      </c>
      <c r="S835">
        <v>1</v>
      </c>
      <c r="T835">
        <v>0</v>
      </c>
      <c r="U835">
        <v>0</v>
      </c>
      <c r="V835">
        <v>5</v>
      </c>
      <c r="W835">
        <v>3</v>
      </c>
      <c r="AA835">
        <v>1</v>
      </c>
      <c r="AC835">
        <v>0</v>
      </c>
      <c r="AD835">
        <v>0</v>
      </c>
      <c r="AE835">
        <v>1</v>
      </c>
      <c r="AF835">
        <v>0</v>
      </c>
      <c r="AG835">
        <v>1</v>
      </c>
      <c r="AH835">
        <v>222</v>
      </c>
      <c r="AI835">
        <v>1.85</v>
      </c>
      <c r="AJ835">
        <v>5</v>
      </c>
    </row>
    <row r="836" spans="1:36" x14ac:dyDescent="0.2">
      <c r="A836" t="str">
        <f>+VLOOKUP(B836,studies!$A$2:$C$102,3)</f>
        <v>Tol (1999)</v>
      </c>
      <c r="B836">
        <v>28</v>
      </c>
      <c r="C836">
        <v>1999</v>
      </c>
      <c r="D836">
        <v>1</v>
      </c>
      <c r="E836">
        <v>1995</v>
      </c>
      <c r="F836">
        <v>2000</v>
      </c>
      <c r="G836">
        <v>0.1</v>
      </c>
      <c r="H836">
        <v>13.593817511125502</v>
      </c>
      <c r="I836">
        <v>0</v>
      </c>
      <c r="J836">
        <v>0</v>
      </c>
      <c r="K836">
        <v>1</v>
      </c>
      <c r="L836">
        <v>11.328181259271251</v>
      </c>
      <c r="M836">
        <v>4.6237474527637756</v>
      </c>
      <c r="N836">
        <v>12.715305495100385</v>
      </c>
      <c r="O836">
        <v>1</v>
      </c>
      <c r="P836">
        <v>1</v>
      </c>
      <c r="Q836">
        <v>1</v>
      </c>
      <c r="R836">
        <v>1</v>
      </c>
      <c r="S836">
        <v>1</v>
      </c>
      <c r="T836">
        <v>0</v>
      </c>
      <c r="U836">
        <v>0</v>
      </c>
      <c r="V836">
        <v>10</v>
      </c>
      <c r="W836">
        <v>8</v>
      </c>
      <c r="AA836">
        <v>1</v>
      </c>
      <c r="AC836">
        <v>0</v>
      </c>
      <c r="AD836">
        <v>0</v>
      </c>
      <c r="AE836">
        <v>1</v>
      </c>
      <c r="AF836">
        <v>0</v>
      </c>
      <c r="AG836">
        <v>1</v>
      </c>
      <c r="AH836">
        <v>222</v>
      </c>
      <c r="AI836">
        <v>1.85</v>
      </c>
      <c r="AJ836">
        <v>5</v>
      </c>
    </row>
    <row r="837" spans="1:36" x14ac:dyDescent="0.2">
      <c r="A837" t="str">
        <f>+VLOOKUP(B837,studies!$A$2:$C$102,3)</f>
        <v>Tol &amp; Downing (2001)</v>
      </c>
      <c r="B837">
        <v>30</v>
      </c>
      <c r="C837">
        <v>2001</v>
      </c>
      <c r="D837">
        <v>0</v>
      </c>
      <c r="E837">
        <v>1995</v>
      </c>
      <c r="F837">
        <v>1995</v>
      </c>
      <c r="G837">
        <v>1</v>
      </c>
      <c r="H837">
        <v>10.562965955827231</v>
      </c>
      <c r="I837">
        <v>0</v>
      </c>
      <c r="J837">
        <v>0</v>
      </c>
      <c r="K837">
        <v>1</v>
      </c>
      <c r="L837">
        <v>8.4503727646617861</v>
      </c>
      <c r="M837">
        <v>8.4503727646617861</v>
      </c>
      <c r="N837">
        <v>8.4503727646617861</v>
      </c>
      <c r="O837">
        <v>0</v>
      </c>
      <c r="P837">
        <v>1</v>
      </c>
      <c r="Q837">
        <v>1</v>
      </c>
      <c r="R837">
        <v>1</v>
      </c>
      <c r="S837">
        <v>1</v>
      </c>
      <c r="T837">
        <v>0</v>
      </c>
      <c r="U837">
        <v>0</v>
      </c>
      <c r="V837">
        <v>3</v>
      </c>
      <c r="W837">
        <v>1</v>
      </c>
      <c r="AA837">
        <v>0</v>
      </c>
      <c r="AC837">
        <v>0</v>
      </c>
      <c r="AD837">
        <v>0</v>
      </c>
      <c r="AE837">
        <v>1</v>
      </c>
      <c r="AF837">
        <v>0</v>
      </c>
      <c r="AG837">
        <v>1</v>
      </c>
      <c r="AH837">
        <v>37</v>
      </c>
      <c r="AI837">
        <v>0</v>
      </c>
      <c r="AJ837">
        <v>1</v>
      </c>
    </row>
    <row r="838" spans="1:36" x14ac:dyDescent="0.2">
      <c r="A838" t="str">
        <f>+VLOOKUP(B838,studies!$A$2:$C$102,3)</f>
        <v>Clarkson &amp; Deyes (2002)</v>
      </c>
      <c r="B838">
        <v>31</v>
      </c>
      <c r="C838">
        <v>2002</v>
      </c>
      <c r="D838">
        <v>0</v>
      </c>
      <c r="E838">
        <v>2000</v>
      </c>
      <c r="F838">
        <v>2000</v>
      </c>
      <c r="G838">
        <v>1</v>
      </c>
      <c r="H838">
        <v>203.52044672144405</v>
      </c>
      <c r="I838">
        <v>0</v>
      </c>
      <c r="J838">
        <v>1</v>
      </c>
      <c r="K838">
        <v>0</v>
      </c>
      <c r="M838">
        <v>51.662725240941604</v>
      </c>
      <c r="N838">
        <v>103.83696261298164</v>
      </c>
      <c r="O838">
        <v>0</v>
      </c>
      <c r="P838">
        <v>1</v>
      </c>
      <c r="Q838">
        <v>0</v>
      </c>
      <c r="R838">
        <v>1</v>
      </c>
      <c r="S838">
        <v>1</v>
      </c>
      <c r="T838">
        <v>0</v>
      </c>
      <c r="U838">
        <v>0</v>
      </c>
      <c r="V838">
        <v>3</v>
      </c>
      <c r="W838">
        <v>1</v>
      </c>
      <c r="AA838">
        <v>1</v>
      </c>
      <c r="AC838">
        <v>0</v>
      </c>
      <c r="AD838">
        <v>0</v>
      </c>
      <c r="AE838">
        <v>0</v>
      </c>
      <c r="AF838">
        <v>0</v>
      </c>
      <c r="AG838">
        <v>1</v>
      </c>
      <c r="AH838">
        <v>189</v>
      </c>
      <c r="AI838">
        <v>0</v>
      </c>
      <c r="AJ838">
        <v>1</v>
      </c>
    </row>
    <row r="839" spans="1:36" x14ac:dyDescent="0.2">
      <c r="A839" t="str">
        <f>+VLOOKUP(B839,studies!$A$2:$C$102,3)</f>
        <v>Pearce (2003)</v>
      </c>
      <c r="B839">
        <v>33</v>
      </c>
      <c r="C839">
        <v>2003</v>
      </c>
      <c r="D839">
        <v>1</v>
      </c>
      <c r="E839">
        <v>2000</v>
      </c>
      <c r="F839">
        <v>2000</v>
      </c>
      <c r="G839">
        <v>1</v>
      </c>
      <c r="H839">
        <v>51.799128475901185</v>
      </c>
      <c r="I839">
        <v>0</v>
      </c>
      <c r="J839">
        <v>1</v>
      </c>
      <c r="K839">
        <v>0</v>
      </c>
      <c r="L839" t="s">
        <v>238</v>
      </c>
      <c r="M839">
        <v>19.607965025439881</v>
      </c>
      <c r="N839">
        <v>19.607965025439885</v>
      </c>
      <c r="O839">
        <v>0</v>
      </c>
      <c r="P839">
        <v>1</v>
      </c>
      <c r="Q839">
        <v>0</v>
      </c>
      <c r="R839">
        <v>1</v>
      </c>
      <c r="S839">
        <v>0</v>
      </c>
      <c r="T839">
        <v>1</v>
      </c>
      <c r="U839">
        <v>0</v>
      </c>
      <c r="V839">
        <v>3</v>
      </c>
      <c r="W839">
        <v>1</v>
      </c>
      <c r="AA839">
        <v>1</v>
      </c>
      <c r="AC839">
        <v>0</v>
      </c>
      <c r="AD839">
        <v>0</v>
      </c>
      <c r="AE839">
        <v>0</v>
      </c>
      <c r="AF839">
        <v>0</v>
      </c>
      <c r="AG839">
        <v>1</v>
      </c>
      <c r="AH839">
        <v>297</v>
      </c>
      <c r="AI839">
        <v>0.46</v>
      </c>
      <c r="AJ839">
        <v>1</v>
      </c>
    </row>
    <row r="840" spans="1:36" x14ac:dyDescent="0.2">
      <c r="A840" t="str">
        <f>+VLOOKUP(B840,studies!$A$2:$C$102,3)</f>
        <v>Mendelsohn (2004)</v>
      </c>
      <c r="B840">
        <v>39</v>
      </c>
      <c r="C840">
        <v>2004</v>
      </c>
      <c r="D840">
        <v>0</v>
      </c>
      <c r="E840">
        <v>1990</v>
      </c>
      <c r="F840">
        <v>2000</v>
      </c>
      <c r="G840">
        <v>1</v>
      </c>
      <c r="H840">
        <v>3.9626966118889193</v>
      </c>
      <c r="I840">
        <v>0</v>
      </c>
      <c r="J840">
        <v>1</v>
      </c>
      <c r="K840">
        <v>0</v>
      </c>
      <c r="L840">
        <v>0.66044943531481981</v>
      </c>
      <c r="M840">
        <v>0.67392799521920388</v>
      </c>
      <c r="N840">
        <v>0.67392799521920388</v>
      </c>
      <c r="O840">
        <v>1</v>
      </c>
      <c r="P840">
        <v>0</v>
      </c>
      <c r="Q840">
        <v>0</v>
      </c>
      <c r="R840">
        <v>0</v>
      </c>
      <c r="S840">
        <v>0</v>
      </c>
      <c r="T840">
        <v>0</v>
      </c>
      <c r="U840">
        <v>0</v>
      </c>
      <c r="V840">
        <v>5</v>
      </c>
      <c r="W840">
        <v>3</v>
      </c>
      <c r="AA840">
        <v>0</v>
      </c>
      <c r="AC840">
        <v>0</v>
      </c>
      <c r="AD840">
        <v>0</v>
      </c>
      <c r="AE840">
        <v>0</v>
      </c>
      <c r="AF840">
        <v>0</v>
      </c>
      <c r="AG840">
        <v>1</v>
      </c>
      <c r="AH840">
        <v>336</v>
      </c>
      <c r="AI840">
        <v>0</v>
      </c>
      <c r="AJ840">
        <v>1</v>
      </c>
    </row>
    <row r="841" spans="1:36" x14ac:dyDescent="0.2">
      <c r="A841" t="str">
        <f>+VLOOKUP(B841,studies!$A$2:$C$102,3)</f>
        <v>Hope (2005b)</v>
      </c>
      <c r="B841">
        <v>42</v>
      </c>
      <c r="C841">
        <v>2005</v>
      </c>
      <c r="D841">
        <v>0</v>
      </c>
      <c r="E841">
        <v>2000</v>
      </c>
      <c r="F841">
        <v>2000</v>
      </c>
      <c r="G841">
        <v>0.16666666666666666</v>
      </c>
      <c r="H841">
        <v>86.220484817951657</v>
      </c>
      <c r="I841">
        <v>1</v>
      </c>
      <c r="J841">
        <v>0</v>
      </c>
      <c r="K841">
        <v>0</v>
      </c>
      <c r="L841" t="s">
        <v>238</v>
      </c>
      <c r="M841">
        <v>33.759800652496494</v>
      </c>
      <c r="N841">
        <v>82.864965237945952</v>
      </c>
      <c r="O841">
        <v>0</v>
      </c>
      <c r="P841">
        <v>1</v>
      </c>
      <c r="Q841">
        <v>0</v>
      </c>
      <c r="R841">
        <v>1</v>
      </c>
      <c r="S841">
        <v>0</v>
      </c>
      <c r="T841">
        <v>0</v>
      </c>
      <c r="U841">
        <v>1</v>
      </c>
      <c r="W841">
        <v>3</v>
      </c>
      <c r="AA841">
        <v>1</v>
      </c>
      <c r="AC841">
        <v>1</v>
      </c>
      <c r="AD841">
        <v>0</v>
      </c>
      <c r="AE841">
        <v>0</v>
      </c>
      <c r="AF841">
        <v>0</v>
      </c>
      <c r="AG841">
        <v>1</v>
      </c>
      <c r="AH841">
        <v>4</v>
      </c>
      <c r="AI841">
        <v>0</v>
      </c>
      <c r="AJ841">
        <v>6</v>
      </c>
    </row>
    <row r="842" spans="1:36" x14ac:dyDescent="0.2">
      <c r="A842" t="str">
        <f>+VLOOKUP(B842,studies!$A$2:$C$102,3)</f>
        <v>Hope (2005b)</v>
      </c>
      <c r="B842">
        <v>42</v>
      </c>
      <c r="C842">
        <v>2005</v>
      </c>
      <c r="D842">
        <v>0</v>
      </c>
      <c r="E842">
        <v>2000</v>
      </c>
      <c r="F842">
        <v>2000</v>
      </c>
      <c r="G842">
        <v>0.16666666666666666</v>
      </c>
      <c r="H842">
        <v>70.179464386704836</v>
      </c>
      <c r="I842">
        <v>1</v>
      </c>
      <c r="J842">
        <v>0</v>
      </c>
      <c r="K842">
        <v>0</v>
      </c>
      <c r="L842" t="s">
        <v>238</v>
      </c>
      <c r="M842">
        <v>27.621655079315314</v>
      </c>
      <c r="N842">
        <v>70.588674091583584</v>
      </c>
      <c r="O842">
        <v>0</v>
      </c>
      <c r="P842">
        <v>1</v>
      </c>
      <c r="Q842">
        <v>0</v>
      </c>
      <c r="R842">
        <v>1</v>
      </c>
      <c r="S842">
        <v>0</v>
      </c>
      <c r="T842">
        <v>0</v>
      </c>
      <c r="U842">
        <v>1</v>
      </c>
      <c r="W842">
        <v>3</v>
      </c>
      <c r="AA842">
        <v>1</v>
      </c>
      <c r="AC842">
        <v>1</v>
      </c>
      <c r="AD842">
        <v>0</v>
      </c>
      <c r="AE842">
        <v>0</v>
      </c>
      <c r="AF842">
        <v>0</v>
      </c>
      <c r="AG842">
        <v>1</v>
      </c>
      <c r="AH842">
        <v>4</v>
      </c>
      <c r="AI842">
        <v>0</v>
      </c>
      <c r="AJ842">
        <v>6</v>
      </c>
    </row>
    <row r="843" spans="1:36" x14ac:dyDescent="0.2">
      <c r="A843" t="str">
        <f>+VLOOKUP(B843,studies!$A$2:$C$102,3)</f>
        <v>Hope (2005b)</v>
      </c>
      <c r="B843">
        <v>42</v>
      </c>
      <c r="C843">
        <v>2005</v>
      </c>
      <c r="D843">
        <v>0</v>
      </c>
      <c r="E843">
        <v>2000</v>
      </c>
      <c r="F843">
        <v>2000</v>
      </c>
      <c r="G843">
        <v>0.16666666666666666</v>
      </c>
      <c r="H843">
        <v>62.158954171081426</v>
      </c>
      <c r="I843">
        <v>1</v>
      </c>
      <c r="J843">
        <v>0</v>
      </c>
      <c r="K843">
        <v>0</v>
      </c>
      <c r="L843" t="s">
        <v>238</v>
      </c>
      <c r="M843">
        <v>23.529558030527859</v>
      </c>
      <c r="N843">
        <v>62.404479994008675</v>
      </c>
      <c r="O843">
        <v>0</v>
      </c>
      <c r="P843">
        <v>1</v>
      </c>
      <c r="Q843">
        <v>0</v>
      </c>
      <c r="R843">
        <v>1</v>
      </c>
      <c r="S843">
        <v>0</v>
      </c>
      <c r="T843">
        <v>0</v>
      </c>
      <c r="U843">
        <v>1</v>
      </c>
      <c r="W843">
        <v>3</v>
      </c>
      <c r="AA843">
        <v>0</v>
      </c>
      <c r="AC843">
        <v>1</v>
      </c>
      <c r="AD843">
        <v>0</v>
      </c>
      <c r="AE843">
        <v>0</v>
      </c>
      <c r="AF843">
        <v>0</v>
      </c>
      <c r="AG843">
        <v>1</v>
      </c>
      <c r="AH843">
        <v>4</v>
      </c>
      <c r="AI843">
        <v>0</v>
      </c>
      <c r="AJ843">
        <v>6</v>
      </c>
    </row>
    <row r="844" spans="1:36" x14ac:dyDescent="0.2">
      <c r="A844" t="str">
        <f>+VLOOKUP(B844,studies!$A$2:$C$102,3)</f>
        <v>Hope (2005b)</v>
      </c>
      <c r="B844">
        <v>42</v>
      </c>
      <c r="C844">
        <v>2005</v>
      </c>
      <c r="D844">
        <v>0</v>
      </c>
      <c r="E844">
        <v>2000</v>
      </c>
      <c r="F844">
        <v>2000</v>
      </c>
      <c r="G844">
        <v>0.16666666666666666</v>
      </c>
      <c r="H844">
        <v>92.23586747966921</v>
      </c>
      <c r="I844">
        <v>1</v>
      </c>
      <c r="J844">
        <v>0</v>
      </c>
      <c r="K844">
        <v>0</v>
      </c>
      <c r="L844" t="s">
        <v>238</v>
      </c>
      <c r="M844">
        <v>36.82887343908709</v>
      </c>
      <c r="N844">
        <v>73.65774687817418</v>
      </c>
      <c r="O844">
        <v>0</v>
      </c>
      <c r="P844">
        <v>1</v>
      </c>
      <c r="Q844">
        <v>0</v>
      </c>
      <c r="R844">
        <v>1</v>
      </c>
      <c r="S844">
        <v>0</v>
      </c>
      <c r="T844">
        <v>0</v>
      </c>
      <c r="U844">
        <v>1</v>
      </c>
      <c r="W844">
        <v>3</v>
      </c>
      <c r="AA844">
        <v>1</v>
      </c>
      <c r="AC844">
        <v>1</v>
      </c>
      <c r="AD844">
        <v>0</v>
      </c>
      <c r="AE844">
        <v>0</v>
      </c>
      <c r="AF844">
        <v>0</v>
      </c>
      <c r="AG844">
        <v>1</v>
      </c>
      <c r="AH844">
        <v>4</v>
      </c>
      <c r="AI844">
        <v>0</v>
      </c>
      <c r="AJ844">
        <v>6</v>
      </c>
    </row>
    <row r="845" spans="1:36" x14ac:dyDescent="0.2">
      <c r="A845" t="str">
        <f>+VLOOKUP(B845,studies!$A$2:$C$102,3)</f>
        <v>Hope (2005b)</v>
      </c>
      <c r="B845">
        <v>42</v>
      </c>
      <c r="C845">
        <v>2005</v>
      </c>
      <c r="D845">
        <v>0</v>
      </c>
      <c r="E845">
        <v>2000</v>
      </c>
      <c r="F845">
        <v>2000</v>
      </c>
      <c r="G845">
        <v>0.16666666666666666</v>
      </c>
      <c r="H845">
        <v>74.189719494516538</v>
      </c>
      <c r="I845">
        <v>1</v>
      </c>
      <c r="J845">
        <v>0</v>
      </c>
      <c r="K845">
        <v>0</v>
      </c>
      <c r="L845" t="s">
        <v>238</v>
      </c>
      <c r="M845">
        <v>28.64467934151218</v>
      </c>
      <c r="N845">
        <v>68.542625567189845</v>
      </c>
      <c r="O845">
        <v>0</v>
      </c>
      <c r="P845">
        <v>1</v>
      </c>
      <c r="Q845">
        <v>0</v>
      </c>
      <c r="R845">
        <v>1</v>
      </c>
      <c r="S845">
        <v>0</v>
      </c>
      <c r="T845">
        <v>0</v>
      </c>
      <c r="U845">
        <v>1</v>
      </c>
      <c r="W845">
        <v>3</v>
      </c>
      <c r="AA845">
        <v>1</v>
      </c>
      <c r="AC845">
        <v>1</v>
      </c>
      <c r="AD845">
        <v>0</v>
      </c>
      <c r="AE845">
        <v>0</v>
      </c>
      <c r="AF845">
        <v>0</v>
      </c>
      <c r="AG845">
        <v>1</v>
      </c>
      <c r="AH845">
        <v>4</v>
      </c>
      <c r="AI845">
        <v>0</v>
      </c>
      <c r="AJ845">
        <v>6</v>
      </c>
    </row>
    <row r="846" spans="1:36" x14ac:dyDescent="0.2">
      <c r="A846" t="str">
        <f>+VLOOKUP(B846,studies!$A$2:$C$102,3)</f>
        <v>Hope (2005b)</v>
      </c>
      <c r="B846">
        <v>42</v>
      </c>
      <c r="C846">
        <v>2005</v>
      </c>
      <c r="D846">
        <v>0</v>
      </c>
      <c r="E846">
        <v>2000</v>
      </c>
      <c r="F846">
        <v>2000</v>
      </c>
      <c r="G846">
        <v>0.16666666666666666</v>
      </c>
      <c r="H846">
        <v>64.164081724987284</v>
      </c>
      <c r="I846">
        <v>1</v>
      </c>
      <c r="J846">
        <v>0</v>
      </c>
      <c r="K846">
        <v>0</v>
      </c>
      <c r="L846" t="s">
        <v>238</v>
      </c>
      <c r="M846">
        <v>24.552582292724722</v>
      </c>
      <c r="N846">
        <v>59.335407207418086</v>
      </c>
      <c r="O846">
        <v>0</v>
      </c>
      <c r="P846">
        <v>1</v>
      </c>
      <c r="Q846">
        <v>0</v>
      </c>
      <c r="R846">
        <v>1</v>
      </c>
      <c r="S846">
        <v>0</v>
      </c>
      <c r="T846">
        <v>0</v>
      </c>
      <c r="U846">
        <v>1</v>
      </c>
      <c r="W846">
        <v>3</v>
      </c>
      <c r="AA846">
        <v>0</v>
      </c>
      <c r="AC846">
        <v>1</v>
      </c>
      <c r="AD846">
        <v>0</v>
      </c>
      <c r="AE846">
        <v>0</v>
      </c>
      <c r="AF846">
        <v>0</v>
      </c>
      <c r="AG846">
        <v>1</v>
      </c>
      <c r="AH846">
        <v>4</v>
      </c>
      <c r="AI846">
        <v>0</v>
      </c>
      <c r="AJ846">
        <v>6</v>
      </c>
    </row>
    <row r="847" spans="1:36" x14ac:dyDescent="0.2">
      <c r="A847" t="str">
        <f>+VLOOKUP(B847,studies!$A$2:$C$102,3)</f>
        <v>Hope (2005a)</v>
      </c>
      <c r="B847">
        <v>43</v>
      </c>
      <c r="C847">
        <v>2005</v>
      </c>
      <c r="D847">
        <v>1</v>
      </c>
      <c r="E847">
        <v>2000</v>
      </c>
      <c r="F847">
        <v>2000</v>
      </c>
      <c r="G847">
        <v>1</v>
      </c>
      <c r="H847">
        <v>42.107678632022903</v>
      </c>
      <c r="I847">
        <v>1</v>
      </c>
      <c r="J847">
        <v>0</v>
      </c>
      <c r="K847">
        <v>0</v>
      </c>
      <c r="L847" t="s">
        <v>238</v>
      </c>
      <c r="M847">
        <v>11.2532668841655</v>
      </c>
      <c r="N847">
        <v>27.621655079315314</v>
      </c>
      <c r="O847">
        <v>0</v>
      </c>
      <c r="P847">
        <v>1</v>
      </c>
      <c r="Q847">
        <v>0</v>
      </c>
      <c r="R847">
        <v>1</v>
      </c>
      <c r="S847">
        <v>0</v>
      </c>
      <c r="T847">
        <v>0</v>
      </c>
      <c r="U847">
        <v>1</v>
      </c>
      <c r="W847">
        <v>3</v>
      </c>
      <c r="AA847">
        <v>0</v>
      </c>
      <c r="AC847">
        <v>1</v>
      </c>
      <c r="AD847">
        <v>0</v>
      </c>
      <c r="AE847">
        <v>0</v>
      </c>
      <c r="AF847">
        <v>0</v>
      </c>
      <c r="AG847">
        <v>1</v>
      </c>
      <c r="AH847">
        <v>14</v>
      </c>
      <c r="AI847">
        <v>1.56</v>
      </c>
      <c r="AJ847">
        <v>1</v>
      </c>
    </row>
    <row r="848" spans="1:36" x14ac:dyDescent="0.2">
      <c r="A848" t="str">
        <f>+VLOOKUP(B848,studies!$A$2:$C$102,3)</f>
        <v>Hope (2006)</v>
      </c>
      <c r="B848">
        <v>46</v>
      </c>
      <c r="C848">
        <v>2006</v>
      </c>
      <c r="D848">
        <v>1</v>
      </c>
      <c r="E848">
        <v>2000</v>
      </c>
      <c r="F848">
        <v>2000</v>
      </c>
      <c r="G848">
        <v>1</v>
      </c>
      <c r="H848">
        <v>38.097423524211194</v>
      </c>
      <c r="I848">
        <v>1</v>
      </c>
      <c r="J848">
        <v>0</v>
      </c>
      <c r="K848">
        <v>0</v>
      </c>
      <c r="L848" t="s">
        <v>238</v>
      </c>
      <c r="M848">
        <v>15.345363932952951</v>
      </c>
      <c r="N848">
        <v>32.736776390299632</v>
      </c>
      <c r="O848">
        <v>0</v>
      </c>
      <c r="P848">
        <v>1</v>
      </c>
      <c r="Q848">
        <v>0</v>
      </c>
      <c r="R848">
        <v>1</v>
      </c>
      <c r="S848">
        <v>0</v>
      </c>
      <c r="T848">
        <v>0</v>
      </c>
      <c r="U848">
        <v>1</v>
      </c>
      <c r="W848">
        <v>3</v>
      </c>
      <c r="AA848">
        <v>0</v>
      </c>
      <c r="AC848">
        <v>1</v>
      </c>
      <c r="AD848">
        <v>0</v>
      </c>
      <c r="AE848">
        <v>0</v>
      </c>
      <c r="AF848">
        <v>0</v>
      </c>
      <c r="AG848">
        <v>1</v>
      </c>
      <c r="AH848">
        <v>307</v>
      </c>
      <c r="AI848">
        <v>0</v>
      </c>
      <c r="AJ848">
        <v>1</v>
      </c>
    </row>
    <row r="849" spans="1:36" x14ac:dyDescent="0.2">
      <c r="A849" t="str">
        <f>+VLOOKUP(B849,studies!$A$2:$C$102,3)</f>
        <v>Wahba &amp; Hope (2006)</v>
      </c>
      <c r="B849">
        <v>48</v>
      </c>
      <c r="C849">
        <v>2006</v>
      </c>
      <c r="D849">
        <v>1</v>
      </c>
      <c r="E849">
        <v>2000</v>
      </c>
      <c r="F849">
        <v>2000</v>
      </c>
      <c r="G849">
        <v>0.5</v>
      </c>
      <c r="H849">
        <v>38.097423524211194</v>
      </c>
      <c r="I849">
        <v>1</v>
      </c>
      <c r="J849">
        <v>0</v>
      </c>
      <c r="K849">
        <v>0</v>
      </c>
      <c r="L849" t="s">
        <v>238</v>
      </c>
      <c r="M849">
        <v>14.32233967075609</v>
      </c>
      <c r="N849">
        <v>30.690727865905902</v>
      </c>
      <c r="O849">
        <v>0</v>
      </c>
      <c r="P849">
        <v>1</v>
      </c>
      <c r="Q849">
        <v>0</v>
      </c>
      <c r="R849">
        <v>1</v>
      </c>
      <c r="S849">
        <v>0</v>
      </c>
      <c r="T849">
        <v>0</v>
      </c>
      <c r="U849">
        <v>1</v>
      </c>
      <c r="W849">
        <v>3</v>
      </c>
      <c r="X849">
        <v>1</v>
      </c>
      <c r="AA849">
        <v>0</v>
      </c>
      <c r="AC849">
        <v>1</v>
      </c>
      <c r="AD849">
        <v>0</v>
      </c>
      <c r="AE849">
        <v>0</v>
      </c>
      <c r="AF849">
        <v>0</v>
      </c>
      <c r="AG849">
        <v>1</v>
      </c>
      <c r="AH849">
        <v>11</v>
      </c>
      <c r="AI849">
        <v>1.6</v>
      </c>
      <c r="AJ849">
        <v>2</v>
      </c>
    </row>
    <row r="850" spans="1:36" x14ac:dyDescent="0.2">
      <c r="A850" t="str">
        <f>+VLOOKUP(B850,studies!$A$2:$C$102,3)</f>
        <v>Wahba &amp; Hope (2006)</v>
      </c>
      <c r="B850">
        <v>48</v>
      </c>
      <c r="C850">
        <v>2006</v>
      </c>
      <c r="D850">
        <v>1</v>
      </c>
      <c r="E850">
        <v>2000</v>
      </c>
      <c r="F850">
        <v>2000</v>
      </c>
      <c r="G850">
        <v>0.5</v>
      </c>
      <c r="H850">
        <v>28.071785754681933</v>
      </c>
      <c r="I850">
        <v>1</v>
      </c>
      <c r="J850">
        <v>0</v>
      </c>
      <c r="K850">
        <v>0</v>
      </c>
      <c r="L850" t="s">
        <v>238</v>
      </c>
      <c r="M850">
        <v>11.2532668841655</v>
      </c>
      <c r="N850">
        <v>27.621655079315314</v>
      </c>
      <c r="O850">
        <v>0</v>
      </c>
      <c r="P850">
        <v>1</v>
      </c>
      <c r="Q850">
        <v>0</v>
      </c>
      <c r="R850">
        <v>1</v>
      </c>
      <c r="S850">
        <v>0</v>
      </c>
      <c r="T850">
        <v>0</v>
      </c>
      <c r="U850">
        <v>1</v>
      </c>
      <c r="W850">
        <v>3</v>
      </c>
      <c r="X850">
        <v>1</v>
      </c>
      <c r="AA850">
        <v>0</v>
      </c>
      <c r="AC850">
        <v>1</v>
      </c>
      <c r="AD850">
        <v>0</v>
      </c>
      <c r="AE850">
        <v>0</v>
      </c>
      <c r="AF850">
        <v>0</v>
      </c>
      <c r="AG850">
        <v>1</v>
      </c>
      <c r="AH850">
        <v>11</v>
      </c>
      <c r="AI850">
        <v>1.6</v>
      </c>
      <c r="AJ850">
        <v>2</v>
      </c>
    </row>
    <row r="851" spans="1:36" x14ac:dyDescent="0.2">
      <c r="A851" t="str">
        <f>+VLOOKUP(B851,studies!$A$2:$C$102,3)</f>
        <v>Hope (2008b)</v>
      </c>
      <c r="B851">
        <v>50</v>
      </c>
      <c r="C851">
        <v>2008</v>
      </c>
      <c r="D851">
        <v>1</v>
      </c>
      <c r="E851">
        <v>2000</v>
      </c>
      <c r="F851">
        <v>2000</v>
      </c>
      <c r="G851">
        <v>0.2</v>
      </c>
      <c r="H851">
        <v>28.071785754681933</v>
      </c>
      <c r="I851">
        <v>1</v>
      </c>
      <c r="J851">
        <v>0</v>
      </c>
      <c r="K851">
        <v>0</v>
      </c>
      <c r="L851" t="s">
        <v>238</v>
      </c>
      <c r="M851">
        <v>11.2532668841655</v>
      </c>
      <c r="N851">
        <v>27.621655079315314</v>
      </c>
      <c r="O851">
        <v>0</v>
      </c>
      <c r="P851">
        <v>1</v>
      </c>
      <c r="Q851">
        <v>0</v>
      </c>
      <c r="R851">
        <v>1</v>
      </c>
      <c r="S851">
        <v>0</v>
      </c>
      <c r="T851">
        <v>0</v>
      </c>
      <c r="U851">
        <v>1</v>
      </c>
      <c r="W851">
        <v>2</v>
      </c>
      <c r="X851">
        <v>1</v>
      </c>
      <c r="AA851">
        <v>0</v>
      </c>
      <c r="AB851">
        <v>3.9</v>
      </c>
      <c r="AC851">
        <v>1</v>
      </c>
      <c r="AD851">
        <v>0</v>
      </c>
      <c r="AE851">
        <v>0</v>
      </c>
      <c r="AF851">
        <v>0</v>
      </c>
      <c r="AG851">
        <v>1</v>
      </c>
      <c r="AH851">
        <v>30</v>
      </c>
      <c r="AI851">
        <v>0</v>
      </c>
      <c r="AJ851">
        <v>5</v>
      </c>
    </row>
    <row r="852" spans="1:36" x14ac:dyDescent="0.2">
      <c r="A852" t="str">
        <f>+VLOOKUP(B852,studies!$A$2:$C$102,3)</f>
        <v>Hope (2008b)</v>
      </c>
      <c r="B852">
        <v>50</v>
      </c>
      <c r="C852">
        <v>2008</v>
      </c>
      <c r="D852">
        <v>1</v>
      </c>
      <c r="E852">
        <v>2000</v>
      </c>
      <c r="F852">
        <v>2000</v>
      </c>
      <c r="G852">
        <v>0.2</v>
      </c>
      <c r="H852">
        <v>26.066658200776079</v>
      </c>
      <c r="I852">
        <v>1</v>
      </c>
      <c r="J852">
        <v>0</v>
      </c>
      <c r="K852">
        <v>0</v>
      </c>
      <c r="L852" t="s">
        <v>238</v>
      </c>
      <c r="M852">
        <v>10.230242621968634</v>
      </c>
      <c r="N852">
        <v>24.552582292724722</v>
      </c>
      <c r="O852">
        <v>0</v>
      </c>
      <c r="P852">
        <v>1</v>
      </c>
      <c r="Q852">
        <v>0</v>
      </c>
      <c r="R852">
        <v>1</v>
      </c>
      <c r="S852">
        <v>0</v>
      </c>
      <c r="T852">
        <v>0</v>
      </c>
      <c r="U852">
        <v>1</v>
      </c>
      <c r="W852">
        <v>2</v>
      </c>
      <c r="X852">
        <v>1</v>
      </c>
      <c r="AA852">
        <v>0</v>
      </c>
      <c r="AB852">
        <v>3.6</v>
      </c>
      <c r="AC852">
        <v>1</v>
      </c>
      <c r="AD852">
        <v>0</v>
      </c>
      <c r="AE852">
        <v>0</v>
      </c>
      <c r="AF852">
        <v>0</v>
      </c>
      <c r="AG852">
        <v>1</v>
      </c>
      <c r="AH852">
        <v>30</v>
      </c>
      <c r="AI852">
        <v>0</v>
      </c>
      <c r="AJ852">
        <v>5</v>
      </c>
    </row>
    <row r="853" spans="1:36" x14ac:dyDescent="0.2">
      <c r="A853" t="str">
        <f>+VLOOKUP(B853,studies!$A$2:$C$102,3)</f>
        <v>Hope (2008b)</v>
      </c>
      <c r="B853">
        <v>50</v>
      </c>
      <c r="C853">
        <v>2008</v>
      </c>
      <c r="D853">
        <v>1</v>
      </c>
      <c r="E853">
        <v>2000</v>
      </c>
      <c r="F853">
        <v>2000</v>
      </c>
      <c r="G853">
        <v>0.2</v>
      </c>
      <c r="H853">
        <v>26.066658200776079</v>
      </c>
      <c r="I853">
        <v>1</v>
      </c>
      <c r="J853">
        <v>0</v>
      </c>
      <c r="K853">
        <v>0</v>
      </c>
      <c r="L853" t="s">
        <v>238</v>
      </c>
      <c r="M853">
        <v>11.2532668841655</v>
      </c>
      <c r="N853">
        <v>30.690727865905902</v>
      </c>
      <c r="O853">
        <v>0</v>
      </c>
      <c r="P853">
        <v>1</v>
      </c>
      <c r="Q853">
        <v>0</v>
      </c>
      <c r="R853">
        <v>1</v>
      </c>
      <c r="S853">
        <v>0</v>
      </c>
      <c r="T853">
        <v>0</v>
      </c>
      <c r="U853">
        <v>1</v>
      </c>
      <c r="W853">
        <v>2</v>
      </c>
      <c r="X853">
        <v>1</v>
      </c>
      <c r="AA853">
        <v>0</v>
      </c>
      <c r="AB853">
        <v>3.3</v>
      </c>
      <c r="AC853">
        <v>1</v>
      </c>
      <c r="AD853">
        <v>0</v>
      </c>
      <c r="AE853">
        <v>0</v>
      </c>
      <c r="AF853">
        <v>0</v>
      </c>
      <c r="AG853">
        <v>1</v>
      </c>
      <c r="AH853">
        <v>30</v>
      </c>
      <c r="AI853">
        <v>0</v>
      </c>
      <c r="AJ853">
        <v>5</v>
      </c>
    </row>
    <row r="854" spans="1:36" x14ac:dyDescent="0.2">
      <c r="A854" t="str">
        <f>+VLOOKUP(B854,studies!$A$2:$C$102,3)</f>
        <v>Hope (2008b)</v>
      </c>
      <c r="B854">
        <v>50</v>
      </c>
      <c r="C854">
        <v>2008</v>
      </c>
      <c r="D854">
        <v>1</v>
      </c>
      <c r="E854">
        <v>2000</v>
      </c>
      <c r="F854">
        <v>2000</v>
      </c>
      <c r="G854">
        <v>0.2</v>
      </c>
      <c r="H854">
        <v>26.066658200776079</v>
      </c>
      <c r="I854">
        <v>1</v>
      </c>
      <c r="J854">
        <v>0</v>
      </c>
      <c r="K854">
        <v>0</v>
      </c>
      <c r="L854" t="s">
        <v>238</v>
      </c>
      <c r="M854">
        <v>11.2532668841655</v>
      </c>
      <c r="N854">
        <v>24.552582292724722</v>
      </c>
      <c r="O854">
        <v>0</v>
      </c>
      <c r="P854">
        <v>1</v>
      </c>
      <c r="Q854">
        <v>0</v>
      </c>
      <c r="R854">
        <v>1</v>
      </c>
      <c r="S854">
        <v>0</v>
      </c>
      <c r="T854">
        <v>0</v>
      </c>
      <c r="U854">
        <v>1</v>
      </c>
      <c r="W854">
        <v>2</v>
      </c>
      <c r="X854">
        <v>1</v>
      </c>
      <c r="AA854">
        <v>0</v>
      </c>
      <c r="AB854">
        <v>3.1</v>
      </c>
      <c r="AC854">
        <v>1</v>
      </c>
      <c r="AD854">
        <v>0</v>
      </c>
      <c r="AE854">
        <v>0</v>
      </c>
      <c r="AF854">
        <v>0</v>
      </c>
      <c r="AG854">
        <v>1</v>
      </c>
      <c r="AH854">
        <v>30</v>
      </c>
      <c r="AI854">
        <v>0</v>
      </c>
      <c r="AJ854">
        <v>5</v>
      </c>
    </row>
    <row r="855" spans="1:36" x14ac:dyDescent="0.2">
      <c r="A855" t="str">
        <f>+VLOOKUP(B855,studies!$A$2:$C$102,3)</f>
        <v>Hope (2008b)</v>
      </c>
      <c r="B855">
        <v>50</v>
      </c>
      <c r="C855">
        <v>2008</v>
      </c>
      <c r="D855">
        <v>1</v>
      </c>
      <c r="E855">
        <v>2000</v>
      </c>
      <c r="F855">
        <v>2000</v>
      </c>
      <c r="G855">
        <v>0.2</v>
      </c>
      <c r="H855">
        <v>24.061530646870228</v>
      </c>
      <c r="I855">
        <v>1</v>
      </c>
      <c r="J855">
        <v>0</v>
      </c>
      <c r="K855">
        <v>0</v>
      </c>
      <c r="L855" t="s">
        <v>238</v>
      </c>
      <c r="M855">
        <v>10.230242621968634</v>
      </c>
      <c r="N855">
        <v>23.529558030527859</v>
      </c>
      <c r="O855">
        <v>0</v>
      </c>
      <c r="P855">
        <v>1</v>
      </c>
      <c r="Q855">
        <v>0</v>
      </c>
      <c r="R855">
        <v>1</v>
      </c>
      <c r="S855">
        <v>0</v>
      </c>
      <c r="T855">
        <v>0</v>
      </c>
      <c r="U855">
        <v>1</v>
      </c>
      <c r="W855">
        <v>2</v>
      </c>
      <c r="X855">
        <v>1</v>
      </c>
      <c r="AA855">
        <v>0</v>
      </c>
      <c r="AB855">
        <v>3.3</v>
      </c>
      <c r="AC855">
        <v>1</v>
      </c>
      <c r="AD855">
        <v>0</v>
      </c>
      <c r="AE855">
        <v>0</v>
      </c>
      <c r="AF855">
        <v>1</v>
      </c>
      <c r="AG855">
        <v>1</v>
      </c>
      <c r="AH855">
        <v>30</v>
      </c>
      <c r="AI855">
        <v>0</v>
      </c>
      <c r="AJ855">
        <v>5</v>
      </c>
    </row>
    <row r="856" spans="1:36" x14ac:dyDescent="0.2">
      <c r="A856" t="str">
        <f>+VLOOKUP(B856,studies!$A$2:$C$102,3)</f>
        <v>Hope (2008a)</v>
      </c>
      <c r="B856">
        <v>51</v>
      </c>
      <c r="C856">
        <v>2008</v>
      </c>
      <c r="D856">
        <v>1</v>
      </c>
      <c r="E856">
        <v>2000</v>
      </c>
      <c r="F856">
        <v>2000</v>
      </c>
      <c r="G856">
        <v>0.1</v>
      </c>
      <c r="H856">
        <v>32.082040862493642</v>
      </c>
      <c r="I856">
        <v>1</v>
      </c>
      <c r="J856">
        <v>0</v>
      </c>
      <c r="K856">
        <v>0</v>
      </c>
      <c r="L856" t="s">
        <v>238</v>
      </c>
      <c r="M856">
        <v>12.276291146362361</v>
      </c>
      <c r="N856">
        <v>28.64467934151218</v>
      </c>
      <c r="O856">
        <v>0</v>
      </c>
      <c r="P856">
        <v>1</v>
      </c>
      <c r="Q856">
        <v>0</v>
      </c>
      <c r="R856">
        <v>1</v>
      </c>
      <c r="S856">
        <v>0</v>
      </c>
      <c r="T856">
        <v>0</v>
      </c>
      <c r="U856">
        <v>1</v>
      </c>
      <c r="W856">
        <v>3</v>
      </c>
      <c r="AA856">
        <v>0</v>
      </c>
      <c r="AC856">
        <v>1</v>
      </c>
      <c r="AD856">
        <v>0</v>
      </c>
      <c r="AE856">
        <v>0</v>
      </c>
      <c r="AF856">
        <v>0</v>
      </c>
      <c r="AG856">
        <v>1</v>
      </c>
      <c r="AH856">
        <v>39</v>
      </c>
      <c r="AI856">
        <v>1.84</v>
      </c>
      <c r="AJ856">
        <v>10</v>
      </c>
    </row>
    <row r="857" spans="1:36" x14ac:dyDescent="0.2">
      <c r="A857" t="str">
        <f>+VLOOKUP(B857,studies!$A$2:$C$102,3)</f>
        <v>Hope (2008a)</v>
      </c>
      <c r="B857">
        <v>51</v>
      </c>
      <c r="C857">
        <v>2008</v>
      </c>
      <c r="D857">
        <v>1</v>
      </c>
      <c r="E857">
        <v>2000</v>
      </c>
      <c r="F857">
        <v>2000</v>
      </c>
      <c r="G857">
        <v>0.1</v>
      </c>
      <c r="H857">
        <v>116.29739812653943</v>
      </c>
      <c r="I857">
        <v>1</v>
      </c>
      <c r="J857">
        <v>0</v>
      </c>
      <c r="K857">
        <v>0</v>
      </c>
      <c r="L857" t="s">
        <v>238</v>
      </c>
      <c r="M857">
        <v>46.036091798858855</v>
      </c>
      <c r="N857">
        <v>100.25637769529261</v>
      </c>
      <c r="O857">
        <v>0</v>
      </c>
      <c r="P857">
        <v>1</v>
      </c>
      <c r="Q857">
        <v>0</v>
      </c>
      <c r="R857">
        <v>1</v>
      </c>
      <c r="S857">
        <v>0</v>
      </c>
      <c r="T857">
        <v>0</v>
      </c>
      <c r="U857">
        <v>1</v>
      </c>
      <c r="V857">
        <v>3</v>
      </c>
      <c r="W857">
        <v>1</v>
      </c>
      <c r="AA857">
        <v>0</v>
      </c>
      <c r="AC857">
        <v>1</v>
      </c>
      <c r="AD857">
        <v>0</v>
      </c>
      <c r="AE857">
        <v>0</v>
      </c>
      <c r="AF857">
        <v>0</v>
      </c>
      <c r="AG857">
        <v>1</v>
      </c>
      <c r="AH857">
        <v>39</v>
      </c>
      <c r="AI857">
        <v>1.84</v>
      </c>
      <c r="AJ857">
        <v>10</v>
      </c>
    </row>
    <row r="858" spans="1:36" x14ac:dyDescent="0.2">
      <c r="A858" t="str">
        <f>+VLOOKUP(B858,studies!$A$2:$C$102,3)</f>
        <v>Hope (2008a)</v>
      </c>
      <c r="B858">
        <v>51</v>
      </c>
      <c r="C858">
        <v>2008</v>
      </c>
      <c r="D858">
        <v>1</v>
      </c>
      <c r="E858">
        <v>2000</v>
      </c>
      <c r="F858">
        <v>2000</v>
      </c>
      <c r="G858">
        <v>0.1</v>
      </c>
      <c r="H858">
        <v>156.39994920465648</v>
      </c>
      <c r="I858">
        <v>1</v>
      </c>
      <c r="J858">
        <v>0</v>
      </c>
      <c r="K858">
        <v>0</v>
      </c>
      <c r="L858" t="s">
        <v>238</v>
      </c>
      <c r="M858">
        <v>61.381455731811805</v>
      </c>
      <c r="N858">
        <v>145.26944523195462</v>
      </c>
      <c r="O858">
        <v>0</v>
      </c>
      <c r="P858">
        <v>1</v>
      </c>
      <c r="Q858">
        <v>0</v>
      </c>
      <c r="R858">
        <v>1</v>
      </c>
      <c r="S858">
        <v>0</v>
      </c>
      <c r="T858">
        <v>0</v>
      </c>
      <c r="U858">
        <v>1</v>
      </c>
      <c r="V858">
        <v>3</v>
      </c>
      <c r="W858">
        <v>1</v>
      </c>
      <c r="X858">
        <v>1</v>
      </c>
      <c r="AA858">
        <v>1</v>
      </c>
      <c r="AC858">
        <v>1</v>
      </c>
      <c r="AD858">
        <v>0</v>
      </c>
      <c r="AE858">
        <v>0</v>
      </c>
      <c r="AF858">
        <v>0</v>
      </c>
      <c r="AG858">
        <v>1</v>
      </c>
      <c r="AH858">
        <v>39</v>
      </c>
      <c r="AI858">
        <v>1.84</v>
      </c>
      <c r="AJ858">
        <v>10</v>
      </c>
    </row>
    <row r="859" spans="1:36" x14ac:dyDescent="0.2">
      <c r="A859" t="str">
        <f>+VLOOKUP(B859,studies!$A$2:$C$102,3)</f>
        <v>Hope (2008a)</v>
      </c>
      <c r="B859">
        <v>51</v>
      </c>
      <c r="C859">
        <v>2008</v>
      </c>
      <c r="D859">
        <v>1</v>
      </c>
      <c r="E859">
        <v>2000</v>
      </c>
      <c r="F859">
        <v>2000</v>
      </c>
      <c r="G859">
        <v>0.1</v>
      </c>
      <c r="H859">
        <v>130.33329100388039</v>
      </c>
      <c r="I859">
        <v>1</v>
      </c>
      <c r="J859">
        <v>0</v>
      </c>
      <c r="K859">
        <v>0</v>
      </c>
      <c r="L859" t="s">
        <v>238</v>
      </c>
      <c r="M859">
        <v>51.151213109843177</v>
      </c>
      <c r="N859">
        <v>121.73988720142675</v>
      </c>
      <c r="O859">
        <v>0</v>
      </c>
      <c r="P859">
        <v>1</v>
      </c>
      <c r="Q859">
        <v>0</v>
      </c>
      <c r="R859">
        <v>1</v>
      </c>
      <c r="S859">
        <v>0</v>
      </c>
      <c r="T859">
        <v>0</v>
      </c>
      <c r="U859">
        <v>1</v>
      </c>
      <c r="V859">
        <v>3</v>
      </c>
      <c r="W859">
        <v>1</v>
      </c>
      <c r="X859">
        <v>0.5</v>
      </c>
      <c r="AA859">
        <v>1</v>
      </c>
      <c r="AC859">
        <v>1</v>
      </c>
      <c r="AD859">
        <v>0</v>
      </c>
      <c r="AE859">
        <v>0</v>
      </c>
      <c r="AF859">
        <v>0</v>
      </c>
      <c r="AG859">
        <v>1</v>
      </c>
      <c r="AH859">
        <v>39</v>
      </c>
      <c r="AI859">
        <v>1.84</v>
      </c>
      <c r="AJ859">
        <v>10</v>
      </c>
    </row>
    <row r="860" spans="1:36" x14ac:dyDescent="0.2">
      <c r="A860" t="str">
        <f>+VLOOKUP(B860,studies!$A$2:$C$102,3)</f>
        <v>Hope (2008a)</v>
      </c>
      <c r="B860">
        <v>51</v>
      </c>
      <c r="C860">
        <v>2008</v>
      </c>
      <c r="D860">
        <v>1</v>
      </c>
      <c r="E860">
        <v>2000</v>
      </c>
      <c r="F860">
        <v>2000</v>
      </c>
      <c r="G860">
        <v>0.1</v>
      </c>
      <c r="H860">
        <v>50.128188847646307</v>
      </c>
      <c r="I860">
        <v>1</v>
      </c>
      <c r="J860">
        <v>0</v>
      </c>
      <c r="K860">
        <v>0</v>
      </c>
      <c r="L860" t="s">
        <v>238</v>
      </c>
      <c r="M860">
        <v>18.414436719543545</v>
      </c>
      <c r="N860">
        <v>37.851897701283946</v>
      </c>
      <c r="O860">
        <v>0</v>
      </c>
      <c r="P860">
        <v>1</v>
      </c>
      <c r="Q860">
        <v>0</v>
      </c>
      <c r="R860">
        <v>1</v>
      </c>
      <c r="S860">
        <v>0</v>
      </c>
      <c r="T860">
        <v>0</v>
      </c>
      <c r="U860">
        <v>1</v>
      </c>
      <c r="W860">
        <v>2</v>
      </c>
      <c r="X860">
        <v>1</v>
      </c>
      <c r="AA860">
        <v>1</v>
      </c>
      <c r="AC860">
        <v>1</v>
      </c>
      <c r="AD860">
        <v>0</v>
      </c>
      <c r="AE860">
        <v>0</v>
      </c>
      <c r="AF860">
        <v>0</v>
      </c>
      <c r="AG860">
        <v>1</v>
      </c>
      <c r="AH860">
        <v>39</v>
      </c>
      <c r="AI860">
        <v>1.84</v>
      </c>
      <c r="AJ860">
        <v>10</v>
      </c>
    </row>
    <row r="861" spans="1:36" x14ac:dyDescent="0.2">
      <c r="A861" t="str">
        <f>+VLOOKUP(B861,studies!$A$2:$C$102,3)</f>
        <v>Hope (2008a)</v>
      </c>
      <c r="B861">
        <v>51</v>
      </c>
      <c r="C861">
        <v>2008</v>
      </c>
      <c r="D861">
        <v>1</v>
      </c>
      <c r="E861">
        <v>2000</v>
      </c>
      <c r="F861">
        <v>2000</v>
      </c>
      <c r="G861">
        <v>0.1</v>
      </c>
      <c r="H861">
        <v>138.35380121950379</v>
      </c>
      <c r="I861">
        <v>1</v>
      </c>
      <c r="J861">
        <v>0</v>
      </c>
      <c r="K861">
        <v>0</v>
      </c>
      <c r="L861" t="s">
        <v>238</v>
      </c>
      <c r="M861">
        <v>55.243310158630628</v>
      </c>
      <c r="N861">
        <v>126.85500851241108</v>
      </c>
      <c r="O861">
        <v>0</v>
      </c>
      <c r="P861">
        <v>1</v>
      </c>
      <c r="Q861">
        <v>0</v>
      </c>
      <c r="R861">
        <v>1</v>
      </c>
      <c r="S861">
        <v>0</v>
      </c>
      <c r="T861">
        <v>0</v>
      </c>
      <c r="U861">
        <v>1</v>
      </c>
      <c r="W861">
        <v>1</v>
      </c>
      <c r="X861">
        <v>1</v>
      </c>
      <c r="AA861">
        <v>1</v>
      </c>
      <c r="AC861">
        <v>1</v>
      </c>
      <c r="AD861">
        <v>0</v>
      </c>
      <c r="AE861">
        <v>0</v>
      </c>
      <c r="AF861">
        <v>0</v>
      </c>
      <c r="AG861">
        <v>1</v>
      </c>
      <c r="AH861">
        <v>39</v>
      </c>
      <c r="AI861">
        <v>1.84</v>
      </c>
      <c r="AJ861">
        <v>10</v>
      </c>
    </row>
    <row r="862" spans="1:36" x14ac:dyDescent="0.2">
      <c r="A862" t="str">
        <f>+VLOOKUP(B862,studies!$A$2:$C$102,3)</f>
        <v>Hope (2008a)</v>
      </c>
      <c r="B862">
        <v>51</v>
      </c>
      <c r="C862">
        <v>2008</v>
      </c>
      <c r="D862">
        <v>1</v>
      </c>
      <c r="E862">
        <v>2000</v>
      </c>
      <c r="F862">
        <v>2000</v>
      </c>
      <c r="G862">
        <v>0.1</v>
      </c>
      <c r="H862">
        <v>124.31790834216285</v>
      </c>
      <c r="I862">
        <v>1</v>
      </c>
      <c r="J862">
        <v>0</v>
      </c>
      <c r="K862">
        <v>0</v>
      </c>
      <c r="L862" t="s">
        <v>238</v>
      </c>
      <c r="M862">
        <v>49.105164585449444</v>
      </c>
      <c r="N862">
        <v>129.92408129900167</v>
      </c>
      <c r="O862">
        <v>0</v>
      </c>
      <c r="P862">
        <v>1</v>
      </c>
      <c r="Q862">
        <v>0</v>
      </c>
      <c r="R862">
        <v>1</v>
      </c>
      <c r="S862">
        <v>0</v>
      </c>
      <c r="T862">
        <v>0</v>
      </c>
      <c r="U862">
        <v>1</v>
      </c>
      <c r="W862">
        <v>2</v>
      </c>
      <c r="X862">
        <v>0.5</v>
      </c>
      <c r="AA862">
        <v>1</v>
      </c>
      <c r="AC862">
        <v>1</v>
      </c>
      <c r="AD862">
        <v>0</v>
      </c>
      <c r="AE862">
        <v>0</v>
      </c>
      <c r="AF862">
        <v>0</v>
      </c>
      <c r="AG862">
        <v>1</v>
      </c>
      <c r="AH862">
        <v>39</v>
      </c>
      <c r="AI862">
        <v>1.84</v>
      </c>
      <c r="AJ862">
        <v>10</v>
      </c>
    </row>
    <row r="863" spans="1:36" x14ac:dyDescent="0.2">
      <c r="A863" t="str">
        <f>+VLOOKUP(B863,studies!$A$2:$C$102,3)</f>
        <v>Hope (2008a)</v>
      </c>
      <c r="B863">
        <v>51</v>
      </c>
      <c r="C863">
        <v>2008</v>
      </c>
      <c r="D863">
        <v>1</v>
      </c>
      <c r="E863">
        <v>2000</v>
      </c>
      <c r="F863">
        <v>2000</v>
      </c>
      <c r="G863">
        <v>0.1</v>
      </c>
      <c r="H863">
        <v>411.05114855069974</v>
      </c>
      <c r="I863">
        <v>1</v>
      </c>
      <c r="J863">
        <v>0</v>
      </c>
      <c r="K863">
        <v>0</v>
      </c>
      <c r="L863" t="s">
        <v>238</v>
      </c>
      <c r="M863">
        <v>166.75295473808876</v>
      </c>
      <c r="N863">
        <v>401.02551078117045</v>
      </c>
      <c r="O863">
        <v>0</v>
      </c>
      <c r="P863">
        <v>1</v>
      </c>
      <c r="Q863">
        <v>0</v>
      </c>
      <c r="R863">
        <v>1</v>
      </c>
      <c r="S863">
        <v>0</v>
      </c>
      <c r="T863">
        <v>0</v>
      </c>
      <c r="U863">
        <v>1</v>
      </c>
      <c r="W863">
        <v>1</v>
      </c>
      <c r="X863">
        <v>0.5</v>
      </c>
      <c r="AA863">
        <v>1</v>
      </c>
      <c r="AC863">
        <v>1</v>
      </c>
      <c r="AD863">
        <v>0</v>
      </c>
      <c r="AE863">
        <v>0</v>
      </c>
      <c r="AF863">
        <v>0</v>
      </c>
      <c r="AG863">
        <v>1</v>
      </c>
      <c r="AH863">
        <v>39</v>
      </c>
      <c r="AI863">
        <v>1.84</v>
      </c>
      <c r="AJ863">
        <v>10</v>
      </c>
    </row>
    <row r="864" spans="1:36" x14ac:dyDescent="0.2">
      <c r="A864" t="str">
        <f>+VLOOKUP(B864,studies!$A$2:$C$102,3)</f>
        <v>Hope (2008a)</v>
      </c>
      <c r="B864">
        <v>51</v>
      </c>
      <c r="C864">
        <v>2008</v>
      </c>
      <c r="D864">
        <v>1</v>
      </c>
      <c r="E864">
        <v>2000</v>
      </c>
      <c r="F864">
        <v>2000</v>
      </c>
      <c r="G864">
        <v>0.1</v>
      </c>
      <c r="H864">
        <v>405.03576588898221</v>
      </c>
      <c r="I864">
        <v>1</v>
      </c>
      <c r="J864">
        <v>0</v>
      </c>
      <c r="K864">
        <v>0</v>
      </c>
      <c r="L864" t="s">
        <v>238</v>
      </c>
      <c r="M864">
        <v>165.7299304758919</v>
      </c>
      <c r="N864">
        <v>435.80833569586389</v>
      </c>
      <c r="O864">
        <v>0</v>
      </c>
      <c r="P864">
        <v>1</v>
      </c>
      <c r="Q864">
        <v>0</v>
      </c>
      <c r="R864">
        <v>1</v>
      </c>
      <c r="S864">
        <v>0</v>
      </c>
      <c r="T864">
        <v>0</v>
      </c>
      <c r="U864">
        <v>1</v>
      </c>
      <c r="W864">
        <v>2</v>
      </c>
      <c r="X864">
        <v>0</v>
      </c>
      <c r="AA864">
        <v>0</v>
      </c>
      <c r="AC864">
        <v>1</v>
      </c>
      <c r="AD864">
        <v>0</v>
      </c>
      <c r="AE864">
        <v>0</v>
      </c>
      <c r="AF864">
        <v>0</v>
      </c>
      <c r="AG864">
        <v>1</v>
      </c>
      <c r="AH864">
        <v>39</v>
      </c>
      <c r="AI864">
        <v>1.84</v>
      </c>
      <c r="AJ864">
        <v>10</v>
      </c>
    </row>
    <row r="865" spans="1:36" x14ac:dyDescent="0.2">
      <c r="A865" t="str">
        <f>+VLOOKUP(B865,studies!$A$2:$C$102,3)</f>
        <v>Hope (2008a)</v>
      </c>
      <c r="B865">
        <v>51</v>
      </c>
      <c r="C865">
        <v>2008</v>
      </c>
      <c r="D865">
        <v>1</v>
      </c>
      <c r="E865">
        <v>2000</v>
      </c>
      <c r="F865">
        <v>2000</v>
      </c>
      <c r="G865">
        <v>0.1</v>
      </c>
      <c r="H865">
        <v>1634.1789564332698</v>
      </c>
      <c r="I865">
        <v>1</v>
      </c>
      <c r="J865">
        <v>0</v>
      </c>
      <c r="K865">
        <v>0</v>
      </c>
      <c r="L865" t="s">
        <v>238</v>
      </c>
      <c r="M865">
        <v>685.4262556718985</v>
      </c>
      <c r="N865">
        <v>1592.8487762405164</v>
      </c>
      <c r="O865">
        <v>0</v>
      </c>
      <c r="P865">
        <v>1</v>
      </c>
      <c r="Q865">
        <v>0</v>
      </c>
      <c r="R865">
        <v>1</v>
      </c>
      <c r="S865">
        <v>0</v>
      </c>
      <c r="T865">
        <v>0</v>
      </c>
      <c r="U865">
        <v>1</v>
      </c>
      <c r="W865">
        <v>1</v>
      </c>
      <c r="X865">
        <v>0</v>
      </c>
      <c r="AA865">
        <v>0</v>
      </c>
      <c r="AC865">
        <v>1</v>
      </c>
      <c r="AD865">
        <v>0</v>
      </c>
      <c r="AE865">
        <v>0</v>
      </c>
      <c r="AF865">
        <v>0</v>
      </c>
      <c r="AG865">
        <v>1</v>
      </c>
      <c r="AH865">
        <v>39</v>
      </c>
      <c r="AI865">
        <v>1.84</v>
      </c>
      <c r="AJ865">
        <v>10</v>
      </c>
    </row>
    <row r="866" spans="1:36" x14ac:dyDescent="0.2">
      <c r="A866" t="str">
        <f>+VLOOKUP(B866,studies!$A$2:$C$102,3)</f>
        <v>Anthoff et al. (2009b)</v>
      </c>
      <c r="B866">
        <v>54</v>
      </c>
      <c r="C866">
        <v>2009</v>
      </c>
      <c r="D866">
        <v>1</v>
      </c>
      <c r="E866">
        <v>1995</v>
      </c>
      <c r="F866">
        <v>2010</v>
      </c>
      <c r="G866">
        <v>0.25</v>
      </c>
      <c r="H866">
        <v>-3.1352821294837536</v>
      </c>
      <c r="I866">
        <v>0</v>
      </c>
      <c r="J866">
        <v>1</v>
      </c>
      <c r="K866">
        <v>0</v>
      </c>
      <c r="L866">
        <v>3.6689471728001379</v>
      </c>
      <c r="M866">
        <v>3.6689471728001379</v>
      </c>
      <c r="N866">
        <v>3.6689471728001379</v>
      </c>
      <c r="O866">
        <v>0</v>
      </c>
      <c r="P866">
        <v>1</v>
      </c>
      <c r="Q866">
        <v>1</v>
      </c>
      <c r="R866">
        <v>1</v>
      </c>
      <c r="S866">
        <v>1</v>
      </c>
      <c r="T866">
        <v>0</v>
      </c>
      <c r="U866">
        <v>0</v>
      </c>
      <c r="AA866">
        <v>0</v>
      </c>
      <c r="AC866">
        <v>0</v>
      </c>
      <c r="AD866">
        <v>0</v>
      </c>
      <c r="AE866">
        <v>1</v>
      </c>
      <c r="AF866">
        <v>0</v>
      </c>
      <c r="AG866">
        <v>1</v>
      </c>
      <c r="AH866">
        <v>90</v>
      </c>
      <c r="AI866">
        <v>0</v>
      </c>
      <c r="AJ866">
        <v>4</v>
      </c>
    </row>
    <row r="867" spans="1:36" x14ac:dyDescent="0.2">
      <c r="A867" t="str">
        <f>+VLOOKUP(B867,studies!$A$2:$C$102,3)</f>
        <v>Anthoff et al. (2009b)</v>
      </c>
      <c r="B867">
        <v>54</v>
      </c>
      <c r="C867">
        <v>2009</v>
      </c>
      <c r="D867">
        <v>1</v>
      </c>
      <c r="E867">
        <v>1995</v>
      </c>
      <c r="F867">
        <v>2010</v>
      </c>
      <c r="G867">
        <v>0.25</v>
      </c>
      <c r="H867">
        <v>-0.58369614112729462</v>
      </c>
      <c r="I867">
        <v>0</v>
      </c>
      <c r="J867">
        <v>1</v>
      </c>
      <c r="K867">
        <v>0</v>
      </c>
      <c r="L867">
        <v>8.0883608127639377</v>
      </c>
      <c r="M867">
        <v>8.0883608127639377</v>
      </c>
      <c r="N867">
        <v>8.0883608127639377</v>
      </c>
      <c r="O867">
        <v>0</v>
      </c>
      <c r="P867">
        <v>1</v>
      </c>
      <c r="Q867">
        <v>1</v>
      </c>
      <c r="R867">
        <v>1</v>
      </c>
      <c r="S867">
        <v>1</v>
      </c>
      <c r="T867">
        <v>0</v>
      </c>
      <c r="U867">
        <v>0</v>
      </c>
      <c r="AA867">
        <v>1</v>
      </c>
      <c r="AC867">
        <v>0</v>
      </c>
      <c r="AD867">
        <v>0</v>
      </c>
      <c r="AE867">
        <v>1</v>
      </c>
      <c r="AF867">
        <v>0</v>
      </c>
      <c r="AG867">
        <v>1</v>
      </c>
      <c r="AH867">
        <v>90</v>
      </c>
      <c r="AI867">
        <v>0</v>
      </c>
      <c r="AJ867">
        <v>4</v>
      </c>
    </row>
    <row r="868" spans="1:36" x14ac:dyDescent="0.2">
      <c r="A868" t="str">
        <f>+VLOOKUP(B868,studies!$A$2:$C$102,3)</f>
        <v>Anthoff et al. (2009b)</v>
      </c>
      <c r="B868">
        <v>54</v>
      </c>
      <c r="C868">
        <v>2009</v>
      </c>
      <c r="D868">
        <v>1</v>
      </c>
      <c r="E868">
        <v>1995</v>
      </c>
      <c r="F868">
        <v>2010</v>
      </c>
      <c r="G868">
        <v>0.25</v>
      </c>
      <c r="H868">
        <v>14.942621212858743</v>
      </c>
      <c r="I868">
        <v>1</v>
      </c>
      <c r="J868">
        <v>0</v>
      </c>
      <c r="K868">
        <v>0</v>
      </c>
      <c r="L868">
        <v>11.473798431302248</v>
      </c>
      <c r="M868">
        <v>11.473798431302248</v>
      </c>
      <c r="N868">
        <v>11.473798431302248</v>
      </c>
      <c r="O868">
        <v>0</v>
      </c>
      <c r="P868">
        <v>1</v>
      </c>
      <c r="Q868">
        <v>1</v>
      </c>
      <c r="R868">
        <v>1</v>
      </c>
      <c r="S868">
        <v>1</v>
      </c>
      <c r="T868">
        <v>0</v>
      </c>
      <c r="U868">
        <v>0</v>
      </c>
      <c r="AA868">
        <v>0</v>
      </c>
      <c r="AC868">
        <v>0</v>
      </c>
      <c r="AD868">
        <v>0</v>
      </c>
      <c r="AE868">
        <v>1</v>
      </c>
      <c r="AF868">
        <v>0</v>
      </c>
      <c r="AG868">
        <v>1</v>
      </c>
      <c r="AH868">
        <v>90</v>
      </c>
      <c r="AI868">
        <v>0</v>
      </c>
      <c r="AJ868">
        <v>4</v>
      </c>
    </row>
    <row r="869" spans="1:36" x14ac:dyDescent="0.2">
      <c r="A869" t="str">
        <f>+VLOOKUP(B869,studies!$A$2:$C$102,3)</f>
        <v>Anthoff et al. (2009b)</v>
      </c>
      <c r="B869">
        <v>54</v>
      </c>
      <c r="C869">
        <v>2009</v>
      </c>
      <c r="D869">
        <v>1</v>
      </c>
      <c r="E869">
        <v>1995</v>
      </c>
      <c r="F869">
        <v>2010</v>
      </c>
      <c r="G869">
        <v>0.25</v>
      </c>
      <c r="H869">
        <v>73.96263959713005</v>
      </c>
      <c r="I869">
        <v>1</v>
      </c>
      <c r="J869">
        <v>0</v>
      </c>
      <c r="K869">
        <v>0</v>
      </c>
      <c r="L869">
        <v>19.762283635309831</v>
      </c>
      <c r="M869">
        <v>19.762283635309831</v>
      </c>
      <c r="N869">
        <v>19.762283635309831</v>
      </c>
      <c r="O869">
        <v>0</v>
      </c>
      <c r="P869">
        <v>1</v>
      </c>
      <c r="Q869">
        <v>1</v>
      </c>
      <c r="R869">
        <v>1</v>
      </c>
      <c r="S869">
        <v>1</v>
      </c>
      <c r="T869">
        <v>0</v>
      </c>
      <c r="U869">
        <v>0</v>
      </c>
      <c r="AA869">
        <v>1</v>
      </c>
      <c r="AC869">
        <v>0</v>
      </c>
      <c r="AD869">
        <v>0</v>
      </c>
      <c r="AE869">
        <v>1</v>
      </c>
      <c r="AF869">
        <v>0</v>
      </c>
      <c r="AG869">
        <v>1</v>
      </c>
      <c r="AH869">
        <v>90</v>
      </c>
      <c r="AI869">
        <v>0</v>
      </c>
      <c r="AJ869">
        <v>4</v>
      </c>
    </row>
    <row r="870" spans="1:36" x14ac:dyDescent="0.2">
      <c r="A870" t="str">
        <f>+VLOOKUP(B870,studies!$A$2:$C$102,3)</f>
        <v>Dietz (2011)</v>
      </c>
      <c r="B870">
        <v>66</v>
      </c>
      <c r="C870">
        <v>2011</v>
      </c>
      <c r="D870">
        <v>1</v>
      </c>
      <c r="E870">
        <v>2008</v>
      </c>
      <c r="F870">
        <v>2000</v>
      </c>
      <c r="G870">
        <v>0.25</v>
      </c>
      <c r="H870">
        <v>2614.6574412128552</v>
      </c>
      <c r="I870">
        <v>1</v>
      </c>
      <c r="J870">
        <v>0</v>
      </c>
      <c r="K870">
        <v>0</v>
      </c>
      <c r="L870" t="s">
        <v>238</v>
      </c>
      <c r="M870">
        <v>1270.6160996868305</v>
      </c>
      <c r="N870">
        <v>4251.1576952569931</v>
      </c>
      <c r="O870">
        <v>0</v>
      </c>
      <c r="P870">
        <v>1</v>
      </c>
      <c r="Q870">
        <v>0</v>
      </c>
      <c r="R870">
        <v>1</v>
      </c>
      <c r="S870">
        <v>0</v>
      </c>
      <c r="T870">
        <v>0</v>
      </c>
      <c r="U870">
        <v>1</v>
      </c>
      <c r="W870">
        <v>1</v>
      </c>
      <c r="X870">
        <v>0.1</v>
      </c>
      <c r="AA870">
        <v>0</v>
      </c>
      <c r="AC870">
        <v>0</v>
      </c>
      <c r="AD870">
        <v>0</v>
      </c>
      <c r="AE870">
        <v>0</v>
      </c>
      <c r="AF870">
        <v>0</v>
      </c>
      <c r="AG870">
        <v>1</v>
      </c>
      <c r="AH870">
        <v>39</v>
      </c>
      <c r="AI870">
        <v>1.56</v>
      </c>
      <c r="AJ870">
        <v>2</v>
      </c>
    </row>
    <row r="871" spans="1:36" x14ac:dyDescent="0.2">
      <c r="A871" t="str">
        <f>+VLOOKUP(B871,studies!$A$2:$C$102,3)</f>
        <v>Dietz (2011)</v>
      </c>
      <c r="B871">
        <v>66</v>
      </c>
      <c r="C871">
        <v>2011</v>
      </c>
      <c r="D871">
        <v>1</v>
      </c>
      <c r="E871">
        <v>2008</v>
      </c>
      <c r="F871">
        <v>2000</v>
      </c>
      <c r="G871">
        <v>0.25</v>
      </c>
      <c r="H871">
        <v>2035.8046839588494</v>
      </c>
      <c r="I871">
        <v>1</v>
      </c>
      <c r="J871">
        <v>0</v>
      </c>
      <c r="K871">
        <v>0</v>
      </c>
      <c r="M871">
        <v>1024.6652405719685</v>
      </c>
      <c r="N871">
        <v>3037.1240937758994</v>
      </c>
      <c r="O871">
        <v>0</v>
      </c>
      <c r="P871">
        <v>1</v>
      </c>
      <c r="Q871">
        <v>0</v>
      </c>
      <c r="R871">
        <v>1</v>
      </c>
      <c r="S871">
        <v>0</v>
      </c>
      <c r="T871">
        <v>0</v>
      </c>
      <c r="U871">
        <v>1</v>
      </c>
      <c r="W871">
        <v>3</v>
      </c>
      <c r="X871">
        <v>1.3</v>
      </c>
      <c r="AA871">
        <v>0</v>
      </c>
      <c r="AC871">
        <v>0</v>
      </c>
      <c r="AD871">
        <v>0</v>
      </c>
      <c r="AE871">
        <v>0</v>
      </c>
      <c r="AF871">
        <v>0</v>
      </c>
      <c r="AG871">
        <v>1</v>
      </c>
      <c r="AH871">
        <v>39</v>
      </c>
      <c r="AI871">
        <v>1.56</v>
      </c>
      <c r="AJ871">
        <v>2</v>
      </c>
    </row>
    <row r="872" spans="1:36" x14ac:dyDescent="0.2">
      <c r="A872" t="str">
        <f>+VLOOKUP(B872,studies!$A$2:$C$102,3)</f>
        <v>Hope (2011)</v>
      </c>
      <c r="B872">
        <v>67</v>
      </c>
      <c r="C872">
        <v>2011</v>
      </c>
      <c r="D872">
        <v>1</v>
      </c>
      <c r="E872">
        <v>2005</v>
      </c>
      <c r="F872">
        <v>2009</v>
      </c>
      <c r="G872">
        <v>0.5</v>
      </c>
      <c r="H872">
        <v>502.20171035306595</v>
      </c>
      <c r="I872">
        <v>1</v>
      </c>
      <c r="J872">
        <v>0</v>
      </c>
      <c r="K872">
        <v>0</v>
      </c>
      <c r="L872">
        <v>1279.24409416868</v>
      </c>
      <c r="M872">
        <v>231.12245633852109</v>
      </c>
      <c r="N872">
        <v>421.55310191080542</v>
      </c>
      <c r="O872">
        <v>0</v>
      </c>
      <c r="P872">
        <v>1</v>
      </c>
      <c r="Q872">
        <v>0</v>
      </c>
      <c r="R872">
        <v>1</v>
      </c>
      <c r="S872">
        <v>0</v>
      </c>
      <c r="T872">
        <v>0</v>
      </c>
      <c r="U872">
        <v>1</v>
      </c>
      <c r="W872">
        <v>1</v>
      </c>
      <c r="AA872">
        <v>1</v>
      </c>
      <c r="AC872">
        <v>1</v>
      </c>
      <c r="AD872">
        <v>0</v>
      </c>
      <c r="AE872">
        <v>0</v>
      </c>
      <c r="AF872">
        <v>0</v>
      </c>
      <c r="AG872">
        <v>1</v>
      </c>
      <c r="AH872">
        <v>25</v>
      </c>
      <c r="AI872">
        <v>0</v>
      </c>
      <c r="AJ872">
        <v>2</v>
      </c>
    </row>
    <row r="873" spans="1:36" x14ac:dyDescent="0.2">
      <c r="A873" t="str">
        <f>+VLOOKUP(B873,studies!$A$2:$C$102,3)</f>
        <v>Hope (2011)</v>
      </c>
      <c r="B873">
        <v>67</v>
      </c>
      <c r="C873">
        <v>2011</v>
      </c>
      <c r="D873">
        <v>1</v>
      </c>
      <c r="E873">
        <v>2005</v>
      </c>
      <c r="F873">
        <v>2009</v>
      </c>
      <c r="G873">
        <v>0.5</v>
      </c>
      <c r="H873">
        <v>260.22776977146725</v>
      </c>
      <c r="I873">
        <v>1</v>
      </c>
      <c r="J873">
        <v>0</v>
      </c>
      <c r="K873">
        <v>0</v>
      </c>
      <c r="L873">
        <v>984.03391859129226</v>
      </c>
      <c r="M873">
        <v>120.21781724830863</v>
      </c>
      <c r="N873">
        <v>193.56850883309829</v>
      </c>
      <c r="O873">
        <v>0</v>
      </c>
      <c r="P873">
        <v>1</v>
      </c>
      <c r="Q873">
        <v>0</v>
      </c>
      <c r="R873">
        <v>1</v>
      </c>
      <c r="S873">
        <v>0</v>
      </c>
      <c r="T873">
        <v>0</v>
      </c>
      <c r="U873">
        <v>1</v>
      </c>
      <c r="W873">
        <v>1</v>
      </c>
      <c r="AA873">
        <v>1</v>
      </c>
      <c r="AC873">
        <v>1</v>
      </c>
      <c r="AD873">
        <v>0</v>
      </c>
      <c r="AE873">
        <v>0</v>
      </c>
      <c r="AF873">
        <v>0</v>
      </c>
      <c r="AG873">
        <v>1</v>
      </c>
      <c r="AH873">
        <v>25</v>
      </c>
      <c r="AI873">
        <v>0</v>
      </c>
      <c r="AJ873">
        <v>2</v>
      </c>
    </row>
    <row r="874" spans="1:36" x14ac:dyDescent="0.2">
      <c r="A874" t="str">
        <f>+VLOOKUP(B874,studies!$A$2:$C$102,3)</f>
        <v>Nordhaus (2011)</v>
      </c>
      <c r="B874">
        <v>68</v>
      </c>
      <c r="C874">
        <v>2011</v>
      </c>
      <c r="D874">
        <v>0</v>
      </c>
      <c r="E874">
        <v>2005</v>
      </c>
      <c r="F874">
        <v>2015</v>
      </c>
      <c r="G874">
        <v>1</v>
      </c>
      <c r="H874">
        <v>45.229849896978997</v>
      </c>
      <c r="I874">
        <v>0</v>
      </c>
      <c r="J874">
        <v>0</v>
      </c>
      <c r="K874">
        <v>1</v>
      </c>
      <c r="L874">
        <v>21.606703451920119</v>
      </c>
      <c r="M874">
        <v>21.606703451920119</v>
      </c>
      <c r="N874">
        <v>21.606703451920119</v>
      </c>
      <c r="O874">
        <v>1</v>
      </c>
      <c r="P874">
        <v>1</v>
      </c>
      <c r="Q874">
        <v>0</v>
      </c>
      <c r="R874">
        <v>1</v>
      </c>
      <c r="S874">
        <v>0</v>
      </c>
      <c r="T874">
        <v>1</v>
      </c>
      <c r="U874">
        <v>0</v>
      </c>
      <c r="W874">
        <v>1.5</v>
      </c>
      <c r="AA874">
        <v>1</v>
      </c>
      <c r="AB874">
        <v>3</v>
      </c>
      <c r="AC874">
        <v>0</v>
      </c>
      <c r="AD874">
        <v>1</v>
      </c>
      <c r="AE874">
        <v>0</v>
      </c>
      <c r="AF874">
        <v>0</v>
      </c>
      <c r="AG874">
        <v>1</v>
      </c>
      <c r="AH874">
        <v>58</v>
      </c>
      <c r="AI874">
        <v>0</v>
      </c>
      <c r="AJ874">
        <v>1</v>
      </c>
    </row>
    <row r="875" spans="1:36" x14ac:dyDescent="0.2">
      <c r="A875" t="str">
        <f>+VLOOKUP(B875,studies!$A$2:$C$102,3)</f>
        <v>Pycroft et al. (2011)</v>
      </c>
      <c r="B875">
        <v>69</v>
      </c>
      <c r="C875">
        <v>2011</v>
      </c>
      <c r="D875">
        <v>1</v>
      </c>
      <c r="E875">
        <v>2005</v>
      </c>
      <c r="F875">
        <v>2009</v>
      </c>
      <c r="G875">
        <v>9.0909090909090912E-2</v>
      </c>
      <c r="H875">
        <v>241.08831005486661</v>
      </c>
      <c r="I875">
        <v>0</v>
      </c>
      <c r="J875">
        <v>0</v>
      </c>
      <c r="K875">
        <v>1</v>
      </c>
      <c r="L875" t="s">
        <v>238</v>
      </c>
      <c r="M875">
        <v>95.391043128747711</v>
      </c>
      <c r="N875">
        <v>456.87289077452857</v>
      </c>
      <c r="O875">
        <v>0</v>
      </c>
      <c r="P875">
        <v>1</v>
      </c>
      <c r="Q875">
        <v>0</v>
      </c>
      <c r="R875">
        <v>1</v>
      </c>
      <c r="S875">
        <v>0</v>
      </c>
      <c r="T875">
        <v>0</v>
      </c>
      <c r="U875">
        <v>1</v>
      </c>
      <c r="AA875">
        <v>1</v>
      </c>
      <c r="AC875">
        <v>1</v>
      </c>
      <c r="AD875">
        <v>0</v>
      </c>
      <c r="AE875">
        <v>0</v>
      </c>
      <c r="AF875">
        <v>0</v>
      </c>
      <c r="AG875">
        <v>1</v>
      </c>
      <c r="AH875">
        <v>16</v>
      </c>
      <c r="AI875">
        <v>0</v>
      </c>
      <c r="AJ875">
        <v>11</v>
      </c>
    </row>
    <row r="876" spans="1:36" x14ac:dyDescent="0.2">
      <c r="A876" t="str">
        <f>+VLOOKUP(B876,studies!$A$2:$C$102,3)</f>
        <v>Pycroft et al. (2011)</v>
      </c>
      <c r="B876">
        <v>69</v>
      </c>
      <c r="C876">
        <v>2011</v>
      </c>
      <c r="D876">
        <v>1</v>
      </c>
      <c r="E876">
        <v>2005</v>
      </c>
      <c r="F876">
        <v>2009</v>
      </c>
      <c r="G876">
        <v>9.0909090909090912E-2</v>
      </c>
      <c r="H876">
        <v>280.44966679851831</v>
      </c>
      <c r="I876">
        <v>0</v>
      </c>
      <c r="J876">
        <v>0</v>
      </c>
      <c r="K876">
        <v>1</v>
      </c>
      <c r="L876" t="s">
        <v>238</v>
      </c>
      <c r="M876">
        <v>112.96307738930652</v>
      </c>
      <c r="N876">
        <v>795.76212294244817</v>
      </c>
      <c r="O876">
        <v>0</v>
      </c>
      <c r="P876">
        <v>1</v>
      </c>
      <c r="Q876">
        <v>0</v>
      </c>
      <c r="R876">
        <v>1</v>
      </c>
      <c r="S876">
        <v>0</v>
      </c>
      <c r="T876">
        <v>0</v>
      </c>
      <c r="U876">
        <v>1</v>
      </c>
      <c r="AA876">
        <v>1</v>
      </c>
      <c r="AC876">
        <v>1</v>
      </c>
      <c r="AD876">
        <v>0</v>
      </c>
      <c r="AE876">
        <v>0</v>
      </c>
      <c r="AF876">
        <v>0</v>
      </c>
      <c r="AG876">
        <v>1</v>
      </c>
      <c r="AH876">
        <v>16</v>
      </c>
      <c r="AI876">
        <v>0</v>
      </c>
      <c r="AJ876">
        <v>11</v>
      </c>
    </row>
    <row r="877" spans="1:36" x14ac:dyDescent="0.2">
      <c r="A877" t="str">
        <f>+VLOOKUP(B877,studies!$A$2:$C$102,3)</f>
        <v>Pycroft et al. (2011)</v>
      </c>
      <c r="B877">
        <v>69</v>
      </c>
      <c r="C877">
        <v>2011</v>
      </c>
      <c r="D877">
        <v>1</v>
      </c>
      <c r="E877">
        <v>2005</v>
      </c>
      <c r="F877">
        <v>2009</v>
      </c>
      <c r="G877">
        <v>9.0909090909090912E-2</v>
      </c>
      <c r="H877">
        <v>280.44966679851831</v>
      </c>
      <c r="I877">
        <v>0</v>
      </c>
      <c r="J877">
        <v>0</v>
      </c>
      <c r="K877">
        <v>1</v>
      </c>
      <c r="L877" t="s">
        <v>238</v>
      </c>
      <c r="M877">
        <v>115.47336799795778</v>
      </c>
      <c r="N877">
        <v>883.62229424524207</v>
      </c>
      <c r="O877">
        <v>0</v>
      </c>
      <c r="P877">
        <v>1</v>
      </c>
      <c r="Q877">
        <v>0</v>
      </c>
      <c r="R877">
        <v>1</v>
      </c>
      <c r="S877">
        <v>0</v>
      </c>
      <c r="T877">
        <v>0</v>
      </c>
      <c r="U877">
        <v>1</v>
      </c>
      <c r="AA877">
        <v>1</v>
      </c>
      <c r="AC877">
        <v>1</v>
      </c>
      <c r="AD877">
        <v>0</v>
      </c>
      <c r="AE877">
        <v>0</v>
      </c>
      <c r="AF877">
        <v>0</v>
      </c>
      <c r="AG877">
        <v>1</v>
      </c>
      <c r="AH877">
        <v>16</v>
      </c>
      <c r="AI877">
        <v>0</v>
      </c>
      <c r="AJ877">
        <v>11</v>
      </c>
    </row>
    <row r="878" spans="1:36" x14ac:dyDescent="0.2">
      <c r="A878" t="str">
        <f>+VLOOKUP(B878,studies!$A$2:$C$102,3)</f>
        <v>Pycroft et al. (2011)</v>
      </c>
      <c r="B878">
        <v>69</v>
      </c>
      <c r="C878">
        <v>2011</v>
      </c>
      <c r="D878">
        <v>1</v>
      </c>
      <c r="E878">
        <v>2005</v>
      </c>
      <c r="F878">
        <v>2009</v>
      </c>
      <c r="G878">
        <v>9.0909090909090912E-2</v>
      </c>
      <c r="H878">
        <v>265.68915801964891</v>
      </c>
      <c r="I878">
        <v>0</v>
      </c>
      <c r="J878">
        <v>0</v>
      </c>
      <c r="K878">
        <v>1</v>
      </c>
      <c r="L878" t="s">
        <v>238</v>
      </c>
      <c r="M878">
        <v>105.43220556335275</v>
      </c>
      <c r="N878">
        <v>1280.2482104121405</v>
      </c>
      <c r="O878">
        <v>0</v>
      </c>
      <c r="P878">
        <v>1</v>
      </c>
      <c r="Q878">
        <v>0</v>
      </c>
      <c r="R878">
        <v>1</v>
      </c>
      <c r="S878">
        <v>0</v>
      </c>
      <c r="T878">
        <v>0</v>
      </c>
      <c r="U878">
        <v>1</v>
      </c>
      <c r="AA878">
        <v>1</v>
      </c>
      <c r="AC878">
        <v>1</v>
      </c>
      <c r="AD878">
        <v>0</v>
      </c>
      <c r="AE878">
        <v>0</v>
      </c>
      <c r="AF878">
        <v>0</v>
      </c>
      <c r="AG878">
        <v>1</v>
      </c>
      <c r="AH878">
        <v>16</v>
      </c>
      <c r="AI878">
        <v>0</v>
      </c>
      <c r="AJ878">
        <v>11</v>
      </c>
    </row>
    <row r="879" spans="1:36" x14ac:dyDescent="0.2">
      <c r="A879" t="str">
        <f>+VLOOKUP(B879,studies!$A$2:$C$102,3)</f>
        <v>Pycroft et al. (2011)</v>
      </c>
      <c r="B879">
        <v>69</v>
      </c>
      <c r="C879">
        <v>2011</v>
      </c>
      <c r="D879">
        <v>1</v>
      </c>
      <c r="E879">
        <v>2005</v>
      </c>
      <c r="F879">
        <v>2009</v>
      </c>
      <c r="G879">
        <v>9.0909090909090912E-2</v>
      </c>
      <c r="H879">
        <v>236.16814046191016</v>
      </c>
      <c r="I879">
        <v>0</v>
      </c>
      <c r="J879">
        <v>0</v>
      </c>
      <c r="K879">
        <v>1</v>
      </c>
      <c r="L879" t="s">
        <v>238</v>
      </c>
      <c r="M879">
        <v>92.880752520096451</v>
      </c>
      <c r="N879">
        <v>446.83172833992353</v>
      </c>
      <c r="O879">
        <v>0</v>
      </c>
      <c r="P879">
        <v>1</v>
      </c>
      <c r="Q879">
        <v>0</v>
      </c>
      <c r="R879">
        <v>1</v>
      </c>
      <c r="S879">
        <v>0</v>
      </c>
      <c r="T879">
        <v>0</v>
      </c>
      <c r="U879">
        <v>1</v>
      </c>
      <c r="AA879">
        <v>1</v>
      </c>
      <c r="AC879">
        <v>1</v>
      </c>
      <c r="AD879">
        <v>0</v>
      </c>
      <c r="AE879">
        <v>0</v>
      </c>
      <c r="AF879">
        <v>0</v>
      </c>
      <c r="AG879">
        <v>1</v>
      </c>
      <c r="AH879">
        <v>16</v>
      </c>
      <c r="AI879">
        <v>0</v>
      </c>
      <c r="AJ879">
        <v>11</v>
      </c>
    </row>
    <row r="880" spans="1:36" x14ac:dyDescent="0.2">
      <c r="A880" t="str">
        <f>+VLOOKUP(B880,studies!$A$2:$C$102,3)</f>
        <v>Pycroft et al. (2011)</v>
      </c>
      <c r="B880">
        <v>69</v>
      </c>
      <c r="C880">
        <v>2011</v>
      </c>
      <c r="D880">
        <v>1</v>
      </c>
      <c r="E880">
        <v>2005</v>
      </c>
      <c r="F880">
        <v>2009</v>
      </c>
      <c r="G880">
        <v>9.0909090909090912E-2</v>
      </c>
      <c r="H880">
        <v>246.00847964782312</v>
      </c>
      <c r="I880">
        <v>0</v>
      </c>
      <c r="J880">
        <v>0</v>
      </c>
      <c r="K880">
        <v>1</v>
      </c>
      <c r="L880" t="s">
        <v>238</v>
      </c>
      <c r="M880">
        <v>97.901333737398971</v>
      </c>
      <c r="N880">
        <v>627.57265216281405</v>
      </c>
      <c r="O880">
        <v>0</v>
      </c>
      <c r="P880">
        <v>1</v>
      </c>
      <c r="Q880">
        <v>0</v>
      </c>
      <c r="R880">
        <v>1</v>
      </c>
      <c r="S880">
        <v>0</v>
      </c>
      <c r="T880">
        <v>0</v>
      </c>
      <c r="U880">
        <v>1</v>
      </c>
      <c r="AA880">
        <v>1</v>
      </c>
      <c r="AC880">
        <v>1</v>
      </c>
      <c r="AD880">
        <v>0</v>
      </c>
      <c r="AE880">
        <v>0</v>
      </c>
      <c r="AF880">
        <v>0</v>
      </c>
      <c r="AG880">
        <v>1</v>
      </c>
      <c r="AH880">
        <v>16</v>
      </c>
      <c r="AI880">
        <v>0</v>
      </c>
      <c r="AJ880">
        <v>11</v>
      </c>
    </row>
    <row r="881" spans="1:36" x14ac:dyDescent="0.2">
      <c r="A881" t="str">
        <f>+VLOOKUP(B881,studies!$A$2:$C$102,3)</f>
        <v>Pycroft et al. (2011)</v>
      </c>
      <c r="B881">
        <v>69</v>
      </c>
      <c r="C881">
        <v>2011</v>
      </c>
      <c r="D881">
        <v>1</v>
      </c>
      <c r="E881">
        <v>2005</v>
      </c>
      <c r="F881">
        <v>2009</v>
      </c>
      <c r="G881">
        <v>9.0909090909090912E-2</v>
      </c>
      <c r="H881">
        <v>246.00847964782312</v>
      </c>
      <c r="I881">
        <v>0</v>
      </c>
      <c r="J881">
        <v>0</v>
      </c>
      <c r="K881">
        <v>1</v>
      </c>
      <c r="L881" t="s">
        <v>238</v>
      </c>
      <c r="M881">
        <v>97.901333737398971</v>
      </c>
      <c r="N881">
        <v>627.57265216281405</v>
      </c>
      <c r="O881">
        <v>0</v>
      </c>
      <c r="P881">
        <v>1</v>
      </c>
      <c r="Q881">
        <v>0</v>
      </c>
      <c r="R881">
        <v>1</v>
      </c>
      <c r="S881">
        <v>0</v>
      </c>
      <c r="T881">
        <v>0</v>
      </c>
      <c r="U881">
        <v>1</v>
      </c>
      <c r="AA881">
        <v>1</v>
      </c>
      <c r="AC881">
        <v>1</v>
      </c>
      <c r="AD881">
        <v>0</v>
      </c>
      <c r="AE881">
        <v>0</v>
      </c>
      <c r="AF881">
        <v>0</v>
      </c>
      <c r="AG881">
        <v>1</v>
      </c>
      <c r="AH881">
        <v>16</v>
      </c>
      <c r="AI881">
        <v>0</v>
      </c>
      <c r="AJ881">
        <v>11</v>
      </c>
    </row>
    <row r="882" spans="1:36" x14ac:dyDescent="0.2">
      <c r="A882" t="str">
        <f>+VLOOKUP(B882,studies!$A$2:$C$102,3)</f>
        <v>Pycroft et al. (2011)</v>
      </c>
      <c r="B882">
        <v>69</v>
      </c>
      <c r="C882">
        <v>2011</v>
      </c>
      <c r="D882">
        <v>1</v>
      </c>
      <c r="E882">
        <v>2005</v>
      </c>
      <c r="F882">
        <v>2009</v>
      </c>
      <c r="G882">
        <v>9.0909090909090912E-2</v>
      </c>
      <c r="H882">
        <v>246.00847964782312</v>
      </c>
      <c r="I882">
        <v>0</v>
      </c>
      <c r="J882">
        <v>0</v>
      </c>
      <c r="K882">
        <v>1</v>
      </c>
      <c r="L882" t="s">
        <v>238</v>
      </c>
      <c r="M882">
        <v>97.901333737398971</v>
      </c>
      <c r="N882">
        <v>773.1695074645869</v>
      </c>
      <c r="O882">
        <v>0</v>
      </c>
      <c r="P882">
        <v>1</v>
      </c>
      <c r="Q882">
        <v>0</v>
      </c>
      <c r="R882">
        <v>1</v>
      </c>
      <c r="S882">
        <v>0</v>
      </c>
      <c r="T882">
        <v>0</v>
      </c>
      <c r="U882">
        <v>1</v>
      </c>
      <c r="AA882">
        <v>1</v>
      </c>
      <c r="AC882">
        <v>1</v>
      </c>
      <c r="AD882">
        <v>0</v>
      </c>
      <c r="AE882">
        <v>0</v>
      </c>
      <c r="AF882">
        <v>0</v>
      </c>
      <c r="AG882">
        <v>1</v>
      </c>
      <c r="AH882">
        <v>16</v>
      </c>
      <c r="AI882">
        <v>0</v>
      </c>
      <c r="AJ882">
        <v>11</v>
      </c>
    </row>
    <row r="883" spans="1:36" x14ac:dyDescent="0.2">
      <c r="A883" t="str">
        <f>+VLOOKUP(B883,studies!$A$2:$C$102,3)</f>
        <v>Pycroft et al. (2011)</v>
      </c>
      <c r="B883">
        <v>69</v>
      </c>
      <c r="C883">
        <v>2011</v>
      </c>
      <c r="D883">
        <v>1</v>
      </c>
      <c r="E883">
        <v>2005</v>
      </c>
      <c r="F883">
        <v>2009</v>
      </c>
      <c r="G883">
        <v>9.0909090909090912E-2</v>
      </c>
      <c r="H883">
        <v>285.36983639147473</v>
      </c>
      <c r="I883">
        <v>0</v>
      </c>
      <c r="J883">
        <v>0</v>
      </c>
      <c r="K883">
        <v>1</v>
      </c>
      <c r="L883" t="s">
        <v>238</v>
      </c>
      <c r="M883">
        <v>115.47336799795778</v>
      </c>
      <c r="N883">
        <v>1081.9352523286911</v>
      </c>
      <c r="O883">
        <v>0</v>
      </c>
      <c r="P883">
        <v>1</v>
      </c>
      <c r="Q883">
        <v>0</v>
      </c>
      <c r="R883">
        <v>1</v>
      </c>
      <c r="S883">
        <v>0</v>
      </c>
      <c r="T883">
        <v>0</v>
      </c>
      <c r="U883">
        <v>1</v>
      </c>
      <c r="AA883">
        <v>1</v>
      </c>
      <c r="AC883">
        <v>1</v>
      </c>
      <c r="AD883">
        <v>0</v>
      </c>
      <c r="AE883">
        <v>0</v>
      </c>
      <c r="AF883">
        <v>0</v>
      </c>
      <c r="AG883">
        <v>1</v>
      </c>
      <c r="AH883">
        <v>16</v>
      </c>
      <c r="AI883">
        <v>0</v>
      </c>
      <c r="AJ883">
        <v>11</v>
      </c>
    </row>
    <row r="884" spans="1:36" x14ac:dyDescent="0.2">
      <c r="A884" t="str">
        <f>+VLOOKUP(B884,studies!$A$2:$C$102,3)</f>
        <v>Pycroft et al. (2011)</v>
      </c>
      <c r="B884">
        <v>69</v>
      </c>
      <c r="C884">
        <v>2011</v>
      </c>
      <c r="D884">
        <v>1</v>
      </c>
      <c r="E884">
        <v>2005</v>
      </c>
      <c r="F884">
        <v>2009</v>
      </c>
      <c r="G884">
        <v>9.0909090909090912E-2</v>
      </c>
      <c r="H884">
        <v>280.44966679851831</v>
      </c>
      <c r="I884">
        <v>0</v>
      </c>
      <c r="J884">
        <v>0</v>
      </c>
      <c r="K884">
        <v>1</v>
      </c>
      <c r="L884" t="s">
        <v>238</v>
      </c>
      <c r="M884">
        <v>112.96307738930652</v>
      </c>
      <c r="N884">
        <v>1240.0835606737205</v>
      </c>
      <c r="O884">
        <v>0</v>
      </c>
      <c r="P884">
        <v>1</v>
      </c>
      <c r="Q884">
        <v>0</v>
      </c>
      <c r="R884">
        <v>1</v>
      </c>
      <c r="S884">
        <v>0</v>
      </c>
      <c r="T884">
        <v>0</v>
      </c>
      <c r="U884">
        <v>1</v>
      </c>
      <c r="AA884">
        <v>1</v>
      </c>
      <c r="AC884">
        <v>1</v>
      </c>
      <c r="AD884">
        <v>0</v>
      </c>
      <c r="AE884">
        <v>0</v>
      </c>
      <c r="AF884">
        <v>0</v>
      </c>
      <c r="AG884">
        <v>1</v>
      </c>
      <c r="AH884">
        <v>16</v>
      </c>
      <c r="AI884">
        <v>0</v>
      </c>
      <c r="AJ884">
        <v>11</v>
      </c>
    </row>
    <row r="885" spans="1:36" x14ac:dyDescent="0.2">
      <c r="A885" t="str">
        <f>+VLOOKUP(B885,studies!$A$2:$C$102,3)</f>
        <v>Pycroft et al. (2011)</v>
      </c>
      <c r="B885">
        <v>69</v>
      </c>
      <c r="C885">
        <v>2011</v>
      </c>
      <c r="D885">
        <v>1</v>
      </c>
      <c r="E885">
        <v>2005</v>
      </c>
      <c r="F885">
        <v>2009</v>
      </c>
      <c r="G885">
        <v>9.0909090909090912E-2</v>
      </c>
      <c r="H885">
        <v>270.6093276126054</v>
      </c>
      <c r="I885">
        <v>0</v>
      </c>
      <c r="J885">
        <v>0</v>
      </c>
      <c r="K885">
        <v>1</v>
      </c>
      <c r="L885" t="s">
        <v>238</v>
      </c>
      <c r="M885">
        <v>110.45278678065525</v>
      </c>
      <c r="N885">
        <v>1968.067837182585</v>
      </c>
      <c r="O885">
        <v>0</v>
      </c>
      <c r="P885">
        <v>1</v>
      </c>
      <c r="Q885">
        <v>0</v>
      </c>
      <c r="R885">
        <v>1</v>
      </c>
      <c r="S885">
        <v>0</v>
      </c>
      <c r="T885">
        <v>0</v>
      </c>
      <c r="U885">
        <v>1</v>
      </c>
      <c r="AA885">
        <v>1</v>
      </c>
      <c r="AC885">
        <v>1</v>
      </c>
      <c r="AD885">
        <v>0</v>
      </c>
      <c r="AE885">
        <v>0</v>
      </c>
      <c r="AF885">
        <v>0</v>
      </c>
      <c r="AG885">
        <v>1</v>
      </c>
      <c r="AH885">
        <v>16</v>
      </c>
      <c r="AI885">
        <v>0</v>
      </c>
      <c r="AJ885">
        <v>11</v>
      </c>
    </row>
    <row r="886" spans="1:36" x14ac:dyDescent="0.2">
      <c r="A886" t="str">
        <f>+VLOOKUP(B886,studies!$A$2:$C$102,3)</f>
        <v>Ackerman &amp; Stanton (2012)</v>
      </c>
      <c r="B886">
        <v>72</v>
      </c>
      <c r="C886">
        <v>2012</v>
      </c>
      <c r="D886">
        <v>1</v>
      </c>
      <c r="E886">
        <v>2007</v>
      </c>
      <c r="F886">
        <v>2010</v>
      </c>
      <c r="G886">
        <v>7.0370370370370361E-2</v>
      </c>
      <c r="H886">
        <v>530.35894639371531</v>
      </c>
      <c r="I886">
        <v>1</v>
      </c>
      <c r="J886">
        <v>0</v>
      </c>
      <c r="K886">
        <v>0</v>
      </c>
      <c r="L886" t="s">
        <v>238</v>
      </c>
      <c r="M886">
        <v>334.79940407074736</v>
      </c>
      <c r="N886">
        <v>334.79940407074736</v>
      </c>
      <c r="O886">
        <v>0</v>
      </c>
      <c r="P886">
        <v>1</v>
      </c>
      <c r="Q886">
        <v>0</v>
      </c>
      <c r="R886">
        <v>1</v>
      </c>
      <c r="S886">
        <v>0</v>
      </c>
      <c r="T886">
        <v>1</v>
      </c>
      <c r="U886">
        <v>0</v>
      </c>
      <c r="V886">
        <v>1.5</v>
      </c>
      <c r="W886">
        <v>-0.5</v>
      </c>
      <c r="AA886">
        <v>0</v>
      </c>
      <c r="AC886">
        <v>0</v>
      </c>
      <c r="AD886">
        <v>0</v>
      </c>
      <c r="AE886">
        <v>0</v>
      </c>
      <c r="AF886">
        <v>0</v>
      </c>
      <c r="AG886">
        <v>1</v>
      </c>
      <c r="AH886">
        <v>82</v>
      </c>
      <c r="AI886">
        <v>0</v>
      </c>
      <c r="AJ886">
        <v>8</v>
      </c>
    </row>
    <row r="887" spans="1:36" x14ac:dyDescent="0.2">
      <c r="A887" t="str">
        <f>+VLOOKUP(B887,studies!$A$2:$C$102,3)</f>
        <v>Ackerman &amp; Stanton (2012)</v>
      </c>
      <c r="B887">
        <v>72</v>
      </c>
      <c r="C887">
        <v>2012</v>
      </c>
      <c r="D887">
        <v>1</v>
      </c>
      <c r="E887">
        <v>2007</v>
      </c>
      <c r="F887">
        <v>2010</v>
      </c>
      <c r="G887">
        <v>3.518518518518518E-2</v>
      </c>
      <c r="H887">
        <v>125.8478855849494</v>
      </c>
      <c r="I887">
        <v>1</v>
      </c>
      <c r="J887">
        <v>0</v>
      </c>
      <c r="K887">
        <v>0</v>
      </c>
      <c r="L887" t="s">
        <v>238</v>
      </c>
      <c r="M887">
        <v>64.208104890280296</v>
      </c>
      <c r="N887">
        <v>64.208104890280296</v>
      </c>
      <c r="O887">
        <v>0</v>
      </c>
      <c r="P887">
        <v>1</v>
      </c>
      <c r="Q887">
        <v>0</v>
      </c>
      <c r="R887">
        <v>1</v>
      </c>
      <c r="S887">
        <v>0</v>
      </c>
      <c r="T887">
        <v>1</v>
      </c>
      <c r="U887">
        <v>0</v>
      </c>
      <c r="V887">
        <v>3</v>
      </c>
      <c r="W887">
        <v>1</v>
      </c>
      <c r="AA887">
        <v>0</v>
      </c>
      <c r="AC887">
        <v>0</v>
      </c>
      <c r="AD887">
        <v>0</v>
      </c>
      <c r="AE887">
        <v>0</v>
      </c>
      <c r="AF887">
        <v>0</v>
      </c>
      <c r="AG887">
        <v>1</v>
      </c>
      <c r="AH887">
        <v>82</v>
      </c>
      <c r="AI887">
        <v>0</v>
      </c>
      <c r="AJ887">
        <v>8</v>
      </c>
    </row>
    <row r="888" spans="1:36" x14ac:dyDescent="0.2">
      <c r="A888" t="str">
        <f>+VLOOKUP(B888,studies!$A$2:$C$102,3)</f>
        <v>Ackerman &amp; Stanton (2012)</v>
      </c>
      <c r="B888">
        <v>72</v>
      </c>
      <c r="C888">
        <v>2012</v>
      </c>
      <c r="D888">
        <v>1</v>
      </c>
      <c r="E888">
        <v>2007</v>
      </c>
      <c r="F888">
        <v>2010</v>
      </c>
      <c r="G888">
        <v>0.14074074074074072</v>
      </c>
      <c r="H888">
        <v>1083.1907294990287</v>
      </c>
      <c r="I888">
        <v>1</v>
      </c>
      <c r="J888">
        <v>0</v>
      </c>
      <c r="K888">
        <v>0</v>
      </c>
      <c r="L888" t="s">
        <v>238</v>
      </c>
      <c r="M888">
        <v>538.88945175770959</v>
      </c>
      <c r="N888">
        <v>538.88945175770959</v>
      </c>
      <c r="O888">
        <v>0</v>
      </c>
      <c r="P888">
        <v>1</v>
      </c>
      <c r="Q888">
        <v>0</v>
      </c>
      <c r="R888">
        <v>1</v>
      </c>
      <c r="S888">
        <v>0</v>
      </c>
      <c r="T888">
        <v>1</v>
      </c>
      <c r="U888">
        <v>0</v>
      </c>
      <c r="V888">
        <v>1.5</v>
      </c>
      <c r="W888">
        <v>-0.5</v>
      </c>
      <c r="AA888">
        <v>0</v>
      </c>
      <c r="AC888">
        <v>0</v>
      </c>
      <c r="AD888">
        <v>0</v>
      </c>
      <c r="AE888">
        <v>0</v>
      </c>
      <c r="AF888">
        <v>0</v>
      </c>
      <c r="AG888">
        <v>1</v>
      </c>
      <c r="AH888">
        <v>82</v>
      </c>
      <c r="AI888">
        <v>0</v>
      </c>
      <c r="AJ888">
        <v>8</v>
      </c>
    </row>
    <row r="889" spans="1:36" x14ac:dyDescent="0.2">
      <c r="A889" t="str">
        <f>+VLOOKUP(B889,studies!$A$2:$C$102,3)</f>
        <v>Ackerman &amp; Stanton (2012)</v>
      </c>
      <c r="B889">
        <v>72</v>
      </c>
      <c r="C889">
        <v>2012</v>
      </c>
      <c r="D889">
        <v>1</v>
      </c>
      <c r="E889">
        <v>2007</v>
      </c>
      <c r="F889">
        <v>2010</v>
      </c>
      <c r="G889">
        <v>7.0370370370370361E-2</v>
      </c>
      <c r="H889">
        <v>278.66317522381649</v>
      </c>
      <c r="I889">
        <v>1</v>
      </c>
      <c r="J889">
        <v>0</v>
      </c>
      <c r="K889">
        <v>0</v>
      </c>
      <c r="L889" t="s">
        <v>238</v>
      </c>
      <c r="M889">
        <v>121.5367699708877</v>
      </c>
      <c r="N889">
        <v>121.5367699708877</v>
      </c>
      <c r="O889">
        <v>0</v>
      </c>
      <c r="P889">
        <v>1</v>
      </c>
      <c r="Q889">
        <v>0</v>
      </c>
      <c r="R889">
        <v>1</v>
      </c>
      <c r="S889">
        <v>0</v>
      </c>
      <c r="T889">
        <v>1</v>
      </c>
      <c r="U889">
        <v>0</v>
      </c>
      <c r="V889">
        <v>3</v>
      </c>
      <c r="W889">
        <v>1</v>
      </c>
      <c r="AA889">
        <v>0</v>
      </c>
      <c r="AC889">
        <v>0</v>
      </c>
      <c r="AD889">
        <v>0</v>
      </c>
      <c r="AE889">
        <v>0</v>
      </c>
      <c r="AF889">
        <v>0</v>
      </c>
      <c r="AG889">
        <v>1</v>
      </c>
      <c r="AH889">
        <v>82</v>
      </c>
      <c r="AI889">
        <v>0</v>
      </c>
      <c r="AJ889">
        <v>8</v>
      </c>
    </row>
    <row r="890" spans="1:36" x14ac:dyDescent="0.2">
      <c r="A890" t="str">
        <f>+VLOOKUP(B890,studies!$A$2:$C$102,3)</f>
        <v>Ackerman &amp; Stanton (2012)</v>
      </c>
      <c r="B890">
        <v>72</v>
      </c>
      <c r="C890">
        <v>2012</v>
      </c>
      <c r="D890">
        <v>1</v>
      </c>
      <c r="E890">
        <v>2007</v>
      </c>
      <c r="F890">
        <v>2010</v>
      </c>
      <c r="G890">
        <v>0.14074074074074072</v>
      </c>
      <c r="H890">
        <v>1847.2671776933644</v>
      </c>
      <c r="I890">
        <v>1</v>
      </c>
      <c r="J890">
        <v>0</v>
      </c>
      <c r="K890">
        <v>0</v>
      </c>
      <c r="L890" t="s">
        <v>238</v>
      </c>
      <c r="M890">
        <v>1093.8309297379894</v>
      </c>
      <c r="N890">
        <v>1093.8309297379894</v>
      </c>
      <c r="O890">
        <v>0</v>
      </c>
      <c r="P890">
        <v>1</v>
      </c>
      <c r="Q890">
        <v>0</v>
      </c>
      <c r="R890">
        <v>1</v>
      </c>
      <c r="S890">
        <v>0</v>
      </c>
      <c r="T890">
        <v>1</v>
      </c>
      <c r="U890">
        <v>0</v>
      </c>
      <c r="V890">
        <v>1.5</v>
      </c>
      <c r="W890">
        <v>-0.5</v>
      </c>
      <c r="AA890">
        <v>0</v>
      </c>
      <c r="AC890">
        <v>0</v>
      </c>
      <c r="AD890">
        <v>0</v>
      </c>
      <c r="AE890">
        <v>0</v>
      </c>
      <c r="AF890">
        <v>0</v>
      </c>
      <c r="AG890">
        <v>1</v>
      </c>
      <c r="AH890">
        <v>82</v>
      </c>
      <c r="AI890">
        <v>0</v>
      </c>
      <c r="AJ890">
        <v>8</v>
      </c>
    </row>
    <row r="891" spans="1:36" x14ac:dyDescent="0.2">
      <c r="A891" t="str">
        <f>+VLOOKUP(B891,studies!$A$2:$C$102,3)</f>
        <v>Ackerman &amp; Stanton (2012)</v>
      </c>
      <c r="B891">
        <v>72</v>
      </c>
      <c r="C891">
        <v>2012</v>
      </c>
      <c r="D891">
        <v>1</v>
      </c>
      <c r="E891">
        <v>2007</v>
      </c>
      <c r="F891">
        <v>2010</v>
      </c>
      <c r="G891">
        <v>7.0370370370370361E-2</v>
      </c>
      <c r="H891">
        <v>346.08168535861086</v>
      </c>
      <c r="I891">
        <v>1</v>
      </c>
      <c r="J891">
        <v>0</v>
      </c>
      <c r="K891">
        <v>0</v>
      </c>
      <c r="L891" t="s">
        <v>238</v>
      </c>
      <c r="M891">
        <v>282.05703219658847</v>
      </c>
      <c r="N891">
        <v>282.05703219658847</v>
      </c>
      <c r="O891">
        <v>0</v>
      </c>
      <c r="P891">
        <v>1</v>
      </c>
      <c r="Q891">
        <v>0</v>
      </c>
      <c r="R891">
        <v>1</v>
      </c>
      <c r="S891">
        <v>0</v>
      </c>
      <c r="T891">
        <v>1</v>
      </c>
      <c r="U891">
        <v>0</v>
      </c>
      <c r="V891">
        <v>3</v>
      </c>
      <c r="W891">
        <v>1</v>
      </c>
      <c r="AA891">
        <v>0</v>
      </c>
      <c r="AC891">
        <v>0</v>
      </c>
      <c r="AD891">
        <v>0</v>
      </c>
      <c r="AE891">
        <v>0</v>
      </c>
      <c r="AF891">
        <v>0</v>
      </c>
      <c r="AG891">
        <v>1</v>
      </c>
      <c r="AH891">
        <v>82</v>
      </c>
      <c r="AI891">
        <v>0</v>
      </c>
      <c r="AJ891">
        <v>8</v>
      </c>
    </row>
    <row r="892" spans="1:36" x14ac:dyDescent="0.2">
      <c r="A892" t="str">
        <f>+VLOOKUP(B892,studies!$A$2:$C$102,3)</f>
        <v>Ackerman &amp; Stanton (2012)</v>
      </c>
      <c r="B892">
        <v>72</v>
      </c>
      <c r="C892">
        <v>2012</v>
      </c>
      <c r="D892">
        <v>1</v>
      </c>
      <c r="E892">
        <v>2007</v>
      </c>
      <c r="F892">
        <v>2010</v>
      </c>
      <c r="G892">
        <v>0.28148148148148144</v>
      </c>
      <c r="H892">
        <v>2000.0824673322313</v>
      </c>
      <c r="I892">
        <v>1</v>
      </c>
      <c r="J892">
        <v>0</v>
      </c>
      <c r="K892">
        <v>0</v>
      </c>
      <c r="L892" t="s">
        <v>238</v>
      </c>
      <c r="M892">
        <v>1025.0365316412606</v>
      </c>
      <c r="N892">
        <v>1025.0365316412606</v>
      </c>
      <c r="O892">
        <v>0</v>
      </c>
      <c r="P892">
        <v>1</v>
      </c>
      <c r="Q892">
        <v>0</v>
      </c>
      <c r="R892">
        <v>1</v>
      </c>
      <c r="S892">
        <v>0</v>
      </c>
      <c r="T892">
        <v>1</v>
      </c>
      <c r="U892">
        <v>0</v>
      </c>
      <c r="V892">
        <v>1.5</v>
      </c>
      <c r="W892">
        <v>-0.5</v>
      </c>
      <c r="AA892">
        <v>0</v>
      </c>
      <c r="AC892">
        <v>0</v>
      </c>
      <c r="AD892">
        <v>0</v>
      </c>
      <c r="AE892">
        <v>0</v>
      </c>
      <c r="AF892">
        <v>0</v>
      </c>
      <c r="AG892">
        <v>1</v>
      </c>
      <c r="AH892">
        <v>82</v>
      </c>
      <c r="AI892">
        <v>0</v>
      </c>
      <c r="AJ892">
        <v>8</v>
      </c>
    </row>
    <row r="893" spans="1:36" x14ac:dyDescent="0.2">
      <c r="A893" t="str">
        <f>+VLOOKUP(B893,studies!$A$2:$C$102,3)</f>
        <v>Ackerman &amp; Stanton (2012)</v>
      </c>
      <c r="B893">
        <v>72</v>
      </c>
      <c r="C893">
        <v>2012</v>
      </c>
      <c r="D893">
        <v>1</v>
      </c>
      <c r="E893">
        <v>2007</v>
      </c>
      <c r="F893">
        <v>2010</v>
      </c>
      <c r="G893">
        <v>0.14074074074074072</v>
      </c>
      <c r="H893">
        <v>431.47846486268367</v>
      </c>
      <c r="I893">
        <v>1</v>
      </c>
      <c r="J893">
        <v>0</v>
      </c>
      <c r="K893">
        <v>0</v>
      </c>
      <c r="L893" t="s">
        <v>238</v>
      </c>
      <c r="M893">
        <v>275.17759238691559</v>
      </c>
      <c r="N893">
        <v>275.17759238691559</v>
      </c>
      <c r="O893">
        <v>0</v>
      </c>
      <c r="P893">
        <v>1</v>
      </c>
      <c r="Q893">
        <v>0</v>
      </c>
      <c r="R893">
        <v>1</v>
      </c>
      <c r="S893">
        <v>0</v>
      </c>
      <c r="T893">
        <v>1</v>
      </c>
      <c r="U893">
        <v>0</v>
      </c>
      <c r="V893">
        <v>3</v>
      </c>
      <c r="W893">
        <v>1</v>
      </c>
      <c r="AA893">
        <v>0</v>
      </c>
      <c r="AC893">
        <v>0</v>
      </c>
      <c r="AD893">
        <v>0</v>
      </c>
      <c r="AE893">
        <v>0</v>
      </c>
      <c r="AF893">
        <v>0</v>
      </c>
      <c r="AG893">
        <v>1</v>
      </c>
      <c r="AH893">
        <v>82</v>
      </c>
      <c r="AI893">
        <v>0</v>
      </c>
      <c r="AJ893">
        <v>8</v>
      </c>
    </row>
    <row r="894" spans="1:36" x14ac:dyDescent="0.2">
      <c r="A894" t="str">
        <f>+VLOOKUP(B894,studies!$A$2:$C$102,3)</f>
        <v>Johnson &amp; Hope (2012)</v>
      </c>
      <c r="B894">
        <v>77</v>
      </c>
      <c r="C894">
        <v>2012</v>
      </c>
      <c r="D894">
        <v>1</v>
      </c>
      <c r="E894">
        <v>2007</v>
      </c>
      <c r="F894">
        <v>2010</v>
      </c>
      <c r="G894">
        <v>0.18867924528301883</v>
      </c>
      <c r="H894">
        <v>1195.5549130570193</v>
      </c>
      <c r="I894">
        <v>0</v>
      </c>
      <c r="J894">
        <v>1</v>
      </c>
      <c r="K894">
        <v>0</v>
      </c>
      <c r="L894" t="s">
        <v>238</v>
      </c>
      <c r="M894">
        <v>1128.2281287863539</v>
      </c>
      <c r="N894">
        <v>1128.2281287863539</v>
      </c>
      <c r="O894">
        <v>0</v>
      </c>
      <c r="P894">
        <v>1</v>
      </c>
      <c r="Q894">
        <v>0</v>
      </c>
      <c r="R894">
        <v>1</v>
      </c>
      <c r="S894">
        <v>1</v>
      </c>
      <c r="T894">
        <v>1</v>
      </c>
      <c r="U894">
        <v>1</v>
      </c>
      <c r="V894">
        <v>1</v>
      </c>
      <c r="AA894">
        <v>0</v>
      </c>
      <c r="AC894">
        <v>0</v>
      </c>
      <c r="AD894">
        <v>0</v>
      </c>
      <c r="AE894">
        <v>0</v>
      </c>
      <c r="AF894">
        <v>0</v>
      </c>
      <c r="AG894">
        <v>1</v>
      </c>
      <c r="AH894">
        <v>36</v>
      </c>
      <c r="AI894">
        <v>0</v>
      </c>
      <c r="AJ894">
        <v>8</v>
      </c>
    </row>
    <row r="895" spans="1:36" x14ac:dyDescent="0.2">
      <c r="A895" t="str">
        <f>+VLOOKUP(B895,studies!$A$2:$C$102,3)</f>
        <v>Johnson &amp; Hope (2012)</v>
      </c>
      <c r="B895">
        <v>77</v>
      </c>
      <c r="C895">
        <v>2012</v>
      </c>
      <c r="D895">
        <v>1</v>
      </c>
      <c r="E895">
        <v>2007</v>
      </c>
      <c r="F895">
        <v>2010</v>
      </c>
      <c r="G895">
        <v>0.18867924528301883</v>
      </c>
      <c r="H895">
        <v>548.33721576299376</v>
      </c>
      <c r="I895">
        <v>0</v>
      </c>
      <c r="J895">
        <v>1</v>
      </c>
      <c r="K895">
        <v>0</v>
      </c>
      <c r="L895" t="s">
        <v>238</v>
      </c>
      <c r="M895">
        <v>538.88945175770971</v>
      </c>
      <c r="N895">
        <v>538.88945175770971</v>
      </c>
      <c r="O895">
        <v>0</v>
      </c>
      <c r="P895">
        <v>1</v>
      </c>
      <c r="Q895">
        <v>0</v>
      </c>
      <c r="R895">
        <v>1</v>
      </c>
      <c r="S895">
        <v>1</v>
      </c>
      <c r="T895">
        <v>1</v>
      </c>
      <c r="U895">
        <v>1</v>
      </c>
      <c r="V895">
        <v>1.5</v>
      </c>
      <c r="AA895">
        <v>0</v>
      </c>
      <c r="AC895">
        <v>0</v>
      </c>
      <c r="AD895">
        <v>0</v>
      </c>
      <c r="AE895">
        <v>0</v>
      </c>
      <c r="AF895">
        <v>0</v>
      </c>
      <c r="AG895">
        <v>1</v>
      </c>
      <c r="AH895">
        <v>36</v>
      </c>
      <c r="AI895">
        <v>0</v>
      </c>
      <c r="AJ895">
        <v>8</v>
      </c>
    </row>
    <row r="896" spans="1:36" x14ac:dyDescent="0.2">
      <c r="A896" t="str">
        <f>+VLOOKUP(B896,studies!$A$2:$C$102,3)</f>
        <v>Johnson &amp; Hope (2012)</v>
      </c>
      <c r="B896">
        <v>77</v>
      </c>
      <c r="C896">
        <v>2012</v>
      </c>
      <c r="D896">
        <v>1</v>
      </c>
      <c r="E896">
        <v>2007</v>
      </c>
      <c r="F896">
        <v>2010</v>
      </c>
      <c r="G896">
        <v>0.18867924528301883</v>
      </c>
      <c r="H896">
        <v>278.66317522381649</v>
      </c>
      <c r="I896">
        <v>0</v>
      </c>
      <c r="J896">
        <v>1</v>
      </c>
      <c r="K896">
        <v>0</v>
      </c>
      <c r="L896" t="s">
        <v>238</v>
      </c>
      <c r="M896">
        <v>286.64332540303707</v>
      </c>
      <c r="N896">
        <v>286.64332540303707</v>
      </c>
      <c r="O896">
        <v>0</v>
      </c>
      <c r="P896">
        <v>1</v>
      </c>
      <c r="Q896">
        <v>0</v>
      </c>
      <c r="R896">
        <v>1</v>
      </c>
      <c r="S896">
        <v>1</v>
      </c>
      <c r="T896">
        <v>1</v>
      </c>
      <c r="U896">
        <v>1</v>
      </c>
      <c r="V896">
        <v>2</v>
      </c>
      <c r="AA896">
        <v>0</v>
      </c>
      <c r="AC896">
        <v>0</v>
      </c>
      <c r="AD896">
        <v>0</v>
      </c>
      <c r="AE896">
        <v>0</v>
      </c>
      <c r="AF896">
        <v>0</v>
      </c>
      <c r="AG896">
        <v>1</v>
      </c>
      <c r="AH896">
        <v>36</v>
      </c>
      <c r="AI896">
        <v>0</v>
      </c>
      <c r="AJ896">
        <v>8</v>
      </c>
    </row>
    <row r="897" spans="1:36" x14ac:dyDescent="0.2">
      <c r="A897" t="str">
        <f>+VLOOKUP(B897,studies!$A$2:$C$102,3)</f>
        <v>Johnson &amp; Hope (2012)</v>
      </c>
      <c r="B897">
        <v>77</v>
      </c>
      <c r="C897">
        <v>2012</v>
      </c>
      <c r="D897">
        <v>1</v>
      </c>
      <c r="E897">
        <v>2007</v>
      </c>
      <c r="F897">
        <v>2010</v>
      </c>
      <c r="G897">
        <v>1.8867924528301883E-2</v>
      </c>
      <c r="H897">
        <v>157.30985698118673</v>
      </c>
      <c r="I897">
        <v>0</v>
      </c>
      <c r="J897">
        <v>1</v>
      </c>
      <c r="K897">
        <v>0</v>
      </c>
      <c r="L897" t="s">
        <v>238</v>
      </c>
      <c r="M897">
        <v>165.10655543214938</v>
      </c>
      <c r="N897">
        <v>165.10655543214938</v>
      </c>
      <c r="O897">
        <v>0</v>
      </c>
      <c r="P897">
        <v>1</v>
      </c>
      <c r="Q897">
        <v>0</v>
      </c>
      <c r="R897">
        <v>1</v>
      </c>
      <c r="S897">
        <v>1</v>
      </c>
      <c r="T897">
        <v>1</v>
      </c>
      <c r="U897">
        <v>1</v>
      </c>
      <c r="V897">
        <v>2.5</v>
      </c>
      <c r="AA897">
        <v>0</v>
      </c>
      <c r="AC897">
        <v>0</v>
      </c>
      <c r="AD897">
        <v>0</v>
      </c>
      <c r="AE897">
        <v>0</v>
      </c>
      <c r="AF897">
        <v>0</v>
      </c>
      <c r="AG897">
        <v>1</v>
      </c>
      <c r="AH897">
        <v>36</v>
      </c>
      <c r="AI897">
        <v>0</v>
      </c>
      <c r="AJ897">
        <v>8</v>
      </c>
    </row>
    <row r="898" spans="1:36" x14ac:dyDescent="0.2">
      <c r="A898" t="str">
        <f>+VLOOKUP(B898,studies!$A$2:$C$102,3)</f>
        <v>Johnson &amp; Hope (2012)</v>
      </c>
      <c r="B898">
        <v>77</v>
      </c>
      <c r="C898">
        <v>2012</v>
      </c>
      <c r="D898">
        <v>1</v>
      </c>
      <c r="E898">
        <v>2007</v>
      </c>
      <c r="F898">
        <v>2010</v>
      </c>
      <c r="G898">
        <v>1.8867924528301883E-2</v>
      </c>
      <c r="H898">
        <v>94.38591418871205</v>
      </c>
      <c r="I898">
        <v>0</v>
      </c>
      <c r="J898">
        <v>1</v>
      </c>
      <c r="K898">
        <v>0</v>
      </c>
      <c r="L898" t="s">
        <v>238</v>
      </c>
      <c r="M898">
        <v>100.89845054186904</v>
      </c>
      <c r="N898">
        <v>100.89845054186904</v>
      </c>
      <c r="O898">
        <v>0</v>
      </c>
      <c r="P898">
        <v>1</v>
      </c>
      <c r="Q898">
        <v>0</v>
      </c>
      <c r="R898">
        <v>1</v>
      </c>
      <c r="S898">
        <v>1</v>
      </c>
      <c r="T898">
        <v>1</v>
      </c>
      <c r="U898">
        <v>1</v>
      </c>
      <c r="V898">
        <v>3</v>
      </c>
      <c r="AA898">
        <v>0</v>
      </c>
      <c r="AC898">
        <v>0</v>
      </c>
      <c r="AD898">
        <v>0</v>
      </c>
      <c r="AE898">
        <v>0</v>
      </c>
      <c r="AF898">
        <v>0</v>
      </c>
      <c r="AG898">
        <v>1</v>
      </c>
      <c r="AH898">
        <v>36</v>
      </c>
      <c r="AI898">
        <v>0</v>
      </c>
      <c r="AJ898">
        <v>8</v>
      </c>
    </row>
    <row r="899" spans="1:36" x14ac:dyDescent="0.2">
      <c r="A899" t="str">
        <f>+VLOOKUP(B899,studies!$A$2:$C$102,3)</f>
        <v>Johnson &amp; Hope (2012)</v>
      </c>
      <c r="B899">
        <v>77</v>
      </c>
      <c r="C899">
        <v>2012</v>
      </c>
      <c r="D899">
        <v>1</v>
      </c>
      <c r="E899">
        <v>2007</v>
      </c>
      <c r="F899">
        <v>2010</v>
      </c>
      <c r="G899">
        <v>1.8867924528301883E-2</v>
      </c>
      <c r="H899">
        <v>22.472836711598106</v>
      </c>
      <c r="I899">
        <v>0</v>
      </c>
      <c r="J899">
        <v>1</v>
      </c>
      <c r="K899">
        <v>0</v>
      </c>
      <c r="L899" t="s">
        <v>238</v>
      </c>
      <c r="M899">
        <v>25.22461263546726</v>
      </c>
      <c r="N899">
        <v>25.22461263546726</v>
      </c>
      <c r="O899">
        <v>0</v>
      </c>
      <c r="P899">
        <v>1</v>
      </c>
      <c r="Q899">
        <v>0</v>
      </c>
      <c r="R899">
        <v>1</v>
      </c>
      <c r="S899">
        <v>1</v>
      </c>
      <c r="T899">
        <v>1</v>
      </c>
      <c r="U899">
        <v>1</v>
      </c>
      <c r="V899">
        <v>5</v>
      </c>
      <c r="AA899">
        <v>0</v>
      </c>
      <c r="AC899">
        <v>0</v>
      </c>
      <c r="AD899">
        <v>0</v>
      </c>
      <c r="AE899">
        <v>0</v>
      </c>
      <c r="AF899">
        <v>0</v>
      </c>
      <c r="AG899">
        <v>1</v>
      </c>
      <c r="AH899">
        <v>36</v>
      </c>
      <c r="AI899">
        <v>0</v>
      </c>
      <c r="AJ899">
        <v>8</v>
      </c>
    </row>
    <row r="900" spans="1:36" x14ac:dyDescent="0.2">
      <c r="A900" t="str">
        <f>+VLOOKUP(B900,studies!$A$2:$C$102,3)</f>
        <v>Johnson &amp; Hope (2012)</v>
      </c>
      <c r="B900">
        <v>77</v>
      </c>
      <c r="C900">
        <v>2012</v>
      </c>
      <c r="D900">
        <v>1</v>
      </c>
      <c r="E900">
        <v>2007</v>
      </c>
      <c r="F900">
        <v>2010</v>
      </c>
      <c r="G900">
        <v>0.18867924528301883</v>
      </c>
      <c r="H900">
        <v>247.20120382757918</v>
      </c>
      <c r="I900">
        <v>0</v>
      </c>
      <c r="J900">
        <v>1</v>
      </c>
      <c r="K900">
        <v>0</v>
      </c>
      <c r="L900" t="s">
        <v>238</v>
      </c>
      <c r="M900">
        <v>231.60780692565396</v>
      </c>
      <c r="N900">
        <v>231.60780692565396</v>
      </c>
      <c r="O900">
        <v>0</v>
      </c>
      <c r="P900">
        <v>1</v>
      </c>
      <c r="Q900">
        <v>0</v>
      </c>
      <c r="R900">
        <v>1</v>
      </c>
      <c r="S900">
        <v>1</v>
      </c>
      <c r="T900">
        <v>1</v>
      </c>
      <c r="U900">
        <v>1</v>
      </c>
      <c r="AA900">
        <v>0</v>
      </c>
      <c r="AC900">
        <v>0</v>
      </c>
      <c r="AD900">
        <v>0</v>
      </c>
      <c r="AE900">
        <v>0</v>
      </c>
      <c r="AF900">
        <v>0</v>
      </c>
      <c r="AG900">
        <v>1</v>
      </c>
      <c r="AH900">
        <v>36</v>
      </c>
      <c r="AI900">
        <v>0</v>
      </c>
      <c r="AJ900">
        <v>8</v>
      </c>
    </row>
    <row r="901" spans="1:36" x14ac:dyDescent="0.2">
      <c r="A901" t="str">
        <f>+VLOOKUP(B901,studies!$A$2:$C$102,3)</f>
        <v>Johnson &amp; Hope (2012)</v>
      </c>
      <c r="B901">
        <v>77</v>
      </c>
      <c r="C901">
        <v>2012</v>
      </c>
      <c r="D901">
        <v>1</v>
      </c>
      <c r="E901">
        <v>2007</v>
      </c>
      <c r="F901">
        <v>2010</v>
      </c>
      <c r="G901">
        <v>0.18867924528301883</v>
      </c>
      <c r="H901">
        <v>786.54928490593363</v>
      </c>
      <c r="I901">
        <v>0</v>
      </c>
      <c r="J901">
        <v>1</v>
      </c>
      <c r="K901">
        <v>0</v>
      </c>
      <c r="L901" t="s">
        <v>238</v>
      </c>
      <c r="M901">
        <v>470.0950536609808</v>
      </c>
      <c r="N901">
        <v>470.0950536609808</v>
      </c>
      <c r="O901">
        <v>0</v>
      </c>
      <c r="P901">
        <v>1</v>
      </c>
      <c r="Q901">
        <v>0</v>
      </c>
      <c r="R901">
        <v>1</v>
      </c>
      <c r="S901">
        <v>1</v>
      </c>
      <c r="T901">
        <v>1</v>
      </c>
      <c r="U901">
        <v>1</v>
      </c>
      <c r="AA901">
        <v>0</v>
      </c>
      <c r="AC901">
        <v>0</v>
      </c>
      <c r="AD901">
        <v>0</v>
      </c>
      <c r="AE901">
        <v>0</v>
      </c>
      <c r="AF901">
        <v>0</v>
      </c>
      <c r="AG901">
        <v>1</v>
      </c>
      <c r="AH901">
        <v>36</v>
      </c>
      <c r="AI901">
        <v>0</v>
      </c>
      <c r="AJ901">
        <v>8</v>
      </c>
    </row>
    <row r="902" spans="1:36" x14ac:dyDescent="0.2">
      <c r="A902" t="str">
        <f>+VLOOKUP(B902,studies!$A$2:$C$102,3)</f>
        <v>Kopp et al. (2012)</v>
      </c>
      <c r="B902">
        <v>78</v>
      </c>
      <c r="C902">
        <v>2012</v>
      </c>
      <c r="D902">
        <v>1</v>
      </c>
      <c r="E902">
        <v>2005</v>
      </c>
      <c r="F902">
        <v>2015</v>
      </c>
      <c r="G902">
        <v>6.9444444444444441E-3</v>
      </c>
      <c r="H902">
        <v>495.36189793480105</v>
      </c>
      <c r="I902">
        <v>0</v>
      </c>
      <c r="J902">
        <v>0</v>
      </c>
      <c r="K902">
        <v>1</v>
      </c>
      <c r="L902" t="s">
        <v>238</v>
      </c>
      <c r="M902">
        <v>219.31607051422716</v>
      </c>
      <c r="N902">
        <v>268.05297507294432</v>
      </c>
      <c r="O902">
        <v>0</v>
      </c>
      <c r="P902">
        <v>1</v>
      </c>
      <c r="Q902">
        <v>0</v>
      </c>
      <c r="R902">
        <v>1</v>
      </c>
      <c r="S902">
        <v>0</v>
      </c>
      <c r="T902">
        <v>1</v>
      </c>
      <c r="U902">
        <v>0</v>
      </c>
      <c r="V902">
        <v>3</v>
      </c>
      <c r="W902">
        <v>3</v>
      </c>
      <c r="AA902">
        <v>0</v>
      </c>
      <c r="AC902">
        <v>0</v>
      </c>
      <c r="AD902">
        <v>0</v>
      </c>
      <c r="AE902">
        <v>0</v>
      </c>
      <c r="AF902">
        <v>1</v>
      </c>
      <c r="AG902">
        <v>1</v>
      </c>
      <c r="AH902">
        <v>23</v>
      </c>
      <c r="AI902">
        <v>0</v>
      </c>
      <c r="AJ902">
        <v>144</v>
      </c>
    </row>
    <row r="903" spans="1:36" x14ac:dyDescent="0.2">
      <c r="A903" t="str">
        <f>+VLOOKUP(B903,studies!$A$2:$C$102,3)</f>
        <v>Kopp et al. (2012)</v>
      </c>
      <c r="B903">
        <v>78</v>
      </c>
      <c r="C903">
        <v>2012</v>
      </c>
      <c r="D903">
        <v>1</v>
      </c>
      <c r="E903">
        <v>2005</v>
      </c>
      <c r="F903">
        <v>2015</v>
      </c>
      <c r="G903">
        <v>6.9444444444444441E-3</v>
      </c>
      <c r="H903">
        <v>525.38383114297085</v>
      </c>
      <c r="I903">
        <v>0</v>
      </c>
      <c r="J903">
        <v>0</v>
      </c>
      <c r="K903">
        <v>1</v>
      </c>
      <c r="L903" t="s">
        <v>238</v>
      </c>
      <c r="M903">
        <v>145.51447218245548</v>
      </c>
      <c r="N903">
        <v>306.34625722622212</v>
      </c>
      <c r="O903">
        <v>0</v>
      </c>
      <c r="P903">
        <v>1</v>
      </c>
      <c r="Q903">
        <v>0</v>
      </c>
      <c r="R903">
        <v>1</v>
      </c>
      <c r="S903">
        <v>0</v>
      </c>
      <c r="T903">
        <v>1</v>
      </c>
      <c r="U903">
        <v>0</v>
      </c>
      <c r="V903">
        <v>3</v>
      </c>
      <c r="W903">
        <v>3</v>
      </c>
      <c r="AA903">
        <v>0</v>
      </c>
      <c r="AC903">
        <v>0</v>
      </c>
      <c r="AD903">
        <v>0</v>
      </c>
      <c r="AE903">
        <v>0</v>
      </c>
      <c r="AF903">
        <v>1</v>
      </c>
      <c r="AG903">
        <v>1</v>
      </c>
      <c r="AH903">
        <v>23</v>
      </c>
      <c r="AI903">
        <v>0</v>
      </c>
      <c r="AJ903">
        <v>144</v>
      </c>
    </row>
    <row r="904" spans="1:36" x14ac:dyDescent="0.2">
      <c r="A904" t="str">
        <f>+VLOOKUP(B904,studies!$A$2:$C$102,3)</f>
        <v>Kopp et al. (2012)</v>
      </c>
      <c r="B904">
        <v>78</v>
      </c>
      <c r="C904">
        <v>2012</v>
      </c>
      <c r="D904">
        <v>1</v>
      </c>
      <c r="E904">
        <v>2005</v>
      </c>
      <c r="F904">
        <v>2015</v>
      </c>
      <c r="G904">
        <v>6.9444444444444441E-3</v>
      </c>
      <c r="H904">
        <v>480.35093133071615</v>
      </c>
      <c r="I904">
        <v>0</v>
      </c>
      <c r="J904">
        <v>0</v>
      </c>
      <c r="K904">
        <v>1</v>
      </c>
      <c r="L904" t="s">
        <v>238</v>
      </c>
      <c r="M904">
        <v>137.85581575179992</v>
      </c>
      <c r="N904">
        <v>314.00491365687765</v>
      </c>
      <c r="O904">
        <v>0</v>
      </c>
      <c r="P904">
        <v>1</v>
      </c>
      <c r="Q904">
        <v>0</v>
      </c>
      <c r="R904">
        <v>1</v>
      </c>
      <c r="S904">
        <v>0</v>
      </c>
      <c r="T904">
        <v>1</v>
      </c>
      <c r="U904">
        <v>0</v>
      </c>
      <c r="V904">
        <v>3</v>
      </c>
      <c r="W904">
        <v>3</v>
      </c>
      <c r="AA904">
        <v>0</v>
      </c>
      <c r="AC904">
        <v>0</v>
      </c>
      <c r="AD904">
        <v>0</v>
      </c>
      <c r="AE904">
        <v>0</v>
      </c>
      <c r="AF904">
        <v>1</v>
      </c>
      <c r="AG904">
        <v>1</v>
      </c>
      <c r="AH904">
        <v>23</v>
      </c>
      <c r="AI904">
        <v>0</v>
      </c>
      <c r="AJ904">
        <v>144</v>
      </c>
    </row>
    <row r="905" spans="1:36" x14ac:dyDescent="0.2">
      <c r="A905" t="str">
        <f>+VLOOKUP(B905,studies!$A$2:$C$102,3)</f>
        <v>Kopp et al. (2012)</v>
      </c>
      <c r="B905">
        <v>78</v>
      </c>
      <c r="C905">
        <v>2012</v>
      </c>
      <c r="D905">
        <v>1</v>
      </c>
      <c r="E905">
        <v>2005</v>
      </c>
      <c r="F905">
        <v>2015</v>
      </c>
      <c r="G905">
        <v>6.9444444444444441E-3</v>
      </c>
      <c r="H905">
        <v>690.50446378790446</v>
      </c>
      <c r="I905">
        <v>0</v>
      </c>
      <c r="J905">
        <v>0</v>
      </c>
      <c r="K905">
        <v>1</v>
      </c>
      <c r="L905" t="s">
        <v>238</v>
      </c>
      <c r="M905">
        <v>176.14909790507767</v>
      </c>
      <c r="N905">
        <v>306.34625722622212</v>
      </c>
      <c r="O905">
        <v>0</v>
      </c>
      <c r="P905">
        <v>1</v>
      </c>
      <c r="Q905">
        <v>0</v>
      </c>
      <c r="R905">
        <v>1</v>
      </c>
      <c r="S905">
        <v>0</v>
      </c>
      <c r="T905">
        <v>1</v>
      </c>
      <c r="U905">
        <v>0</v>
      </c>
      <c r="V905">
        <v>3</v>
      </c>
      <c r="W905">
        <v>3</v>
      </c>
      <c r="AA905">
        <v>0</v>
      </c>
      <c r="AC905">
        <v>0</v>
      </c>
      <c r="AD905">
        <v>0</v>
      </c>
      <c r="AE905">
        <v>0</v>
      </c>
      <c r="AF905">
        <v>1</v>
      </c>
      <c r="AG905">
        <v>1</v>
      </c>
      <c r="AH905">
        <v>23</v>
      </c>
      <c r="AI905">
        <v>0</v>
      </c>
      <c r="AJ905">
        <v>144</v>
      </c>
    </row>
    <row r="906" spans="1:36" x14ac:dyDescent="0.2">
      <c r="A906" t="str">
        <f>+VLOOKUP(B906,studies!$A$2:$C$102,3)</f>
        <v>Kopp et al. (2012)</v>
      </c>
      <c r="B906">
        <v>78</v>
      </c>
      <c r="C906">
        <v>2012</v>
      </c>
      <c r="D906">
        <v>1</v>
      </c>
      <c r="E906">
        <v>2005</v>
      </c>
      <c r="F906">
        <v>2015</v>
      </c>
      <c r="G906">
        <v>6.9444444444444441E-3</v>
      </c>
      <c r="H906">
        <v>360.26319849803713</v>
      </c>
      <c r="I906">
        <v>0</v>
      </c>
      <c r="J906">
        <v>0</v>
      </c>
      <c r="K906">
        <v>1</v>
      </c>
      <c r="L906" t="s">
        <v>238</v>
      </c>
      <c r="M906">
        <v>91.903877167866611</v>
      </c>
      <c r="N906">
        <v>168.49044147442211</v>
      </c>
      <c r="O906">
        <v>0</v>
      </c>
      <c r="P906">
        <v>1</v>
      </c>
      <c r="Q906">
        <v>0</v>
      </c>
      <c r="R906">
        <v>1</v>
      </c>
      <c r="S906">
        <v>0</v>
      </c>
      <c r="T906">
        <v>1</v>
      </c>
      <c r="U906">
        <v>0</v>
      </c>
      <c r="V906">
        <v>3</v>
      </c>
      <c r="W906">
        <v>3</v>
      </c>
      <c r="AA906">
        <v>0</v>
      </c>
      <c r="AC906">
        <v>0</v>
      </c>
      <c r="AD906">
        <v>0</v>
      </c>
      <c r="AE906">
        <v>0</v>
      </c>
      <c r="AF906">
        <v>1</v>
      </c>
      <c r="AG906">
        <v>1</v>
      </c>
      <c r="AH906">
        <v>23</v>
      </c>
      <c r="AI906">
        <v>0</v>
      </c>
      <c r="AJ906">
        <v>144</v>
      </c>
    </row>
    <row r="907" spans="1:36" x14ac:dyDescent="0.2">
      <c r="A907" t="str">
        <f>+VLOOKUP(B907,studies!$A$2:$C$102,3)</f>
        <v>Kopp et al. (2012)</v>
      </c>
      <c r="B907">
        <v>78</v>
      </c>
      <c r="C907">
        <v>2012</v>
      </c>
      <c r="D907">
        <v>1</v>
      </c>
      <c r="E907">
        <v>2005</v>
      </c>
      <c r="F907">
        <v>2015</v>
      </c>
      <c r="G907">
        <v>6.9444444444444441E-3</v>
      </c>
      <c r="H907">
        <v>705.51543039198941</v>
      </c>
      <c r="I907">
        <v>0</v>
      </c>
      <c r="J907">
        <v>0</v>
      </c>
      <c r="K907">
        <v>1</v>
      </c>
      <c r="L907" t="s">
        <v>238</v>
      </c>
      <c r="M907">
        <v>176.14909790507767</v>
      </c>
      <c r="N907">
        <v>260.39431864228868</v>
      </c>
      <c r="O907">
        <v>0</v>
      </c>
      <c r="P907">
        <v>1</v>
      </c>
      <c r="Q907">
        <v>0</v>
      </c>
      <c r="R907">
        <v>1</v>
      </c>
      <c r="S907">
        <v>0</v>
      </c>
      <c r="T907">
        <v>1</v>
      </c>
      <c r="U907">
        <v>0</v>
      </c>
      <c r="V907">
        <v>3</v>
      </c>
      <c r="W907">
        <v>3</v>
      </c>
      <c r="AA907">
        <v>0</v>
      </c>
      <c r="AC907">
        <v>0</v>
      </c>
      <c r="AD907">
        <v>0</v>
      </c>
      <c r="AE907">
        <v>0</v>
      </c>
      <c r="AF907">
        <v>1</v>
      </c>
      <c r="AG907">
        <v>1</v>
      </c>
      <c r="AH907">
        <v>23</v>
      </c>
      <c r="AI907">
        <v>0</v>
      </c>
      <c r="AJ907">
        <v>144</v>
      </c>
    </row>
    <row r="908" spans="1:36" x14ac:dyDescent="0.2">
      <c r="A908" t="str">
        <f>+VLOOKUP(B908,studies!$A$2:$C$102,3)</f>
        <v>Kopp et al. (2012)</v>
      </c>
      <c r="B908">
        <v>78</v>
      </c>
      <c r="C908">
        <v>2012</v>
      </c>
      <c r="D908">
        <v>1</v>
      </c>
      <c r="E908">
        <v>2005</v>
      </c>
      <c r="F908">
        <v>2015</v>
      </c>
      <c r="G908">
        <v>6.9444444444444441E-3</v>
      </c>
      <c r="H908">
        <v>405.29609831029177</v>
      </c>
      <c r="I908">
        <v>0</v>
      </c>
      <c r="J908">
        <v>0</v>
      </c>
      <c r="K908">
        <v>1</v>
      </c>
      <c r="L908" t="s">
        <v>238</v>
      </c>
      <c r="M908">
        <v>99.562533598522165</v>
      </c>
      <c r="N908">
        <v>214.44238005835544</v>
      </c>
      <c r="O908">
        <v>0</v>
      </c>
      <c r="P908">
        <v>1</v>
      </c>
      <c r="Q908">
        <v>0</v>
      </c>
      <c r="R908">
        <v>1</v>
      </c>
      <c r="S908">
        <v>0</v>
      </c>
      <c r="T908">
        <v>1</v>
      </c>
      <c r="U908">
        <v>0</v>
      </c>
      <c r="V908">
        <v>3</v>
      </c>
      <c r="W908">
        <v>3</v>
      </c>
      <c r="AA908">
        <v>0</v>
      </c>
      <c r="AC908">
        <v>0</v>
      </c>
      <c r="AD908">
        <v>0</v>
      </c>
      <c r="AE908">
        <v>0</v>
      </c>
      <c r="AF908">
        <v>1</v>
      </c>
      <c r="AG908">
        <v>1</v>
      </c>
      <c r="AH908">
        <v>23</v>
      </c>
      <c r="AI908">
        <v>0</v>
      </c>
      <c r="AJ908">
        <v>144</v>
      </c>
    </row>
    <row r="909" spans="1:36" x14ac:dyDescent="0.2">
      <c r="A909" t="str">
        <f>+VLOOKUP(B909,studies!$A$2:$C$102,3)</f>
        <v>Kopp et al. (2012)</v>
      </c>
      <c r="B909">
        <v>78</v>
      </c>
      <c r="C909">
        <v>2012</v>
      </c>
      <c r="D909">
        <v>1</v>
      </c>
      <c r="E909">
        <v>2005</v>
      </c>
      <c r="F909">
        <v>2015</v>
      </c>
      <c r="G909">
        <v>6.9444444444444441E-3</v>
      </c>
      <c r="H909">
        <v>525.38383114297085</v>
      </c>
      <c r="I909">
        <v>0</v>
      </c>
      <c r="J909">
        <v>0</v>
      </c>
      <c r="K909">
        <v>1</v>
      </c>
      <c r="L909" t="s">
        <v>238</v>
      </c>
      <c r="M909">
        <v>145.51447218245548</v>
      </c>
      <c r="N909">
        <v>283.37028793425543</v>
      </c>
      <c r="O909">
        <v>0</v>
      </c>
      <c r="P909">
        <v>1</v>
      </c>
      <c r="Q909">
        <v>0</v>
      </c>
      <c r="R909">
        <v>1</v>
      </c>
      <c r="S909">
        <v>0</v>
      </c>
      <c r="T909">
        <v>1</v>
      </c>
      <c r="U909">
        <v>0</v>
      </c>
      <c r="V909">
        <v>3</v>
      </c>
      <c r="W909">
        <v>3</v>
      </c>
      <c r="AA909">
        <v>0</v>
      </c>
      <c r="AC909">
        <v>0</v>
      </c>
      <c r="AD909">
        <v>0</v>
      </c>
      <c r="AE909">
        <v>0</v>
      </c>
      <c r="AF909">
        <v>1</v>
      </c>
      <c r="AG909">
        <v>1</v>
      </c>
      <c r="AH909">
        <v>23</v>
      </c>
      <c r="AI909">
        <v>0</v>
      </c>
      <c r="AJ909">
        <v>144</v>
      </c>
    </row>
    <row r="910" spans="1:36" x14ac:dyDescent="0.2">
      <c r="A910" t="str">
        <f>+VLOOKUP(B910,studies!$A$2:$C$102,3)</f>
        <v>Kopp et al. (2012)</v>
      </c>
      <c r="B910">
        <v>78</v>
      </c>
      <c r="C910">
        <v>2012</v>
      </c>
      <c r="D910">
        <v>1</v>
      </c>
      <c r="E910">
        <v>2005</v>
      </c>
      <c r="F910">
        <v>2015</v>
      </c>
      <c r="G910">
        <v>6.9444444444444441E-3</v>
      </c>
      <c r="H910">
        <v>495.36189793480105</v>
      </c>
      <c r="I910">
        <v>0</v>
      </c>
      <c r="J910">
        <v>0</v>
      </c>
      <c r="K910">
        <v>1</v>
      </c>
      <c r="L910" t="s">
        <v>238</v>
      </c>
      <c r="M910">
        <v>130.19715932114437</v>
      </c>
      <c r="N910">
        <v>268.05297507294432</v>
      </c>
      <c r="O910">
        <v>0</v>
      </c>
      <c r="P910">
        <v>1</v>
      </c>
      <c r="Q910">
        <v>0</v>
      </c>
      <c r="R910">
        <v>1</v>
      </c>
      <c r="S910">
        <v>0</v>
      </c>
      <c r="T910">
        <v>1</v>
      </c>
      <c r="U910">
        <v>0</v>
      </c>
      <c r="V910">
        <v>3</v>
      </c>
      <c r="W910">
        <v>3</v>
      </c>
      <c r="AA910">
        <v>0</v>
      </c>
      <c r="AC910">
        <v>0</v>
      </c>
      <c r="AD910">
        <v>0</v>
      </c>
      <c r="AE910">
        <v>0</v>
      </c>
      <c r="AF910">
        <v>1</v>
      </c>
      <c r="AG910">
        <v>1</v>
      </c>
      <c r="AH910">
        <v>23</v>
      </c>
      <c r="AI910">
        <v>0</v>
      </c>
      <c r="AJ910">
        <v>144</v>
      </c>
    </row>
    <row r="911" spans="1:36" x14ac:dyDescent="0.2">
      <c r="A911" t="str">
        <f>+VLOOKUP(B911,studies!$A$2:$C$102,3)</f>
        <v>Kopp et al. (2012)</v>
      </c>
      <c r="B911">
        <v>78</v>
      </c>
      <c r="C911">
        <v>2012</v>
      </c>
      <c r="D911">
        <v>1</v>
      </c>
      <c r="E911">
        <v>2005</v>
      </c>
      <c r="F911">
        <v>2015</v>
      </c>
      <c r="G911">
        <v>6.9444444444444441E-3</v>
      </c>
      <c r="H911">
        <v>675.49349718381961</v>
      </c>
      <c r="I911">
        <v>0</v>
      </c>
      <c r="J911">
        <v>0</v>
      </c>
      <c r="K911">
        <v>1</v>
      </c>
      <c r="L911" t="s">
        <v>238</v>
      </c>
      <c r="M911">
        <v>222.10103648901097</v>
      </c>
      <c r="N911">
        <v>1072.2119002917771</v>
      </c>
      <c r="O911">
        <v>0</v>
      </c>
      <c r="P911">
        <v>1</v>
      </c>
      <c r="Q911">
        <v>0</v>
      </c>
      <c r="R911">
        <v>1</v>
      </c>
      <c r="S911">
        <v>0</v>
      </c>
      <c r="T911">
        <v>1</v>
      </c>
      <c r="U911">
        <v>0</v>
      </c>
      <c r="V911">
        <v>3</v>
      </c>
      <c r="W911">
        <v>3</v>
      </c>
      <c r="AA911">
        <v>0</v>
      </c>
      <c r="AC911">
        <v>0</v>
      </c>
      <c r="AD911">
        <v>0</v>
      </c>
      <c r="AE911">
        <v>0</v>
      </c>
      <c r="AF911">
        <v>1</v>
      </c>
      <c r="AG911">
        <v>1</v>
      </c>
      <c r="AH911">
        <v>23</v>
      </c>
      <c r="AI911">
        <v>0</v>
      </c>
      <c r="AJ911">
        <v>144</v>
      </c>
    </row>
    <row r="912" spans="1:36" x14ac:dyDescent="0.2">
      <c r="A912" t="str">
        <f>+VLOOKUP(B912,studies!$A$2:$C$102,3)</f>
        <v>Kopp et al. (2012)</v>
      </c>
      <c r="B912">
        <v>78</v>
      </c>
      <c r="C912">
        <v>2012</v>
      </c>
      <c r="D912">
        <v>1</v>
      </c>
      <c r="E912">
        <v>2005</v>
      </c>
      <c r="F912">
        <v>2015</v>
      </c>
      <c r="G912">
        <v>6.9444444444444441E-3</v>
      </c>
      <c r="H912">
        <v>225.1644990612732</v>
      </c>
      <c r="I912">
        <v>0</v>
      </c>
      <c r="J912">
        <v>0</v>
      </c>
      <c r="K912">
        <v>1</v>
      </c>
      <c r="L912" t="s">
        <v>238</v>
      </c>
      <c r="M912">
        <v>68.927907875899962</v>
      </c>
      <c r="N912">
        <v>1026.2599617078438</v>
      </c>
      <c r="O912">
        <v>0</v>
      </c>
      <c r="P912">
        <v>1</v>
      </c>
      <c r="Q912">
        <v>0</v>
      </c>
      <c r="R912">
        <v>1</v>
      </c>
      <c r="S912">
        <v>0</v>
      </c>
      <c r="T912">
        <v>1</v>
      </c>
      <c r="U912">
        <v>0</v>
      </c>
      <c r="V912">
        <v>3</v>
      </c>
      <c r="W912">
        <v>3</v>
      </c>
      <c r="AA912">
        <v>0</v>
      </c>
      <c r="AC912">
        <v>0</v>
      </c>
      <c r="AD912">
        <v>0</v>
      </c>
      <c r="AE912">
        <v>0</v>
      </c>
      <c r="AF912">
        <v>1</v>
      </c>
      <c r="AG912">
        <v>1</v>
      </c>
      <c r="AH912">
        <v>23</v>
      </c>
      <c r="AI912">
        <v>0</v>
      </c>
      <c r="AJ912">
        <v>144</v>
      </c>
    </row>
    <row r="913" spans="1:36" x14ac:dyDescent="0.2">
      <c r="A913" t="str">
        <f>+VLOOKUP(B913,studies!$A$2:$C$102,3)</f>
        <v>Kopp et al. (2012)</v>
      </c>
      <c r="B913">
        <v>78</v>
      </c>
      <c r="C913">
        <v>2012</v>
      </c>
      <c r="D913">
        <v>1</v>
      </c>
      <c r="E913">
        <v>2005</v>
      </c>
      <c r="F913">
        <v>2015</v>
      </c>
      <c r="G913">
        <v>6.9444444444444441E-3</v>
      </c>
      <c r="H913">
        <v>165.12063264493366</v>
      </c>
      <c r="I913">
        <v>0</v>
      </c>
      <c r="J913">
        <v>0</v>
      </c>
      <c r="K913">
        <v>1</v>
      </c>
      <c r="L913" t="s">
        <v>238</v>
      </c>
      <c r="M913">
        <v>45.951938583933298</v>
      </c>
      <c r="N913">
        <v>1049.2359309998105</v>
      </c>
      <c r="O913">
        <v>0</v>
      </c>
      <c r="P913">
        <v>1</v>
      </c>
      <c r="Q913">
        <v>0</v>
      </c>
      <c r="R913">
        <v>1</v>
      </c>
      <c r="S913">
        <v>0</v>
      </c>
      <c r="T913">
        <v>1</v>
      </c>
      <c r="U913">
        <v>0</v>
      </c>
      <c r="V913">
        <v>3</v>
      </c>
      <c r="W913">
        <v>3</v>
      </c>
      <c r="AA913">
        <v>0</v>
      </c>
      <c r="AC913">
        <v>0</v>
      </c>
      <c r="AD913">
        <v>0</v>
      </c>
      <c r="AE913">
        <v>0</v>
      </c>
      <c r="AF913">
        <v>1</v>
      </c>
      <c r="AG913">
        <v>1</v>
      </c>
      <c r="AH913">
        <v>23</v>
      </c>
      <c r="AI913">
        <v>0</v>
      </c>
      <c r="AJ913">
        <v>144</v>
      </c>
    </row>
    <row r="914" spans="1:36" x14ac:dyDescent="0.2">
      <c r="A914" t="str">
        <f>+VLOOKUP(B914,studies!$A$2:$C$102,3)</f>
        <v>Kopp et al. (2012)</v>
      </c>
      <c r="B914">
        <v>78</v>
      </c>
      <c r="C914">
        <v>2012</v>
      </c>
      <c r="D914">
        <v>1</v>
      </c>
      <c r="E914">
        <v>2005</v>
      </c>
      <c r="F914">
        <v>2015</v>
      </c>
      <c r="G914">
        <v>6.9444444444444441E-3</v>
      </c>
      <c r="H914">
        <v>300.21933208169759</v>
      </c>
      <c r="I914">
        <v>0</v>
      </c>
      <c r="J914">
        <v>0</v>
      </c>
      <c r="K914">
        <v>1</v>
      </c>
      <c r="L914" t="s">
        <v>238</v>
      </c>
      <c r="M914">
        <v>91.903877167866611</v>
      </c>
      <c r="N914">
        <v>1256.0196546275106</v>
      </c>
      <c r="O914">
        <v>0</v>
      </c>
      <c r="P914">
        <v>1</v>
      </c>
      <c r="Q914">
        <v>0</v>
      </c>
      <c r="R914">
        <v>1</v>
      </c>
      <c r="S914">
        <v>0</v>
      </c>
      <c r="T914">
        <v>1</v>
      </c>
      <c r="U914">
        <v>0</v>
      </c>
      <c r="V914">
        <v>3</v>
      </c>
      <c r="W914">
        <v>3</v>
      </c>
      <c r="AA914">
        <v>0</v>
      </c>
      <c r="AC914">
        <v>0</v>
      </c>
      <c r="AD914">
        <v>0</v>
      </c>
      <c r="AE914">
        <v>0</v>
      </c>
      <c r="AF914">
        <v>1</v>
      </c>
      <c r="AG914">
        <v>1</v>
      </c>
      <c r="AH914">
        <v>23</v>
      </c>
      <c r="AI914">
        <v>0</v>
      </c>
      <c r="AJ914">
        <v>144</v>
      </c>
    </row>
    <row r="915" spans="1:36" x14ac:dyDescent="0.2">
      <c r="A915" t="str">
        <f>+VLOOKUP(B915,studies!$A$2:$C$102,3)</f>
        <v>Kopp et al. (2012)</v>
      </c>
      <c r="B915">
        <v>78</v>
      </c>
      <c r="C915">
        <v>2012</v>
      </c>
      <c r="D915">
        <v>1</v>
      </c>
      <c r="E915">
        <v>2005</v>
      </c>
      <c r="F915">
        <v>2015</v>
      </c>
      <c r="G915">
        <v>6.9444444444444441E-3</v>
      </c>
      <c r="H915">
        <v>120.08773283267904</v>
      </c>
      <c r="I915">
        <v>0</v>
      </c>
      <c r="J915">
        <v>0</v>
      </c>
      <c r="K915">
        <v>1</v>
      </c>
      <c r="L915" t="s">
        <v>238</v>
      </c>
      <c r="M915">
        <v>30.634625722622204</v>
      </c>
      <c r="N915">
        <v>850.11086380276618</v>
      </c>
      <c r="O915">
        <v>0</v>
      </c>
      <c r="P915">
        <v>1</v>
      </c>
      <c r="Q915">
        <v>0</v>
      </c>
      <c r="R915">
        <v>1</v>
      </c>
      <c r="S915">
        <v>0</v>
      </c>
      <c r="T915">
        <v>1</v>
      </c>
      <c r="U915">
        <v>0</v>
      </c>
      <c r="V915">
        <v>3</v>
      </c>
      <c r="W915">
        <v>3</v>
      </c>
      <c r="AA915">
        <v>0</v>
      </c>
      <c r="AC915">
        <v>0</v>
      </c>
      <c r="AD915">
        <v>0</v>
      </c>
      <c r="AE915">
        <v>0</v>
      </c>
      <c r="AF915">
        <v>1</v>
      </c>
      <c r="AG915">
        <v>1</v>
      </c>
      <c r="AH915">
        <v>23</v>
      </c>
      <c r="AI915">
        <v>0</v>
      </c>
      <c r="AJ915">
        <v>144</v>
      </c>
    </row>
    <row r="916" spans="1:36" x14ac:dyDescent="0.2">
      <c r="A916" t="str">
        <f>+VLOOKUP(B916,studies!$A$2:$C$102,3)</f>
        <v>Kopp et al. (2012)</v>
      </c>
      <c r="B916">
        <v>78</v>
      </c>
      <c r="C916">
        <v>2012</v>
      </c>
      <c r="D916">
        <v>1</v>
      </c>
      <c r="E916">
        <v>2005</v>
      </c>
      <c r="F916">
        <v>2015</v>
      </c>
      <c r="G916">
        <v>6.9444444444444441E-3</v>
      </c>
      <c r="H916">
        <v>120.08773283267904</v>
      </c>
      <c r="I916">
        <v>0</v>
      </c>
      <c r="J916">
        <v>0</v>
      </c>
      <c r="K916">
        <v>1</v>
      </c>
      <c r="L916" t="s">
        <v>238</v>
      </c>
      <c r="M916">
        <v>53.61059501458886</v>
      </c>
      <c r="N916">
        <v>1547.0485989924214</v>
      </c>
      <c r="O916">
        <v>0</v>
      </c>
      <c r="P916">
        <v>1</v>
      </c>
      <c r="Q916">
        <v>0</v>
      </c>
      <c r="R916">
        <v>1</v>
      </c>
      <c r="S916">
        <v>0</v>
      </c>
      <c r="T916">
        <v>1</v>
      </c>
      <c r="U916">
        <v>0</v>
      </c>
      <c r="V916">
        <v>3</v>
      </c>
      <c r="W916">
        <v>3</v>
      </c>
      <c r="AA916">
        <v>0</v>
      </c>
      <c r="AC916">
        <v>0</v>
      </c>
      <c r="AD916">
        <v>0</v>
      </c>
      <c r="AE916">
        <v>0</v>
      </c>
      <c r="AF916">
        <v>1</v>
      </c>
      <c r="AG916">
        <v>1</v>
      </c>
      <c r="AH916">
        <v>23</v>
      </c>
      <c r="AI916">
        <v>0</v>
      </c>
      <c r="AJ916">
        <v>144</v>
      </c>
    </row>
    <row r="917" spans="1:36" x14ac:dyDescent="0.2">
      <c r="A917" t="str">
        <f>+VLOOKUP(B917,studies!$A$2:$C$102,3)</f>
        <v>Kopp et al. (2012)</v>
      </c>
      <c r="B917">
        <v>78</v>
      </c>
      <c r="C917">
        <v>2012</v>
      </c>
      <c r="D917">
        <v>1</v>
      </c>
      <c r="E917">
        <v>2005</v>
      </c>
      <c r="F917">
        <v>2015</v>
      </c>
      <c r="G917">
        <v>6.9444444444444441E-3</v>
      </c>
      <c r="H917">
        <v>105.07676622859417</v>
      </c>
      <c r="I917">
        <v>0</v>
      </c>
      <c r="J917">
        <v>0</v>
      </c>
      <c r="K917">
        <v>1</v>
      </c>
      <c r="L917" t="s">
        <v>238</v>
      </c>
      <c r="M917">
        <v>45.951938583933305</v>
      </c>
      <c r="N917">
        <v>1531.7312861311102</v>
      </c>
      <c r="O917">
        <v>0</v>
      </c>
      <c r="P917">
        <v>1</v>
      </c>
      <c r="Q917">
        <v>0</v>
      </c>
      <c r="R917">
        <v>1</v>
      </c>
      <c r="S917">
        <v>0</v>
      </c>
      <c r="T917">
        <v>1</v>
      </c>
      <c r="U917">
        <v>0</v>
      </c>
      <c r="V917">
        <v>3</v>
      </c>
      <c r="W917">
        <v>3</v>
      </c>
      <c r="AA917">
        <v>0</v>
      </c>
      <c r="AC917">
        <v>0</v>
      </c>
      <c r="AD917">
        <v>0</v>
      </c>
      <c r="AE917">
        <v>0</v>
      </c>
      <c r="AF917">
        <v>1</v>
      </c>
      <c r="AG917">
        <v>1</v>
      </c>
      <c r="AH917">
        <v>23</v>
      </c>
      <c r="AI917">
        <v>0</v>
      </c>
      <c r="AJ917">
        <v>144</v>
      </c>
    </row>
    <row r="918" spans="1:36" x14ac:dyDescent="0.2">
      <c r="A918" t="str">
        <f>+VLOOKUP(B918,studies!$A$2:$C$102,3)</f>
        <v>Kopp et al. (2012)</v>
      </c>
      <c r="B918">
        <v>78</v>
      </c>
      <c r="C918">
        <v>2012</v>
      </c>
      <c r="D918">
        <v>1</v>
      </c>
      <c r="E918">
        <v>2005</v>
      </c>
      <c r="F918">
        <v>2015</v>
      </c>
      <c r="G918">
        <v>6.9444444444444441E-3</v>
      </c>
      <c r="H918">
        <v>135.09869943676392</v>
      </c>
      <c r="I918">
        <v>0</v>
      </c>
      <c r="J918">
        <v>0</v>
      </c>
      <c r="K918">
        <v>1</v>
      </c>
      <c r="L918" t="s">
        <v>238</v>
      </c>
      <c r="M918">
        <v>61.269251445244407</v>
      </c>
      <c r="N918">
        <v>1700.2217276055326</v>
      </c>
      <c r="O918">
        <v>0</v>
      </c>
      <c r="P918">
        <v>1</v>
      </c>
      <c r="Q918">
        <v>0</v>
      </c>
      <c r="R918">
        <v>1</v>
      </c>
      <c r="S918">
        <v>0</v>
      </c>
      <c r="T918">
        <v>1</v>
      </c>
      <c r="U918">
        <v>0</v>
      </c>
      <c r="V918">
        <v>3</v>
      </c>
      <c r="W918">
        <v>3</v>
      </c>
      <c r="AA918">
        <v>0</v>
      </c>
      <c r="AC918">
        <v>0</v>
      </c>
      <c r="AD918">
        <v>0</v>
      </c>
      <c r="AE918">
        <v>0</v>
      </c>
      <c r="AF918">
        <v>1</v>
      </c>
      <c r="AG918">
        <v>1</v>
      </c>
      <c r="AH918">
        <v>23</v>
      </c>
      <c r="AI918">
        <v>0</v>
      </c>
      <c r="AJ918">
        <v>144</v>
      </c>
    </row>
    <row r="919" spans="1:36" x14ac:dyDescent="0.2">
      <c r="A919" t="str">
        <f>+VLOOKUP(B919,studies!$A$2:$C$102,3)</f>
        <v>Kopp et al. (2012)</v>
      </c>
      <c r="B919">
        <v>78</v>
      </c>
      <c r="C919">
        <v>2012</v>
      </c>
      <c r="D919">
        <v>1</v>
      </c>
      <c r="E919">
        <v>2005</v>
      </c>
      <c r="F919">
        <v>2015</v>
      </c>
      <c r="G919">
        <v>6.9444444444444441E-3</v>
      </c>
      <c r="H919">
        <v>90.065799624509282</v>
      </c>
      <c r="I919">
        <v>0</v>
      </c>
      <c r="J919">
        <v>0</v>
      </c>
      <c r="K919">
        <v>1</v>
      </c>
      <c r="L919" t="s">
        <v>238</v>
      </c>
      <c r="M919">
        <v>38.293282153277758</v>
      </c>
      <c r="N919">
        <v>1439.8274089632437</v>
      </c>
      <c r="O919">
        <v>0</v>
      </c>
      <c r="P919">
        <v>1</v>
      </c>
      <c r="Q919">
        <v>0</v>
      </c>
      <c r="R919">
        <v>1</v>
      </c>
      <c r="S919">
        <v>0</v>
      </c>
      <c r="T919">
        <v>1</v>
      </c>
      <c r="U919">
        <v>0</v>
      </c>
      <c r="V919">
        <v>3</v>
      </c>
      <c r="W919">
        <v>3</v>
      </c>
      <c r="AA919">
        <v>0</v>
      </c>
      <c r="AC919">
        <v>0</v>
      </c>
      <c r="AD919">
        <v>0</v>
      </c>
      <c r="AE919">
        <v>0</v>
      </c>
      <c r="AF919">
        <v>1</v>
      </c>
      <c r="AG919">
        <v>1</v>
      </c>
      <c r="AH919">
        <v>23</v>
      </c>
      <c r="AI919">
        <v>0</v>
      </c>
      <c r="AJ919">
        <v>144</v>
      </c>
    </row>
    <row r="920" spans="1:36" x14ac:dyDescent="0.2">
      <c r="A920" t="str">
        <f>+VLOOKUP(B920,studies!$A$2:$C$102,3)</f>
        <v>Kopp et al. (2012)</v>
      </c>
      <c r="B920">
        <v>78</v>
      </c>
      <c r="C920">
        <v>2012</v>
      </c>
      <c r="D920">
        <v>1</v>
      </c>
      <c r="E920">
        <v>2005</v>
      </c>
      <c r="F920">
        <v>2015</v>
      </c>
      <c r="G920">
        <v>6.9444444444444441E-3</v>
      </c>
      <c r="H920">
        <v>585.42769755931033</v>
      </c>
      <c r="I920">
        <v>0</v>
      </c>
      <c r="J920">
        <v>0</v>
      </c>
      <c r="K920">
        <v>1</v>
      </c>
      <c r="L920" t="s">
        <v>238</v>
      </c>
      <c r="M920">
        <v>160.83178504376656</v>
      </c>
      <c r="N920">
        <v>413.56744725539983</v>
      </c>
      <c r="O920">
        <v>0</v>
      </c>
      <c r="P920">
        <v>1</v>
      </c>
      <c r="Q920">
        <v>0</v>
      </c>
      <c r="R920">
        <v>1</v>
      </c>
      <c r="S920">
        <v>0</v>
      </c>
      <c r="T920">
        <v>1</v>
      </c>
      <c r="U920">
        <v>0</v>
      </c>
      <c r="V920">
        <v>3</v>
      </c>
      <c r="W920">
        <v>0.95</v>
      </c>
      <c r="AA920">
        <v>0</v>
      </c>
      <c r="AC920">
        <v>0</v>
      </c>
      <c r="AD920">
        <v>0</v>
      </c>
      <c r="AE920">
        <v>0</v>
      </c>
      <c r="AF920">
        <v>1</v>
      </c>
      <c r="AG920">
        <v>1</v>
      </c>
      <c r="AH920">
        <v>23</v>
      </c>
      <c r="AI920">
        <v>0</v>
      </c>
      <c r="AJ920">
        <v>144</v>
      </c>
    </row>
    <row r="921" spans="1:36" x14ac:dyDescent="0.2">
      <c r="A921" t="str">
        <f>+VLOOKUP(B921,studies!$A$2:$C$102,3)</f>
        <v>Kopp et al. (2012)</v>
      </c>
      <c r="B921">
        <v>78</v>
      </c>
      <c r="C921">
        <v>2012</v>
      </c>
      <c r="D921">
        <v>1</v>
      </c>
      <c r="E921">
        <v>2005</v>
      </c>
      <c r="F921">
        <v>2015</v>
      </c>
      <c r="G921">
        <v>6.9444444444444441E-3</v>
      </c>
      <c r="H921">
        <v>615.44963076748013</v>
      </c>
      <c r="I921">
        <v>0</v>
      </c>
      <c r="J921">
        <v>0</v>
      </c>
      <c r="K921">
        <v>1</v>
      </c>
      <c r="L921" t="s">
        <v>238</v>
      </c>
      <c r="M921">
        <v>176.14909790507767</v>
      </c>
      <c r="N921">
        <v>513.12998085392189</v>
      </c>
      <c r="O921">
        <v>0</v>
      </c>
      <c r="P921">
        <v>1</v>
      </c>
      <c r="Q921">
        <v>0</v>
      </c>
      <c r="R921">
        <v>1</v>
      </c>
      <c r="S921">
        <v>0</v>
      </c>
      <c r="T921">
        <v>1</v>
      </c>
      <c r="U921">
        <v>0</v>
      </c>
      <c r="V921">
        <v>3</v>
      </c>
      <c r="W921">
        <v>0.95</v>
      </c>
      <c r="AA921">
        <v>0</v>
      </c>
      <c r="AC921">
        <v>0</v>
      </c>
      <c r="AD921">
        <v>0</v>
      </c>
      <c r="AE921">
        <v>0</v>
      </c>
      <c r="AF921">
        <v>1</v>
      </c>
      <c r="AG921">
        <v>1</v>
      </c>
      <c r="AH921">
        <v>23</v>
      </c>
      <c r="AI921">
        <v>0</v>
      </c>
      <c r="AJ921">
        <v>144</v>
      </c>
    </row>
    <row r="922" spans="1:36" x14ac:dyDescent="0.2">
      <c r="A922" t="str">
        <f>+VLOOKUP(B922,studies!$A$2:$C$102,3)</f>
        <v>Kopp et al. (2012)</v>
      </c>
      <c r="B922">
        <v>78</v>
      </c>
      <c r="C922">
        <v>2012</v>
      </c>
      <c r="D922">
        <v>1</v>
      </c>
      <c r="E922">
        <v>2005</v>
      </c>
      <c r="F922">
        <v>2015</v>
      </c>
      <c r="G922">
        <v>6.9444444444444441E-3</v>
      </c>
      <c r="H922">
        <v>555.40576435114065</v>
      </c>
      <c r="I922">
        <v>0</v>
      </c>
      <c r="J922">
        <v>0</v>
      </c>
      <c r="K922">
        <v>1</v>
      </c>
      <c r="L922" t="s">
        <v>238</v>
      </c>
      <c r="M922">
        <v>168.49044147442214</v>
      </c>
      <c r="N922">
        <v>428.88476011671094</v>
      </c>
      <c r="O922">
        <v>0</v>
      </c>
      <c r="P922">
        <v>1</v>
      </c>
      <c r="Q922">
        <v>0</v>
      </c>
      <c r="R922">
        <v>1</v>
      </c>
      <c r="S922">
        <v>0</v>
      </c>
      <c r="T922">
        <v>1</v>
      </c>
      <c r="U922">
        <v>0</v>
      </c>
      <c r="V922">
        <v>3</v>
      </c>
      <c r="W922">
        <v>0.95</v>
      </c>
      <c r="AA922">
        <v>0</v>
      </c>
      <c r="AC922">
        <v>0</v>
      </c>
      <c r="AD922">
        <v>0</v>
      </c>
      <c r="AE922">
        <v>0</v>
      </c>
      <c r="AF922">
        <v>1</v>
      </c>
      <c r="AG922">
        <v>1</v>
      </c>
      <c r="AH922">
        <v>23</v>
      </c>
      <c r="AI922">
        <v>0</v>
      </c>
      <c r="AJ922">
        <v>144</v>
      </c>
    </row>
    <row r="923" spans="1:36" x14ac:dyDescent="0.2">
      <c r="A923" t="str">
        <f>+VLOOKUP(B923,studies!$A$2:$C$102,3)</f>
        <v>Kopp et al. (2012)</v>
      </c>
      <c r="B923">
        <v>78</v>
      </c>
      <c r="C923">
        <v>2012</v>
      </c>
      <c r="D923">
        <v>1</v>
      </c>
      <c r="E923">
        <v>2005</v>
      </c>
      <c r="F923">
        <v>2015</v>
      </c>
      <c r="G923">
        <v>6.9444444444444441E-3</v>
      </c>
      <c r="H923">
        <v>930.6799294532625</v>
      </c>
      <c r="I923">
        <v>0</v>
      </c>
      <c r="J923">
        <v>0</v>
      </c>
      <c r="K923">
        <v>1</v>
      </c>
      <c r="L923" t="s">
        <v>238</v>
      </c>
      <c r="M923">
        <v>252.73566221163316</v>
      </c>
      <c r="N923">
        <v>574.39923229916644</v>
      </c>
      <c r="O923">
        <v>0</v>
      </c>
      <c r="P923">
        <v>1</v>
      </c>
      <c r="Q923">
        <v>0</v>
      </c>
      <c r="R923">
        <v>1</v>
      </c>
      <c r="S923">
        <v>0</v>
      </c>
      <c r="T923">
        <v>1</v>
      </c>
      <c r="U923">
        <v>0</v>
      </c>
      <c r="V923">
        <v>3</v>
      </c>
      <c r="W923">
        <v>0.95</v>
      </c>
      <c r="AA923">
        <v>0</v>
      </c>
      <c r="AC923">
        <v>0</v>
      </c>
      <c r="AD923">
        <v>0</v>
      </c>
      <c r="AE923">
        <v>0</v>
      </c>
      <c r="AF923">
        <v>1</v>
      </c>
      <c r="AG923">
        <v>1</v>
      </c>
      <c r="AH923">
        <v>23</v>
      </c>
      <c r="AI923">
        <v>0</v>
      </c>
      <c r="AJ923">
        <v>144</v>
      </c>
    </row>
    <row r="924" spans="1:36" x14ac:dyDescent="0.2">
      <c r="A924" t="str">
        <f>+VLOOKUP(B924,studies!$A$2:$C$102,3)</f>
        <v>Kopp et al. (2012)</v>
      </c>
      <c r="B924">
        <v>78</v>
      </c>
      <c r="C924">
        <v>2012</v>
      </c>
      <c r="D924">
        <v>1</v>
      </c>
      <c r="E924">
        <v>2005</v>
      </c>
      <c r="F924">
        <v>2015</v>
      </c>
      <c r="G924">
        <v>6.9444444444444441E-3</v>
      </c>
      <c r="H924">
        <v>585.42769755931033</v>
      </c>
      <c r="I924">
        <v>0</v>
      </c>
      <c r="J924">
        <v>0</v>
      </c>
      <c r="K924">
        <v>1</v>
      </c>
      <c r="L924" t="s">
        <v>238</v>
      </c>
      <c r="M924">
        <v>160.83178504376656</v>
      </c>
      <c r="N924">
        <v>398.25013439408872</v>
      </c>
      <c r="O924">
        <v>0</v>
      </c>
      <c r="P924">
        <v>1</v>
      </c>
      <c r="Q924">
        <v>0</v>
      </c>
      <c r="R924">
        <v>1</v>
      </c>
      <c r="S924">
        <v>0</v>
      </c>
      <c r="T924">
        <v>1</v>
      </c>
      <c r="U924">
        <v>0</v>
      </c>
      <c r="V924">
        <v>3</v>
      </c>
      <c r="W924">
        <v>0.95</v>
      </c>
      <c r="AA924">
        <v>0</v>
      </c>
      <c r="AC924">
        <v>0</v>
      </c>
      <c r="AD924">
        <v>0</v>
      </c>
      <c r="AE924">
        <v>0</v>
      </c>
      <c r="AF924">
        <v>1</v>
      </c>
      <c r="AG924">
        <v>1</v>
      </c>
      <c r="AH924">
        <v>23</v>
      </c>
      <c r="AI924">
        <v>0</v>
      </c>
      <c r="AJ924">
        <v>144</v>
      </c>
    </row>
    <row r="925" spans="1:36" x14ac:dyDescent="0.2">
      <c r="A925" t="str">
        <f>+VLOOKUP(B925,studies!$A$2:$C$102,3)</f>
        <v>Kopp et al. (2012)</v>
      </c>
      <c r="B925">
        <v>78</v>
      </c>
      <c r="C925">
        <v>2012</v>
      </c>
      <c r="D925">
        <v>1</v>
      </c>
      <c r="E925">
        <v>2005</v>
      </c>
      <c r="F925">
        <v>2015</v>
      </c>
      <c r="G925">
        <v>6.9444444444444441E-3</v>
      </c>
      <c r="H925">
        <v>1155.8444285145358</v>
      </c>
      <c r="I925">
        <v>0</v>
      </c>
      <c r="J925">
        <v>0</v>
      </c>
      <c r="K925">
        <v>1</v>
      </c>
      <c r="L925" t="s">
        <v>238</v>
      </c>
      <c r="M925">
        <v>314.00491365687765</v>
      </c>
      <c r="N925">
        <v>643.32714017506623</v>
      </c>
      <c r="O925">
        <v>0</v>
      </c>
      <c r="P925">
        <v>1</v>
      </c>
      <c r="Q925">
        <v>0</v>
      </c>
      <c r="R925">
        <v>1</v>
      </c>
      <c r="S925">
        <v>0</v>
      </c>
      <c r="T925">
        <v>1</v>
      </c>
      <c r="U925">
        <v>0</v>
      </c>
      <c r="V925">
        <v>3</v>
      </c>
      <c r="W925">
        <v>0.95</v>
      </c>
      <c r="AA925">
        <v>0</v>
      </c>
      <c r="AC925">
        <v>0</v>
      </c>
      <c r="AD925">
        <v>0</v>
      </c>
      <c r="AE925">
        <v>0</v>
      </c>
      <c r="AF925">
        <v>1</v>
      </c>
      <c r="AG925">
        <v>1</v>
      </c>
      <c r="AH925">
        <v>23</v>
      </c>
      <c r="AI925">
        <v>0</v>
      </c>
      <c r="AJ925">
        <v>144</v>
      </c>
    </row>
    <row r="926" spans="1:36" x14ac:dyDescent="0.2">
      <c r="A926" t="str">
        <f>+VLOOKUP(B926,studies!$A$2:$C$102,3)</f>
        <v>Kopp et al. (2012)</v>
      </c>
      <c r="B926">
        <v>78</v>
      </c>
      <c r="C926">
        <v>2012</v>
      </c>
      <c r="D926">
        <v>1</v>
      </c>
      <c r="E926">
        <v>2005</v>
      </c>
      <c r="F926">
        <v>2015</v>
      </c>
      <c r="G926">
        <v>6.9444444444444441E-3</v>
      </c>
      <c r="H926">
        <v>450.32899812254641</v>
      </c>
      <c r="I926">
        <v>0</v>
      </c>
      <c r="J926">
        <v>0</v>
      </c>
      <c r="K926">
        <v>1</v>
      </c>
      <c r="L926" t="s">
        <v>238</v>
      </c>
      <c r="M926">
        <v>114.87984645983326</v>
      </c>
      <c r="N926">
        <v>283.37028793425543</v>
      </c>
      <c r="O926">
        <v>0</v>
      </c>
      <c r="P926">
        <v>1</v>
      </c>
      <c r="Q926">
        <v>0</v>
      </c>
      <c r="R926">
        <v>1</v>
      </c>
      <c r="S926">
        <v>0</v>
      </c>
      <c r="T926">
        <v>1</v>
      </c>
      <c r="U926">
        <v>0</v>
      </c>
      <c r="V926">
        <v>3</v>
      </c>
      <c r="W926">
        <v>0.95</v>
      </c>
      <c r="AA926">
        <v>0</v>
      </c>
      <c r="AC926">
        <v>0</v>
      </c>
      <c r="AD926">
        <v>0</v>
      </c>
      <c r="AE926">
        <v>0</v>
      </c>
      <c r="AF926">
        <v>1</v>
      </c>
      <c r="AG926">
        <v>1</v>
      </c>
      <c r="AH926">
        <v>23</v>
      </c>
      <c r="AI926">
        <v>0</v>
      </c>
      <c r="AJ926">
        <v>144</v>
      </c>
    </row>
    <row r="927" spans="1:36" x14ac:dyDescent="0.2">
      <c r="A927" t="str">
        <f>+VLOOKUP(B927,studies!$A$2:$C$102,3)</f>
        <v>Kopp et al. (2012)</v>
      </c>
      <c r="B927">
        <v>78</v>
      </c>
      <c r="C927">
        <v>2012</v>
      </c>
      <c r="D927">
        <v>1</v>
      </c>
      <c r="E927">
        <v>2005</v>
      </c>
      <c r="F927">
        <v>2015</v>
      </c>
      <c r="G927">
        <v>6.9444444444444441E-3</v>
      </c>
      <c r="H927">
        <v>615.44963076748013</v>
      </c>
      <c r="I927">
        <v>0</v>
      </c>
      <c r="J927">
        <v>0</v>
      </c>
      <c r="K927">
        <v>1</v>
      </c>
      <c r="L927" t="s">
        <v>238</v>
      </c>
      <c r="M927">
        <v>176.14909790507767</v>
      </c>
      <c r="N927">
        <v>451.86072940867751</v>
      </c>
      <c r="O927">
        <v>0</v>
      </c>
      <c r="P927">
        <v>1</v>
      </c>
      <c r="Q927">
        <v>0</v>
      </c>
      <c r="R927">
        <v>1</v>
      </c>
      <c r="S927">
        <v>0</v>
      </c>
      <c r="T927">
        <v>1</v>
      </c>
      <c r="U927">
        <v>0</v>
      </c>
      <c r="V927">
        <v>3</v>
      </c>
      <c r="W927">
        <v>0.95</v>
      </c>
      <c r="AA927">
        <v>0</v>
      </c>
      <c r="AC927">
        <v>0</v>
      </c>
      <c r="AD927">
        <v>0</v>
      </c>
      <c r="AE927">
        <v>0</v>
      </c>
      <c r="AF927">
        <v>1</v>
      </c>
      <c r="AG927">
        <v>1</v>
      </c>
      <c r="AH927">
        <v>23</v>
      </c>
      <c r="AI927">
        <v>0</v>
      </c>
      <c r="AJ927">
        <v>144</v>
      </c>
    </row>
    <row r="928" spans="1:36" x14ac:dyDescent="0.2">
      <c r="A928" t="str">
        <f>+VLOOKUP(B928,studies!$A$2:$C$102,3)</f>
        <v>Kopp et al. (2012)</v>
      </c>
      <c r="B928">
        <v>78</v>
      </c>
      <c r="C928">
        <v>2012</v>
      </c>
      <c r="D928">
        <v>1</v>
      </c>
      <c r="E928">
        <v>2005</v>
      </c>
      <c r="F928">
        <v>2015</v>
      </c>
      <c r="G928">
        <v>6.9444444444444441E-3</v>
      </c>
      <c r="H928">
        <v>585.42769755931033</v>
      </c>
      <c r="I928">
        <v>0</v>
      </c>
      <c r="J928">
        <v>0</v>
      </c>
      <c r="K928">
        <v>1</v>
      </c>
      <c r="L928" t="s">
        <v>238</v>
      </c>
      <c r="M928">
        <v>160.83178504376656</v>
      </c>
      <c r="N928">
        <v>413.56744725539983</v>
      </c>
      <c r="O928">
        <v>0</v>
      </c>
      <c r="P928">
        <v>1</v>
      </c>
      <c r="Q928">
        <v>0</v>
      </c>
      <c r="R928">
        <v>1</v>
      </c>
      <c r="S928">
        <v>0</v>
      </c>
      <c r="T928">
        <v>1</v>
      </c>
      <c r="U928">
        <v>0</v>
      </c>
      <c r="V928">
        <v>3</v>
      </c>
      <c r="W928">
        <v>0.95</v>
      </c>
      <c r="AA928">
        <v>0</v>
      </c>
      <c r="AC928">
        <v>0</v>
      </c>
      <c r="AD928">
        <v>0</v>
      </c>
      <c r="AE928">
        <v>0</v>
      </c>
      <c r="AF928">
        <v>1</v>
      </c>
      <c r="AG928">
        <v>1</v>
      </c>
      <c r="AH928">
        <v>23</v>
      </c>
      <c r="AI928">
        <v>0</v>
      </c>
      <c r="AJ928">
        <v>144</v>
      </c>
    </row>
    <row r="929" spans="1:36" x14ac:dyDescent="0.2">
      <c r="A929" t="str">
        <f>+VLOOKUP(B929,studies!$A$2:$C$102,3)</f>
        <v>Kopp et al. (2012)</v>
      </c>
      <c r="B929">
        <v>78</v>
      </c>
      <c r="C929">
        <v>2012</v>
      </c>
      <c r="D929">
        <v>1</v>
      </c>
      <c r="E929">
        <v>2005</v>
      </c>
      <c r="F929">
        <v>2015</v>
      </c>
      <c r="G929">
        <v>6.9444444444444441E-3</v>
      </c>
      <c r="H929">
        <v>855.62509643283818</v>
      </c>
      <c r="I929">
        <v>0</v>
      </c>
      <c r="J929">
        <v>0</v>
      </c>
      <c r="K929">
        <v>1</v>
      </c>
      <c r="L929" t="s">
        <v>238</v>
      </c>
      <c r="M929">
        <v>298.68760079556648</v>
      </c>
      <c r="N929">
        <v>2297.5969291966658</v>
      </c>
      <c r="O929">
        <v>0</v>
      </c>
      <c r="P929">
        <v>1</v>
      </c>
      <c r="Q929">
        <v>0</v>
      </c>
      <c r="R929">
        <v>1</v>
      </c>
      <c r="S929">
        <v>0</v>
      </c>
      <c r="T929">
        <v>1</v>
      </c>
      <c r="U929">
        <v>0</v>
      </c>
      <c r="V929">
        <v>3</v>
      </c>
      <c r="W929">
        <v>0.95</v>
      </c>
      <c r="AA929">
        <v>0</v>
      </c>
      <c r="AC929">
        <v>0</v>
      </c>
      <c r="AD929">
        <v>0</v>
      </c>
      <c r="AE929">
        <v>0</v>
      </c>
      <c r="AF929">
        <v>1</v>
      </c>
      <c r="AG929">
        <v>1</v>
      </c>
      <c r="AH929">
        <v>23</v>
      </c>
      <c r="AI929">
        <v>0</v>
      </c>
      <c r="AJ929">
        <v>144</v>
      </c>
    </row>
    <row r="930" spans="1:36" x14ac:dyDescent="0.2">
      <c r="A930" t="str">
        <f>+VLOOKUP(B930,studies!$A$2:$C$102,3)</f>
        <v>Kopp et al. (2012)</v>
      </c>
      <c r="B930">
        <v>78</v>
      </c>
      <c r="C930">
        <v>2012</v>
      </c>
      <c r="D930">
        <v>1</v>
      </c>
      <c r="E930">
        <v>2005</v>
      </c>
      <c r="F930">
        <v>2015</v>
      </c>
      <c r="G930">
        <v>6.9444444444444441E-3</v>
      </c>
      <c r="H930">
        <v>270.19739887352785</v>
      </c>
      <c r="I930">
        <v>0</v>
      </c>
      <c r="J930">
        <v>0</v>
      </c>
      <c r="K930">
        <v>1</v>
      </c>
      <c r="L930" t="s">
        <v>238</v>
      </c>
      <c r="M930">
        <v>84.245220737211056</v>
      </c>
      <c r="N930">
        <v>1332.606218934066</v>
      </c>
      <c r="O930">
        <v>0</v>
      </c>
      <c r="P930">
        <v>1</v>
      </c>
      <c r="Q930">
        <v>0</v>
      </c>
      <c r="R930">
        <v>1</v>
      </c>
      <c r="S930">
        <v>0</v>
      </c>
      <c r="T930">
        <v>1</v>
      </c>
      <c r="U930">
        <v>0</v>
      </c>
      <c r="V930">
        <v>3</v>
      </c>
      <c r="W930">
        <v>0.95</v>
      </c>
      <c r="AA930">
        <v>0</v>
      </c>
      <c r="AC930">
        <v>0</v>
      </c>
      <c r="AD930">
        <v>0</v>
      </c>
      <c r="AE930">
        <v>0</v>
      </c>
      <c r="AF930">
        <v>1</v>
      </c>
      <c r="AG930">
        <v>1</v>
      </c>
      <c r="AH930">
        <v>23</v>
      </c>
      <c r="AI930">
        <v>0</v>
      </c>
      <c r="AJ930">
        <v>144</v>
      </c>
    </row>
    <row r="931" spans="1:36" x14ac:dyDescent="0.2">
      <c r="A931" t="str">
        <f>+VLOOKUP(B931,studies!$A$2:$C$102,3)</f>
        <v>Kopp et al. (2012)</v>
      </c>
      <c r="B931">
        <v>78</v>
      </c>
      <c r="C931">
        <v>2012</v>
      </c>
      <c r="D931">
        <v>1</v>
      </c>
      <c r="E931">
        <v>2005</v>
      </c>
      <c r="F931">
        <v>2015</v>
      </c>
      <c r="G931">
        <v>6.9444444444444441E-3</v>
      </c>
      <c r="H931">
        <v>195.14256585310346</v>
      </c>
      <c r="I931">
        <v>0</v>
      </c>
      <c r="J931">
        <v>0</v>
      </c>
      <c r="K931">
        <v>1</v>
      </c>
      <c r="L931" t="s">
        <v>238</v>
      </c>
      <c r="M931">
        <v>61.269251445244414</v>
      </c>
      <c r="N931">
        <v>1332.606218934066</v>
      </c>
      <c r="O931">
        <v>0</v>
      </c>
      <c r="P931">
        <v>1</v>
      </c>
      <c r="Q931">
        <v>0</v>
      </c>
      <c r="R931">
        <v>1</v>
      </c>
      <c r="S931">
        <v>0</v>
      </c>
      <c r="T931">
        <v>1</v>
      </c>
      <c r="U931">
        <v>0</v>
      </c>
      <c r="V931">
        <v>3</v>
      </c>
      <c r="W931">
        <v>0.95</v>
      </c>
      <c r="AA931">
        <v>0</v>
      </c>
      <c r="AC931">
        <v>0</v>
      </c>
      <c r="AD931">
        <v>0</v>
      </c>
      <c r="AE931">
        <v>0</v>
      </c>
      <c r="AF931">
        <v>1</v>
      </c>
      <c r="AG931">
        <v>1</v>
      </c>
      <c r="AH931">
        <v>23</v>
      </c>
      <c r="AI931">
        <v>0</v>
      </c>
      <c r="AJ931">
        <v>144</v>
      </c>
    </row>
    <row r="932" spans="1:36" x14ac:dyDescent="0.2">
      <c r="A932" t="str">
        <f>+VLOOKUP(B932,studies!$A$2:$C$102,3)</f>
        <v>Kopp et al. (2012)</v>
      </c>
      <c r="B932">
        <v>78</v>
      </c>
      <c r="C932">
        <v>2012</v>
      </c>
      <c r="D932">
        <v>1</v>
      </c>
      <c r="E932">
        <v>2005</v>
      </c>
      <c r="F932">
        <v>2015</v>
      </c>
      <c r="G932">
        <v>6.9444444444444441E-3</v>
      </c>
      <c r="H932">
        <v>390.28513170620693</v>
      </c>
      <c r="I932">
        <v>0</v>
      </c>
      <c r="J932">
        <v>0</v>
      </c>
      <c r="K932">
        <v>1</v>
      </c>
      <c r="L932" t="s">
        <v>238</v>
      </c>
      <c r="M932">
        <v>130.19715932114437</v>
      </c>
      <c r="N932">
        <v>1799.7842612040545</v>
      </c>
      <c r="O932">
        <v>0</v>
      </c>
      <c r="P932">
        <v>1</v>
      </c>
      <c r="Q932">
        <v>0</v>
      </c>
      <c r="R932">
        <v>1</v>
      </c>
      <c r="S932">
        <v>0</v>
      </c>
      <c r="T932">
        <v>1</v>
      </c>
      <c r="U932">
        <v>0</v>
      </c>
      <c r="V932">
        <v>3</v>
      </c>
      <c r="W932">
        <v>0.95</v>
      </c>
      <c r="AA932">
        <v>0</v>
      </c>
      <c r="AC932">
        <v>0</v>
      </c>
      <c r="AD932">
        <v>0</v>
      </c>
      <c r="AE932">
        <v>0</v>
      </c>
      <c r="AF932">
        <v>1</v>
      </c>
      <c r="AG932">
        <v>1</v>
      </c>
      <c r="AH932">
        <v>23</v>
      </c>
      <c r="AI932">
        <v>0</v>
      </c>
      <c r="AJ932">
        <v>144</v>
      </c>
    </row>
    <row r="933" spans="1:36" x14ac:dyDescent="0.2">
      <c r="A933" t="str">
        <f>+VLOOKUP(B933,studies!$A$2:$C$102,3)</f>
        <v>Kopp et al. (2012)</v>
      </c>
      <c r="B933">
        <v>78</v>
      </c>
      <c r="C933">
        <v>2012</v>
      </c>
      <c r="D933">
        <v>1</v>
      </c>
      <c r="E933">
        <v>2005</v>
      </c>
      <c r="F933">
        <v>2015</v>
      </c>
      <c r="G933">
        <v>6.9444444444444441E-3</v>
      </c>
      <c r="H933">
        <v>210.15353245718833</v>
      </c>
      <c r="I933">
        <v>0</v>
      </c>
      <c r="J933">
        <v>0</v>
      </c>
      <c r="K933">
        <v>1</v>
      </c>
      <c r="L933" t="s">
        <v>238</v>
      </c>
      <c r="M933">
        <v>61.269251445244407</v>
      </c>
      <c r="N933">
        <v>1462.8033782552104</v>
      </c>
      <c r="O933">
        <v>0</v>
      </c>
      <c r="P933">
        <v>1</v>
      </c>
      <c r="Q933">
        <v>0</v>
      </c>
      <c r="R933">
        <v>1</v>
      </c>
      <c r="S933">
        <v>0</v>
      </c>
      <c r="T933">
        <v>1</v>
      </c>
      <c r="U933">
        <v>0</v>
      </c>
      <c r="V933">
        <v>3</v>
      </c>
      <c r="W933">
        <v>0.95</v>
      </c>
      <c r="AA933">
        <v>0</v>
      </c>
      <c r="AC933">
        <v>0</v>
      </c>
      <c r="AD933">
        <v>0</v>
      </c>
      <c r="AE933">
        <v>0</v>
      </c>
      <c r="AF933">
        <v>1</v>
      </c>
      <c r="AG933">
        <v>1</v>
      </c>
      <c r="AH933">
        <v>23</v>
      </c>
      <c r="AI933">
        <v>0</v>
      </c>
      <c r="AJ933">
        <v>144</v>
      </c>
    </row>
    <row r="934" spans="1:36" x14ac:dyDescent="0.2">
      <c r="A934" t="str">
        <f>+VLOOKUP(B934,studies!$A$2:$C$102,3)</f>
        <v>Kopp et al. (2012)</v>
      </c>
      <c r="B934">
        <v>78</v>
      </c>
      <c r="C934">
        <v>2012</v>
      </c>
      <c r="D934">
        <v>1</v>
      </c>
      <c r="E934">
        <v>2005</v>
      </c>
      <c r="F934">
        <v>2015</v>
      </c>
      <c r="G934">
        <v>6.9444444444444441E-3</v>
      </c>
      <c r="H934">
        <v>135.09869943676392</v>
      </c>
      <c r="I934">
        <v>0</v>
      </c>
      <c r="J934">
        <v>0</v>
      </c>
      <c r="K934">
        <v>1</v>
      </c>
      <c r="L934" t="s">
        <v>238</v>
      </c>
      <c r="M934">
        <v>61.269251445244407</v>
      </c>
      <c r="N934">
        <v>2672.8710942987873</v>
      </c>
      <c r="O934">
        <v>0</v>
      </c>
      <c r="P934">
        <v>1</v>
      </c>
      <c r="Q934">
        <v>0</v>
      </c>
      <c r="R934">
        <v>1</v>
      </c>
      <c r="S934">
        <v>0</v>
      </c>
      <c r="T934">
        <v>1</v>
      </c>
      <c r="U934">
        <v>0</v>
      </c>
      <c r="V934">
        <v>3</v>
      </c>
      <c r="W934">
        <v>0.95</v>
      </c>
      <c r="AA934">
        <v>0</v>
      </c>
      <c r="AC934">
        <v>0</v>
      </c>
      <c r="AD934">
        <v>0</v>
      </c>
      <c r="AE934">
        <v>0</v>
      </c>
      <c r="AF934">
        <v>1</v>
      </c>
      <c r="AG934">
        <v>1</v>
      </c>
      <c r="AH934">
        <v>23</v>
      </c>
      <c r="AI934">
        <v>0</v>
      </c>
      <c r="AJ934">
        <v>144</v>
      </c>
    </row>
    <row r="935" spans="1:36" x14ac:dyDescent="0.2">
      <c r="A935" t="str">
        <f>+VLOOKUP(B935,studies!$A$2:$C$102,3)</f>
        <v>Kopp et al. (2012)</v>
      </c>
      <c r="B935">
        <v>78</v>
      </c>
      <c r="C935">
        <v>2012</v>
      </c>
      <c r="D935">
        <v>1</v>
      </c>
      <c r="E935">
        <v>2005</v>
      </c>
      <c r="F935">
        <v>2015</v>
      </c>
      <c r="G935">
        <v>6.9444444444444441E-3</v>
      </c>
      <c r="H935">
        <v>105.07676622859417</v>
      </c>
      <c r="I935">
        <v>0</v>
      </c>
      <c r="J935">
        <v>0</v>
      </c>
      <c r="K935">
        <v>1</v>
      </c>
      <c r="L935" t="s">
        <v>238</v>
      </c>
      <c r="M935">
        <v>45.951938583933305</v>
      </c>
      <c r="N935">
        <v>2374.1834935032211</v>
      </c>
      <c r="O935">
        <v>0</v>
      </c>
      <c r="P935">
        <v>1</v>
      </c>
      <c r="Q935">
        <v>0</v>
      </c>
      <c r="R935">
        <v>1</v>
      </c>
      <c r="S935">
        <v>0</v>
      </c>
      <c r="T935">
        <v>1</v>
      </c>
      <c r="U935">
        <v>0</v>
      </c>
      <c r="V935">
        <v>3</v>
      </c>
      <c r="W935">
        <v>0.95</v>
      </c>
      <c r="AA935">
        <v>0</v>
      </c>
      <c r="AC935">
        <v>0</v>
      </c>
      <c r="AD935">
        <v>0</v>
      </c>
      <c r="AE935">
        <v>0</v>
      </c>
      <c r="AF935">
        <v>1</v>
      </c>
      <c r="AG935">
        <v>1</v>
      </c>
      <c r="AH935">
        <v>23</v>
      </c>
      <c r="AI935">
        <v>0</v>
      </c>
      <c r="AJ935">
        <v>144</v>
      </c>
    </row>
    <row r="936" spans="1:36" x14ac:dyDescent="0.2">
      <c r="A936" t="str">
        <f>+VLOOKUP(B936,studies!$A$2:$C$102,3)</f>
        <v>Kopp et al. (2012)</v>
      </c>
      <c r="B936">
        <v>78</v>
      </c>
      <c r="C936">
        <v>2012</v>
      </c>
      <c r="D936">
        <v>1</v>
      </c>
      <c r="E936">
        <v>2005</v>
      </c>
      <c r="F936">
        <v>2015</v>
      </c>
      <c r="G936">
        <v>6.9444444444444441E-3</v>
      </c>
      <c r="H936">
        <v>150.10966604084879</v>
      </c>
      <c r="I936">
        <v>0</v>
      </c>
      <c r="J936">
        <v>0</v>
      </c>
      <c r="K936">
        <v>1</v>
      </c>
      <c r="L936" t="s">
        <v>238</v>
      </c>
      <c r="M936">
        <v>68.927907875899962</v>
      </c>
      <c r="N936">
        <v>2887.3134743571427</v>
      </c>
      <c r="O936">
        <v>0</v>
      </c>
      <c r="P936">
        <v>1</v>
      </c>
      <c r="Q936">
        <v>0</v>
      </c>
      <c r="R936">
        <v>1</v>
      </c>
      <c r="S936">
        <v>0</v>
      </c>
      <c r="T936">
        <v>1</v>
      </c>
      <c r="U936">
        <v>0</v>
      </c>
      <c r="V936">
        <v>3</v>
      </c>
      <c r="W936">
        <v>0.95</v>
      </c>
      <c r="AA936">
        <v>0</v>
      </c>
      <c r="AC936">
        <v>0</v>
      </c>
      <c r="AD936">
        <v>0</v>
      </c>
      <c r="AE936">
        <v>0</v>
      </c>
      <c r="AF936">
        <v>1</v>
      </c>
      <c r="AG936">
        <v>1</v>
      </c>
      <c r="AH936">
        <v>23</v>
      </c>
      <c r="AI936">
        <v>0</v>
      </c>
      <c r="AJ936">
        <v>144</v>
      </c>
    </row>
    <row r="937" spans="1:36" x14ac:dyDescent="0.2">
      <c r="A937" t="str">
        <f>+VLOOKUP(B937,studies!$A$2:$C$102,3)</f>
        <v>Kopp et al. (2012)</v>
      </c>
      <c r="B937">
        <v>78</v>
      </c>
      <c r="C937">
        <v>2012</v>
      </c>
      <c r="D937">
        <v>1</v>
      </c>
      <c r="E937">
        <v>2005</v>
      </c>
      <c r="F937">
        <v>2015</v>
      </c>
      <c r="G937">
        <v>6.9444444444444441E-3</v>
      </c>
      <c r="H937">
        <v>120.08773283267904</v>
      </c>
      <c r="I937">
        <v>0</v>
      </c>
      <c r="J937">
        <v>0</v>
      </c>
      <c r="K937">
        <v>1</v>
      </c>
      <c r="L937" t="s">
        <v>238</v>
      </c>
      <c r="M937">
        <v>53.61059501458886</v>
      </c>
      <c r="N937">
        <v>2711.1643764520654</v>
      </c>
      <c r="O937">
        <v>0</v>
      </c>
      <c r="P937">
        <v>1</v>
      </c>
      <c r="Q937">
        <v>0</v>
      </c>
      <c r="R937">
        <v>1</v>
      </c>
      <c r="S937">
        <v>0</v>
      </c>
      <c r="T937">
        <v>1</v>
      </c>
      <c r="U937">
        <v>0</v>
      </c>
      <c r="V937">
        <v>3</v>
      </c>
      <c r="W937">
        <v>0.95</v>
      </c>
      <c r="AA937">
        <v>0</v>
      </c>
      <c r="AC937">
        <v>0</v>
      </c>
      <c r="AD937">
        <v>0</v>
      </c>
      <c r="AE937">
        <v>0</v>
      </c>
      <c r="AF937">
        <v>1</v>
      </c>
      <c r="AG937">
        <v>1</v>
      </c>
      <c r="AH937">
        <v>23</v>
      </c>
      <c r="AI937">
        <v>0</v>
      </c>
      <c r="AJ937">
        <v>144</v>
      </c>
    </row>
    <row r="938" spans="1:36" x14ac:dyDescent="0.2">
      <c r="A938" t="str">
        <f>+VLOOKUP(B938,studies!$A$2:$C$102,3)</f>
        <v>Kopp et al. (2012)</v>
      </c>
      <c r="B938">
        <v>78</v>
      </c>
      <c r="C938">
        <v>2012</v>
      </c>
      <c r="D938">
        <v>1</v>
      </c>
      <c r="E938">
        <v>2005</v>
      </c>
      <c r="F938">
        <v>2015</v>
      </c>
      <c r="G938">
        <v>6.9444444444444441E-3</v>
      </c>
      <c r="H938">
        <v>660.48253057973466</v>
      </c>
      <c r="I938">
        <v>0</v>
      </c>
      <c r="J938">
        <v>0</v>
      </c>
      <c r="K938">
        <v>1</v>
      </c>
      <c r="L938" t="s">
        <v>238</v>
      </c>
      <c r="M938">
        <v>183.80775433573319</v>
      </c>
      <c r="N938">
        <v>536.10595014588864</v>
      </c>
      <c r="O938">
        <v>0</v>
      </c>
      <c r="P938">
        <v>1</v>
      </c>
      <c r="Q938">
        <v>0</v>
      </c>
      <c r="R938">
        <v>1</v>
      </c>
      <c r="S938">
        <v>0</v>
      </c>
      <c r="T938">
        <v>1</v>
      </c>
      <c r="U938">
        <v>0</v>
      </c>
      <c r="V938">
        <v>3</v>
      </c>
      <c r="W938">
        <v>0.14000000000000001</v>
      </c>
      <c r="AA938">
        <v>0</v>
      </c>
      <c r="AC938">
        <v>0</v>
      </c>
      <c r="AD938">
        <v>0</v>
      </c>
      <c r="AE938">
        <v>0</v>
      </c>
      <c r="AF938">
        <v>1</v>
      </c>
      <c r="AG938">
        <v>1</v>
      </c>
      <c r="AH938">
        <v>23</v>
      </c>
      <c r="AI938">
        <v>0</v>
      </c>
      <c r="AJ938">
        <v>144</v>
      </c>
    </row>
    <row r="939" spans="1:36" x14ac:dyDescent="0.2">
      <c r="A939" t="str">
        <f>+VLOOKUP(B939,studies!$A$2:$C$102,3)</f>
        <v>Kopp et al. (2012)</v>
      </c>
      <c r="B939">
        <v>78</v>
      </c>
      <c r="C939">
        <v>2012</v>
      </c>
      <c r="D939">
        <v>1</v>
      </c>
      <c r="E939">
        <v>2005</v>
      </c>
      <c r="F939">
        <v>2015</v>
      </c>
      <c r="G939">
        <v>6.9444444444444441E-3</v>
      </c>
      <c r="H939">
        <v>690.50446378790446</v>
      </c>
      <c r="I939">
        <v>0</v>
      </c>
      <c r="J939">
        <v>0</v>
      </c>
      <c r="K939">
        <v>1</v>
      </c>
      <c r="L939" t="s">
        <v>238</v>
      </c>
      <c r="M939">
        <v>199.12506719704433</v>
      </c>
      <c r="N939">
        <v>704.59639162031067</v>
      </c>
      <c r="O939">
        <v>0</v>
      </c>
      <c r="P939">
        <v>1</v>
      </c>
      <c r="Q939">
        <v>0</v>
      </c>
      <c r="R939">
        <v>1</v>
      </c>
      <c r="S939">
        <v>0</v>
      </c>
      <c r="T939">
        <v>1</v>
      </c>
      <c r="U939">
        <v>0</v>
      </c>
      <c r="V939">
        <v>3</v>
      </c>
      <c r="W939">
        <v>0.14000000000000001</v>
      </c>
      <c r="AA939">
        <v>0</v>
      </c>
      <c r="AC939">
        <v>0</v>
      </c>
      <c r="AD939">
        <v>0</v>
      </c>
      <c r="AE939">
        <v>0</v>
      </c>
      <c r="AF939">
        <v>1</v>
      </c>
      <c r="AG939">
        <v>1</v>
      </c>
      <c r="AH939">
        <v>23</v>
      </c>
      <c r="AI939">
        <v>0</v>
      </c>
      <c r="AJ939">
        <v>144</v>
      </c>
    </row>
    <row r="940" spans="1:36" x14ac:dyDescent="0.2">
      <c r="A940" t="str">
        <f>+VLOOKUP(B940,studies!$A$2:$C$102,3)</f>
        <v>Kopp et al. (2012)</v>
      </c>
      <c r="B940">
        <v>78</v>
      </c>
      <c r="C940">
        <v>2012</v>
      </c>
      <c r="D940">
        <v>1</v>
      </c>
      <c r="E940">
        <v>2005</v>
      </c>
      <c r="F940">
        <v>2015</v>
      </c>
      <c r="G940">
        <v>6.9444444444444441E-3</v>
      </c>
      <c r="H940">
        <v>600.43866416339517</v>
      </c>
      <c r="I940">
        <v>0</v>
      </c>
      <c r="J940">
        <v>0</v>
      </c>
      <c r="K940">
        <v>1</v>
      </c>
      <c r="L940" t="s">
        <v>238</v>
      </c>
      <c r="M940">
        <v>176.14909790507767</v>
      </c>
      <c r="N940">
        <v>528.44729371523306</v>
      </c>
      <c r="O940">
        <v>0</v>
      </c>
      <c r="P940">
        <v>1</v>
      </c>
      <c r="Q940">
        <v>0</v>
      </c>
      <c r="R940">
        <v>1</v>
      </c>
      <c r="S940">
        <v>0</v>
      </c>
      <c r="T940">
        <v>1</v>
      </c>
      <c r="U940">
        <v>0</v>
      </c>
      <c r="V940">
        <v>3</v>
      </c>
      <c r="W940">
        <v>0.14000000000000001</v>
      </c>
      <c r="AA940">
        <v>0</v>
      </c>
      <c r="AC940">
        <v>0</v>
      </c>
      <c r="AD940">
        <v>0</v>
      </c>
      <c r="AE940">
        <v>0</v>
      </c>
      <c r="AF940">
        <v>1</v>
      </c>
      <c r="AG940">
        <v>1</v>
      </c>
      <c r="AH940">
        <v>23</v>
      </c>
      <c r="AI940">
        <v>0</v>
      </c>
      <c r="AJ940">
        <v>144</v>
      </c>
    </row>
    <row r="941" spans="1:36" x14ac:dyDescent="0.2">
      <c r="A941" t="str">
        <f>+VLOOKUP(B941,studies!$A$2:$C$102,3)</f>
        <v>Kopp et al. (2012)</v>
      </c>
      <c r="B941">
        <v>78</v>
      </c>
      <c r="C941">
        <v>2012</v>
      </c>
      <c r="D941">
        <v>1</v>
      </c>
      <c r="E941">
        <v>2005</v>
      </c>
      <c r="F941">
        <v>2015</v>
      </c>
      <c r="G941">
        <v>6.9444444444444441E-3</v>
      </c>
      <c r="H941">
        <v>1140.8334619104508</v>
      </c>
      <c r="I941">
        <v>0</v>
      </c>
      <c r="J941">
        <v>0</v>
      </c>
      <c r="K941">
        <v>1</v>
      </c>
      <c r="L941" t="s">
        <v>238</v>
      </c>
      <c r="M941">
        <v>329.3222265181887</v>
      </c>
      <c r="N941">
        <v>903.72145881735491</v>
      </c>
      <c r="O941">
        <v>0</v>
      </c>
      <c r="P941">
        <v>1</v>
      </c>
      <c r="Q941">
        <v>0</v>
      </c>
      <c r="R941">
        <v>1</v>
      </c>
      <c r="S941">
        <v>0</v>
      </c>
      <c r="T941">
        <v>1</v>
      </c>
      <c r="U941">
        <v>0</v>
      </c>
      <c r="V941">
        <v>3</v>
      </c>
      <c r="W941">
        <v>0.14000000000000001</v>
      </c>
      <c r="AA941">
        <v>0</v>
      </c>
      <c r="AC941">
        <v>0</v>
      </c>
      <c r="AD941">
        <v>0</v>
      </c>
      <c r="AE941">
        <v>0</v>
      </c>
      <c r="AF941">
        <v>1</v>
      </c>
      <c r="AG941">
        <v>1</v>
      </c>
      <c r="AH941">
        <v>23</v>
      </c>
      <c r="AI941">
        <v>0</v>
      </c>
      <c r="AJ941">
        <v>144</v>
      </c>
    </row>
    <row r="942" spans="1:36" x14ac:dyDescent="0.2">
      <c r="A942" t="str">
        <f>+VLOOKUP(B942,studies!$A$2:$C$102,3)</f>
        <v>Kopp et al. (2012)</v>
      </c>
      <c r="B942">
        <v>78</v>
      </c>
      <c r="C942">
        <v>2012</v>
      </c>
      <c r="D942">
        <v>1</v>
      </c>
      <c r="E942">
        <v>2005</v>
      </c>
      <c r="F942">
        <v>2015</v>
      </c>
      <c r="G942">
        <v>6.9444444444444441E-3</v>
      </c>
      <c r="H942">
        <v>810.59219662058354</v>
      </c>
      <c r="I942">
        <v>0</v>
      </c>
      <c r="J942">
        <v>0</v>
      </c>
      <c r="K942">
        <v>1</v>
      </c>
      <c r="L942" t="s">
        <v>238</v>
      </c>
      <c r="M942">
        <v>229.75969291966652</v>
      </c>
      <c r="N942">
        <v>704.59639162031067</v>
      </c>
      <c r="O942">
        <v>0</v>
      </c>
      <c r="P942">
        <v>1</v>
      </c>
      <c r="Q942">
        <v>0</v>
      </c>
      <c r="R942">
        <v>1</v>
      </c>
      <c r="S942">
        <v>0</v>
      </c>
      <c r="T942">
        <v>1</v>
      </c>
      <c r="U942">
        <v>0</v>
      </c>
      <c r="V942">
        <v>3</v>
      </c>
      <c r="W942">
        <v>0.14000000000000001</v>
      </c>
      <c r="AA942">
        <v>0</v>
      </c>
      <c r="AC942">
        <v>0</v>
      </c>
      <c r="AD942">
        <v>0</v>
      </c>
      <c r="AE942">
        <v>0</v>
      </c>
      <c r="AF942">
        <v>1</v>
      </c>
      <c r="AG942">
        <v>1</v>
      </c>
      <c r="AH942">
        <v>23</v>
      </c>
      <c r="AI942">
        <v>0</v>
      </c>
      <c r="AJ942">
        <v>144</v>
      </c>
    </row>
    <row r="943" spans="1:36" x14ac:dyDescent="0.2">
      <c r="A943" t="str">
        <f>+VLOOKUP(B943,studies!$A$2:$C$102,3)</f>
        <v>Kopp et al. (2012)</v>
      </c>
      <c r="B943">
        <v>78</v>
      </c>
      <c r="C943">
        <v>2012</v>
      </c>
      <c r="D943">
        <v>1</v>
      </c>
      <c r="E943">
        <v>2005</v>
      </c>
      <c r="F943">
        <v>2015</v>
      </c>
      <c r="G943">
        <v>6.9444444444444441E-3</v>
      </c>
      <c r="H943">
        <v>1666.2172930534218</v>
      </c>
      <c r="I943">
        <v>0</v>
      </c>
      <c r="J943">
        <v>0</v>
      </c>
      <c r="K943">
        <v>1</v>
      </c>
      <c r="L943" t="s">
        <v>238</v>
      </c>
      <c r="M943">
        <v>474.83669870064421</v>
      </c>
      <c r="N943">
        <v>1286.6542803501325</v>
      </c>
      <c r="O943">
        <v>0</v>
      </c>
      <c r="P943">
        <v>1</v>
      </c>
      <c r="Q943">
        <v>0</v>
      </c>
      <c r="R943">
        <v>1</v>
      </c>
      <c r="S943">
        <v>0</v>
      </c>
      <c r="T943">
        <v>1</v>
      </c>
      <c r="U943">
        <v>0</v>
      </c>
      <c r="V943">
        <v>3</v>
      </c>
      <c r="W943">
        <v>0.14000000000000001</v>
      </c>
      <c r="AA943">
        <v>0</v>
      </c>
      <c r="AC943">
        <v>0</v>
      </c>
      <c r="AD943">
        <v>0</v>
      </c>
      <c r="AE943">
        <v>0</v>
      </c>
      <c r="AF943">
        <v>1</v>
      </c>
      <c r="AG943">
        <v>1</v>
      </c>
      <c r="AH943">
        <v>23</v>
      </c>
      <c r="AI943">
        <v>0</v>
      </c>
      <c r="AJ943">
        <v>144</v>
      </c>
    </row>
    <row r="944" spans="1:36" x14ac:dyDescent="0.2">
      <c r="A944" t="str">
        <f>+VLOOKUP(B944,studies!$A$2:$C$102,3)</f>
        <v>Kopp et al. (2012)</v>
      </c>
      <c r="B944">
        <v>78</v>
      </c>
      <c r="C944">
        <v>2012</v>
      </c>
      <c r="D944">
        <v>1</v>
      </c>
      <c r="E944">
        <v>2005</v>
      </c>
      <c r="F944">
        <v>2015</v>
      </c>
      <c r="G944">
        <v>6.9444444444444441E-3</v>
      </c>
      <c r="H944">
        <v>480.35093133071615</v>
      </c>
      <c r="I944">
        <v>0</v>
      </c>
      <c r="J944">
        <v>0</v>
      </c>
      <c r="K944">
        <v>1</v>
      </c>
      <c r="L944" t="s">
        <v>238</v>
      </c>
      <c r="M944">
        <v>130.19715932114437</v>
      </c>
      <c r="N944">
        <v>329.32222651818876</v>
      </c>
      <c r="O944">
        <v>0</v>
      </c>
      <c r="P944">
        <v>1</v>
      </c>
      <c r="Q944">
        <v>0</v>
      </c>
      <c r="R944">
        <v>1</v>
      </c>
      <c r="S944">
        <v>0</v>
      </c>
      <c r="T944">
        <v>1</v>
      </c>
      <c r="U944">
        <v>0</v>
      </c>
      <c r="V944">
        <v>3</v>
      </c>
      <c r="W944">
        <v>0.14000000000000001</v>
      </c>
      <c r="AA944">
        <v>0</v>
      </c>
      <c r="AC944">
        <v>0</v>
      </c>
      <c r="AD944">
        <v>0</v>
      </c>
      <c r="AE944">
        <v>0</v>
      </c>
      <c r="AF944">
        <v>1</v>
      </c>
      <c r="AG944">
        <v>1</v>
      </c>
      <c r="AH944">
        <v>23</v>
      </c>
      <c r="AI944">
        <v>0</v>
      </c>
      <c r="AJ944">
        <v>144</v>
      </c>
    </row>
    <row r="945" spans="1:36" x14ac:dyDescent="0.2">
      <c r="A945" t="str">
        <f>+VLOOKUP(B945,studies!$A$2:$C$102,3)</f>
        <v>Kopp et al. (2012)</v>
      </c>
      <c r="B945">
        <v>78</v>
      </c>
      <c r="C945">
        <v>2012</v>
      </c>
      <c r="D945">
        <v>1</v>
      </c>
      <c r="E945">
        <v>2005</v>
      </c>
      <c r="F945">
        <v>2015</v>
      </c>
      <c r="G945">
        <v>6.9444444444444441E-3</v>
      </c>
      <c r="H945">
        <v>690.50446378790446</v>
      </c>
      <c r="I945">
        <v>0</v>
      </c>
      <c r="J945">
        <v>0</v>
      </c>
      <c r="K945">
        <v>1</v>
      </c>
      <c r="L945" t="s">
        <v>238</v>
      </c>
      <c r="M945">
        <v>199.12506719704433</v>
      </c>
      <c r="N945">
        <v>589.71654516047749</v>
      </c>
      <c r="O945">
        <v>0</v>
      </c>
      <c r="P945">
        <v>1</v>
      </c>
      <c r="Q945">
        <v>0</v>
      </c>
      <c r="R945">
        <v>1</v>
      </c>
      <c r="S945">
        <v>0</v>
      </c>
      <c r="T945">
        <v>1</v>
      </c>
      <c r="U945">
        <v>0</v>
      </c>
      <c r="V945">
        <v>3</v>
      </c>
      <c r="W945">
        <v>0.14000000000000001</v>
      </c>
      <c r="AA945">
        <v>0</v>
      </c>
      <c r="AC945">
        <v>0</v>
      </c>
      <c r="AD945">
        <v>0</v>
      </c>
      <c r="AE945">
        <v>0</v>
      </c>
      <c r="AF945">
        <v>1</v>
      </c>
      <c r="AG945">
        <v>1</v>
      </c>
      <c r="AH945">
        <v>23</v>
      </c>
      <c r="AI945">
        <v>0</v>
      </c>
      <c r="AJ945">
        <v>144</v>
      </c>
    </row>
    <row r="946" spans="1:36" x14ac:dyDescent="0.2">
      <c r="A946" t="str">
        <f>+VLOOKUP(B946,studies!$A$2:$C$102,3)</f>
        <v>Kopp et al. (2012)</v>
      </c>
      <c r="B946">
        <v>78</v>
      </c>
      <c r="C946">
        <v>2012</v>
      </c>
      <c r="D946">
        <v>1</v>
      </c>
      <c r="E946">
        <v>2005</v>
      </c>
      <c r="F946">
        <v>2015</v>
      </c>
      <c r="G946">
        <v>6.9444444444444441E-3</v>
      </c>
      <c r="H946">
        <v>660.48253057973466</v>
      </c>
      <c r="I946">
        <v>0</v>
      </c>
      <c r="J946">
        <v>0</v>
      </c>
      <c r="K946">
        <v>1</v>
      </c>
      <c r="L946" t="s">
        <v>238</v>
      </c>
      <c r="M946">
        <v>183.80775433573319</v>
      </c>
      <c r="N946">
        <v>536.10595014588864</v>
      </c>
      <c r="O946">
        <v>0</v>
      </c>
      <c r="P946">
        <v>1</v>
      </c>
      <c r="Q946">
        <v>0</v>
      </c>
      <c r="R946">
        <v>1</v>
      </c>
      <c r="S946">
        <v>0</v>
      </c>
      <c r="T946">
        <v>1</v>
      </c>
      <c r="U946">
        <v>0</v>
      </c>
      <c r="V946">
        <v>3</v>
      </c>
      <c r="W946">
        <v>0.14000000000000001</v>
      </c>
      <c r="AA946">
        <v>0</v>
      </c>
      <c r="AC946">
        <v>0</v>
      </c>
      <c r="AD946">
        <v>0</v>
      </c>
      <c r="AE946">
        <v>0</v>
      </c>
      <c r="AF946">
        <v>1</v>
      </c>
      <c r="AG946">
        <v>1</v>
      </c>
      <c r="AH946">
        <v>23</v>
      </c>
      <c r="AI946">
        <v>0</v>
      </c>
      <c r="AJ946">
        <v>144</v>
      </c>
    </row>
    <row r="947" spans="1:36" x14ac:dyDescent="0.2">
      <c r="A947" t="str">
        <f>+VLOOKUP(B947,studies!$A$2:$C$102,3)</f>
        <v>Kopp et al. (2012)</v>
      </c>
      <c r="B947">
        <v>78</v>
      </c>
      <c r="C947">
        <v>2012</v>
      </c>
      <c r="D947">
        <v>1</v>
      </c>
      <c r="E947">
        <v>2005</v>
      </c>
      <c r="F947">
        <v>2015</v>
      </c>
      <c r="G947">
        <v>6.9444444444444441E-3</v>
      </c>
      <c r="H947">
        <v>1005.7347624736871</v>
      </c>
      <c r="I947">
        <v>0</v>
      </c>
      <c r="J947">
        <v>0</v>
      </c>
      <c r="K947">
        <v>1</v>
      </c>
      <c r="L947" t="s">
        <v>238</v>
      </c>
      <c r="M947">
        <v>367.61550867146644</v>
      </c>
      <c r="N947">
        <v>3882.9388103423648</v>
      </c>
      <c r="O947">
        <v>0</v>
      </c>
      <c r="P947">
        <v>1</v>
      </c>
      <c r="Q947">
        <v>0</v>
      </c>
      <c r="R947">
        <v>1</v>
      </c>
      <c r="S947">
        <v>0</v>
      </c>
      <c r="T947">
        <v>1</v>
      </c>
      <c r="U947">
        <v>0</v>
      </c>
      <c r="V947">
        <v>3</v>
      </c>
      <c r="W947">
        <v>0.14000000000000001</v>
      </c>
      <c r="AA947">
        <v>0</v>
      </c>
      <c r="AC947">
        <v>0</v>
      </c>
      <c r="AD947">
        <v>0</v>
      </c>
      <c r="AE947">
        <v>0</v>
      </c>
      <c r="AF947">
        <v>1</v>
      </c>
      <c r="AG947">
        <v>1</v>
      </c>
      <c r="AH947">
        <v>23</v>
      </c>
      <c r="AI947">
        <v>0</v>
      </c>
      <c r="AJ947">
        <v>144</v>
      </c>
    </row>
    <row r="948" spans="1:36" x14ac:dyDescent="0.2">
      <c r="A948" t="str">
        <f>+VLOOKUP(B948,studies!$A$2:$C$102,3)</f>
        <v>Kopp et al. (2012)</v>
      </c>
      <c r="B948">
        <v>78</v>
      </c>
      <c r="C948">
        <v>2012</v>
      </c>
      <c r="D948">
        <v>1</v>
      </c>
      <c r="E948">
        <v>2005</v>
      </c>
      <c r="F948">
        <v>2015</v>
      </c>
      <c r="G948">
        <v>6.9444444444444441E-3</v>
      </c>
      <c r="H948">
        <v>300.21933208169759</v>
      </c>
      <c r="I948">
        <v>0</v>
      </c>
      <c r="J948">
        <v>0</v>
      </c>
      <c r="K948">
        <v>1</v>
      </c>
      <c r="L948" t="s">
        <v>238</v>
      </c>
      <c r="M948">
        <v>99.56253359852218</v>
      </c>
      <c r="N948">
        <v>1516.4139732697993</v>
      </c>
      <c r="O948">
        <v>0</v>
      </c>
      <c r="P948">
        <v>1</v>
      </c>
      <c r="Q948">
        <v>0</v>
      </c>
      <c r="R948">
        <v>1</v>
      </c>
      <c r="S948">
        <v>0</v>
      </c>
      <c r="T948">
        <v>1</v>
      </c>
      <c r="U948">
        <v>0</v>
      </c>
      <c r="V948">
        <v>3</v>
      </c>
      <c r="W948">
        <v>0.14000000000000001</v>
      </c>
      <c r="AA948">
        <v>0</v>
      </c>
      <c r="AC948">
        <v>0</v>
      </c>
      <c r="AD948">
        <v>0</v>
      </c>
      <c r="AE948">
        <v>0</v>
      </c>
      <c r="AF948">
        <v>1</v>
      </c>
      <c r="AG948">
        <v>1</v>
      </c>
      <c r="AH948">
        <v>23</v>
      </c>
      <c r="AI948">
        <v>0</v>
      </c>
      <c r="AJ948">
        <v>144</v>
      </c>
    </row>
    <row r="949" spans="1:36" x14ac:dyDescent="0.2">
      <c r="A949" t="str">
        <f>+VLOOKUP(B949,studies!$A$2:$C$102,3)</f>
        <v>Kopp et al. (2012)</v>
      </c>
      <c r="B949">
        <v>78</v>
      </c>
      <c r="C949">
        <v>2012</v>
      </c>
      <c r="D949">
        <v>1</v>
      </c>
      <c r="E949">
        <v>2005</v>
      </c>
      <c r="F949">
        <v>2015</v>
      </c>
      <c r="G949">
        <v>6.9444444444444441E-3</v>
      </c>
      <c r="H949">
        <v>210.15353245718833</v>
      </c>
      <c r="I949">
        <v>0</v>
      </c>
      <c r="J949">
        <v>0</v>
      </c>
      <c r="K949">
        <v>1</v>
      </c>
      <c r="L949" t="s">
        <v>238</v>
      </c>
      <c r="M949">
        <v>68.927907875899962</v>
      </c>
      <c r="N949">
        <v>1501.0966604084881</v>
      </c>
      <c r="O949">
        <v>0</v>
      </c>
      <c r="P949">
        <v>1</v>
      </c>
      <c r="Q949">
        <v>0</v>
      </c>
      <c r="R949">
        <v>1</v>
      </c>
      <c r="S949">
        <v>0</v>
      </c>
      <c r="T949">
        <v>1</v>
      </c>
      <c r="U949">
        <v>0</v>
      </c>
      <c r="V949">
        <v>3</v>
      </c>
      <c r="W949">
        <v>0.14000000000000001</v>
      </c>
      <c r="AA949">
        <v>0</v>
      </c>
      <c r="AC949">
        <v>0</v>
      </c>
      <c r="AD949">
        <v>0</v>
      </c>
      <c r="AE949">
        <v>0</v>
      </c>
      <c r="AF949">
        <v>1</v>
      </c>
      <c r="AG949">
        <v>1</v>
      </c>
      <c r="AH949">
        <v>23</v>
      </c>
      <c r="AI949">
        <v>0</v>
      </c>
      <c r="AJ949">
        <v>144</v>
      </c>
    </row>
    <row r="950" spans="1:36" x14ac:dyDescent="0.2">
      <c r="A950" t="str">
        <f>+VLOOKUP(B950,studies!$A$2:$C$102,3)</f>
        <v>Kopp et al. (2012)</v>
      </c>
      <c r="B950">
        <v>78</v>
      </c>
      <c r="C950">
        <v>2012</v>
      </c>
      <c r="D950">
        <v>1</v>
      </c>
      <c r="E950">
        <v>2005</v>
      </c>
      <c r="F950">
        <v>2015</v>
      </c>
      <c r="G950">
        <v>6.9444444444444441E-3</v>
      </c>
      <c r="H950">
        <v>450.32899812254641</v>
      </c>
      <c r="I950">
        <v>0</v>
      </c>
      <c r="J950">
        <v>0</v>
      </c>
      <c r="K950">
        <v>1</v>
      </c>
      <c r="L950" t="s">
        <v>238</v>
      </c>
      <c r="M950">
        <v>153.173128613111</v>
      </c>
      <c r="N950">
        <v>2129.1064877222434</v>
      </c>
      <c r="O950">
        <v>0</v>
      </c>
      <c r="P950">
        <v>1</v>
      </c>
      <c r="Q950">
        <v>0</v>
      </c>
      <c r="R950">
        <v>1</v>
      </c>
      <c r="S950">
        <v>0</v>
      </c>
      <c r="T950">
        <v>1</v>
      </c>
      <c r="U950">
        <v>0</v>
      </c>
      <c r="V950">
        <v>3</v>
      </c>
      <c r="W950">
        <v>0.14000000000000001</v>
      </c>
      <c r="AA950">
        <v>0</v>
      </c>
      <c r="AC950">
        <v>0</v>
      </c>
      <c r="AD950">
        <v>0</v>
      </c>
      <c r="AE950">
        <v>0</v>
      </c>
      <c r="AF950">
        <v>1</v>
      </c>
      <c r="AG950">
        <v>1</v>
      </c>
      <c r="AH950">
        <v>23</v>
      </c>
      <c r="AI950">
        <v>0</v>
      </c>
      <c r="AJ950">
        <v>144</v>
      </c>
    </row>
    <row r="951" spans="1:36" x14ac:dyDescent="0.2">
      <c r="A951" t="str">
        <f>+VLOOKUP(B951,studies!$A$2:$C$102,3)</f>
        <v>Kopp et al. (2012)</v>
      </c>
      <c r="B951">
        <v>78</v>
      </c>
      <c r="C951">
        <v>2012</v>
      </c>
      <c r="D951">
        <v>1</v>
      </c>
      <c r="E951">
        <v>2005</v>
      </c>
      <c r="F951">
        <v>2015</v>
      </c>
      <c r="G951">
        <v>6.9444444444444441E-3</v>
      </c>
      <c r="H951">
        <v>285.20836547761269</v>
      </c>
      <c r="I951">
        <v>0</v>
      </c>
      <c r="J951">
        <v>0</v>
      </c>
      <c r="K951">
        <v>1</v>
      </c>
      <c r="L951" t="s">
        <v>238</v>
      </c>
      <c r="M951">
        <v>91.903877167866611</v>
      </c>
      <c r="N951">
        <v>1884.0294819412657</v>
      </c>
      <c r="O951">
        <v>0</v>
      </c>
      <c r="P951">
        <v>1</v>
      </c>
      <c r="Q951">
        <v>0</v>
      </c>
      <c r="R951">
        <v>1</v>
      </c>
      <c r="S951">
        <v>0</v>
      </c>
      <c r="T951">
        <v>1</v>
      </c>
      <c r="U951">
        <v>0</v>
      </c>
      <c r="V951">
        <v>3</v>
      </c>
      <c r="W951">
        <v>0.14000000000000001</v>
      </c>
      <c r="AA951">
        <v>0</v>
      </c>
      <c r="AC951">
        <v>0</v>
      </c>
      <c r="AD951">
        <v>0</v>
      </c>
      <c r="AE951">
        <v>0</v>
      </c>
      <c r="AF951">
        <v>1</v>
      </c>
      <c r="AG951">
        <v>1</v>
      </c>
      <c r="AH951">
        <v>23</v>
      </c>
      <c r="AI951">
        <v>0</v>
      </c>
      <c r="AJ951">
        <v>144</v>
      </c>
    </row>
    <row r="952" spans="1:36" x14ac:dyDescent="0.2">
      <c r="A952" t="str">
        <f>+VLOOKUP(B952,studies!$A$2:$C$102,3)</f>
        <v>Kopp et al. (2012)</v>
      </c>
      <c r="B952">
        <v>78</v>
      </c>
      <c r="C952">
        <v>2012</v>
      </c>
      <c r="D952">
        <v>1</v>
      </c>
      <c r="E952">
        <v>2005</v>
      </c>
      <c r="F952">
        <v>2015</v>
      </c>
      <c r="G952">
        <v>6.9444444444444441E-3</v>
      </c>
      <c r="H952">
        <v>150.10966604084879</v>
      </c>
      <c r="I952">
        <v>0</v>
      </c>
      <c r="J952">
        <v>0</v>
      </c>
      <c r="K952">
        <v>1</v>
      </c>
      <c r="L952" t="s">
        <v>238</v>
      </c>
      <c r="M952">
        <v>68.927907875899962</v>
      </c>
      <c r="N952">
        <v>4143.3331289846528</v>
      </c>
      <c r="O952">
        <v>0</v>
      </c>
      <c r="P952">
        <v>1</v>
      </c>
      <c r="Q952">
        <v>0</v>
      </c>
      <c r="R952">
        <v>1</v>
      </c>
      <c r="S952">
        <v>0</v>
      </c>
      <c r="T952">
        <v>1</v>
      </c>
      <c r="U952">
        <v>0</v>
      </c>
      <c r="V952">
        <v>3</v>
      </c>
      <c r="W952">
        <v>0.14000000000000001</v>
      </c>
      <c r="AA952">
        <v>0</v>
      </c>
      <c r="AC952">
        <v>0</v>
      </c>
      <c r="AD952">
        <v>0</v>
      </c>
      <c r="AE952">
        <v>0</v>
      </c>
      <c r="AF952">
        <v>1</v>
      </c>
      <c r="AG952">
        <v>1</v>
      </c>
      <c r="AH952">
        <v>23</v>
      </c>
      <c r="AI952">
        <v>0</v>
      </c>
      <c r="AJ952">
        <v>144</v>
      </c>
    </row>
    <row r="953" spans="1:36" x14ac:dyDescent="0.2">
      <c r="A953" t="str">
        <f>+VLOOKUP(B953,studies!$A$2:$C$102,3)</f>
        <v>Kopp et al. (2012)</v>
      </c>
      <c r="B953">
        <v>78</v>
      </c>
      <c r="C953">
        <v>2012</v>
      </c>
      <c r="D953">
        <v>1</v>
      </c>
      <c r="E953">
        <v>2005</v>
      </c>
      <c r="F953">
        <v>2015</v>
      </c>
      <c r="G953">
        <v>6.9444444444444441E-3</v>
      </c>
      <c r="H953">
        <v>120.08773283267904</v>
      </c>
      <c r="I953">
        <v>0</v>
      </c>
      <c r="J953">
        <v>0</v>
      </c>
      <c r="K953">
        <v>1</v>
      </c>
      <c r="L953" t="s">
        <v>238</v>
      </c>
      <c r="M953">
        <v>53.61059501458886</v>
      </c>
      <c r="N953">
        <v>3163.0251058607423</v>
      </c>
      <c r="O953">
        <v>0</v>
      </c>
      <c r="P953">
        <v>1</v>
      </c>
      <c r="Q953">
        <v>0</v>
      </c>
      <c r="R953">
        <v>1</v>
      </c>
      <c r="S953">
        <v>0</v>
      </c>
      <c r="T953">
        <v>1</v>
      </c>
      <c r="U953">
        <v>0</v>
      </c>
      <c r="V953">
        <v>3</v>
      </c>
      <c r="W953">
        <v>0.14000000000000001</v>
      </c>
      <c r="AA953">
        <v>0</v>
      </c>
      <c r="AC953">
        <v>0</v>
      </c>
      <c r="AD953">
        <v>0</v>
      </c>
      <c r="AE953">
        <v>0</v>
      </c>
      <c r="AF953">
        <v>1</v>
      </c>
      <c r="AG953">
        <v>1</v>
      </c>
      <c r="AH953">
        <v>23</v>
      </c>
      <c r="AI953">
        <v>0</v>
      </c>
      <c r="AJ953">
        <v>144</v>
      </c>
    </row>
    <row r="954" spans="1:36" x14ac:dyDescent="0.2">
      <c r="A954" t="str">
        <f>+VLOOKUP(B954,studies!$A$2:$C$102,3)</f>
        <v>Kopp et al. (2012)</v>
      </c>
      <c r="B954">
        <v>78</v>
      </c>
      <c r="C954">
        <v>2012</v>
      </c>
      <c r="D954">
        <v>1</v>
      </c>
      <c r="E954">
        <v>2005</v>
      </c>
      <c r="F954">
        <v>2015</v>
      </c>
      <c r="G954">
        <v>6.9444444444444441E-3</v>
      </c>
      <c r="H954">
        <v>150.10966604084879</v>
      </c>
      <c r="I954">
        <v>0</v>
      </c>
      <c r="J954">
        <v>0</v>
      </c>
      <c r="K954">
        <v>1</v>
      </c>
      <c r="L954" t="s">
        <v>238</v>
      </c>
      <c r="M954">
        <v>68.927907875899962</v>
      </c>
      <c r="N954">
        <v>4066.7465646780979</v>
      </c>
      <c r="O954">
        <v>0</v>
      </c>
      <c r="P954">
        <v>1</v>
      </c>
      <c r="Q954">
        <v>0</v>
      </c>
      <c r="R954">
        <v>1</v>
      </c>
      <c r="S954">
        <v>0</v>
      </c>
      <c r="T954">
        <v>1</v>
      </c>
      <c r="U954">
        <v>0</v>
      </c>
      <c r="V954">
        <v>3</v>
      </c>
      <c r="W954">
        <v>0.14000000000000001</v>
      </c>
      <c r="AA954">
        <v>0</v>
      </c>
      <c r="AC954">
        <v>0</v>
      </c>
      <c r="AD954">
        <v>0</v>
      </c>
      <c r="AE954">
        <v>0</v>
      </c>
      <c r="AF954">
        <v>1</v>
      </c>
      <c r="AG954">
        <v>1</v>
      </c>
      <c r="AH954">
        <v>23</v>
      </c>
      <c r="AI954">
        <v>0</v>
      </c>
      <c r="AJ954">
        <v>144</v>
      </c>
    </row>
    <row r="955" spans="1:36" x14ac:dyDescent="0.2">
      <c r="A955" t="str">
        <f>+VLOOKUP(B955,studies!$A$2:$C$102,3)</f>
        <v>Kopp et al. (2012)</v>
      </c>
      <c r="B955">
        <v>78</v>
      </c>
      <c r="C955">
        <v>2012</v>
      </c>
      <c r="D955">
        <v>1</v>
      </c>
      <c r="E955">
        <v>2005</v>
      </c>
      <c r="F955">
        <v>2015</v>
      </c>
      <c r="G955">
        <v>6.9444444444444441E-3</v>
      </c>
      <c r="H955">
        <v>150.10966604084879</v>
      </c>
      <c r="I955">
        <v>0</v>
      </c>
      <c r="J955">
        <v>0</v>
      </c>
      <c r="K955">
        <v>1</v>
      </c>
      <c r="L955" t="s">
        <v>238</v>
      </c>
      <c r="M955">
        <v>68.927907875899962</v>
      </c>
      <c r="N955">
        <v>4074.4052211087533</v>
      </c>
      <c r="O955">
        <v>0</v>
      </c>
      <c r="P955">
        <v>1</v>
      </c>
      <c r="Q955">
        <v>0</v>
      </c>
      <c r="R955">
        <v>1</v>
      </c>
      <c r="S955">
        <v>0</v>
      </c>
      <c r="T955">
        <v>1</v>
      </c>
      <c r="U955">
        <v>0</v>
      </c>
      <c r="V955">
        <v>3</v>
      </c>
      <c r="W955">
        <v>0.14000000000000001</v>
      </c>
      <c r="AA955">
        <v>0</v>
      </c>
      <c r="AC955">
        <v>0</v>
      </c>
      <c r="AD955">
        <v>0</v>
      </c>
      <c r="AE955">
        <v>0</v>
      </c>
      <c r="AF955">
        <v>1</v>
      </c>
      <c r="AG955">
        <v>1</v>
      </c>
      <c r="AH955">
        <v>23</v>
      </c>
      <c r="AI955">
        <v>0</v>
      </c>
      <c r="AJ955">
        <v>144</v>
      </c>
    </row>
    <row r="956" spans="1:36" x14ac:dyDescent="0.2">
      <c r="A956" t="str">
        <f>+VLOOKUP(B956,studies!$A$2:$C$102,3)</f>
        <v>Kopp et al. (2012)</v>
      </c>
      <c r="B956">
        <v>78</v>
      </c>
      <c r="C956">
        <v>2012</v>
      </c>
      <c r="D956">
        <v>1</v>
      </c>
      <c r="E956">
        <v>2005</v>
      </c>
      <c r="F956">
        <v>2015</v>
      </c>
      <c r="G956">
        <v>6.9444444444444441E-3</v>
      </c>
      <c r="H956">
        <v>855.62509643283818</v>
      </c>
      <c r="I956">
        <v>0</v>
      </c>
      <c r="J956">
        <v>0</v>
      </c>
      <c r="K956">
        <v>1</v>
      </c>
      <c r="L956" t="s">
        <v>238</v>
      </c>
      <c r="M956">
        <v>252.73566221163318</v>
      </c>
      <c r="N956">
        <v>964.99071026259946</v>
      </c>
      <c r="O956">
        <v>0</v>
      </c>
      <c r="P956">
        <v>1</v>
      </c>
      <c r="Q956">
        <v>0</v>
      </c>
      <c r="R956">
        <v>1</v>
      </c>
      <c r="S956">
        <v>0</v>
      </c>
      <c r="T956">
        <v>1</v>
      </c>
      <c r="U956">
        <v>0</v>
      </c>
      <c r="V956">
        <v>3</v>
      </c>
      <c r="W956">
        <v>-1.1000000000000001</v>
      </c>
      <c r="AA956">
        <v>0</v>
      </c>
      <c r="AC956">
        <v>0</v>
      </c>
      <c r="AD956">
        <v>0</v>
      </c>
      <c r="AE956">
        <v>0</v>
      </c>
      <c r="AF956">
        <v>1</v>
      </c>
      <c r="AG956">
        <v>1</v>
      </c>
      <c r="AH956">
        <v>23</v>
      </c>
      <c r="AI956">
        <v>0</v>
      </c>
      <c r="AJ956">
        <v>144</v>
      </c>
    </row>
    <row r="957" spans="1:36" x14ac:dyDescent="0.2">
      <c r="A957" t="str">
        <f>+VLOOKUP(B957,studies!$A$2:$C$102,3)</f>
        <v>Kopp et al. (2012)</v>
      </c>
      <c r="B957">
        <v>78</v>
      </c>
      <c r="C957">
        <v>2012</v>
      </c>
      <c r="D957">
        <v>1</v>
      </c>
      <c r="E957">
        <v>2005</v>
      </c>
      <c r="F957">
        <v>2015</v>
      </c>
      <c r="G957">
        <v>6.9444444444444441E-3</v>
      </c>
      <c r="H957">
        <v>915.66896284917766</v>
      </c>
      <c r="I957">
        <v>0</v>
      </c>
      <c r="J957">
        <v>0</v>
      </c>
      <c r="K957">
        <v>1</v>
      </c>
      <c r="L957" t="s">
        <v>238</v>
      </c>
      <c r="M957">
        <v>283.37028793425537</v>
      </c>
      <c r="N957">
        <v>1424.5100961019327</v>
      </c>
      <c r="O957">
        <v>0</v>
      </c>
      <c r="P957">
        <v>1</v>
      </c>
      <c r="Q957">
        <v>0</v>
      </c>
      <c r="R957">
        <v>1</v>
      </c>
      <c r="S957">
        <v>0</v>
      </c>
      <c r="T957">
        <v>1</v>
      </c>
      <c r="U957">
        <v>0</v>
      </c>
      <c r="V957">
        <v>3</v>
      </c>
      <c r="W957">
        <v>-1.1000000000000001</v>
      </c>
      <c r="AA957">
        <v>0</v>
      </c>
      <c r="AC957">
        <v>0</v>
      </c>
      <c r="AD957">
        <v>0</v>
      </c>
      <c r="AE957">
        <v>0</v>
      </c>
      <c r="AF957">
        <v>1</v>
      </c>
      <c r="AG957">
        <v>1</v>
      </c>
      <c r="AH957">
        <v>23</v>
      </c>
      <c r="AI957">
        <v>0</v>
      </c>
      <c r="AJ957">
        <v>144</v>
      </c>
    </row>
    <row r="958" spans="1:36" x14ac:dyDescent="0.2">
      <c r="A958" t="str">
        <f>+VLOOKUP(B958,studies!$A$2:$C$102,3)</f>
        <v>Kopp et al. (2012)</v>
      </c>
      <c r="B958">
        <v>78</v>
      </c>
      <c r="C958">
        <v>2012</v>
      </c>
      <c r="D958">
        <v>1</v>
      </c>
      <c r="E958">
        <v>2005</v>
      </c>
      <c r="F958">
        <v>2015</v>
      </c>
      <c r="G958">
        <v>6.9444444444444441E-3</v>
      </c>
      <c r="H958">
        <v>750.54833020424405</v>
      </c>
      <c r="I958">
        <v>0</v>
      </c>
      <c r="J958">
        <v>0</v>
      </c>
      <c r="K958">
        <v>1</v>
      </c>
      <c r="L958" t="s">
        <v>238</v>
      </c>
      <c r="M958">
        <v>229.75969291966655</v>
      </c>
      <c r="N958">
        <v>834.79355094145512</v>
      </c>
      <c r="O958">
        <v>0</v>
      </c>
      <c r="P958">
        <v>1</v>
      </c>
      <c r="Q958">
        <v>0</v>
      </c>
      <c r="R958">
        <v>1</v>
      </c>
      <c r="S958">
        <v>0</v>
      </c>
      <c r="T958">
        <v>1</v>
      </c>
      <c r="U958">
        <v>0</v>
      </c>
      <c r="V958">
        <v>3</v>
      </c>
      <c r="W958">
        <v>-1.1000000000000001</v>
      </c>
      <c r="AA958">
        <v>0</v>
      </c>
      <c r="AC958">
        <v>0</v>
      </c>
      <c r="AD958">
        <v>0</v>
      </c>
      <c r="AE958">
        <v>0</v>
      </c>
      <c r="AF958">
        <v>1</v>
      </c>
      <c r="AG958">
        <v>1</v>
      </c>
      <c r="AH958">
        <v>23</v>
      </c>
      <c r="AI958">
        <v>0</v>
      </c>
      <c r="AJ958">
        <v>144</v>
      </c>
    </row>
    <row r="959" spans="1:36" x14ac:dyDescent="0.2">
      <c r="A959" t="str">
        <f>+VLOOKUP(B959,studies!$A$2:$C$102,3)</f>
        <v>Kopp et al. (2012)</v>
      </c>
      <c r="B959">
        <v>78</v>
      </c>
      <c r="C959">
        <v>2012</v>
      </c>
      <c r="D959">
        <v>1</v>
      </c>
      <c r="E959">
        <v>2005</v>
      </c>
      <c r="F959">
        <v>2015</v>
      </c>
      <c r="G959">
        <v>6.9444444444444441E-3</v>
      </c>
      <c r="H959">
        <v>1921.4037253228646</v>
      </c>
      <c r="I959">
        <v>0</v>
      </c>
      <c r="J959">
        <v>0</v>
      </c>
      <c r="K959">
        <v>1</v>
      </c>
      <c r="L959" t="s">
        <v>238</v>
      </c>
      <c r="M959">
        <v>605.03385802178855</v>
      </c>
      <c r="N959">
        <v>2596.2845299922319</v>
      </c>
      <c r="O959">
        <v>0</v>
      </c>
      <c r="P959">
        <v>1</v>
      </c>
      <c r="Q959">
        <v>0</v>
      </c>
      <c r="R959">
        <v>1</v>
      </c>
      <c r="S959">
        <v>0</v>
      </c>
      <c r="T959">
        <v>1</v>
      </c>
      <c r="U959">
        <v>0</v>
      </c>
      <c r="V959">
        <v>3</v>
      </c>
      <c r="W959">
        <v>-1.1000000000000001</v>
      </c>
      <c r="AA959">
        <v>0</v>
      </c>
      <c r="AC959">
        <v>0</v>
      </c>
      <c r="AD959">
        <v>0</v>
      </c>
      <c r="AE959">
        <v>0</v>
      </c>
      <c r="AF959">
        <v>1</v>
      </c>
      <c r="AG959">
        <v>1</v>
      </c>
      <c r="AH959">
        <v>23</v>
      </c>
      <c r="AI959">
        <v>0</v>
      </c>
      <c r="AJ959">
        <v>144</v>
      </c>
    </row>
    <row r="960" spans="1:36" x14ac:dyDescent="0.2">
      <c r="A960" t="str">
        <f>+VLOOKUP(B960,studies!$A$2:$C$102,3)</f>
        <v>Kopp et al. (2012)</v>
      </c>
      <c r="B960">
        <v>78</v>
      </c>
      <c r="C960">
        <v>2012</v>
      </c>
      <c r="D960">
        <v>1</v>
      </c>
      <c r="E960">
        <v>2005</v>
      </c>
      <c r="F960">
        <v>2015</v>
      </c>
      <c r="G960">
        <v>6.9444444444444441E-3</v>
      </c>
      <c r="H960">
        <v>1921.4037253228646</v>
      </c>
      <c r="I960">
        <v>0</v>
      </c>
      <c r="J960">
        <v>0</v>
      </c>
      <c r="K960">
        <v>1</v>
      </c>
      <c r="L960" t="s">
        <v>238</v>
      </c>
      <c r="M960">
        <v>605.03385802178855</v>
      </c>
      <c r="N960">
        <v>2596.2845299922319</v>
      </c>
      <c r="O960">
        <v>0</v>
      </c>
      <c r="P960">
        <v>1</v>
      </c>
      <c r="Q960">
        <v>0</v>
      </c>
      <c r="R960">
        <v>1</v>
      </c>
      <c r="S960">
        <v>0</v>
      </c>
      <c r="T960">
        <v>1</v>
      </c>
      <c r="U960">
        <v>0</v>
      </c>
      <c r="V960">
        <v>3</v>
      </c>
      <c r="W960">
        <v>-1.1000000000000001</v>
      </c>
      <c r="AA960">
        <v>0</v>
      </c>
      <c r="AC960">
        <v>0</v>
      </c>
      <c r="AD960">
        <v>0</v>
      </c>
      <c r="AE960">
        <v>0</v>
      </c>
      <c r="AF960">
        <v>1</v>
      </c>
      <c r="AG960">
        <v>1</v>
      </c>
      <c r="AH960">
        <v>23</v>
      </c>
      <c r="AI960">
        <v>0</v>
      </c>
      <c r="AJ960">
        <v>144</v>
      </c>
    </row>
    <row r="961" spans="1:36" x14ac:dyDescent="0.2">
      <c r="A961" t="str">
        <f>+VLOOKUP(B961,studies!$A$2:$C$102,3)</f>
        <v>Kopp et al. (2012)</v>
      </c>
      <c r="B961">
        <v>78</v>
      </c>
      <c r="C961">
        <v>2012</v>
      </c>
      <c r="D961">
        <v>1</v>
      </c>
      <c r="E961">
        <v>2005</v>
      </c>
      <c r="F961">
        <v>2015</v>
      </c>
      <c r="G961">
        <v>6.9444444444444441E-3</v>
      </c>
      <c r="H961">
        <v>4143.0267827274265</v>
      </c>
      <c r="I961">
        <v>0</v>
      </c>
      <c r="J961">
        <v>0</v>
      </c>
      <c r="K961">
        <v>1</v>
      </c>
      <c r="L961" t="s">
        <v>238</v>
      </c>
      <c r="M961">
        <v>1370.8995010873437</v>
      </c>
      <c r="N961">
        <v>6708.9830332542633</v>
      </c>
      <c r="O961">
        <v>0</v>
      </c>
      <c r="P961">
        <v>1</v>
      </c>
      <c r="Q961">
        <v>0</v>
      </c>
      <c r="R961">
        <v>1</v>
      </c>
      <c r="S961">
        <v>0</v>
      </c>
      <c r="T961">
        <v>1</v>
      </c>
      <c r="U961">
        <v>0</v>
      </c>
      <c r="V961">
        <v>3</v>
      </c>
      <c r="W961">
        <v>-1.1000000000000001</v>
      </c>
      <c r="AA961">
        <v>0</v>
      </c>
      <c r="AC961">
        <v>0</v>
      </c>
      <c r="AD961">
        <v>0</v>
      </c>
      <c r="AE961">
        <v>0</v>
      </c>
      <c r="AF961">
        <v>1</v>
      </c>
      <c r="AG961">
        <v>1</v>
      </c>
      <c r="AH961">
        <v>23</v>
      </c>
      <c r="AI961">
        <v>0</v>
      </c>
      <c r="AJ961">
        <v>144</v>
      </c>
    </row>
    <row r="962" spans="1:36" x14ac:dyDescent="0.2">
      <c r="A962" t="str">
        <f>+VLOOKUP(B962,studies!$A$2:$C$102,3)</f>
        <v>Kopp et al. (2012)</v>
      </c>
      <c r="B962">
        <v>78</v>
      </c>
      <c r="C962">
        <v>2012</v>
      </c>
      <c r="D962">
        <v>1</v>
      </c>
      <c r="E962">
        <v>2005</v>
      </c>
      <c r="F962">
        <v>2015</v>
      </c>
      <c r="G962">
        <v>6.9444444444444441E-3</v>
      </c>
      <c r="H962">
        <v>540.39479774705569</v>
      </c>
      <c r="I962">
        <v>0</v>
      </c>
      <c r="J962">
        <v>0</v>
      </c>
      <c r="K962">
        <v>1</v>
      </c>
      <c r="L962" t="s">
        <v>238</v>
      </c>
      <c r="M962">
        <v>145.51447218245548</v>
      </c>
      <c r="N962">
        <v>467.17804226998857</v>
      </c>
      <c r="O962">
        <v>0</v>
      </c>
      <c r="P962">
        <v>1</v>
      </c>
      <c r="Q962">
        <v>0</v>
      </c>
      <c r="R962">
        <v>1</v>
      </c>
      <c r="S962">
        <v>0</v>
      </c>
      <c r="T962">
        <v>1</v>
      </c>
      <c r="U962">
        <v>0</v>
      </c>
      <c r="V962">
        <v>3</v>
      </c>
      <c r="W962">
        <v>-1.1000000000000001</v>
      </c>
      <c r="AA962">
        <v>0</v>
      </c>
      <c r="AC962">
        <v>0</v>
      </c>
      <c r="AD962">
        <v>0</v>
      </c>
      <c r="AE962">
        <v>0</v>
      </c>
      <c r="AF962">
        <v>1</v>
      </c>
      <c r="AG962">
        <v>1</v>
      </c>
      <c r="AH962">
        <v>23</v>
      </c>
      <c r="AI962">
        <v>0</v>
      </c>
      <c r="AJ962">
        <v>144</v>
      </c>
    </row>
    <row r="963" spans="1:36" x14ac:dyDescent="0.2">
      <c r="A963" t="str">
        <f>+VLOOKUP(B963,studies!$A$2:$C$102,3)</f>
        <v>Kopp et al. (2012)</v>
      </c>
      <c r="B963">
        <v>78</v>
      </c>
      <c r="C963">
        <v>2012</v>
      </c>
      <c r="D963">
        <v>1</v>
      </c>
      <c r="E963">
        <v>2005</v>
      </c>
      <c r="F963">
        <v>2015</v>
      </c>
      <c r="G963">
        <v>6.9444444444444441E-3</v>
      </c>
      <c r="H963">
        <v>900.65799624509282</v>
      </c>
      <c r="I963">
        <v>0</v>
      </c>
      <c r="J963">
        <v>0</v>
      </c>
      <c r="K963">
        <v>1</v>
      </c>
      <c r="L963" t="s">
        <v>238</v>
      </c>
      <c r="M963">
        <v>275.71163150359985</v>
      </c>
      <c r="N963">
        <v>1018.6013052771883</v>
      </c>
      <c r="O963">
        <v>0</v>
      </c>
      <c r="P963">
        <v>1</v>
      </c>
      <c r="Q963">
        <v>0</v>
      </c>
      <c r="R963">
        <v>1</v>
      </c>
      <c r="S963">
        <v>0</v>
      </c>
      <c r="T963">
        <v>1</v>
      </c>
      <c r="U963">
        <v>0</v>
      </c>
      <c r="V963">
        <v>3</v>
      </c>
      <c r="W963">
        <v>-1.1000000000000001</v>
      </c>
      <c r="AA963">
        <v>0</v>
      </c>
      <c r="AC963">
        <v>0</v>
      </c>
      <c r="AD963">
        <v>0</v>
      </c>
      <c r="AE963">
        <v>0</v>
      </c>
      <c r="AF963">
        <v>1</v>
      </c>
      <c r="AG963">
        <v>1</v>
      </c>
      <c r="AH963">
        <v>23</v>
      </c>
      <c r="AI963">
        <v>0</v>
      </c>
      <c r="AJ963">
        <v>144</v>
      </c>
    </row>
    <row r="964" spans="1:36" x14ac:dyDescent="0.2">
      <c r="A964" t="str">
        <f>+VLOOKUP(B964,studies!$A$2:$C$102,3)</f>
        <v>Kopp et al. (2012)</v>
      </c>
      <c r="B964">
        <v>78</v>
      </c>
      <c r="C964">
        <v>2012</v>
      </c>
      <c r="D964">
        <v>1</v>
      </c>
      <c r="E964">
        <v>2005</v>
      </c>
      <c r="F964">
        <v>2015</v>
      </c>
      <c r="G964">
        <v>6.9444444444444441E-3</v>
      </c>
      <c r="H964">
        <v>855.62509643283818</v>
      </c>
      <c r="I964">
        <v>0</v>
      </c>
      <c r="J964">
        <v>0</v>
      </c>
      <c r="K964">
        <v>1</v>
      </c>
      <c r="L964" t="s">
        <v>238</v>
      </c>
      <c r="M964">
        <v>252.73566221163318</v>
      </c>
      <c r="N964">
        <v>964.99071026259946</v>
      </c>
      <c r="O964">
        <v>0</v>
      </c>
      <c r="P964">
        <v>1</v>
      </c>
      <c r="Q964">
        <v>0</v>
      </c>
      <c r="R964">
        <v>1</v>
      </c>
      <c r="S964">
        <v>0</v>
      </c>
      <c r="T964">
        <v>1</v>
      </c>
      <c r="U964">
        <v>0</v>
      </c>
      <c r="V964">
        <v>3</v>
      </c>
      <c r="W964">
        <v>-1.1000000000000001</v>
      </c>
      <c r="AA964">
        <v>0</v>
      </c>
      <c r="AC964">
        <v>0</v>
      </c>
      <c r="AD964">
        <v>0</v>
      </c>
      <c r="AE964">
        <v>0</v>
      </c>
      <c r="AF964">
        <v>1</v>
      </c>
      <c r="AG964">
        <v>1</v>
      </c>
      <c r="AH964">
        <v>23</v>
      </c>
      <c r="AI964">
        <v>0</v>
      </c>
      <c r="AJ964">
        <v>144</v>
      </c>
    </row>
    <row r="965" spans="1:36" x14ac:dyDescent="0.2">
      <c r="A965" t="str">
        <f>+VLOOKUP(B965,studies!$A$2:$C$102,3)</f>
        <v>Kopp et al. (2012)</v>
      </c>
      <c r="B965">
        <v>78</v>
      </c>
      <c r="C965">
        <v>2012</v>
      </c>
      <c r="D965">
        <v>1</v>
      </c>
      <c r="E965">
        <v>2005</v>
      </c>
      <c r="F965">
        <v>2015</v>
      </c>
      <c r="G965">
        <v>6.9444444444444441E-3</v>
      </c>
      <c r="H965">
        <v>1411.0308607839788</v>
      </c>
      <c r="I965">
        <v>0</v>
      </c>
      <c r="J965">
        <v>0</v>
      </c>
      <c r="K965">
        <v>1</v>
      </c>
      <c r="L965" t="s">
        <v>238</v>
      </c>
      <c r="M965">
        <v>543.76460657654411</v>
      </c>
      <c r="N965">
        <v>14015.341268099659</v>
      </c>
      <c r="O965">
        <v>0</v>
      </c>
      <c r="P965">
        <v>1</v>
      </c>
      <c r="Q965">
        <v>0</v>
      </c>
      <c r="R965">
        <v>1</v>
      </c>
      <c r="S965">
        <v>0</v>
      </c>
      <c r="T965">
        <v>1</v>
      </c>
      <c r="U965">
        <v>0</v>
      </c>
      <c r="V965">
        <v>3</v>
      </c>
      <c r="W965">
        <v>-1.1000000000000001</v>
      </c>
      <c r="AA965">
        <v>0</v>
      </c>
      <c r="AC965">
        <v>0</v>
      </c>
      <c r="AD965">
        <v>0</v>
      </c>
      <c r="AE965">
        <v>0</v>
      </c>
      <c r="AF965">
        <v>1</v>
      </c>
      <c r="AG965">
        <v>1</v>
      </c>
      <c r="AH965">
        <v>23</v>
      </c>
      <c r="AI965">
        <v>0</v>
      </c>
      <c r="AJ965">
        <v>144</v>
      </c>
    </row>
    <row r="966" spans="1:36" x14ac:dyDescent="0.2">
      <c r="A966" t="str">
        <f>+VLOOKUP(B966,studies!$A$2:$C$102,3)</f>
        <v>Kopp et al. (2012)</v>
      </c>
      <c r="B966">
        <v>78</v>
      </c>
      <c r="C966">
        <v>2012</v>
      </c>
      <c r="D966">
        <v>1</v>
      </c>
      <c r="E966">
        <v>2005</v>
      </c>
      <c r="F966">
        <v>2015</v>
      </c>
      <c r="G966">
        <v>6.9444444444444441E-3</v>
      </c>
      <c r="H966">
        <v>390.28513170620693</v>
      </c>
      <c r="I966">
        <v>0</v>
      </c>
      <c r="J966">
        <v>0</v>
      </c>
      <c r="K966">
        <v>1</v>
      </c>
      <c r="L966" t="s">
        <v>238</v>
      </c>
      <c r="M966">
        <v>137.85581575179995</v>
      </c>
      <c r="N966">
        <v>1929.9814205251989</v>
      </c>
      <c r="O966">
        <v>0</v>
      </c>
      <c r="P966">
        <v>1</v>
      </c>
      <c r="Q966">
        <v>0</v>
      </c>
      <c r="R966">
        <v>1</v>
      </c>
      <c r="S966">
        <v>0</v>
      </c>
      <c r="T966">
        <v>1</v>
      </c>
      <c r="U966">
        <v>0</v>
      </c>
      <c r="V966">
        <v>3</v>
      </c>
      <c r="W966">
        <v>-1.1000000000000001</v>
      </c>
      <c r="AA966">
        <v>0</v>
      </c>
      <c r="AC966">
        <v>0</v>
      </c>
      <c r="AD966">
        <v>0</v>
      </c>
      <c r="AE966">
        <v>0</v>
      </c>
      <c r="AF966">
        <v>1</v>
      </c>
      <c r="AG966">
        <v>1</v>
      </c>
      <c r="AH966">
        <v>23</v>
      </c>
      <c r="AI966">
        <v>0</v>
      </c>
      <c r="AJ966">
        <v>144</v>
      </c>
    </row>
    <row r="967" spans="1:36" x14ac:dyDescent="0.2">
      <c r="A967" t="str">
        <f>+VLOOKUP(B967,studies!$A$2:$C$102,3)</f>
        <v>Kopp et al. (2012)</v>
      </c>
      <c r="B967">
        <v>78</v>
      </c>
      <c r="C967">
        <v>2012</v>
      </c>
      <c r="D967">
        <v>1</v>
      </c>
      <c r="E967">
        <v>2005</v>
      </c>
      <c r="F967">
        <v>2015</v>
      </c>
      <c r="G967">
        <v>6.9444444444444441E-3</v>
      </c>
      <c r="H967">
        <v>240.17546566535808</v>
      </c>
      <c r="I967">
        <v>0</v>
      </c>
      <c r="J967">
        <v>0</v>
      </c>
      <c r="K967">
        <v>1</v>
      </c>
      <c r="L967" t="s">
        <v>238</v>
      </c>
      <c r="M967">
        <v>76.586564306555516</v>
      </c>
      <c r="N967">
        <v>1807.4429176347101</v>
      </c>
      <c r="O967">
        <v>0</v>
      </c>
      <c r="P967">
        <v>1</v>
      </c>
      <c r="Q967">
        <v>0</v>
      </c>
      <c r="R967">
        <v>1</v>
      </c>
      <c r="S967">
        <v>0</v>
      </c>
      <c r="T967">
        <v>1</v>
      </c>
      <c r="U967">
        <v>0</v>
      </c>
      <c r="V967">
        <v>3</v>
      </c>
      <c r="W967">
        <v>-1.1000000000000001</v>
      </c>
      <c r="AA967">
        <v>0</v>
      </c>
      <c r="AC967">
        <v>0</v>
      </c>
      <c r="AD967">
        <v>0</v>
      </c>
      <c r="AE967">
        <v>0</v>
      </c>
      <c r="AF967">
        <v>1</v>
      </c>
      <c r="AG967">
        <v>1</v>
      </c>
      <c r="AH967">
        <v>23</v>
      </c>
      <c r="AI967">
        <v>0</v>
      </c>
      <c r="AJ967">
        <v>144</v>
      </c>
    </row>
    <row r="968" spans="1:36" x14ac:dyDescent="0.2">
      <c r="A968" t="str">
        <f>+VLOOKUP(B968,studies!$A$2:$C$102,3)</f>
        <v>Kopp et al. (2012)</v>
      </c>
      <c r="B968">
        <v>78</v>
      </c>
      <c r="C968">
        <v>2012</v>
      </c>
      <c r="D968">
        <v>1</v>
      </c>
      <c r="E968">
        <v>2005</v>
      </c>
      <c r="F968">
        <v>2015</v>
      </c>
      <c r="G968">
        <v>6.9444444444444441E-3</v>
      </c>
      <c r="H968">
        <v>630.46059737156497</v>
      </c>
      <c r="I968">
        <v>0</v>
      </c>
      <c r="J968">
        <v>0</v>
      </c>
      <c r="K968">
        <v>1</v>
      </c>
      <c r="L968" t="s">
        <v>238</v>
      </c>
      <c r="M968">
        <v>222.10103648901099</v>
      </c>
      <c r="N968">
        <v>6670.6897511009847</v>
      </c>
      <c r="O968">
        <v>0</v>
      </c>
      <c r="P968">
        <v>1</v>
      </c>
      <c r="Q968">
        <v>0</v>
      </c>
      <c r="R968">
        <v>1</v>
      </c>
      <c r="S968">
        <v>0</v>
      </c>
      <c r="T968">
        <v>1</v>
      </c>
      <c r="U968">
        <v>0</v>
      </c>
      <c r="V968">
        <v>3</v>
      </c>
      <c r="W968">
        <v>-1.1000000000000001</v>
      </c>
      <c r="AA968">
        <v>0</v>
      </c>
      <c r="AC968">
        <v>0</v>
      </c>
      <c r="AD968">
        <v>0</v>
      </c>
      <c r="AE968">
        <v>0</v>
      </c>
      <c r="AF968">
        <v>1</v>
      </c>
      <c r="AG968">
        <v>1</v>
      </c>
      <c r="AH968">
        <v>23</v>
      </c>
      <c r="AI968">
        <v>0</v>
      </c>
      <c r="AJ968">
        <v>144</v>
      </c>
    </row>
    <row r="969" spans="1:36" x14ac:dyDescent="0.2">
      <c r="A969" t="str">
        <f>+VLOOKUP(B969,studies!$A$2:$C$102,3)</f>
        <v>Kopp et al. (2012)</v>
      </c>
      <c r="B969">
        <v>78</v>
      </c>
      <c r="C969">
        <v>2012</v>
      </c>
      <c r="D969">
        <v>1</v>
      </c>
      <c r="E969">
        <v>2005</v>
      </c>
      <c r="F969">
        <v>2015</v>
      </c>
      <c r="G969">
        <v>6.9444444444444441E-3</v>
      </c>
      <c r="H969">
        <v>630.46059737156497</v>
      </c>
      <c r="I969">
        <v>0</v>
      </c>
      <c r="J969">
        <v>0</v>
      </c>
      <c r="K969">
        <v>1</v>
      </c>
      <c r="L969" t="s">
        <v>238</v>
      </c>
      <c r="M969">
        <v>222.10103648901099</v>
      </c>
      <c r="N969">
        <v>6670.6897511009847</v>
      </c>
      <c r="O969">
        <v>0</v>
      </c>
      <c r="P969">
        <v>1</v>
      </c>
      <c r="Q969">
        <v>0</v>
      </c>
      <c r="R969">
        <v>1</v>
      </c>
      <c r="S969">
        <v>0</v>
      </c>
      <c r="T969">
        <v>1</v>
      </c>
      <c r="U969">
        <v>0</v>
      </c>
      <c r="V969">
        <v>3</v>
      </c>
      <c r="W969">
        <v>-1.1000000000000001</v>
      </c>
      <c r="AA969">
        <v>0</v>
      </c>
      <c r="AC969">
        <v>0</v>
      </c>
      <c r="AD969">
        <v>0</v>
      </c>
      <c r="AE969">
        <v>0</v>
      </c>
      <c r="AF969">
        <v>1</v>
      </c>
      <c r="AG969">
        <v>1</v>
      </c>
      <c r="AH969">
        <v>23</v>
      </c>
      <c r="AI969">
        <v>0</v>
      </c>
      <c r="AJ969">
        <v>144</v>
      </c>
    </row>
    <row r="970" spans="1:36" x14ac:dyDescent="0.2">
      <c r="A970" t="str">
        <f>+VLOOKUP(B970,studies!$A$2:$C$102,3)</f>
        <v>Kopp et al. (2012)</v>
      </c>
      <c r="B970">
        <v>78</v>
      </c>
      <c r="C970">
        <v>2012</v>
      </c>
      <c r="D970">
        <v>1</v>
      </c>
      <c r="E970">
        <v>2005</v>
      </c>
      <c r="F970">
        <v>2015</v>
      </c>
      <c r="G970">
        <v>6.9444444444444441E-3</v>
      </c>
      <c r="H970">
        <v>195.14256585310346</v>
      </c>
      <c r="I970">
        <v>0</v>
      </c>
      <c r="J970">
        <v>0</v>
      </c>
      <c r="K970">
        <v>1</v>
      </c>
      <c r="L970" t="s">
        <v>238</v>
      </c>
      <c r="M970">
        <v>91.903877167866611</v>
      </c>
      <c r="N970">
        <v>13471.576661523113</v>
      </c>
      <c r="O970">
        <v>0</v>
      </c>
      <c r="P970">
        <v>1</v>
      </c>
      <c r="Q970">
        <v>0</v>
      </c>
      <c r="R970">
        <v>1</v>
      </c>
      <c r="S970">
        <v>0</v>
      </c>
      <c r="T970">
        <v>1</v>
      </c>
      <c r="U970">
        <v>0</v>
      </c>
      <c r="V970">
        <v>3</v>
      </c>
      <c r="W970">
        <v>-1.1000000000000001</v>
      </c>
      <c r="AA970">
        <v>0</v>
      </c>
      <c r="AC970">
        <v>0</v>
      </c>
      <c r="AD970">
        <v>0</v>
      </c>
      <c r="AE970">
        <v>0</v>
      </c>
      <c r="AF970">
        <v>1</v>
      </c>
      <c r="AG970">
        <v>1</v>
      </c>
      <c r="AH970">
        <v>23</v>
      </c>
      <c r="AI970">
        <v>0</v>
      </c>
      <c r="AJ970">
        <v>144</v>
      </c>
    </row>
    <row r="971" spans="1:36" x14ac:dyDescent="0.2">
      <c r="A971" t="str">
        <f>+VLOOKUP(B971,studies!$A$2:$C$102,3)</f>
        <v>Kopp et al. (2012)</v>
      </c>
      <c r="B971">
        <v>78</v>
      </c>
      <c r="C971">
        <v>2012</v>
      </c>
      <c r="D971">
        <v>1</v>
      </c>
      <c r="E971">
        <v>2005</v>
      </c>
      <c r="F971">
        <v>2015</v>
      </c>
      <c r="G971">
        <v>6.9444444444444441E-3</v>
      </c>
      <c r="H971">
        <v>135.09869943676392</v>
      </c>
      <c r="I971">
        <v>0</v>
      </c>
      <c r="J971">
        <v>0</v>
      </c>
      <c r="K971">
        <v>1</v>
      </c>
      <c r="L971" t="s">
        <v>238</v>
      </c>
      <c r="M971">
        <v>61.269251445244407</v>
      </c>
      <c r="N971">
        <v>6747.276315407541</v>
      </c>
      <c r="O971">
        <v>0</v>
      </c>
      <c r="P971">
        <v>1</v>
      </c>
      <c r="Q971">
        <v>0</v>
      </c>
      <c r="R971">
        <v>1</v>
      </c>
      <c r="S971">
        <v>0</v>
      </c>
      <c r="T971">
        <v>1</v>
      </c>
      <c r="U971">
        <v>0</v>
      </c>
      <c r="V971">
        <v>3</v>
      </c>
      <c r="W971">
        <v>-1.1000000000000001</v>
      </c>
      <c r="AA971">
        <v>0</v>
      </c>
      <c r="AC971">
        <v>0</v>
      </c>
      <c r="AD971">
        <v>0</v>
      </c>
      <c r="AE971">
        <v>0</v>
      </c>
      <c r="AF971">
        <v>1</v>
      </c>
      <c r="AG971">
        <v>1</v>
      </c>
      <c r="AH971">
        <v>23</v>
      </c>
      <c r="AI971">
        <v>0</v>
      </c>
      <c r="AJ971">
        <v>144</v>
      </c>
    </row>
    <row r="972" spans="1:36" x14ac:dyDescent="0.2">
      <c r="A972" t="str">
        <f>+VLOOKUP(B972,studies!$A$2:$C$102,3)</f>
        <v>Kopp et al. (2012)</v>
      </c>
      <c r="B972">
        <v>78</v>
      </c>
      <c r="C972">
        <v>2012</v>
      </c>
      <c r="D972">
        <v>1</v>
      </c>
      <c r="E972">
        <v>2005</v>
      </c>
      <c r="F972">
        <v>2015</v>
      </c>
      <c r="G972">
        <v>6.9444444444444441E-3</v>
      </c>
      <c r="H972">
        <v>180.13159924901856</v>
      </c>
      <c r="I972">
        <v>0</v>
      </c>
      <c r="J972">
        <v>0</v>
      </c>
      <c r="K972">
        <v>1</v>
      </c>
      <c r="L972" t="s">
        <v>238</v>
      </c>
      <c r="M972">
        <v>84.245220737211056</v>
      </c>
      <c r="N972">
        <v>10247.282304217128</v>
      </c>
      <c r="O972">
        <v>0</v>
      </c>
      <c r="P972">
        <v>1</v>
      </c>
      <c r="Q972">
        <v>0</v>
      </c>
      <c r="R972">
        <v>1</v>
      </c>
      <c r="S972">
        <v>0</v>
      </c>
      <c r="T972">
        <v>1</v>
      </c>
      <c r="U972">
        <v>0</v>
      </c>
      <c r="V972">
        <v>3</v>
      </c>
      <c r="W972">
        <v>-1.1000000000000001</v>
      </c>
      <c r="AA972">
        <v>0</v>
      </c>
      <c r="AC972">
        <v>0</v>
      </c>
      <c r="AD972">
        <v>0</v>
      </c>
      <c r="AE972">
        <v>0</v>
      </c>
      <c r="AF972">
        <v>1</v>
      </c>
      <c r="AG972">
        <v>1</v>
      </c>
      <c r="AH972">
        <v>23</v>
      </c>
      <c r="AI972">
        <v>0</v>
      </c>
      <c r="AJ972">
        <v>144</v>
      </c>
    </row>
    <row r="973" spans="1:36" x14ac:dyDescent="0.2">
      <c r="A973" t="str">
        <f>+VLOOKUP(B973,studies!$A$2:$C$102,3)</f>
        <v>Kopp et al. (2012)</v>
      </c>
      <c r="B973">
        <v>78</v>
      </c>
      <c r="C973">
        <v>2012</v>
      </c>
      <c r="D973">
        <v>1</v>
      </c>
      <c r="E973">
        <v>2005</v>
      </c>
      <c r="F973">
        <v>2015</v>
      </c>
      <c r="G973">
        <v>6.9444444444444441E-3</v>
      </c>
      <c r="H973">
        <v>225.1644990612732</v>
      </c>
      <c r="I973">
        <v>0</v>
      </c>
      <c r="J973">
        <v>0</v>
      </c>
      <c r="K973">
        <v>1</v>
      </c>
      <c r="L973" t="s">
        <v>238</v>
      </c>
      <c r="M973">
        <v>99.562533598522165</v>
      </c>
      <c r="N973">
        <v>12904.836085654602</v>
      </c>
      <c r="O973">
        <v>0</v>
      </c>
      <c r="P973">
        <v>1</v>
      </c>
      <c r="Q973">
        <v>0</v>
      </c>
      <c r="R973">
        <v>1</v>
      </c>
      <c r="S973">
        <v>0</v>
      </c>
      <c r="T973">
        <v>1</v>
      </c>
      <c r="U973">
        <v>0</v>
      </c>
      <c r="V973">
        <v>3</v>
      </c>
      <c r="W973">
        <v>-1.1000000000000001</v>
      </c>
      <c r="AA973">
        <v>0</v>
      </c>
      <c r="AC973">
        <v>0</v>
      </c>
      <c r="AD973">
        <v>0</v>
      </c>
      <c r="AE973">
        <v>0</v>
      </c>
      <c r="AF973">
        <v>1</v>
      </c>
      <c r="AG973">
        <v>1</v>
      </c>
      <c r="AH973">
        <v>23</v>
      </c>
      <c r="AI973">
        <v>0</v>
      </c>
      <c r="AJ973">
        <v>144</v>
      </c>
    </row>
    <row r="974" spans="1:36" x14ac:dyDescent="0.2">
      <c r="A974" t="str">
        <f>+VLOOKUP(B974,studies!$A$2:$C$102,3)</f>
        <v>Kopp et al. (2012)</v>
      </c>
      <c r="B974">
        <v>78</v>
      </c>
      <c r="C974">
        <v>2012</v>
      </c>
      <c r="D974">
        <v>1</v>
      </c>
      <c r="E974">
        <v>2005</v>
      </c>
      <c r="F974">
        <v>2015</v>
      </c>
      <c r="G974">
        <v>6.9444444444444441E-3</v>
      </c>
      <c r="H974">
        <v>450.32899812254641</v>
      </c>
      <c r="I974">
        <v>0</v>
      </c>
      <c r="J974">
        <v>0</v>
      </c>
      <c r="K974">
        <v>1</v>
      </c>
      <c r="L974" t="s">
        <v>238</v>
      </c>
      <c r="M974">
        <v>122.5385028904888</v>
      </c>
      <c r="N974">
        <v>298.68760079556648</v>
      </c>
      <c r="O974">
        <v>0</v>
      </c>
      <c r="P974">
        <v>1</v>
      </c>
      <c r="Q974">
        <v>0</v>
      </c>
      <c r="R974">
        <v>1</v>
      </c>
      <c r="S974">
        <v>0</v>
      </c>
      <c r="T974">
        <v>1</v>
      </c>
      <c r="U974">
        <v>0</v>
      </c>
      <c r="V974">
        <v>3</v>
      </c>
      <c r="W974">
        <v>3</v>
      </c>
      <c r="AA974">
        <v>0</v>
      </c>
      <c r="AC974">
        <v>0</v>
      </c>
      <c r="AD974">
        <v>0</v>
      </c>
      <c r="AE974">
        <v>0</v>
      </c>
      <c r="AF974">
        <v>1</v>
      </c>
      <c r="AG974">
        <v>1</v>
      </c>
      <c r="AH974">
        <v>23</v>
      </c>
      <c r="AI974">
        <v>0</v>
      </c>
      <c r="AJ974">
        <v>144</v>
      </c>
    </row>
    <row r="975" spans="1:36" x14ac:dyDescent="0.2">
      <c r="A975" t="str">
        <f>+VLOOKUP(B975,studies!$A$2:$C$102,3)</f>
        <v>Kopp et al. (2012)</v>
      </c>
      <c r="B975">
        <v>78</v>
      </c>
      <c r="C975">
        <v>2012</v>
      </c>
      <c r="D975">
        <v>1</v>
      </c>
      <c r="E975">
        <v>2005</v>
      </c>
      <c r="F975">
        <v>2015</v>
      </c>
      <c r="G975">
        <v>6.9444444444444441E-3</v>
      </c>
      <c r="H975">
        <v>465.33996472663125</v>
      </c>
      <c r="I975">
        <v>0</v>
      </c>
      <c r="J975">
        <v>0</v>
      </c>
      <c r="K975">
        <v>1</v>
      </c>
      <c r="L975" t="s">
        <v>238</v>
      </c>
      <c r="M975">
        <v>130.19715932114437</v>
      </c>
      <c r="N975">
        <v>306.34625722622206</v>
      </c>
      <c r="O975">
        <v>0</v>
      </c>
      <c r="P975">
        <v>1</v>
      </c>
      <c r="Q975">
        <v>0</v>
      </c>
      <c r="R975">
        <v>1</v>
      </c>
      <c r="S975">
        <v>0</v>
      </c>
      <c r="T975">
        <v>1</v>
      </c>
      <c r="U975">
        <v>0</v>
      </c>
      <c r="V975">
        <v>3</v>
      </c>
      <c r="W975">
        <v>3</v>
      </c>
      <c r="AA975">
        <v>0</v>
      </c>
      <c r="AC975">
        <v>0</v>
      </c>
      <c r="AD975">
        <v>0</v>
      </c>
      <c r="AE975">
        <v>0</v>
      </c>
      <c r="AF975">
        <v>1</v>
      </c>
      <c r="AG975">
        <v>1</v>
      </c>
      <c r="AH975">
        <v>23</v>
      </c>
      <c r="AI975">
        <v>0</v>
      </c>
      <c r="AJ975">
        <v>144</v>
      </c>
    </row>
    <row r="976" spans="1:36" x14ac:dyDescent="0.2">
      <c r="A976" t="str">
        <f>+VLOOKUP(B976,studies!$A$2:$C$102,3)</f>
        <v>Kopp et al. (2012)</v>
      </c>
      <c r="B976">
        <v>78</v>
      </c>
      <c r="C976">
        <v>2012</v>
      </c>
      <c r="D976">
        <v>1</v>
      </c>
      <c r="E976">
        <v>2005</v>
      </c>
      <c r="F976">
        <v>2015</v>
      </c>
      <c r="G976">
        <v>6.9444444444444441E-3</v>
      </c>
      <c r="H976">
        <v>420.30706491437667</v>
      </c>
      <c r="I976">
        <v>0</v>
      </c>
      <c r="J976">
        <v>0</v>
      </c>
      <c r="K976">
        <v>1</v>
      </c>
      <c r="L976" t="s">
        <v>238</v>
      </c>
      <c r="M976">
        <v>122.53850289048881</v>
      </c>
      <c r="N976">
        <v>314.00491365687765</v>
      </c>
      <c r="O976">
        <v>0</v>
      </c>
      <c r="P976">
        <v>1</v>
      </c>
      <c r="Q976">
        <v>0</v>
      </c>
      <c r="R976">
        <v>1</v>
      </c>
      <c r="S976">
        <v>0</v>
      </c>
      <c r="T976">
        <v>1</v>
      </c>
      <c r="U976">
        <v>0</v>
      </c>
      <c r="V976">
        <v>3</v>
      </c>
      <c r="W976">
        <v>3</v>
      </c>
      <c r="AA976">
        <v>0</v>
      </c>
      <c r="AC976">
        <v>0</v>
      </c>
      <c r="AD976">
        <v>0</v>
      </c>
      <c r="AE976">
        <v>0</v>
      </c>
      <c r="AF976">
        <v>1</v>
      </c>
      <c r="AG976">
        <v>1</v>
      </c>
      <c r="AH976">
        <v>23</v>
      </c>
      <c r="AI976">
        <v>0</v>
      </c>
      <c r="AJ976">
        <v>144</v>
      </c>
    </row>
    <row r="977" spans="1:36" x14ac:dyDescent="0.2">
      <c r="A977" t="str">
        <f>+VLOOKUP(B977,studies!$A$2:$C$102,3)</f>
        <v>Kopp et al. (2012)</v>
      </c>
      <c r="B977">
        <v>78</v>
      </c>
      <c r="C977">
        <v>2012</v>
      </c>
      <c r="D977">
        <v>1</v>
      </c>
      <c r="E977">
        <v>2005</v>
      </c>
      <c r="F977">
        <v>2015</v>
      </c>
      <c r="G977">
        <v>6.9444444444444441E-3</v>
      </c>
      <c r="H977">
        <v>690.50446378790446</v>
      </c>
      <c r="I977">
        <v>0</v>
      </c>
      <c r="J977">
        <v>0</v>
      </c>
      <c r="K977">
        <v>1</v>
      </c>
      <c r="L977" t="s">
        <v>238</v>
      </c>
      <c r="M977">
        <v>191.46641076638878</v>
      </c>
      <c r="N977">
        <v>451.86072940867751</v>
      </c>
      <c r="O977">
        <v>0</v>
      </c>
      <c r="P977">
        <v>1</v>
      </c>
      <c r="Q977">
        <v>0</v>
      </c>
      <c r="R977">
        <v>1</v>
      </c>
      <c r="S977">
        <v>0</v>
      </c>
      <c r="T977">
        <v>1</v>
      </c>
      <c r="U977">
        <v>0</v>
      </c>
      <c r="V977">
        <v>3</v>
      </c>
      <c r="W977">
        <v>3</v>
      </c>
      <c r="AA977">
        <v>0</v>
      </c>
      <c r="AC977">
        <v>0</v>
      </c>
      <c r="AD977">
        <v>0</v>
      </c>
      <c r="AE977">
        <v>0</v>
      </c>
      <c r="AF977">
        <v>1</v>
      </c>
      <c r="AG977">
        <v>1</v>
      </c>
      <c r="AH977">
        <v>23</v>
      </c>
      <c r="AI977">
        <v>0</v>
      </c>
      <c r="AJ977">
        <v>144</v>
      </c>
    </row>
    <row r="978" spans="1:36" x14ac:dyDescent="0.2">
      <c r="A978" t="str">
        <f>+VLOOKUP(B978,studies!$A$2:$C$102,3)</f>
        <v>Kopp et al. (2012)</v>
      </c>
      <c r="B978">
        <v>78</v>
      </c>
      <c r="C978">
        <v>2012</v>
      </c>
      <c r="D978">
        <v>1</v>
      </c>
      <c r="E978">
        <v>2005</v>
      </c>
      <c r="F978">
        <v>2015</v>
      </c>
      <c r="G978">
        <v>6.9444444444444441E-3</v>
      </c>
      <c r="H978">
        <v>330.24126528986733</v>
      </c>
      <c r="I978">
        <v>0</v>
      </c>
      <c r="J978">
        <v>0</v>
      </c>
      <c r="K978">
        <v>1</v>
      </c>
      <c r="L978" t="s">
        <v>238</v>
      </c>
      <c r="M978">
        <v>84.245220737211056</v>
      </c>
      <c r="N978">
        <v>168.49044147442211</v>
      </c>
      <c r="O978">
        <v>0</v>
      </c>
      <c r="P978">
        <v>1</v>
      </c>
      <c r="Q978">
        <v>0</v>
      </c>
      <c r="R978">
        <v>1</v>
      </c>
      <c r="S978">
        <v>0</v>
      </c>
      <c r="T978">
        <v>1</v>
      </c>
      <c r="U978">
        <v>0</v>
      </c>
      <c r="V978">
        <v>3</v>
      </c>
      <c r="W978">
        <v>3</v>
      </c>
      <c r="AA978">
        <v>0</v>
      </c>
      <c r="AC978">
        <v>0</v>
      </c>
      <c r="AD978">
        <v>0</v>
      </c>
      <c r="AE978">
        <v>0</v>
      </c>
      <c r="AF978">
        <v>1</v>
      </c>
      <c r="AG978">
        <v>1</v>
      </c>
      <c r="AH978">
        <v>23</v>
      </c>
      <c r="AI978">
        <v>0</v>
      </c>
      <c r="AJ978">
        <v>144</v>
      </c>
    </row>
    <row r="979" spans="1:36" x14ac:dyDescent="0.2">
      <c r="A979" t="str">
        <f>+VLOOKUP(B979,studies!$A$2:$C$102,3)</f>
        <v>Kopp et al. (2012)</v>
      </c>
      <c r="B979">
        <v>78</v>
      </c>
      <c r="C979">
        <v>2012</v>
      </c>
      <c r="D979">
        <v>1</v>
      </c>
      <c r="E979">
        <v>2005</v>
      </c>
      <c r="F979">
        <v>2015</v>
      </c>
      <c r="G979">
        <v>6.9444444444444441E-3</v>
      </c>
      <c r="H979">
        <v>870.63606303692313</v>
      </c>
      <c r="I979">
        <v>0</v>
      </c>
      <c r="J979">
        <v>0</v>
      </c>
      <c r="K979">
        <v>1</v>
      </c>
      <c r="L979" t="s">
        <v>238</v>
      </c>
      <c r="M979">
        <v>245.07700578097763</v>
      </c>
      <c r="N979">
        <v>497.81266799261084</v>
      </c>
      <c r="O979">
        <v>0</v>
      </c>
      <c r="P979">
        <v>1</v>
      </c>
      <c r="Q979">
        <v>0</v>
      </c>
      <c r="R979">
        <v>1</v>
      </c>
      <c r="S979">
        <v>0</v>
      </c>
      <c r="T979">
        <v>1</v>
      </c>
      <c r="U979">
        <v>0</v>
      </c>
      <c r="V979">
        <v>3</v>
      </c>
      <c r="W979">
        <v>3</v>
      </c>
      <c r="AA979">
        <v>0</v>
      </c>
      <c r="AC979">
        <v>0</v>
      </c>
      <c r="AD979">
        <v>0</v>
      </c>
      <c r="AE979">
        <v>0</v>
      </c>
      <c r="AF979">
        <v>1</v>
      </c>
      <c r="AG979">
        <v>1</v>
      </c>
      <c r="AH979">
        <v>23</v>
      </c>
      <c r="AI979">
        <v>0</v>
      </c>
      <c r="AJ979">
        <v>144</v>
      </c>
    </row>
    <row r="980" spans="1:36" x14ac:dyDescent="0.2">
      <c r="A980" t="str">
        <f>+VLOOKUP(B980,studies!$A$2:$C$102,3)</f>
        <v>Kopp et al. (2012)</v>
      </c>
      <c r="B980">
        <v>78</v>
      </c>
      <c r="C980">
        <v>2012</v>
      </c>
      <c r="D980">
        <v>1</v>
      </c>
      <c r="E980">
        <v>2005</v>
      </c>
      <c r="F980">
        <v>2015</v>
      </c>
      <c r="G980">
        <v>6.9444444444444441E-3</v>
      </c>
      <c r="H980">
        <v>360.26319849803713</v>
      </c>
      <c r="I980">
        <v>0</v>
      </c>
      <c r="J980">
        <v>0</v>
      </c>
      <c r="K980">
        <v>1</v>
      </c>
      <c r="L980" t="s">
        <v>238</v>
      </c>
      <c r="M980">
        <v>91.903877167866611</v>
      </c>
      <c r="N980">
        <v>206.78372362769991</v>
      </c>
      <c r="O980">
        <v>0</v>
      </c>
      <c r="P980">
        <v>1</v>
      </c>
      <c r="Q980">
        <v>0</v>
      </c>
      <c r="R980">
        <v>1</v>
      </c>
      <c r="S980">
        <v>0</v>
      </c>
      <c r="T980">
        <v>1</v>
      </c>
      <c r="U980">
        <v>0</v>
      </c>
      <c r="V980">
        <v>3</v>
      </c>
      <c r="W980">
        <v>3</v>
      </c>
      <c r="AA980">
        <v>0</v>
      </c>
      <c r="AC980">
        <v>0</v>
      </c>
      <c r="AD980">
        <v>0</v>
      </c>
      <c r="AE980">
        <v>0</v>
      </c>
      <c r="AF980">
        <v>1</v>
      </c>
      <c r="AG980">
        <v>1</v>
      </c>
      <c r="AH980">
        <v>23</v>
      </c>
      <c r="AI980">
        <v>0</v>
      </c>
      <c r="AJ980">
        <v>144</v>
      </c>
    </row>
    <row r="981" spans="1:36" x14ac:dyDescent="0.2">
      <c r="A981" t="str">
        <f>+VLOOKUP(B981,studies!$A$2:$C$102,3)</f>
        <v>Kopp et al. (2012)</v>
      </c>
      <c r="B981">
        <v>78</v>
      </c>
      <c r="C981">
        <v>2012</v>
      </c>
      <c r="D981">
        <v>1</v>
      </c>
      <c r="E981">
        <v>2005</v>
      </c>
      <c r="F981">
        <v>2015</v>
      </c>
      <c r="G981">
        <v>6.9444444444444441E-3</v>
      </c>
      <c r="H981">
        <v>450.32899812254641</v>
      </c>
      <c r="I981">
        <v>0</v>
      </c>
      <c r="J981">
        <v>0</v>
      </c>
      <c r="K981">
        <v>1</v>
      </c>
      <c r="L981" t="s">
        <v>238</v>
      </c>
      <c r="M981">
        <v>122.5385028904888</v>
      </c>
      <c r="N981">
        <v>306.34625722622206</v>
      </c>
      <c r="O981">
        <v>0</v>
      </c>
      <c r="P981">
        <v>1</v>
      </c>
      <c r="Q981">
        <v>0</v>
      </c>
      <c r="R981">
        <v>1</v>
      </c>
      <c r="S981">
        <v>0</v>
      </c>
      <c r="T981">
        <v>1</v>
      </c>
      <c r="U981">
        <v>0</v>
      </c>
      <c r="V981">
        <v>3</v>
      </c>
      <c r="W981">
        <v>3</v>
      </c>
      <c r="AA981">
        <v>0</v>
      </c>
      <c r="AC981">
        <v>0</v>
      </c>
      <c r="AD981">
        <v>0</v>
      </c>
      <c r="AE981">
        <v>0</v>
      </c>
      <c r="AF981">
        <v>1</v>
      </c>
      <c r="AG981">
        <v>1</v>
      </c>
      <c r="AH981">
        <v>23</v>
      </c>
      <c r="AI981">
        <v>0</v>
      </c>
      <c r="AJ981">
        <v>144</v>
      </c>
    </row>
    <row r="982" spans="1:36" x14ac:dyDescent="0.2">
      <c r="A982" t="str">
        <f>+VLOOKUP(B982,studies!$A$2:$C$102,3)</f>
        <v>Kopp et al. (2012)</v>
      </c>
      <c r="B982">
        <v>78</v>
      </c>
      <c r="C982">
        <v>2012</v>
      </c>
      <c r="D982">
        <v>1</v>
      </c>
      <c r="E982">
        <v>2005</v>
      </c>
      <c r="F982">
        <v>2015</v>
      </c>
      <c r="G982">
        <v>6.9444444444444441E-3</v>
      </c>
      <c r="H982">
        <v>450.32899812254641</v>
      </c>
      <c r="I982">
        <v>0</v>
      </c>
      <c r="J982">
        <v>0</v>
      </c>
      <c r="K982">
        <v>1</v>
      </c>
      <c r="L982" t="s">
        <v>238</v>
      </c>
      <c r="M982">
        <v>122.5385028904888</v>
      </c>
      <c r="N982">
        <v>298.68760079556648</v>
      </c>
      <c r="O982">
        <v>0</v>
      </c>
      <c r="P982">
        <v>1</v>
      </c>
      <c r="Q982">
        <v>0</v>
      </c>
      <c r="R982">
        <v>1</v>
      </c>
      <c r="S982">
        <v>0</v>
      </c>
      <c r="T982">
        <v>1</v>
      </c>
      <c r="U982">
        <v>0</v>
      </c>
      <c r="V982">
        <v>3</v>
      </c>
      <c r="W982">
        <v>3</v>
      </c>
      <c r="AA982">
        <v>0</v>
      </c>
      <c r="AC982">
        <v>0</v>
      </c>
      <c r="AD982">
        <v>0</v>
      </c>
      <c r="AE982">
        <v>0</v>
      </c>
      <c r="AF982">
        <v>1</v>
      </c>
      <c r="AG982">
        <v>1</v>
      </c>
      <c r="AH982">
        <v>23</v>
      </c>
      <c r="AI982">
        <v>0</v>
      </c>
      <c r="AJ982">
        <v>144</v>
      </c>
    </row>
    <row r="983" spans="1:36" x14ac:dyDescent="0.2">
      <c r="A983" t="str">
        <f>+VLOOKUP(B983,studies!$A$2:$C$102,3)</f>
        <v>Kopp et al. (2012)</v>
      </c>
      <c r="B983">
        <v>78</v>
      </c>
      <c r="C983">
        <v>2012</v>
      </c>
      <c r="D983">
        <v>1</v>
      </c>
      <c r="E983">
        <v>2005</v>
      </c>
      <c r="F983">
        <v>2015</v>
      </c>
      <c r="G983">
        <v>6.9444444444444441E-3</v>
      </c>
      <c r="H983">
        <v>510.37286453888595</v>
      </c>
      <c r="I983">
        <v>0</v>
      </c>
      <c r="J983">
        <v>0</v>
      </c>
      <c r="K983">
        <v>1</v>
      </c>
      <c r="L983" t="s">
        <v>238</v>
      </c>
      <c r="M983">
        <v>160.83178504376659</v>
      </c>
      <c r="N983">
        <v>873.08683309473281</v>
      </c>
      <c r="O983">
        <v>0</v>
      </c>
      <c r="P983">
        <v>1</v>
      </c>
      <c r="Q983">
        <v>0</v>
      </c>
      <c r="R983">
        <v>1</v>
      </c>
      <c r="S983">
        <v>0</v>
      </c>
      <c r="T983">
        <v>1</v>
      </c>
      <c r="U983">
        <v>0</v>
      </c>
      <c r="V983">
        <v>3</v>
      </c>
      <c r="W983">
        <v>3</v>
      </c>
      <c r="AA983">
        <v>0</v>
      </c>
      <c r="AC983">
        <v>0</v>
      </c>
      <c r="AD983">
        <v>0</v>
      </c>
      <c r="AE983">
        <v>0</v>
      </c>
      <c r="AF983">
        <v>1</v>
      </c>
      <c r="AG983">
        <v>1</v>
      </c>
      <c r="AH983">
        <v>23</v>
      </c>
      <c r="AI983">
        <v>0</v>
      </c>
      <c r="AJ983">
        <v>144</v>
      </c>
    </row>
    <row r="984" spans="1:36" x14ac:dyDescent="0.2">
      <c r="A984" t="str">
        <f>+VLOOKUP(B984,studies!$A$2:$C$102,3)</f>
        <v>Kopp et al. (2012)</v>
      </c>
      <c r="B984">
        <v>78</v>
      </c>
      <c r="C984">
        <v>2012</v>
      </c>
      <c r="D984">
        <v>1</v>
      </c>
      <c r="E984">
        <v>2005</v>
      </c>
      <c r="F984">
        <v>2015</v>
      </c>
      <c r="G984">
        <v>6.9444444444444441E-3</v>
      </c>
      <c r="H984">
        <v>165.12063264493366</v>
      </c>
      <c r="I984">
        <v>0</v>
      </c>
      <c r="J984">
        <v>0</v>
      </c>
      <c r="K984">
        <v>1</v>
      </c>
      <c r="L984" t="s">
        <v>238</v>
      </c>
      <c r="M984">
        <v>45.951938583933298</v>
      </c>
      <c r="N984">
        <v>781.18295592686616</v>
      </c>
      <c r="O984">
        <v>0</v>
      </c>
      <c r="P984">
        <v>1</v>
      </c>
      <c r="Q984">
        <v>0</v>
      </c>
      <c r="R984">
        <v>1</v>
      </c>
      <c r="S984">
        <v>0</v>
      </c>
      <c r="T984">
        <v>1</v>
      </c>
      <c r="U984">
        <v>0</v>
      </c>
      <c r="V984">
        <v>3</v>
      </c>
      <c r="W984">
        <v>3</v>
      </c>
      <c r="AA984">
        <v>0</v>
      </c>
      <c r="AC984">
        <v>0</v>
      </c>
      <c r="AD984">
        <v>0</v>
      </c>
      <c r="AE984">
        <v>0</v>
      </c>
      <c r="AF984">
        <v>1</v>
      </c>
      <c r="AG984">
        <v>1</v>
      </c>
      <c r="AH984">
        <v>23</v>
      </c>
      <c r="AI984">
        <v>0</v>
      </c>
      <c r="AJ984">
        <v>144</v>
      </c>
    </row>
    <row r="985" spans="1:36" x14ac:dyDescent="0.2">
      <c r="A985" t="str">
        <f>+VLOOKUP(B985,studies!$A$2:$C$102,3)</f>
        <v>Kopp et al. (2012)</v>
      </c>
      <c r="B985">
        <v>78</v>
      </c>
      <c r="C985">
        <v>2012</v>
      </c>
      <c r="D985">
        <v>1</v>
      </c>
      <c r="E985">
        <v>2005</v>
      </c>
      <c r="F985">
        <v>2015</v>
      </c>
      <c r="G985">
        <v>6.9444444444444441E-3</v>
      </c>
      <c r="H985">
        <v>135.09869943676392</v>
      </c>
      <c r="I985">
        <v>0</v>
      </c>
      <c r="J985">
        <v>0</v>
      </c>
      <c r="K985">
        <v>1</v>
      </c>
      <c r="L985" t="s">
        <v>238</v>
      </c>
      <c r="M985">
        <v>38.293282153277758</v>
      </c>
      <c r="N985">
        <v>781.18295592686627</v>
      </c>
      <c r="O985">
        <v>0</v>
      </c>
      <c r="P985">
        <v>1</v>
      </c>
      <c r="Q985">
        <v>0</v>
      </c>
      <c r="R985">
        <v>1</v>
      </c>
      <c r="S985">
        <v>0</v>
      </c>
      <c r="T985">
        <v>1</v>
      </c>
      <c r="U985">
        <v>0</v>
      </c>
      <c r="V985">
        <v>3</v>
      </c>
      <c r="W985">
        <v>3</v>
      </c>
      <c r="AA985">
        <v>0</v>
      </c>
      <c r="AC985">
        <v>0</v>
      </c>
      <c r="AD985">
        <v>0</v>
      </c>
      <c r="AE985">
        <v>0</v>
      </c>
      <c r="AF985">
        <v>1</v>
      </c>
      <c r="AG985">
        <v>1</v>
      </c>
      <c r="AH985">
        <v>23</v>
      </c>
      <c r="AI985">
        <v>0</v>
      </c>
      <c r="AJ985">
        <v>144</v>
      </c>
    </row>
    <row r="986" spans="1:36" x14ac:dyDescent="0.2">
      <c r="A986" t="str">
        <f>+VLOOKUP(B986,studies!$A$2:$C$102,3)</f>
        <v>Kopp et al. (2012)</v>
      </c>
      <c r="B986">
        <v>78</v>
      </c>
      <c r="C986">
        <v>2012</v>
      </c>
      <c r="D986">
        <v>1</v>
      </c>
      <c r="E986">
        <v>2005</v>
      </c>
      <c r="F986">
        <v>2015</v>
      </c>
      <c r="G986">
        <v>6.9444444444444441E-3</v>
      </c>
      <c r="H986">
        <v>225.1644990612732</v>
      </c>
      <c r="I986">
        <v>0</v>
      </c>
      <c r="J986">
        <v>0</v>
      </c>
      <c r="K986">
        <v>1</v>
      </c>
      <c r="L986" t="s">
        <v>238</v>
      </c>
      <c r="M986">
        <v>61.2692514452444</v>
      </c>
      <c r="N986">
        <v>1424.5100961019327</v>
      </c>
      <c r="O986">
        <v>0</v>
      </c>
      <c r="P986">
        <v>1</v>
      </c>
      <c r="Q986">
        <v>0</v>
      </c>
      <c r="R986">
        <v>1</v>
      </c>
      <c r="S986">
        <v>0</v>
      </c>
      <c r="T986">
        <v>1</v>
      </c>
      <c r="U986">
        <v>0</v>
      </c>
      <c r="V986">
        <v>3</v>
      </c>
      <c r="W986">
        <v>3</v>
      </c>
      <c r="AA986">
        <v>0</v>
      </c>
      <c r="AC986">
        <v>0</v>
      </c>
      <c r="AD986">
        <v>0</v>
      </c>
      <c r="AE986">
        <v>0</v>
      </c>
      <c r="AF986">
        <v>1</v>
      </c>
      <c r="AG986">
        <v>1</v>
      </c>
      <c r="AH986">
        <v>23</v>
      </c>
      <c r="AI986">
        <v>0</v>
      </c>
      <c r="AJ986">
        <v>144</v>
      </c>
    </row>
    <row r="987" spans="1:36" x14ac:dyDescent="0.2">
      <c r="A987" t="str">
        <f>+VLOOKUP(B987,studies!$A$2:$C$102,3)</f>
        <v>Kopp et al. (2012)</v>
      </c>
      <c r="B987">
        <v>78</v>
      </c>
      <c r="C987">
        <v>2012</v>
      </c>
      <c r="D987">
        <v>1</v>
      </c>
      <c r="E987">
        <v>2005</v>
      </c>
      <c r="F987">
        <v>2015</v>
      </c>
      <c r="G987">
        <v>6.9444444444444441E-3</v>
      </c>
      <c r="H987">
        <v>105.07676622859417</v>
      </c>
      <c r="I987">
        <v>0</v>
      </c>
      <c r="J987">
        <v>0</v>
      </c>
      <c r="K987">
        <v>1</v>
      </c>
      <c r="L987" t="s">
        <v>238</v>
      </c>
      <c r="M987">
        <v>30.634625722622204</v>
      </c>
      <c r="N987">
        <v>490.15401156195526</v>
      </c>
      <c r="O987">
        <v>0</v>
      </c>
      <c r="P987">
        <v>1</v>
      </c>
      <c r="Q987">
        <v>0</v>
      </c>
      <c r="R987">
        <v>1</v>
      </c>
      <c r="S987">
        <v>0</v>
      </c>
      <c r="T987">
        <v>1</v>
      </c>
      <c r="U987">
        <v>0</v>
      </c>
      <c r="V987">
        <v>3</v>
      </c>
      <c r="W987">
        <v>3</v>
      </c>
      <c r="AA987">
        <v>0</v>
      </c>
      <c r="AC987">
        <v>0</v>
      </c>
      <c r="AD987">
        <v>0</v>
      </c>
      <c r="AE987">
        <v>0</v>
      </c>
      <c r="AF987">
        <v>1</v>
      </c>
      <c r="AG987">
        <v>1</v>
      </c>
      <c r="AH987">
        <v>23</v>
      </c>
      <c r="AI987">
        <v>0</v>
      </c>
      <c r="AJ987">
        <v>144</v>
      </c>
    </row>
    <row r="988" spans="1:36" x14ac:dyDescent="0.2">
      <c r="A988" t="str">
        <f>+VLOOKUP(B988,studies!$A$2:$C$102,3)</f>
        <v>Kopp et al. (2012)</v>
      </c>
      <c r="B988">
        <v>78</v>
      </c>
      <c r="C988">
        <v>2012</v>
      </c>
      <c r="D988">
        <v>1</v>
      </c>
      <c r="E988">
        <v>2005</v>
      </c>
      <c r="F988">
        <v>2015</v>
      </c>
      <c r="G988">
        <v>6.9444444444444441E-3</v>
      </c>
      <c r="H988">
        <v>90.065799624509282</v>
      </c>
      <c r="I988">
        <v>0</v>
      </c>
      <c r="J988">
        <v>0</v>
      </c>
      <c r="K988">
        <v>1</v>
      </c>
      <c r="L988" t="s">
        <v>238</v>
      </c>
      <c r="M988">
        <v>38.293282153277758</v>
      </c>
      <c r="N988">
        <v>1646.6111325909435</v>
      </c>
      <c r="O988">
        <v>0</v>
      </c>
      <c r="P988">
        <v>1</v>
      </c>
      <c r="Q988">
        <v>0</v>
      </c>
      <c r="R988">
        <v>1</v>
      </c>
      <c r="S988">
        <v>0</v>
      </c>
      <c r="T988">
        <v>1</v>
      </c>
      <c r="U988">
        <v>0</v>
      </c>
      <c r="V988">
        <v>3</v>
      </c>
      <c r="W988">
        <v>3</v>
      </c>
      <c r="AA988">
        <v>0</v>
      </c>
      <c r="AC988">
        <v>0</v>
      </c>
      <c r="AD988">
        <v>0</v>
      </c>
      <c r="AE988">
        <v>0</v>
      </c>
      <c r="AF988">
        <v>1</v>
      </c>
      <c r="AG988">
        <v>1</v>
      </c>
      <c r="AH988">
        <v>23</v>
      </c>
      <c r="AI988">
        <v>0</v>
      </c>
      <c r="AJ988">
        <v>144</v>
      </c>
    </row>
    <row r="989" spans="1:36" x14ac:dyDescent="0.2">
      <c r="A989" t="str">
        <f>+VLOOKUP(B989,studies!$A$2:$C$102,3)</f>
        <v>Kopp et al. (2012)</v>
      </c>
      <c r="B989">
        <v>78</v>
      </c>
      <c r="C989">
        <v>2012</v>
      </c>
      <c r="D989">
        <v>1</v>
      </c>
      <c r="E989">
        <v>2005</v>
      </c>
      <c r="F989">
        <v>2015</v>
      </c>
      <c r="G989">
        <v>6.9444444444444441E-3</v>
      </c>
      <c r="H989">
        <v>75.054833020424397</v>
      </c>
      <c r="I989">
        <v>0</v>
      </c>
      <c r="J989">
        <v>0</v>
      </c>
      <c r="K989">
        <v>1</v>
      </c>
      <c r="L989" t="s">
        <v>238</v>
      </c>
      <c r="M989">
        <v>30.634625722622204</v>
      </c>
      <c r="N989">
        <v>1524.0726297004549</v>
      </c>
      <c r="O989">
        <v>0</v>
      </c>
      <c r="P989">
        <v>1</v>
      </c>
      <c r="Q989">
        <v>0</v>
      </c>
      <c r="R989">
        <v>1</v>
      </c>
      <c r="S989">
        <v>0</v>
      </c>
      <c r="T989">
        <v>1</v>
      </c>
      <c r="U989">
        <v>0</v>
      </c>
      <c r="V989">
        <v>3</v>
      </c>
      <c r="W989">
        <v>3</v>
      </c>
      <c r="AA989">
        <v>0</v>
      </c>
      <c r="AC989">
        <v>0</v>
      </c>
      <c r="AD989">
        <v>0</v>
      </c>
      <c r="AE989">
        <v>0</v>
      </c>
      <c r="AF989">
        <v>1</v>
      </c>
      <c r="AG989">
        <v>1</v>
      </c>
      <c r="AH989">
        <v>23</v>
      </c>
      <c r="AI989">
        <v>0</v>
      </c>
      <c r="AJ989">
        <v>144</v>
      </c>
    </row>
    <row r="990" spans="1:36" x14ac:dyDescent="0.2">
      <c r="A990" t="str">
        <f>+VLOOKUP(B990,studies!$A$2:$C$102,3)</f>
        <v>Kopp et al. (2012)</v>
      </c>
      <c r="B990">
        <v>78</v>
      </c>
      <c r="C990">
        <v>2012</v>
      </c>
      <c r="D990">
        <v>1</v>
      </c>
      <c r="E990">
        <v>2005</v>
      </c>
      <c r="F990">
        <v>2015</v>
      </c>
      <c r="G990">
        <v>6.9444444444444441E-3</v>
      </c>
      <c r="H990">
        <v>105.07676622859417</v>
      </c>
      <c r="I990">
        <v>0</v>
      </c>
      <c r="J990">
        <v>0</v>
      </c>
      <c r="K990">
        <v>1</v>
      </c>
      <c r="L990" t="s">
        <v>238</v>
      </c>
      <c r="M990">
        <v>45.951938583933305</v>
      </c>
      <c r="N990">
        <v>1853.3948562186431</v>
      </c>
      <c r="O990">
        <v>0</v>
      </c>
      <c r="P990">
        <v>1</v>
      </c>
      <c r="Q990">
        <v>0</v>
      </c>
      <c r="R990">
        <v>1</v>
      </c>
      <c r="S990">
        <v>0</v>
      </c>
      <c r="T990">
        <v>1</v>
      </c>
      <c r="U990">
        <v>0</v>
      </c>
      <c r="V990">
        <v>3</v>
      </c>
      <c r="W990">
        <v>3</v>
      </c>
      <c r="AA990">
        <v>0</v>
      </c>
      <c r="AC990">
        <v>0</v>
      </c>
      <c r="AD990">
        <v>0</v>
      </c>
      <c r="AE990">
        <v>0</v>
      </c>
      <c r="AF990">
        <v>1</v>
      </c>
      <c r="AG990">
        <v>1</v>
      </c>
      <c r="AH990">
        <v>23</v>
      </c>
      <c r="AI990">
        <v>0</v>
      </c>
      <c r="AJ990">
        <v>144</v>
      </c>
    </row>
    <row r="991" spans="1:36" x14ac:dyDescent="0.2">
      <c r="A991" t="str">
        <f>+VLOOKUP(B991,studies!$A$2:$C$102,3)</f>
        <v>Kopp et al. (2012)</v>
      </c>
      <c r="B991">
        <v>78</v>
      </c>
      <c r="C991">
        <v>2012</v>
      </c>
      <c r="D991">
        <v>1</v>
      </c>
      <c r="E991">
        <v>2005</v>
      </c>
      <c r="F991">
        <v>2015</v>
      </c>
      <c r="G991">
        <v>6.9444444444444441E-3</v>
      </c>
      <c r="H991">
        <v>75.054833020424397</v>
      </c>
      <c r="I991">
        <v>0</v>
      </c>
      <c r="J991">
        <v>0</v>
      </c>
      <c r="K991">
        <v>1</v>
      </c>
      <c r="L991" t="s">
        <v>238</v>
      </c>
      <c r="M991">
        <v>30.634625722622204</v>
      </c>
      <c r="N991">
        <v>1393.8754703793104</v>
      </c>
      <c r="O991">
        <v>0</v>
      </c>
      <c r="P991">
        <v>1</v>
      </c>
      <c r="Q991">
        <v>0</v>
      </c>
      <c r="R991">
        <v>1</v>
      </c>
      <c r="S991">
        <v>0</v>
      </c>
      <c r="T991">
        <v>1</v>
      </c>
      <c r="U991">
        <v>0</v>
      </c>
      <c r="V991">
        <v>3</v>
      </c>
      <c r="W991">
        <v>3</v>
      </c>
      <c r="AA991">
        <v>0</v>
      </c>
      <c r="AC991">
        <v>0</v>
      </c>
      <c r="AD991">
        <v>0</v>
      </c>
      <c r="AE991">
        <v>0</v>
      </c>
      <c r="AF991">
        <v>1</v>
      </c>
      <c r="AG991">
        <v>1</v>
      </c>
      <c r="AH991">
        <v>23</v>
      </c>
      <c r="AI991">
        <v>0</v>
      </c>
      <c r="AJ991">
        <v>144</v>
      </c>
    </row>
    <row r="992" spans="1:36" x14ac:dyDescent="0.2">
      <c r="A992" t="str">
        <f>+VLOOKUP(B992,studies!$A$2:$C$102,3)</f>
        <v>Kopp et al. (2012)</v>
      </c>
      <c r="B992">
        <v>78</v>
      </c>
      <c r="C992">
        <v>2012</v>
      </c>
      <c r="D992">
        <v>1</v>
      </c>
      <c r="E992">
        <v>2005</v>
      </c>
      <c r="F992">
        <v>2015</v>
      </c>
      <c r="G992">
        <v>6.9444444444444441E-3</v>
      </c>
      <c r="H992">
        <v>525.38383114297085</v>
      </c>
      <c r="I992">
        <v>0</v>
      </c>
      <c r="J992">
        <v>0</v>
      </c>
      <c r="K992">
        <v>1</v>
      </c>
      <c r="L992" t="s">
        <v>238</v>
      </c>
      <c r="M992">
        <v>145.51447218245548</v>
      </c>
      <c r="N992">
        <v>405.90879082474419</v>
      </c>
      <c r="O992">
        <v>0</v>
      </c>
      <c r="P992">
        <v>1</v>
      </c>
      <c r="Q992">
        <v>0</v>
      </c>
      <c r="R992">
        <v>1</v>
      </c>
      <c r="S992">
        <v>0</v>
      </c>
      <c r="T992">
        <v>1</v>
      </c>
      <c r="U992">
        <v>0</v>
      </c>
      <c r="V992">
        <v>3</v>
      </c>
      <c r="W992">
        <v>0.95</v>
      </c>
      <c r="AA992">
        <v>0</v>
      </c>
      <c r="AC992">
        <v>0</v>
      </c>
      <c r="AD992">
        <v>0</v>
      </c>
      <c r="AE992">
        <v>0</v>
      </c>
      <c r="AF992">
        <v>1</v>
      </c>
      <c r="AG992">
        <v>1</v>
      </c>
      <c r="AH992">
        <v>23</v>
      </c>
      <c r="AI992">
        <v>0</v>
      </c>
      <c r="AJ992">
        <v>144</v>
      </c>
    </row>
    <row r="993" spans="1:36" x14ac:dyDescent="0.2">
      <c r="A993" t="str">
        <f>+VLOOKUP(B993,studies!$A$2:$C$102,3)</f>
        <v>Kopp et al. (2012)</v>
      </c>
      <c r="B993">
        <v>78</v>
      </c>
      <c r="C993">
        <v>2012</v>
      </c>
      <c r="D993">
        <v>1</v>
      </c>
      <c r="E993">
        <v>2005</v>
      </c>
      <c r="F993">
        <v>2015</v>
      </c>
      <c r="G993">
        <v>6.9444444444444441E-3</v>
      </c>
      <c r="H993">
        <v>540.39479774705569</v>
      </c>
      <c r="I993">
        <v>0</v>
      </c>
      <c r="J993">
        <v>0</v>
      </c>
      <c r="K993">
        <v>1</v>
      </c>
      <c r="L993" t="s">
        <v>238</v>
      </c>
      <c r="M993">
        <v>153.17312861311103</v>
      </c>
      <c r="N993">
        <v>428.88476011671082</v>
      </c>
      <c r="O993">
        <v>0</v>
      </c>
      <c r="P993">
        <v>1</v>
      </c>
      <c r="Q993">
        <v>0</v>
      </c>
      <c r="R993">
        <v>1</v>
      </c>
      <c r="S993">
        <v>0</v>
      </c>
      <c r="T993">
        <v>1</v>
      </c>
      <c r="U993">
        <v>0</v>
      </c>
      <c r="V993">
        <v>3</v>
      </c>
      <c r="W993">
        <v>0.95</v>
      </c>
      <c r="AA993">
        <v>0</v>
      </c>
      <c r="AC993">
        <v>0</v>
      </c>
      <c r="AD993">
        <v>0</v>
      </c>
      <c r="AE993">
        <v>0</v>
      </c>
      <c r="AF993">
        <v>1</v>
      </c>
      <c r="AG993">
        <v>1</v>
      </c>
      <c r="AH993">
        <v>23</v>
      </c>
      <c r="AI993">
        <v>0</v>
      </c>
      <c r="AJ993">
        <v>144</v>
      </c>
    </row>
    <row r="994" spans="1:36" x14ac:dyDescent="0.2">
      <c r="A994" t="str">
        <f>+VLOOKUP(B994,studies!$A$2:$C$102,3)</f>
        <v>Kopp et al. (2012)</v>
      </c>
      <c r="B994">
        <v>78</v>
      </c>
      <c r="C994">
        <v>2012</v>
      </c>
      <c r="D994">
        <v>1</v>
      </c>
      <c r="E994">
        <v>2005</v>
      </c>
      <c r="F994">
        <v>2015</v>
      </c>
      <c r="G994">
        <v>6.9444444444444441E-3</v>
      </c>
      <c r="H994">
        <v>480.35093133071615</v>
      </c>
      <c r="I994">
        <v>0</v>
      </c>
      <c r="J994">
        <v>0</v>
      </c>
      <c r="K994">
        <v>1</v>
      </c>
      <c r="L994" t="s">
        <v>238</v>
      </c>
      <c r="M994">
        <v>145.51447218245548</v>
      </c>
      <c r="N994">
        <v>398.25013439408872</v>
      </c>
      <c r="O994">
        <v>0</v>
      </c>
      <c r="P994">
        <v>1</v>
      </c>
      <c r="Q994">
        <v>0</v>
      </c>
      <c r="R994">
        <v>1</v>
      </c>
      <c r="S994">
        <v>0</v>
      </c>
      <c r="T994">
        <v>1</v>
      </c>
      <c r="U994">
        <v>0</v>
      </c>
      <c r="V994">
        <v>3</v>
      </c>
      <c r="W994">
        <v>0.95</v>
      </c>
      <c r="AA994">
        <v>0</v>
      </c>
      <c r="AC994">
        <v>0</v>
      </c>
      <c r="AD994">
        <v>0</v>
      </c>
      <c r="AE994">
        <v>0</v>
      </c>
      <c r="AF994">
        <v>1</v>
      </c>
      <c r="AG994">
        <v>1</v>
      </c>
      <c r="AH994">
        <v>23</v>
      </c>
      <c r="AI994">
        <v>0</v>
      </c>
      <c r="AJ994">
        <v>144</v>
      </c>
    </row>
    <row r="995" spans="1:36" x14ac:dyDescent="0.2">
      <c r="A995" t="str">
        <f>+VLOOKUP(B995,studies!$A$2:$C$102,3)</f>
        <v>Kopp et al. (2012)</v>
      </c>
      <c r="B995">
        <v>78</v>
      </c>
      <c r="C995">
        <v>2012</v>
      </c>
      <c r="D995">
        <v>1</v>
      </c>
      <c r="E995">
        <v>2005</v>
      </c>
      <c r="F995">
        <v>2015</v>
      </c>
      <c r="G995">
        <v>6.9444444444444441E-3</v>
      </c>
      <c r="H995">
        <v>915.66896284917766</v>
      </c>
      <c r="I995">
        <v>0</v>
      </c>
      <c r="J995">
        <v>0</v>
      </c>
      <c r="K995">
        <v>1</v>
      </c>
      <c r="L995" t="s">
        <v>238</v>
      </c>
      <c r="M995">
        <v>268.05297507294426</v>
      </c>
      <c r="N995">
        <v>750.54833020424417</v>
      </c>
      <c r="O995">
        <v>0</v>
      </c>
      <c r="P995">
        <v>1</v>
      </c>
      <c r="Q995">
        <v>0</v>
      </c>
      <c r="R995">
        <v>1</v>
      </c>
      <c r="S995">
        <v>0</v>
      </c>
      <c r="T995">
        <v>1</v>
      </c>
      <c r="U995">
        <v>0</v>
      </c>
      <c r="V995">
        <v>3</v>
      </c>
      <c r="W995">
        <v>0.95</v>
      </c>
      <c r="AA995">
        <v>0</v>
      </c>
      <c r="AC995">
        <v>0</v>
      </c>
      <c r="AD995">
        <v>0</v>
      </c>
      <c r="AE995">
        <v>0</v>
      </c>
      <c r="AF995">
        <v>1</v>
      </c>
      <c r="AG995">
        <v>1</v>
      </c>
      <c r="AH995">
        <v>23</v>
      </c>
      <c r="AI995">
        <v>0</v>
      </c>
      <c r="AJ995">
        <v>144</v>
      </c>
    </row>
    <row r="996" spans="1:36" x14ac:dyDescent="0.2">
      <c r="A996" t="str">
        <f>+VLOOKUP(B996,studies!$A$2:$C$102,3)</f>
        <v>Kopp et al. (2012)</v>
      </c>
      <c r="B996">
        <v>78</v>
      </c>
      <c r="C996">
        <v>2012</v>
      </c>
      <c r="D996">
        <v>1</v>
      </c>
      <c r="E996">
        <v>2005</v>
      </c>
      <c r="F996">
        <v>2015</v>
      </c>
      <c r="G996">
        <v>6.9444444444444441E-3</v>
      </c>
      <c r="H996">
        <v>525.38383114297085</v>
      </c>
      <c r="I996">
        <v>0</v>
      </c>
      <c r="J996">
        <v>0</v>
      </c>
      <c r="K996">
        <v>1</v>
      </c>
      <c r="L996" t="s">
        <v>238</v>
      </c>
      <c r="M996">
        <v>145.51447218245548</v>
      </c>
      <c r="N996">
        <v>382.93282153277761</v>
      </c>
      <c r="O996">
        <v>0</v>
      </c>
      <c r="P996">
        <v>1</v>
      </c>
      <c r="Q996">
        <v>0</v>
      </c>
      <c r="R996">
        <v>1</v>
      </c>
      <c r="S996">
        <v>0</v>
      </c>
      <c r="T996">
        <v>1</v>
      </c>
      <c r="U996">
        <v>0</v>
      </c>
      <c r="V996">
        <v>3</v>
      </c>
      <c r="W996">
        <v>0.95</v>
      </c>
      <c r="AA996">
        <v>0</v>
      </c>
      <c r="AC996">
        <v>0</v>
      </c>
      <c r="AD996">
        <v>0</v>
      </c>
      <c r="AE996">
        <v>0</v>
      </c>
      <c r="AF996">
        <v>1</v>
      </c>
      <c r="AG996">
        <v>1</v>
      </c>
      <c r="AH996">
        <v>23</v>
      </c>
      <c r="AI996">
        <v>0</v>
      </c>
      <c r="AJ996">
        <v>144</v>
      </c>
    </row>
    <row r="997" spans="1:36" x14ac:dyDescent="0.2">
      <c r="A997" t="str">
        <f>+VLOOKUP(B997,studies!$A$2:$C$102,3)</f>
        <v>Kopp et al. (2012)</v>
      </c>
      <c r="B997">
        <v>78</v>
      </c>
      <c r="C997">
        <v>2012</v>
      </c>
      <c r="D997">
        <v>1</v>
      </c>
      <c r="E997">
        <v>2005</v>
      </c>
      <c r="F997">
        <v>2015</v>
      </c>
      <c r="G997">
        <v>6.9444444444444441E-3</v>
      </c>
      <c r="H997">
        <v>1365.9979609717241</v>
      </c>
      <c r="I997">
        <v>0</v>
      </c>
      <c r="J997">
        <v>0</v>
      </c>
      <c r="K997">
        <v>1</v>
      </c>
      <c r="L997" t="s">
        <v>238</v>
      </c>
      <c r="M997">
        <v>413.56744725539983</v>
      </c>
      <c r="N997">
        <v>1095.1878695837438</v>
      </c>
      <c r="O997">
        <v>0</v>
      </c>
      <c r="P997">
        <v>1</v>
      </c>
      <c r="Q997">
        <v>0</v>
      </c>
      <c r="R997">
        <v>1</v>
      </c>
      <c r="S997">
        <v>0</v>
      </c>
      <c r="T997">
        <v>1</v>
      </c>
      <c r="U997">
        <v>0</v>
      </c>
      <c r="V997">
        <v>3</v>
      </c>
      <c r="W997">
        <v>0.95</v>
      </c>
      <c r="AA997">
        <v>0</v>
      </c>
      <c r="AC997">
        <v>0</v>
      </c>
      <c r="AD997">
        <v>0</v>
      </c>
      <c r="AE997">
        <v>0</v>
      </c>
      <c r="AF997">
        <v>1</v>
      </c>
      <c r="AG997">
        <v>1</v>
      </c>
      <c r="AH997">
        <v>23</v>
      </c>
      <c r="AI997">
        <v>0</v>
      </c>
      <c r="AJ997">
        <v>144</v>
      </c>
    </row>
    <row r="998" spans="1:36" x14ac:dyDescent="0.2">
      <c r="A998" t="str">
        <f>+VLOOKUP(B998,studies!$A$2:$C$102,3)</f>
        <v>Kopp et al. (2012)</v>
      </c>
      <c r="B998">
        <v>78</v>
      </c>
      <c r="C998">
        <v>2012</v>
      </c>
      <c r="D998">
        <v>1</v>
      </c>
      <c r="E998">
        <v>2005</v>
      </c>
      <c r="F998">
        <v>2015</v>
      </c>
      <c r="G998">
        <v>6.9444444444444441E-3</v>
      </c>
      <c r="H998">
        <v>390.28513170620693</v>
      </c>
      <c r="I998">
        <v>0</v>
      </c>
      <c r="J998">
        <v>0</v>
      </c>
      <c r="K998">
        <v>1</v>
      </c>
      <c r="L998" t="s">
        <v>238</v>
      </c>
      <c r="M998">
        <v>99.56253359852218</v>
      </c>
      <c r="N998">
        <v>252.73566221163318</v>
      </c>
      <c r="O998">
        <v>0</v>
      </c>
      <c r="P998">
        <v>1</v>
      </c>
      <c r="Q998">
        <v>0</v>
      </c>
      <c r="R998">
        <v>1</v>
      </c>
      <c r="S998">
        <v>0</v>
      </c>
      <c r="T998">
        <v>1</v>
      </c>
      <c r="U998">
        <v>0</v>
      </c>
      <c r="V998">
        <v>3</v>
      </c>
      <c r="W998">
        <v>0.95</v>
      </c>
      <c r="AA998">
        <v>0</v>
      </c>
      <c r="AC998">
        <v>0</v>
      </c>
      <c r="AD998">
        <v>0</v>
      </c>
      <c r="AE998">
        <v>0</v>
      </c>
      <c r="AF998">
        <v>1</v>
      </c>
      <c r="AG998">
        <v>1</v>
      </c>
      <c r="AH998">
        <v>23</v>
      </c>
      <c r="AI998">
        <v>0</v>
      </c>
      <c r="AJ998">
        <v>144</v>
      </c>
    </row>
    <row r="999" spans="1:36" x14ac:dyDescent="0.2">
      <c r="A999" t="str">
        <f>+VLOOKUP(B999,studies!$A$2:$C$102,3)</f>
        <v>Kopp et al. (2012)</v>
      </c>
      <c r="B999">
        <v>78</v>
      </c>
      <c r="C999">
        <v>2012</v>
      </c>
      <c r="D999">
        <v>1</v>
      </c>
      <c r="E999">
        <v>2005</v>
      </c>
      <c r="F999">
        <v>2015</v>
      </c>
      <c r="G999">
        <v>6.9444444444444441E-3</v>
      </c>
      <c r="H999">
        <v>525.38383114297085</v>
      </c>
      <c r="I999">
        <v>0</v>
      </c>
      <c r="J999">
        <v>0</v>
      </c>
      <c r="K999">
        <v>1</v>
      </c>
      <c r="L999" t="s">
        <v>238</v>
      </c>
      <c r="M999">
        <v>145.51447218245548</v>
      </c>
      <c r="N999">
        <v>428.88476011671094</v>
      </c>
      <c r="O999">
        <v>0</v>
      </c>
      <c r="P999">
        <v>1</v>
      </c>
      <c r="Q999">
        <v>0</v>
      </c>
      <c r="R999">
        <v>1</v>
      </c>
      <c r="S999">
        <v>0</v>
      </c>
      <c r="T999">
        <v>1</v>
      </c>
      <c r="U999">
        <v>0</v>
      </c>
      <c r="V999">
        <v>3</v>
      </c>
      <c r="W999">
        <v>0.95</v>
      </c>
      <c r="AA999">
        <v>0</v>
      </c>
      <c r="AC999">
        <v>0</v>
      </c>
      <c r="AD999">
        <v>0</v>
      </c>
      <c r="AE999">
        <v>0</v>
      </c>
      <c r="AF999">
        <v>1</v>
      </c>
      <c r="AG999">
        <v>1</v>
      </c>
      <c r="AH999">
        <v>23</v>
      </c>
      <c r="AI999">
        <v>0</v>
      </c>
      <c r="AJ999">
        <v>144</v>
      </c>
    </row>
    <row r="1000" spans="1:36" x14ac:dyDescent="0.2">
      <c r="A1000" t="str">
        <f>+VLOOKUP(B1000,studies!$A$2:$C$102,3)</f>
        <v>Kopp et al. (2012)</v>
      </c>
      <c r="B1000">
        <v>78</v>
      </c>
      <c r="C1000">
        <v>2012</v>
      </c>
      <c r="D1000">
        <v>1</v>
      </c>
      <c r="E1000">
        <v>2005</v>
      </c>
      <c r="F1000">
        <v>2015</v>
      </c>
      <c r="G1000">
        <v>6.9444444444444441E-3</v>
      </c>
      <c r="H1000">
        <v>525.38383114297085</v>
      </c>
      <c r="I1000">
        <v>0</v>
      </c>
      <c r="J1000">
        <v>0</v>
      </c>
      <c r="K1000">
        <v>1</v>
      </c>
      <c r="L1000" t="s">
        <v>238</v>
      </c>
      <c r="M1000">
        <v>145.51447218245548</v>
      </c>
      <c r="N1000">
        <v>405.90879082474419</v>
      </c>
      <c r="O1000">
        <v>0</v>
      </c>
      <c r="P1000">
        <v>1</v>
      </c>
      <c r="Q1000">
        <v>0</v>
      </c>
      <c r="R1000">
        <v>1</v>
      </c>
      <c r="S1000">
        <v>0</v>
      </c>
      <c r="T1000">
        <v>1</v>
      </c>
      <c r="U1000">
        <v>0</v>
      </c>
      <c r="V1000">
        <v>3</v>
      </c>
      <c r="W1000">
        <v>0.95</v>
      </c>
      <c r="AA1000">
        <v>0</v>
      </c>
      <c r="AC1000">
        <v>0</v>
      </c>
      <c r="AD1000">
        <v>0</v>
      </c>
      <c r="AE1000">
        <v>0</v>
      </c>
      <c r="AF1000">
        <v>1</v>
      </c>
      <c r="AG1000">
        <v>1</v>
      </c>
      <c r="AH1000">
        <v>23</v>
      </c>
      <c r="AI1000">
        <v>0</v>
      </c>
      <c r="AJ1000">
        <v>144</v>
      </c>
    </row>
    <row r="1001" spans="1:36" x14ac:dyDescent="0.2">
      <c r="A1001" t="str">
        <f>+VLOOKUP(B1001,studies!$A$2:$C$102,3)</f>
        <v>Kopp et al. (2012)</v>
      </c>
      <c r="B1001">
        <v>78</v>
      </c>
      <c r="C1001">
        <v>2012</v>
      </c>
      <c r="D1001">
        <v>1</v>
      </c>
      <c r="E1001">
        <v>2005</v>
      </c>
      <c r="F1001">
        <v>2015</v>
      </c>
      <c r="G1001">
        <v>6.9444444444444441E-3</v>
      </c>
      <c r="H1001">
        <v>585.42769755931033</v>
      </c>
      <c r="I1001">
        <v>0</v>
      </c>
      <c r="J1001">
        <v>0</v>
      </c>
      <c r="K1001">
        <v>1</v>
      </c>
      <c r="L1001" t="s">
        <v>238</v>
      </c>
      <c r="M1001">
        <v>191.4664107663888</v>
      </c>
      <c r="N1001">
        <v>1263.6783110581659</v>
      </c>
      <c r="O1001">
        <v>0</v>
      </c>
      <c r="P1001">
        <v>1</v>
      </c>
      <c r="Q1001">
        <v>0</v>
      </c>
      <c r="R1001">
        <v>1</v>
      </c>
      <c r="S1001">
        <v>0</v>
      </c>
      <c r="T1001">
        <v>1</v>
      </c>
      <c r="U1001">
        <v>0</v>
      </c>
      <c r="V1001">
        <v>3</v>
      </c>
      <c r="W1001">
        <v>0.95</v>
      </c>
      <c r="AA1001">
        <v>0</v>
      </c>
      <c r="AC1001">
        <v>0</v>
      </c>
      <c r="AD1001">
        <v>0</v>
      </c>
      <c r="AE1001">
        <v>0</v>
      </c>
      <c r="AF1001">
        <v>1</v>
      </c>
      <c r="AG1001">
        <v>1</v>
      </c>
      <c r="AH1001">
        <v>23</v>
      </c>
      <c r="AI1001">
        <v>0</v>
      </c>
      <c r="AJ1001">
        <v>144</v>
      </c>
    </row>
    <row r="1002" spans="1:36" x14ac:dyDescent="0.2">
      <c r="A1002" t="str">
        <f>+VLOOKUP(B1002,studies!$A$2:$C$102,3)</f>
        <v>Kopp et al. (2012)</v>
      </c>
      <c r="B1002">
        <v>78</v>
      </c>
      <c r="C1002">
        <v>2012</v>
      </c>
      <c r="D1002">
        <v>1</v>
      </c>
      <c r="E1002">
        <v>2005</v>
      </c>
      <c r="F1002">
        <v>2015</v>
      </c>
      <c r="G1002">
        <v>6.9444444444444441E-3</v>
      </c>
      <c r="H1002">
        <v>195.14256585310346</v>
      </c>
      <c r="I1002">
        <v>0</v>
      </c>
      <c r="J1002">
        <v>0</v>
      </c>
      <c r="K1002">
        <v>1</v>
      </c>
      <c r="L1002" t="s">
        <v>238</v>
      </c>
      <c r="M1002">
        <v>53.610595014588867</v>
      </c>
      <c r="N1002">
        <v>1248.3609981968548</v>
      </c>
      <c r="O1002">
        <v>0</v>
      </c>
      <c r="P1002">
        <v>1</v>
      </c>
      <c r="Q1002">
        <v>0</v>
      </c>
      <c r="R1002">
        <v>1</v>
      </c>
      <c r="S1002">
        <v>0</v>
      </c>
      <c r="T1002">
        <v>1</v>
      </c>
      <c r="U1002">
        <v>0</v>
      </c>
      <c r="V1002">
        <v>3</v>
      </c>
      <c r="W1002">
        <v>0.95</v>
      </c>
      <c r="AA1002">
        <v>0</v>
      </c>
      <c r="AC1002">
        <v>0</v>
      </c>
      <c r="AD1002">
        <v>0</v>
      </c>
      <c r="AE1002">
        <v>0</v>
      </c>
      <c r="AF1002">
        <v>1</v>
      </c>
      <c r="AG1002">
        <v>1</v>
      </c>
      <c r="AH1002">
        <v>23</v>
      </c>
      <c r="AI1002">
        <v>0</v>
      </c>
      <c r="AJ1002">
        <v>144</v>
      </c>
    </row>
    <row r="1003" spans="1:36" x14ac:dyDescent="0.2">
      <c r="A1003" t="str">
        <f>+VLOOKUP(B1003,studies!$A$2:$C$102,3)</f>
        <v>Kopp et al. (2012)</v>
      </c>
      <c r="B1003">
        <v>78</v>
      </c>
      <c r="C1003">
        <v>2012</v>
      </c>
      <c r="D1003">
        <v>1</v>
      </c>
      <c r="E1003">
        <v>2005</v>
      </c>
      <c r="F1003">
        <v>2015</v>
      </c>
      <c r="G1003">
        <v>6.9444444444444441E-3</v>
      </c>
      <c r="H1003">
        <v>135.09869943676392</v>
      </c>
      <c r="I1003">
        <v>0</v>
      </c>
      <c r="J1003">
        <v>0</v>
      </c>
      <c r="K1003">
        <v>1</v>
      </c>
      <c r="L1003" t="s">
        <v>238</v>
      </c>
      <c r="M1003">
        <v>38.293282153277758</v>
      </c>
      <c r="N1003">
        <v>1263.6783110581659</v>
      </c>
      <c r="O1003">
        <v>0</v>
      </c>
      <c r="P1003">
        <v>1</v>
      </c>
      <c r="Q1003">
        <v>0</v>
      </c>
      <c r="R1003">
        <v>1</v>
      </c>
      <c r="S1003">
        <v>0</v>
      </c>
      <c r="T1003">
        <v>1</v>
      </c>
      <c r="U1003">
        <v>0</v>
      </c>
      <c r="V1003">
        <v>3</v>
      </c>
      <c r="W1003">
        <v>0.95</v>
      </c>
      <c r="AA1003">
        <v>0</v>
      </c>
      <c r="AC1003">
        <v>0</v>
      </c>
      <c r="AD1003">
        <v>0</v>
      </c>
      <c r="AE1003">
        <v>0</v>
      </c>
      <c r="AF1003">
        <v>1</v>
      </c>
      <c r="AG1003">
        <v>1</v>
      </c>
      <c r="AH1003">
        <v>23</v>
      </c>
      <c r="AI1003">
        <v>0</v>
      </c>
      <c r="AJ1003">
        <v>144</v>
      </c>
    </row>
    <row r="1004" spans="1:36" x14ac:dyDescent="0.2">
      <c r="A1004" t="str">
        <f>+VLOOKUP(B1004,studies!$A$2:$C$102,3)</f>
        <v>Kopp et al. (2012)</v>
      </c>
      <c r="B1004">
        <v>78</v>
      </c>
      <c r="C1004">
        <v>2012</v>
      </c>
      <c r="D1004">
        <v>1</v>
      </c>
      <c r="E1004">
        <v>2005</v>
      </c>
      <c r="F1004">
        <v>2015</v>
      </c>
      <c r="G1004">
        <v>6.9444444444444441E-3</v>
      </c>
      <c r="H1004">
        <v>270.19739887352785</v>
      </c>
      <c r="I1004">
        <v>0</v>
      </c>
      <c r="J1004">
        <v>0</v>
      </c>
      <c r="K1004">
        <v>1</v>
      </c>
      <c r="L1004" t="s">
        <v>238</v>
      </c>
      <c r="M1004">
        <v>76.586564306555516</v>
      </c>
      <c r="N1004">
        <v>2067.8372362769987</v>
      </c>
      <c r="O1004">
        <v>0</v>
      </c>
      <c r="P1004">
        <v>1</v>
      </c>
      <c r="Q1004">
        <v>0</v>
      </c>
      <c r="R1004">
        <v>1</v>
      </c>
      <c r="S1004">
        <v>0</v>
      </c>
      <c r="T1004">
        <v>1</v>
      </c>
      <c r="U1004">
        <v>0</v>
      </c>
      <c r="V1004">
        <v>3</v>
      </c>
      <c r="W1004">
        <v>0.95</v>
      </c>
      <c r="AA1004">
        <v>0</v>
      </c>
      <c r="AC1004">
        <v>0</v>
      </c>
      <c r="AD1004">
        <v>0</v>
      </c>
      <c r="AE1004">
        <v>0</v>
      </c>
      <c r="AF1004">
        <v>1</v>
      </c>
      <c r="AG1004">
        <v>1</v>
      </c>
      <c r="AH1004">
        <v>23</v>
      </c>
      <c r="AI1004">
        <v>0</v>
      </c>
      <c r="AJ1004">
        <v>144</v>
      </c>
    </row>
    <row r="1005" spans="1:36" x14ac:dyDescent="0.2">
      <c r="A1005" t="str">
        <f>+VLOOKUP(B1005,studies!$A$2:$C$102,3)</f>
        <v>Kopp et al. (2012)</v>
      </c>
      <c r="B1005">
        <v>78</v>
      </c>
      <c r="C1005">
        <v>2012</v>
      </c>
      <c r="D1005">
        <v>1</v>
      </c>
      <c r="E1005">
        <v>2005</v>
      </c>
      <c r="F1005">
        <v>2015</v>
      </c>
      <c r="G1005">
        <v>6.9444444444444441E-3</v>
      </c>
      <c r="H1005">
        <v>150.10966604084879</v>
      </c>
      <c r="I1005">
        <v>0</v>
      </c>
      <c r="J1005">
        <v>0</v>
      </c>
      <c r="K1005">
        <v>1</v>
      </c>
      <c r="L1005" t="s">
        <v>238</v>
      </c>
      <c r="M1005">
        <v>38.293282153277758</v>
      </c>
      <c r="N1005">
        <v>1194.7504031822659</v>
      </c>
      <c r="O1005">
        <v>0</v>
      </c>
      <c r="P1005">
        <v>1</v>
      </c>
      <c r="Q1005">
        <v>0</v>
      </c>
      <c r="R1005">
        <v>1</v>
      </c>
      <c r="S1005">
        <v>0</v>
      </c>
      <c r="T1005">
        <v>1</v>
      </c>
      <c r="U1005">
        <v>0</v>
      </c>
      <c r="V1005">
        <v>3</v>
      </c>
      <c r="W1005">
        <v>0.95</v>
      </c>
      <c r="AA1005">
        <v>0</v>
      </c>
      <c r="AC1005">
        <v>0</v>
      </c>
      <c r="AD1005">
        <v>0</v>
      </c>
      <c r="AE1005">
        <v>0</v>
      </c>
      <c r="AF1005">
        <v>1</v>
      </c>
      <c r="AG1005">
        <v>1</v>
      </c>
      <c r="AH1005">
        <v>23</v>
      </c>
      <c r="AI1005">
        <v>0</v>
      </c>
      <c r="AJ1005">
        <v>144</v>
      </c>
    </row>
    <row r="1006" spans="1:36" x14ac:dyDescent="0.2">
      <c r="A1006" t="str">
        <f>+VLOOKUP(B1006,studies!$A$2:$C$102,3)</f>
        <v>Kopp et al. (2012)</v>
      </c>
      <c r="B1006">
        <v>78</v>
      </c>
      <c r="C1006">
        <v>2012</v>
      </c>
      <c r="D1006">
        <v>1</v>
      </c>
      <c r="E1006">
        <v>2005</v>
      </c>
      <c r="F1006">
        <v>2015</v>
      </c>
      <c r="G1006">
        <v>6.9444444444444441E-3</v>
      </c>
      <c r="H1006">
        <v>105.07676622859417</v>
      </c>
      <c r="I1006">
        <v>0</v>
      </c>
      <c r="J1006">
        <v>0</v>
      </c>
      <c r="K1006">
        <v>1</v>
      </c>
      <c r="L1006" t="s">
        <v>238</v>
      </c>
      <c r="M1006">
        <v>45.951938583933305</v>
      </c>
      <c r="N1006">
        <v>2389.5008063645319</v>
      </c>
      <c r="O1006">
        <v>0</v>
      </c>
      <c r="P1006">
        <v>1</v>
      </c>
      <c r="Q1006">
        <v>0</v>
      </c>
      <c r="R1006">
        <v>1</v>
      </c>
      <c r="S1006">
        <v>0</v>
      </c>
      <c r="T1006">
        <v>1</v>
      </c>
      <c r="U1006">
        <v>0</v>
      </c>
      <c r="V1006">
        <v>3</v>
      </c>
      <c r="W1006">
        <v>0.95</v>
      </c>
      <c r="AA1006">
        <v>0</v>
      </c>
      <c r="AC1006">
        <v>0</v>
      </c>
      <c r="AD1006">
        <v>0</v>
      </c>
      <c r="AE1006">
        <v>0</v>
      </c>
      <c r="AF1006">
        <v>1</v>
      </c>
      <c r="AG1006">
        <v>1</v>
      </c>
      <c r="AH1006">
        <v>23</v>
      </c>
      <c r="AI1006">
        <v>0</v>
      </c>
      <c r="AJ1006">
        <v>144</v>
      </c>
    </row>
    <row r="1007" spans="1:36" x14ac:dyDescent="0.2">
      <c r="A1007" t="str">
        <f>+VLOOKUP(B1007,studies!$A$2:$C$102,3)</f>
        <v>Kopp et al. (2012)</v>
      </c>
      <c r="B1007">
        <v>78</v>
      </c>
      <c r="C1007">
        <v>2012</v>
      </c>
      <c r="D1007">
        <v>1</v>
      </c>
      <c r="E1007">
        <v>2005</v>
      </c>
      <c r="F1007">
        <v>2015</v>
      </c>
      <c r="G1007">
        <v>6.9444444444444441E-3</v>
      </c>
      <c r="H1007">
        <v>90.065799624509282</v>
      </c>
      <c r="I1007">
        <v>0</v>
      </c>
      <c r="J1007">
        <v>0</v>
      </c>
      <c r="K1007">
        <v>1</v>
      </c>
      <c r="L1007" t="s">
        <v>238</v>
      </c>
      <c r="M1007">
        <v>38.293282153277758</v>
      </c>
      <c r="N1007">
        <v>2167.3997698755211</v>
      </c>
      <c r="O1007">
        <v>0</v>
      </c>
      <c r="P1007">
        <v>1</v>
      </c>
      <c r="Q1007">
        <v>0</v>
      </c>
      <c r="R1007">
        <v>1</v>
      </c>
      <c r="S1007">
        <v>0</v>
      </c>
      <c r="T1007">
        <v>1</v>
      </c>
      <c r="U1007">
        <v>0</v>
      </c>
      <c r="V1007">
        <v>3</v>
      </c>
      <c r="W1007">
        <v>0.95</v>
      </c>
      <c r="AA1007">
        <v>0</v>
      </c>
      <c r="AC1007">
        <v>0</v>
      </c>
      <c r="AD1007">
        <v>0</v>
      </c>
      <c r="AE1007">
        <v>0</v>
      </c>
      <c r="AF1007">
        <v>1</v>
      </c>
      <c r="AG1007">
        <v>1</v>
      </c>
      <c r="AH1007">
        <v>23</v>
      </c>
      <c r="AI1007">
        <v>0</v>
      </c>
      <c r="AJ1007">
        <v>144</v>
      </c>
    </row>
    <row r="1008" spans="1:36" x14ac:dyDescent="0.2">
      <c r="A1008" t="str">
        <f>+VLOOKUP(B1008,studies!$A$2:$C$102,3)</f>
        <v>Kopp et al. (2012)</v>
      </c>
      <c r="B1008">
        <v>78</v>
      </c>
      <c r="C1008">
        <v>2012</v>
      </c>
      <c r="D1008">
        <v>1</v>
      </c>
      <c r="E1008">
        <v>2005</v>
      </c>
      <c r="F1008">
        <v>2015</v>
      </c>
      <c r="G1008">
        <v>6.9444444444444441E-3</v>
      </c>
      <c r="H1008">
        <v>105.07676622859417</v>
      </c>
      <c r="I1008">
        <v>0</v>
      </c>
      <c r="J1008">
        <v>0</v>
      </c>
      <c r="K1008">
        <v>1</v>
      </c>
      <c r="L1008" t="s">
        <v>238</v>
      </c>
      <c r="M1008">
        <v>45.951938583933305</v>
      </c>
      <c r="N1008">
        <v>2780.0922843279645</v>
      </c>
      <c r="O1008">
        <v>0</v>
      </c>
      <c r="P1008">
        <v>1</v>
      </c>
      <c r="Q1008">
        <v>0</v>
      </c>
      <c r="R1008">
        <v>1</v>
      </c>
      <c r="S1008">
        <v>0</v>
      </c>
      <c r="T1008">
        <v>1</v>
      </c>
      <c r="U1008">
        <v>0</v>
      </c>
      <c r="V1008">
        <v>3</v>
      </c>
      <c r="W1008">
        <v>0.95</v>
      </c>
      <c r="AA1008">
        <v>0</v>
      </c>
      <c r="AC1008">
        <v>0</v>
      </c>
      <c r="AD1008">
        <v>0</v>
      </c>
      <c r="AE1008">
        <v>0</v>
      </c>
      <c r="AF1008">
        <v>1</v>
      </c>
      <c r="AG1008">
        <v>1</v>
      </c>
      <c r="AH1008">
        <v>23</v>
      </c>
      <c r="AI1008">
        <v>0</v>
      </c>
      <c r="AJ1008">
        <v>144</v>
      </c>
    </row>
    <row r="1009" spans="1:36" x14ac:dyDescent="0.2">
      <c r="A1009" t="str">
        <f>+VLOOKUP(B1009,studies!$A$2:$C$102,3)</f>
        <v>Kopp et al. (2012)</v>
      </c>
      <c r="B1009">
        <v>78</v>
      </c>
      <c r="C1009">
        <v>2012</v>
      </c>
      <c r="D1009">
        <v>1</v>
      </c>
      <c r="E1009">
        <v>2005</v>
      </c>
      <c r="F1009">
        <v>2015</v>
      </c>
      <c r="G1009">
        <v>6.9444444444444441E-3</v>
      </c>
      <c r="H1009">
        <v>90.065799624509282</v>
      </c>
      <c r="I1009">
        <v>0</v>
      </c>
      <c r="J1009">
        <v>0</v>
      </c>
      <c r="K1009">
        <v>1</v>
      </c>
      <c r="L1009" t="s">
        <v>238</v>
      </c>
      <c r="M1009">
        <v>38.293282153277758</v>
      </c>
      <c r="N1009">
        <v>2496.7219963937096</v>
      </c>
      <c r="O1009">
        <v>0</v>
      </c>
      <c r="P1009">
        <v>1</v>
      </c>
      <c r="Q1009">
        <v>0</v>
      </c>
      <c r="R1009">
        <v>1</v>
      </c>
      <c r="S1009">
        <v>0</v>
      </c>
      <c r="T1009">
        <v>1</v>
      </c>
      <c r="U1009">
        <v>0</v>
      </c>
      <c r="V1009">
        <v>3</v>
      </c>
      <c r="W1009">
        <v>0.95</v>
      </c>
      <c r="AA1009">
        <v>0</v>
      </c>
      <c r="AC1009">
        <v>0</v>
      </c>
      <c r="AD1009">
        <v>0</v>
      </c>
      <c r="AE1009">
        <v>0</v>
      </c>
      <c r="AF1009">
        <v>1</v>
      </c>
      <c r="AG1009">
        <v>1</v>
      </c>
      <c r="AH1009">
        <v>23</v>
      </c>
      <c r="AI1009">
        <v>0</v>
      </c>
      <c r="AJ1009">
        <v>144</v>
      </c>
    </row>
    <row r="1010" spans="1:36" x14ac:dyDescent="0.2">
      <c r="A1010" t="str">
        <f>+VLOOKUP(B1010,studies!$A$2:$C$102,3)</f>
        <v>Kopp et al. (2012)</v>
      </c>
      <c r="B1010">
        <v>78</v>
      </c>
      <c r="C1010">
        <v>2012</v>
      </c>
      <c r="D1010">
        <v>1</v>
      </c>
      <c r="E1010">
        <v>2005</v>
      </c>
      <c r="F1010">
        <v>2015</v>
      </c>
      <c r="G1010">
        <v>6.9444444444444441E-3</v>
      </c>
      <c r="H1010">
        <v>585.42769755931033</v>
      </c>
      <c r="I1010">
        <v>0</v>
      </c>
      <c r="J1010">
        <v>0</v>
      </c>
      <c r="K1010">
        <v>1</v>
      </c>
      <c r="L1010" t="s">
        <v>238</v>
      </c>
      <c r="M1010">
        <v>168.49044147442211</v>
      </c>
      <c r="N1010">
        <v>482.49535513129979</v>
      </c>
      <c r="O1010">
        <v>0</v>
      </c>
      <c r="P1010">
        <v>1</v>
      </c>
      <c r="Q1010">
        <v>0</v>
      </c>
      <c r="R1010">
        <v>1</v>
      </c>
      <c r="S1010">
        <v>0</v>
      </c>
      <c r="T1010">
        <v>1</v>
      </c>
      <c r="U1010">
        <v>0</v>
      </c>
      <c r="V1010">
        <v>3</v>
      </c>
      <c r="W1010">
        <v>0.14000000000000001</v>
      </c>
      <c r="AA1010">
        <v>0</v>
      </c>
      <c r="AC1010">
        <v>0</v>
      </c>
      <c r="AD1010">
        <v>0</v>
      </c>
      <c r="AE1010">
        <v>0</v>
      </c>
      <c r="AF1010">
        <v>1</v>
      </c>
      <c r="AG1010">
        <v>1</v>
      </c>
      <c r="AH1010">
        <v>23</v>
      </c>
      <c r="AI1010">
        <v>0</v>
      </c>
      <c r="AJ1010">
        <v>144</v>
      </c>
    </row>
    <row r="1011" spans="1:36" x14ac:dyDescent="0.2">
      <c r="A1011" t="str">
        <f>+VLOOKUP(B1011,studies!$A$2:$C$102,3)</f>
        <v>Kopp et al. (2012)</v>
      </c>
      <c r="B1011">
        <v>78</v>
      </c>
      <c r="C1011">
        <v>2012</v>
      </c>
      <c r="D1011">
        <v>1</v>
      </c>
      <c r="E1011">
        <v>2005</v>
      </c>
      <c r="F1011">
        <v>2015</v>
      </c>
      <c r="G1011">
        <v>6.9444444444444441E-3</v>
      </c>
      <c r="H1011">
        <v>585.42769755931033</v>
      </c>
      <c r="I1011">
        <v>0</v>
      </c>
      <c r="J1011">
        <v>0</v>
      </c>
      <c r="K1011">
        <v>1</v>
      </c>
      <c r="L1011" t="s">
        <v>238</v>
      </c>
      <c r="M1011">
        <v>168.49044147442211</v>
      </c>
      <c r="N1011">
        <v>520.78863728457748</v>
      </c>
      <c r="O1011">
        <v>0</v>
      </c>
      <c r="P1011">
        <v>1</v>
      </c>
      <c r="Q1011">
        <v>0</v>
      </c>
      <c r="R1011">
        <v>1</v>
      </c>
      <c r="S1011">
        <v>0</v>
      </c>
      <c r="T1011">
        <v>1</v>
      </c>
      <c r="U1011">
        <v>0</v>
      </c>
      <c r="V1011">
        <v>3</v>
      </c>
      <c r="W1011">
        <v>0.14000000000000001</v>
      </c>
      <c r="AA1011">
        <v>0</v>
      </c>
      <c r="AC1011">
        <v>0</v>
      </c>
      <c r="AD1011">
        <v>0</v>
      </c>
      <c r="AE1011">
        <v>0</v>
      </c>
      <c r="AF1011">
        <v>1</v>
      </c>
      <c r="AG1011">
        <v>1</v>
      </c>
      <c r="AH1011">
        <v>23</v>
      </c>
      <c r="AI1011">
        <v>0</v>
      </c>
      <c r="AJ1011">
        <v>144</v>
      </c>
    </row>
    <row r="1012" spans="1:36" x14ac:dyDescent="0.2">
      <c r="A1012" t="str">
        <f>+VLOOKUP(B1012,studies!$A$2:$C$102,3)</f>
        <v>Kopp et al. (2012)</v>
      </c>
      <c r="B1012">
        <v>78</v>
      </c>
      <c r="C1012">
        <v>2012</v>
      </c>
      <c r="D1012">
        <v>1</v>
      </c>
      <c r="E1012">
        <v>2005</v>
      </c>
      <c r="F1012">
        <v>2015</v>
      </c>
      <c r="G1012">
        <v>6.9444444444444441E-3</v>
      </c>
      <c r="H1012">
        <v>525.38383114297085</v>
      </c>
      <c r="I1012">
        <v>0</v>
      </c>
      <c r="J1012">
        <v>0</v>
      </c>
      <c r="K1012">
        <v>1</v>
      </c>
      <c r="L1012" t="s">
        <v>238</v>
      </c>
      <c r="M1012">
        <v>160.83178504376656</v>
      </c>
      <c r="N1012">
        <v>459.51938583933315</v>
      </c>
      <c r="O1012">
        <v>0</v>
      </c>
      <c r="P1012">
        <v>1</v>
      </c>
      <c r="Q1012">
        <v>0</v>
      </c>
      <c r="R1012">
        <v>1</v>
      </c>
      <c r="S1012">
        <v>0</v>
      </c>
      <c r="T1012">
        <v>1</v>
      </c>
      <c r="U1012">
        <v>0</v>
      </c>
      <c r="V1012">
        <v>3</v>
      </c>
      <c r="W1012">
        <v>0.14000000000000001</v>
      </c>
      <c r="AA1012">
        <v>0</v>
      </c>
      <c r="AC1012">
        <v>0</v>
      </c>
      <c r="AD1012">
        <v>0</v>
      </c>
      <c r="AE1012">
        <v>0</v>
      </c>
      <c r="AF1012">
        <v>1</v>
      </c>
      <c r="AG1012">
        <v>1</v>
      </c>
      <c r="AH1012">
        <v>23</v>
      </c>
      <c r="AI1012">
        <v>0</v>
      </c>
      <c r="AJ1012">
        <v>144</v>
      </c>
    </row>
    <row r="1013" spans="1:36" x14ac:dyDescent="0.2">
      <c r="A1013" t="str">
        <f>+VLOOKUP(B1013,studies!$A$2:$C$102,3)</f>
        <v>Kopp et al. (2012)</v>
      </c>
      <c r="B1013">
        <v>78</v>
      </c>
      <c r="C1013">
        <v>2012</v>
      </c>
      <c r="D1013">
        <v>1</v>
      </c>
      <c r="E1013">
        <v>2005</v>
      </c>
      <c r="F1013">
        <v>2015</v>
      </c>
      <c r="G1013">
        <v>6.9444444444444441E-3</v>
      </c>
      <c r="H1013">
        <v>1080.7895954941114</v>
      </c>
      <c r="I1013">
        <v>0</v>
      </c>
      <c r="J1013">
        <v>0</v>
      </c>
      <c r="K1013">
        <v>1</v>
      </c>
      <c r="L1013" t="s">
        <v>238</v>
      </c>
      <c r="M1013">
        <v>321.66357008753317</v>
      </c>
      <c r="N1013">
        <v>1041.577274569155</v>
      </c>
      <c r="O1013">
        <v>0</v>
      </c>
      <c r="P1013">
        <v>1</v>
      </c>
      <c r="Q1013">
        <v>0</v>
      </c>
      <c r="R1013">
        <v>1</v>
      </c>
      <c r="S1013">
        <v>0</v>
      </c>
      <c r="T1013">
        <v>1</v>
      </c>
      <c r="U1013">
        <v>0</v>
      </c>
      <c r="V1013">
        <v>3</v>
      </c>
      <c r="W1013">
        <v>0.14000000000000001</v>
      </c>
      <c r="AA1013">
        <v>0</v>
      </c>
      <c r="AC1013">
        <v>0</v>
      </c>
      <c r="AD1013">
        <v>0</v>
      </c>
      <c r="AE1013">
        <v>0</v>
      </c>
      <c r="AF1013">
        <v>1</v>
      </c>
      <c r="AG1013">
        <v>1</v>
      </c>
      <c r="AH1013">
        <v>23</v>
      </c>
      <c r="AI1013">
        <v>0</v>
      </c>
      <c r="AJ1013">
        <v>144</v>
      </c>
    </row>
    <row r="1014" spans="1:36" x14ac:dyDescent="0.2">
      <c r="A1014" t="str">
        <f>+VLOOKUP(B1014,studies!$A$2:$C$102,3)</f>
        <v>Kopp et al. (2012)</v>
      </c>
      <c r="B1014">
        <v>78</v>
      </c>
      <c r="C1014">
        <v>2012</v>
      </c>
      <c r="D1014">
        <v>1</v>
      </c>
      <c r="E1014">
        <v>2005</v>
      </c>
      <c r="F1014">
        <v>2015</v>
      </c>
      <c r="G1014">
        <v>6.9444444444444441E-3</v>
      </c>
      <c r="H1014">
        <v>720.52639699607425</v>
      </c>
      <c r="I1014">
        <v>0</v>
      </c>
      <c r="J1014">
        <v>0</v>
      </c>
      <c r="K1014">
        <v>1</v>
      </c>
      <c r="L1014" t="s">
        <v>238</v>
      </c>
      <c r="M1014">
        <v>206.78372362769989</v>
      </c>
      <c r="N1014">
        <v>643.32714017506635</v>
      </c>
      <c r="O1014">
        <v>0</v>
      </c>
      <c r="P1014">
        <v>1</v>
      </c>
      <c r="Q1014">
        <v>0</v>
      </c>
      <c r="R1014">
        <v>1</v>
      </c>
      <c r="S1014">
        <v>0</v>
      </c>
      <c r="T1014">
        <v>1</v>
      </c>
      <c r="U1014">
        <v>0</v>
      </c>
      <c r="V1014">
        <v>3</v>
      </c>
      <c r="W1014">
        <v>0.14000000000000001</v>
      </c>
      <c r="AA1014">
        <v>0</v>
      </c>
      <c r="AC1014">
        <v>0</v>
      </c>
      <c r="AD1014">
        <v>0</v>
      </c>
      <c r="AE1014">
        <v>0</v>
      </c>
      <c r="AF1014">
        <v>1</v>
      </c>
      <c r="AG1014">
        <v>1</v>
      </c>
      <c r="AH1014">
        <v>23</v>
      </c>
      <c r="AI1014">
        <v>0</v>
      </c>
      <c r="AJ1014">
        <v>144</v>
      </c>
    </row>
    <row r="1015" spans="1:36" x14ac:dyDescent="0.2">
      <c r="A1015" t="str">
        <f>+VLOOKUP(B1015,studies!$A$2:$C$102,3)</f>
        <v>Kopp et al. (2012)</v>
      </c>
      <c r="B1015">
        <v>78</v>
      </c>
      <c r="C1015">
        <v>2012</v>
      </c>
      <c r="D1015">
        <v>1</v>
      </c>
      <c r="E1015">
        <v>2005</v>
      </c>
      <c r="F1015">
        <v>2015</v>
      </c>
      <c r="G1015">
        <v>6.9444444444444441E-3</v>
      </c>
      <c r="H1015">
        <v>1831.3379256983553</v>
      </c>
      <c r="I1015">
        <v>0</v>
      </c>
      <c r="J1015">
        <v>0</v>
      </c>
      <c r="K1015">
        <v>1</v>
      </c>
      <c r="L1015" t="s">
        <v>238</v>
      </c>
      <c r="M1015">
        <v>566.74057586851075</v>
      </c>
      <c r="N1015">
        <v>1807.4429176347101</v>
      </c>
      <c r="O1015">
        <v>0</v>
      </c>
      <c r="P1015">
        <v>1</v>
      </c>
      <c r="Q1015">
        <v>0</v>
      </c>
      <c r="R1015">
        <v>1</v>
      </c>
      <c r="S1015">
        <v>0</v>
      </c>
      <c r="T1015">
        <v>1</v>
      </c>
      <c r="U1015">
        <v>0</v>
      </c>
      <c r="V1015">
        <v>3</v>
      </c>
      <c r="W1015">
        <v>0.14000000000000001</v>
      </c>
      <c r="AA1015">
        <v>0</v>
      </c>
      <c r="AC1015">
        <v>0</v>
      </c>
      <c r="AD1015">
        <v>0</v>
      </c>
      <c r="AE1015">
        <v>0</v>
      </c>
      <c r="AF1015">
        <v>1</v>
      </c>
      <c r="AG1015">
        <v>1</v>
      </c>
      <c r="AH1015">
        <v>23</v>
      </c>
      <c r="AI1015">
        <v>0</v>
      </c>
      <c r="AJ1015">
        <v>144</v>
      </c>
    </row>
    <row r="1016" spans="1:36" x14ac:dyDescent="0.2">
      <c r="A1016" t="str">
        <f>+VLOOKUP(B1016,studies!$A$2:$C$102,3)</f>
        <v>Kopp et al. (2012)</v>
      </c>
      <c r="B1016">
        <v>78</v>
      </c>
      <c r="C1016">
        <v>2012</v>
      </c>
      <c r="D1016">
        <v>1</v>
      </c>
      <c r="E1016">
        <v>2005</v>
      </c>
      <c r="F1016">
        <v>2015</v>
      </c>
      <c r="G1016">
        <v>6.9444444444444441E-3</v>
      </c>
      <c r="H1016">
        <v>420.30706491437667</v>
      </c>
      <c r="I1016">
        <v>0</v>
      </c>
      <c r="J1016">
        <v>0</v>
      </c>
      <c r="K1016">
        <v>1</v>
      </c>
      <c r="L1016" t="s">
        <v>238</v>
      </c>
      <c r="M1016">
        <v>114.87984645983326</v>
      </c>
      <c r="N1016">
        <v>283.37028793425543</v>
      </c>
      <c r="O1016">
        <v>0</v>
      </c>
      <c r="P1016">
        <v>1</v>
      </c>
      <c r="Q1016">
        <v>0</v>
      </c>
      <c r="R1016">
        <v>1</v>
      </c>
      <c r="S1016">
        <v>0</v>
      </c>
      <c r="T1016">
        <v>1</v>
      </c>
      <c r="U1016">
        <v>0</v>
      </c>
      <c r="V1016">
        <v>3</v>
      </c>
      <c r="W1016">
        <v>0.14000000000000001</v>
      </c>
      <c r="AA1016">
        <v>0</v>
      </c>
      <c r="AC1016">
        <v>0</v>
      </c>
      <c r="AD1016">
        <v>0</v>
      </c>
      <c r="AE1016">
        <v>0</v>
      </c>
      <c r="AF1016">
        <v>1</v>
      </c>
      <c r="AG1016">
        <v>1</v>
      </c>
      <c r="AH1016">
        <v>23</v>
      </c>
      <c r="AI1016">
        <v>0</v>
      </c>
      <c r="AJ1016">
        <v>144</v>
      </c>
    </row>
    <row r="1017" spans="1:36" x14ac:dyDescent="0.2">
      <c r="A1017" t="str">
        <f>+VLOOKUP(B1017,studies!$A$2:$C$102,3)</f>
        <v>Kopp et al. (2012)</v>
      </c>
      <c r="B1017">
        <v>78</v>
      </c>
      <c r="C1017">
        <v>2012</v>
      </c>
      <c r="D1017">
        <v>1</v>
      </c>
      <c r="E1017">
        <v>2005</v>
      </c>
      <c r="F1017">
        <v>2015</v>
      </c>
      <c r="G1017">
        <v>6.9444444444444441E-3</v>
      </c>
      <c r="H1017">
        <v>585.42769755931033</v>
      </c>
      <c r="I1017">
        <v>0</v>
      </c>
      <c r="J1017">
        <v>0</v>
      </c>
      <c r="K1017">
        <v>1</v>
      </c>
      <c r="L1017" t="s">
        <v>238</v>
      </c>
      <c r="M1017">
        <v>168.49044147442211</v>
      </c>
      <c r="N1017">
        <v>536.10595014588864</v>
      </c>
      <c r="O1017">
        <v>0</v>
      </c>
      <c r="P1017">
        <v>1</v>
      </c>
      <c r="Q1017">
        <v>0</v>
      </c>
      <c r="R1017">
        <v>1</v>
      </c>
      <c r="S1017">
        <v>0</v>
      </c>
      <c r="T1017">
        <v>1</v>
      </c>
      <c r="U1017">
        <v>0</v>
      </c>
      <c r="V1017">
        <v>3</v>
      </c>
      <c r="W1017">
        <v>0.14000000000000001</v>
      </c>
      <c r="AA1017">
        <v>0</v>
      </c>
      <c r="AC1017">
        <v>0</v>
      </c>
      <c r="AD1017">
        <v>0</v>
      </c>
      <c r="AE1017">
        <v>0</v>
      </c>
      <c r="AF1017">
        <v>1</v>
      </c>
      <c r="AG1017">
        <v>1</v>
      </c>
      <c r="AH1017">
        <v>23</v>
      </c>
      <c r="AI1017">
        <v>0</v>
      </c>
      <c r="AJ1017">
        <v>144</v>
      </c>
    </row>
    <row r="1018" spans="1:36" x14ac:dyDescent="0.2">
      <c r="A1018" t="str">
        <f>+VLOOKUP(B1018,studies!$A$2:$C$102,3)</f>
        <v>Kopp et al. (2012)</v>
      </c>
      <c r="B1018">
        <v>78</v>
      </c>
      <c r="C1018">
        <v>2012</v>
      </c>
      <c r="D1018">
        <v>1</v>
      </c>
      <c r="E1018">
        <v>2005</v>
      </c>
      <c r="F1018">
        <v>2015</v>
      </c>
      <c r="G1018">
        <v>6.9444444444444441E-3</v>
      </c>
      <c r="H1018">
        <v>585.42769755931033</v>
      </c>
      <c r="I1018">
        <v>0</v>
      </c>
      <c r="J1018">
        <v>0</v>
      </c>
      <c r="K1018">
        <v>1</v>
      </c>
      <c r="L1018" t="s">
        <v>238</v>
      </c>
      <c r="M1018">
        <v>168.49044147442211</v>
      </c>
      <c r="N1018">
        <v>482.49535513129979</v>
      </c>
      <c r="O1018">
        <v>0</v>
      </c>
      <c r="P1018">
        <v>1</v>
      </c>
      <c r="Q1018">
        <v>0</v>
      </c>
      <c r="R1018">
        <v>1</v>
      </c>
      <c r="S1018">
        <v>0</v>
      </c>
      <c r="T1018">
        <v>1</v>
      </c>
      <c r="U1018">
        <v>0</v>
      </c>
      <c r="V1018">
        <v>3</v>
      </c>
      <c r="W1018">
        <v>0.14000000000000001</v>
      </c>
      <c r="AA1018">
        <v>0</v>
      </c>
      <c r="AC1018">
        <v>0</v>
      </c>
      <c r="AD1018">
        <v>0</v>
      </c>
      <c r="AE1018">
        <v>0</v>
      </c>
      <c r="AF1018">
        <v>1</v>
      </c>
      <c r="AG1018">
        <v>1</v>
      </c>
      <c r="AH1018">
        <v>23</v>
      </c>
      <c r="AI1018">
        <v>0</v>
      </c>
      <c r="AJ1018">
        <v>144</v>
      </c>
    </row>
    <row r="1019" spans="1:36" x14ac:dyDescent="0.2">
      <c r="A1019" t="str">
        <f>+VLOOKUP(B1019,studies!$A$2:$C$102,3)</f>
        <v>Kopp et al. (2012)</v>
      </c>
      <c r="B1019">
        <v>78</v>
      </c>
      <c r="C1019">
        <v>2012</v>
      </c>
      <c r="D1019">
        <v>1</v>
      </c>
      <c r="E1019">
        <v>2005</v>
      </c>
      <c r="F1019">
        <v>2015</v>
      </c>
      <c r="G1019">
        <v>6.9444444444444441E-3</v>
      </c>
      <c r="H1019">
        <v>660.48253057973466</v>
      </c>
      <c r="I1019">
        <v>0</v>
      </c>
      <c r="J1019">
        <v>0</v>
      </c>
      <c r="K1019">
        <v>1</v>
      </c>
      <c r="L1019" t="s">
        <v>238</v>
      </c>
      <c r="M1019">
        <v>214.44238005835541</v>
      </c>
      <c r="N1019">
        <v>1539.3899425617658</v>
      </c>
      <c r="O1019">
        <v>0</v>
      </c>
      <c r="P1019">
        <v>1</v>
      </c>
      <c r="Q1019">
        <v>0</v>
      </c>
      <c r="R1019">
        <v>1</v>
      </c>
      <c r="S1019">
        <v>0</v>
      </c>
      <c r="T1019">
        <v>1</v>
      </c>
      <c r="U1019">
        <v>0</v>
      </c>
      <c r="V1019">
        <v>3</v>
      </c>
      <c r="W1019">
        <v>0.14000000000000001</v>
      </c>
      <c r="AA1019">
        <v>0</v>
      </c>
      <c r="AC1019">
        <v>0</v>
      </c>
      <c r="AD1019">
        <v>0</v>
      </c>
      <c r="AE1019">
        <v>0</v>
      </c>
      <c r="AF1019">
        <v>1</v>
      </c>
      <c r="AG1019">
        <v>1</v>
      </c>
      <c r="AH1019">
        <v>23</v>
      </c>
      <c r="AI1019">
        <v>0</v>
      </c>
      <c r="AJ1019">
        <v>144</v>
      </c>
    </row>
    <row r="1020" spans="1:36" x14ac:dyDescent="0.2">
      <c r="A1020" t="str">
        <f>+VLOOKUP(B1020,studies!$A$2:$C$102,3)</f>
        <v>Kopp et al. (2012)</v>
      </c>
      <c r="B1020">
        <v>78</v>
      </c>
      <c r="C1020">
        <v>2012</v>
      </c>
      <c r="D1020">
        <v>1</v>
      </c>
      <c r="E1020">
        <v>2005</v>
      </c>
      <c r="F1020">
        <v>2015</v>
      </c>
      <c r="G1020">
        <v>6.9444444444444441E-3</v>
      </c>
      <c r="H1020">
        <v>210.15353245718833</v>
      </c>
      <c r="I1020">
        <v>0</v>
      </c>
      <c r="J1020">
        <v>0</v>
      </c>
      <c r="K1020">
        <v>1</v>
      </c>
      <c r="L1020" t="s">
        <v>238</v>
      </c>
      <c r="M1020">
        <v>61.269251445244407</v>
      </c>
      <c r="N1020">
        <v>1462.8033782552104</v>
      </c>
      <c r="O1020">
        <v>0</v>
      </c>
      <c r="P1020">
        <v>1</v>
      </c>
      <c r="Q1020">
        <v>0</v>
      </c>
      <c r="R1020">
        <v>1</v>
      </c>
      <c r="S1020">
        <v>0</v>
      </c>
      <c r="T1020">
        <v>1</v>
      </c>
      <c r="U1020">
        <v>0</v>
      </c>
      <c r="V1020">
        <v>3</v>
      </c>
      <c r="W1020">
        <v>0.14000000000000001</v>
      </c>
      <c r="AA1020">
        <v>0</v>
      </c>
      <c r="AC1020">
        <v>0</v>
      </c>
      <c r="AD1020">
        <v>0</v>
      </c>
      <c r="AE1020">
        <v>0</v>
      </c>
      <c r="AF1020">
        <v>1</v>
      </c>
      <c r="AG1020">
        <v>1</v>
      </c>
      <c r="AH1020">
        <v>23</v>
      </c>
      <c r="AI1020">
        <v>0</v>
      </c>
      <c r="AJ1020">
        <v>144</v>
      </c>
    </row>
    <row r="1021" spans="1:36" x14ac:dyDescent="0.2">
      <c r="A1021" t="str">
        <f>+VLOOKUP(B1021,studies!$A$2:$C$102,3)</f>
        <v>Kopp et al. (2012)</v>
      </c>
      <c r="B1021">
        <v>78</v>
      </c>
      <c r="C1021">
        <v>2012</v>
      </c>
      <c r="D1021">
        <v>1</v>
      </c>
      <c r="E1021">
        <v>2005</v>
      </c>
      <c r="F1021">
        <v>2015</v>
      </c>
      <c r="G1021">
        <v>6.9444444444444441E-3</v>
      </c>
      <c r="H1021">
        <v>150.10966604084879</v>
      </c>
      <c r="I1021">
        <v>0</v>
      </c>
      <c r="J1021">
        <v>0</v>
      </c>
      <c r="K1021">
        <v>1</v>
      </c>
      <c r="L1021" t="s">
        <v>238</v>
      </c>
      <c r="M1021">
        <v>38.293282153277758</v>
      </c>
      <c r="N1021">
        <v>1470.4620346858658</v>
      </c>
      <c r="O1021">
        <v>0</v>
      </c>
      <c r="P1021">
        <v>1</v>
      </c>
      <c r="Q1021">
        <v>0</v>
      </c>
      <c r="R1021">
        <v>1</v>
      </c>
      <c r="S1021">
        <v>0</v>
      </c>
      <c r="T1021">
        <v>1</v>
      </c>
      <c r="U1021">
        <v>0</v>
      </c>
      <c r="V1021">
        <v>3</v>
      </c>
      <c r="W1021">
        <v>0.14000000000000001</v>
      </c>
      <c r="AA1021">
        <v>0</v>
      </c>
      <c r="AC1021">
        <v>0</v>
      </c>
      <c r="AD1021">
        <v>0</v>
      </c>
      <c r="AE1021">
        <v>0</v>
      </c>
      <c r="AF1021">
        <v>1</v>
      </c>
      <c r="AG1021">
        <v>1</v>
      </c>
      <c r="AH1021">
        <v>23</v>
      </c>
      <c r="AI1021">
        <v>0</v>
      </c>
      <c r="AJ1021">
        <v>144</v>
      </c>
    </row>
    <row r="1022" spans="1:36" x14ac:dyDescent="0.2">
      <c r="A1022" t="str">
        <f>+VLOOKUP(B1022,studies!$A$2:$C$102,3)</f>
        <v>Kopp et al. (2012)</v>
      </c>
      <c r="B1022">
        <v>78</v>
      </c>
      <c r="C1022">
        <v>2012</v>
      </c>
      <c r="D1022">
        <v>1</v>
      </c>
      <c r="E1022">
        <v>2005</v>
      </c>
      <c r="F1022">
        <v>2015</v>
      </c>
      <c r="G1022">
        <v>6.9444444444444441E-3</v>
      </c>
      <c r="H1022">
        <v>300.21933208169759</v>
      </c>
      <c r="I1022">
        <v>0</v>
      </c>
      <c r="J1022">
        <v>0</v>
      </c>
      <c r="K1022">
        <v>1</v>
      </c>
      <c r="L1022" t="s">
        <v>238</v>
      </c>
      <c r="M1022">
        <v>84.245220737211056</v>
      </c>
      <c r="N1022">
        <v>2481.4046835323988</v>
      </c>
      <c r="O1022">
        <v>0</v>
      </c>
      <c r="P1022">
        <v>1</v>
      </c>
      <c r="Q1022">
        <v>0</v>
      </c>
      <c r="R1022">
        <v>1</v>
      </c>
      <c r="S1022">
        <v>0</v>
      </c>
      <c r="T1022">
        <v>1</v>
      </c>
      <c r="U1022">
        <v>0</v>
      </c>
      <c r="V1022">
        <v>3</v>
      </c>
      <c r="W1022">
        <v>0.14000000000000001</v>
      </c>
      <c r="AA1022">
        <v>0</v>
      </c>
      <c r="AC1022">
        <v>0</v>
      </c>
      <c r="AD1022">
        <v>0</v>
      </c>
      <c r="AE1022">
        <v>0</v>
      </c>
      <c r="AF1022">
        <v>1</v>
      </c>
      <c r="AG1022">
        <v>1</v>
      </c>
      <c r="AH1022">
        <v>23</v>
      </c>
      <c r="AI1022">
        <v>0</v>
      </c>
      <c r="AJ1022">
        <v>144</v>
      </c>
    </row>
    <row r="1023" spans="1:36" x14ac:dyDescent="0.2">
      <c r="A1023" t="str">
        <f>+VLOOKUP(B1023,studies!$A$2:$C$102,3)</f>
        <v>Kopp et al. (2012)</v>
      </c>
      <c r="B1023">
        <v>78</v>
      </c>
      <c r="C1023">
        <v>2012</v>
      </c>
      <c r="D1023">
        <v>1</v>
      </c>
      <c r="E1023">
        <v>2005</v>
      </c>
      <c r="F1023">
        <v>2015</v>
      </c>
      <c r="G1023">
        <v>6.9444444444444441E-3</v>
      </c>
      <c r="H1023">
        <v>195.14256585310346</v>
      </c>
      <c r="I1023">
        <v>0</v>
      </c>
      <c r="J1023">
        <v>0</v>
      </c>
      <c r="K1023">
        <v>1</v>
      </c>
      <c r="L1023" t="s">
        <v>238</v>
      </c>
      <c r="M1023">
        <v>53.610595014588867</v>
      </c>
      <c r="N1023">
        <v>2083.1545491383099</v>
      </c>
      <c r="O1023">
        <v>0</v>
      </c>
      <c r="P1023">
        <v>1</v>
      </c>
      <c r="Q1023">
        <v>0</v>
      </c>
      <c r="R1023">
        <v>1</v>
      </c>
      <c r="S1023">
        <v>0</v>
      </c>
      <c r="T1023">
        <v>1</v>
      </c>
      <c r="U1023">
        <v>0</v>
      </c>
      <c r="V1023">
        <v>3</v>
      </c>
      <c r="W1023">
        <v>0.14000000000000001</v>
      </c>
      <c r="AA1023">
        <v>0</v>
      </c>
      <c r="AC1023">
        <v>0</v>
      </c>
      <c r="AD1023">
        <v>0</v>
      </c>
      <c r="AE1023">
        <v>0</v>
      </c>
      <c r="AF1023">
        <v>1</v>
      </c>
      <c r="AG1023">
        <v>1</v>
      </c>
      <c r="AH1023">
        <v>23</v>
      </c>
      <c r="AI1023">
        <v>0</v>
      </c>
      <c r="AJ1023">
        <v>144</v>
      </c>
    </row>
    <row r="1024" spans="1:36" x14ac:dyDescent="0.2">
      <c r="A1024" t="str">
        <f>+VLOOKUP(B1024,studies!$A$2:$C$102,3)</f>
        <v>Kopp et al. (2012)</v>
      </c>
      <c r="B1024">
        <v>78</v>
      </c>
      <c r="C1024">
        <v>2012</v>
      </c>
      <c r="D1024">
        <v>1</v>
      </c>
      <c r="E1024">
        <v>2005</v>
      </c>
      <c r="F1024">
        <v>2015</v>
      </c>
      <c r="G1024">
        <v>6.9444444444444441E-3</v>
      </c>
      <c r="H1024">
        <v>120.08773283267904</v>
      </c>
      <c r="I1024">
        <v>0</v>
      </c>
      <c r="J1024">
        <v>0</v>
      </c>
      <c r="K1024">
        <v>1</v>
      </c>
      <c r="L1024" t="s">
        <v>238</v>
      </c>
      <c r="M1024">
        <v>53.61059501458886</v>
      </c>
      <c r="N1024">
        <v>2818.3855664812427</v>
      </c>
      <c r="O1024">
        <v>0</v>
      </c>
      <c r="P1024">
        <v>1</v>
      </c>
      <c r="Q1024">
        <v>0</v>
      </c>
      <c r="R1024">
        <v>1</v>
      </c>
      <c r="S1024">
        <v>0</v>
      </c>
      <c r="T1024">
        <v>1</v>
      </c>
      <c r="U1024">
        <v>0</v>
      </c>
      <c r="V1024">
        <v>3</v>
      </c>
      <c r="W1024">
        <v>0.14000000000000001</v>
      </c>
      <c r="AA1024">
        <v>0</v>
      </c>
      <c r="AC1024">
        <v>0</v>
      </c>
      <c r="AD1024">
        <v>0</v>
      </c>
      <c r="AE1024">
        <v>0</v>
      </c>
      <c r="AF1024">
        <v>1</v>
      </c>
      <c r="AG1024">
        <v>1</v>
      </c>
      <c r="AH1024">
        <v>23</v>
      </c>
      <c r="AI1024">
        <v>0</v>
      </c>
      <c r="AJ1024">
        <v>144</v>
      </c>
    </row>
    <row r="1025" spans="1:36" x14ac:dyDescent="0.2">
      <c r="A1025" t="str">
        <f>+VLOOKUP(B1025,studies!$A$2:$C$102,3)</f>
        <v>Kopp et al. (2012)</v>
      </c>
      <c r="B1025">
        <v>78</v>
      </c>
      <c r="C1025">
        <v>2012</v>
      </c>
      <c r="D1025">
        <v>1</v>
      </c>
      <c r="E1025">
        <v>2005</v>
      </c>
      <c r="F1025">
        <v>2015</v>
      </c>
      <c r="G1025">
        <v>6.9444444444444441E-3</v>
      </c>
      <c r="H1025">
        <v>90.065799624509282</v>
      </c>
      <c r="I1025">
        <v>0</v>
      </c>
      <c r="J1025">
        <v>0</v>
      </c>
      <c r="K1025">
        <v>1</v>
      </c>
      <c r="L1025" t="s">
        <v>238</v>
      </c>
      <c r="M1025">
        <v>38.293282153277758</v>
      </c>
      <c r="N1025">
        <v>2626.9191557148538</v>
      </c>
      <c r="O1025">
        <v>0</v>
      </c>
      <c r="P1025">
        <v>1</v>
      </c>
      <c r="Q1025">
        <v>0</v>
      </c>
      <c r="R1025">
        <v>1</v>
      </c>
      <c r="S1025">
        <v>0</v>
      </c>
      <c r="T1025">
        <v>1</v>
      </c>
      <c r="U1025">
        <v>0</v>
      </c>
      <c r="V1025">
        <v>3</v>
      </c>
      <c r="W1025">
        <v>0.14000000000000001</v>
      </c>
      <c r="AA1025">
        <v>0</v>
      </c>
      <c r="AC1025">
        <v>0</v>
      </c>
      <c r="AD1025">
        <v>0</v>
      </c>
      <c r="AE1025">
        <v>0</v>
      </c>
      <c r="AF1025">
        <v>1</v>
      </c>
      <c r="AG1025">
        <v>1</v>
      </c>
      <c r="AH1025">
        <v>23</v>
      </c>
      <c r="AI1025">
        <v>0</v>
      </c>
      <c r="AJ1025">
        <v>144</v>
      </c>
    </row>
    <row r="1026" spans="1:36" x14ac:dyDescent="0.2">
      <c r="A1026" t="str">
        <f>+VLOOKUP(B1026,studies!$A$2:$C$102,3)</f>
        <v>Kopp et al. (2012)</v>
      </c>
      <c r="B1026">
        <v>78</v>
      </c>
      <c r="C1026">
        <v>2012</v>
      </c>
      <c r="D1026">
        <v>1</v>
      </c>
      <c r="E1026">
        <v>2005</v>
      </c>
      <c r="F1026">
        <v>2015</v>
      </c>
      <c r="G1026">
        <v>6.9444444444444441E-3</v>
      </c>
      <c r="H1026">
        <v>120.08773283267904</v>
      </c>
      <c r="I1026">
        <v>0</v>
      </c>
      <c r="J1026">
        <v>0</v>
      </c>
      <c r="K1026">
        <v>1</v>
      </c>
      <c r="L1026" t="s">
        <v>238</v>
      </c>
      <c r="M1026">
        <v>53.61059501458886</v>
      </c>
      <c r="N1026">
        <v>3500.0059888095871</v>
      </c>
      <c r="O1026">
        <v>0</v>
      </c>
      <c r="P1026">
        <v>1</v>
      </c>
      <c r="Q1026">
        <v>0</v>
      </c>
      <c r="R1026">
        <v>1</v>
      </c>
      <c r="S1026">
        <v>0</v>
      </c>
      <c r="T1026">
        <v>1</v>
      </c>
      <c r="U1026">
        <v>0</v>
      </c>
      <c r="V1026">
        <v>3</v>
      </c>
      <c r="W1026">
        <v>0.14000000000000001</v>
      </c>
      <c r="AA1026">
        <v>0</v>
      </c>
      <c r="AC1026">
        <v>0</v>
      </c>
      <c r="AD1026">
        <v>0</v>
      </c>
      <c r="AE1026">
        <v>0</v>
      </c>
      <c r="AF1026">
        <v>1</v>
      </c>
      <c r="AG1026">
        <v>1</v>
      </c>
      <c r="AH1026">
        <v>23</v>
      </c>
      <c r="AI1026">
        <v>0</v>
      </c>
      <c r="AJ1026">
        <v>144</v>
      </c>
    </row>
    <row r="1027" spans="1:36" x14ac:dyDescent="0.2">
      <c r="A1027" t="str">
        <f>+VLOOKUP(B1027,studies!$A$2:$C$102,3)</f>
        <v>Kopp et al. (2012)</v>
      </c>
      <c r="B1027">
        <v>78</v>
      </c>
      <c r="C1027">
        <v>2012</v>
      </c>
      <c r="D1027">
        <v>1</v>
      </c>
      <c r="E1027">
        <v>2005</v>
      </c>
      <c r="F1027">
        <v>2015</v>
      </c>
      <c r="G1027">
        <v>6.9444444444444441E-3</v>
      </c>
      <c r="H1027">
        <v>120.08773283267904</v>
      </c>
      <c r="I1027">
        <v>0</v>
      </c>
      <c r="J1027">
        <v>0</v>
      </c>
      <c r="K1027">
        <v>1</v>
      </c>
      <c r="L1027" t="s">
        <v>238</v>
      </c>
      <c r="M1027">
        <v>53.61059501458886</v>
      </c>
      <c r="N1027">
        <v>3392.7847987804093</v>
      </c>
      <c r="O1027">
        <v>0</v>
      </c>
      <c r="P1027">
        <v>1</v>
      </c>
      <c r="Q1027">
        <v>0</v>
      </c>
      <c r="R1027">
        <v>1</v>
      </c>
      <c r="S1027">
        <v>0</v>
      </c>
      <c r="T1027">
        <v>1</v>
      </c>
      <c r="U1027">
        <v>0</v>
      </c>
      <c r="V1027">
        <v>3</v>
      </c>
      <c r="W1027">
        <v>0.14000000000000001</v>
      </c>
      <c r="AA1027">
        <v>0</v>
      </c>
      <c r="AC1027">
        <v>0</v>
      </c>
      <c r="AD1027">
        <v>0</v>
      </c>
      <c r="AE1027">
        <v>0</v>
      </c>
      <c r="AF1027">
        <v>1</v>
      </c>
      <c r="AG1027">
        <v>1</v>
      </c>
      <c r="AH1027">
        <v>23</v>
      </c>
      <c r="AI1027">
        <v>0</v>
      </c>
      <c r="AJ1027">
        <v>144</v>
      </c>
    </row>
    <row r="1028" spans="1:36" x14ac:dyDescent="0.2">
      <c r="A1028" t="str">
        <f>+VLOOKUP(B1028,studies!$A$2:$C$102,3)</f>
        <v>Kopp et al. (2012)</v>
      </c>
      <c r="B1028">
        <v>78</v>
      </c>
      <c r="C1028">
        <v>2012</v>
      </c>
      <c r="D1028">
        <v>1</v>
      </c>
      <c r="E1028">
        <v>2005</v>
      </c>
      <c r="F1028">
        <v>2015</v>
      </c>
      <c r="G1028">
        <v>6.9444444444444441E-3</v>
      </c>
      <c r="H1028">
        <v>720.52639699607425</v>
      </c>
      <c r="I1028">
        <v>0</v>
      </c>
      <c r="J1028">
        <v>0</v>
      </c>
      <c r="K1028">
        <v>1</v>
      </c>
      <c r="L1028" t="s">
        <v>238</v>
      </c>
      <c r="M1028">
        <v>206.78372362769989</v>
      </c>
      <c r="N1028">
        <v>735.23101734293289</v>
      </c>
      <c r="O1028">
        <v>0</v>
      </c>
      <c r="P1028">
        <v>1</v>
      </c>
      <c r="Q1028">
        <v>0</v>
      </c>
      <c r="R1028">
        <v>1</v>
      </c>
      <c r="S1028">
        <v>0</v>
      </c>
      <c r="T1028">
        <v>1</v>
      </c>
      <c r="U1028">
        <v>0</v>
      </c>
      <c r="V1028">
        <v>3</v>
      </c>
      <c r="W1028">
        <v>-1.1000000000000001</v>
      </c>
      <c r="AA1028">
        <v>0</v>
      </c>
      <c r="AC1028">
        <v>0</v>
      </c>
      <c r="AD1028">
        <v>0</v>
      </c>
      <c r="AE1028">
        <v>0</v>
      </c>
      <c r="AF1028">
        <v>1</v>
      </c>
      <c r="AG1028">
        <v>1</v>
      </c>
      <c r="AH1028">
        <v>23</v>
      </c>
      <c r="AI1028">
        <v>0</v>
      </c>
      <c r="AJ1028">
        <v>144</v>
      </c>
    </row>
    <row r="1029" spans="1:36" x14ac:dyDescent="0.2">
      <c r="A1029" t="str">
        <f>+VLOOKUP(B1029,studies!$A$2:$C$102,3)</f>
        <v>Kopp et al. (2012)</v>
      </c>
      <c r="B1029">
        <v>78</v>
      </c>
      <c r="C1029">
        <v>2012</v>
      </c>
      <c r="D1029">
        <v>1</v>
      </c>
      <c r="E1029">
        <v>2005</v>
      </c>
      <c r="F1029">
        <v>2015</v>
      </c>
      <c r="G1029">
        <v>6.9444444444444441E-3</v>
      </c>
      <c r="H1029">
        <v>735.53736360015921</v>
      </c>
      <c r="I1029">
        <v>0</v>
      </c>
      <c r="J1029">
        <v>0</v>
      </c>
      <c r="K1029">
        <v>1</v>
      </c>
      <c r="L1029" t="s">
        <v>238</v>
      </c>
      <c r="M1029">
        <v>214.44238005835544</v>
      </c>
      <c r="N1029">
        <v>788.84161235752163</v>
      </c>
      <c r="O1029">
        <v>0</v>
      </c>
      <c r="P1029">
        <v>1</v>
      </c>
      <c r="Q1029">
        <v>0</v>
      </c>
      <c r="R1029">
        <v>1</v>
      </c>
      <c r="S1029">
        <v>0</v>
      </c>
      <c r="T1029">
        <v>1</v>
      </c>
      <c r="U1029">
        <v>0</v>
      </c>
      <c r="V1029">
        <v>3</v>
      </c>
      <c r="W1029">
        <v>-1.1000000000000001</v>
      </c>
      <c r="AA1029">
        <v>0</v>
      </c>
      <c r="AC1029">
        <v>0</v>
      </c>
      <c r="AD1029">
        <v>0</v>
      </c>
      <c r="AE1029">
        <v>0</v>
      </c>
      <c r="AF1029">
        <v>1</v>
      </c>
      <c r="AG1029">
        <v>1</v>
      </c>
      <c r="AH1029">
        <v>23</v>
      </c>
      <c r="AI1029">
        <v>0</v>
      </c>
      <c r="AJ1029">
        <v>144</v>
      </c>
    </row>
    <row r="1030" spans="1:36" x14ac:dyDescent="0.2">
      <c r="A1030" t="str">
        <f>+VLOOKUP(B1030,studies!$A$2:$C$102,3)</f>
        <v>Kopp et al. (2012)</v>
      </c>
      <c r="B1030">
        <v>78</v>
      </c>
      <c r="C1030">
        <v>2012</v>
      </c>
      <c r="D1030">
        <v>1</v>
      </c>
      <c r="E1030">
        <v>2005</v>
      </c>
      <c r="F1030">
        <v>2015</v>
      </c>
      <c r="G1030">
        <v>6.9444444444444441E-3</v>
      </c>
      <c r="H1030">
        <v>630.46059737156497</v>
      </c>
      <c r="I1030">
        <v>0</v>
      </c>
      <c r="J1030">
        <v>0</v>
      </c>
      <c r="K1030">
        <v>1</v>
      </c>
      <c r="L1030" t="s">
        <v>238</v>
      </c>
      <c r="M1030">
        <v>191.4664107663888</v>
      </c>
      <c r="N1030">
        <v>650.98579660572193</v>
      </c>
      <c r="O1030">
        <v>0</v>
      </c>
      <c r="P1030">
        <v>1</v>
      </c>
      <c r="Q1030">
        <v>0</v>
      </c>
      <c r="R1030">
        <v>1</v>
      </c>
      <c r="S1030">
        <v>0</v>
      </c>
      <c r="T1030">
        <v>1</v>
      </c>
      <c r="U1030">
        <v>0</v>
      </c>
      <c r="V1030">
        <v>3</v>
      </c>
      <c r="W1030">
        <v>-1.1000000000000001</v>
      </c>
      <c r="AA1030">
        <v>0</v>
      </c>
      <c r="AC1030">
        <v>0</v>
      </c>
      <c r="AD1030">
        <v>0</v>
      </c>
      <c r="AE1030">
        <v>0</v>
      </c>
      <c r="AF1030">
        <v>1</v>
      </c>
      <c r="AG1030">
        <v>1</v>
      </c>
      <c r="AH1030">
        <v>23</v>
      </c>
      <c r="AI1030">
        <v>0</v>
      </c>
      <c r="AJ1030">
        <v>144</v>
      </c>
    </row>
    <row r="1031" spans="1:36" x14ac:dyDescent="0.2">
      <c r="A1031" t="str">
        <f>+VLOOKUP(B1031,studies!$A$2:$C$102,3)</f>
        <v>Kopp et al. (2012)</v>
      </c>
      <c r="B1031">
        <v>78</v>
      </c>
      <c r="C1031">
        <v>2012</v>
      </c>
      <c r="D1031">
        <v>1</v>
      </c>
      <c r="E1031">
        <v>2005</v>
      </c>
      <c r="F1031">
        <v>2015</v>
      </c>
      <c r="G1031">
        <v>6.9444444444444441E-3</v>
      </c>
      <c r="H1031">
        <v>1621.1843932411671</v>
      </c>
      <c r="I1031">
        <v>0</v>
      </c>
      <c r="J1031">
        <v>0</v>
      </c>
      <c r="K1031">
        <v>1</v>
      </c>
      <c r="L1031" t="s">
        <v>238</v>
      </c>
      <c r="M1031">
        <v>497.81266799261078</v>
      </c>
      <c r="N1031">
        <v>2060.1785798463434</v>
      </c>
      <c r="O1031">
        <v>0</v>
      </c>
      <c r="P1031">
        <v>1</v>
      </c>
      <c r="Q1031">
        <v>0</v>
      </c>
      <c r="R1031">
        <v>1</v>
      </c>
      <c r="S1031">
        <v>0</v>
      </c>
      <c r="T1031">
        <v>1</v>
      </c>
      <c r="U1031">
        <v>0</v>
      </c>
      <c r="V1031">
        <v>3</v>
      </c>
      <c r="W1031">
        <v>-1.1000000000000001</v>
      </c>
      <c r="AA1031">
        <v>0</v>
      </c>
      <c r="AC1031">
        <v>0</v>
      </c>
      <c r="AD1031">
        <v>0</v>
      </c>
      <c r="AE1031">
        <v>0</v>
      </c>
      <c r="AF1031">
        <v>1</v>
      </c>
      <c r="AG1031">
        <v>1</v>
      </c>
      <c r="AH1031">
        <v>23</v>
      </c>
      <c r="AI1031">
        <v>0</v>
      </c>
      <c r="AJ1031">
        <v>144</v>
      </c>
    </row>
    <row r="1032" spans="1:36" x14ac:dyDescent="0.2">
      <c r="A1032" t="str">
        <f>+VLOOKUP(B1032,studies!$A$2:$C$102,3)</f>
        <v>Kopp et al. (2012)</v>
      </c>
      <c r="B1032">
        <v>78</v>
      </c>
      <c r="C1032">
        <v>2012</v>
      </c>
      <c r="D1032">
        <v>1</v>
      </c>
      <c r="E1032">
        <v>2005</v>
      </c>
      <c r="F1032">
        <v>2015</v>
      </c>
      <c r="G1032">
        <v>6.9444444444444441E-3</v>
      </c>
      <c r="H1032">
        <v>1621.1843932411671</v>
      </c>
      <c r="I1032">
        <v>0</v>
      </c>
      <c r="J1032">
        <v>0</v>
      </c>
      <c r="K1032">
        <v>1</v>
      </c>
      <c r="L1032" t="s">
        <v>238</v>
      </c>
      <c r="M1032">
        <v>497.81266799261078</v>
      </c>
      <c r="N1032">
        <v>2060.1785798463434</v>
      </c>
      <c r="O1032">
        <v>0</v>
      </c>
      <c r="P1032">
        <v>1</v>
      </c>
      <c r="Q1032">
        <v>0</v>
      </c>
      <c r="R1032">
        <v>1</v>
      </c>
      <c r="S1032">
        <v>0</v>
      </c>
      <c r="T1032">
        <v>1</v>
      </c>
      <c r="U1032">
        <v>0</v>
      </c>
      <c r="V1032">
        <v>3</v>
      </c>
      <c r="W1032">
        <v>-1.1000000000000001</v>
      </c>
      <c r="AA1032">
        <v>0</v>
      </c>
      <c r="AC1032">
        <v>0</v>
      </c>
      <c r="AD1032">
        <v>0</v>
      </c>
      <c r="AE1032">
        <v>0</v>
      </c>
      <c r="AF1032">
        <v>1</v>
      </c>
      <c r="AG1032">
        <v>1</v>
      </c>
      <c r="AH1032">
        <v>23</v>
      </c>
      <c r="AI1032">
        <v>0</v>
      </c>
      <c r="AJ1032">
        <v>144</v>
      </c>
    </row>
    <row r="1033" spans="1:36" x14ac:dyDescent="0.2">
      <c r="A1033" t="str">
        <f>+VLOOKUP(B1033,studies!$A$2:$C$102,3)</f>
        <v>Kopp et al. (2012)</v>
      </c>
      <c r="B1033">
        <v>78</v>
      </c>
      <c r="C1033">
        <v>2012</v>
      </c>
      <c r="D1033">
        <v>1</v>
      </c>
      <c r="E1033">
        <v>2005</v>
      </c>
      <c r="F1033">
        <v>2015</v>
      </c>
      <c r="G1033">
        <v>6.9444444444444441E-3</v>
      </c>
      <c r="H1033">
        <v>3422.5003857313527</v>
      </c>
      <c r="I1033">
        <v>0</v>
      </c>
      <c r="J1033">
        <v>0</v>
      </c>
      <c r="K1033">
        <v>1</v>
      </c>
      <c r="L1033" t="s">
        <v>238</v>
      </c>
      <c r="M1033">
        <v>1110.505182445055</v>
      </c>
      <c r="N1033">
        <v>5070.0305570939754</v>
      </c>
      <c r="O1033">
        <v>0</v>
      </c>
      <c r="P1033">
        <v>1</v>
      </c>
      <c r="Q1033">
        <v>0</v>
      </c>
      <c r="R1033">
        <v>1</v>
      </c>
      <c r="S1033">
        <v>0</v>
      </c>
      <c r="T1033">
        <v>1</v>
      </c>
      <c r="U1033">
        <v>0</v>
      </c>
      <c r="V1033">
        <v>3</v>
      </c>
      <c r="W1033">
        <v>-1.1000000000000001</v>
      </c>
      <c r="AA1033">
        <v>0</v>
      </c>
      <c r="AC1033">
        <v>0</v>
      </c>
      <c r="AD1033">
        <v>0</v>
      </c>
      <c r="AE1033">
        <v>0</v>
      </c>
      <c r="AF1033">
        <v>1</v>
      </c>
      <c r="AG1033">
        <v>1</v>
      </c>
      <c r="AH1033">
        <v>23</v>
      </c>
      <c r="AI1033">
        <v>0</v>
      </c>
      <c r="AJ1033">
        <v>144</v>
      </c>
    </row>
    <row r="1034" spans="1:36" x14ac:dyDescent="0.2">
      <c r="A1034" t="str">
        <f>+VLOOKUP(B1034,studies!$A$2:$C$102,3)</f>
        <v>Kopp et al. (2012)</v>
      </c>
      <c r="B1034">
        <v>78</v>
      </c>
      <c r="C1034">
        <v>2012</v>
      </c>
      <c r="D1034">
        <v>1</v>
      </c>
      <c r="E1034">
        <v>2005</v>
      </c>
      <c r="F1034">
        <v>2015</v>
      </c>
      <c r="G1034">
        <v>6.9444444444444441E-3</v>
      </c>
      <c r="H1034">
        <v>480.35093133071615</v>
      </c>
      <c r="I1034">
        <v>0</v>
      </c>
      <c r="J1034">
        <v>0</v>
      </c>
      <c r="K1034">
        <v>1</v>
      </c>
      <c r="L1034" t="s">
        <v>238</v>
      </c>
      <c r="M1034">
        <v>130.19715932114437</v>
      </c>
      <c r="N1034">
        <v>359.95685224081097</v>
      </c>
      <c r="O1034">
        <v>0</v>
      </c>
      <c r="P1034">
        <v>1</v>
      </c>
      <c r="Q1034">
        <v>0</v>
      </c>
      <c r="R1034">
        <v>1</v>
      </c>
      <c r="S1034">
        <v>0</v>
      </c>
      <c r="T1034">
        <v>1</v>
      </c>
      <c r="U1034">
        <v>0</v>
      </c>
      <c r="V1034">
        <v>3</v>
      </c>
      <c r="W1034">
        <v>-1.1000000000000001</v>
      </c>
      <c r="AA1034">
        <v>0</v>
      </c>
      <c r="AC1034">
        <v>0</v>
      </c>
      <c r="AD1034">
        <v>0</v>
      </c>
      <c r="AE1034">
        <v>0</v>
      </c>
      <c r="AF1034">
        <v>1</v>
      </c>
      <c r="AG1034">
        <v>1</v>
      </c>
      <c r="AH1034">
        <v>23</v>
      </c>
      <c r="AI1034">
        <v>0</v>
      </c>
      <c r="AJ1034">
        <v>144</v>
      </c>
    </row>
    <row r="1035" spans="1:36" x14ac:dyDescent="0.2">
      <c r="A1035" t="str">
        <f>+VLOOKUP(B1035,studies!$A$2:$C$102,3)</f>
        <v>Kopp et al. (2012)</v>
      </c>
      <c r="B1035">
        <v>78</v>
      </c>
      <c r="C1035">
        <v>2012</v>
      </c>
      <c r="D1035">
        <v>1</v>
      </c>
      <c r="E1035">
        <v>2005</v>
      </c>
      <c r="F1035">
        <v>2015</v>
      </c>
      <c r="G1035">
        <v>6.9444444444444441E-3</v>
      </c>
      <c r="H1035">
        <v>720.52639699607425</v>
      </c>
      <c r="I1035">
        <v>0</v>
      </c>
      <c r="J1035">
        <v>0</v>
      </c>
      <c r="K1035">
        <v>1</v>
      </c>
      <c r="L1035" t="s">
        <v>238</v>
      </c>
      <c r="M1035">
        <v>206.78372362769989</v>
      </c>
      <c r="N1035">
        <v>934.35608453997725</v>
      </c>
      <c r="O1035">
        <v>0</v>
      </c>
      <c r="P1035">
        <v>1</v>
      </c>
      <c r="Q1035">
        <v>0</v>
      </c>
      <c r="R1035">
        <v>1</v>
      </c>
      <c r="S1035">
        <v>0</v>
      </c>
      <c r="T1035">
        <v>1</v>
      </c>
      <c r="U1035">
        <v>0</v>
      </c>
      <c r="V1035">
        <v>3</v>
      </c>
      <c r="W1035">
        <v>-1.1000000000000001</v>
      </c>
      <c r="AA1035">
        <v>0</v>
      </c>
      <c r="AC1035">
        <v>0</v>
      </c>
      <c r="AD1035">
        <v>0</v>
      </c>
      <c r="AE1035">
        <v>0</v>
      </c>
      <c r="AF1035">
        <v>1</v>
      </c>
      <c r="AG1035">
        <v>1</v>
      </c>
      <c r="AH1035">
        <v>23</v>
      </c>
      <c r="AI1035">
        <v>0</v>
      </c>
      <c r="AJ1035">
        <v>144</v>
      </c>
    </row>
    <row r="1036" spans="1:36" x14ac:dyDescent="0.2">
      <c r="A1036" t="str">
        <f>+VLOOKUP(B1036,studies!$A$2:$C$102,3)</f>
        <v>Kopp et al. (2012)</v>
      </c>
      <c r="B1036">
        <v>78</v>
      </c>
      <c r="C1036">
        <v>2012</v>
      </c>
      <c r="D1036">
        <v>1</v>
      </c>
      <c r="E1036">
        <v>2005</v>
      </c>
      <c r="F1036">
        <v>2015</v>
      </c>
      <c r="G1036">
        <v>6.9444444444444441E-3</v>
      </c>
      <c r="H1036">
        <v>720.52639699607425</v>
      </c>
      <c r="I1036">
        <v>0</v>
      </c>
      <c r="J1036">
        <v>0</v>
      </c>
      <c r="K1036">
        <v>1</v>
      </c>
      <c r="L1036" t="s">
        <v>238</v>
      </c>
      <c r="M1036">
        <v>206.78372362769989</v>
      </c>
      <c r="N1036">
        <v>735.23101734293289</v>
      </c>
      <c r="O1036">
        <v>0</v>
      </c>
      <c r="P1036">
        <v>1</v>
      </c>
      <c r="Q1036">
        <v>0</v>
      </c>
      <c r="R1036">
        <v>1</v>
      </c>
      <c r="S1036">
        <v>0</v>
      </c>
      <c r="T1036">
        <v>1</v>
      </c>
      <c r="U1036">
        <v>0</v>
      </c>
      <c r="V1036">
        <v>3</v>
      </c>
      <c r="W1036">
        <v>-1.1000000000000001</v>
      </c>
      <c r="AA1036">
        <v>0</v>
      </c>
      <c r="AC1036">
        <v>0</v>
      </c>
      <c r="AD1036">
        <v>0</v>
      </c>
      <c r="AE1036">
        <v>0</v>
      </c>
      <c r="AF1036">
        <v>1</v>
      </c>
      <c r="AG1036">
        <v>1</v>
      </c>
      <c r="AH1036">
        <v>23</v>
      </c>
      <c r="AI1036">
        <v>0</v>
      </c>
      <c r="AJ1036">
        <v>144</v>
      </c>
    </row>
    <row r="1037" spans="1:36" x14ac:dyDescent="0.2">
      <c r="A1037" t="str">
        <f>+VLOOKUP(B1037,studies!$A$2:$C$102,3)</f>
        <v>Kopp et al. (2012)</v>
      </c>
      <c r="B1037">
        <v>78</v>
      </c>
      <c r="C1037">
        <v>2012</v>
      </c>
      <c r="D1037">
        <v>1</v>
      </c>
      <c r="E1037">
        <v>2005</v>
      </c>
      <c r="F1037">
        <v>2015</v>
      </c>
      <c r="G1037">
        <v>6.9444444444444441E-3</v>
      </c>
      <c r="H1037">
        <v>825.60316322466838</v>
      </c>
      <c r="I1037">
        <v>0</v>
      </c>
      <c r="J1037">
        <v>0</v>
      </c>
      <c r="K1037">
        <v>1</v>
      </c>
      <c r="L1037" t="s">
        <v>238</v>
      </c>
      <c r="M1037">
        <v>275.71163150359985</v>
      </c>
      <c r="N1037">
        <v>2404.818119225843</v>
      </c>
      <c r="O1037">
        <v>0</v>
      </c>
      <c r="P1037">
        <v>1</v>
      </c>
      <c r="Q1037">
        <v>0</v>
      </c>
      <c r="R1037">
        <v>1</v>
      </c>
      <c r="S1037">
        <v>0</v>
      </c>
      <c r="T1037">
        <v>1</v>
      </c>
      <c r="U1037">
        <v>0</v>
      </c>
      <c r="V1037">
        <v>3</v>
      </c>
      <c r="W1037">
        <v>-1.1000000000000001</v>
      </c>
      <c r="AA1037">
        <v>0</v>
      </c>
      <c r="AC1037">
        <v>0</v>
      </c>
      <c r="AD1037">
        <v>0</v>
      </c>
      <c r="AE1037">
        <v>0</v>
      </c>
      <c r="AF1037">
        <v>1</v>
      </c>
      <c r="AG1037">
        <v>1</v>
      </c>
      <c r="AH1037">
        <v>23</v>
      </c>
      <c r="AI1037">
        <v>0</v>
      </c>
      <c r="AJ1037">
        <v>144</v>
      </c>
    </row>
    <row r="1038" spans="1:36" x14ac:dyDescent="0.2">
      <c r="A1038" t="str">
        <f>+VLOOKUP(B1038,studies!$A$2:$C$102,3)</f>
        <v>Kopp et al. (2012)</v>
      </c>
      <c r="B1038">
        <v>78</v>
      </c>
      <c r="C1038">
        <v>2012</v>
      </c>
      <c r="D1038">
        <v>1</v>
      </c>
      <c r="E1038">
        <v>2005</v>
      </c>
      <c r="F1038">
        <v>2015</v>
      </c>
      <c r="G1038">
        <v>6.9444444444444441E-3</v>
      </c>
      <c r="H1038">
        <v>255.18643226944297</v>
      </c>
      <c r="I1038">
        <v>0</v>
      </c>
      <c r="J1038">
        <v>0</v>
      </c>
      <c r="K1038">
        <v>1</v>
      </c>
      <c r="L1038" t="s">
        <v>238</v>
      </c>
      <c r="M1038">
        <v>76.58656430655553</v>
      </c>
      <c r="N1038">
        <v>1998.9093284010987</v>
      </c>
      <c r="O1038">
        <v>0</v>
      </c>
      <c r="P1038">
        <v>1</v>
      </c>
      <c r="Q1038">
        <v>0</v>
      </c>
      <c r="R1038">
        <v>1</v>
      </c>
      <c r="S1038">
        <v>0</v>
      </c>
      <c r="T1038">
        <v>1</v>
      </c>
      <c r="U1038">
        <v>0</v>
      </c>
      <c r="V1038">
        <v>3</v>
      </c>
      <c r="W1038">
        <v>-1.1000000000000001</v>
      </c>
      <c r="AA1038">
        <v>0</v>
      </c>
      <c r="AC1038">
        <v>0</v>
      </c>
      <c r="AD1038">
        <v>0</v>
      </c>
      <c r="AE1038">
        <v>0</v>
      </c>
      <c r="AF1038">
        <v>1</v>
      </c>
      <c r="AG1038">
        <v>1</v>
      </c>
      <c r="AH1038">
        <v>23</v>
      </c>
      <c r="AI1038">
        <v>0</v>
      </c>
      <c r="AJ1038">
        <v>144</v>
      </c>
    </row>
    <row r="1039" spans="1:36" x14ac:dyDescent="0.2">
      <c r="A1039" t="str">
        <f>+VLOOKUP(B1039,studies!$A$2:$C$102,3)</f>
        <v>Kopp et al. (2012)</v>
      </c>
      <c r="B1039">
        <v>78</v>
      </c>
      <c r="C1039">
        <v>2012</v>
      </c>
      <c r="D1039">
        <v>1</v>
      </c>
      <c r="E1039">
        <v>2005</v>
      </c>
      <c r="F1039">
        <v>2015</v>
      </c>
      <c r="G1039">
        <v>6.9444444444444441E-3</v>
      </c>
      <c r="H1039">
        <v>165.12063264493366</v>
      </c>
      <c r="I1039">
        <v>0</v>
      </c>
      <c r="J1039">
        <v>0</v>
      </c>
      <c r="K1039">
        <v>1</v>
      </c>
      <c r="L1039" t="s">
        <v>238</v>
      </c>
      <c r="M1039">
        <v>45.951938583933298</v>
      </c>
      <c r="N1039">
        <v>2014.2266412624101</v>
      </c>
      <c r="O1039">
        <v>0</v>
      </c>
      <c r="P1039">
        <v>1</v>
      </c>
      <c r="Q1039">
        <v>0</v>
      </c>
      <c r="R1039">
        <v>1</v>
      </c>
      <c r="S1039">
        <v>0</v>
      </c>
      <c r="T1039">
        <v>1</v>
      </c>
      <c r="U1039">
        <v>0</v>
      </c>
      <c r="V1039">
        <v>3</v>
      </c>
      <c r="W1039">
        <v>-1.1000000000000001</v>
      </c>
      <c r="AA1039">
        <v>0</v>
      </c>
      <c r="AC1039">
        <v>0</v>
      </c>
      <c r="AD1039">
        <v>0</v>
      </c>
      <c r="AE1039">
        <v>0</v>
      </c>
      <c r="AF1039">
        <v>1</v>
      </c>
      <c r="AG1039">
        <v>1</v>
      </c>
      <c r="AH1039">
        <v>23</v>
      </c>
      <c r="AI1039">
        <v>0</v>
      </c>
      <c r="AJ1039">
        <v>144</v>
      </c>
    </row>
    <row r="1040" spans="1:36" x14ac:dyDescent="0.2">
      <c r="A1040" t="str">
        <f>+VLOOKUP(B1040,studies!$A$2:$C$102,3)</f>
        <v>Kopp et al. (2012)</v>
      </c>
      <c r="B1040">
        <v>78</v>
      </c>
      <c r="C1040">
        <v>2012</v>
      </c>
      <c r="D1040">
        <v>1</v>
      </c>
      <c r="E1040">
        <v>2005</v>
      </c>
      <c r="F1040">
        <v>2015</v>
      </c>
      <c r="G1040">
        <v>6.9444444444444441E-3</v>
      </c>
      <c r="H1040">
        <v>390.28513170620693</v>
      </c>
      <c r="I1040">
        <v>0</v>
      </c>
      <c r="J1040">
        <v>0</v>
      </c>
      <c r="K1040">
        <v>1</v>
      </c>
      <c r="L1040" t="s">
        <v>238</v>
      </c>
      <c r="M1040">
        <v>114.87984645983329</v>
      </c>
      <c r="N1040">
        <v>3637.8618045613871</v>
      </c>
      <c r="O1040">
        <v>0</v>
      </c>
      <c r="P1040">
        <v>1</v>
      </c>
      <c r="Q1040">
        <v>0</v>
      </c>
      <c r="R1040">
        <v>1</v>
      </c>
      <c r="S1040">
        <v>0</v>
      </c>
      <c r="T1040">
        <v>1</v>
      </c>
      <c r="U1040">
        <v>0</v>
      </c>
      <c r="V1040">
        <v>3</v>
      </c>
      <c r="W1040">
        <v>-1.1000000000000001</v>
      </c>
      <c r="AA1040">
        <v>0</v>
      </c>
      <c r="AC1040">
        <v>0</v>
      </c>
      <c r="AD1040">
        <v>0</v>
      </c>
      <c r="AE1040">
        <v>0</v>
      </c>
      <c r="AF1040">
        <v>1</v>
      </c>
      <c r="AG1040">
        <v>1</v>
      </c>
      <c r="AH1040">
        <v>23</v>
      </c>
      <c r="AI1040">
        <v>0</v>
      </c>
      <c r="AJ1040">
        <v>144</v>
      </c>
    </row>
    <row r="1041" spans="1:36" x14ac:dyDescent="0.2">
      <c r="A1041" t="str">
        <f>+VLOOKUP(B1041,studies!$A$2:$C$102,3)</f>
        <v>Kopp et al. (2012)</v>
      </c>
      <c r="B1041">
        <v>78</v>
      </c>
      <c r="C1041">
        <v>2012</v>
      </c>
      <c r="D1041">
        <v>1</v>
      </c>
      <c r="E1041">
        <v>2005</v>
      </c>
      <c r="F1041">
        <v>2015</v>
      </c>
      <c r="G1041">
        <v>6.9444444444444441E-3</v>
      </c>
      <c r="H1041">
        <v>390.28513170620693</v>
      </c>
      <c r="I1041">
        <v>0</v>
      </c>
      <c r="J1041">
        <v>0</v>
      </c>
      <c r="K1041">
        <v>1</v>
      </c>
      <c r="L1041" t="s">
        <v>238</v>
      </c>
      <c r="M1041">
        <v>114.87984645983329</v>
      </c>
      <c r="N1041">
        <v>3637.8618045613871</v>
      </c>
      <c r="O1041">
        <v>0</v>
      </c>
      <c r="P1041">
        <v>1</v>
      </c>
      <c r="Q1041">
        <v>0</v>
      </c>
      <c r="R1041">
        <v>1</v>
      </c>
      <c r="S1041">
        <v>0</v>
      </c>
      <c r="T1041">
        <v>1</v>
      </c>
      <c r="U1041">
        <v>0</v>
      </c>
      <c r="V1041">
        <v>3</v>
      </c>
      <c r="W1041">
        <v>-1.1000000000000001</v>
      </c>
      <c r="AA1041">
        <v>0</v>
      </c>
      <c r="AC1041">
        <v>0</v>
      </c>
      <c r="AD1041">
        <v>0</v>
      </c>
      <c r="AE1041">
        <v>0</v>
      </c>
      <c r="AF1041">
        <v>1</v>
      </c>
      <c r="AG1041">
        <v>1</v>
      </c>
      <c r="AH1041">
        <v>23</v>
      </c>
      <c r="AI1041">
        <v>0</v>
      </c>
      <c r="AJ1041">
        <v>144</v>
      </c>
    </row>
    <row r="1042" spans="1:36" x14ac:dyDescent="0.2">
      <c r="A1042" t="str">
        <f>+VLOOKUP(B1042,studies!$A$2:$C$102,3)</f>
        <v>Kopp et al. (2012)</v>
      </c>
      <c r="B1042">
        <v>78</v>
      </c>
      <c r="C1042">
        <v>2012</v>
      </c>
      <c r="D1042">
        <v>1</v>
      </c>
      <c r="E1042">
        <v>2005</v>
      </c>
      <c r="F1042">
        <v>2015</v>
      </c>
      <c r="G1042">
        <v>6.9444444444444441E-3</v>
      </c>
      <c r="H1042">
        <v>150.10966604084879</v>
      </c>
      <c r="I1042">
        <v>0</v>
      </c>
      <c r="J1042">
        <v>0</v>
      </c>
      <c r="K1042">
        <v>1</v>
      </c>
      <c r="L1042" t="s">
        <v>238</v>
      </c>
      <c r="M1042">
        <v>61.269251445244407</v>
      </c>
      <c r="N1042">
        <v>4143.3331289846528</v>
      </c>
      <c r="O1042">
        <v>0</v>
      </c>
      <c r="P1042">
        <v>1</v>
      </c>
      <c r="Q1042">
        <v>0</v>
      </c>
      <c r="R1042">
        <v>1</v>
      </c>
      <c r="S1042">
        <v>0</v>
      </c>
      <c r="T1042">
        <v>1</v>
      </c>
      <c r="U1042">
        <v>0</v>
      </c>
      <c r="V1042">
        <v>3</v>
      </c>
      <c r="W1042">
        <v>-1.1000000000000001</v>
      </c>
      <c r="AA1042">
        <v>0</v>
      </c>
      <c r="AC1042">
        <v>0</v>
      </c>
      <c r="AD1042">
        <v>0</v>
      </c>
      <c r="AE1042">
        <v>0</v>
      </c>
      <c r="AF1042">
        <v>1</v>
      </c>
      <c r="AG1042">
        <v>1</v>
      </c>
      <c r="AH1042">
        <v>23</v>
      </c>
      <c r="AI1042">
        <v>0</v>
      </c>
      <c r="AJ1042">
        <v>144</v>
      </c>
    </row>
    <row r="1043" spans="1:36" x14ac:dyDescent="0.2">
      <c r="A1043" t="str">
        <f>+VLOOKUP(B1043,studies!$A$2:$C$102,3)</f>
        <v>Kopp et al. (2012)</v>
      </c>
      <c r="B1043">
        <v>78</v>
      </c>
      <c r="C1043">
        <v>2012</v>
      </c>
      <c r="D1043">
        <v>1</v>
      </c>
      <c r="E1043">
        <v>2005</v>
      </c>
      <c r="F1043">
        <v>2015</v>
      </c>
      <c r="G1043">
        <v>6.9444444444444441E-3</v>
      </c>
      <c r="H1043">
        <v>105.07676622859417</v>
      </c>
      <c r="I1043">
        <v>0</v>
      </c>
      <c r="J1043">
        <v>0</v>
      </c>
      <c r="K1043">
        <v>1</v>
      </c>
      <c r="L1043" t="s">
        <v>238</v>
      </c>
      <c r="M1043">
        <v>45.951938583933305</v>
      </c>
      <c r="N1043">
        <v>3691.4723995759755</v>
      </c>
      <c r="O1043">
        <v>0</v>
      </c>
      <c r="P1043">
        <v>1</v>
      </c>
      <c r="Q1043">
        <v>0</v>
      </c>
      <c r="R1043">
        <v>1</v>
      </c>
      <c r="S1043">
        <v>0</v>
      </c>
      <c r="T1043">
        <v>1</v>
      </c>
      <c r="U1043">
        <v>0</v>
      </c>
      <c r="V1043">
        <v>3</v>
      </c>
      <c r="W1043">
        <v>-1.1000000000000001</v>
      </c>
      <c r="AA1043">
        <v>0</v>
      </c>
      <c r="AC1043">
        <v>0</v>
      </c>
      <c r="AD1043">
        <v>0</v>
      </c>
      <c r="AE1043">
        <v>0</v>
      </c>
      <c r="AF1043">
        <v>1</v>
      </c>
      <c r="AG1043">
        <v>1</v>
      </c>
      <c r="AH1043">
        <v>23</v>
      </c>
      <c r="AI1043">
        <v>0</v>
      </c>
      <c r="AJ1043">
        <v>144</v>
      </c>
    </row>
    <row r="1044" spans="1:36" x14ac:dyDescent="0.2">
      <c r="A1044" t="str">
        <f>+VLOOKUP(B1044,studies!$A$2:$C$102,3)</f>
        <v>Kopp et al. (2012)</v>
      </c>
      <c r="B1044">
        <v>78</v>
      </c>
      <c r="C1044">
        <v>2012</v>
      </c>
      <c r="D1044">
        <v>1</v>
      </c>
      <c r="E1044">
        <v>2005</v>
      </c>
      <c r="F1044">
        <v>2015</v>
      </c>
      <c r="G1044">
        <v>6.9444444444444441E-3</v>
      </c>
      <c r="H1044">
        <v>135.09869943676392</v>
      </c>
      <c r="I1044">
        <v>0</v>
      </c>
      <c r="J1044">
        <v>0</v>
      </c>
      <c r="K1044">
        <v>1</v>
      </c>
      <c r="L1044" t="s">
        <v>238</v>
      </c>
      <c r="M1044">
        <v>53.61059501458886</v>
      </c>
      <c r="N1044">
        <v>4855.58817703562</v>
      </c>
      <c r="O1044">
        <v>0</v>
      </c>
      <c r="P1044">
        <v>1</v>
      </c>
      <c r="Q1044">
        <v>0</v>
      </c>
      <c r="R1044">
        <v>1</v>
      </c>
      <c r="S1044">
        <v>0</v>
      </c>
      <c r="T1044">
        <v>1</v>
      </c>
      <c r="U1044">
        <v>0</v>
      </c>
      <c r="V1044">
        <v>3</v>
      </c>
      <c r="W1044">
        <v>-1.1000000000000001</v>
      </c>
      <c r="AA1044">
        <v>0</v>
      </c>
      <c r="AC1044">
        <v>0</v>
      </c>
      <c r="AD1044">
        <v>0</v>
      </c>
      <c r="AE1044">
        <v>0</v>
      </c>
      <c r="AF1044">
        <v>1</v>
      </c>
      <c r="AG1044">
        <v>1</v>
      </c>
      <c r="AH1044">
        <v>23</v>
      </c>
      <c r="AI1044">
        <v>0</v>
      </c>
      <c r="AJ1044">
        <v>144</v>
      </c>
    </row>
    <row r="1045" spans="1:36" x14ac:dyDescent="0.2">
      <c r="A1045" t="str">
        <f>+VLOOKUP(B1045,studies!$A$2:$C$102,3)</f>
        <v>Kopp et al. (2012)</v>
      </c>
      <c r="B1045">
        <v>78</v>
      </c>
      <c r="C1045">
        <v>2012</v>
      </c>
      <c r="D1045">
        <v>1</v>
      </c>
      <c r="E1045">
        <v>2005</v>
      </c>
      <c r="F1045">
        <v>2015</v>
      </c>
      <c r="G1045">
        <v>6.9444444444444441E-3</v>
      </c>
      <c r="H1045">
        <v>180.13159924901856</v>
      </c>
      <c r="I1045">
        <v>0</v>
      </c>
      <c r="J1045">
        <v>0</v>
      </c>
      <c r="K1045">
        <v>1</v>
      </c>
      <c r="L1045" t="s">
        <v>238</v>
      </c>
      <c r="M1045">
        <v>76.586564306555516</v>
      </c>
      <c r="N1045">
        <v>5705.6990408383863</v>
      </c>
      <c r="O1045">
        <v>0</v>
      </c>
      <c r="P1045">
        <v>1</v>
      </c>
      <c r="Q1045">
        <v>0</v>
      </c>
      <c r="R1045">
        <v>1</v>
      </c>
      <c r="S1045">
        <v>0</v>
      </c>
      <c r="T1045">
        <v>1</v>
      </c>
      <c r="U1045">
        <v>0</v>
      </c>
      <c r="V1045">
        <v>3</v>
      </c>
      <c r="W1045">
        <v>-1.1000000000000001</v>
      </c>
      <c r="AA1045">
        <v>0</v>
      </c>
      <c r="AC1045">
        <v>0</v>
      </c>
      <c r="AD1045">
        <v>0</v>
      </c>
      <c r="AE1045">
        <v>0</v>
      </c>
      <c r="AF1045">
        <v>1</v>
      </c>
      <c r="AG1045">
        <v>1</v>
      </c>
      <c r="AH1045">
        <v>23</v>
      </c>
      <c r="AI1045">
        <v>0</v>
      </c>
      <c r="AJ1045">
        <v>144</v>
      </c>
    </row>
    <row r="1046" spans="1:36" x14ac:dyDescent="0.2">
      <c r="A1046" t="str">
        <f>+VLOOKUP(B1046,studies!$A$2:$C$102,3)</f>
        <v>Marten &amp; Newbold (2012)</v>
      </c>
      <c r="B1046">
        <v>79</v>
      </c>
      <c r="C1046">
        <v>2012</v>
      </c>
      <c r="D1046">
        <v>1</v>
      </c>
      <c r="E1046">
        <v>2007</v>
      </c>
      <c r="F1046">
        <v>2015</v>
      </c>
      <c r="G1046">
        <v>1</v>
      </c>
      <c r="H1046">
        <v>142.67698134804652</v>
      </c>
      <c r="I1046">
        <v>1</v>
      </c>
      <c r="J1046">
        <v>0</v>
      </c>
      <c r="K1046">
        <v>0</v>
      </c>
      <c r="L1046" t="s">
        <v>238</v>
      </c>
      <c r="M1046">
        <v>90.501118891480161</v>
      </c>
      <c r="N1046">
        <v>90.501118891480161</v>
      </c>
      <c r="O1046">
        <v>0</v>
      </c>
      <c r="P1046">
        <v>1</v>
      </c>
      <c r="Q1046">
        <v>0</v>
      </c>
      <c r="R1046">
        <v>1</v>
      </c>
      <c r="S1046">
        <v>0</v>
      </c>
      <c r="T1046">
        <v>1</v>
      </c>
      <c r="U1046">
        <v>0</v>
      </c>
      <c r="V1046">
        <v>3</v>
      </c>
      <c r="AA1046">
        <v>0</v>
      </c>
      <c r="AC1046">
        <v>0</v>
      </c>
      <c r="AD1046">
        <v>0</v>
      </c>
      <c r="AE1046">
        <v>0</v>
      </c>
      <c r="AF1046">
        <v>0</v>
      </c>
      <c r="AG1046">
        <v>1</v>
      </c>
      <c r="AH1046">
        <v>15</v>
      </c>
      <c r="AI1046">
        <v>1.6</v>
      </c>
      <c r="AJ1046">
        <v>1</v>
      </c>
    </row>
    <row r="1047" spans="1:36" x14ac:dyDescent="0.2">
      <c r="A1047" t="str">
        <f>+VLOOKUP(B1047,studies!$A$2:$C$102,3)</f>
        <v>Perrissin-Fabert et al. (2012)</v>
      </c>
      <c r="B1047">
        <v>80</v>
      </c>
      <c r="C1047">
        <v>2012</v>
      </c>
      <c r="D1047">
        <v>0</v>
      </c>
      <c r="E1047">
        <v>2010</v>
      </c>
      <c r="F1047">
        <v>2020</v>
      </c>
      <c r="G1047">
        <v>1</v>
      </c>
      <c r="H1047">
        <v>51.277085325751017</v>
      </c>
      <c r="I1047">
        <v>0</v>
      </c>
      <c r="J1047">
        <v>0</v>
      </c>
      <c r="K1047">
        <v>1</v>
      </c>
      <c r="L1047" t="s">
        <v>238</v>
      </c>
      <c r="M1047">
        <v>21.327684444525723</v>
      </c>
      <c r="N1047">
        <v>55.506665926137593</v>
      </c>
      <c r="O1047">
        <v>0</v>
      </c>
      <c r="P1047">
        <v>1</v>
      </c>
      <c r="Q1047">
        <v>0</v>
      </c>
      <c r="R1047">
        <v>1</v>
      </c>
      <c r="S1047">
        <v>0</v>
      </c>
      <c r="T1047">
        <v>1</v>
      </c>
      <c r="U1047">
        <v>0</v>
      </c>
      <c r="W1047">
        <v>0</v>
      </c>
      <c r="AA1047">
        <v>0</v>
      </c>
      <c r="AC1047">
        <v>0</v>
      </c>
      <c r="AD1047">
        <v>0</v>
      </c>
      <c r="AE1047">
        <v>0</v>
      </c>
      <c r="AF1047">
        <v>0</v>
      </c>
      <c r="AG1047">
        <v>1</v>
      </c>
      <c r="AH1047">
        <v>7</v>
      </c>
      <c r="AI1047">
        <v>0</v>
      </c>
      <c r="AJ1047">
        <v>1</v>
      </c>
    </row>
    <row r="1048" spans="1:36" x14ac:dyDescent="0.2">
      <c r="A1048" t="str">
        <f>+VLOOKUP(B1048,studies!$A$2:$C$102,3)</f>
        <v>Tol (2012)</v>
      </c>
      <c r="B1048">
        <v>81</v>
      </c>
      <c r="C1048">
        <v>2012</v>
      </c>
      <c r="D1048">
        <v>1</v>
      </c>
      <c r="E1048">
        <v>1990</v>
      </c>
      <c r="F1048">
        <v>2015</v>
      </c>
      <c r="G1048">
        <v>1</v>
      </c>
      <c r="H1048">
        <v>48.3827390971691</v>
      </c>
      <c r="I1048">
        <v>1</v>
      </c>
      <c r="J1048">
        <v>0</v>
      </c>
      <c r="K1048">
        <v>0</v>
      </c>
      <c r="L1048" t="s">
        <v>238</v>
      </c>
      <c r="M1048">
        <v>23.833861624221232</v>
      </c>
      <c r="N1048">
        <v>30.643536373998728</v>
      </c>
      <c r="O1048">
        <v>1</v>
      </c>
      <c r="P1048">
        <v>1</v>
      </c>
      <c r="Q1048">
        <v>0</v>
      </c>
      <c r="R1048">
        <v>1</v>
      </c>
      <c r="S1048">
        <v>0</v>
      </c>
      <c r="T1048">
        <v>1</v>
      </c>
      <c r="U1048">
        <v>0</v>
      </c>
      <c r="W1048">
        <v>3</v>
      </c>
      <c r="AA1048">
        <v>0</v>
      </c>
      <c r="AC1048">
        <v>0</v>
      </c>
      <c r="AD1048">
        <v>0</v>
      </c>
      <c r="AE1048">
        <v>1</v>
      </c>
      <c r="AF1048">
        <v>0</v>
      </c>
      <c r="AG1048">
        <v>1</v>
      </c>
      <c r="AH1048">
        <v>30</v>
      </c>
      <c r="AI1048">
        <v>1.65</v>
      </c>
      <c r="AJ1048">
        <v>1</v>
      </c>
    </row>
    <row r="1049" spans="1:36" x14ac:dyDescent="0.2">
      <c r="A1049" t="str">
        <f>+VLOOKUP(B1049,studies!$A$2:$C$102,3)</f>
        <v>van den Bijgaart et al. (2013)</v>
      </c>
      <c r="B1049">
        <v>83</v>
      </c>
      <c r="C1049">
        <v>2013</v>
      </c>
      <c r="D1049">
        <v>0</v>
      </c>
      <c r="E1049">
        <v>2010</v>
      </c>
      <c r="F1049">
        <v>2015</v>
      </c>
      <c r="G1049">
        <v>0.25</v>
      </c>
      <c r="H1049">
        <v>233.59893758300134</v>
      </c>
      <c r="I1049">
        <v>0</v>
      </c>
      <c r="J1049">
        <v>0</v>
      </c>
      <c r="K1049">
        <v>1</v>
      </c>
      <c r="L1049">
        <v>2046.0485651214128</v>
      </c>
      <c r="M1049">
        <v>2046.0485651214128</v>
      </c>
      <c r="N1049">
        <v>2046.0485651214128</v>
      </c>
      <c r="O1049">
        <v>1</v>
      </c>
      <c r="P1049">
        <v>1</v>
      </c>
      <c r="Q1049">
        <v>1</v>
      </c>
      <c r="R1049">
        <v>0</v>
      </c>
      <c r="S1049">
        <v>0</v>
      </c>
      <c r="T1049">
        <v>0</v>
      </c>
      <c r="U1049">
        <v>0</v>
      </c>
      <c r="V1049">
        <v>0.1</v>
      </c>
      <c r="W1049">
        <v>2</v>
      </c>
      <c r="AA1049">
        <v>0</v>
      </c>
      <c r="AB1049">
        <v>3</v>
      </c>
      <c r="AC1049">
        <v>0</v>
      </c>
      <c r="AD1049">
        <v>0</v>
      </c>
      <c r="AE1049">
        <v>0</v>
      </c>
      <c r="AF1049">
        <v>1</v>
      </c>
      <c r="AG1049">
        <v>1</v>
      </c>
      <c r="AH1049">
        <v>3</v>
      </c>
      <c r="AI1049">
        <v>0</v>
      </c>
      <c r="AJ1049">
        <v>4</v>
      </c>
    </row>
    <row r="1050" spans="1:36" x14ac:dyDescent="0.2">
      <c r="A1050" t="str">
        <f>+VLOOKUP(B1050,studies!$A$2:$C$102,3)</f>
        <v>van den Bijgaart et al. (2013)</v>
      </c>
      <c r="B1050">
        <v>83</v>
      </c>
      <c r="C1050">
        <v>2013</v>
      </c>
      <c r="D1050">
        <v>0</v>
      </c>
      <c r="E1050">
        <v>2010</v>
      </c>
      <c r="F1050">
        <v>2015</v>
      </c>
      <c r="G1050">
        <v>0.25</v>
      </c>
      <c r="H1050">
        <v>38.778220451527226</v>
      </c>
      <c r="I1050">
        <v>0</v>
      </c>
      <c r="J1050">
        <v>0</v>
      </c>
      <c r="K1050">
        <v>1</v>
      </c>
      <c r="L1050">
        <v>284.10596026490066</v>
      </c>
      <c r="M1050">
        <v>284.10596026490066</v>
      </c>
      <c r="N1050">
        <v>284.10596026490066</v>
      </c>
      <c r="O1050">
        <v>1</v>
      </c>
      <c r="P1050">
        <v>1</v>
      </c>
      <c r="Q1050">
        <v>1</v>
      </c>
      <c r="R1050">
        <v>0</v>
      </c>
      <c r="S1050">
        <v>0</v>
      </c>
      <c r="T1050">
        <v>0</v>
      </c>
      <c r="U1050">
        <v>0</v>
      </c>
      <c r="V1050">
        <v>1</v>
      </c>
      <c r="W1050">
        <v>2</v>
      </c>
      <c r="AA1050">
        <v>0</v>
      </c>
      <c r="AB1050">
        <v>3</v>
      </c>
      <c r="AC1050">
        <v>0</v>
      </c>
      <c r="AD1050">
        <v>0</v>
      </c>
      <c r="AE1050">
        <v>0</v>
      </c>
      <c r="AF1050">
        <v>1</v>
      </c>
      <c r="AG1050">
        <v>1</v>
      </c>
      <c r="AH1050">
        <v>3</v>
      </c>
      <c r="AI1050">
        <v>0</v>
      </c>
      <c r="AJ1050">
        <v>4</v>
      </c>
    </row>
    <row r="1051" spans="1:36" x14ac:dyDescent="0.2">
      <c r="A1051" t="str">
        <f>+VLOOKUP(B1051,studies!$A$2:$C$102,3)</f>
        <v>van den Bijgaart et al. (2013)</v>
      </c>
      <c r="B1051">
        <v>83</v>
      </c>
      <c r="C1051">
        <v>2013</v>
      </c>
      <c r="D1051">
        <v>0</v>
      </c>
      <c r="E1051">
        <v>2010</v>
      </c>
      <c r="F1051">
        <v>2015</v>
      </c>
      <c r="G1051">
        <v>0.25</v>
      </c>
      <c r="H1051">
        <v>18.193891102257634</v>
      </c>
      <c r="I1051">
        <v>0</v>
      </c>
      <c r="J1051">
        <v>0</v>
      </c>
      <c r="K1051">
        <v>1</v>
      </c>
      <c r="L1051">
        <v>123.841059602649</v>
      </c>
      <c r="M1051">
        <v>123.841059602649</v>
      </c>
      <c r="N1051">
        <v>123.841059602649</v>
      </c>
      <c r="O1051">
        <v>1</v>
      </c>
      <c r="P1051">
        <v>1</v>
      </c>
      <c r="Q1051">
        <v>1</v>
      </c>
      <c r="R1051">
        <v>0</v>
      </c>
      <c r="S1051">
        <v>0</v>
      </c>
      <c r="T1051">
        <v>0</v>
      </c>
      <c r="U1051">
        <v>0</v>
      </c>
      <c r="V1051">
        <v>2</v>
      </c>
      <c r="W1051">
        <v>2</v>
      </c>
      <c r="AA1051">
        <v>0</v>
      </c>
      <c r="AB1051">
        <v>3</v>
      </c>
      <c r="AC1051">
        <v>0</v>
      </c>
      <c r="AD1051">
        <v>0</v>
      </c>
      <c r="AE1051">
        <v>0</v>
      </c>
      <c r="AF1051">
        <v>1</v>
      </c>
      <c r="AG1051">
        <v>1</v>
      </c>
      <c r="AH1051">
        <v>3</v>
      </c>
      <c r="AI1051">
        <v>0</v>
      </c>
      <c r="AJ1051">
        <v>4</v>
      </c>
    </row>
    <row r="1052" spans="1:36" x14ac:dyDescent="0.2">
      <c r="A1052" t="str">
        <f>+VLOOKUP(B1052,studies!$A$2:$C$102,3)</f>
        <v>van den Bijgaart et al. (2013)</v>
      </c>
      <c r="B1052">
        <v>83</v>
      </c>
      <c r="C1052">
        <v>2013</v>
      </c>
      <c r="D1052">
        <v>0</v>
      </c>
      <c r="E1052">
        <v>2010</v>
      </c>
      <c r="F1052">
        <v>2015</v>
      </c>
      <c r="G1052">
        <v>0.25</v>
      </c>
      <c r="H1052">
        <v>10.889774236387781</v>
      </c>
      <c r="I1052">
        <v>0</v>
      </c>
      <c r="J1052">
        <v>0</v>
      </c>
      <c r="K1052">
        <v>1</v>
      </c>
      <c r="L1052">
        <v>71.390728476821181</v>
      </c>
      <c r="M1052">
        <v>71.390728476821181</v>
      </c>
      <c r="N1052">
        <v>71.390728476821181</v>
      </c>
      <c r="O1052">
        <v>1</v>
      </c>
      <c r="P1052">
        <v>1</v>
      </c>
      <c r="Q1052">
        <v>1</v>
      </c>
      <c r="R1052">
        <v>0</v>
      </c>
      <c r="S1052">
        <v>0</v>
      </c>
      <c r="T1052">
        <v>0</v>
      </c>
      <c r="U1052">
        <v>0</v>
      </c>
      <c r="V1052">
        <v>3</v>
      </c>
      <c r="W1052">
        <v>2</v>
      </c>
      <c r="AA1052">
        <v>0</v>
      </c>
      <c r="AB1052">
        <v>3</v>
      </c>
      <c r="AC1052">
        <v>0</v>
      </c>
      <c r="AD1052">
        <v>0</v>
      </c>
      <c r="AE1052">
        <v>0</v>
      </c>
      <c r="AF1052">
        <v>1</v>
      </c>
      <c r="AG1052">
        <v>1</v>
      </c>
      <c r="AH1052">
        <v>3</v>
      </c>
      <c r="AI1052">
        <v>0</v>
      </c>
      <c r="AJ1052">
        <v>4</v>
      </c>
    </row>
    <row r="1053" spans="1:36" x14ac:dyDescent="0.2">
      <c r="A1053" t="str">
        <f>+VLOOKUP(B1053,studies!$A$2:$C$102,3)</f>
        <v>Greenstone et al. (2013)</v>
      </c>
      <c r="B1053">
        <v>87</v>
      </c>
      <c r="C1053">
        <v>2013</v>
      </c>
      <c r="D1053">
        <v>1</v>
      </c>
      <c r="E1053">
        <v>2007</v>
      </c>
      <c r="F1053">
        <v>2010</v>
      </c>
      <c r="G1053">
        <v>6.2500000000000014E-2</v>
      </c>
      <c r="H1053">
        <v>160.90551085504242</v>
      </c>
      <c r="I1053">
        <v>1</v>
      </c>
      <c r="J1053">
        <v>0</v>
      </c>
      <c r="K1053">
        <v>0</v>
      </c>
      <c r="L1053" t="s">
        <v>238</v>
      </c>
      <c r="M1053">
        <v>80.260131112850374</v>
      </c>
      <c r="N1053">
        <v>80.260131112850374</v>
      </c>
      <c r="O1053">
        <v>0</v>
      </c>
      <c r="P1053">
        <v>1</v>
      </c>
      <c r="Q1053">
        <v>1</v>
      </c>
      <c r="R1053">
        <v>1</v>
      </c>
      <c r="S1053">
        <v>1</v>
      </c>
      <c r="T1053">
        <v>1</v>
      </c>
      <c r="U1053">
        <v>1</v>
      </c>
      <c r="V1053">
        <v>3</v>
      </c>
      <c r="AA1053">
        <v>0</v>
      </c>
      <c r="AC1053">
        <v>0</v>
      </c>
      <c r="AD1053">
        <v>0</v>
      </c>
      <c r="AE1053">
        <v>0</v>
      </c>
      <c r="AF1053">
        <v>0</v>
      </c>
      <c r="AG1053">
        <v>1</v>
      </c>
      <c r="AH1053">
        <v>23</v>
      </c>
      <c r="AI1053">
        <v>2.42</v>
      </c>
      <c r="AJ1053">
        <v>16</v>
      </c>
    </row>
    <row r="1054" spans="1:36" x14ac:dyDescent="0.2">
      <c r="A1054" t="str">
        <f>+VLOOKUP(B1054,studies!$A$2:$C$102,3)</f>
        <v>Greenstone et al. (2013)</v>
      </c>
      <c r="B1054">
        <v>87</v>
      </c>
      <c r="C1054">
        <v>2013</v>
      </c>
      <c r="D1054">
        <v>1</v>
      </c>
      <c r="E1054">
        <v>2007</v>
      </c>
      <c r="F1054">
        <v>2010</v>
      </c>
      <c r="G1054">
        <v>6.2500000000000014E-2</v>
      </c>
      <c r="H1054">
        <v>98.880481531031663</v>
      </c>
      <c r="I1054">
        <v>1</v>
      </c>
      <c r="J1054">
        <v>0</v>
      </c>
      <c r="K1054">
        <v>0</v>
      </c>
      <c r="L1054" t="s">
        <v>238</v>
      </c>
      <c r="M1054">
        <v>46.092246724808376</v>
      </c>
      <c r="N1054">
        <v>46.092246724808376</v>
      </c>
      <c r="O1054">
        <v>0</v>
      </c>
      <c r="P1054">
        <v>1</v>
      </c>
      <c r="Q1054">
        <v>1</v>
      </c>
      <c r="R1054">
        <v>1</v>
      </c>
      <c r="S1054">
        <v>1</v>
      </c>
      <c r="T1054">
        <v>1</v>
      </c>
      <c r="U1054">
        <v>1</v>
      </c>
      <c r="V1054">
        <v>3</v>
      </c>
      <c r="AA1054">
        <v>0</v>
      </c>
      <c r="AC1054">
        <v>0</v>
      </c>
      <c r="AD1054">
        <v>0</v>
      </c>
      <c r="AE1054">
        <v>0</v>
      </c>
      <c r="AF1054">
        <v>0</v>
      </c>
      <c r="AG1054">
        <v>1</v>
      </c>
      <c r="AH1054">
        <v>23</v>
      </c>
      <c r="AI1054">
        <v>2.42</v>
      </c>
      <c r="AJ1054">
        <v>16</v>
      </c>
    </row>
    <row r="1055" spans="1:36" x14ac:dyDescent="0.2">
      <c r="A1055" t="str">
        <f>+VLOOKUP(B1055,studies!$A$2:$C$102,3)</f>
        <v>Greenstone et al. (2013)</v>
      </c>
      <c r="B1055">
        <v>87</v>
      </c>
      <c r="C1055">
        <v>2013</v>
      </c>
      <c r="D1055">
        <v>1</v>
      </c>
      <c r="E1055">
        <v>2007</v>
      </c>
      <c r="F1055">
        <v>2010</v>
      </c>
      <c r="G1055">
        <v>6.2500000000000014E-2</v>
      </c>
      <c r="H1055">
        <v>133.93810680112472</v>
      </c>
      <c r="I1055">
        <v>1</v>
      </c>
      <c r="J1055">
        <v>0</v>
      </c>
      <c r="K1055">
        <v>0</v>
      </c>
      <c r="L1055" t="s">
        <v>238</v>
      </c>
      <c r="M1055">
        <v>66.042622172859751</v>
      </c>
      <c r="N1055">
        <v>66.042622172859751</v>
      </c>
      <c r="O1055">
        <v>0</v>
      </c>
      <c r="P1055">
        <v>1</v>
      </c>
      <c r="Q1055">
        <v>1</v>
      </c>
      <c r="R1055">
        <v>1</v>
      </c>
      <c r="S1055">
        <v>1</v>
      </c>
      <c r="T1055">
        <v>1</v>
      </c>
      <c r="U1055">
        <v>1</v>
      </c>
      <c r="V1055">
        <v>3</v>
      </c>
      <c r="AA1055">
        <v>0</v>
      </c>
      <c r="AC1055">
        <v>0</v>
      </c>
      <c r="AD1055">
        <v>0</v>
      </c>
      <c r="AE1055">
        <v>0</v>
      </c>
      <c r="AF1055">
        <v>0</v>
      </c>
      <c r="AG1055">
        <v>1</v>
      </c>
      <c r="AH1055">
        <v>23</v>
      </c>
      <c r="AI1055">
        <v>2.42</v>
      </c>
      <c r="AJ1055">
        <v>16</v>
      </c>
    </row>
    <row r="1056" spans="1:36" x14ac:dyDescent="0.2">
      <c r="A1056" t="str">
        <f>+VLOOKUP(B1056,studies!$A$2:$C$102,3)</f>
        <v>Greenstone et al. (2013)</v>
      </c>
      <c r="B1056">
        <v>87</v>
      </c>
      <c r="C1056">
        <v>2013</v>
      </c>
      <c r="D1056">
        <v>1</v>
      </c>
      <c r="E1056">
        <v>2007</v>
      </c>
      <c r="F1056">
        <v>2010</v>
      </c>
      <c r="G1056">
        <v>6.2500000000000014E-2</v>
      </c>
      <c r="H1056">
        <v>129.44353945880508</v>
      </c>
      <c r="I1056">
        <v>1</v>
      </c>
      <c r="J1056">
        <v>0</v>
      </c>
      <c r="K1056">
        <v>0</v>
      </c>
      <c r="L1056" t="s">
        <v>238</v>
      </c>
      <c r="M1056">
        <v>66.730566153827027</v>
      </c>
      <c r="N1056">
        <v>66.730566153827027</v>
      </c>
      <c r="O1056">
        <v>0</v>
      </c>
      <c r="P1056">
        <v>1</v>
      </c>
      <c r="Q1056">
        <v>1</v>
      </c>
      <c r="R1056">
        <v>1</v>
      </c>
      <c r="S1056">
        <v>1</v>
      </c>
      <c r="T1056">
        <v>1</v>
      </c>
      <c r="U1056">
        <v>1</v>
      </c>
      <c r="V1056">
        <v>3</v>
      </c>
      <c r="AA1056">
        <v>0</v>
      </c>
      <c r="AC1056">
        <v>0</v>
      </c>
      <c r="AD1056">
        <v>0</v>
      </c>
      <c r="AE1056">
        <v>0</v>
      </c>
      <c r="AF1056">
        <v>0</v>
      </c>
      <c r="AG1056">
        <v>1</v>
      </c>
      <c r="AH1056">
        <v>23</v>
      </c>
      <c r="AI1056">
        <v>2.42</v>
      </c>
      <c r="AJ1056">
        <v>16</v>
      </c>
    </row>
    <row r="1057" spans="1:36" x14ac:dyDescent="0.2">
      <c r="A1057" t="str">
        <f>+VLOOKUP(B1057,studies!$A$2:$C$102,3)</f>
        <v>Greenstone et al. (2013)</v>
      </c>
      <c r="B1057">
        <v>87</v>
      </c>
      <c r="C1057">
        <v>2013</v>
      </c>
      <c r="D1057">
        <v>1</v>
      </c>
      <c r="E1057">
        <v>2007</v>
      </c>
      <c r="F1057">
        <v>2010</v>
      </c>
      <c r="G1057">
        <v>6.2500000000000014E-2</v>
      </c>
      <c r="H1057">
        <v>111.91472682375857</v>
      </c>
      <c r="I1057">
        <v>1</v>
      </c>
      <c r="J1057">
        <v>0</v>
      </c>
      <c r="K1057">
        <v>0</v>
      </c>
      <c r="L1057" t="s">
        <v>238</v>
      </c>
      <c r="M1057">
        <v>59.392497023509272</v>
      </c>
      <c r="N1057">
        <v>59.392497023509272</v>
      </c>
      <c r="O1057">
        <v>0</v>
      </c>
      <c r="P1057">
        <v>1</v>
      </c>
      <c r="Q1057">
        <v>1</v>
      </c>
      <c r="R1057">
        <v>1</v>
      </c>
      <c r="S1057">
        <v>1</v>
      </c>
      <c r="T1057">
        <v>1</v>
      </c>
      <c r="U1057">
        <v>1</v>
      </c>
      <c r="V1057">
        <v>3</v>
      </c>
      <c r="AA1057">
        <v>0</v>
      </c>
      <c r="AC1057">
        <v>0</v>
      </c>
      <c r="AD1057">
        <v>0</v>
      </c>
      <c r="AE1057">
        <v>0</v>
      </c>
      <c r="AF1057">
        <v>0</v>
      </c>
      <c r="AG1057">
        <v>1</v>
      </c>
      <c r="AH1057">
        <v>23</v>
      </c>
      <c r="AI1057">
        <v>2.42</v>
      </c>
      <c r="AJ1057">
        <v>16</v>
      </c>
    </row>
    <row r="1058" spans="1:36" x14ac:dyDescent="0.2">
      <c r="A1058" t="str">
        <f>+VLOOKUP(B1058,studies!$A$2:$C$102,3)</f>
        <v>Greenstone et al. (2013)</v>
      </c>
      <c r="B1058">
        <v>87</v>
      </c>
      <c r="C1058">
        <v>2013</v>
      </c>
      <c r="D1058">
        <v>1</v>
      </c>
      <c r="E1058">
        <v>2007</v>
      </c>
      <c r="F1058">
        <v>2010</v>
      </c>
      <c r="G1058">
        <v>6.2500000000000014E-2</v>
      </c>
      <c r="H1058">
        <v>177.53541002162501</v>
      </c>
      <c r="I1058">
        <v>1</v>
      </c>
      <c r="J1058">
        <v>0</v>
      </c>
      <c r="K1058">
        <v>0</v>
      </c>
      <c r="L1058" t="s">
        <v>238</v>
      </c>
      <c r="M1058">
        <v>235.96478547178012</v>
      </c>
      <c r="N1058">
        <v>235.96478547178012</v>
      </c>
      <c r="O1058">
        <v>0</v>
      </c>
      <c r="P1058">
        <v>1</v>
      </c>
      <c r="Q1058">
        <v>1</v>
      </c>
      <c r="R1058">
        <v>1</v>
      </c>
      <c r="S1058">
        <v>1</v>
      </c>
      <c r="T1058">
        <v>1</v>
      </c>
      <c r="U1058">
        <v>1</v>
      </c>
      <c r="V1058">
        <v>3</v>
      </c>
      <c r="AA1058">
        <v>0</v>
      </c>
      <c r="AC1058">
        <v>0</v>
      </c>
      <c r="AD1058">
        <v>0</v>
      </c>
      <c r="AE1058">
        <v>0</v>
      </c>
      <c r="AF1058">
        <v>0</v>
      </c>
      <c r="AG1058">
        <v>1</v>
      </c>
      <c r="AH1058">
        <v>23</v>
      </c>
      <c r="AI1058">
        <v>2.42</v>
      </c>
      <c r="AJ1058">
        <v>16</v>
      </c>
    </row>
    <row r="1059" spans="1:36" x14ac:dyDescent="0.2">
      <c r="A1059" t="str">
        <f>+VLOOKUP(B1059,studies!$A$2:$C$102,3)</f>
        <v>Greenstone et al. (2013)</v>
      </c>
      <c r="B1059">
        <v>87</v>
      </c>
      <c r="C1059">
        <v>2013</v>
      </c>
      <c r="D1059">
        <v>1</v>
      </c>
      <c r="E1059">
        <v>2007</v>
      </c>
      <c r="F1059">
        <v>2010</v>
      </c>
      <c r="G1059">
        <v>6.2500000000000014E-2</v>
      </c>
      <c r="H1059">
        <v>100.22885173372755</v>
      </c>
      <c r="I1059">
        <v>1</v>
      </c>
      <c r="J1059">
        <v>0</v>
      </c>
      <c r="K1059">
        <v>0</v>
      </c>
      <c r="L1059" t="s">
        <v>238</v>
      </c>
      <c r="M1059">
        <v>137.81811085378024</v>
      </c>
      <c r="N1059">
        <v>137.81811085378024</v>
      </c>
      <c r="O1059">
        <v>0</v>
      </c>
      <c r="P1059">
        <v>1</v>
      </c>
      <c r="Q1059">
        <v>1</v>
      </c>
      <c r="R1059">
        <v>1</v>
      </c>
      <c r="S1059">
        <v>1</v>
      </c>
      <c r="T1059">
        <v>1</v>
      </c>
      <c r="U1059">
        <v>1</v>
      </c>
      <c r="V1059">
        <v>3</v>
      </c>
      <c r="AA1059">
        <v>0</v>
      </c>
      <c r="AC1059">
        <v>0</v>
      </c>
      <c r="AD1059">
        <v>0</v>
      </c>
      <c r="AE1059">
        <v>0</v>
      </c>
      <c r="AF1059">
        <v>0</v>
      </c>
      <c r="AG1059">
        <v>1</v>
      </c>
      <c r="AH1059">
        <v>23</v>
      </c>
      <c r="AI1059">
        <v>2.42</v>
      </c>
      <c r="AJ1059">
        <v>16</v>
      </c>
    </row>
    <row r="1060" spans="1:36" x14ac:dyDescent="0.2">
      <c r="A1060" t="str">
        <f>+VLOOKUP(B1060,studies!$A$2:$C$102,3)</f>
        <v>Greenstone et al. (2013)</v>
      </c>
      <c r="B1060">
        <v>87</v>
      </c>
      <c r="C1060">
        <v>2013</v>
      </c>
      <c r="D1060">
        <v>1</v>
      </c>
      <c r="E1060">
        <v>2007</v>
      </c>
      <c r="F1060">
        <v>2010</v>
      </c>
      <c r="G1060">
        <v>6.2500000000000014E-2</v>
      </c>
      <c r="H1060">
        <v>136.18539047228452</v>
      </c>
      <c r="I1060">
        <v>1</v>
      </c>
      <c r="J1060">
        <v>0</v>
      </c>
      <c r="K1060">
        <v>0</v>
      </c>
      <c r="L1060" t="s">
        <v>238</v>
      </c>
      <c r="M1060">
        <v>195.60540525503251</v>
      </c>
      <c r="N1060">
        <v>195.60540525503251</v>
      </c>
      <c r="O1060">
        <v>0</v>
      </c>
      <c r="P1060">
        <v>1</v>
      </c>
      <c r="Q1060">
        <v>1</v>
      </c>
      <c r="R1060">
        <v>1</v>
      </c>
      <c r="S1060">
        <v>1</v>
      </c>
      <c r="T1060">
        <v>1</v>
      </c>
      <c r="U1060">
        <v>1</v>
      </c>
      <c r="V1060">
        <v>3</v>
      </c>
      <c r="AA1060">
        <v>0</v>
      </c>
      <c r="AC1060">
        <v>0</v>
      </c>
      <c r="AD1060">
        <v>0</v>
      </c>
      <c r="AE1060">
        <v>0</v>
      </c>
      <c r="AF1060">
        <v>0</v>
      </c>
      <c r="AG1060">
        <v>1</v>
      </c>
      <c r="AH1060">
        <v>23</v>
      </c>
      <c r="AI1060">
        <v>2.42</v>
      </c>
      <c r="AJ1060">
        <v>16</v>
      </c>
    </row>
    <row r="1061" spans="1:36" x14ac:dyDescent="0.2">
      <c r="A1061" t="str">
        <f>+VLOOKUP(B1061,studies!$A$2:$C$102,3)</f>
        <v>Greenstone et al. (2013)</v>
      </c>
      <c r="B1061">
        <v>87</v>
      </c>
      <c r="C1061">
        <v>2013</v>
      </c>
      <c r="D1061">
        <v>1</v>
      </c>
      <c r="E1061">
        <v>2007</v>
      </c>
      <c r="F1061">
        <v>2010</v>
      </c>
      <c r="G1061">
        <v>6.2500000000000014E-2</v>
      </c>
      <c r="H1061">
        <v>142.92724148576394</v>
      </c>
      <c r="I1061">
        <v>1</v>
      </c>
      <c r="J1061">
        <v>0</v>
      </c>
      <c r="K1061">
        <v>0</v>
      </c>
      <c r="L1061" t="s">
        <v>238</v>
      </c>
      <c r="M1061">
        <v>191.70705602955118</v>
      </c>
      <c r="N1061">
        <v>191.70705602955118</v>
      </c>
      <c r="O1061">
        <v>0</v>
      </c>
      <c r="P1061">
        <v>1</v>
      </c>
      <c r="Q1061">
        <v>1</v>
      </c>
      <c r="R1061">
        <v>1</v>
      </c>
      <c r="S1061">
        <v>1</v>
      </c>
      <c r="T1061">
        <v>1</v>
      </c>
      <c r="U1061">
        <v>1</v>
      </c>
      <c r="V1061">
        <v>3</v>
      </c>
      <c r="AA1061">
        <v>0</v>
      </c>
      <c r="AC1061">
        <v>0</v>
      </c>
      <c r="AD1061">
        <v>0</v>
      </c>
      <c r="AE1061">
        <v>0</v>
      </c>
      <c r="AF1061">
        <v>0</v>
      </c>
      <c r="AG1061">
        <v>1</v>
      </c>
      <c r="AH1061">
        <v>23</v>
      </c>
      <c r="AI1061">
        <v>2.42</v>
      </c>
      <c r="AJ1061">
        <v>16</v>
      </c>
    </row>
    <row r="1062" spans="1:36" x14ac:dyDescent="0.2">
      <c r="A1062" t="str">
        <f>+VLOOKUP(B1062,studies!$A$2:$C$102,3)</f>
        <v>Greenstone et al. (2013)</v>
      </c>
      <c r="B1062">
        <v>87</v>
      </c>
      <c r="C1062">
        <v>2013</v>
      </c>
      <c r="D1062">
        <v>1</v>
      </c>
      <c r="E1062">
        <v>2007</v>
      </c>
      <c r="F1062">
        <v>2010</v>
      </c>
      <c r="G1062">
        <v>6.2500000000000014E-2</v>
      </c>
      <c r="H1062">
        <v>114.16201049491836</v>
      </c>
      <c r="I1062">
        <v>1</v>
      </c>
      <c r="J1062">
        <v>0</v>
      </c>
      <c r="K1062">
        <v>0</v>
      </c>
      <c r="L1062" t="s">
        <v>238</v>
      </c>
      <c r="M1062">
        <v>181.84652563568673</v>
      </c>
      <c r="N1062">
        <v>181.84652563568673</v>
      </c>
      <c r="O1062">
        <v>0</v>
      </c>
      <c r="P1062">
        <v>1</v>
      </c>
      <c r="Q1062">
        <v>1</v>
      </c>
      <c r="R1062">
        <v>1</v>
      </c>
      <c r="S1062">
        <v>1</v>
      </c>
      <c r="T1062">
        <v>1</v>
      </c>
      <c r="U1062">
        <v>1</v>
      </c>
      <c r="V1062">
        <v>3</v>
      </c>
      <c r="AA1062">
        <v>0</v>
      </c>
      <c r="AC1062">
        <v>0</v>
      </c>
      <c r="AD1062">
        <v>0</v>
      </c>
      <c r="AE1062">
        <v>0</v>
      </c>
      <c r="AF1062">
        <v>0</v>
      </c>
      <c r="AG1062">
        <v>1</v>
      </c>
      <c r="AH1062">
        <v>23</v>
      </c>
      <c r="AI1062">
        <v>2.42</v>
      </c>
      <c r="AJ1062">
        <v>16</v>
      </c>
    </row>
    <row r="1063" spans="1:36" x14ac:dyDescent="0.2">
      <c r="A1063" t="str">
        <f>+VLOOKUP(B1063,studies!$A$2:$C$102,3)</f>
        <v>Greenstone et al. (2013)</v>
      </c>
      <c r="B1063">
        <v>87</v>
      </c>
      <c r="C1063">
        <v>2013</v>
      </c>
      <c r="D1063">
        <v>1</v>
      </c>
      <c r="E1063">
        <v>2007</v>
      </c>
      <c r="F1063">
        <v>2010</v>
      </c>
      <c r="G1063">
        <v>6.2500000000000014E-2</v>
      </c>
      <c r="H1063">
        <v>36.855452207020889</v>
      </c>
      <c r="I1063">
        <v>1</v>
      </c>
      <c r="J1063">
        <v>0</v>
      </c>
      <c r="K1063">
        <v>0</v>
      </c>
      <c r="L1063" t="s">
        <v>238</v>
      </c>
      <c r="M1063">
        <v>72.234118001565335</v>
      </c>
      <c r="N1063">
        <v>72.234118001565335</v>
      </c>
      <c r="O1063">
        <v>0</v>
      </c>
      <c r="P1063">
        <v>1</v>
      </c>
      <c r="Q1063">
        <v>1</v>
      </c>
      <c r="R1063">
        <v>1</v>
      </c>
      <c r="S1063">
        <v>1</v>
      </c>
      <c r="T1063">
        <v>1</v>
      </c>
      <c r="U1063">
        <v>1</v>
      </c>
      <c r="V1063">
        <v>3</v>
      </c>
      <c r="AA1063">
        <v>0</v>
      </c>
      <c r="AC1063">
        <v>0</v>
      </c>
      <c r="AD1063">
        <v>0</v>
      </c>
      <c r="AE1063">
        <v>0</v>
      </c>
      <c r="AF1063">
        <v>0</v>
      </c>
      <c r="AG1063">
        <v>1</v>
      </c>
      <c r="AH1063">
        <v>23</v>
      </c>
      <c r="AI1063">
        <v>2.42</v>
      </c>
      <c r="AJ1063">
        <v>16</v>
      </c>
    </row>
    <row r="1064" spans="1:36" x14ac:dyDescent="0.2">
      <c r="A1064" t="str">
        <f>+VLOOKUP(B1064,studies!$A$2:$C$102,3)</f>
        <v>Greenstone et al. (2013)</v>
      </c>
      <c r="B1064">
        <v>87</v>
      </c>
      <c r="C1064">
        <v>2013</v>
      </c>
      <c r="D1064">
        <v>1</v>
      </c>
      <c r="E1064">
        <v>2007</v>
      </c>
      <c r="F1064">
        <v>2010</v>
      </c>
      <c r="G1064">
        <v>6.2500000000000014E-2</v>
      </c>
      <c r="H1064">
        <v>35.956538738556965</v>
      </c>
      <c r="I1064">
        <v>1</v>
      </c>
      <c r="J1064">
        <v>0</v>
      </c>
      <c r="K1064">
        <v>0</v>
      </c>
      <c r="L1064" t="s">
        <v>238</v>
      </c>
      <c r="M1064">
        <v>76.361781887369062</v>
      </c>
      <c r="N1064">
        <v>76.361781887369062</v>
      </c>
      <c r="O1064">
        <v>0</v>
      </c>
      <c r="P1064">
        <v>1</v>
      </c>
      <c r="Q1064">
        <v>1</v>
      </c>
      <c r="R1064">
        <v>1</v>
      </c>
      <c r="S1064">
        <v>1</v>
      </c>
      <c r="T1064">
        <v>1</v>
      </c>
      <c r="U1064">
        <v>1</v>
      </c>
      <c r="V1064">
        <v>3</v>
      </c>
      <c r="AA1064">
        <v>0</v>
      </c>
      <c r="AC1064">
        <v>0</v>
      </c>
      <c r="AD1064">
        <v>0</v>
      </c>
      <c r="AE1064">
        <v>0</v>
      </c>
      <c r="AF1064">
        <v>0</v>
      </c>
      <c r="AG1064">
        <v>1</v>
      </c>
      <c r="AH1064">
        <v>23</v>
      </c>
      <c r="AI1064">
        <v>2.42</v>
      </c>
      <c r="AJ1064">
        <v>16</v>
      </c>
    </row>
    <row r="1065" spans="1:36" x14ac:dyDescent="0.2">
      <c r="A1065" t="str">
        <f>+VLOOKUP(B1065,studies!$A$2:$C$102,3)</f>
        <v>Greenstone et al. (2013)</v>
      </c>
      <c r="B1065">
        <v>87</v>
      </c>
      <c r="C1065">
        <v>2013</v>
      </c>
      <c r="D1065">
        <v>1</v>
      </c>
      <c r="E1065">
        <v>2007</v>
      </c>
      <c r="F1065">
        <v>2010</v>
      </c>
      <c r="G1065">
        <v>6.2500000000000014E-2</v>
      </c>
      <c r="H1065">
        <v>16.180442432350635</v>
      </c>
      <c r="I1065">
        <v>1</v>
      </c>
      <c r="J1065">
        <v>0</v>
      </c>
      <c r="K1065">
        <v>0</v>
      </c>
      <c r="L1065" t="s">
        <v>238</v>
      </c>
      <c r="M1065">
        <v>65.354678191892447</v>
      </c>
      <c r="N1065">
        <v>65.354678191892447</v>
      </c>
      <c r="O1065">
        <v>0</v>
      </c>
      <c r="P1065">
        <v>1</v>
      </c>
      <c r="Q1065">
        <v>1</v>
      </c>
      <c r="R1065">
        <v>1</v>
      </c>
      <c r="S1065">
        <v>1</v>
      </c>
      <c r="T1065">
        <v>1</v>
      </c>
      <c r="U1065">
        <v>1</v>
      </c>
      <c r="V1065">
        <v>3</v>
      </c>
      <c r="AA1065">
        <v>0</v>
      </c>
      <c r="AC1065">
        <v>0</v>
      </c>
      <c r="AD1065">
        <v>0</v>
      </c>
      <c r="AE1065">
        <v>0</v>
      </c>
      <c r="AF1065">
        <v>0</v>
      </c>
      <c r="AG1065">
        <v>1</v>
      </c>
      <c r="AH1065">
        <v>23</v>
      </c>
      <c r="AI1065">
        <v>2.42</v>
      </c>
      <c r="AJ1065">
        <v>16</v>
      </c>
    </row>
    <row r="1066" spans="1:36" x14ac:dyDescent="0.2">
      <c r="A1066" t="str">
        <f>+VLOOKUP(B1066,studies!$A$2:$C$102,3)</f>
        <v>Greenstone et al. (2013)</v>
      </c>
      <c r="B1066">
        <v>87</v>
      </c>
      <c r="C1066">
        <v>2013</v>
      </c>
      <c r="D1066">
        <v>1</v>
      </c>
      <c r="E1066">
        <v>2007</v>
      </c>
      <c r="F1066">
        <v>2010</v>
      </c>
      <c r="G1066">
        <v>6.2500000000000014E-2</v>
      </c>
      <c r="H1066">
        <v>45.844586891660136</v>
      </c>
      <c r="I1066">
        <v>1</v>
      </c>
      <c r="J1066">
        <v>0</v>
      </c>
      <c r="K1066">
        <v>0</v>
      </c>
      <c r="L1066" t="s">
        <v>238</v>
      </c>
      <c r="M1066">
        <v>74.297949944467206</v>
      </c>
      <c r="N1066">
        <v>74.297949944467206</v>
      </c>
      <c r="O1066">
        <v>0</v>
      </c>
      <c r="P1066">
        <v>1</v>
      </c>
      <c r="Q1066">
        <v>1</v>
      </c>
      <c r="R1066">
        <v>1</v>
      </c>
      <c r="S1066">
        <v>1</v>
      </c>
      <c r="T1066">
        <v>1</v>
      </c>
      <c r="U1066">
        <v>1</v>
      </c>
      <c r="V1066">
        <v>3</v>
      </c>
      <c r="AA1066">
        <v>0</v>
      </c>
      <c r="AC1066">
        <v>0</v>
      </c>
      <c r="AD1066">
        <v>0</v>
      </c>
      <c r="AE1066">
        <v>0</v>
      </c>
      <c r="AF1066">
        <v>0</v>
      </c>
      <c r="AG1066">
        <v>1</v>
      </c>
      <c r="AH1066">
        <v>23</v>
      </c>
      <c r="AI1066">
        <v>2.42</v>
      </c>
      <c r="AJ1066">
        <v>16</v>
      </c>
    </row>
    <row r="1067" spans="1:36" x14ac:dyDescent="0.2">
      <c r="A1067" t="str">
        <f>+VLOOKUP(B1067,studies!$A$2:$C$102,3)</f>
        <v>Greenstone et al. (2013)</v>
      </c>
      <c r="B1067">
        <v>87</v>
      </c>
      <c r="C1067">
        <v>2013</v>
      </c>
      <c r="D1067">
        <v>1</v>
      </c>
      <c r="E1067">
        <v>2007</v>
      </c>
      <c r="F1067">
        <v>2010</v>
      </c>
      <c r="G1067">
        <v>6.2500000000000014E-2</v>
      </c>
      <c r="H1067">
        <v>-0.89891346846392428</v>
      </c>
      <c r="I1067">
        <v>1</v>
      </c>
      <c r="J1067">
        <v>0</v>
      </c>
      <c r="K1067">
        <v>0</v>
      </c>
      <c r="L1067" t="s">
        <v>238</v>
      </c>
      <c r="M1067">
        <v>44.945673423196212</v>
      </c>
      <c r="N1067">
        <v>44.945673423196212</v>
      </c>
      <c r="O1067">
        <v>0</v>
      </c>
      <c r="P1067">
        <v>1</v>
      </c>
      <c r="Q1067">
        <v>1</v>
      </c>
      <c r="R1067">
        <v>1</v>
      </c>
      <c r="S1067">
        <v>1</v>
      </c>
      <c r="T1067">
        <v>1</v>
      </c>
      <c r="U1067">
        <v>1</v>
      </c>
      <c r="V1067">
        <v>3</v>
      </c>
      <c r="AA1067">
        <v>0</v>
      </c>
      <c r="AC1067">
        <v>0</v>
      </c>
      <c r="AD1067">
        <v>0</v>
      </c>
      <c r="AE1067">
        <v>0</v>
      </c>
      <c r="AF1067">
        <v>0</v>
      </c>
      <c r="AG1067">
        <v>1</v>
      </c>
      <c r="AH1067">
        <v>23</v>
      </c>
      <c r="AI1067">
        <v>2.42</v>
      </c>
      <c r="AJ1067">
        <v>16</v>
      </c>
    </row>
    <row r="1068" spans="1:36" x14ac:dyDescent="0.2">
      <c r="A1068" t="str">
        <f>+VLOOKUP(B1068,studies!$A$2:$C$102,3)</f>
        <v>Greenstone et al. (2013)</v>
      </c>
      <c r="B1068">
        <v>87</v>
      </c>
      <c r="C1068">
        <v>2013</v>
      </c>
      <c r="D1068">
        <v>1</v>
      </c>
      <c r="E1068">
        <v>2007</v>
      </c>
      <c r="F1068">
        <v>2015</v>
      </c>
      <c r="G1068">
        <v>6.2500000000000014E-2</v>
      </c>
      <c r="H1068">
        <v>91.77600421847319</v>
      </c>
      <c r="I1068">
        <v>1</v>
      </c>
      <c r="J1068">
        <v>0</v>
      </c>
      <c r="K1068">
        <v>0</v>
      </c>
      <c r="L1068" t="s">
        <v>238</v>
      </c>
      <c r="M1068">
        <v>96.40336577570713</v>
      </c>
      <c r="N1068">
        <v>96.40336577570713</v>
      </c>
      <c r="O1068">
        <v>0</v>
      </c>
      <c r="P1068">
        <v>1</v>
      </c>
      <c r="Q1068">
        <v>1</v>
      </c>
      <c r="R1068">
        <v>1</v>
      </c>
      <c r="S1068">
        <v>1</v>
      </c>
      <c r="T1068">
        <v>1</v>
      </c>
      <c r="U1068">
        <v>1</v>
      </c>
      <c r="V1068">
        <v>3</v>
      </c>
      <c r="AA1068">
        <v>0</v>
      </c>
      <c r="AC1068">
        <v>0</v>
      </c>
      <c r="AD1068">
        <v>0</v>
      </c>
      <c r="AE1068">
        <v>0</v>
      </c>
      <c r="AF1068">
        <v>0</v>
      </c>
      <c r="AG1068">
        <v>1</v>
      </c>
      <c r="AH1068">
        <v>23</v>
      </c>
      <c r="AI1068">
        <v>2.42</v>
      </c>
      <c r="AJ1068">
        <v>16</v>
      </c>
    </row>
    <row r="1069" spans="1:36" x14ac:dyDescent="0.2">
      <c r="A1069" t="str">
        <f>+VLOOKUP(B1069,studies!$A$2:$C$102,3)</f>
        <v>Newbold et al. (2013)</v>
      </c>
      <c r="B1069">
        <v>92</v>
      </c>
      <c r="C1069">
        <v>2013</v>
      </c>
      <c r="D1069">
        <v>1</v>
      </c>
      <c r="E1069">
        <v>2005</v>
      </c>
      <c r="F1069">
        <v>2005</v>
      </c>
      <c r="G1069">
        <v>1</v>
      </c>
      <c r="H1069">
        <v>61.178851637259505</v>
      </c>
      <c r="I1069">
        <v>0</v>
      </c>
      <c r="J1069">
        <v>0</v>
      </c>
      <c r="K1069">
        <v>1</v>
      </c>
      <c r="M1069">
        <v>136.20523555605084</v>
      </c>
      <c r="N1069">
        <v>136.20523555605084</v>
      </c>
      <c r="O1069">
        <v>1</v>
      </c>
      <c r="P1069">
        <v>1</v>
      </c>
      <c r="Q1069">
        <v>1</v>
      </c>
      <c r="R1069">
        <v>1</v>
      </c>
      <c r="S1069">
        <v>0</v>
      </c>
      <c r="T1069">
        <v>0</v>
      </c>
      <c r="U1069">
        <v>0</v>
      </c>
      <c r="W1069">
        <v>1.34</v>
      </c>
      <c r="X1069">
        <v>1.71</v>
      </c>
      <c r="AA1069">
        <v>0</v>
      </c>
      <c r="AC1069">
        <v>0</v>
      </c>
      <c r="AD1069">
        <v>0</v>
      </c>
      <c r="AE1069">
        <v>0</v>
      </c>
      <c r="AF1069">
        <v>0</v>
      </c>
      <c r="AG1069">
        <v>1</v>
      </c>
      <c r="AH1069">
        <v>1</v>
      </c>
      <c r="AI1069">
        <v>0</v>
      </c>
      <c r="AJ1069">
        <v>1</v>
      </c>
    </row>
    <row r="1070" spans="1:36" x14ac:dyDescent="0.2">
      <c r="A1070" t="str">
        <f>+VLOOKUP(B1070,studies!$A$2:$C$102,3)</f>
        <v>Pycroft et al. (2014)</v>
      </c>
      <c r="B1070">
        <v>101</v>
      </c>
      <c r="C1070">
        <v>2014</v>
      </c>
      <c r="D1070">
        <v>1</v>
      </c>
      <c r="E1070">
        <v>2005</v>
      </c>
      <c r="F1070">
        <v>2009</v>
      </c>
      <c r="G1070">
        <v>0.125</v>
      </c>
      <c r="H1070">
        <v>236.16814046191016</v>
      </c>
      <c r="I1070">
        <v>1</v>
      </c>
      <c r="J1070">
        <v>0</v>
      </c>
      <c r="K1070">
        <v>0</v>
      </c>
      <c r="M1070">
        <v>92.880752520096493</v>
      </c>
      <c r="N1070">
        <v>446.83172833992353</v>
      </c>
      <c r="O1070">
        <v>0</v>
      </c>
      <c r="P1070">
        <v>1</v>
      </c>
      <c r="Q1070">
        <v>0</v>
      </c>
      <c r="R1070">
        <v>1</v>
      </c>
      <c r="S1070">
        <v>0</v>
      </c>
      <c r="T1070">
        <v>0</v>
      </c>
      <c r="U1070">
        <v>1</v>
      </c>
      <c r="AA1070">
        <v>1</v>
      </c>
      <c r="AC1070">
        <v>1</v>
      </c>
      <c r="AD1070">
        <v>0</v>
      </c>
      <c r="AE1070">
        <v>0</v>
      </c>
      <c r="AF1070">
        <v>0</v>
      </c>
      <c r="AG1070">
        <v>1</v>
      </c>
      <c r="AH1070">
        <v>0</v>
      </c>
      <c r="AI1070">
        <v>2.42</v>
      </c>
      <c r="AJ1070">
        <v>8</v>
      </c>
    </row>
    <row r="1071" spans="1:36" x14ac:dyDescent="0.2">
      <c r="A1071" t="str">
        <f>+VLOOKUP(B1071,studies!$A$2:$C$102,3)</f>
        <v>Pycroft et al. (2014)</v>
      </c>
      <c r="B1071">
        <v>101</v>
      </c>
      <c r="C1071">
        <v>2014</v>
      </c>
      <c r="D1071">
        <v>1</v>
      </c>
      <c r="E1071">
        <v>2005</v>
      </c>
      <c r="F1071">
        <v>2009</v>
      </c>
      <c r="G1071">
        <v>0.125</v>
      </c>
      <c r="H1071">
        <v>285.36983639147473</v>
      </c>
      <c r="I1071">
        <v>1</v>
      </c>
      <c r="J1071">
        <v>0</v>
      </c>
      <c r="K1071">
        <v>0</v>
      </c>
      <c r="M1071">
        <v>115.47336799795778</v>
      </c>
      <c r="N1071">
        <v>1081.9352523286911</v>
      </c>
      <c r="O1071">
        <v>0</v>
      </c>
      <c r="P1071">
        <v>1</v>
      </c>
      <c r="Q1071">
        <v>0</v>
      </c>
      <c r="R1071">
        <v>1</v>
      </c>
      <c r="S1071">
        <v>0</v>
      </c>
      <c r="T1071">
        <v>0</v>
      </c>
      <c r="U1071">
        <v>1</v>
      </c>
      <c r="AA1071">
        <v>1</v>
      </c>
      <c r="AC1071">
        <v>1</v>
      </c>
      <c r="AD1071">
        <v>0</v>
      </c>
      <c r="AE1071">
        <v>0</v>
      </c>
      <c r="AF1071">
        <v>0</v>
      </c>
      <c r="AG1071">
        <v>1</v>
      </c>
      <c r="AH1071">
        <v>0</v>
      </c>
      <c r="AI1071">
        <v>2.42</v>
      </c>
      <c r="AJ1071">
        <v>8</v>
      </c>
    </row>
    <row r="1072" spans="1:36" x14ac:dyDescent="0.2">
      <c r="A1072" t="str">
        <f>+VLOOKUP(B1072,studies!$A$2:$C$102,3)</f>
        <v>Pycroft et al. (2014)</v>
      </c>
      <c r="B1072">
        <v>101</v>
      </c>
      <c r="C1072">
        <v>2014</v>
      </c>
      <c r="D1072">
        <v>1</v>
      </c>
      <c r="E1072">
        <v>2005</v>
      </c>
      <c r="F1072">
        <v>2009</v>
      </c>
      <c r="G1072">
        <v>0.125</v>
      </c>
      <c r="H1072">
        <v>280.44966679851831</v>
      </c>
      <c r="I1072">
        <v>1</v>
      </c>
      <c r="J1072">
        <v>0</v>
      </c>
      <c r="K1072">
        <v>0</v>
      </c>
      <c r="M1072">
        <v>112.96307738930652</v>
      </c>
      <c r="N1072">
        <v>1240.0835606737205</v>
      </c>
      <c r="O1072">
        <v>0</v>
      </c>
      <c r="P1072">
        <v>1</v>
      </c>
      <c r="Q1072">
        <v>0</v>
      </c>
      <c r="R1072">
        <v>1</v>
      </c>
      <c r="S1072">
        <v>0</v>
      </c>
      <c r="T1072">
        <v>0</v>
      </c>
      <c r="U1072">
        <v>1</v>
      </c>
      <c r="AA1072">
        <v>1</v>
      </c>
      <c r="AC1072">
        <v>1</v>
      </c>
      <c r="AD1072">
        <v>0</v>
      </c>
      <c r="AE1072">
        <v>0</v>
      </c>
      <c r="AF1072">
        <v>0</v>
      </c>
      <c r="AG1072">
        <v>1</v>
      </c>
      <c r="AH1072">
        <v>0</v>
      </c>
      <c r="AI1072">
        <v>2.42</v>
      </c>
      <c r="AJ1072">
        <v>8</v>
      </c>
    </row>
    <row r="1073" spans="1:36" x14ac:dyDescent="0.2">
      <c r="A1073" t="str">
        <f>+VLOOKUP(B1073,studies!$A$2:$C$102,3)</f>
        <v>Pycroft et al. (2014)</v>
      </c>
      <c r="B1073">
        <v>101</v>
      </c>
      <c r="C1073">
        <v>2014</v>
      </c>
      <c r="D1073">
        <v>1</v>
      </c>
      <c r="E1073">
        <v>2005</v>
      </c>
      <c r="F1073">
        <v>2009</v>
      </c>
      <c r="G1073">
        <v>0.125</v>
      </c>
      <c r="H1073">
        <v>270.6093276126054</v>
      </c>
      <c r="I1073">
        <v>1</v>
      </c>
      <c r="J1073">
        <v>0</v>
      </c>
      <c r="K1073">
        <v>0</v>
      </c>
      <c r="M1073">
        <v>110.45278678065525</v>
      </c>
      <c r="N1073">
        <v>1968.0678371825845</v>
      </c>
      <c r="O1073">
        <v>0</v>
      </c>
      <c r="P1073">
        <v>1</v>
      </c>
      <c r="Q1073">
        <v>0</v>
      </c>
      <c r="R1073">
        <v>1</v>
      </c>
      <c r="S1073">
        <v>0</v>
      </c>
      <c r="T1073">
        <v>0</v>
      </c>
      <c r="U1073">
        <v>1</v>
      </c>
      <c r="AA1073">
        <v>1</v>
      </c>
      <c r="AC1073">
        <v>1</v>
      </c>
      <c r="AD1073">
        <v>0</v>
      </c>
      <c r="AE1073">
        <v>0</v>
      </c>
      <c r="AF1073">
        <v>0</v>
      </c>
      <c r="AG1073">
        <v>1</v>
      </c>
      <c r="AH1073">
        <v>0</v>
      </c>
      <c r="AI1073">
        <v>2.42</v>
      </c>
      <c r="AJ1073">
        <v>8</v>
      </c>
    </row>
    <row r="1074" spans="1:36" x14ac:dyDescent="0.2">
      <c r="A1074" t="str">
        <f>+VLOOKUP(B1074,studies!$A$2:$C$102,3)</f>
        <v>Pycroft et al. (2014)</v>
      </c>
      <c r="B1074">
        <v>101</v>
      </c>
      <c r="C1074">
        <v>2014</v>
      </c>
      <c r="D1074">
        <v>1</v>
      </c>
      <c r="E1074">
        <v>2005</v>
      </c>
      <c r="F1074">
        <v>2009</v>
      </c>
      <c r="G1074">
        <v>0.125</v>
      </c>
      <c r="H1074">
        <v>300.13034517034413</v>
      </c>
      <c r="I1074">
        <v>1</v>
      </c>
      <c r="J1074">
        <v>0</v>
      </c>
      <c r="K1074">
        <v>0</v>
      </c>
      <c r="M1074">
        <v>110.45278678065525</v>
      </c>
      <c r="N1074">
        <v>481.9757968610412</v>
      </c>
      <c r="O1074">
        <v>0</v>
      </c>
      <c r="P1074">
        <v>1</v>
      </c>
      <c r="Q1074">
        <v>0</v>
      </c>
      <c r="R1074">
        <v>1</v>
      </c>
      <c r="S1074">
        <v>0</v>
      </c>
      <c r="T1074">
        <v>0</v>
      </c>
      <c r="U1074">
        <v>1</v>
      </c>
      <c r="AA1074">
        <v>1</v>
      </c>
      <c r="AC1074">
        <v>1</v>
      </c>
      <c r="AD1074">
        <v>0</v>
      </c>
      <c r="AE1074">
        <v>0</v>
      </c>
      <c r="AF1074">
        <v>0</v>
      </c>
      <c r="AG1074">
        <v>1</v>
      </c>
      <c r="AH1074">
        <v>0</v>
      </c>
      <c r="AI1074">
        <v>2.42</v>
      </c>
      <c r="AJ1074">
        <v>8</v>
      </c>
    </row>
    <row r="1075" spans="1:36" x14ac:dyDescent="0.2">
      <c r="A1075" t="str">
        <f>+VLOOKUP(B1075,studies!$A$2:$C$102,3)</f>
        <v>Pycroft et al. (2014)</v>
      </c>
      <c r="B1075">
        <v>101</v>
      </c>
      <c r="C1075">
        <v>2014</v>
      </c>
      <c r="D1075">
        <v>1</v>
      </c>
      <c r="E1075">
        <v>2005</v>
      </c>
      <c r="F1075">
        <v>2009</v>
      </c>
      <c r="G1075">
        <v>0.125</v>
      </c>
      <c r="H1075">
        <v>339.49170191399588</v>
      </c>
      <c r="I1075">
        <v>1</v>
      </c>
      <c r="J1075">
        <v>0</v>
      </c>
      <c r="K1075">
        <v>0</v>
      </c>
      <c r="M1075">
        <v>130.53511164986534</v>
      </c>
      <c r="N1075">
        <v>1167.2851330228341</v>
      </c>
      <c r="O1075">
        <v>0</v>
      </c>
      <c r="P1075">
        <v>1</v>
      </c>
      <c r="Q1075">
        <v>0</v>
      </c>
      <c r="R1075">
        <v>1</v>
      </c>
      <c r="S1075">
        <v>0</v>
      </c>
      <c r="T1075">
        <v>0</v>
      </c>
      <c r="U1075">
        <v>1</v>
      </c>
      <c r="AA1075">
        <v>1</v>
      </c>
      <c r="AC1075">
        <v>1</v>
      </c>
      <c r="AD1075">
        <v>0</v>
      </c>
      <c r="AE1075">
        <v>0</v>
      </c>
      <c r="AF1075">
        <v>0</v>
      </c>
      <c r="AG1075">
        <v>1</v>
      </c>
      <c r="AH1075">
        <v>0</v>
      </c>
      <c r="AI1075">
        <v>2.42</v>
      </c>
      <c r="AJ1075">
        <v>8</v>
      </c>
    </row>
    <row r="1076" spans="1:36" x14ac:dyDescent="0.2">
      <c r="A1076" t="str">
        <f>+VLOOKUP(B1076,studies!$A$2:$C$102,3)</f>
        <v>Pycroft et al. (2014)</v>
      </c>
      <c r="B1076">
        <v>101</v>
      </c>
      <c r="C1076">
        <v>2014</v>
      </c>
      <c r="D1076">
        <v>1</v>
      </c>
      <c r="E1076">
        <v>2005</v>
      </c>
      <c r="F1076">
        <v>2009</v>
      </c>
      <c r="G1076">
        <v>0.125</v>
      </c>
      <c r="H1076">
        <v>334.57153232103934</v>
      </c>
      <c r="I1076">
        <v>1</v>
      </c>
      <c r="J1076">
        <v>0</v>
      </c>
      <c r="K1076">
        <v>0</v>
      </c>
      <c r="M1076">
        <v>128.02482104121407</v>
      </c>
      <c r="N1076">
        <v>1267.6967573688844</v>
      </c>
      <c r="O1076">
        <v>0</v>
      </c>
      <c r="P1076">
        <v>1</v>
      </c>
      <c r="Q1076">
        <v>0</v>
      </c>
      <c r="R1076">
        <v>1</v>
      </c>
      <c r="S1076">
        <v>0</v>
      </c>
      <c r="T1076">
        <v>0</v>
      </c>
      <c r="U1076">
        <v>1</v>
      </c>
      <c r="AA1076">
        <v>1</v>
      </c>
      <c r="AC1076">
        <v>1</v>
      </c>
      <c r="AD1076">
        <v>0</v>
      </c>
      <c r="AE1076">
        <v>0</v>
      </c>
      <c r="AF1076">
        <v>0</v>
      </c>
      <c r="AG1076">
        <v>1</v>
      </c>
      <c r="AH1076">
        <v>0</v>
      </c>
      <c r="AI1076">
        <v>2.42</v>
      </c>
      <c r="AJ1076">
        <v>8</v>
      </c>
    </row>
    <row r="1077" spans="1:36" x14ac:dyDescent="0.2">
      <c r="A1077" t="str">
        <f>+VLOOKUP(B1077,studies!$A$2:$C$102,3)</f>
        <v>Pycroft et al. (2014)</v>
      </c>
      <c r="B1077">
        <v>101</v>
      </c>
      <c r="C1077">
        <v>2014</v>
      </c>
      <c r="D1077">
        <v>1</v>
      </c>
      <c r="E1077">
        <v>2005</v>
      </c>
      <c r="F1077">
        <v>2009</v>
      </c>
      <c r="G1077">
        <v>0.125</v>
      </c>
      <c r="H1077">
        <v>324.73119313512649</v>
      </c>
      <c r="I1077">
        <v>1</v>
      </c>
      <c r="J1077">
        <v>0</v>
      </c>
      <c r="K1077">
        <v>0</v>
      </c>
      <c r="M1077">
        <v>123.00423982391156</v>
      </c>
      <c r="N1077">
        <v>2076.010333354589</v>
      </c>
      <c r="O1077">
        <v>0</v>
      </c>
      <c r="P1077">
        <v>1</v>
      </c>
      <c r="Q1077">
        <v>0</v>
      </c>
      <c r="R1077">
        <v>1</v>
      </c>
      <c r="S1077">
        <v>0</v>
      </c>
      <c r="T1077">
        <v>0</v>
      </c>
      <c r="U1077">
        <v>1</v>
      </c>
      <c r="AA1077">
        <v>1</v>
      </c>
      <c r="AC1077">
        <v>1</v>
      </c>
      <c r="AD1077">
        <v>0</v>
      </c>
      <c r="AE1077">
        <v>0</v>
      </c>
      <c r="AF1077">
        <v>0</v>
      </c>
      <c r="AG1077">
        <v>1</v>
      </c>
      <c r="AH1077">
        <v>0</v>
      </c>
      <c r="AI1077">
        <v>2.42</v>
      </c>
      <c r="AJ1077">
        <v>8</v>
      </c>
    </row>
    <row r="1078" spans="1:36" x14ac:dyDescent="0.2">
      <c r="A1078" t="str">
        <f>+VLOOKUP(B1078,studies!$A$2:$C$102,3)</f>
        <v>Nordhaus (1982)</v>
      </c>
      <c r="B1078">
        <v>1</v>
      </c>
      <c r="C1078">
        <v>1982</v>
      </c>
      <c r="D1078">
        <v>1</v>
      </c>
      <c r="E1078">
        <v>1980</v>
      </c>
      <c r="F1078">
        <v>1980</v>
      </c>
      <c r="H1078">
        <v>1134.2849682083574</v>
      </c>
      <c r="I1078">
        <v>0</v>
      </c>
      <c r="J1078">
        <v>1</v>
      </c>
      <c r="K1078">
        <v>0</v>
      </c>
      <c r="M1078">
        <v>887.8084431739469</v>
      </c>
      <c r="N1078">
        <v>999.09259422698324</v>
      </c>
      <c r="O1078">
        <v>1</v>
      </c>
      <c r="P1078">
        <v>0</v>
      </c>
      <c r="Q1078">
        <v>0</v>
      </c>
      <c r="R1078">
        <v>0</v>
      </c>
      <c r="S1078">
        <v>0</v>
      </c>
      <c r="T1078">
        <v>0</v>
      </c>
      <c r="U1078">
        <v>0</v>
      </c>
      <c r="W1078">
        <v>1</v>
      </c>
      <c r="Y1078">
        <v>2.5</v>
      </c>
      <c r="AA1078">
        <v>0</v>
      </c>
      <c r="AC1078">
        <v>0</v>
      </c>
      <c r="AD1078">
        <v>1</v>
      </c>
      <c r="AE1078">
        <v>0</v>
      </c>
      <c r="AF1078">
        <v>0</v>
      </c>
      <c r="AG1078">
        <v>2</v>
      </c>
      <c r="AH1078">
        <v>132</v>
      </c>
      <c r="AI1078">
        <v>6.46</v>
      </c>
      <c r="AJ1078">
        <v>1</v>
      </c>
    </row>
    <row r="1079" spans="1:36" x14ac:dyDescent="0.2">
      <c r="A1079" t="str">
        <f>+VLOOKUP(B1079,studies!$A$2:$C$102,3)</f>
        <v>Nordhaus (1991)</v>
      </c>
      <c r="B1079">
        <v>3</v>
      </c>
      <c r="C1079">
        <v>1991</v>
      </c>
      <c r="D1079">
        <v>1</v>
      </c>
      <c r="E1079">
        <v>1989</v>
      </c>
      <c r="F1079">
        <v>1990</v>
      </c>
      <c r="H1079">
        <v>101.67174543553476</v>
      </c>
      <c r="I1079">
        <v>0</v>
      </c>
      <c r="J1079">
        <v>1</v>
      </c>
      <c r="K1079">
        <v>0</v>
      </c>
      <c r="M1079">
        <v>47.103539940621395</v>
      </c>
      <c r="N1079">
        <v>321.44486045416227</v>
      </c>
      <c r="O1079">
        <v>1</v>
      </c>
      <c r="P1079">
        <v>0</v>
      </c>
      <c r="Q1079">
        <v>0</v>
      </c>
      <c r="R1079">
        <v>0</v>
      </c>
      <c r="S1079">
        <v>0</v>
      </c>
      <c r="T1079">
        <v>1</v>
      </c>
      <c r="U1079">
        <v>0</v>
      </c>
      <c r="V1079">
        <v>3.6666666666666665</v>
      </c>
      <c r="W1079">
        <v>1.6666666666666667</v>
      </c>
      <c r="X1079">
        <v>1</v>
      </c>
      <c r="Y1079">
        <v>2</v>
      </c>
      <c r="Z1079">
        <v>1</v>
      </c>
      <c r="AA1079">
        <v>0</v>
      </c>
      <c r="AC1079">
        <v>0</v>
      </c>
      <c r="AD1079">
        <v>1</v>
      </c>
      <c r="AE1079">
        <v>0</v>
      </c>
      <c r="AF1079">
        <v>0</v>
      </c>
      <c r="AG1079">
        <v>2</v>
      </c>
      <c r="AH1079">
        <v>1166</v>
      </c>
      <c r="AI1079">
        <v>3.46</v>
      </c>
      <c r="AJ1079">
        <v>1</v>
      </c>
    </row>
    <row r="1080" spans="1:36" x14ac:dyDescent="0.2">
      <c r="A1080" t="str">
        <f>+VLOOKUP(B1080,studies!$A$2:$C$102,3)</f>
        <v>Haraden (1993)</v>
      </c>
      <c r="B1080">
        <v>8</v>
      </c>
      <c r="C1080">
        <v>1993</v>
      </c>
      <c r="D1080">
        <v>1</v>
      </c>
      <c r="E1080">
        <v>1989</v>
      </c>
      <c r="F1080">
        <v>1989</v>
      </c>
      <c r="H1080">
        <v>11.623804019723982</v>
      </c>
      <c r="I1080">
        <v>0</v>
      </c>
      <c r="J1080">
        <v>1</v>
      </c>
      <c r="K1080">
        <v>0</v>
      </c>
      <c r="M1080">
        <v>2.0239365648642802</v>
      </c>
      <c r="N1080">
        <v>10.388346970099844</v>
      </c>
      <c r="O1080">
        <v>0</v>
      </c>
      <c r="P1080">
        <v>0</v>
      </c>
      <c r="Q1080">
        <v>0</v>
      </c>
      <c r="R1080">
        <v>0</v>
      </c>
      <c r="S1080">
        <v>0</v>
      </c>
      <c r="T1080">
        <v>0</v>
      </c>
      <c r="U1080">
        <v>0</v>
      </c>
      <c r="V1080">
        <v>4</v>
      </c>
      <c r="W1080">
        <v>2</v>
      </c>
      <c r="X1080">
        <v>1.25</v>
      </c>
      <c r="Y1080">
        <v>2.6333333333333333</v>
      </c>
      <c r="Z1080">
        <v>0.8</v>
      </c>
      <c r="AA1080">
        <v>0</v>
      </c>
      <c r="AC1080">
        <v>0</v>
      </c>
      <c r="AD1080">
        <v>0</v>
      </c>
      <c r="AE1080">
        <v>0</v>
      </c>
      <c r="AF1080">
        <v>0</v>
      </c>
      <c r="AG1080">
        <v>2</v>
      </c>
      <c r="AH1080">
        <v>9</v>
      </c>
      <c r="AI1080">
        <v>1.85</v>
      </c>
      <c r="AJ1080">
        <v>1</v>
      </c>
    </row>
    <row r="1081" spans="1:36" x14ac:dyDescent="0.2">
      <c r="A1081" t="str">
        <f>+VLOOKUP(B1081,studies!$A$2:$C$102,3)</f>
        <v>Parry (1993)</v>
      </c>
      <c r="B1081">
        <v>10</v>
      </c>
      <c r="C1081">
        <v>1993</v>
      </c>
      <c r="D1081">
        <v>1</v>
      </c>
      <c r="E1081">
        <v>1991</v>
      </c>
      <c r="F1081">
        <v>1990</v>
      </c>
      <c r="H1081">
        <v>1.5406383808306636</v>
      </c>
      <c r="I1081">
        <v>0</v>
      </c>
      <c r="J1081">
        <v>1</v>
      </c>
      <c r="K1081">
        <v>0</v>
      </c>
      <c r="M1081">
        <v>0.75414738405917192</v>
      </c>
      <c r="N1081">
        <v>892.40988545359949</v>
      </c>
      <c r="O1081">
        <v>0</v>
      </c>
      <c r="P1081">
        <v>1</v>
      </c>
      <c r="Q1081">
        <v>0</v>
      </c>
      <c r="R1081">
        <v>0</v>
      </c>
      <c r="S1081">
        <v>0</v>
      </c>
      <c r="T1081">
        <v>1</v>
      </c>
      <c r="U1081">
        <v>0</v>
      </c>
      <c r="W1081">
        <v>0</v>
      </c>
      <c r="AA1081">
        <v>0</v>
      </c>
      <c r="AC1081">
        <v>0</v>
      </c>
      <c r="AD1081">
        <v>0</v>
      </c>
      <c r="AE1081">
        <v>0</v>
      </c>
      <c r="AF1081">
        <v>0</v>
      </c>
      <c r="AG1081">
        <v>2</v>
      </c>
      <c r="AH1081">
        <v>23</v>
      </c>
      <c r="AI1081">
        <v>1.1299999999999999</v>
      </c>
      <c r="AJ1081">
        <v>1</v>
      </c>
    </row>
    <row r="1082" spans="1:36" x14ac:dyDescent="0.2">
      <c r="A1082" t="str">
        <f>+VLOOKUP(B1082,studies!$A$2:$C$102,3)</f>
        <v>Peck &amp; Teisberg (1993)</v>
      </c>
      <c r="B1082">
        <v>11</v>
      </c>
      <c r="C1082">
        <v>1993</v>
      </c>
      <c r="D1082">
        <v>1</v>
      </c>
      <c r="E1082">
        <v>1989</v>
      </c>
      <c r="F1082">
        <v>2030</v>
      </c>
      <c r="H1082">
        <v>24.543218781004448</v>
      </c>
      <c r="I1082">
        <v>0</v>
      </c>
      <c r="J1082">
        <v>1</v>
      </c>
      <c r="K1082">
        <v>0</v>
      </c>
      <c r="M1082">
        <v>8.6407813835607588</v>
      </c>
      <c r="N1082">
        <v>15.695058644238223</v>
      </c>
      <c r="O1082">
        <v>0</v>
      </c>
      <c r="P1082">
        <v>1</v>
      </c>
      <c r="Q1082">
        <v>0</v>
      </c>
      <c r="R1082">
        <v>1</v>
      </c>
      <c r="S1082">
        <v>0</v>
      </c>
      <c r="T1082">
        <v>0</v>
      </c>
      <c r="U1082">
        <v>0</v>
      </c>
      <c r="V1082">
        <v>5</v>
      </c>
      <c r="W1082">
        <v>3</v>
      </c>
      <c r="AA1082">
        <v>0</v>
      </c>
      <c r="AC1082">
        <v>0</v>
      </c>
      <c r="AD1082">
        <v>0</v>
      </c>
      <c r="AE1082">
        <v>0</v>
      </c>
      <c r="AF1082">
        <v>1</v>
      </c>
      <c r="AG1082">
        <v>2</v>
      </c>
      <c r="AH1082">
        <v>198</v>
      </c>
      <c r="AI1082">
        <v>1.1299999999999999</v>
      </c>
      <c r="AJ1082">
        <v>1</v>
      </c>
    </row>
    <row r="1083" spans="1:36" x14ac:dyDescent="0.2">
      <c r="A1083" t="str">
        <f>+VLOOKUP(B1083,studies!$A$2:$C$102,3)</f>
        <v>Reilly &amp; Richards (1993)</v>
      </c>
      <c r="B1083">
        <v>12</v>
      </c>
      <c r="C1083">
        <v>1993</v>
      </c>
      <c r="D1083">
        <v>1</v>
      </c>
      <c r="E1083">
        <v>1990</v>
      </c>
      <c r="F1083">
        <v>1990</v>
      </c>
      <c r="H1083">
        <v>71.719772706033922</v>
      </c>
      <c r="I1083">
        <v>0</v>
      </c>
      <c r="J1083">
        <v>1</v>
      </c>
      <c r="K1083">
        <v>0</v>
      </c>
      <c r="M1083">
        <v>18.060867682010034</v>
      </c>
      <c r="N1083">
        <v>52.705506060884318</v>
      </c>
      <c r="O1083">
        <v>0</v>
      </c>
      <c r="P1083">
        <v>1</v>
      </c>
      <c r="Q1083">
        <v>0</v>
      </c>
      <c r="R1083">
        <v>0</v>
      </c>
      <c r="S1083">
        <v>0</v>
      </c>
      <c r="T1083">
        <v>0</v>
      </c>
      <c r="U1083">
        <v>0</v>
      </c>
      <c r="V1083">
        <v>5</v>
      </c>
      <c r="W1083">
        <v>3</v>
      </c>
      <c r="AA1083">
        <v>0</v>
      </c>
      <c r="AC1083">
        <v>0</v>
      </c>
      <c r="AD1083">
        <v>0</v>
      </c>
      <c r="AE1083">
        <v>0</v>
      </c>
      <c r="AF1083">
        <v>0</v>
      </c>
      <c r="AG1083">
        <v>2</v>
      </c>
      <c r="AH1083">
        <v>115</v>
      </c>
      <c r="AI1083">
        <v>1.65</v>
      </c>
      <c r="AJ1083">
        <v>1</v>
      </c>
    </row>
    <row r="1084" spans="1:36" x14ac:dyDescent="0.2">
      <c r="A1084" t="str">
        <f>+VLOOKUP(B1084,studies!$A$2:$C$102,3)</f>
        <v>Azar (1994)</v>
      </c>
      <c r="B1084">
        <v>13</v>
      </c>
      <c r="C1084">
        <v>1994</v>
      </c>
      <c r="D1084">
        <v>1</v>
      </c>
      <c r="E1084">
        <v>1990</v>
      </c>
      <c r="F1084">
        <v>1990</v>
      </c>
      <c r="H1084">
        <v>717.79589030225782</v>
      </c>
      <c r="I1084">
        <v>0</v>
      </c>
      <c r="J1084">
        <v>1</v>
      </c>
      <c r="K1084">
        <v>0</v>
      </c>
      <c r="M1084">
        <v>247.20011528266528</v>
      </c>
      <c r="N1084">
        <v>494.40023056533062</v>
      </c>
      <c r="O1084">
        <v>0</v>
      </c>
      <c r="P1084">
        <v>0</v>
      </c>
      <c r="Q1084">
        <v>0</v>
      </c>
      <c r="R1084">
        <v>0</v>
      </c>
      <c r="S1084">
        <v>0</v>
      </c>
      <c r="T1084">
        <v>0</v>
      </c>
      <c r="U1084">
        <v>0</v>
      </c>
      <c r="W1084">
        <v>0</v>
      </c>
      <c r="AA1084">
        <v>0</v>
      </c>
      <c r="AC1084">
        <v>0</v>
      </c>
      <c r="AD1084">
        <v>0</v>
      </c>
      <c r="AE1084">
        <v>0</v>
      </c>
      <c r="AF1084">
        <v>0</v>
      </c>
      <c r="AG1084">
        <v>2</v>
      </c>
      <c r="AH1084">
        <v>14</v>
      </c>
      <c r="AI1084">
        <v>1.85</v>
      </c>
      <c r="AJ1084">
        <v>1</v>
      </c>
    </row>
    <row r="1085" spans="1:36" x14ac:dyDescent="0.2">
      <c r="A1085" t="str">
        <f>+VLOOKUP(B1085,studies!$A$2:$C$102,3)</f>
        <v>Schauer (1995)</v>
      </c>
      <c r="B1085">
        <v>17</v>
      </c>
      <c r="C1085">
        <v>1995</v>
      </c>
      <c r="D1085">
        <v>1</v>
      </c>
      <c r="E1085">
        <v>1990</v>
      </c>
      <c r="F1085">
        <v>1990</v>
      </c>
      <c r="H1085">
        <v>99.204775508949325</v>
      </c>
      <c r="I1085">
        <v>0</v>
      </c>
      <c r="J1085">
        <v>0</v>
      </c>
      <c r="K1085">
        <v>1</v>
      </c>
      <c r="M1085">
        <v>93.705105128232759</v>
      </c>
      <c r="N1085">
        <v>105.85464829447196</v>
      </c>
      <c r="O1085">
        <v>1</v>
      </c>
      <c r="P1085">
        <v>1</v>
      </c>
      <c r="Q1085">
        <v>0</v>
      </c>
      <c r="R1085">
        <v>1</v>
      </c>
      <c r="S1085">
        <v>0</v>
      </c>
      <c r="T1085">
        <v>0</v>
      </c>
      <c r="U1085">
        <v>0</v>
      </c>
      <c r="V1085">
        <v>4.91</v>
      </c>
      <c r="W1085">
        <v>2.3000000000000003</v>
      </c>
      <c r="AA1085">
        <v>0</v>
      </c>
      <c r="AC1085">
        <v>0</v>
      </c>
      <c r="AD1085">
        <v>0</v>
      </c>
      <c r="AE1085">
        <v>0</v>
      </c>
      <c r="AF1085">
        <v>0</v>
      </c>
      <c r="AG1085">
        <v>2</v>
      </c>
      <c r="AH1085">
        <v>15</v>
      </c>
      <c r="AI1085">
        <v>1.65</v>
      </c>
      <c r="AJ1085">
        <v>1</v>
      </c>
    </row>
    <row r="1086" spans="1:36" x14ac:dyDescent="0.2">
      <c r="A1086" t="str">
        <f>+VLOOKUP(B1086,studies!$A$2:$C$102,3)</f>
        <v>Azar &amp; Sterner (1996)</v>
      </c>
      <c r="B1086">
        <v>18</v>
      </c>
      <c r="C1086">
        <v>1996</v>
      </c>
      <c r="D1086">
        <v>1</v>
      </c>
      <c r="E1086">
        <v>1990</v>
      </c>
      <c r="F1086">
        <v>1990</v>
      </c>
      <c r="H1086">
        <v>323.00815063601601</v>
      </c>
      <c r="I1086">
        <v>0</v>
      </c>
      <c r="J1086">
        <v>1</v>
      </c>
      <c r="K1086">
        <v>0</v>
      </c>
      <c r="M1086">
        <v>140.99562130937207</v>
      </c>
      <c r="N1086">
        <v>668.35586724572477</v>
      </c>
      <c r="O1086">
        <v>0</v>
      </c>
      <c r="P1086">
        <v>1</v>
      </c>
      <c r="Q1086">
        <v>0</v>
      </c>
      <c r="R1086">
        <v>1</v>
      </c>
      <c r="S1086">
        <v>0</v>
      </c>
      <c r="T1086">
        <v>0</v>
      </c>
      <c r="U1086">
        <v>0</v>
      </c>
      <c r="V1086">
        <v>3.0249999999999999</v>
      </c>
      <c r="W1086">
        <v>1.0249999999999999</v>
      </c>
      <c r="AA1086">
        <v>0</v>
      </c>
      <c r="AC1086">
        <v>0</v>
      </c>
      <c r="AD1086">
        <v>0</v>
      </c>
      <c r="AE1086">
        <v>0</v>
      </c>
      <c r="AF1086">
        <v>0</v>
      </c>
      <c r="AG1086">
        <v>2</v>
      </c>
      <c r="AH1086">
        <v>297</v>
      </c>
      <c r="AI1086">
        <v>1.93</v>
      </c>
      <c r="AJ1086">
        <v>1</v>
      </c>
    </row>
    <row r="1087" spans="1:36" x14ac:dyDescent="0.2">
      <c r="A1087" t="str">
        <f>+VLOOKUP(B1087,studies!$A$2:$C$102,3)</f>
        <v>Downing et al. (1996)</v>
      </c>
      <c r="B1087">
        <v>19</v>
      </c>
      <c r="C1087">
        <v>1996</v>
      </c>
      <c r="D1087">
        <v>0</v>
      </c>
      <c r="E1087">
        <v>1990</v>
      </c>
      <c r="F1087">
        <v>1995</v>
      </c>
      <c r="H1087">
        <v>110.47178942351829</v>
      </c>
      <c r="I1087">
        <v>0</v>
      </c>
      <c r="J1087">
        <v>1</v>
      </c>
      <c r="K1087">
        <v>0</v>
      </c>
      <c r="M1087">
        <v>61.493937384326905</v>
      </c>
      <c r="N1087">
        <v>68.573882610915803</v>
      </c>
      <c r="O1087">
        <v>1</v>
      </c>
      <c r="P1087">
        <v>0</v>
      </c>
      <c r="Q1087">
        <v>1</v>
      </c>
      <c r="R1087">
        <v>1</v>
      </c>
      <c r="S1087">
        <v>0</v>
      </c>
      <c r="T1087">
        <v>0</v>
      </c>
      <c r="U1087">
        <v>0</v>
      </c>
      <c r="V1087">
        <v>0</v>
      </c>
      <c r="W1087">
        <v>-2</v>
      </c>
      <c r="AA1087">
        <v>0</v>
      </c>
      <c r="AC1087">
        <v>0</v>
      </c>
      <c r="AD1087">
        <v>0</v>
      </c>
      <c r="AE1087">
        <v>0</v>
      </c>
      <c r="AF1087">
        <v>0</v>
      </c>
      <c r="AG1087">
        <v>2</v>
      </c>
      <c r="AH1087">
        <v>19</v>
      </c>
      <c r="AI1087">
        <v>0</v>
      </c>
      <c r="AJ1087">
        <v>1</v>
      </c>
    </row>
    <row r="1088" spans="1:36" x14ac:dyDescent="0.2">
      <c r="A1088" t="str">
        <f>+VLOOKUP(B1088,studies!$A$2:$C$102,3)</f>
        <v>Hope &amp; Maul (1996)</v>
      </c>
      <c r="B1088">
        <v>21</v>
      </c>
      <c r="C1088">
        <v>1996</v>
      </c>
      <c r="D1088">
        <v>1</v>
      </c>
      <c r="E1088">
        <v>1990</v>
      </c>
      <c r="F1088">
        <v>1990</v>
      </c>
      <c r="H1088">
        <v>50.245712321158052</v>
      </c>
      <c r="I1088">
        <v>1</v>
      </c>
      <c r="J1088">
        <v>0</v>
      </c>
      <c r="K1088">
        <v>0</v>
      </c>
      <c r="M1088">
        <v>15.564451702982632</v>
      </c>
      <c r="N1088">
        <v>25.177789519530734</v>
      </c>
      <c r="O1088">
        <v>1</v>
      </c>
      <c r="P1088">
        <v>1</v>
      </c>
      <c r="Q1088">
        <v>0</v>
      </c>
      <c r="R1088">
        <v>0</v>
      </c>
      <c r="S1088">
        <v>0</v>
      </c>
      <c r="T1088">
        <v>0</v>
      </c>
      <c r="U1088">
        <v>1</v>
      </c>
      <c r="V1088">
        <v>4</v>
      </c>
      <c r="W1088">
        <v>2</v>
      </c>
      <c r="AA1088">
        <v>0</v>
      </c>
      <c r="AC1088">
        <v>1</v>
      </c>
      <c r="AD1088">
        <v>0</v>
      </c>
      <c r="AE1088">
        <v>0</v>
      </c>
      <c r="AF1088">
        <v>0</v>
      </c>
      <c r="AG1088">
        <v>2</v>
      </c>
      <c r="AH1088">
        <v>38</v>
      </c>
      <c r="AI1088">
        <v>1.6</v>
      </c>
      <c r="AJ1088">
        <v>1</v>
      </c>
    </row>
    <row r="1089" spans="1:36" x14ac:dyDescent="0.2">
      <c r="A1089" t="str">
        <f>+VLOOKUP(B1089,studies!$A$2:$C$102,3)</f>
        <v>Plambeck &amp; Hope (1996)</v>
      </c>
      <c r="B1089">
        <v>23</v>
      </c>
      <c r="C1089">
        <v>1996</v>
      </c>
      <c r="D1089">
        <v>1</v>
      </c>
      <c r="E1089">
        <v>1990</v>
      </c>
      <c r="F1089">
        <v>1990</v>
      </c>
      <c r="H1089">
        <v>52.040202046913706</v>
      </c>
      <c r="I1089">
        <v>1</v>
      </c>
      <c r="J1089">
        <v>0</v>
      </c>
      <c r="K1089">
        <v>0</v>
      </c>
      <c r="M1089">
        <v>19.776009222613233</v>
      </c>
      <c r="N1089">
        <v>526.62780115032967</v>
      </c>
      <c r="O1089">
        <v>1</v>
      </c>
      <c r="P1089">
        <v>1</v>
      </c>
      <c r="Q1089">
        <v>0</v>
      </c>
      <c r="R1089">
        <v>1</v>
      </c>
      <c r="S1089">
        <v>0</v>
      </c>
      <c r="T1089">
        <v>0</v>
      </c>
      <c r="U1089">
        <v>1</v>
      </c>
      <c r="V1089">
        <v>4.5</v>
      </c>
      <c r="W1089">
        <v>2.5</v>
      </c>
      <c r="AA1089">
        <v>0</v>
      </c>
      <c r="AC1089">
        <v>1</v>
      </c>
      <c r="AD1089">
        <v>0</v>
      </c>
      <c r="AE1089">
        <v>0</v>
      </c>
      <c r="AF1089">
        <v>0</v>
      </c>
      <c r="AG1089">
        <v>2</v>
      </c>
      <c r="AH1089">
        <v>102</v>
      </c>
      <c r="AI1089">
        <v>1.6</v>
      </c>
      <c r="AJ1089">
        <v>1</v>
      </c>
    </row>
    <row r="1090" spans="1:36" x14ac:dyDescent="0.2">
      <c r="A1090" t="str">
        <f>+VLOOKUP(B1090,studies!$A$2:$C$102,3)</f>
        <v>Nordhaus &amp; Popp (1997)</v>
      </c>
      <c r="B1090">
        <v>25</v>
      </c>
      <c r="C1090">
        <v>1997</v>
      </c>
      <c r="D1090">
        <v>1</v>
      </c>
      <c r="E1090">
        <v>1990</v>
      </c>
      <c r="F1090">
        <v>2000</v>
      </c>
      <c r="H1090">
        <v>21.879918038992709</v>
      </c>
      <c r="I1090">
        <v>1</v>
      </c>
      <c r="J1090">
        <v>0</v>
      </c>
      <c r="K1090">
        <v>0</v>
      </c>
      <c r="M1090">
        <v>10.572390555526908</v>
      </c>
      <c r="N1090">
        <v>11.732778607873218</v>
      </c>
      <c r="O1090">
        <v>0</v>
      </c>
      <c r="P1090">
        <v>1</v>
      </c>
      <c r="Q1090">
        <v>0</v>
      </c>
      <c r="R1090">
        <v>1</v>
      </c>
      <c r="S1090">
        <v>0</v>
      </c>
      <c r="T1090">
        <v>1</v>
      </c>
      <c r="U1090">
        <v>0</v>
      </c>
      <c r="V1090">
        <v>5</v>
      </c>
      <c r="W1090">
        <v>3</v>
      </c>
      <c r="X1090">
        <v>1</v>
      </c>
      <c r="Y1090">
        <v>2</v>
      </c>
      <c r="Z1090">
        <v>1</v>
      </c>
      <c r="AA1090">
        <v>0</v>
      </c>
      <c r="AC1090">
        <v>0</v>
      </c>
      <c r="AD1090">
        <v>1</v>
      </c>
      <c r="AE1090">
        <v>0</v>
      </c>
      <c r="AF1090">
        <v>1</v>
      </c>
      <c r="AG1090">
        <v>2</v>
      </c>
      <c r="AH1090">
        <v>204</v>
      </c>
      <c r="AI1090">
        <v>1.85</v>
      </c>
      <c r="AJ1090">
        <v>1</v>
      </c>
    </row>
    <row r="1091" spans="1:36" x14ac:dyDescent="0.2">
      <c r="A1091" t="str">
        <f>+VLOOKUP(B1091,studies!$A$2:$C$102,3)</f>
        <v>Eyre et al. (1999)</v>
      </c>
      <c r="B1091">
        <v>26</v>
      </c>
      <c r="C1091">
        <v>1999</v>
      </c>
      <c r="D1091">
        <v>0</v>
      </c>
      <c r="E1091">
        <v>1995</v>
      </c>
      <c r="F1091">
        <v>1995</v>
      </c>
      <c r="H1091">
        <v>308.96675420794651</v>
      </c>
      <c r="I1091">
        <v>0</v>
      </c>
      <c r="J1091">
        <v>1</v>
      </c>
      <c r="K1091">
        <v>0</v>
      </c>
      <c r="M1091">
        <v>62.515512799793818</v>
      </c>
      <c r="N1091">
        <v>69.386829939426306</v>
      </c>
      <c r="O1091">
        <v>0</v>
      </c>
      <c r="P1091">
        <v>1</v>
      </c>
      <c r="Q1091">
        <v>1</v>
      </c>
      <c r="R1091">
        <v>1</v>
      </c>
      <c r="S1091">
        <v>1</v>
      </c>
      <c r="T1091">
        <v>0</v>
      </c>
      <c r="U1091">
        <v>0</v>
      </c>
      <c r="V1091">
        <v>2</v>
      </c>
      <c r="W1091">
        <v>0</v>
      </c>
      <c r="AA1091">
        <v>1</v>
      </c>
      <c r="AC1091">
        <v>0</v>
      </c>
      <c r="AD1091">
        <v>0</v>
      </c>
      <c r="AE1091">
        <v>0</v>
      </c>
      <c r="AF1091">
        <v>0</v>
      </c>
      <c r="AG1091">
        <v>2</v>
      </c>
      <c r="AH1091">
        <v>67</v>
      </c>
      <c r="AI1091">
        <v>0</v>
      </c>
      <c r="AJ1091">
        <v>1</v>
      </c>
    </row>
    <row r="1092" spans="1:36" x14ac:dyDescent="0.2">
      <c r="A1092" t="str">
        <f>+VLOOKUP(B1092,studies!$A$2:$C$102,3)</f>
        <v>Tol (1999)</v>
      </c>
      <c r="B1092">
        <v>28</v>
      </c>
      <c r="C1092">
        <v>1999</v>
      </c>
      <c r="D1092">
        <v>1</v>
      </c>
      <c r="E1092">
        <v>1995</v>
      </c>
      <c r="F1092">
        <v>2000</v>
      </c>
      <c r="H1092">
        <v>143.86790199274489</v>
      </c>
      <c r="I1092">
        <v>0</v>
      </c>
      <c r="J1092">
        <v>0</v>
      </c>
      <c r="K1092">
        <v>1</v>
      </c>
      <c r="M1092">
        <v>66.466369633479275</v>
      </c>
      <c r="N1092">
        <v>336.49322087488378</v>
      </c>
      <c r="O1092">
        <v>1</v>
      </c>
      <c r="P1092">
        <v>1</v>
      </c>
      <c r="Q1092">
        <v>1</v>
      </c>
      <c r="R1092">
        <v>1</v>
      </c>
      <c r="S1092">
        <v>1</v>
      </c>
      <c r="T1092">
        <v>0</v>
      </c>
      <c r="U1092">
        <v>0</v>
      </c>
      <c r="V1092">
        <v>3.8</v>
      </c>
      <c r="W1092">
        <v>1.8</v>
      </c>
      <c r="AA1092">
        <v>1</v>
      </c>
      <c r="AC1092">
        <v>0</v>
      </c>
      <c r="AD1092">
        <v>0</v>
      </c>
      <c r="AE1092">
        <v>1</v>
      </c>
      <c r="AF1092">
        <v>0</v>
      </c>
      <c r="AG1092">
        <v>2</v>
      </c>
      <c r="AH1092">
        <v>222</v>
      </c>
      <c r="AI1092">
        <v>1.85</v>
      </c>
      <c r="AJ1092">
        <v>1</v>
      </c>
    </row>
    <row r="1093" spans="1:36" x14ac:dyDescent="0.2">
      <c r="A1093" t="str">
        <f>+VLOOKUP(B1093,studies!$A$2:$C$102,3)</f>
        <v>Tol &amp; Downing (2001)</v>
      </c>
      <c r="B1093">
        <v>30</v>
      </c>
      <c r="C1093">
        <v>2001</v>
      </c>
      <c r="D1093">
        <v>0</v>
      </c>
      <c r="E1093">
        <v>1995</v>
      </c>
      <c r="F1093">
        <v>1995</v>
      </c>
      <c r="H1093">
        <v>39.743159408799968</v>
      </c>
      <c r="I1093">
        <v>0</v>
      </c>
      <c r="J1093">
        <v>1</v>
      </c>
      <c r="K1093">
        <v>0</v>
      </c>
      <c r="M1093">
        <v>15.460463564173153</v>
      </c>
      <c r="N1093">
        <v>37.448678410997168</v>
      </c>
      <c r="O1093">
        <v>0</v>
      </c>
      <c r="P1093">
        <v>1</v>
      </c>
      <c r="Q1093">
        <v>1</v>
      </c>
      <c r="R1093">
        <v>1</v>
      </c>
      <c r="S1093">
        <v>1</v>
      </c>
      <c r="T1093">
        <v>0</v>
      </c>
      <c r="U1093">
        <v>0</v>
      </c>
      <c r="V1093">
        <v>3</v>
      </c>
      <c r="W1093">
        <v>1</v>
      </c>
      <c r="AA1093">
        <v>1</v>
      </c>
      <c r="AC1093">
        <v>0</v>
      </c>
      <c r="AD1093">
        <v>0</v>
      </c>
      <c r="AE1093">
        <v>1</v>
      </c>
      <c r="AF1093">
        <v>0</v>
      </c>
      <c r="AG1093">
        <v>2</v>
      </c>
      <c r="AH1093">
        <v>37</v>
      </c>
      <c r="AI1093">
        <v>0</v>
      </c>
      <c r="AJ1093">
        <v>1</v>
      </c>
    </row>
    <row r="1094" spans="1:36" x14ac:dyDescent="0.2">
      <c r="A1094" t="str">
        <f>+VLOOKUP(B1094,studies!$A$2:$C$102,3)</f>
        <v>Newell &amp; Pizer (2003)</v>
      </c>
      <c r="B1094">
        <v>32</v>
      </c>
      <c r="C1094">
        <v>2003</v>
      </c>
      <c r="D1094">
        <v>1</v>
      </c>
      <c r="E1094">
        <v>1989</v>
      </c>
      <c r="F1094">
        <v>2000</v>
      </c>
      <c r="H1094">
        <v>18.15520105147155</v>
      </c>
      <c r="I1094">
        <v>0</v>
      </c>
      <c r="J1094">
        <v>1</v>
      </c>
      <c r="K1094">
        <v>0</v>
      </c>
      <c r="M1094">
        <v>6.9840810355135021</v>
      </c>
      <c r="N1094">
        <v>32.834841516026856</v>
      </c>
      <c r="O1094">
        <v>0</v>
      </c>
      <c r="P1094">
        <v>1</v>
      </c>
      <c r="Q1094">
        <v>0</v>
      </c>
      <c r="R1094">
        <v>1</v>
      </c>
      <c r="S1094">
        <v>0</v>
      </c>
      <c r="T1094">
        <v>0</v>
      </c>
      <c r="U1094">
        <v>0</v>
      </c>
      <c r="V1094">
        <v>4.333333333333333</v>
      </c>
      <c r="W1094">
        <v>2.3333333333333335</v>
      </c>
      <c r="AA1094">
        <v>0</v>
      </c>
      <c r="AC1094">
        <v>0</v>
      </c>
      <c r="AD1094">
        <v>0</v>
      </c>
      <c r="AE1094">
        <v>0</v>
      </c>
      <c r="AF1094">
        <v>0</v>
      </c>
      <c r="AG1094">
        <v>2</v>
      </c>
      <c r="AH1094">
        <v>309</v>
      </c>
      <c r="AI1094">
        <v>2.2599999999999998</v>
      </c>
      <c r="AJ1094">
        <v>1</v>
      </c>
    </row>
    <row r="1095" spans="1:36" x14ac:dyDescent="0.2">
      <c r="A1095" t="str">
        <f>+VLOOKUP(B1095,studies!$A$2:$C$102,3)</f>
        <v>Cline (2004)</v>
      </c>
      <c r="B1095">
        <v>35</v>
      </c>
      <c r="C1095">
        <v>2004</v>
      </c>
      <c r="D1095">
        <v>0</v>
      </c>
      <c r="E1095">
        <v>1990</v>
      </c>
      <c r="F1095">
        <v>1995</v>
      </c>
      <c r="H1095">
        <v>110.52577166480931</v>
      </c>
      <c r="I1095">
        <v>0</v>
      </c>
      <c r="J1095">
        <v>1</v>
      </c>
      <c r="K1095">
        <v>0</v>
      </c>
      <c r="M1095">
        <v>35.338171892830182</v>
      </c>
      <c r="N1095">
        <v>340.79907692123402</v>
      </c>
      <c r="O1095">
        <v>0</v>
      </c>
      <c r="P1095">
        <v>1</v>
      </c>
      <c r="Q1095">
        <v>0</v>
      </c>
      <c r="R1095">
        <v>1</v>
      </c>
      <c r="S1095">
        <v>0</v>
      </c>
      <c r="T1095">
        <v>1</v>
      </c>
      <c r="U1095">
        <v>0</v>
      </c>
      <c r="W1095">
        <v>1.3333333333333333</v>
      </c>
      <c r="AA1095">
        <v>0</v>
      </c>
      <c r="AC1095">
        <v>0</v>
      </c>
      <c r="AD1095">
        <v>0</v>
      </c>
      <c r="AE1095">
        <v>0</v>
      </c>
      <c r="AF1095">
        <v>0</v>
      </c>
      <c r="AG1095">
        <v>2</v>
      </c>
      <c r="AH1095">
        <v>59</v>
      </c>
      <c r="AI1095">
        <v>0</v>
      </c>
      <c r="AJ1095">
        <v>1</v>
      </c>
    </row>
    <row r="1096" spans="1:36" x14ac:dyDescent="0.2">
      <c r="A1096" t="str">
        <f>+VLOOKUP(B1096,studies!$A$2:$C$102,3)</f>
        <v>Hohmeyer (2004)</v>
      </c>
      <c r="B1096">
        <v>36</v>
      </c>
      <c r="C1096">
        <v>2004</v>
      </c>
      <c r="D1096">
        <v>0</v>
      </c>
      <c r="E1096">
        <v>1990</v>
      </c>
      <c r="F1096">
        <v>1990</v>
      </c>
      <c r="H1096">
        <v>1116.172609420011</v>
      </c>
      <c r="I1096">
        <v>0</v>
      </c>
      <c r="J1096">
        <v>1</v>
      </c>
      <c r="K1096">
        <v>0</v>
      </c>
      <c r="M1096">
        <v>1016.3487567921437</v>
      </c>
      <c r="N1096">
        <v>1147.334808664576</v>
      </c>
      <c r="O1096">
        <v>0</v>
      </c>
      <c r="P1096">
        <v>1</v>
      </c>
      <c r="Q1096">
        <v>0</v>
      </c>
      <c r="R1096">
        <v>1</v>
      </c>
      <c r="S1096">
        <v>0</v>
      </c>
      <c r="T1096">
        <v>0</v>
      </c>
      <c r="U1096">
        <v>0</v>
      </c>
      <c r="W1096">
        <v>0.5</v>
      </c>
      <c r="AA1096">
        <v>1</v>
      </c>
      <c r="AC1096">
        <v>0</v>
      </c>
      <c r="AD1096">
        <v>0</v>
      </c>
      <c r="AE1096">
        <v>0</v>
      </c>
      <c r="AF1096">
        <v>0</v>
      </c>
      <c r="AG1096">
        <v>2</v>
      </c>
      <c r="AH1096">
        <v>3</v>
      </c>
      <c r="AI1096">
        <v>0</v>
      </c>
      <c r="AJ1096">
        <v>1</v>
      </c>
    </row>
    <row r="1097" spans="1:36" x14ac:dyDescent="0.2">
      <c r="A1097" t="str">
        <f>+VLOOKUP(B1097,studies!$A$2:$C$102,3)</f>
        <v>Link &amp; Tol (2004)</v>
      </c>
      <c r="B1097">
        <v>37</v>
      </c>
      <c r="C1097">
        <v>2004</v>
      </c>
      <c r="D1097">
        <v>1</v>
      </c>
      <c r="E1097">
        <v>1995</v>
      </c>
      <c r="F1097">
        <v>2000</v>
      </c>
      <c r="H1097">
        <v>136.731147799404</v>
      </c>
      <c r="I1097">
        <v>0</v>
      </c>
      <c r="J1097">
        <v>1</v>
      </c>
      <c r="K1097">
        <v>0</v>
      </c>
      <c r="M1097">
        <v>63.917528850143249</v>
      </c>
      <c r="N1097">
        <v>125.34979344442598</v>
      </c>
      <c r="O1097">
        <v>1</v>
      </c>
      <c r="P1097">
        <v>1</v>
      </c>
      <c r="Q1097">
        <v>1</v>
      </c>
      <c r="R1097">
        <v>1</v>
      </c>
      <c r="S1097">
        <v>1</v>
      </c>
      <c r="T1097">
        <v>0</v>
      </c>
      <c r="U1097">
        <v>0</v>
      </c>
      <c r="W1097">
        <v>1.3333333333333333</v>
      </c>
      <c r="AA1097">
        <v>1</v>
      </c>
      <c r="AC1097">
        <v>0</v>
      </c>
      <c r="AD1097">
        <v>0</v>
      </c>
      <c r="AE1097">
        <v>1</v>
      </c>
      <c r="AF1097">
        <v>0</v>
      </c>
      <c r="AG1097">
        <v>2</v>
      </c>
      <c r="AH1097">
        <v>94</v>
      </c>
      <c r="AI1097">
        <v>0.15</v>
      </c>
      <c r="AJ1097">
        <v>1</v>
      </c>
    </row>
    <row r="1098" spans="1:36" x14ac:dyDescent="0.2">
      <c r="A1098" t="str">
        <f>+VLOOKUP(B1098,studies!$A$2:$C$102,3)</f>
        <v>Manne (2004)</v>
      </c>
      <c r="B1098">
        <v>38</v>
      </c>
      <c r="C1098">
        <v>2004</v>
      </c>
      <c r="D1098">
        <v>0</v>
      </c>
      <c r="E1098">
        <v>2000</v>
      </c>
      <c r="F1098">
        <v>2000</v>
      </c>
      <c r="H1098">
        <v>312.79989840931296</v>
      </c>
      <c r="I1098">
        <v>0</v>
      </c>
      <c r="J1098">
        <v>1</v>
      </c>
      <c r="K1098">
        <v>0</v>
      </c>
      <c r="M1098">
        <v>291.88592131511894</v>
      </c>
      <c r="N1098">
        <v>329.65656394723339</v>
      </c>
      <c r="O1098">
        <v>0</v>
      </c>
      <c r="P1098">
        <v>1</v>
      </c>
      <c r="Q1098">
        <v>0</v>
      </c>
      <c r="R1098">
        <v>1</v>
      </c>
      <c r="S1098">
        <v>0</v>
      </c>
      <c r="T1098">
        <v>0</v>
      </c>
      <c r="U1098">
        <v>0</v>
      </c>
      <c r="W1098">
        <v>1.5</v>
      </c>
      <c r="AA1098">
        <v>0</v>
      </c>
      <c r="AC1098">
        <v>0</v>
      </c>
      <c r="AD1098">
        <v>0</v>
      </c>
      <c r="AE1098">
        <v>0</v>
      </c>
      <c r="AF1098">
        <v>0</v>
      </c>
      <c r="AG1098">
        <v>2</v>
      </c>
      <c r="AH1098">
        <v>336</v>
      </c>
      <c r="AI1098">
        <v>0</v>
      </c>
      <c r="AJ1098">
        <v>1</v>
      </c>
    </row>
    <row r="1099" spans="1:36" x14ac:dyDescent="0.2">
      <c r="A1099" t="str">
        <f>+VLOOKUP(B1099,studies!$A$2:$C$102,3)</f>
        <v>Hope (2005b)</v>
      </c>
      <c r="B1099">
        <v>42</v>
      </c>
      <c r="C1099">
        <v>2005</v>
      </c>
      <c r="D1099">
        <v>0</v>
      </c>
      <c r="E1099">
        <v>2000</v>
      </c>
      <c r="F1099">
        <v>2000</v>
      </c>
      <c r="H1099">
        <v>72.184591940610687</v>
      </c>
      <c r="I1099">
        <v>1</v>
      </c>
      <c r="J1099">
        <v>0</v>
      </c>
      <c r="K1099">
        <v>0</v>
      </c>
      <c r="M1099">
        <v>4.8593652454351011</v>
      </c>
      <c r="N1099">
        <v>9.46297442532099</v>
      </c>
      <c r="O1099">
        <v>0</v>
      </c>
      <c r="P1099">
        <v>1</v>
      </c>
      <c r="Q1099">
        <v>0</v>
      </c>
      <c r="R1099">
        <v>1</v>
      </c>
      <c r="S1099">
        <v>0</v>
      </c>
      <c r="T1099">
        <v>0</v>
      </c>
      <c r="U1099">
        <v>1</v>
      </c>
      <c r="W1099">
        <v>3</v>
      </c>
      <c r="AA1099">
        <v>1</v>
      </c>
      <c r="AC1099">
        <v>1</v>
      </c>
      <c r="AD1099">
        <v>0</v>
      </c>
      <c r="AE1099">
        <v>0</v>
      </c>
      <c r="AF1099">
        <v>0</v>
      </c>
      <c r="AG1099">
        <v>2</v>
      </c>
      <c r="AH1099">
        <v>4</v>
      </c>
      <c r="AI1099">
        <v>0</v>
      </c>
      <c r="AJ1099">
        <v>1</v>
      </c>
    </row>
    <row r="1100" spans="1:36" x14ac:dyDescent="0.2">
      <c r="A1100" t="str">
        <f>+VLOOKUP(B1100,studies!$A$2:$C$102,3)</f>
        <v>Hope (2005a)</v>
      </c>
      <c r="B1100">
        <v>43</v>
      </c>
      <c r="C1100">
        <v>2005</v>
      </c>
      <c r="D1100">
        <v>1</v>
      </c>
      <c r="E1100">
        <v>2000</v>
      </c>
      <c r="F1100">
        <v>2000</v>
      </c>
      <c r="H1100">
        <v>72.184591940610687</v>
      </c>
      <c r="I1100">
        <v>1</v>
      </c>
      <c r="J1100">
        <v>0</v>
      </c>
      <c r="K1100">
        <v>0</v>
      </c>
      <c r="M1100">
        <v>4.8593652454351011</v>
      </c>
      <c r="N1100">
        <v>9.46297442532099</v>
      </c>
      <c r="O1100">
        <v>0</v>
      </c>
      <c r="P1100">
        <v>1</v>
      </c>
      <c r="Q1100">
        <v>0</v>
      </c>
      <c r="R1100">
        <v>1</v>
      </c>
      <c r="S1100">
        <v>0</v>
      </c>
      <c r="T1100">
        <v>0</v>
      </c>
      <c r="U1100">
        <v>1</v>
      </c>
      <c r="W1100">
        <v>3</v>
      </c>
      <c r="AA1100">
        <v>0</v>
      </c>
      <c r="AC1100">
        <v>1</v>
      </c>
      <c r="AD1100">
        <v>0</v>
      </c>
      <c r="AE1100">
        <v>0</v>
      </c>
      <c r="AF1100">
        <v>0</v>
      </c>
      <c r="AG1100">
        <v>2</v>
      </c>
      <c r="AH1100">
        <v>14</v>
      </c>
      <c r="AI1100">
        <v>1.56</v>
      </c>
      <c r="AJ1100">
        <v>1</v>
      </c>
    </row>
    <row r="1101" spans="1:36" x14ac:dyDescent="0.2">
      <c r="A1101" t="str">
        <f>+VLOOKUP(B1101,studies!$A$2:$C$102,3)</f>
        <v>Tol (2005)</v>
      </c>
      <c r="B1101">
        <v>44</v>
      </c>
      <c r="C1101">
        <v>2005</v>
      </c>
      <c r="D1101">
        <v>1</v>
      </c>
      <c r="E1101">
        <v>1995</v>
      </c>
      <c r="F1101">
        <v>2005</v>
      </c>
      <c r="H1101">
        <v>10.10782757999857</v>
      </c>
      <c r="I1101">
        <v>0</v>
      </c>
      <c r="J1101">
        <v>1</v>
      </c>
      <c r="K1101">
        <v>0</v>
      </c>
      <c r="M1101">
        <v>10.190142109937726</v>
      </c>
      <c r="N1101">
        <v>13.63644321281204</v>
      </c>
      <c r="O1101">
        <v>1</v>
      </c>
      <c r="P1101">
        <v>1</v>
      </c>
      <c r="Q1101">
        <v>1</v>
      </c>
      <c r="R1101">
        <v>1</v>
      </c>
      <c r="S1101">
        <v>1</v>
      </c>
      <c r="T1101">
        <v>0</v>
      </c>
      <c r="U1101">
        <v>0</v>
      </c>
      <c r="V1101">
        <v>3.3333333333333335</v>
      </c>
      <c r="W1101">
        <v>1.3333333333333333</v>
      </c>
      <c r="AA1101">
        <v>0</v>
      </c>
      <c r="AC1101">
        <v>0</v>
      </c>
      <c r="AD1101">
        <v>0</v>
      </c>
      <c r="AE1101">
        <v>1</v>
      </c>
      <c r="AF1101">
        <v>0</v>
      </c>
      <c r="AG1101">
        <v>2</v>
      </c>
      <c r="AH1101">
        <v>76</v>
      </c>
      <c r="AI1101">
        <v>0.67</v>
      </c>
      <c r="AJ1101">
        <v>1</v>
      </c>
    </row>
    <row r="1102" spans="1:36" x14ac:dyDescent="0.2">
      <c r="A1102" t="str">
        <f>+VLOOKUP(B1102,studies!$A$2:$C$102,3)</f>
        <v>Guo et al. (2006)</v>
      </c>
      <c r="B1102">
        <v>45</v>
      </c>
      <c r="C1102">
        <v>2006</v>
      </c>
      <c r="D1102">
        <v>1</v>
      </c>
      <c r="E1102">
        <v>1995</v>
      </c>
      <c r="F1102">
        <v>2000</v>
      </c>
      <c r="H1102">
        <v>37.382998155595132</v>
      </c>
      <c r="I1102">
        <v>0</v>
      </c>
      <c r="J1102">
        <v>1</v>
      </c>
      <c r="K1102">
        <v>0</v>
      </c>
      <c r="M1102">
        <v>21.558222498511107</v>
      </c>
      <c r="N1102">
        <v>110.6809546505329</v>
      </c>
      <c r="O1102">
        <v>0</v>
      </c>
      <c r="P1102">
        <v>1</v>
      </c>
      <c r="Q1102">
        <v>1</v>
      </c>
      <c r="R1102">
        <v>1</v>
      </c>
      <c r="S1102">
        <v>1</v>
      </c>
      <c r="T1102">
        <v>0</v>
      </c>
      <c r="U1102">
        <v>0</v>
      </c>
      <c r="W1102">
        <v>1.3333333333333333</v>
      </c>
      <c r="AA1102">
        <v>0</v>
      </c>
      <c r="AC1102">
        <v>0</v>
      </c>
      <c r="AD1102">
        <v>0</v>
      </c>
      <c r="AE1102">
        <v>1</v>
      </c>
      <c r="AF1102">
        <v>0</v>
      </c>
      <c r="AG1102">
        <v>2</v>
      </c>
      <c r="AH1102">
        <v>103</v>
      </c>
      <c r="AI1102">
        <v>1.24</v>
      </c>
      <c r="AJ1102">
        <v>1</v>
      </c>
    </row>
    <row r="1103" spans="1:36" x14ac:dyDescent="0.2">
      <c r="A1103" t="str">
        <f>+VLOOKUP(B1103,studies!$A$2:$C$102,3)</f>
        <v>Wahba &amp; Hope (2006)</v>
      </c>
      <c r="B1103">
        <v>48</v>
      </c>
      <c r="C1103">
        <v>2006</v>
      </c>
      <c r="D1103">
        <v>1</v>
      </c>
      <c r="E1103">
        <v>2000</v>
      </c>
      <c r="F1103">
        <v>2000</v>
      </c>
      <c r="H1103">
        <v>59.151262840222643</v>
      </c>
      <c r="I1103">
        <v>1</v>
      </c>
      <c r="J1103">
        <v>0</v>
      </c>
      <c r="K1103">
        <v>0</v>
      </c>
      <c r="M1103">
        <v>15.090943856507932</v>
      </c>
      <c r="N1103">
        <v>98.824143728216981</v>
      </c>
      <c r="O1103">
        <v>0</v>
      </c>
      <c r="P1103">
        <v>1</v>
      </c>
      <c r="Q1103">
        <v>0</v>
      </c>
      <c r="R1103">
        <v>1</v>
      </c>
      <c r="S1103">
        <v>0</v>
      </c>
      <c r="T1103">
        <v>0</v>
      </c>
      <c r="U1103">
        <v>1</v>
      </c>
      <c r="W1103">
        <v>2.25</v>
      </c>
      <c r="X1103">
        <v>1</v>
      </c>
      <c r="Z1103">
        <v>1</v>
      </c>
      <c r="AA1103">
        <v>0</v>
      </c>
      <c r="AC1103">
        <v>1</v>
      </c>
      <c r="AD1103">
        <v>0</v>
      </c>
      <c r="AE1103">
        <v>0</v>
      </c>
      <c r="AF1103">
        <v>0</v>
      </c>
      <c r="AG1103">
        <v>2</v>
      </c>
      <c r="AH1103">
        <v>11</v>
      </c>
      <c r="AI1103">
        <v>1.6</v>
      </c>
      <c r="AJ1103">
        <v>1</v>
      </c>
    </row>
    <row r="1104" spans="1:36" x14ac:dyDescent="0.2">
      <c r="A1104" t="str">
        <f>+VLOOKUP(B1104,studies!$A$2:$C$102,3)</f>
        <v>Stern &amp; Taylor (2007)</v>
      </c>
      <c r="B1104">
        <v>49</v>
      </c>
      <c r="C1104">
        <v>2007</v>
      </c>
      <c r="D1104">
        <v>1</v>
      </c>
      <c r="E1104">
        <v>2000</v>
      </c>
      <c r="F1104">
        <v>2000</v>
      </c>
      <c r="H1104">
        <v>202.18369501884013</v>
      </c>
      <c r="I1104">
        <v>0</v>
      </c>
      <c r="J1104">
        <v>1</v>
      </c>
      <c r="K1104">
        <v>0</v>
      </c>
      <c r="M1104">
        <v>42.424147771524645</v>
      </c>
      <c r="N1104">
        <v>44.828528957596745</v>
      </c>
      <c r="O1104">
        <v>0</v>
      </c>
      <c r="P1104">
        <v>1</v>
      </c>
      <c r="Q1104">
        <v>0</v>
      </c>
      <c r="R1104">
        <v>1</v>
      </c>
      <c r="S1104">
        <v>0</v>
      </c>
      <c r="T1104">
        <v>0</v>
      </c>
      <c r="U1104">
        <v>1</v>
      </c>
      <c r="W1104">
        <v>0</v>
      </c>
      <c r="AA1104">
        <v>0</v>
      </c>
      <c r="AC1104">
        <v>0</v>
      </c>
      <c r="AD1104">
        <v>0</v>
      </c>
      <c r="AE1104">
        <v>0</v>
      </c>
      <c r="AF1104">
        <v>1</v>
      </c>
      <c r="AG1104">
        <v>2</v>
      </c>
      <c r="AH1104">
        <v>80</v>
      </c>
      <c r="AI1104">
        <v>10.62</v>
      </c>
      <c r="AJ1104">
        <v>1</v>
      </c>
    </row>
    <row r="1105" spans="1:36" x14ac:dyDescent="0.2">
      <c r="A1105" t="str">
        <f>+VLOOKUP(B1105,studies!$A$2:$C$102,3)</f>
        <v>Hope (2008b)</v>
      </c>
      <c r="B1105">
        <v>50</v>
      </c>
      <c r="C1105">
        <v>2008</v>
      </c>
      <c r="D1105">
        <v>1</v>
      </c>
      <c r="E1105">
        <v>2000</v>
      </c>
      <c r="F1105">
        <v>2000</v>
      </c>
      <c r="H1105">
        <v>26.066658200776079</v>
      </c>
      <c r="I1105">
        <v>1</v>
      </c>
      <c r="J1105">
        <v>0</v>
      </c>
      <c r="K1105">
        <v>0</v>
      </c>
      <c r="M1105">
        <v>0.81841940975748984</v>
      </c>
      <c r="N1105">
        <v>0.81841940975749161</v>
      </c>
      <c r="O1105">
        <v>0</v>
      </c>
      <c r="P1105">
        <v>1</v>
      </c>
      <c r="Q1105">
        <v>0</v>
      </c>
      <c r="R1105">
        <v>1</v>
      </c>
      <c r="S1105">
        <v>0</v>
      </c>
      <c r="T1105">
        <v>0</v>
      </c>
      <c r="U1105">
        <v>1</v>
      </c>
      <c r="W1105">
        <v>2</v>
      </c>
      <c r="X1105">
        <v>1</v>
      </c>
      <c r="Z1105">
        <v>1</v>
      </c>
      <c r="AA1105">
        <v>0</v>
      </c>
      <c r="AB1105">
        <v>3.44</v>
      </c>
      <c r="AC1105">
        <v>1</v>
      </c>
      <c r="AD1105">
        <v>0</v>
      </c>
      <c r="AE1105">
        <v>0</v>
      </c>
      <c r="AF1105">
        <v>0</v>
      </c>
      <c r="AG1105">
        <v>2</v>
      </c>
      <c r="AH1105">
        <v>30</v>
      </c>
      <c r="AI1105">
        <v>0</v>
      </c>
      <c r="AJ1105">
        <v>1</v>
      </c>
    </row>
    <row r="1106" spans="1:36" x14ac:dyDescent="0.2">
      <c r="A1106" t="str">
        <f>+VLOOKUP(B1106,studies!$A$2:$C$102,3)</f>
        <v>Hope (2008a)</v>
      </c>
      <c r="B1106">
        <v>51</v>
      </c>
      <c r="C1106">
        <v>2008</v>
      </c>
      <c r="D1106">
        <v>1</v>
      </c>
      <c r="E1106">
        <v>2000</v>
      </c>
      <c r="F1106">
        <v>2000</v>
      </c>
      <c r="H1106">
        <v>26.066658200776079</v>
      </c>
      <c r="I1106">
        <v>1</v>
      </c>
      <c r="J1106">
        <v>0</v>
      </c>
      <c r="K1106">
        <v>0</v>
      </c>
      <c r="M1106">
        <v>0.81841940975748984</v>
      </c>
      <c r="N1106">
        <v>0.81841940975749161</v>
      </c>
      <c r="O1106">
        <v>0</v>
      </c>
      <c r="P1106">
        <v>1</v>
      </c>
      <c r="Q1106">
        <v>0</v>
      </c>
      <c r="R1106">
        <v>1</v>
      </c>
      <c r="S1106">
        <v>0</v>
      </c>
      <c r="T1106">
        <v>0</v>
      </c>
      <c r="U1106">
        <v>1</v>
      </c>
      <c r="W1106">
        <v>1.5</v>
      </c>
      <c r="AA1106">
        <v>0</v>
      </c>
      <c r="AC1106">
        <v>1</v>
      </c>
      <c r="AD1106">
        <v>0</v>
      </c>
      <c r="AE1106">
        <v>0</v>
      </c>
      <c r="AF1106">
        <v>0</v>
      </c>
      <c r="AG1106">
        <v>2</v>
      </c>
      <c r="AH1106">
        <v>39</v>
      </c>
      <c r="AI1106">
        <v>1.84</v>
      </c>
      <c r="AJ1106">
        <v>1</v>
      </c>
    </row>
    <row r="1107" spans="1:36" x14ac:dyDescent="0.2">
      <c r="A1107" t="str">
        <f>+VLOOKUP(B1107,studies!$A$2:$C$102,3)</f>
        <v>Nordhaus (2008)</v>
      </c>
      <c r="B1107">
        <v>52</v>
      </c>
      <c r="C1107">
        <v>2008</v>
      </c>
      <c r="D1107">
        <v>0</v>
      </c>
      <c r="E1107">
        <v>2005</v>
      </c>
      <c r="F1107">
        <v>2005</v>
      </c>
      <c r="H1107">
        <v>44.702531815790827</v>
      </c>
      <c r="I1107">
        <v>0</v>
      </c>
      <c r="J1107">
        <v>1</v>
      </c>
      <c r="K1107">
        <v>0</v>
      </c>
      <c r="M1107">
        <v>1.1596815122321236</v>
      </c>
      <c r="N1107">
        <v>129.5693303640453</v>
      </c>
      <c r="O1107">
        <v>1</v>
      </c>
      <c r="P1107">
        <v>1</v>
      </c>
      <c r="Q1107">
        <v>0</v>
      </c>
      <c r="R1107">
        <v>1</v>
      </c>
      <c r="S1107">
        <v>0</v>
      </c>
      <c r="T1107">
        <v>1</v>
      </c>
      <c r="U1107">
        <v>0</v>
      </c>
      <c r="V1107">
        <v>2.75</v>
      </c>
      <c r="W1107">
        <v>0.8</v>
      </c>
      <c r="X1107">
        <v>1.5</v>
      </c>
      <c r="Y1107">
        <v>1.3</v>
      </c>
      <c r="Z1107">
        <v>0.75</v>
      </c>
      <c r="AA1107">
        <v>0</v>
      </c>
      <c r="AB1107">
        <v>3</v>
      </c>
      <c r="AC1107">
        <v>0</v>
      </c>
      <c r="AD1107">
        <v>1</v>
      </c>
      <c r="AE1107">
        <v>0</v>
      </c>
      <c r="AF1107">
        <v>0</v>
      </c>
      <c r="AG1107">
        <v>2</v>
      </c>
      <c r="AH1107">
        <v>819</v>
      </c>
      <c r="AI1107">
        <v>0</v>
      </c>
      <c r="AJ1107">
        <v>1</v>
      </c>
    </row>
    <row r="1108" spans="1:36" x14ac:dyDescent="0.2">
      <c r="A1108" t="str">
        <f>+VLOOKUP(B1108,studies!$A$2:$C$102,3)</f>
        <v>Anthoff et al. (2009a)</v>
      </c>
      <c r="B1108">
        <v>53</v>
      </c>
      <c r="C1108">
        <v>2009</v>
      </c>
      <c r="D1108">
        <v>1</v>
      </c>
      <c r="E1108">
        <v>1995</v>
      </c>
      <c r="F1108">
        <v>2010</v>
      </c>
      <c r="H1108">
        <v>20.345979776437126</v>
      </c>
      <c r="I1108">
        <v>0</v>
      </c>
      <c r="J1108">
        <v>1</v>
      </c>
      <c r="K1108">
        <v>0</v>
      </c>
      <c r="M1108">
        <v>15.094416244312255</v>
      </c>
      <c r="N1108">
        <v>65.295687857301118</v>
      </c>
      <c r="O1108">
        <v>0</v>
      </c>
      <c r="P1108">
        <v>1</v>
      </c>
      <c r="Q1108">
        <v>1</v>
      </c>
      <c r="R1108">
        <v>1</v>
      </c>
      <c r="S1108">
        <v>1</v>
      </c>
      <c r="T1108">
        <v>0</v>
      </c>
      <c r="U1108">
        <v>0</v>
      </c>
      <c r="W1108">
        <v>1.3333333333333333</v>
      </c>
      <c r="AA1108">
        <v>1</v>
      </c>
      <c r="AC1108">
        <v>0</v>
      </c>
      <c r="AD1108">
        <v>0</v>
      </c>
      <c r="AE1108">
        <v>1</v>
      </c>
      <c r="AF1108">
        <v>0</v>
      </c>
      <c r="AG1108">
        <v>2</v>
      </c>
      <c r="AH1108">
        <v>111</v>
      </c>
      <c r="AI1108">
        <v>1.93</v>
      </c>
      <c r="AJ1108">
        <v>1</v>
      </c>
    </row>
    <row r="1109" spans="1:36" x14ac:dyDescent="0.2">
      <c r="A1109" t="str">
        <f>+VLOOKUP(B1109,studies!$A$2:$C$102,3)</f>
        <v>Anthoff et al. (2009b)</v>
      </c>
      <c r="B1109">
        <v>54</v>
      </c>
      <c r="C1109">
        <v>2009</v>
      </c>
      <c r="D1109">
        <v>1</v>
      </c>
      <c r="E1109">
        <v>1995</v>
      </c>
      <c r="F1109">
        <v>2010</v>
      </c>
      <c r="H1109">
        <v>7.1794625358657242</v>
      </c>
      <c r="I1109">
        <v>0</v>
      </c>
      <c r="J1109">
        <v>1</v>
      </c>
      <c r="K1109">
        <v>0</v>
      </c>
      <c r="M1109">
        <v>5.0673503913755154</v>
      </c>
      <c r="N1109">
        <v>29.556211379399805</v>
      </c>
      <c r="O1109">
        <v>0</v>
      </c>
      <c r="P1109">
        <v>1</v>
      </c>
      <c r="Q1109">
        <v>1</v>
      </c>
      <c r="R1109">
        <v>1</v>
      </c>
      <c r="S1109">
        <v>1</v>
      </c>
      <c r="T1109">
        <v>0</v>
      </c>
      <c r="U1109">
        <v>0</v>
      </c>
      <c r="AA1109">
        <v>0.5</v>
      </c>
      <c r="AC1109">
        <v>0</v>
      </c>
      <c r="AD1109">
        <v>0</v>
      </c>
      <c r="AE1109">
        <v>1</v>
      </c>
      <c r="AF1109">
        <v>0</v>
      </c>
      <c r="AG1109">
        <v>2</v>
      </c>
      <c r="AH1109">
        <v>90</v>
      </c>
      <c r="AI1109">
        <v>0</v>
      </c>
      <c r="AJ1109">
        <v>1</v>
      </c>
    </row>
    <row r="1110" spans="1:36" x14ac:dyDescent="0.2">
      <c r="A1110" t="str">
        <f>+VLOOKUP(B1110,studies!$A$2:$C$102,3)</f>
        <v>Anthoff et al. (2009c)</v>
      </c>
      <c r="B1110">
        <v>55</v>
      </c>
      <c r="C1110">
        <v>2009</v>
      </c>
      <c r="D1110">
        <v>1</v>
      </c>
      <c r="E1110">
        <v>1995</v>
      </c>
      <c r="F1110">
        <v>2010</v>
      </c>
      <c r="H1110">
        <v>99.56188464371283</v>
      </c>
      <c r="I1110">
        <v>1</v>
      </c>
      <c r="J1110">
        <v>0</v>
      </c>
      <c r="K1110">
        <v>0</v>
      </c>
      <c r="M1110">
        <v>51.252094840820106</v>
      </c>
      <c r="N1110">
        <v>134.74787083035568</v>
      </c>
      <c r="O1110">
        <v>0</v>
      </c>
      <c r="P1110">
        <v>1</v>
      </c>
      <c r="Q1110">
        <v>1</v>
      </c>
      <c r="R1110">
        <v>1</v>
      </c>
      <c r="S1110">
        <v>1</v>
      </c>
      <c r="T1110">
        <v>0</v>
      </c>
      <c r="U1110">
        <v>0</v>
      </c>
      <c r="AA1110">
        <v>1</v>
      </c>
      <c r="AC1110">
        <v>0</v>
      </c>
      <c r="AD1110">
        <v>0</v>
      </c>
      <c r="AE1110">
        <v>1</v>
      </c>
      <c r="AF1110">
        <v>0</v>
      </c>
      <c r="AG1110">
        <v>2</v>
      </c>
      <c r="AH1110">
        <v>63</v>
      </c>
      <c r="AI1110">
        <v>1.71</v>
      </c>
      <c r="AJ1110">
        <v>1</v>
      </c>
    </row>
    <row r="1111" spans="1:36" x14ac:dyDescent="0.2">
      <c r="A1111" t="str">
        <f>+VLOOKUP(B1111,studies!$A$2:$C$102,3)</f>
        <v>EPA &amp; NHTSA (2009)</v>
      </c>
      <c r="B1111">
        <v>56</v>
      </c>
      <c r="C1111">
        <v>2009</v>
      </c>
      <c r="D1111">
        <v>0</v>
      </c>
      <c r="E1111">
        <v>2007</v>
      </c>
      <c r="F1111">
        <v>2015</v>
      </c>
      <c r="H1111">
        <v>353.47900784425946</v>
      </c>
      <c r="I1111">
        <v>0</v>
      </c>
      <c r="J1111">
        <v>1</v>
      </c>
      <c r="K1111">
        <v>0</v>
      </c>
      <c r="M1111">
        <v>164.21362442338139</v>
      </c>
      <c r="N1111">
        <v>297.21092088129564</v>
      </c>
      <c r="O1111">
        <v>0</v>
      </c>
      <c r="P1111">
        <v>0</v>
      </c>
      <c r="Q1111">
        <v>0</v>
      </c>
      <c r="R1111">
        <v>0</v>
      </c>
      <c r="S1111">
        <v>1</v>
      </c>
      <c r="T1111">
        <v>1</v>
      </c>
      <c r="U1111">
        <v>1</v>
      </c>
      <c r="V1111">
        <v>4</v>
      </c>
      <c r="AA1111">
        <v>0</v>
      </c>
      <c r="AC1111">
        <v>0</v>
      </c>
      <c r="AD1111">
        <v>0</v>
      </c>
      <c r="AE1111">
        <v>0</v>
      </c>
      <c r="AF1111">
        <v>0</v>
      </c>
      <c r="AG1111">
        <v>2</v>
      </c>
      <c r="AH1111">
        <v>13</v>
      </c>
      <c r="AI1111">
        <v>0.26</v>
      </c>
      <c r="AJ1111">
        <v>1</v>
      </c>
    </row>
    <row r="1112" spans="1:36" x14ac:dyDescent="0.2">
      <c r="A1112" t="str">
        <f>+VLOOKUP(B1112,studies!$A$2:$C$102,3)</f>
        <v>Narita et al. (2009)</v>
      </c>
      <c r="B1112">
        <v>57</v>
      </c>
      <c r="C1112">
        <v>2009</v>
      </c>
      <c r="D1112">
        <v>1</v>
      </c>
      <c r="E1112">
        <v>2005</v>
      </c>
      <c r="F1112">
        <v>2010</v>
      </c>
      <c r="H1112">
        <v>11.829472656600091</v>
      </c>
      <c r="I1112">
        <v>0</v>
      </c>
      <c r="J1112">
        <v>1</v>
      </c>
      <c r="K1112">
        <v>0</v>
      </c>
      <c r="M1112">
        <v>7.2066801494542885</v>
      </c>
      <c r="N1112">
        <v>59.906275703382448</v>
      </c>
      <c r="O1112">
        <v>0</v>
      </c>
      <c r="P1112">
        <v>1</v>
      </c>
      <c r="Q1112">
        <v>1</v>
      </c>
      <c r="R1112">
        <v>1</v>
      </c>
      <c r="S1112">
        <v>1</v>
      </c>
      <c r="T1112">
        <v>0</v>
      </c>
      <c r="U1112">
        <v>0</v>
      </c>
      <c r="W1112">
        <v>1.3333333333333333</v>
      </c>
      <c r="AA1112">
        <v>0</v>
      </c>
      <c r="AC1112">
        <v>0</v>
      </c>
      <c r="AD1112">
        <v>0</v>
      </c>
      <c r="AE1112">
        <v>1</v>
      </c>
      <c r="AF1112">
        <v>0</v>
      </c>
      <c r="AG1112">
        <v>2</v>
      </c>
      <c r="AH1112">
        <v>36</v>
      </c>
      <c r="AI1112">
        <v>1.2</v>
      </c>
      <c r="AJ1112">
        <v>1</v>
      </c>
    </row>
    <row r="1113" spans="1:36" x14ac:dyDescent="0.2">
      <c r="A1113" t="str">
        <f>+VLOOKUP(B1113,studies!$A$2:$C$102,3)</f>
        <v>Anthoff &amp; Tol (2010)</v>
      </c>
      <c r="B1113">
        <v>58</v>
      </c>
      <c r="C1113">
        <v>2010</v>
      </c>
      <c r="D1113">
        <v>1</v>
      </c>
      <c r="E1113">
        <v>1995</v>
      </c>
      <c r="F1113">
        <v>2010</v>
      </c>
      <c r="H1113">
        <v>25.949462731259153</v>
      </c>
      <c r="I1113">
        <v>0</v>
      </c>
      <c r="J1113">
        <v>1</v>
      </c>
      <c r="K1113">
        <v>0</v>
      </c>
      <c r="M1113">
        <v>12.358872375909554</v>
      </c>
      <c r="N1113">
        <v>90.266566139711173</v>
      </c>
      <c r="O1113">
        <v>0</v>
      </c>
      <c r="P1113">
        <v>1</v>
      </c>
      <c r="Q1113">
        <v>1</v>
      </c>
      <c r="R1113">
        <v>1</v>
      </c>
      <c r="S1113">
        <v>1</v>
      </c>
      <c r="T1113">
        <v>0</v>
      </c>
      <c r="U1113">
        <v>0</v>
      </c>
      <c r="W1113">
        <v>1.125</v>
      </c>
      <c r="AA1113">
        <v>0.5</v>
      </c>
      <c r="AC1113">
        <v>0</v>
      </c>
      <c r="AD1113">
        <v>0</v>
      </c>
      <c r="AE1113">
        <v>1</v>
      </c>
      <c r="AF1113">
        <v>0</v>
      </c>
      <c r="AG1113">
        <v>2</v>
      </c>
      <c r="AH1113">
        <v>52</v>
      </c>
      <c r="AI1113">
        <v>2.2599999999999998</v>
      </c>
      <c r="AJ1113">
        <v>1</v>
      </c>
    </row>
    <row r="1114" spans="1:36" x14ac:dyDescent="0.2">
      <c r="A1114" t="str">
        <f>+VLOOKUP(B1114,studies!$A$2:$C$102,3)</f>
        <v>Kemfert &amp; Schill (2010)</v>
      </c>
      <c r="B1114">
        <v>59</v>
      </c>
      <c r="C1114">
        <v>2010</v>
      </c>
      <c r="D1114">
        <v>0</v>
      </c>
      <c r="E1114">
        <v>2000</v>
      </c>
      <c r="F1114">
        <v>2010</v>
      </c>
      <c r="H1114">
        <v>102.82426861749981</v>
      </c>
      <c r="I1114">
        <v>0</v>
      </c>
      <c r="J1114">
        <v>1</v>
      </c>
      <c r="K1114">
        <v>0</v>
      </c>
      <c r="M1114">
        <v>14.910071174395787</v>
      </c>
      <c r="N1114">
        <v>67.095320284780996</v>
      </c>
      <c r="O1114">
        <v>0</v>
      </c>
      <c r="P1114">
        <v>1</v>
      </c>
      <c r="Q1114">
        <v>0</v>
      </c>
      <c r="R1114">
        <v>1</v>
      </c>
      <c r="S1114">
        <v>0</v>
      </c>
      <c r="T1114">
        <v>0</v>
      </c>
      <c r="U1114">
        <v>0</v>
      </c>
      <c r="AA1114">
        <v>0</v>
      </c>
      <c r="AC1114">
        <v>0</v>
      </c>
      <c r="AD1114">
        <v>0</v>
      </c>
      <c r="AE1114">
        <v>0</v>
      </c>
      <c r="AF1114">
        <v>0</v>
      </c>
      <c r="AG1114">
        <v>2</v>
      </c>
      <c r="AH1114">
        <v>49</v>
      </c>
      <c r="AI1114">
        <v>0</v>
      </c>
      <c r="AJ1114">
        <v>1</v>
      </c>
    </row>
    <row r="1115" spans="1:36" x14ac:dyDescent="0.2">
      <c r="A1115" t="str">
        <f>+VLOOKUP(B1115,studies!$A$2:$C$102,3)</f>
        <v>Narita et al. (2010)</v>
      </c>
      <c r="B1115">
        <v>60</v>
      </c>
      <c r="C1115">
        <v>2010</v>
      </c>
      <c r="D1115">
        <v>1</v>
      </c>
      <c r="E1115">
        <v>2005</v>
      </c>
      <c r="F1115">
        <v>2010</v>
      </c>
      <c r="H1115">
        <v>28.643200568951375</v>
      </c>
      <c r="I1115">
        <v>0</v>
      </c>
      <c r="J1115">
        <v>1</v>
      </c>
      <c r="K1115">
        <v>0</v>
      </c>
      <c r="M1115">
        <v>12.548945533875626</v>
      </c>
      <c r="N1115">
        <v>72.915349240166847</v>
      </c>
      <c r="O1115">
        <v>0</v>
      </c>
      <c r="P1115">
        <v>1</v>
      </c>
      <c r="Q1115">
        <v>1</v>
      </c>
      <c r="R1115">
        <v>1</v>
      </c>
      <c r="S1115">
        <v>1</v>
      </c>
      <c r="T1115">
        <v>0</v>
      </c>
      <c r="U1115">
        <v>0</v>
      </c>
      <c r="W1115">
        <v>0.5</v>
      </c>
      <c r="AA1115">
        <v>0</v>
      </c>
      <c r="AC1115">
        <v>0</v>
      </c>
      <c r="AD1115">
        <v>0</v>
      </c>
      <c r="AE1115">
        <v>1</v>
      </c>
      <c r="AF1115">
        <v>0</v>
      </c>
      <c r="AG1115">
        <v>2</v>
      </c>
      <c r="AH1115">
        <v>29</v>
      </c>
      <c r="AI1115">
        <v>2.2599999999999998</v>
      </c>
      <c r="AJ1115">
        <v>1</v>
      </c>
    </row>
    <row r="1116" spans="1:36" x14ac:dyDescent="0.2">
      <c r="A1116" t="str">
        <f>+VLOOKUP(B1116,studies!$A$2:$C$102,3)</f>
        <v>Anthoff et al. (2011)</v>
      </c>
      <c r="B1116">
        <v>64</v>
      </c>
      <c r="C1116">
        <v>2011</v>
      </c>
      <c r="D1116">
        <v>0</v>
      </c>
      <c r="E1116">
        <v>1995</v>
      </c>
      <c r="F1116">
        <v>2015</v>
      </c>
      <c r="H1116">
        <v>42.495165354330709</v>
      </c>
      <c r="I1116">
        <v>0</v>
      </c>
      <c r="J1116">
        <v>1</v>
      </c>
      <c r="K1116">
        <v>0</v>
      </c>
      <c r="M1116">
        <v>21.141658666773797</v>
      </c>
      <c r="N1116">
        <v>1032.3028469655571</v>
      </c>
      <c r="O1116">
        <v>0</v>
      </c>
      <c r="P1116">
        <v>1</v>
      </c>
      <c r="Q1116">
        <v>1</v>
      </c>
      <c r="R1116">
        <v>1</v>
      </c>
      <c r="S1116">
        <v>1</v>
      </c>
      <c r="T1116">
        <v>0</v>
      </c>
      <c r="U1116">
        <v>0</v>
      </c>
      <c r="W1116">
        <v>1.25</v>
      </c>
      <c r="AA1116">
        <v>0</v>
      </c>
      <c r="AC1116">
        <v>0</v>
      </c>
      <c r="AD1116">
        <v>0</v>
      </c>
      <c r="AE1116">
        <v>1</v>
      </c>
      <c r="AF1116">
        <v>0</v>
      </c>
      <c r="AG1116">
        <v>2</v>
      </c>
      <c r="AH1116">
        <v>3</v>
      </c>
      <c r="AI1116">
        <v>0</v>
      </c>
      <c r="AJ1116">
        <v>1</v>
      </c>
    </row>
    <row r="1117" spans="1:36" x14ac:dyDescent="0.2">
      <c r="A1117" t="str">
        <f>+VLOOKUP(B1117,studies!$A$2:$C$102,3)</f>
        <v>Ceronsky et al. (2011)</v>
      </c>
      <c r="B1117">
        <v>65</v>
      </c>
      <c r="C1117">
        <v>2011</v>
      </c>
      <c r="D1117">
        <v>0</v>
      </c>
      <c r="E1117">
        <v>2010</v>
      </c>
      <c r="F1117">
        <v>2010</v>
      </c>
      <c r="H1117">
        <v>155.01986152623127</v>
      </c>
      <c r="I1117">
        <v>0.5</v>
      </c>
      <c r="J1117">
        <v>0.5</v>
      </c>
      <c r="K1117">
        <v>0</v>
      </c>
      <c r="M1117">
        <v>75.910255193430345</v>
      </c>
      <c r="N1117">
        <v>839.26473289845842</v>
      </c>
      <c r="O1117">
        <v>0</v>
      </c>
      <c r="P1117">
        <v>1</v>
      </c>
      <c r="Q1117">
        <v>1</v>
      </c>
      <c r="R1117">
        <v>1</v>
      </c>
      <c r="S1117">
        <v>1</v>
      </c>
      <c r="T1117">
        <v>0</v>
      </c>
      <c r="U1117">
        <v>0</v>
      </c>
      <c r="W1117">
        <v>1.3333333333333333</v>
      </c>
      <c r="AA1117">
        <v>0</v>
      </c>
      <c r="AC1117">
        <v>0</v>
      </c>
      <c r="AD1117">
        <v>0</v>
      </c>
      <c r="AE1117">
        <v>1</v>
      </c>
      <c r="AF1117">
        <v>0</v>
      </c>
      <c r="AG1117">
        <v>2</v>
      </c>
      <c r="AH1117">
        <v>27</v>
      </c>
      <c r="AI1117">
        <v>0</v>
      </c>
      <c r="AJ1117">
        <v>1</v>
      </c>
    </row>
    <row r="1118" spans="1:36" x14ac:dyDescent="0.2">
      <c r="A1118" t="str">
        <f>+VLOOKUP(B1118,studies!$A$2:$C$102,3)</f>
        <v>Dietz (2011)</v>
      </c>
      <c r="B1118">
        <v>66</v>
      </c>
      <c r="C1118">
        <v>2011</v>
      </c>
      <c r="D1118">
        <v>1</v>
      </c>
      <c r="E1118">
        <v>2008</v>
      </c>
      <c r="F1118">
        <v>2000</v>
      </c>
      <c r="H1118">
        <v>2325.2310625858522</v>
      </c>
      <c r="I1118">
        <v>1</v>
      </c>
      <c r="J1118">
        <v>0</v>
      </c>
      <c r="K1118">
        <v>0</v>
      </c>
      <c r="M1118">
        <v>555.73546592453158</v>
      </c>
      <c r="N1118">
        <v>593.59610910868128</v>
      </c>
      <c r="O1118">
        <v>0</v>
      </c>
      <c r="P1118">
        <v>1</v>
      </c>
      <c r="Q1118">
        <v>0</v>
      </c>
      <c r="R1118">
        <v>1</v>
      </c>
      <c r="S1118">
        <v>0</v>
      </c>
      <c r="T1118">
        <v>0</v>
      </c>
      <c r="U1118">
        <v>1</v>
      </c>
      <c r="W1118">
        <v>2</v>
      </c>
      <c r="X1118">
        <v>0.70000000000000007</v>
      </c>
      <c r="Z1118">
        <v>1.4285714285714284</v>
      </c>
      <c r="AA1118">
        <v>0</v>
      </c>
      <c r="AC1118">
        <v>0</v>
      </c>
      <c r="AD1118">
        <v>0</v>
      </c>
      <c r="AE1118">
        <v>0</v>
      </c>
      <c r="AF1118">
        <v>0</v>
      </c>
      <c r="AG1118">
        <v>2</v>
      </c>
      <c r="AH1118">
        <v>39</v>
      </c>
      <c r="AI1118">
        <v>1.56</v>
      </c>
      <c r="AJ1118">
        <v>1</v>
      </c>
    </row>
    <row r="1119" spans="1:36" x14ac:dyDescent="0.2">
      <c r="A1119" t="str">
        <f>+VLOOKUP(B1119,studies!$A$2:$C$102,3)</f>
        <v>Hope (2011)</v>
      </c>
      <c r="B1119">
        <v>67</v>
      </c>
      <c r="C1119">
        <v>2011</v>
      </c>
      <c r="D1119">
        <v>1</v>
      </c>
      <c r="E1119">
        <v>2005</v>
      </c>
      <c r="F1119">
        <v>2009</v>
      </c>
      <c r="H1119">
        <v>381.21474006226663</v>
      </c>
      <c r="I1119">
        <v>1</v>
      </c>
      <c r="J1119">
        <v>0</v>
      </c>
      <c r="K1119">
        <v>0</v>
      </c>
      <c r="M1119">
        <v>155.02806490236463</v>
      </c>
      <c r="N1119">
        <v>170.85469595735401</v>
      </c>
      <c r="O1119">
        <v>0</v>
      </c>
      <c r="P1119">
        <v>1</v>
      </c>
      <c r="Q1119">
        <v>0</v>
      </c>
      <c r="R1119">
        <v>1</v>
      </c>
      <c r="S1119">
        <v>0</v>
      </c>
      <c r="T1119">
        <v>0</v>
      </c>
      <c r="U1119">
        <v>1</v>
      </c>
      <c r="W1119">
        <v>1</v>
      </c>
      <c r="AA1119">
        <v>1</v>
      </c>
      <c r="AC1119">
        <v>1</v>
      </c>
      <c r="AD1119">
        <v>0</v>
      </c>
      <c r="AE1119">
        <v>0</v>
      </c>
      <c r="AF1119">
        <v>0</v>
      </c>
      <c r="AG1119">
        <v>2</v>
      </c>
      <c r="AH1119">
        <v>25</v>
      </c>
      <c r="AI1119">
        <v>0</v>
      </c>
      <c r="AJ1119">
        <v>1</v>
      </c>
    </row>
    <row r="1120" spans="1:36" x14ac:dyDescent="0.2">
      <c r="A1120" t="str">
        <f>+VLOOKUP(B1120,studies!$A$2:$C$102,3)</f>
        <v>Pycroft et al. (2011)</v>
      </c>
      <c r="B1120">
        <v>69</v>
      </c>
      <c r="C1120">
        <v>2011</v>
      </c>
      <c r="D1120">
        <v>1</v>
      </c>
      <c r="E1120">
        <v>2005</v>
      </c>
      <c r="F1120">
        <v>2009</v>
      </c>
      <c r="H1120">
        <v>265.68915801964891</v>
      </c>
      <c r="I1120">
        <v>0</v>
      </c>
      <c r="J1120">
        <v>0</v>
      </c>
      <c r="K1120">
        <v>1</v>
      </c>
      <c r="M1120">
        <v>13.806598347581897</v>
      </c>
      <c r="N1120">
        <v>8.7860171302793919</v>
      </c>
      <c r="O1120">
        <v>0</v>
      </c>
      <c r="P1120">
        <v>1</v>
      </c>
      <c r="Q1120">
        <v>0</v>
      </c>
      <c r="R1120">
        <v>1</v>
      </c>
      <c r="S1120">
        <v>0</v>
      </c>
      <c r="T1120">
        <v>0</v>
      </c>
      <c r="U1120">
        <v>1</v>
      </c>
      <c r="AA1120">
        <v>1</v>
      </c>
      <c r="AC1120">
        <v>1</v>
      </c>
      <c r="AD1120">
        <v>0</v>
      </c>
      <c r="AE1120">
        <v>0</v>
      </c>
      <c r="AF1120">
        <v>0</v>
      </c>
      <c r="AG1120">
        <v>2</v>
      </c>
      <c r="AH1120">
        <v>16</v>
      </c>
      <c r="AI1120">
        <v>0</v>
      </c>
      <c r="AJ1120">
        <v>1</v>
      </c>
    </row>
    <row r="1121" spans="1:36" x14ac:dyDescent="0.2">
      <c r="A1121" t="str">
        <f>+VLOOKUP(B1121,studies!$A$2:$C$102,3)</f>
        <v>Waldhoff et al. (2011)</v>
      </c>
      <c r="B1121">
        <v>70</v>
      </c>
      <c r="C1121">
        <v>2011</v>
      </c>
      <c r="D1121">
        <v>0</v>
      </c>
      <c r="E1121">
        <v>1995</v>
      </c>
      <c r="F1121">
        <v>2015</v>
      </c>
      <c r="H1121">
        <v>41.970533683289588</v>
      </c>
      <c r="I1121">
        <v>0</v>
      </c>
      <c r="J1121">
        <v>1</v>
      </c>
      <c r="K1121">
        <v>0</v>
      </c>
      <c r="M1121">
        <v>17.880303890585104</v>
      </c>
      <c r="N1121">
        <v>73.341366257789119</v>
      </c>
      <c r="O1121">
        <v>0</v>
      </c>
      <c r="P1121">
        <v>1</v>
      </c>
      <c r="Q1121">
        <v>1</v>
      </c>
      <c r="R1121">
        <v>1</v>
      </c>
      <c r="S1121">
        <v>1</v>
      </c>
      <c r="T1121">
        <v>0</v>
      </c>
      <c r="U1121">
        <v>0</v>
      </c>
      <c r="W1121">
        <v>1.0846153846153845</v>
      </c>
      <c r="AA1121">
        <v>0</v>
      </c>
      <c r="AC1121">
        <v>0</v>
      </c>
      <c r="AD1121">
        <v>0</v>
      </c>
      <c r="AE1121">
        <v>1</v>
      </c>
      <c r="AF1121">
        <v>0</v>
      </c>
      <c r="AG1121">
        <v>2</v>
      </c>
      <c r="AH1121">
        <v>7</v>
      </c>
      <c r="AI1121">
        <v>0</v>
      </c>
      <c r="AJ1121">
        <v>1</v>
      </c>
    </row>
    <row r="1122" spans="1:36" x14ac:dyDescent="0.2">
      <c r="A1122" t="str">
        <f>+VLOOKUP(B1122,studies!$A$2:$C$102,3)</f>
        <v>Ackerman &amp; Munitz (2012)</v>
      </c>
      <c r="B1122">
        <v>71</v>
      </c>
      <c r="C1122">
        <v>2012</v>
      </c>
      <c r="D1122">
        <v>1</v>
      </c>
      <c r="E1122">
        <v>2005</v>
      </c>
      <c r="F1122">
        <v>2010</v>
      </c>
      <c r="H1122">
        <v>77.349221466753278</v>
      </c>
      <c r="I1122">
        <v>1</v>
      </c>
      <c r="J1122">
        <v>0</v>
      </c>
      <c r="K1122">
        <v>0</v>
      </c>
      <c r="M1122">
        <v>22.699648143499463</v>
      </c>
      <c r="N1122">
        <v>3.878221738802516</v>
      </c>
      <c r="O1122">
        <v>0</v>
      </c>
      <c r="P1122">
        <v>1</v>
      </c>
      <c r="Q1122">
        <v>0</v>
      </c>
      <c r="R1122">
        <v>1</v>
      </c>
      <c r="S1122">
        <v>1</v>
      </c>
      <c r="T1122">
        <v>0</v>
      </c>
      <c r="U1122">
        <v>0</v>
      </c>
      <c r="V1122">
        <v>0</v>
      </c>
      <c r="W1122">
        <v>3</v>
      </c>
      <c r="AA1122">
        <v>0</v>
      </c>
      <c r="AC1122">
        <v>0</v>
      </c>
      <c r="AD1122">
        <v>0</v>
      </c>
      <c r="AE1122">
        <v>0</v>
      </c>
      <c r="AF1122">
        <v>0</v>
      </c>
      <c r="AG1122">
        <v>2</v>
      </c>
      <c r="AH1122">
        <v>13</v>
      </c>
      <c r="AI1122">
        <v>1.93</v>
      </c>
      <c r="AJ1122">
        <v>1</v>
      </c>
    </row>
    <row r="1123" spans="1:36" x14ac:dyDescent="0.2">
      <c r="A1123" t="str">
        <f>+VLOOKUP(B1123,studies!$A$2:$C$102,3)</f>
        <v>Ackerman &amp; Stanton (2012)</v>
      </c>
      <c r="B1123">
        <v>72</v>
      </c>
      <c r="C1123">
        <v>2012</v>
      </c>
      <c r="D1123">
        <v>1</v>
      </c>
      <c r="E1123">
        <v>2007</v>
      </c>
      <c r="F1123">
        <v>2010</v>
      </c>
      <c r="H1123">
        <v>480.91870562819952</v>
      </c>
      <c r="I1123">
        <v>1</v>
      </c>
      <c r="J1123">
        <v>0</v>
      </c>
      <c r="K1123">
        <v>0</v>
      </c>
      <c r="M1123">
        <v>153.87013707635032</v>
      </c>
      <c r="N1123">
        <v>747.79510731144308</v>
      </c>
      <c r="O1123">
        <v>0</v>
      </c>
      <c r="P1123">
        <v>1</v>
      </c>
      <c r="Q1123">
        <v>0</v>
      </c>
      <c r="R1123">
        <v>1</v>
      </c>
      <c r="S1123">
        <v>0</v>
      </c>
      <c r="T1123">
        <v>1</v>
      </c>
      <c r="U1123">
        <v>0</v>
      </c>
      <c r="V1123">
        <v>2.25</v>
      </c>
      <c r="W1123">
        <v>0.25</v>
      </c>
      <c r="AA1123">
        <v>0</v>
      </c>
      <c r="AC1123">
        <v>0</v>
      </c>
      <c r="AD1123">
        <v>0</v>
      </c>
      <c r="AE1123">
        <v>0</v>
      </c>
      <c r="AF1123">
        <v>0</v>
      </c>
      <c r="AG1123">
        <v>2</v>
      </c>
      <c r="AH1123">
        <v>82</v>
      </c>
      <c r="AI1123">
        <v>0</v>
      </c>
      <c r="AJ1123">
        <v>1</v>
      </c>
    </row>
    <row r="1124" spans="1:36" x14ac:dyDescent="0.2">
      <c r="A1124" t="str">
        <f>+VLOOKUP(B1124,studies!$A$2:$C$102,3)</f>
        <v>Botzen &amp; van den Bergh (2012)</v>
      </c>
      <c r="B1124">
        <v>73</v>
      </c>
      <c r="C1124">
        <v>2012</v>
      </c>
      <c r="D1124">
        <v>1</v>
      </c>
      <c r="E1124">
        <v>2005</v>
      </c>
      <c r="F1124">
        <v>2015</v>
      </c>
      <c r="H1124">
        <v>47.050075985663078</v>
      </c>
      <c r="I1124">
        <v>0</v>
      </c>
      <c r="J1124">
        <v>1</v>
      </c>
      <c r="K1124">
        <v>0</v>
      </c>
      <c r="M1124">
        <v>6.3876582341255954</v>
      </c>
      <c r="N1124">
        <v>6.4227113732469689</v>
      </c>
      <c r="O1124">
        <v>0</v>
      </c>
      <c r="P1124">
        <v>1</v>
      </c>
      <c r="Q1124">
        <v>0</v>
      </c>
      <c r="R1124">
        <v>1</v>
      </c>
      <c r="S1124">
        <v>0</v>
      </c>
      <c r="T1124">
        <v>1</v>
      </c>
      <c r="U1124">
        <v>0</v>
      </c>
      <c r="W1124">
        <v>3</v>
      </c>
      <c r="AA1124">
        <v>0</v>
      </c>
      <c r="AC1124">
        <v>0</v>
      </c>
      <c r="AD1124">
        <v>0</v>
      </c>
      <c r="AE1124">
        <v>0</v>
      </c>
      <c r="AF1124">
        <v>1</v>
      </c>
      <c r="AG1124">
        <v>2</v>
      </c>
      <c r="AH1124">
        <v>5</v>
      </c>
      <c r="AI1124">
        <v>0.81</v>
      </c>
      <c r="AJ1124">
        <v>1</v>
      </c>
    </row>
    <row r="1125" spans="1:36" x14ac:dyDescent="0.2">
      <c r="A1125" t="str">
        <f>+VLOOKUP(B1125,studies!$A$2:$C$102,3)</f>
        <v>Cai et al. (2012)</v>
      </c>
      <c r="B1125">
        <v>74</v>
      </c>
      <c r="C1125">
        <v>2012</v>
      </c>
      <c r="D1125">
        <v>1</v>
      </c>
      <c r="E1125">
        <v>2005</v>
      </c>
      <c r="F1125">
        <v>2015</v>
      </c>
      <c r="H1125">
        <v>40.752913466461848</v>
      </c>
      <c r="I1125">
        <v>0</v>
      </c>
      <c r="J1125">
        <v>1</v>
      </c>
      <c r="K1125">
        <v>0</v>
      </c>
      <c r="M1125">
        <v>9.6980836800847747</v>
      </c>
      <c r="N1125">
        <v>10.355330038610518</v>
      </c>
      <c r="O1125">
        <v>0</v>
      </c>
      <c r="P1125">
        <v>1</v>
      </c>
      <c r="Q1125">
        <v>0</v>
      </c>
      <c r="R1125">
        <v>1</v>
      </c>
      <c r="S1125">
        <v>0</v>
      </c>
      <c r="T1125">
        <v>1</v>
      </c>
      <c r="U1125">
        <v>0</v>
      </c>
      <c r="W1125">
        <v>3</v>
      </c>
      <c r="AA1125">
        <v>0</v>
      </c>
      <c r="AC1125">
        <v>0</v>
      </c>
      <c r="AD1125">
        <v>0</v>
      </c>
      <c r="AE1125">
        <v>0</v>
      </c>
      <c r="AF1125">
        <v>1</v>
      </c>
      <c r="AG1125">
        <v>2</v>
      </c>
      <c r="AH1125">
        <v>13</v>
      </c>
      <c r="AI1125">
        <v>2.67</v>
      </c>
      <c r="AJ1125">
        <v>1</v>
      </c>
    </row>
    <row r="1126" spans="1:36" x14ac:dyDescent="0.2">
      <c r="A1126" t="str">
        <f>+VLOOKUP(B1126,studies!$A$2:$C$102,3)</f>
        <v>Espagne et al. (2012)</v>
      </c>
      <c r="B1126">
        <v>75</v>
      </c>
      <c r="C1126">
        <v>2012</v>
      </c>
      <c r="D1126">
        <v>0</v>
      </c>
      <c r="E1126">
        <v>2005</v>
      </c>
      <c r="F1126">
        <v>2010</v>
      </c>
      <c r="H1126">
        <v>437.40563239475949</v>
      </c>
      <c r="I1126">
        <v>1</v>
      </c>
      <c r="J1126">
        <v>0</v>
      </c>
      <c r="K1126">
        <v>0</v>
      </c>
      <c r="M1126">
        <v>361.36814740653534</v>
      </c>
      <c r="N1126">
        <v>407.14271336944631</v>
      </c>
      <c r="O1126">
        <v>1</v>
      </c>
      <c r="P1126">
        <v>1</v>
      </c>
      <c r="Q1126">
        <v>1</v>
      </c>
      <c r="R1126">
        <v>0</v>
      </c>
      <c r="S1126">
        <v>0</v>
      </c>
      <c r="T1126">
        <v>0</v>
      </c>
      <c r="U1126">
        <v>0</v>
      </c>
      <c r="V1126">
        <v>2.75</v>
      </c>
      <c r="W1126">
        <v>0.8</v>
      </c>
      <c r="X1126">
        <v>1.5</v>
      </c>
      <c r="Y1126">
        <v>1.3</v>
      </c>
      <c r="Z1126">
        <v>0.75</v>
      </c>
      <c r="AA1126">
        <v>0</v>
      </c>
      <c r="AB1126">
        <v>3.5</v>
      </c>
      <c r="AC1126">
        <v>0</v>
      </c>
      <c r="AD1126">
        <v>0</v>
      </c>
      <c r="AE1126">
        <v>0</v>
      </c>
      <c r="AF1126">
        <v>1</v>
      </c>
      <c r="AG1126">
        <v>2</v>
      </c>
      <c r="AH1126">
        <v>4</v>
      </c>
      <c r="AI1126">
        <v>0</v>
      </c>
      <c r="AJ1126">
        <v>1</v>
      </c>
    </row>
    <row r="1127" spans="1:36" x14ac:dyDescent="0.2">
      <c r="A1127" t="str">
        <f>+VLOOKUP(B1127,studies!$A$2:$C$102,3)</f>
        <v>Gerlagh &amp; Liski (2012)</v>
      </c>
      <c r="B1127">
        <v>76</v>
      </c>
      <c r="C1127">
        <v>2012</v>
      </c>
      <c r="D1127">
        <v>0</v>
      </c>
      <c r="E1127">
        <v>2010</v>
      </c>
      <c r="F1127">
        <v>2010</v>
      </c>
      <c r="H1127">
        <v>163.34198040816577</v>
      </c>
      <c r="I1127">
        <v>1</v>
      </c>
      <c r="J1127">
        <v>0</v>
      </c>
      <c r="K1127">
        <v>0</v>
      </c>
      <c r="M1127">
        <v>53.574264711133075</v>
      </c>
      <c r="N1127">
        <v>9.1841596647656782</v>
      </c>
      <c r="O1127">
        <v>0</v>
      </c>
      <c r="P1127">
        <v>1</v>
      </c>
      <c r="Q1127">
        <v>1</v>
      </c>
      <c r="R1127">
        <v>0</v>
      </c>
      <c r="S1127">
        <v>0</v>
      </c>
      <c r="T1127">
        <v>0</v>
      </c>
      <c r="U1127">
        <v>0</v>
      </c>
      <c r="W1127">
        <v>2</v>
      </c>
      <c r="AA1127">
        <v>0</v>
      </c>
      <c r="AB1127">
        <v>3</v>
      </c>
      <c r="AC1127">
        <v>0</v>
      </c>
      <c r="AD1127">
        <v>0</v>
      </c>
      <c r="AE1127">
        <v>0</v>
      </c>
      <c r="AF1127">
        <v>0.33333333333333331</v>
      </c>
      <c r="AG1127">
        <v>2</v>
      </c>
      <c r="AH1127">
        <v>42</v>
      </c>
      <c r="AI1127">
        <v>0</v>
      </c>
      <c r="AJ1127">
        <v>1</v>
      </c>
    </row>
    <row r="1128" spans="1:36" x14ac:dyDescent="0.2">
      <c r="A1128" t="str">
        <f>+VLOOKUP(B1128,studies!$A$2:$C$102,3)</f>
        <v>Johnson &amp; Hope (2012)</v>
      </c>
      <c r="B1128">
        <v>77</v>
      </c>
      <c r="C1128">
        <v>2012</v>
      </c>
      <c r="D1128">
        <v>1</v>
      </c>
      <c r="E1128">
        <v>2007</v>
      </c>
      <c r="F1128">
        <v>2010</v>
      </c>
      <c r="H1128">
        <v>202.25553040438297</v>
      </c>
      <c r="I1128">
        <v>0</v>
      </c>
      <c r="J1128">
        <v>1</v>
      </c>
      <c r="K1128">
        <v>0</v>
      </c>
      <c r="M1128">
        <v>102.82469368857747</v>
      </c>
      <c r="N1128">
        <v>371.14577773185232</v>
      </c>
      <c r="O1128">
        <v>0</v>
      </c>
      <c r="P1128">
        <v>1</v>
      </c>
      <c r="Q1128">
        <v>0</v>
      </c>
      <c r="R1128">
        <v>1</v>
      </c>
      <c r="S1128">
        <v>1</v>
      </c>
      <c r="T1128">
        <v>1</v>
      </c>
      <c r="U1128">
        <v>1</v>
      </c>
      <c r="V1128">
        <v>3</v>
      </c>
      <c r="AA1128">
        <v>0</v>
      </c>
      <c r="AC1128">
        <v>0</v>
      </c>
      <c r="AD1128">
        <v>0</v>
      </c>
      <c r="AE1128">
        <v>0</v>
      </c>
      <c r="AF1128">
        <v>0</v>
      </c>
      <c r="AG1128">
        <v>2</v>
      </c>
      <c r="AH1128">
        <v>36</v>
      </c>
      <c r="AI1128">
        <v>0</v>
      </c>
      <c r="AJ1128">
        <v>1</v>
      </c>
    </row>
    <row r="1129" spans="1:36" x14ac:dyDescent="0.2">
      <c r="A1129" t="str">
        <f>+VLOOKUP(B1129,studies!$A$2:$C$102,3)</f>
        <v>Kopp et al. (2012)</v>
      </c>
      <c r="B1129">
        <v>78</v>
      </c>
      <c r="C1129">
        <v>2012</v>
      </c>
      <c r="D1129">
        <v>1</v>
      </c>
      <c r="E1129">
        <v>2005</v>
      </c>
      <c r="F1129">
        <v>2015</v>
      </c>
      <c r="H1129">
        <v>450.32899812254641</v>
      </c>
      <c r="I1129">
        <v>0</v>
      </c>
      <c r="J1129">
        <v>0</v>
      </c>
      <c r="K1129">
        <v>1</v>
      </c>
      <c r="M1129">
        <v>176.14909790507767</v>
      </c>
      <c r="N1129">
        <v>581.29202308675576</v>
      </c>
      <c r="O1129">
        <v>0</v>
      </c>
      <c r="P1129">
        <v>1</v>
      </c>
      <c r="Q1129">
        <v>0</v>
      </c>
      <c r="R1129">
        <v>1</v>
      </c>
      <c r="S1129">
        <v>0</v>
      </c>
      <c r="T1129">
        <v>1</v>
      </c>
      <c r="U1129">
        <v>0</v>
      </c>
      <c r="V1129">
        <v>3</v>
      </c>
      <c r="W1129">
        <v>0.74750000000000183</v>
      </c>
      <c r="AA1129">
        <v>0</v>
      </c>
      <c r="AC1129">
        <v>0</v>
      </c>
      <c r="AD1129">
        <v>0</v>
      </c>
      <c r="AE1129">
        <v>0</v>
      </c>
      <c r="AF1129">
        <v>1</v>
      </c>
      <c r="AG1129">
        <v>2</v>
      </c>
      <c r="AH1129">
        <v>23</v>
      </c>
      <c r="AI1129">
        <v>0</v>
      </c>
      <c r="AJ1129">
        <v>1</v>
      </c>
    </row>
    <row r="1130" spans="1:36" x14ac:dyDescent="0.2">
      <c r="A1130" t="str">
        <f>+VLOOKUP(B1130,studies!$A$2:$C$102,3)</f>
        <v>Marten &amp; Newbold (2012)</v>
      </c>
      <c r="B1130">
        <v>79</v>
      </c>
      <c r="C1130">
        <v>2012</v>
      </c>
      <c r="D1130">
        <v>1</v>
      </c>
      <c r="E1130">
        <v>2007</v>
      </c>
      <c r="F1130">
        <v>2015</v>
      </c>
      <c r="H1130">
        <v>142.67698134804652</v>
      </c>
      <c r="I1130">
        <v>1</v>
      </c>
      <c r="J1130">
        <v>0</v>
      </c>
      <c r="K1130">
        <v>0</v>
      </c>
      <c r="M1130">
        <v>46.037525696970334</v>
      </c>
      <c r="N1130">
        <v>37.184155370629888</v>
      </c>
      <c r="O1130">
        <v>0</v>
      </c>
      <c r="P1130">
        <v>1</v>
      </c>
      <c r="Q1130">
        <v>0</v>
      </c>
      <c r="R1130">
        <v>1</v>
      </c>
      <c r="S1130">
        <v>0</v>
      </c>
      <c r="T1130">
        <v>1</v>
      </c>
      <c r="U1130">
        <v>0</v>
      </c>
      <c r="V1130">
        <v>3.5</v>
      </c>
      <c r="AA1130">
        <v>0</v>
      </c>
      <c r="AC1130">
        <v>0</v>
      </c>
      <c r="AD1130">
        <v>0</v>
      </c>
      <c r="AE1130">
        <v>0</v>
      </c>
      <c r="AF1130">
        <v>0</v>
      </c>
      <c r="AG1130">
        <v>2</v>
      </c>
      <c r="AH1130">
        <v>15</v>
      </c>
      <c r="AI1130">
        <v>1.6</v>
      </c>
      <c r="AJ1130">
        <v>1</v>
      </c>
    </row>
    <row r="1131" spans="1:36" x14ac:dyDescent="0.2">
      <c r="A1131" t="str">
        <f>+VLOOKUP(B1131,studies!$A$2:$C$102,3)</f>
        <v>Anthoff &amp; Tol (2013)</v>
      </c>
      <c r="B1131">
        <v>82</v>
      </c>
      <c r="C1131">
        <v>2013</v>
      </c>
      <c r="D1131">
        <v>1</v>
      </c>
      <c r="E1131">
        <v>1995</v>
      </c>
      <c r="F1131">
        <v>2015</v>
      </c>
      <c r="H1131">
        <v>73.543821522309713</v>
      </c>
      <c r="I1131">
        <v>1</v>
      </c>
      <c r="J1131">
        <v>0</v>
      </c>
      <c r="K1131">
        <v>0</v>
      </c>
      <c r="M1131">
        <v>35.85064197332477</v>
      </c>
      <c r="N1131">
        <v>219.06413961647652</v>
      </c>
      <c r="O1131">
        <v>0</v>
      </c>
      <c r="P1131">
        <v>1</v>
      </c>
      <c r="Q1131">
        <v>1</v>
      </c>
      <c r="R1131">
        <v>1</v>
      </c>
      <c r="S1131">
        <v>1</v>
      </c>
      <c r="T1131">
        <v>0</v>
      </c>
      <c r="U1131">
        <v>0</v>
      </c>
      <c r="W1131">
        <v>1.3</v>
      </c>
      <c r="X1131">
        <v>1.5</v>
      </c>
      <c r="Z1131">
        <v>0.66666666666666663</v>
      </c>
      <c r="AA1131">
        <v>0</v>
      </c>
      <c r="AC1131">
        <v>0</v>
      </c>
      <c r="AD1131">
        <v>0</v>
      </c>
      <c r="AE1131">
        <v>1</v>
      </c>
      <c r="AF1131">
        <v>0</v>
      </c>
      <c r="AG1131">
        <v>2</v>
      </c>
      <c r="AH1131">
        <v>24</v>
      </c>
      <c r="AI1131">
        <v>1.56</v>
      </c>
      <c r="AJ1131">
        <v>1</v>
      </c>
    </row>
    <row r="1132" spans="1:36" x14ac:dyDescent="0.2">
      <c r="A1132" t="str">
        <f>+VLOOKUP(B1132,studies!$A$2:$C$102,3)</f>
        <v>van den Bijgaart et al. (2013)</v>
      </c>
      <c r="B1132">
        <v>83</v>
      </c>
      <c r="C1132">
        <v>2013</v>
      </c>
      <c r="D1132">
        <v>0</v>
      </c>
      <c r="E1132">
        <v>2010</v>
      </c>
      <c r="F1132">
        <v>2015</v>
      </c>
      <c r="H1132">
        <v>28.486055776892428</v>
      </c>
      <c r="I1132">
        <v>0</v>
      </c>
      <c r="J1132">
        <v>0</v>
      </c>
      <c r="K1132">
        <v>1</v>
      </c>
      <c r="M1132">
        <v>8.4187061278694753</v>
      </c>
      <c r="N1132">
        <v>89.739680732850886</v>
      </c>
      <c r="O1132">
        <v>1</v>
      </c>
      <c r="P1132">
        <v>1</v>
      </c>
      <c r="Q1132">
        <v>1</v>
      </c>
      <c r="R1132">
        <v>0</v>
      </c>
      <c r="S1132">
        <v>0</v>
      </c>
      <c r="T1132">
        <v>0</v>
      </c>
      <c r="U1132">
        <v>0</v>
      </c>
      <c r="V1132">
        <v>1.5249999999999999</v>
      </c>
      <c r="W1132">
        <v>2</v>
      </c>
      <c r="AA1132">
        <v>0</v>
      </c>
      <c r="AB1132">
        <v>3</v>
      </c>
      <c r="AC1132">
        <v>0</v>
      </c>
      <c r="AD1132">
        <v>0</v>
      </c>
      <c r="AE1132">
        <v>0</v>
      </c>
      <c r="AF1132">
        <v>1</v>
      </c>
      <c r="AG1132">
        <v>2</v>
      </c>
      <c r="AH1132">
        <v>3</v>
      </c>
      <c r="AI1132">
        <v>0</v>
      </c>
      <c r="AJ1132">
        <v>1</v>
      </c>
    </row>
    <row r="1133" spans="1:36" x14ac:dyDescent="0.2">
      <c r="A1133" t="str">
        <f>+VLOOKUP(B1133,studies!$A$2:$C$102,3)</f>
        <v>Cai et al. (2013)</v>
      </c>
      <c r="B1133">
        <v>84</v>
      </c>
      <c r="C1133">
        <v>2013</v>
      </c>
      <c r="D1133">
        <v>0</v>
      </c>
      <c r="E1133">
        <v>2005</v>
      </c>
      <c r="F1133">
        <v>2015</v>
      </c>
      <c r="H1133">
        <v>286.57299880525682</v>
      </c>
      <c r="I1133">
        <v>0</v>
      </c>
      <c r="J1133">
        <v>1</v>
      </c>
      <c r="K1133">
        <v>0</v>
      </c>
      <c r="M1133">
        <v>52.635856923414501</v>
      </c>
      <c r="N1133">
        <v>122.1903821436409</v>
      </c>
      <c r="O1133">
        <v>0</v>
      </c>
      <c r="P1133">
        <v>1</v>
      </c>
      <c r="Q1133">
        <v>1</v>
      </c>
      <c r="R1133">
        <v>1</v>
      </c>
      <c r="S1133">
        <v>0</v>
      </c>
      <c r="T1133">
        <v>1</v>
      </c>
      <c r="U1133">
        <v>0</v>
      </c>
      <c r="X1133">
        <v>10</v>
      </c>
      <c r="Z1133">
        <v>1.1111111111111112</v>
      </c>
      <c r="AA1133">
        <v>0</v>
      </c>
      <c r="AB1133">
        <v>3</v>
      </c>
      <c r="AC1133">
        <v>0</v>
      </c>
      <c r="AD1133">
        <v>0</v>
      </c>
      <c r="AE1133">
        <v>0</v>
      </c>
      <c r="AF1133">
        <v>1</v>
      </c>
      <c r="AG1133">
        <v>2</v>
      </c>
      <c r="AH1133">
        <v>18</v>
      </c>
      <c r="AI1133">
        <v>0</v>
      </c>
      <c r="AJ1133">
        <v>1</v>
      </c>
    </row>
    <row r="1134" spans="1:36" x14ac:dyDescent="0.2">
      <c r="A1134" t="str">
        <f>+VLOOKUP(B1134,studies!$A$2:$C$102,3)</f>
        <v>Greenstone et al. (2013)</v>
      </c>
      <c r="B1134">
        <v>87</v>
      </c>
      <c r="C1134">
        <v>2013</v>
      </c>
      <c r="D1134">
        <v>1</v>
      </c>
      <c r="E1134">
        <v>2007</v>
      </c>
      <c r="F1134">
        <v>2010</v>
      </c>
      <c r="H1134">
        <v>86.7451497067687</v>
      </c>
      <c r="I1134">
        <v>1</v>
      </c>
      <c r="J1134">
        <v>0</v>
      </c>
      <c r="K1134">
        <v>0</v>
      </c>
      <c r="M1134">
        <v>46.757259239743412</v>
      </c>
      <c r="N1134">
        <v>76.591096547691464</v>
      </c>
      <c r="O1134">
        <v>0</v>
      </c>
      <c r="P1134">
        <v>1</v>
      </c>
      <c r="Q1134">
        <v>1</v>
      </c>
      <c r="R1134">
        <v>1</v>
      </c>
      <c r="S1134">
        <v>1</v>
      </c>
      <c r="T1134">
        <v>1</v>
      </c>
      <c r="U1134">
        <v>1</v>
      </c>
      <c r="V1134">
        <v>3.521276595744681</v>
      </c>
      <c r="AA1134">
        <v>0</v>
      </c>
      <c r="AC1134">
        <v>0</v>
      </c>
      <c r="AD1134">
        <v>0</v>
      </c>
      <c r="AE1134">
        <v>0</v>
      </c>
      <c r="AF1134">
        <v>0</v>
      </c>
      <c r="AG1134">
        <v>2</v>
      </c>
      <c r="AH1134">
        <v>23</v>
      </c>
      <c r="AI1134">
        <v>2.42</v>
      </c>
      <c r="AJ1134">
        <v>1</v>
      </c>
    </row>
    <row r="1135" spans="1:36" x14ac:dyDescent="0.2">
      <c r="A1135" t="str">
        <f>+VLOOKUP(B1135,studies!$A$2:$C$102,3)</f>
        <v>Hwang et al. (2013)</v>
      </c>
      <c r="B1135">
        <v>88</v>
      </c>
      <c r="C1135">
        <v>2013</v>
      </c>
      <c r="D1135">
        <v>1</v>
      </c>
      <c r="E1135">
        <v>2005</v>
      </c>
      <c r="F1135">
        <v>2005</v>
      </c>
      <c r="H1135">
        <v>71.291058519451084</v>
      </c>
      <c r="I1135">
        <v>0</v>
      </c>
      <c r="J1135">
        <v>1</v>
      </c>
      <c r="K1135">
        <v>0</v>
      </c>
      <c r="M1135">
        <v>23.410274861196214</v>
      </c>
      <c r="N1135">
        <v>134.1157234196794</v>
      </c>
      <c r="O1135">
        <v>1</v>
      </c>
      <c r="P1135">
        <v>1</v>
      </c>
      <c r="Q1135">
        <v>0</v>
      </c>
      <c r="R1135">
        <v>1</v>
      </c>
      <c r="S1135">
        <v>0</v>
      </c>
      <c r="T1135">
        <v>1</v>
      </c>
      <c r="U1135">
        <v>0</v>
      </c>
      <c r="V1135">
        <v>5.5</v>
      </c>
      <c r="W1135">
        <v>1.5</v>
      </c>
      <c r="X1135">
        <v>2.5</v>
      </c>
      <c r="Y1135">
        <v>1.6</v>
      </c>
      <c r="Z1135">
        <v>0.4</v>
      </c>
      <c r="AA1135">
        <v>0</v>
      </c>
      <c r="AC1135">
        <v>0</v>
      </c>
      <c r="AD1135">
        <v>0</v>
      </c>
      <c r="AE1135">
        <v>1</v>
      </c>
      <c r="AF1135">
        <v>0</v>
      </c>
      <c r="AG1135">
        <v>2</v>
      </c>
      <c r="AH1135">
        <v>7</v>
      </c>
      <c r="AI1135">
        <v>1.65</v>
      </c>
      <c r="AJ1135">
        <v>1</v>
      </c>
    </row>
    <row r="1136" spans="1:36" x14ac:dyDescent="0.2">
      <c r="A1136" t="str">
        <f>+VLOOKUP(B1136,studies!$A$2:$C$102,3)</f>
        <v>Moyer et al. (2013)</v>
      </c>
      <c r="B1136">
        <v>91</v>
      </c>
      <c r="C1136">
        <v>2013</v>
      </c>
      <c r="D1136">
        <v>0</v>
      </c>
      <c r="E1136">
        <v>2007</v>
      </c>
      <c r="F1136">
        <v>2010</v>
      </c>
      <c r="H1136">
        <v>507.88610968211719</v>
      </c>
      <c r="I1136">
        <v>0</v>
      </c>
      <c r="J1136">
        <v>1</v>
      </c>
      <c r="K1136">
        <v>0</v>
      </c>
      <c r="M1136">
        <v>445.38017532565135</v>
      </c>
      <c r="N1136">
        <v>502.41098049458054</v>
      </c>
      <c r="O1136">
        <v>0</v>
      </c>
      <c r="P1136">
        <v>1</v>
      </c>
      <c r="Q1136">
        <v>0</v>
      </c>
      <c r="R1136">
        <v>1</v>
      </c>
      <c r="S1136">
        <v>0</v>
      </c>
      <c r="T1136">
        <v>1</v>
      </c>
      <c r="U1136">
        <v>0</v>
      </c>
      <c r="W1136">
        <v>1</v>
      </c>
      <c r="X1136">
        <v>2</v>
      </c>
      <c r="AA1136">
        <v>0</v>
      </c>
      <c r="AC1136">
        <v>0</v>
      </c>
      <c r="AD1136">
        <v>0</v>
      </c>
      <c r="AE1136">
        <v>0</v>
      </c>
      <c r="AF1136">
        <v>0</v>
      </c>
      <c r="AG1136">
        <v>2</v>
      </c>
      <c r="AH1136">
        <v>7</v>
      </c>
      <c r="AI1136">
        <v>0</v>
      </c>
      <c r="AJ1136">
        <v>1</v>
      </c>
    </row>
    <row r="1137" spans="1:36" x14ac:dyDescent="0.2">
      <c r="A1137" t="str">
        <f>+VLOOKUP(B1137,studies!$A$2:$C$102,3)</f>
        <v>Newbold et al. (2013)</v>
      </c>
      <c r="B1137">
        <v>92</v>
      </c>
      <c r="C1137">
        <v>2013</v>
      </c>
      <c r="D1137">
        <v>1</v>
      </c>
      <c r="E1137">
        <v>2005</v>
      </c>
      <c r="F1137">
        <v>2015</v>
      </c>
      <c r="H1137">
        <v>61.178851637259505</v>
      </c>
      <c r="I1137">
        <v>0</v>
      </c>
      <c r="J1137">
        <v>0</v>
      </c>
      <c r="K1137">
        <v>1</v>
      </c>
      <c r="M1137">
        <v>20.094413911306265</v>
      </c>
      <c r="N1137">
        <v>0.10545066125086394</v>
      </c>
      <c r="O1137">
        <v>1</v>
      </c>
      <c r="P1137">
        <v>1</v>
      </c>
      <c r="Q1137">
        <v>1</v>
      </c>
      <c r="R1137">
        <v>1</v>
      </c>
      <c r="S1137">
        <v>0</v>
      </c>
      <c r="T1137">
        <v>0</v>
      </c>
      <c r="U1137">
        <v>0</v>
      </c>
      <c r="V1137">
        <v>4.7</v>
      </c>
      <c r="W1137">
        <v>1.34</v>
      </c>
      <c r="X1137">
        <v>1.71</v>
      </c>
      <c r="Y1137">
        <v>1.9649122807017547</v>
      </c>
      <c r="Z1137">
        <v>0.58479532163742687</v>
      </c>
      <c r="AA1137">
        <v>0</v>
      </c>
      <c r="AC1137">
        <v>0</v>
      </c>
      <c r="AD1137">
        <v>0</v>
      </c>
      <c r="AE1137">
        <v>0</v>
      </c>
      <c r="AF1137">
        <v>0</v>
      </c>
      <c r="AG1137">
        <v>2</v>
      </c>
      <c r="AH1137">
        <v>1</v>
      </c>
      <c r="AI1137">
        <v>0</v>
      </c>
      <c r="AJ1137">
        <v>1</v>
      </c>
    </row>
    <row r="1138" spans="1:36" x14ac:dyDescent="0.2">
      <c r="A1138" t="str">
        <f>+VLOOKUP(B1138,studies!$A$2:$C$102,3)</f>
        <v>Tol (2013)</v>
      </c>
      <c r="B1138">
        <v>94</v>
      </c>
      <c r="C1138">
        <v>2013</v>
      </c>
      <c r="D1138">
        <v>1</v>
      </c>
      <c r="E1138">
        <v>2010</v>
      </c>
      <c r="F1138">
        <v>2013</v>
      </c>
      <c r="H1138">
        <v>0.9037185715180629</v>
      </c>
      <c r="I1138">
        <v>0</v>
      </c>
      <c r="J1138">
        <v>1</v>
      </c>
      <c r="K1138">
        <v>0</v>
      </c>
      <c r="M1138">
        <v>0.62652758109445539</v>
      </c>
      <c r="N1138">
        <v>111.48393806626189</v>
      </c>
      <c r="O1138">
        <v>0</v>
      </c>
      <c r="P1138">
        <v>1</v>
      </c>
      <c r="Q1138">
        <v>0</v>
      </c>
      <c r="R1138">
        <v>0</v>
      </c>
      <c r="S1138">
        <v>0</v>
      </c>
      <c r="T1138">
        <v>0</v>
      </c>
      <c r="U1138">
        <v>0</v>
      </c>
      <c r="X1138">
        <v>1.5</v>
      </c>
      <c r="Z1138">
        <v>0.66666666666666663</v>
      </c>
      <c r="AA1138">
        <v>1</v>
      </c>
      <c r="AB1138">
        <v>3</v>
      </c>
      <c r="AC1138">
        <v>0</v>
      </c>
      <c r="AD1138">
        <v>0</v>
      </c>
      <c r="AE1138">
        <v>1</v>
      </c>
      <c r="AF1138">
        <v>1</v>
      </c>
      <c r="AG1138">
        <v>2</v>
      </c>
      <c r="AH1138">
        <v>2</v>
      </c>
      <c r="AI1138">
        <v>0.81</v>
      </c>
      <c r="AJ1138">
        <v>1</v>
      </c>
    </row>
    <row r="1139" spans="1:36" x14ac:dyDescent="0.2">
      <c r="A1139" t="str">
        <f>+VLOOKUP(B1139,studies!$A$2:$C$102,3)</f>
        <v>Weitzman (2013)</v>
      </c>
      <c r="B1139">
        <v>95</v>
      </c>
      <c r="C1139">
        <v>2013</v>
      </c>
      <c r="D1139">
        <v>1</v>
      </c>
      <c r="E1139">
        <v>2007</v>
      </c>
      <c r="F1139">
        <v>2010</v>
      </c>
      <c r="H1139">
        <v>346.0816853586108</v>
      </c>
      <c r="I1139">
        <v>0</v>
      </c>
      <c r="J1139">
        <v>1</v>
      </c>
      <c r="K1139">
        <v>0</v>
      </c>
      <c r="M1139">
        <v>174.27914184504652</v>
      </c>
      <c r="N1139">
        <v>433.40470800939215</v>
      </c>
      <c r="O1139">
        <v>0</v>
      </c>
      <c r="P1139">
        <v>1</v>
      </c>
      <c r="Q1139">
        <v>1</v>
      </c>
      <c r="R1139">
        <v>1</v>
      </c>
      <c r="S1139">
        <v>1</v>
      </c>
      <c r="T1139">
        <v>1</v>
      </c>
      <c r="U1139">
        <v>1</v>
      </c>
      <c r="V1139">
        <v>2.0714285714285716</v>
      </c>
      <c r="AA1139">
        <v>0</v>
      </c>
      <c r="AC1139">
        <v>0</v>
      </c>
      <c r="AD1139">
        <v>0</v>
      </c>
      <c r="AE1139">
        <v>0</v>
      </c>
      <c r="AF1139">
        <v>0</v>
      </c>
      <c r="AG1139">
        <v>2</v>
      </c>
      <c r="AH1139">
        <v>17</v>
      </c>
      <c r="AI1139">
        <v>13.13</v>
      </c>
      <c r="AJ1139">
        <v>1</v>
      </c>
    </row>
    <row r="1140" spans="1:36" x14ac:dyDescent="0.2">
      <c r="A1140" t="str">
        <f>+VLOOKUP(B1140,studies!$A$2:$C$102,3)</f>
        <v>Golosov et al. (2014)</v>
      </c>
      <c r="B1140">
        <v>96</v>
      </c>
      <c r="C1140">
        <v>2014</v>
      </c>
      <c r="D1140">
        <v>1</v>
      </c>
      <c r="E1140">
        <v>2013</v>
      </c>
      <c r="F1140">
        <v>2013</v>
      </c>
      <c r="H1140">
        <v>227.7769829866991</v>
      </c>
      <c r="I1140">
        <v>1</v>
      </c>
      <c r="J1140">
        <v>0</v>
      </c>
      <c r="K1140">
        <v>0</v>
      </c>
      <c r="M1140">
        <v>101.85179572142799</v>
      </c>
      <c r="N1140">
        <v>1531.2212502515663</v>
      </c>
      <c r="O1140">
        <v>1</v>
      </c>
      <c r="P1140">
        <v>1</v>
      </c>
      <c r="Q1140">
        <v>0</v>
      </c>
      <c r="R1140">
        <v>0</v>
      </c>
      <c r="S1140">
        <v>0</v>
      </c>
      <c r="T1140">
        <v>0</v>
      </c>
      <c r="U1140">
        <v>0</v>
      </c>
      <c r="W1140">
        <v>0.1</v>
      </c>
      <c r="X1140">
        <v>2</v>
      </c>
      <c r="Z1140">
        <v>0.5</v>
      </c>
      <c r="AA1140">
        <v>0</v>
      </c>
      <c r="AC1140">
        <v>0</v>
      </c>
      <c r="AD1140">
        <v>0</v>
      </c>
      <c r="AE1140">
        <v>0</v>
      </c>
      <c r="AF1140">
        <v>1</v>
      </c>
      <c r="AG1140">
        <v>2</v>
      </c>
      <c r="AH1140">
        <v>87</v>
      </c>
      <c r="AI1140">
        <v>15.1</v>
      </c>
      <c r="AJ1140">
        <v>1</v>
      </c>
    </row>
    <row r="1141" spans="1:36" x14ac:dyDescent="0.2">
      <c r="A1141" t="str">
        <f>+VLOOKUP(B1141,studies!$A$2:$C$102,3)</f>
        <v>Howarth et al. (2014)</v>
      </c>
      <c r="B1141">
        <v>97</v>
      </c>
      <c r="C1141">
        <v>2014</v>
      </c>
      <c r="D1141">
        <v>1</v>
      </c>
      <c r="E1141">
        <v>2005</v>
      </c>
      <c r="F1141">
        <v>2010</v>
      </c>
      <c r="H1141">
        <v>128.83584081445642</v>
      </c>
      <c r="I1141">
        <v>0</v>
      </c>
      <c r="J1141">
        <v>1</v>
      </c>
      <c r="K1141">
        <v>0</v>
      </c>
      <c r="M1141">
        <v>87.36084900269779</v>
      </c>
      <c r="N1141">
        <v>97.97222565773626</v>
      </c>
      <c r="O1141">
        <v>0</v>
      </c>
      <c r="P1141">
        <v>1</v>
      </c>
      <c r="Q1141">
        <v>0</v>
      </c>
      <c r="R1141">
        <v>1</v>
      </c>
      <c r="S1141">
        <v>0</v>
      </c>
      <c r="T1141">
        <v>1</v>
      </c>
      <c r="U1141">
        <v>0</v>
      </c>
      <c r="X1141">
        <v>2.75</v>
      </c>
      <c r="Z1141">
        <v>0.36363636363636365</v>
      </c>
      <c r="AA1141">
        <v>0</v>
      </c>
      <c r="AC1141">
        <v>0</v>
      </c>
      <c r="AD1141">
        <v>0</v>
      </c>
      <c r="AE1141">
        <v>0</v>
      </c>
      <c r="AF1141">
        <v>0</v>
      </c>
      <c r="AG1141">
        <v>2</v>
      </c>
      <c r="AH1141">
        <v>2</v>
      </c>
      <c r="AI1141">
        <v>2.42</v>
      </c>
      <c r="AJ1141">
        <v>1</v>
      </c>
    </row>
    <row r="1142" spans="1:36" x14ac:dyDescent="0.2">
      <c r="A1142" t="str">
        <f>+VLOOKUP(B1142,studies!$A$2:$C$102,3)</f>
        <v>Jensen &amp; Traeger (2014a)</v>
      </c>
      <c r="B1142">
        <v>98</v>
      </c>
      <c r="C1142">
        <v>2014</v>
      </c>
      <c r="D1142">
        <v>1</v>
      </c>
      <c r="E1142">
        <v>2012</v>
      </c>
      <c r="F1142">
        <v>2012</v>
      </c>
      <c r="H1142">
        <v>53.668082829766362</v>
      </c>
      <c r="I1142">
        <v>0</v>
      </c>
      <c r="J1142">
        <v>1</v>
      </c>
      <c r="K1142">
        <v>0</v>
      </c>
      <c r="M1142">
        <v>7.3198536896529207</v>
      </c>
      <c r="N1142">
        <v>16.808552916980773</v>
      </c>
      <c r="O1142">
        <v>0</v>
      </c>
      <c r="P1142">
        <v>1</v>
      </c>
      <c r="Q1142">
        <v>0</v>
      </c>
      <c r="R1142">
        <v>0</v>
      </c>
      <c r="S1142">
        <v>0</v>
      </c>
      <c r="T1142">
        <v>1</v>
      </c>
      <c r="U1142">
        <v>0</v>
      </c>
      <c r="X1142">
        <v>7.333333333333333</v>
      </c>
      <c r="Z1142">
        <v>1</v>
      </c>
      <c r="AA1142">
        <v>0</v>
      </c>
      <c r="AB1142">
        <v>3</v>
      </c>
      <c r="AC1142">
        <v>0</v>
      </c>
      <c r="AD1142">
        <v>0</v>
      </c>
      <c r="AE1142">
        <v>0</v>
      </c>
      <c r="AF1142">
        <v>0</v>
      </c>
      <c r="AG1142">
        <v>2</v>
      </c>
      <c r="AH1142">
        <v>0</v>
      </c>
      <c r="AI1142">
        <v>1.88</v>
      </c>
      <c r="AJ1142">
        <v>1</v>
      </c>
    </row>
    <row r="1143" spans="1:36" x14ac:dyDescent="0.2">
      <c r="A1143" t="str">
        <f>+VLOOKUP(B1143,studies!$A$2:$C$102,3)</f>
        <v>Lemoine &amp; Traeger (2014)</v>
      </c>
      <c r="B1143">
        <v>99</v>
      </c>
      <c r="C1143">
        <v>2014</v>
      </c>
      <c r="D1143">
        <v>1</v>
      </c>
      <c r="E1143">
        <v>2005</v>
      </c>
      <c r="F1143">
        <v>2015</v>
      </c>
      <c r="H1143">
        <v>49.126799795186884</v>
      </c>
      <c r="I1143">
        <v>0</v>
      </c>
      <c r="J1143">
        <v>1</v>
      </c>
      <c r="K1143">
        <v>0</v>
      </c>
      <c r="M1143">
        <v>3.3419591697406048</v>
      </c>
      <c r="N1143">
        <v>5.8484285470460602</v>
      </c>
      <c r="O1143">
        <v>1</v>
      </c>
      <c r="P1143">
        <v>1</v>
      </c>
      <c r="Q1143">
        <v>1</v>
      </c>
      <c r="R1143">
        <v>0</v>
      </c>
      <c r="S1143">
        <v>0</v>
      </c>
      <c r="T1143">
        <v>1</v>
      </c>
      <c r="U1143">
        <v>0</v>
      </c>
      <c r="X1143">
        <v>2</v>
      </c>
      <c r="Z1143">
        <v>0.5</v>
      </c>
      <c r="AA1143">
        <v>0</v>
      </c>
      <c r="AB1143">
        <v>3</v>
      </c>
      <c r="AC1143">
        <v>0</v>
      </c>
      <c r="AD1143">
        <v>0</v>
      </c>
      <c r="AE1143">
        <v>0</v>
      </c>
      <c r="AF1143">
        <v>1</v>
      </c>
      <c r="AG1143">
        <v>2</v>
      </c>
      <c r="AH1143">
        <v>28</v>
      </c>
      <c r="AI1143">
        <v>2.86</v>
      </c>
      <c r="AJ1143">
        <v>1</v>
      </c>
    </row>
    <row r="1144" spans="1:36" x14ac:dyDescent="0.2">
      <c r="A1144" t="str">
        <f>+VLOOKUP(B1144,studies!$A$2:$C$102,3)</f>
        <v>Pycroft et al. (2014)</v>
      </c>
      <c r="B1144">
        <v>101</v>
      </c>
      <c r="C1144">
        <v>2014</v>
      </c>
      <c r="D1144">
        <v>1</v>
      </c>
      <c r="E1144">
        <v>2005</v>
      </c>
      <c r="F1144">
        <v>2009</v>
      </c>
      <c r="H1144">
        <v>292.75009078090943</v>
      </c>
      <c r="I1144">
        <v>1</v>
      </c>
      <c r="J1144">
        <v>0</v>
      </c>
      <c r="K1144">
        <v>0</v>
      </c>
      <c r="M1144">
        <v>22.718130008293851</v>
      </c>
      <c r="N1144">
        <v>22.969159069158998</v>
      </c>
      <c r="O1144">
        <v>0</v>
      </c>
      <c r="P1144">
        <v>1</v>
      </c>
      <c r="Q1144">
        <v>0</v>
      </c>
      <c r="R1144">
        <v>1</v>
      </c>
      <c r="S1144">
        <v>0</v>
      </c>
      <c r="T1144">
        <v>0</v>
      </c>
      <c r="U1144">
        <v>1</v>
      </c>
      <c r="AA1144">
        <v>1</v>
      </c>
      <c r="AC1144">
        <v>1</v>
      </c>
      <c r="AD1144">
        <v>0</v>
      </c>
      <c r="AE1144">
        <v>0</v>
      </c>
      <c r="AF1144">
        <v>0</v>
      </c>
      <c r="AG1144">
        <v>2</v>
      </c>
      <c r="AH1144">
        <v>0</v>
      </c>
      <c r="AI1144">
        <v>2.42</v>
      </c>
      <c r="AJ1144">
        <v>1</v>
      </c>
    </row>
    <row r="1145" spans="1:36" x14ac:dyDescent="0.2">
      <c r="A1145" t="str">
        <f>+VLOOKUP(B1145,studies!$A$2:$C$102,3)</f>
        <v>Rezai &amp; van der Ploeg (2014)</v>
      </c>
      <c r="B1145">
        <v>102</v>
      </c>
      <c r="C1145">
        <v>2014</v>
      </c>
      <c r="D1145">
        <v>0</v>
      </c>
      <c r="E1145">
        <v>2010</v>
      </c>
      <c r="F1145">
        <v>2010</v>
      </c>
      <c r="H1145">
        <v>99.072843832553815</v>
      </c>
      <c r="I1145">
        <v>0</v>
      </c>
      <c r="J1145">
        <v>1</v>
      </c>
      <c r="K1145">
        <v>0</v>
      </c>
      <c r="M1145">
        <v>23.090909763565548</v>
      </c>
      <c r="N1145">
        <v>24.615613907216584</v>
      </c>
      <c r="O1145">
        <v>1</v>
      </c>
      <c r="P1145">
        <v>1</v>
      </c>
      <c r="Q1145">
        <v>0</v>
      </c>
      <c r="R1145">
        <v>0</v>
      </c>
      <c r="S1145">
        <v>0</v>
      </c>
      <c r="T1145">
        <v>0</v>
      </c>
      <c r="U1145">
        <v>0</v>
      </c>
      <c r="W1145">
        <v>0.96</v>
      </c>
      <c r="X1145">
        <v>2</v>
      </c>
      <c r="Z1145">
        <v>0.5</v>
      </c>
      <c r="AA1145">
        <v>0</v>
      </c>
      <c r="AB1145">
        <v>2.2999999999999998</v>
      </c>
      <c r="AC1145">
        <v>0</v>
      </c>
      <c r="AD1145">
        <v>0</v>
      </c>
      <c r="AE1145">
        <v>0</v>
      </c>
      <c r="AF1145">
        <v>1</v>
      </c>
      <c r="AG1145">
        <v>2</v>
      </c>
      <c r="AH1145">
        <v>3</v>
      </c>
      <c r="AI1145">
        <v>0</v>
      </c>
      <c r="AJ114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
  <sheetViews>
    <sheetView zoomScale="85" zoomScaleNormal="85" workbookViewId="0"/>
  </sheetViews>
  <sheetFormatPr defaultRowHeight="12.75" x14ac:dyDescent="0.2"/>
  <cols>
    <col min="1" max="1" width="14.28515625" customWidth="1"/>
  </cols>
  <sheetData>
    <row r="1" spans="1:15" x14ac:dyDescent="0.2">
      <c r="A1" s="111" t="s">
        <v>245</v>
      </c>
    </row>
    <row r="2" spans="1:15" x14ac:dyDescent="0.2">
      <c r="A2" s="39" t="s">
        <v>264</v>
      </c>
    </row>
    <row r="3" spans="1:15" x14ac:dyDescent="0.2">
      <c r="A3" s="39" t="s">
        <v>536</v>
      </c>
      <c r="L3" s="111"/>
      <c r="O3" s="40" t="s">
        <v>251</v>
      </c>
    </row>
    <row r="4" spans="1:15" x14ac:dyDescent="0.2">
      <c r="A4" s="39" t="s">
        <v>252</v>
      </c>
      <c r="K4" s="40"/>
      <c r="L4" s="111"/>
    </row>
    <row r="5" spans="1:15" x14ac:dyDescent="0.2">
      <c r="A5" s="39" t="s">
        <v>265</v>
      </c>
    </row>
    <row r="6" spans="1:15" x14ac:dyDescent="0.2">
      <c r="A6" s="39" t="s">
        <v>250</v>
      </c>
    </row>
    <row r="7" spans="1:15" x14ac:dyDescent="0.2">
      <c r="A7" s="39" t="s">
        <v>257</v>
      </c>
    </row>
    <row r="8" spans="1:15" x14ac:dyDescent="0.2">
      <c r="A8" s="39" t="s">
        <v>247</v>
      </c>
    </row>
    <row r="9" spans="1:15" x14ac:dyDescent="0.2">
      <c r="A9" s="39" t="s">
        <v>248</v>
      </c>
    </row>
    <row r="10" spans="1:15" x14ac:dyDescent="0.2">
      <c r="A10" s="39" t="s">
        <v>249</v>
      </c>
    </row>
    <row r="11" spans="1:15" x14ac:dyDescent="0.2">
      <c r="A11" s="39"/>
    </row>
    <row r="12" spans="1:15" x14ac:dyDescent="0.2">
      <c r="A12" s="39"/>
    </row>
    <row r="13" spans="1:15" x14ac:dyDescent="0.2">
      <c r="A13" s="111" t="s">
        <v>246</v>
      </c>
    </row>
    <row r="14" spans="1:15" x14ac:dyDescent="0.2">
      <c r="A14" s="39" t="s">
        <v>253</v>
      </c>
    </row>
    <row r="15" spans="1:15" x14ac:dyDescent="0.2">
      <c r="A15" s="39" t="s">
        <v>279</v>
      </c>
    </row>
    <row r="16" spans="1:15" x14ac:dyDescent="0.2">
      <c r="A16" s="39" t="s">
        <v>254</v>
      </c>
    </row>
    <row r="19" spans="1:2" x14ac:dyDescent="0.2">
      <c r="A19" s="111" t="s">
        <v>255</v>
      </c>
    </row>
    <row r="20" spans="1:2" x14ac:dyDescent="0.2">
      <c r="A20" s="39" t="s">
        <v>256</v>
      </c>
    </row>
    <row r="21" spans="1:2" x14ac:dyDescent="0.2">
      <c r="A21" s="39" t="s">
        <v>280</v>
      </c>
    </row>
    <row r="22" spans="1:2" x14ac:dyDescent="0.2">
      <c r="A22" s="39" t="s">
        <v>258</v>
      </c>
    </row>
    <row r="23" spans="1:2" x14ac:dyDescent="0.2">
      <c r="A23" s="39" t="s">
        <v>259</v>
      </c>
    </row>
    <row r="24" spans="1:2" x14ac:dyDescent="0.2">
      <c r="A24" s="39" t="s">
        <v>285</v>
      </c>
    </row>
    <row r="25" spans="1:2" x14ac:dyDescent="0.2">
      <c r="A25" s="39" t="s">
        <v>286</v>
      </c>
    </row>
    <row r="26" spans="1:2" x14ac:dyDescent="0.2">
      <c r="A26" s="39"/>
    </row>
    <row r="27" spans="1:2" x14ac:dyDescent="0.2">
      <c r="A27" s="39"/>
    </row>
    <row r="28" spans="1:2" x14ac:dyDescent="0.2">
      <c r="A28" s="39" t="s">
        <v>537</v>
      </c>
    </row>
    <row r="31" spans="1:2" x14ac:dyDescent="0.2">
      <c r="A31" s="111" t="s">
        <v>260</v>
      </c>
    </row>
    <row r="32" spans="1:2" x14ac:dyDescent="0.2">
      <c r="A32" t="s">
        <v>290</v>
      </c>
      <c r="B32" s="39" t="s">
        <v>268</v>
      </c>
    </row>
    <row r="33" spans="1:2" x14ac:dyDescent="0.2">
      <c r="A33" s="39" t="s">
        <v>291</v>
      </c>
      <c r="B33" s="39" t="s">
        <v>329</v>
      </c>
    </row>
    <row r="34" spans="1:2" x14ac:dyDescent="0.2">
      <c r="A34" s="39" t="s">
        <v>287</v>
      </c>
      <c r="B34" s="39" t="s">
        <v>330</v>
      </c>
    </row>
    <row r="35" spans="1:2" x14ac:dyDescent="0.2">
      <c r="A35" s="39" t="s">
        <v>293</v>
      </c>
      <c r="B35" s="39" t="s">
        <v>267</v>
      </c>
    </row>
    <row r="36" spans="1:2" x14ac:dyDescent="0.2">
      <c r="A36" s="39" t="s">
        <v>294</v>
      </c>
      <c r="B36" s="39" t="s">
        <v>266</v>
      </c>
    </row>
    <row r="37" spans="1:2" x14ac:dyDescent="0.2">
      <c r="A37" s="39" t="s">
        <v>295</v>
      </c>
      <c r="B37" s="39" t="s">
        <v>538</v>
      </c>
    </row>
    <row r="38" spans="1:2" x14ac:dyDescent="0.2">
      <c r="A38" t="s">
        <v>296</v>
      </c>
      <c r="B38" s="39" t="s">
        <v>269</v>
      </c>
    </row>
    <row r="39" spans="1:2" x14ac:dyDescent="0.2">
      <c r="A39" s="39" t="s">
        <v>297</v>
      </c>
      <c r="B39" s="39" t="s">
        <v>270</v>
      </c>
    </row>
    <row r="40" spans="1:2" x14ac:dyDescent="0.2">
      <c r="A40" s="39" t="s">
        <v>298</v>
      </c>
      <c r="B40" s="39" t="s">
        <v>272</v>
      </c>
    </row>
    <row r="41" spans="1:2" x14ac:dyDescent="0.2">
      <c r="A41" s="39" t="s">
        <v>299</v>
      </c>
      <c r="B41" s="39" t="s">
        <v>271</v>
      </c>
    </row>
    <row r="42" spans="1:2" x14ac:dyDescent="0.2">
      <c r="A42" s="39" t="s">
        <v>292</v>
      </c>
      <c r="B42" s="39" t="s">
        <v>273</v>
      </c>
    </row>
    <row r="43" spans="1:2" x14ac:dyDescent="0.2">
      <c r="A43" t="s">
        <v>300</v>
      </c>
      <c r="B43" s="39" t="s">
        <v>274</v>
      </c>
    </row>
    <row r="44" spans="1:2" x14ac:dyDescent="0.2">
      <c r="A44" t="s">
        <v>301</v>
      </c>
      <c r="B44" s="39" t="s">
        <v>275</v>
      </c>
    </row>
    <row r="45" spans="1:2" x14ac:dyDescent="0.2">
      <c r="A45" s="117" t="s">
        <v>302</v>
      </c>
      <c r="B45" s="39" t="s">
        <v>549</v>
      </c>
    </row>
    <row r="46" spans="1:2" x14ac:dyDescent="0.2">
      <c r="A46" s="117" t="s">
        <v>303</v>
      </c>
      <c r="B46" s="39" t="s">
        <v>539</v>
      </c>
    </row>
    <row r="47" spans="1:2" x14ac:dyDescent="0.2">
      <c r="A47" s="117" t="s">
        <v>304</v>
      </c>
      <c r="B47" s="39" t="s">
        <v>540</v>
      </c>
    </row>
    <row r="48" spans="1:2" x14ac:dyDescent="0.2">
      <c r="A48" s="117" t="s">
        <v>305</v>
      </c>
      <c r="B48" s="39" t="s">
        <v>541</v>
      </c>
    </row>
    <row r="49" spans="1:2" x14ac:dyDescent="0.2">
      <c r="A49" s="116" t="s">
        <v>306</v>
      </c>
      <c r="B49" s="39" t="s">
        <v>276</v>
      </c>
    </row>
    <row r="50" spans="1:2" x14ac:dyDescent="0.2">
      <c r="A50" s="116" t="s">
        <v>307</v>
      </c>
      <c r="B50" s="39" t="s">
        <v>277</v>
      </c>
    </row>
    <row r="51" spans="1:2" x14ac:dyDescent="0.2">
      <c r="A51" s="116" t="s">
        <v>308</v>
      </c>
      <c r="B51" s="39" t="s">
        <v>278</v>
      </c>
    </row>
    <row r="52" spans="1:2" x14ac:dyDescent="0.2">
      <c r="A52" s="118" t="s">
        <v>309</v>
      </c>
      <c r="B52" s="39" t="s">
        <v>542</v>
      </c>
    </row>
    <row r="53" spans="1:2" x14ac:dyDescent="0.2">
      <c r="A53" s="118" t="s">
        <v>310</v>
      </c>
      <c r="B53" s="39" t="s">
        <v>543</v>
      </c>
    </row>
    <row r="54" spans="1:2" x14ac:dyDescent="0.2">
      <c r="A54" s="118" t="s">
        <v>311</v>
      </c>
      <c r="B54" s="39" t="s">
        <v>544</v>
      </c>
    </row>
    <row r="55" spans="1:2" x14ac:dyDescent="0.2">
      <c r="A55" s="118" t="s">
        <v>312</v>
      </c>
      <c r="B55" s="39" t="s">
        <v>545</v>
      </c>
    </row>
    <row r="56" spans="1:2" x14ac:dyDescent="0.2">
      <c r="A56" s="119" t="s">
        <v>313</v>
      </c>
      <c r="B56" s="39" t="s">
        <v>284</v>
      </c>
    </row>
    <row r="57" spans="1:2" x14ac:dyDescent="0.2">
      <c r="A57" t="s">
        <v>241</v>
      </c>
      <c r="B57" s="39" t="s">
        <v>546</v>
      </c>
    </row>
    <row r="58" spans="1:2" x14ac:dyDescent="0.2">
      <c r="A58" t="s">
        <v>314</v>
      </c>
      <c r="B58" s="39" t="s">
        <v>547</v>
      </c>
    </row>
    <row r="59" spans="1:2" x14ac:dyDescent="0.2">
      <c r="A59" s="121" t="s">
        <v>315</v>
      </c>
      <c r="B59" s="39" t="s">
        <v>281</v>
      </c>
    </row>
    <row r="60" spans="1:2" x14ac:dyDescent="0.2">
      <c r="A60" s="121" t="s">
        <v>316</v>
      </c>
      <c r="B60" s="39" t="s">
        <v>282</v>
      </c>
    </row>
    <row r="61" spans="1:2" x14ac:dyDescent="0.2">
      <c r="A61" s="121" t="s">
        <v>295</v>
      </c>
      <c r="B61" s="39" t="s">
        <v>283</v>
      </c>
    </row>
    <row r="62" spans="1:2" x14ac:dyDescent="0.2">
      <c r="A62" t="s">
        <v>317</v>
      </c>
      <c r="B62" s="39" t="s">
        <v>548</v>
      </c>
    </row>
    <row r="63" spans="1:2" x14ac:dyDescent="0.2">
      <c r="A63" t="s">
        <v>288</v>
      </c>
      <c r="B63" s="39" t="s">
        <v>319</v>
      </c>
    </row>
    <row r="64" spans="1:2" x14ac:dyDescent="0.2">
      <c r="A64" t="s">
        <v>289</v>
      </c>
      <c r="B64" s="39" t="s">
        <v>320</v>
      </c>
    </row>
  </sheetData>
  <hyperlinks>
    <hyperlink ref="O3"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zoomScale="85" zoomScaleNormal="85" workbookViewId="0"/>
  </sheetViews>
  <sheetFormatPr defaultRowHeight="12.75" x14ac:dyDescent="0.2"/>
  <cols>
    <col min="1" max="1" width="7" bestFit="1" customWidth="1"/>
    <col min="2" max="2" width="18.42578125" customWidth="1"/>
    <col min="3" max="3" width="29" bestFit="1" customWidth="1"/>
    <col min="4" max="4" width="21.5703125" customWidth="1"/>
    <col min="7" max="7" width="5" bestFit="1" customWidth="1"/>
  </cols>
  <sheetData>
    <row r="1" spans="1:7" x14ac:dyDescent="0.2">
      <c r="A1" t="s">
        <v>290</v>
      </c>
      <c r="B1" s="39" t="s">
        <v>533</v>
      </c>
      <c r="C1" s="39" t="s">
        <v>321</v>
      </c>
      <c r="D1" s="39" t="s">
        <v>433</v>
      </c>
      <c r="E1" t="s">
        <v>287</v>
      </c>
      <c r="F1" t="s">
        <v>288</v>
      </c>
      <c r="G1" t="s">
        <v>289</v>
      </c>
    </row>
    <row r="2" spans="1:7" x14ac:dyDescent="0.2">
      <c r="A2">
        <v>1</v>
      </c>
      <c r="B2" t="s">
        <v>396</v>
      </c>
      <c r="C2" t="s">
        <v>497</v>
      </c>
      <c r="D2" t="s">
        <v>69</v>
      </c>
      <c r="E2">
        <v>1982</v>
      </c>
      <c r="F2">
        <v>132</v>
      </c>
      <c r="G2">
        <v>6.46</v>
      </c>
    </row>
    <row r="3" spans="1:7" x14ac:dyDescent="0.2">
      <c r="A3">
        <v>2</v>
      </c>
      <c r="B3" t="s">
        <v>339</v>
      </c>
      <c r="C3" t="s">
        <v>441</v>
      </c>
      <c r="D3" t="s">
        <v>70</v>
      </c>
      <c r="E3">
        <v>1991</v>
      </c>
      <c r="F3">
        <v>220</v>
      </c>
      <c r="G3">
        <v>1.65</v>
      </c>
    </row>
    <row r="4" spans="1:7" x14ac:dyDescent="0.2">
      <c r="A4">
        <v>3</v>
      </c>
      <c r="B4" t="s">
        <v>397</v>
      </c>
      <c r="C4" t="s">
        <v>498</v>
      </c>
      <c r="D4" t="s">
        <v>71</v>
      </c>
      <c r="E4">
        <v>1991</v>
      </c>
      <c r="F4">
        <v>1166</v>
      </c>
      <c r="G4">
        <v>3.46</v>
      </c>
    </row>
    <row r="5" spans="1:7" x14ac:dyDescent="0.2">
      <c r="A5">
        <v>4</v>
      </c>
      <c r="B5" t="s">
        <v>348</v>
      </c>
      <c r="C5" t="s">
        <v>450</v>
      </c>
      <c r="D5" t="s">
        <v>323</v>
      </c>
      <c r="E5">
        <v>1992</v>
      </c>
      <c r="F5">
        <v>39</v>
      </c>
      <c r="G5">
        <v>0</v>
      </c>
    </row>
    <row r="6" spans="1:7" x14ac:dyDescent="0.2">
      <c r="A6">
        <v>5</v>
      </c>
      <c r="B6" t="s">
        <v>364</v>
      </c>
      <c r="C6" t="s">
        <v>466</v>
      </c>
      <c r="D6" t="s">
        <v>74</v>
      </c>
      <c r="E6">
        <v>1992</v>
      </c>
      <c r="F6">
        <v>12</v>
      </c>
      <c r="G6">
        <v>1.85</v>
      </c>
    </row>
    <row r="7" spans="1:7" x14ac:dyDescent="0.2">
      <c r="A7">
        <v>6</v>
      </c>
      <c r="B7" t="s">
        <v>366</v>
      </c>
      <c r="C7" t="s">
        <v>468</v>
      </c>
      <c r="D7" t="s">
        <v>73</v>
      </c>
      <c r="E7">
        <v>1992</v>
      </c>
      <c r="F7">
        <v>37</v>
      </c>
      <c r="G7">
        <v>0</v>
      </c>
    </row>
    <row r="8" spans="1:7" x14ac:dyDescent="0.2">
      <c r="A8">
        <v>7</v>
      </c>
      <c r="B8" t="s">
        <v>410</v>
      </c>
      <c r="C8" t="s">
        <v>511</v>
      </c>
      <c r="D8" t="s">
        <v>104</v>
      </c>
      <c r="E8">
        <v>1992</v>
      </c>
      <c r="F8">
        <v>7</v>
      </c>
      <c r="G8">
        <v>1.85</v>
      </c>
    </row>
    <row r="9" spans="1:7" x14ac:dyDescent="0.2">
      <c r="A9">
        <v>8</v>
      </c>
      <c r="B9" t="s">
        <v>365</v>
      </c>
      <c r="C9" t="s">
        <v>467</v>
      </c>
      <c r="D9" t="s">
        <v>134</v>
      </c>
      <c r="E9">
        <v>1993</v>
      </c>
      <c r="F9">
        <v>9</v>
      </c>
      <c r="G9">
        <v>1.85</v>
      </c>
    </row>
    <row r="10" spans="1:7" x14ac:dyDescent="0.2">
      <c r="A10">
        <v>9</v>
      </c>
      <c r="B10" t="s">
        <v>398</v>
      </c>
      <c r="C10" t="s">
        <v>499</v>
      </c>
      <c r="D10" t="s">
        <v>75</v>
      </c>
      <c r="E10">
        <v>1993</v>
      </c>
      <c r="F10">
        <v>386</v>
      </c>
      <c r="G10">
        <v>1.1299999999999999</v>
      </c>
    </row>
    <row r="11" spans="1:7" x14ac:dyDescent="0.2">
      <c r="A11">
        <v>10</v>
      </c>
      <c r="B11" t="s">
        <v>407</v>
      </c>
      <c r="C11" t="s">
        <v>508</v>
      </c>
      <c r="D11" t="s">
        <v>105</v>
      </c>
      <c r="E11">
        <v>1993</v>
      </c>
      <c r="F11">
        <v>23</v>
      </c>
      <c r="G11">
        <v>1.1299999999999999</v>
      </c>
    </row>
    <row r="12" spans="1:7" x14ac:dyDescent="0.2">
      <c r="A12">
        <v>11</v>
      </c>
      <c r="B12" t="s">
        <v>409</v>
      </c>
      <c r="C12" t="s">
        <v>510</v>
      </c>
      <c r="D12" t="s">
        <v>106</v>
      </c>
      <c r="E12">
        <v>1993</v>
      </c>
      <c r="F12">
        <v>198</v>
      </c>
      <c r="G12">
        <v>1.1299999999999999</v>
      </c>
    </row>
    <row r="13" spans="1:7" x14ac:dyDescent="0.2">
      <c r="A13">
        <v>12</v>
      </c>
      <c r="B13" t="s">
        <v>415</v>
      </c>
      <c r="C13" t="s">
        <v>516</v>
      </c>
      <c r="D13" t="s">
        <v>107</v>
      </c>
      <c r="E13">
        <v>1993</v>
      </c>
      <c r="F13">
        <v>115</v>
      </c>
      <c r="G13">
        <v>1.65</v>
      </c>
    </row>
    <row r="14" spans="1:7" x14ac:dyDescent="0.2">
      <c r="A14">
        <v>13</v>
      </c>
      <c r="B14" t="s">
        <v>340</v>
      </c>
      <c r="C14" t="s">
        <v>442</v>
      </c>
      <c r="D14" t="s">
        <v>78</v>
      </c>
      <c r="E14">
        <v>1994</v>
      </c>
      <c r="F14">
        <v>14</v>
      </c>
      <c r="G14">
        <v>1.85</v>
      </c>
    </row>
    <row r="15" spans="1:7" x14ac:dyDescent="0.2">
      <c r="A15">
        <v>14</v>
      </c>
      <c r="B15" t="s">
        <v>358</v>
      </c>
      <c r="C15" t="s">
        <v>460</v>
      </c>
      <c r="D15" t="s">
        <v>76</v>
      </c>
      <c r="E15">
        <v>1994</v>
      </c>
      <c r="F15">
        <v>296</v>
      </c>
      <c r="G15">
        <v>1.85</v>
      </c>
    </row>
    <row r="16" spans="1:7" x14ac:dyDescent="0.2">
      <c r="A16">
        <v>15</v>
      </c>
      <c r="B16" t="s">
        <v>399</v>
      </c>
      <c r="C16" t="s">
        <v>500</v>
      </c>
      <c r="D16" t="s">
        <v>77</v>
      </c>
      <c r="E16">
        <v>1994</v>
      </c>
      <c r="F16">
        <v>1733</v>
      </c>
      <c r="G16">
        <v>0</v>
      </c>
    </row>
    <row r="17" spans="1:7" x14ac:dyDescent="0.2">
      <c r="A17">
        <v>16</v>
      </c>
      <c r="B17" t="s">
        <v>386</v>
      </c>
      <c r="C17" t="s">
        <v>487</v>
      </c>
      <c r="D17" t="s">
        <v>79</v>
      </c>
      <c r="E17">
        <v>1995</v>
      </c>
      <c r="F17">
        <v>97</v>
      </c>
      <c r="G17">
        <v>1.6</v>
      </c>
    </row>
    <row r="18" spans="1:7" x14ac:dyDescent="0.2">
      <c r="A18">
        <v>17</v>
      </c>
      <c r="B18" t="s">
        <v>418</v>
      </c>
      <c r="C18" t="s">
        <v>519</v>
      </c>
      <c r="D18" t="s">
        <v>81</v>
      </c>
      <c r="E18">
        <v>1995</v>
      </c>
      <c r="F18">
        <v>15</v>
      </c>
      <c r="G18">
        <v>1.65</v>
      </c>
    </row>
    <row r="19" spans="1:7" x14ac:dyDescent="0.2">
      <c r="A19">
        <v>18</v>
      </c>
      <c r="B19" t="s">
        <v>341</v>
      </c>
      <c r="C19" t="s">
        <v>443</v>
      </c>
      <c r="D19" t="s">
        <v>82</v>
      </c>
      <c r="E19">
        <v>1996</v>
      </c>
      <c r="F19">
        <v>297</v>
      </c>
      <c r="G19">
        <v>1.93</v>
      </c>
    </row>
    <row r="20" spans="1:7" x14ac:dyDescent="0.2">
      <c r="A20">
        <v>19</v>
      </c>
      <c r="B20" t="s">
        <v>353</v>
      </c>
      <c r="C20" t="s">
        <v>455</v>
      </c>
      <c r="D20" t="s">
        <v>83</v>
      </c>
      <c r="E20">
        <v>1996</v>
      </c>
      <c r="F20">
        <v>19</v>
      </c>
      <c r="G20">
        <v>0</v>
      </c>
    </row>
    <row r="21" spans="1:7" x14ac:dyDescent="0.2">
      <c r="A21">
        <v>20</v>
      </c>
      <c r="B21" t="s">
        <v>367</v>
      </c>
      <c r="C21" t="s">
        <v>469</v>
      </c>
      <c r="D21" t="s">
        <v>84</v>
      </c>
      <c r="E21">
        <v>1996</v>
      </c>
      <c r="F21">
        <v>38</v>
      </c>
      <c r="G21">
        <v>0</v>
      </c>
    </row>
    <row r="22" spans="1:7" x14ac:dyDescent="0.2">
      <c r="A22">
        <v>21</v>
      </c>
      <c r="B22" t="s">
        <v>369</v>
      </c>
      <c r="C22" t="s">
        <v>471</v>
      </c>
      <c r="D22" t="s">
        <v>85</v>
      </c>
      <c r="E22">
        <v>1996</v>
      </c>
      <c r="F22">
        <v>38</v>
      </c>
      <c r="G22">
        <v>1.6</v>
      </c>
    </row>
    <row r="23" spans="1:7" x14ac:dyDescent="0.2">
      <c r="A23">
        <v>22</v>
      </c>
      <c r="B23" t="s">
        <v>400</v>
      </c>
      <c r="C23" t="s">
        <v>501</v>
      </c>
      <c r="D23" t="s">
        <v>327</v>
      </c>
      <c r="E23">
        <v>1996</v>
      </c>
      <c r="F23">
        <v>871</v>
      </c>
      <c r="G23">
        <v>6.46</v>
      </c>
    </row>
    <row r="24" spans="1:7" x14ac:dyDescent="0.2">
      <c r="A24">
        <v>23</v>
      </c>
      <c r="B24" t="s">
        <v>412</v>
      </c>
      <c r="C24" t="s">
        <v>513</v>
      </c>
      <c r="D24" t="s">
        <v>80</v>
      </c>
      <c r="E24">
        <v>1996</v>
      </c>
      <c r="F24">
        <v>102</v>
      </c>
      <c r="G24">
        <v>1.6</v>
      </c>
    </row>
    <row r="25" spans="1:7" x14ac:dyDescent="0.2">
      <c r="A25">
        <v>24</v>
      </c>
      <c r="B25" t="s">
        <v>349</v>
      </c>
      <c r="C25" t="s">
        <v>451</v>
      </c>
      <c r="D25" t="s">
        <v>88</v>
      </c>
      <c r="E25">
        <v>1997</v>
      </c>
      <c r="F25">
        <v>23</v>
      </c>
      <c r="G25">
        <v>0</v>
      </c>
    </row>
    <row r="26" spans="1:7" x14ac:dyDescent="0.2">
      <c r="A26">
        <v>25</v>
      </c>
      <c r="B26" t="s">
        <v>401</v>
      </c>
      <c r="C26" t="s">
        <v>502</v>
      </c>
      <c r="D26" t="s">
        <v>87</v>
      </c>
      <c r="E26">
        <v>1997</v>
      </c>
      <c r="F26">
        <v>204</v>
      </c>
      <c r="G26">
        <v>1.85</v>
      </c>
    </row>
    <row r="27" spans="1:7" x14ac:dyDescent="0.2">
      <c r="A27">
        <v>26</v>
      </c>
      <c r="B27" t="s">
        <v>357</v>
      </c>
      <c r="C27" t="s">
        <v>459</v>
      </c>
      <c r="D27" t="s">
        <v>89</v>
      </c>
      <c r="E27">
        <v>1999</v>
      </c>
      <c r="F27">
        <v>67</v>
      </c>
      <c r="G27">
        <v>0</v>
      </c>
    </row>
    <row r="28" spans="1:7" x14ac:dyDescent="0.2">
      <c r="A28">
        <v>27</v>
      </c>
      <c r="B28" t="s">
        <v>417</v>
      </c>
      <c r="C28" t="s">
        <v>518</v>
      </c>
      <c r="D28" t="s">
        <v>91</v>
      </c>
      <c r="E28">
        <v>1999</v>
      </c>
      <c r="F28">
        <v>194</v>
      </c>
      <c r="G28">
        <v>1.6</v>
      </c>
    </row>
    <row r="29" spans="1:7" x14ac:dyDescent="0.2">
      <c r="A29">
        <v>28</v>
      </c>
      <c r="B29" t="s">
        <v>422</v>
      </c>
      <c r="C29" t="s">
        <v>523</v>
      </c>
      <c r="D29" t="s">
        <v>90</v>
      </c>
      <c r="E29">
        <v>1999</v>
      </c>
      <c r="F29">
        <v>222</v>
      </c>
      <c r="G29">
        <v>1.85</v>
      </c>
    </row>
    <row r="30" spans="1:7" x14ac:dyDescent="0.2">
      <c r="A30">
        <v>29</v>
      </c>
      <c r="B30" t="s">
        <v>402</v>
      </c>
      <c r="C30" t="s">
        <v>503</v>
      </c>
      <c r="D30" t="s">
        <v>108</v>
      </c>
      <c r="E30">
        <v>2000</v>
      </c>
      <c r="F30">
        <v>1183</v>
      </c>
      <c r="G30">
        <v>0</v>
      </c>
    </row>
    <row r="31" spans="1:7" x14ac:dyDescent="0.2">
      <c r="A31">
        <v>30</v>
      </c>
      <c r="B31" t="s">
        <v>423</v>
      </c>
      <c r="C31" t="s">
        <v>524</v>
      </c>
      <c r="D31" t="s">
        <v>324</v>
      </c>
      <c r="E31">
        <v>2001</v>
      </c>
      <c r="F31">
        <v>37</v>
      </c>
      <c r="G31">
        <v>0</v>
      </c>
    </row>
    <row r="32" spans="1:7" x14ac:dyDescent="0.2">
      <c r="A32">
        <v>31</v>
      </c>
      <c r="B32" t="s">
        <v>347</v>
      </c>
      <c r="C32" t="s">
        <v>449</v>
      </c>
      <c r="D32" t="s">
        <v>92</v>
      </c>
      <c r="E32">
        <v>2002</v>
      </c>
      <c r="F32">
        <v>189</v>
      </c>
      <c r="G32">
        <v>0</v>
      </c>
    </row>
    <row r="33" spans="1:7" x14ac:dyDescent="0.2">
      <c r="A33">
        <v>32</v>
      </c>
      <c r="B33" t="s">
        <v>395</v>
      </c>
      <c r="C33" t="s">
        <v>496</v>
      </c>
      <c r="D33" t="s">
        <v>109</v>
      </c>
      <c r="E33">
        <v>2003</v>
      </c>
      <c r="F33">
        <v>309</v>
      </c>
      <c r="G33">
        <v>2.2599999999999998</v>
      </c>
    </row>
    <row r="34" spans="1:7" x14ac:dyDescent="0.2">
      <c r="A34">
        <v>33</v>
      </c>
      <c r="B34" t="s">
        <v>408</v>
      </c>
      <c r="C34" t="s">
        <v>509</v>
      </c>
      <c r="D34" t="s">
        <v>93</v>
      </c>
      <c r="E34">
        <v>2003</v>
      </c>
      <c r="F34">
        <v>297</v>
      </c>
      <c r="G34">
        <v>0.46</v>
      </c>
    </row>
    <row r="35" spans="1:7" x14ac:dyDescent="0.2">
      <c r="A35">
        <v>34</v>
      </c>
      <c r="B35" t="s">
        <v>428</v>
      </c>
      <c r="C35" t="s">
        <v>529</v>
      </c>
      <c r="D35" t="s">
        <v>94</v>
      </c>
      <c r="E35">
        <v>2003</v>
      </c>
      <c r="F35">
        <v>118</v>
      </c>
      <c r="G35">
        <v>0</v>
      </c>
    </row>
    <row r="36" spans="1:7" x14ac:dyDescent="0.2">
      <c r="A36">
        <v>35</v>
      </c>
      <c r="B36" t="s">
        <v>350</v>
      </c>
      <c r="C36" t="s">
        <v>452</v>
      </c>
      <c r="D36" t="s">
        <v>110</v>
      </c>
      <c r="E36">
        <v>2004</v>
      </c>
      <c r="F36">
        <v>59</v>
      </c>
      <c r="G36">
        <v>0</v>
      </c>
    </row>
    <row r="37" spans="1:7" x14ac:dyDescent="0.2">
      <c r="A37">
        <v>36</v>
      </c>
      <c r="B37" t="s">
        <v>368</v>
      </c>
      <c r="C37" t="s">
        <v>470</v>
      </c>
      <c r="D37" t="s">
        <v>96</v>
      </c>
      <c r="E37">
        <v>2004</v>
      </c>
      <c r="F37">
        <v>3</v>
      </c>
      <c r="G37">
        <v>0</v>
      </c>
    </row>
    <row r="38" spans="1:7" x14ac:dyDescent="0.2">
      <c r="A38">
        <v>37</v>
      </c>
      <c r="B38" t="s">
        <v>384</v>
      </c>
      <c r="C38" t="s">
        <v>485</v>
      </c>
      <c r="D38" t="s">
        <v>95</v>
      </c>
      <c r="E38">
        <v>2004</v>
      </c>
      <c r="F38">
        <v>94</v>
      </c>
      <c r="G38">
        <v>0.15</v>
      </c>
    </row>
    <row r="39" spans="1:7" x14ac:dyDescent="0.2">
      <c r="A39">
        <v>38</v>
      </c>
      <c r="B39" t="s">
        <v>387</v>
      </c>
      <c r="C39" t="s">
        <v>488</v>
      </c>
      <c r="D39" t="s">
        <v>97</v>
      </c>
      <c r="E39">
        <v>2004</v>
      </c>
      <c r="F39">
        <v>336</v>
      </c>
      <c r="G39">
        <v>0</v>
      </c>
    </row>
    <row r="40" spans="1:7" x14ac:dyDescent="0.2">
      <c r="A40">
        <v>39</v>
      </c>
      <c r="B40" t="s">
        <v>389</v>
      </c>
      <c r="C40" t="s">
        <v>490</v>
      </c>
      <c r="D40" t="s">
        <v>237</v>
      </c>
      <c r="E40">
        <v>2004</v>
      </c>
      <c r="F40">
        <v>336</v>
      </c>
      <c r="G40">
        <v>0</v>
      </c>
    </row>
    <row r="41" spans="1:7" x14ac:dyDescent="0.2">
      <c r="A41">
        <v>41</v>
      </c>
      <c r="B41" t="s">
        <v>354</v>
      </c>
      <c r="C41" t="s">
        <v>456</v>
      </c>
      <c r="D41" t="s">
        <v>99</v>
      </c>
      <c r="E41">
        <v>2005</v>
      </c>
      <c r="F41">
        <v>42</v>
      </c>
      <c r="G41">
        <v>0</v>
      </c>
    </row>
    <row r="42" spans="1:7" x14ac:dyDescent="0.2">
      <c r="A42">
        <v>42</v>
      </c>
      <c r="B42" t="s">
        <v>371</v>
      </c>
      <c r="C42" t="s">
        <v>473</v>
      </c>
      <c r="D42" t="s">
        <v>112</v>
      </c>
      <c r="E42">
        <v>2005</v>
      </c>
      <c r="F42">
        <v>4</v>
      </c>
      <c r="G42">
        <v>0</v>
      </c>
    </row>
    <row r="43" spans="1:7" x14ac:dyDescent="0.2">
      <c r="A43">
        <v>43</v>
      </c>
      <c r="B43" t="s">
        <v>370</v>
      </c>
      <c r="C43" t="s">
        <v>472</v>
      </c>
      <c r="D43" t="s">
        <v>113</v>
      </c>
      <c r="E43">
        <v>2005</v>
      </c>
      <c r="F43">
        <v>14</v>
      </c>
      <c r="G43">
        <v>1.56</v>
      </c>
    </row>
    <row r="44" spans="1:7" x14ac:dyDescent="0.2">
      <c r="A44">
        <v>44</v>
      </c>
      <c r="B44" t="s">
        <v>424</v>
      </c>
      <c r="C44" t="s">
        <v>525</v>
      </c>
      <c r="D44" t="s">
        <v>111</v>
      </c>
      <c r="E44">
        <v>2005</v>
      </c>
      <c r="F44">
        <v>76</v>
      </c>
      <c r="G44">
        <v>0.67</v>
      </c>
    </row>
    <row r="45" spans="1:7" x14ac:dyDescent="0.2">
      <c r="A45">
        <v>45</v>
      </c>
      <c r="B45" t="s">
        <v>363</v>
      </c>
      <c r="C45" t="s">
        <v>465</v>
      </c>
      <c r="D45" t="s">
        <v>100</v>
      </c>
      <c r="E45">
        <v>2006</v>
      </c>
      <c r="F45">
        <v>103</v>
      </c>
      <c r="G45">
        <v>1.24</v>
      </c>
    </row>
    <row r="46" spans="1:7" x14ac:dyDescent="0.2">
      <c r="A46">
        <v>46</v>
      </c>
      <c r="B46" t="s">
        <v>372</v>
      </c>
      <c r="C46" t="s">
        <v>474</v>
      </c>
      <c r="D46" t="s">
        <v>114</v>
      </c>
      <c r="E46">
        <v>2006</v>
      </c>
      <c r="F46">
        <v>307</v>
      </c>
      <c r="G46">
        <v>0</v>
      </c>
    </row>
    <row r="47" spans="1:7" x14ac:dyDescent="0.2">
      <c r="A47">
        <v>47</v>
      </c>
      <c r="B47" t="s">
        <v>420</v>
      </c>
      <c r="C47" t="s">
        <v>521</v>
      </c>
      <c r="D47" t="s">
        <v>102</v>
      </c>
      <c r="E47">
        <v>2006</v>
      </c>
      <c r="F47">
        <v>4237</v>
      </c>
      <c r="G47">
        <v>0</v>
      </c>
    </row>
    <row r="48" spans="1:7" x14ac:dyDescent="0.2">
      <c r="A48">
        <v>48</v>
      </c>
      <c r="B48" t="s">
        <v>429</v>
      </c>
      <c r="C48" t="s">
        <v>530</v>
      </c>
      <c r="D48" t="s">
        <v>101</v>
      </c>
      <c r="E48">
        <v>2006</v>
      </c>
      <c r="F48">
        <v>11</v>
      </c>
      <c r="G48">
        <v>1.6</v>
      </c>
    </row>
    <row r="49" spans="1:7" x14ac:dyDescent="0.2">
      <c r="A49">
        <v>49</v>
      </c>
      <c r="B49" t="s">
        <v>421</v>
      </c>
      <c r="C49" t="s">
        <v>522</v>
      </c>
      <c r="D49" t="s">
        <v>135</v>
      </c>
      <c r="E49">
        <v>2007</v>
      </c>
      <c r="F49">
        <v>80</v>
      </c>
      <c r="G49">
        <v>10.62</v>
      </c>
    </row>
    <row r="50" spans="1:7" x14ac:dyDescent="0.2">
      <c r="A50">
        <v>50</v>
      </c>
      <c r="B50" t="s">
        <v>373</v>
      </c>
      <c r="C50" t="s">
        <v>475</v>
      </c>
      <c r="D50" t="s">
        <v>190</v>
      </c>
      <c r="E50">
        <v>2008</v>
      </c>
      <c r="F50">
        <v>30</v>
      </c>
      <c r="G50">
        <v>0</v>
      </c>
    </row>
    <row r="51" spans="1:7" x14ac:dyDescent="0.2">
      <c r="A51">
        <v>51</v>
      </c>
      <c r="B51" t="s">
        <v>374</v>
      </c>
      <c r="C51" t="s">
        <v>476</v>
      </c>
      <c r="D51" t="s">
        <v>191</v>
      </c>
      <c r="E51">
        <v>2008</v>
      </c>
      <c r="F51">
        <v>39</v>
      </c>
      <c r="G51">
        <v>1.84</v>
      </c>
    </row>
    <row r="52" spans="1:7" x14ac:dyDescent="0.2">
      <c r="A52">
        <v>52</v>
      </c>
      <c r="B52" t="s">
        <v>403</v>
      </c>
      <c r="C52" t="s">
        <v>504</v>
      </c>
      <c r="D52" t="s">
        <v>136</v>
      </c>
      <c r="E52">
        <v>2008</v>
      </c>
      <c r="F52">
        <v>819</v>
      </c>
      <c r="G52">
        <v>0</v>
      </c>
    </row>
    <row r="53" spans="1:7" x14ac:dyDescent="0.2">
      <c r="A53">
        <v>53</v>
      </c>
      <c r="B53" t="s">
        <v>333</v>
      </c>
      <c r="C53" t="s">
        <v>436</v>
      </c>
      <c r="D53" t="s">
        <v>115</v>
      </c>
      <c r="E53">
        <v>2009</v>
      </c>
      <c r="F53">
        <v>111</v>
      </c>
      <c r="G53">
        <v>1.93</v>
      </c>
    </row>
    <row r="54" spans="1:7" x14ac:dyDescent="0.2">
      <c r="A54">
        <v>54</v>
      </c>
      <c r="B54" s="39" t="s">
        <v>335</v>
      </c>
      <c r="C54" t="s">
        <v>437</v>
      </c>
      <c r="D54" t="s">
        <v>133</v>
      </c>
      <c r="E54">
        <v>2009</v>
      </c>
      <c r="F54">
        <v>90</v>
      </c>
      <c r="G54">
        <v>0</v>
      </c>
    </row>
    <row r="55" spans="1:7" x14ac:dyDescent="0.2">
      <c r="A55">
        <v>55</v>
      </c>
      <c r="B55" t="s">
        <v>334</v>
      </c>
      <c r="C55" t="s">
        <v>534</v>
      </c>
      <c r="D55" t="s">
        <v>132</v>
      </c>
      <c r="E55">
        <v>2009</v>
      </c>
      <c r="F55">
        <v>63</v>
      </c>
      <c r="G55">
        <v>1.71</v>
      </c>
    </row>
    <row r="56" spans="1:7" x14ac:dyDescent="0.2">
      <c r="A56">
        <v>56</v>
      </c>
      <c r="B56" t="s">
        <v>355</v>
      </c>
      <c r="C56" t="s">
        <v>457</v>
      </c>
      <c r="D56" t="s">
        <v>325</v>
      </c>
      <c r="E56">
        <v>2009</v>
      </c>
      <c r="F56">
        <v>13</v>
      </c>
      <c r="G56">
        <v>0.26</v>
      </c>
    </row>
    <row r="57" spans="1:7" x14ac:dyDescent="0.2">
      <c r="A57">
        <v>57</v>
      </c>
      <c r="B57" t="s">
        <v>391</v>
      </c>
      <c r="C57" t="s">
        <v>492</v>
      </c>
      <c r="D57" t="s">
        <v>116</v>
      </c>
      <c r="E57">
        <v>2009</v>
      </c>
      <c r="F57">
        <v>36</v>
      </c>
      <c r="G57">
        <v>1.2</v>
      </c>
    </row>
    <row r="58" spans="1:7" x14ac:dyDescent="0.2">
      <c r="A58">
        <v>58</v>
      </c>
      <c r="B58" t="s">
        <v>336</v>
      </c>
      <c r="C58" t="s">
        <v>438</v>
      </c>
      <c r="D58" t="s">
        <v>130</v>
      </c>
      <c r="E58">
        <v>2010</v>
      </c>
      <c r="F58">
        <v>52</v>
      </c>
      <c r="G58">
        <v>2.2599999999999998</v>
      </c>
    </row>
    <row r="59" spans="1:7" x14ac:dyDescent="0.2">
      <c r="A59">
        <v>59</v>
      </c>
      <c r="B59" t="s">
        <v>381</v>
      </c>
      <c r="C59" t="s">
        <v>483</v>
      </c>
      <c r="D59" t="s">
        <v>129</v>
      </c>
      <c r="E59">
        <v>2010</v>
      </c>
      <c r="F59">
        <v>49</v>
      </c>
      <c r="G59">
        <v>0</v>
      </c>
    </row>
    <row r="60" spans="1:7" x14ac:dyDescent="0.2">
      <c r="A60">
        <v>60</v>
      </c>
      <c r="B60" t="s">
        <v>392</v>
      </c>
      <c r="C60" t="s">
        <v>493</v>
      </c>
      <c r="D60" t="s">
        <v>117</v>
      </c>
      <c r="E60">
        <v>2010</v>
      </c>
      <c r="F60">
        <v>29</v>
      </c>
      <c r="G60">
        <v>2.2599999999999998</v>
      </c>
    </row>
    <row r="61" spans="1:7" x14ac:dyDescent="0.2">
      <c r="A61">
        <v>61</v>
      </c>
      <c r="B61" t="s">
        <v>404</v>
      </c>
      <c r="C61" t="s">
        <v>505</v>
      </c>
      <c r="D61" t="s">
        <v>128</v>
      </c>
      <c r="E61">
        <v>2010</v>
      </c>
      <c r="F61">
        <v>194</v>
      </c>
      <c r="G61">
        <v>5.46</v>
      </c>
    </row>
    <row r="62" spans="1:7" x14ac:dyDescent="0.2">
      <c r="A62">
        <v>62</v>
      </c>
      <c r="B62" t="s">
        <v>419</v>
      </c>
      <c r="C62" t="s">
        <v>520</v>
      </c>
      <c r="D62" t="s">
        <v>127</v>
      </c>
      <c r="E62">
        <v>2010</v>
      </c>
      <c r="F62">
        <v>49</v>
      </c>
      <c r="G62">
        <v>0</v>
      </c>
    </row>
    <row r="63" spans="1:7" x14ac:dyDescent="0.2">
      <c r="A63">
        <v>63</v>
      </c>
      <c r="B63" t="s">
        <v>425</v>
      </c>
      <c r="C63" t="s">
        <v>526</v>
      </c>
      <c r="D63" t="s">
        <v>126</v>
      </c>
      <c r="E63">
        <v>2010</v>
      </c>
      <c r="F63">
        <v>49</v>
      </c>
      <c r="G63">
        <v>0</v>
      </c>
    </row>
    <row r="64" spans="1:7" x14ac:dyDescent="0.2">
      <c r="A64">
        <v>64</v>
      </c>
      <c r="B64" t="s">
        <v>337</v>
      </c>
      <c r="C64" t="s">
        <v>439</v>
      </c>
      <c r="D64" t="s">
        <v>125</v>
      </c>
      <c r="E64">
        <v>2011</v>
      </c>
      <c r="F64">
        <v>3</v>
      </c>
      <c r="G64">
        <v>0</v>
      </c>
    </row>
    <row r="65" spans="1:7" x14ac:dyDescent="0.2">
      <c r="A65">
        <v>65</v>
      </c>
      <c r="B65" t="s">
        <v>346</v>
      </c>
      <c r="C65" t="s">
        <v>448</v>
      </c>
      <c r="D65" t="s">
        <v>124</v>
      </c>
      <c r="E65">
        <v>2011</v>
      </c>
      <c r="F65">
        <v>27</v>
      </c>
      <c r="G65">
        <v>0</v>
      </c>
    </row>
    <row r="66" spans="1:7" x14ac:dyDescent="0.2">
      <c r="A66">
        <v>66</v>
      </c>
      <c r="B66" t="s">
        <v>352</v>
      </c>
      <c r="C66" t="s">
        <v>454</v>
      </c>
      <c r="D66" t="s">
        <v>195</v>
      </c>
      <c r="E66">
        <v>2011</v>
      </c>
      <c r="F66">
        <v>39</v>
      </c>
      <c r="G66">
        <v>1.56</v>
      </c>
    </row>
    <row r="67" spans="1:7" x14ac:dyDescent="0.2">
      <c r="A67">
        <v>67</v>
      </c>
      <c r="B67" t="s">
        <v>375</v>
      </c>
      <c r="C67" t="s">
        <v>477</v>
      </c>
      <c r="D67" t="s">
        <v>123</v>
      </c>
      <c r="E67">
        <v>2011</v>
      </c>
      <c r="F67">
        <v>25</v>
      </c>
      <c r="G67">
        <v>0</v>
      </c>
    </row>
    <row r="68" spans="1:7" x14ac:dyDescent="0.2">
      <c r="A68">
        <v>68</v>
      </c>
      <c r="B68" t="s">
        <v>405</v>
      </c>
      <c r="C68" t="s">
        <v>506</v>
      </c>
      <c r="D68" t="s">
        <v>432</v>
      </c>
      <c r="E68">
        <v>2011</v>
      </c>
      <c r="F68">
        <v>58</v>
      </c>
      <c r="G68">
        <v>0</v>
      </c>
    </row>
    <row r="69" spans="1:7" x14ac:dyDescent="0.2">
      <c r="A69">
        <v>69</v>
      </c>
      <c r="B69" t="s">
        <v>413</v>
      </c>
      <c r="C69" t="s">
        <v>514</v>
      </c>
      <c r="D69" t="s">
        <v>154</v>
      </c>
      <c r="E69">
        <v>2011</v>
      </c>
      <c r="F69">
        <v>16</v>
      </c>
      <c r="G69">
        <v>0</v>
      </c>
    </row>
    <row r="70" spans="1:7" x14ac:dyDescent="0.2">
      <c r="A70">
        <v>70</v>
      </c>
      <c r="B70" t="s">
        <v>430</v>
      </c>
      <c r="C70" t="s">
        <v>531</v>
      </c>
      <c r="D70" t="s">
        <v>137</v>
      </c>
      <c r="E70">
        <v>2011</v>
      </c>
      <c r="F70">
        <v>7</v>
      </c>
      <c r="G70">
        <v>0</v>
      </c>
    </row>
    <row r="71" spans="1:7" x14ac:dyDescent="0.2">
      <c r="A71">
        <v>71</v>
      </c>
      <c r="B71" t="s">
        <v>331</v>
      </c>
      <c r="C71" t="s">
        <v>434</v>
      </c>
      <c r="D71" t="s">
        <v>121</v>
      </c>
      <c r="E71">
        <v>2012</v>
      </c>
      <c r="F71">
        <v>13</v>
      </c>
      <c r="G71">
        <v>1.93</v>
      </c>
    </row>
    <row r="72" spans="1:7" x14ac:dyDescent="0.2">
      <c r="A72">
        <v>72</v>
      </c>
      <c r="B72" t="s">
        <v>332</v>
      </c>
      <c r="C72" t="s">
        <v>435</v>
      </c>
      <c r="D72" t="s">
        <v>122</v>
      </c>
      <c r="E72">
        <v>2012</v>
      </c>
      <c r="F72">
        <v>82</v>
      </c>
      <c r="G72">
        <v>0</v>
      </c>
    </row>
    <row r="73" spans="1:7" x14ac:dyDescent="0.2">
      <c r="A73">
        <v>73</v>
      </c>
      <c r="B73" t="s">
        <v>343</v>
      </c>
      <c r="C73" t="s">
        <v>445</v>
      </c>
      <c r="D73" t="s">
        <v>152</v>
      </c>
      <c r="E73">
        <v>2012</v>
      </c>
      <c r="F73">
        <v>5</v>
      </c>
      <c r="G73">
        <v>0.81</v>
      </c>
    </row>
    <row r="74" spans="1:7" x14ac:dyDescent="0.2">
      <c r="A74">
        <v>74</v>
      </c>
      <c r="B74" t="s">
        <v>344</v>
      </c>
      <c r="C74" t="s">
        <v>446</v>
      </c>
      <c r="D74" t="s">
        <v>120</v>
      </c>
      <c r="E74">
        <v>2012</v>
      </c>
      <c r="F74">
        <v>13</v>
      </c>
      <c r="G74">
        <v>2.67</v>
      </c>
    </row>
    <row r="75" spans="1:7" x14ac:dyDescent="0.2">
      <c r="A75">
        <v>75</v>
      </c>
      <c r="B75" t="s">
        <v>356</v>
      </c>
      <c r="C75" t="s">
        <v>458</v>
      </c>
      <c r="D75" t="s">
        <v>223</v>
      </c>
      <c r="E75">
        <v>2012</v>
      </c>
      <c r="F75">
        <v>4</v>
      </c>
      <c r="G75">
        <v>0</v>
      </c>
    </row>
    <row r="76" spans="1:7" x14ac:dyDescent="0.2">
      <c r="A76">
        <v>76</v>
      </c>
      <c r="B76" t="s">
        <v>360</v>
      </c>
      <c r="C76" t="s">
        <v>462</v>
      </c>
      <c r="D76" t="s">
        <v>227</v>
      </c>
      <c r="E76">
        <v>2012</v>
      </c>
      <c r="F76">
        <v>42</v>
      </c>
      <c r="G76">
        <v>0</v>
      </c>
    </row>
    <row r="77" spans="1:7" x14ac:dyDescent="0.2">
      <c r="A77">
        <v>77</v>
      </c>
      <c r="B77" t="s">
        <v>380</v>
      </c>
      <c r="C77" t="s">
        <v>482</v>
      </c>
      <c r="D77" t="s">
        <v>151</v>
      </c>
      <c r="E77">
        <v>2012</v>
      </c>
      <c r="F77">
        <v>36</v>
      </c>
      <c r="G77">
        <v>0</v>
      </c>
    </row>
    <row r="78" spans="1:7" x14ac:dyDescent="0.2">
      <c r="A78">
        <v>78</v>
      </c>
      <c r="B78" t="s">
        <v>382</v>
      </c>
      <c r="C78" t="s">
        <v>535</v>
      </c>
      <c r="D78" t="s">
        <v>153</v>
      </c>
      <c r="E78">
        <v>2012</v>
      </c>
      <c r="F78">
        <v>23</v>
      </c>
      <c r="G78">
        <v>0</v>
      </c>
    </row>
    <row r="79" spans="1:7" x14ac:dyDescent="0.2">
      <c r="A79">
        <v>79</v>
      </c>
      <c r="B79" t="s">
        <v>388</v>
      </c>
      <c r="C79" t="s">
        <v>489</v>
      </c>
      <c r="D79" t="s">
        <v>119</v>
      </c>
      <c r="E79">
        <v>2012</v>
      </c>
      <c r="F79">
        <v>15</v>
      </c>
      <c r="G79">
        <v>1.6</v>
      </c>
    </row>
    <row r="80" spans="1:7" x14ac:dyDescent="0.2">
      <c r="A80">
        <v>80</v>
      </c>
      <c r="B80" t="s">
        <v>411</v>
      </c>
      <c r="C80" t="s">
        <v>512</v>
      </c>
      <c r="D80" t="s">
        <v>118</v>
      </c>
      <c r="E80">
        <v>2012</v>
      </c>
      <c r="F80">
        <v>7</v>
      </c>
      <c r="G80">
        <v>0</v>
      </c>
    </row>
    <row r="81" spans="1:7" x14ac:dyDescent="0.2">
      <c r="A81">
        <v>81</v>
      </c>
      <c r="B81" t="s">
        <v>426</v>
      </c>
      <c r="C81" t="s">
        <v>527</v>
      </c>
      <c r="D81" t="s">
        <v>138</v>
      </c>
      <c r="E81">
        <v>2012</v>
      </c>
      <c r="F81">
        <v>30</v>
      </c>
      <c r="G81">
        <v>1.65</v>
      </c>
    </row>
    <row r="82" spans="1:7" x14ac:dyDescent="0.2">
      <c r="A82">
        <v>82</v>
      </c>
      <c r="B82" t="s">
        <v>338</v>
      </c>
      <c r="C82" t="s">
        <v>440</v>
      </c>
      <c r="D82" t="s">
        <v>193</v>
      </c>
      <c r="E82">
        <v>2013</v>
      </c>
      <c r="F82">
        <v>24</v>
      </c>
      <c r="G82">
        <v>1.56</v>
      </c>
    </row>
    <row r="83" spans="1:7" x14ac:dyDescent="0.2">
      <c r="A83">
        <v>83</v>
      </c>
      <c r="B83" t="s">
        <v>342</v>
      </c>
      <c r="C83" t="s">
        <v>444</v>
      </c>
      <c r="D83" t="s">
        <v>218</v>
      </c>
      <c r="E83">
        <v>2013</v>
      </c>
      <c r="F83">
        <v>3</v>
      </c>
      <c r="G83">
        <v>0</v>
      </c>
    </row>
    <row r="84" spans="1:7" x14ac:dyDescent="0.2">
      <c r="A84">
        <v>84</v>
      </c>
      <c r="B84" t="s">
        <v>345</v>
      </c>
      <c r="C84" t="s">
        <v>447</v>
      </c>
      <c r="D84" t="s">
        <v>219</v>
      </c>
      <c r="E84">
        <v>2013</v>
      </c>
      <c r="F84">
        <v>18</v>
      </c>
      <c r="G84">
        <v>0</v>
      </c>
    </row>
    <row r="85" spans="1:7" x14ac:dyDescent="0.2">
      <c r="A85">
        <v>85</v>
      </c>
      <c r="B85" t="s">
        <v>351</v>
      </c>
      <c r="C85" t="s">
        <v>453</v>
      </c>
      <c r="D85" t="s">
        <v>221</v>
      </c>
      <c r="E85">
        <v>2013</v>
      </c>
      <c r="F85">
        <v>1</v>
      </c>
      <c r="G85">
        <v>0</v>
      </c>
    </row>
    <row r="86" spans="1:7" x14ac:dyDescent="0.2">
      <c r="A86">
        <v>86</v>
      </c>
      <c r="B86" t="s">
        <v>359</v>
      </c>
      <c r="C86" t="s">
        <v>461</v>
      </c>
      <c r="D86" t="s">
        <v>225</v>
      </c>
      <c r="E86">
        <v>2013</v>
      </c>
      <c r="F86">
        <v>3</v>
      </c>
      <c r="G86">
        <v>0.81</v>
      </c>
    </row>
    <row r="87" spans="1:7" x14ac:dyDescent="0.2">
      <c r="A87">
        <v>87</v>
      </c>
      <c r="B87" t="s">
        <v>362</v>
      </c>
      <c r="C87" t="s">
        <v>464</v>
      </c>
      <c r="D87" t="s">
        <v>158</v>
      </c>
      <c r="E87">
        <v>2013</v>
      </c>
      <c r="F87">
        <v>23</v>
      </c>
      <c r="G87">
        <v>2.42</v>
      </c>
    </row>
    <row r="88" spans="1:7" x14ac:dyDescent="0.2">
      <c r="A88">
        <v>88</v>
      </c>
      <c r="B88" t="s">
        <v>377</v>
      </c>
      <c r="C88" t="s">
        <v>479</v>
      </c>
      <c r="D88" t="s">
        <v>199</v>
      </c>
      <c r="E88">
        <v>2013</v>
      </c>
      <c r="F88">
        <v>7</v>
      </c>
      <c r="G88">
        <v>1.65</v>
      </c>
    </row>
    <row r="89" spans="1:7" x14ac:dyDescent="0.2">
      <c r="A89">
        <v>89</v>
      </c>
      <c r="B89" s="39" t="s">
        <v>379</v>
      </c>
      <c r="C89" t="s">
        <v>481</v>
      </c>
      <c r="D89" t="s">
        <v>228</v>
      </c>
      <c r="E89">
        <v>2013</v>
      </c>
      <c r="F89">
        <v>3</v>
      </c>
      <c r="G89">
        <v>0</v>
      </c>
    </row>
    <row r="90" spans="1:7" x14ac:dyDescent="0.2">
      <c r="A90">
        <v>90</v>
      </c>
      <c r="B90" t="s">
        <v>385</v>
      </c>
      <c r="C90" t="s">
        <v>486</v>
      </c>
      <c r="D90" t="s">
        <v>230</v>
      </c>
      <c r="E90">
        <v>2013</v>
      </c>
      <c r="F90">
        <v>2</v>
      </c>
      <c r="G90">
        <v>0</v>
      </c>
    </row>
    <row r="91" spans="1:7" x14ac:dyDescent="0.2">
      <c r="A91">
        <v>91</v>
      </c>
      <c r="B91" t="s">
        <v>390</v>
      </c>
      <c r="C91" t="s">
        <v>491</v>
      </c>
      <c r="D91" t="s">
        <v>232</v>
      </c>
      <c r="E91">
        <v>2013</v>
      </c>
      <c r="F91">
        <v>7</v>
      </c>
      <c r="G91">
        <v>0</v>
      </c>
    </row>
    <row r="92" spans="1:7" x14ac:dyDescent="0.2">
      <c r="A92">
        <v>92</v>
      </c>
      <c r="B92" t="s">
        <v>393</v>
      </c>
      <c r="C92" t="s">
        <v>494</v>
      </c>
      <c r="D92" t="s">
        <v>210</v>
      </c>
      <c r="E92">
        <v>2013</v>
      </c>
      <c r="F92">
        <v>1</v>
      </c>
      <c r="G92">
        <v>0</v>
      </c>
    </row>
    <row r="93" spans="1:7" x14ac:dyDescent="0.2">
      <c r="A93">
        <v>93</v>
      </c>
      <c r="B93" t="s">
        <v>406</v>
      </c>
      <c r="C93" t="s">
        <v>507</v>
      </c>
      <c r="D93" t="s">
        <v>326</v>
      </c>
      <c r="E93">
        <v>2014</v>
      </c>
      <c r="F93">
        <v>9</v>
      </c>
      <c r="G93">
        <v>0</v>
      </c>
    </row>
    <row r="94" spans="1:7" x14ac:dyDescent="0.2">
      <c r="A94">
        <v>94</v>
      </c>
      <c r="B94" t="s">
        <v>427</v>
      </c>
      <c r="C94" t="s">
        <v>528</v>
      </c>
      <c r="D94" t="s">
        <v>213</v>
      </c>
      <c r="E94">
        <v>2013</v>
      </c>
      <c r="F94">
        <v>2</v>
      </c>
      <c r="G94">
        <v>0.81</v>
      </c>
    </row>
    <row r="95" spans="1:7" x14ac:dyDescent="0.2">
      <c r="A95">
        <v>95</v>
      </c>
      <c r="B95" t="s">
        <v>431</v>
      </c>
      <c r="C95" t="s">
        <v>532</v>
      </c>
      <c r="D95" t="s">
        <v>165</v>
      </c>
      <c r="E95">
        <v>2013</v>
      </c>
      <c r="F95">
        <v>17</v>
      </c>
      <c r="G95">
        <v>13.13</v>
      </c>
    </row>
    <row r="96" spans="1:7" x14ac:dyDescent="0.2">
      <c r="A96">
        <v>96</v>
      </c>
      <c r="B96" t="s">
        <v>361</v>
      </c>
      <c r="C96" t="s">
        <v>463</v>
      </c>
      <c r="D96" t="s">
        <v>216</v>
      </c>
      <c r="E96">
        <v>2014</v>
      </c>
      <c r="F96">
        <v>87</v>
      </c>
      <c r="G96">
        <v>15.1</v>
      </c>
    </row>
    <row r="97" spans="1:7" x14ac:dyDescent="0.2">
      <c r="A97">
        <v>97</v>
      </c>
      <c r="B97" t="s">
        <v>376</v>
      </c>
      <c r="C97" t="s">
        <v>478</v>
      </c>
      <c r="D97" t="s">
        <v>197</v>
      </c>
      <c r="E97">
        <v>2014</v>
      </c>
      <c r="F97">
        <v>2</v>
      </c>
      <c r="G97">
        <v>2.42</v>
      </c>
    </row>
    <row r="98" spans="1:7" x14ac:dyDescent="0.2">
      <c r="A98">
        <v>98</v>
      </c>
      <c r="B98" t="s">
        <v>378</v>
      </c>
      <c r="C98" t="s">
        <v>480</v>
      </c>
      <c r="D98" t="s">
        <v>206</v>
      </c>
      <c r="E98">
        <v>2014</v>
      </c>
      <c r="F98">
        <v>0</v>
      </c>
      <c r="G98">
        <v>1.88</v>
      </c>
    </row>
    <row r="99" spans="1:7" x14ac:dyDescent="0.2">
      <c r="A99">
        <v>99</v>
      </c>
      <c r="B99" t="s">
        <v>383</v>
      </c>
      <c r="C99" t="s">
        <v>484</v>
      </c>
      <c r="D99" t="s">
        <v>207</v>
      </c>
      <c r="E99">
        <v>2014</v>
      </c>
      <c r="F99">
        <v>28</v>
      </c>
      <c r="G99">
        <v>2.86</v>
      </c>
    </row>
    <row r="100" spans="1:7" x14ac:dyDescent="0.2">
      <c r="A100">
        <v>100</v>
      </c>
      <c r="B100" t="s">
        <v>394</v>
      </c>
      <c r="C100" t="s">
        <v>495</v>
      </c>
      <c r="D100" t="s">
        <v>215</v>
      </c>
      <c r="E100">
        <v>2014</v>
      </c>
      <c r="F100">
        <v>1</v>
      </c>
      <c r="G100">
        <v>2.2599999999999998</v>
      </c>
    </row>
    <row r="101" spans="1:7" x14ac:dyDescent="0.2">
      <c r="A101">
        <v>101</v>
      </c>
      <c r="B101" t="s">
        <v>414</v>
      </c>
      <c r="C101" t="s">
        <v>515</v>
      </c>
      <c r="D101" t="s">
        <v>212</v>
      </c>
      <c r="E101">
        <v>2014</v>
      </c>
      <c r="F101">
        <v>0</v>
      </c>
      <c r="G101">
        <v>2.42</v>
      </c>
    </row>
    <row r="102" spans="1:7" x14ac:dyDescent="0.2">
      <c r="A102">
        <v>102</v>
      </c>
      <c r="B102" t="s">
        <v>416</v>
      </c>
      <c r="C102" t="s">
        <v>517</v>
      </c>
      <c r="D102" t="s">
        <v>235</v>
      </c>
      <c r="E102">
        <v>2014</v>
      </c>
      <c r="F102">
        <v>3</v>
      </c>
      <c r="G102">
        <v>0</v>
      </c>
    </row>
  </sheetData>
  <sortState ref="A3:F103">
    <sortCondition ref="A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11"/>
  <sheetViews>
    <sheetView zoomScale="85" zoomScaleNormal="85" workbookViewId="0">
      <pane xSplit="2" ySplit="1" topLeftCell="C10" activePane="bottomRight" state="frozen"/>
      <selection pane="topRight"/>
      <selection pane="bottomLeft"/>
      <selection pane="bottomRight"/>
    </sheetView>
  </sheetViews>
  <sheetFormatPr defaultRowHeight="12.75" x14ac:dyDescent="0.2"/>
  <cols>
    <col min="1" max="1" width="26.140625" style="91" customWidth="1"/>
    <col min="2" max="2" width="9.140625" style="91"/>
    <col min="3" max="3" width="10.7109375" style="91" customWidth="1"/>
    <col min="4" max="7" width="9.140625" style="91"/>
    <col min="8" max="8" width="9.140625" style="98"/>
    <col min="9" max="11" width="9.140625" style="91"/>
    <col min="12" max="14" width="9.140625" style="98"/>
    <col min="15" max="32" width="9.140625" style="91"/>
    <col min="33" max="16384" width="9.140625" style="90"/>
  </cols>
  <sheetData>
    <row r="1" spans="1:32" s="96" customFormat="1" ht="12.75" customHeight="1" x14ac:dyDescent="0.2">
      <c r="A1" s="120" t="s">
        <v>321</v>
      </c>
      <c r="B1" s="94" t="s">
        <v>290</v>
      </c>
      <c r="C1" s="99" t="s">
        <v>287</v>
      </c>
      <c r="D1" s="94" t="s">
        <v>291</v>
      </c>
      <c r="E1" s="94" t="s">
        <v>293</v>
      </c>
      <c r="F1" s="94" t="s">
        <v>294</v>
      </c>
      <c r="G1" s="94" t="s">
        <v>295</v>
      </c>
      <c r="H1" s="100" t="s">
        <v>296</v>
      </c>
      <c r="I1" s="94" t="s">
        <v>297</v>
      </c>
      <c r="J1" s="94" t="s">
        <v>298</v>
      </c>
      <c r="K1" s="94" t="s">
        <v>299</v>
      </c>
      <c r="L1" s="100" t="s">
        <v>292</v>
      </c>
      <c r="M1" s="100" t="s">
        <v>300</v>
      </c>
      <c r="N1" s="100" t="s">
        <v>301</v>
      </c>
      <c r="O1" s="94" t="s">
        <v>302</v>
      </c>
      <c r="P1" s="94" t="s">
        <v>303</v>
      </c>
      <c r="Q1" s="94" t="s">
        <v>304</v>
      </c>
      <c r="R1" s="94" t="s">
        <v>305</v>
      </c>
      <c r="S1" s="94" t="s">
        <v>306</v>
      </c>
      <c r="T1" s="94" t="s">
        <v>307</v>
      </c>
      <c r="U1" s="94" t="s">
        <v>308</v>
      </c>
      <c r="V1" s="94" t="s">
        <v>309</v>
      </c>
      <c r="W1" s="94" t="s">
        <v>310</v>
      </c>
      <c r="X1" s="94" t="s">
        <v>311</v>
      </c>
      <c r="Y1" s="94" t="s">
        <v>312</v>
      </c>
      <c r="Z1" s="94" t="s">
        <v>313</v>
      </c>
      <c r="AA1" s="94" t="s">
        <v>241</v>
      </c>
      <c r="AB1" s="94" t="s">
        <v>314</v>
      </c>
      <c r="AC1" s="94" t="s">
        <v>315</v>
      </c>
      <c r="AD1" s="94" t="s">
        <v>316</v>
      </c>
      <c r="AE1" s="94" t="s">
        <v>318</v>
      </c>
      <c r="AF1" s="95" t="s">
        <v>317</v>
      </c>
    </row>
    <row r="2" spans="1:32" x14ac:dyDescent="0.2">
      <c r="A2" s="3" t="str">
        <f>+VLOOKUP(B2,studies!$A$2:$C$102,3)</f>
        <v>Nordhaus (1982)</v>
      </c>
      <c r="B2" s="87">
        <v>1</v>
      </c>
      <c r="C2" s="5">
        <v>1982</v>
      </c>
      <c r="D2" s="5">
        <v>1</v>
      </c>
      <c r="E2" s="5">
        <v>1980</v>
      </c>
      <c r="F2" s="5">
        <v>1980</v>
      </c>
      <c r="G2" s="113">
        <v>0.5</v>
      </c>
      <c r="H2" s="7">
        <v>1984.9986943646254</v>
      </c>
      <c r="I2" s="5">
        <v>0</v>
      </c>
      <c r="J2" s="5">
        <v>1</v>
      </c>
      <c r="K2" s="5">
        <v>0</v>
      </c>
      <c r="L2" s="7" t="s">
        <v>238</v>
      </c>
      <c r="M2" s="7" t="s">
        <v>238</v>
      </c>
      <c r="N2" s="7" t="s">
        <v>238</v>
      </c>
      <c r="O2" s="5">
        <v>1</v>
      </c>
      <c r="P2" s="5">
        <v>0</v>
      </c>
      <c r="Q2" s="33">
        <v>0</v>
      </c>
      <c r="R2" s="5">
        <v>0</v>
      </c>
      <c r="S2" s="5">
        <v>0</v>
      </c>
      <c r="T2" s="5">
        <v>0</v>
      </c>
      <c r="U2" s="5">
        <v>0</v>
      </c>
      <c r="V2" s="13"/>
      <c r="W2" s="13">
        <v>1</v>
      </c>
      <c r="X2" s="5"/>
      <c r="Y2" s="3">
        <v>4</v>
      </c>
      <c r="Z2" s="3"/>
      <c r="AA2" s="5">
        <v>0</v>
      </c>
      <c r="AB2" s="5"/>
      <c r="AC2" s="5">
        <v>0</v>
      </c>
      <c r="AD2" s="5">
        <v>1</v>
      </c>
      <c r="AE2" s="5">
        <v>0</v>
      </c>
      <c r="AF2" s="5">
        <v>0</v>
      </c>
    </row>
    <row r="3" spans="1:32" x14ac:dyDescent="0.2">
      <c r="A3" s="3" t="str">
        <f>+VLOOKUP(B3,studies!$A$2:$C$102,3)</f>
        <v>Nordhaus (1982)</v>
      </c>
      <c r="B3" s="87">
        <v>1</v>
      </c>
      <c r="C3" s="5">
        <v>1982</v>
      </c>
      <c r="D3" s="5">
        <v>1</v>
      </c>
      <c r="E3" s="5">
        <v>1980</v>
      </c>
      <c r="F3" s="5">
        <v>1980</v>
      </c>
      <c r="G3" s="113">
        <v>0.5</v>
      </c>
      <c r="H3" s="7">
        <v>283.5712420520893</v>
      </c>
      <c r="I3" s="5">
        <v>0</v>
      </c>
      <c r="J3" s="5">
        <v>1</v>
      </c>
      <c r="K3" s="5">
        <v>0</v>
      </c>
      <c r="L3" s="7" t="s">
        <v>238</v>
      </c>
      <c r="M3" s="7" t="s">
        <v>238</v>
      </c>
      <c r="N3" s="7" t="s">
        <v>238</v>
      </c>
      <c r="O3" s="5">
        <v>1</v>
      </c>
      <c r="P3" s="5">
        <v>0</v>
      </c>
      <c r="Q3" s="33">
        <v>0</v>
      </c>
      <c r="R3" s="5">
        <v>0</v>
      </c>
      <c r="S3" s="5">
        <v>0</v>
      </c>
      <c r="T3" s="5">
        <v>0</v>
      </c>
      <c r="U3" s="5">
        <v>0</v>
      </c>
      <c r="V3" s="13"/>
      <c r="W3" s="13">
        <v>1</v>
      </c>
      <c r="X3" s="5"/>
      <c r="Y3" s="3">
        <v>1</v>
      </c>
      <c r="Z3" s="3"/>
      <c r="AA3" s="5">
        <v>0</v>
      </c>
      <c r="AB3" s="5"/>
      <c r="AC3" s="5">
        <v>0</v>
      </c>
      <c r="AD3" s="5">
        <v>1</v>
      </c>
      <c r="AE3" s="5">
        <v>0</v>
      </c>
      <c r="AF3" s="5">
        <v>0</v>
      </c>
    </row>
    <row r="4" spans="1:32" x14ac:dyDescent="0.2">
      <c r="A4" s="3" t="str">
        <f>+VLOOKUP(B4,studies!$A$2:$C$102,3)</f>
        <v>Ayres &amp; Walter (1991)</v>
      </c>
      <c r="B4" s="87">
        <v>2</v>
      </c>
      <c r="C4" s="5">
        <v>1991</v>
      </c>
      <c r="D4" s="5">
        <v>1</v>
      </c>
      <c r="E4" s="5">
        <v>1989</v>
      </c>
      <c r="F4" s="5">
        <v>1990</v>
      </c>
      <c r="G4" s="113">
        <v>1</v>
      </c>
      <c r="H4" s="7">
        <v>450.79559708797814</v>
      </c>
      <c r="I4" s="5">
        <v>0</v>
      </c>
      <c r="J4" s="5">
        <v>1</v>
      </c>
      <c r="K4" s="5">
        <v>0</v>
      </c>
      <c r="L4" s="7" t="s">
        <v>238</v>
      </c>
      <c r="M4" s="7" t="s">
        <v>238</v>
      </c>
      <c r="N4" s="7" t="s">
        <v>238</v>
      </c>
      <c r="O4" s="5">
        <v>1</v>
      </c>
      <c r="P4" s="5">
        <v>0</v>
      </c>
      <c r="Q4" s="33">
        <v>0</v>
      </c>
      <c r="R4" s="5">
        <v>0</v>
      </c>
      <c r="S4" s="5">
        <v>0</v>
      </c>
      <c r="T4" s="5">
        <v>0</v>
      </c>
      <c r="U4" s="5">
        <v>0</v>
      </c>
      <c r="V4" s="13">
        <v>3</v>
      </c>
      <c r="W4" s="13">
        <v>1</v>
      </c>
      <c r="X4" s="5"/>
      <c r="Y4" s="3">
        <v>0</v>
      </c>
      <c r="Z4" s="3"/>
      <c r="AA4" s="5">
        <v>0</v>
      </c>
      <c r="AB4" s="5"/>
      <c r="AC4" s="5">
        <v>0</v>
      </c>
      <c r="AD4" s="5">
        <v>0</v>
      </c>
      <c r="AE4" s="5">
        <v>0</v>
      </c>
      <c r="AF4" s="5">
        <v>0</v>
      </c>
    </row>
    <row r="5" spans="1:32" x14ac:dyDescent="0.2">
      <c r="A5" s="3" t="str">
        <f>+VLOOKUP(B5,studies!$A$2:$C$102,3)</f>
        <v>Nordhaus (1991)</v>
      </c>
      <c r="B5" s="87">
        <v>3</v>
      </c>
      <c r="C5" s="5">
        <v>1991</v>
      </c>
      <c r="D5" s="5">
        <v>1</v>
      </c>
      <c r="E5" s="5">
        <v>1989</v>
      </c>
      <c r="F5" s="5">
        <v>1990</v>
      </c>
      <c r="G5" s="113">
        <v>6.25E-2</v>
      </c>
      <c r="H5" s="7">
        <v>914.62958990711616</v>
      </c>
      <c r="I5" s="5">
        <v>0</v>
      </c>
      <c r="J5" s="5">
        <v>1</v>
      </c>
      <c r="K5" s="5">
        <v>0</v>
      </c>
      <c r="L5" s="7" t="s">
        <v>238</v>
      </c>
      <c r="M5" s="7" t="s">
        <v>238</v>
      </c>
      <c r="N5" s="7" t="s">
        <v>238</v>
      </c>
      <c r="O5" s="5">
        <v>1</v>
      </c>
      <c r="P5" s="5">
        <v>0</v>
      </c>
      <c r="Q5" s="33">
        <v>0</v>
      </c>
      <c r="R5" s="5">
        <v>0</v>
      </c>
      <c r="S5" s="5">
        <v>0</v>
      </c>
      <c r="T5" s="5">
        <v>1</v>
      </c>
      <c r="U5" s="5">
        <v>0</v>
      </c>
      <c r="V5" s="13">
        <v>1</v>
      </c>
      <c r="W5" s="13">
        <v>0</v>
      </c>
      <c r="X5" s="3">
        <v>1</v>
      </c>
      <c r="Y5" s="3">
        <v>1</v>
      </c>
      <c r="Z5" s="3"/>
      <c r="AA5" s="5">
        <v>0</v>
      </c>
      <c r="AB5" s="5"/>
      <c r="AC5" s="5">
        <v>0</v>
      </c>
      <c r="AD5" s="5">
        <v>1</v>
      </c>
      <c r="AE5" s="5">
        <v>0</v>
      </c>
      <c r="AF5" s="5">
        <v>0</v>
      </c>
    </row>
    <row r="6" spans="1:32" x14ac:dyDescent="0.2">
      <c r="A6" s="3" t="str">
        <f>+VLOOKUP(B6,studies!$A$2:$C$102,3)</f>
        <v>Nordhaus (1991)</v>
      </c>
      <c r="B6" s="87">
        <v>3</v>
      </c>
      <c r="C6" s="5">
        <v>1991</v>
      </c>
      <c r="D6" s="5">
        <v>1</v>
      </c>
      <c r="E6" s="5">
        <v>1989</v>
      </c>
      <c r="F6" s="5">
        <v>1990</v>
      </c>
      <c r="G6" s="113">
        <v>0.125</v>
      </c>
      <c r="H6" s="7">
        <v>457.31479495355808</v>
      </c>
      <c r="I6" s="5">
        <v>0</v>
      </c>
      <c r="J6" s="5">
        <v>1</v>
      </c>
      <c r="K6" s="5">
        <v>0</v>
      </c>
      <c r="L6" s="7" t="s">
        <v>238</v>
      </c>
      <c r="M6" s="7" t="s">
        <v>238</v>
      </c>
      <c r="N6" s="7" t="s">
        <v>238</v>
      </c>
      <c r="O6" s="5">
        <v>1</v>
      </c>
      <c r="P6" s="5">
        <v>0</v>
      </c>
      <c r="Q6" s="33">
        <v>0</v>
      </c>
      <c r="R6" s="5">
        <v>0</v>
      </c>
      <c r="S6" s="5">
        <v>0</v>
      </c>
      <c r="T6" s="5">
        <v>1</v>
      </c>
      <c r="U6" s="5">
        <v>0</v>
      </c>
      <c r="V6" s="13">
        <v>1</v>
      </c>
      <c r="W6" s="13">
        <v>0</v>
      </c>
      <c r="X6" s="3">
        <v>1</v>
      </c>
      <c r="Y6" s="3">
        <v>1</v>
      </c>
      <c r="Z6" s="3"/>
      <c r="AA6" s="5">
        <v>0</v>
      </c>
      <c r="AB6" s="5"/>
      <c r="AC6" s="5">
        <v>0</v>
      </c>
      <c r="AD6" s="5">
        <v>1</v>
      </c>
      <c r="AE6" s="5">
        <v>0</v>
      </c>
      <c r="AF6" s="5">
        <v>0</v>
      </c>
    </row>
    <row r="7" spans="1:32" x14ac:dyDescent="0.2">
      <c r="A7" s="3" t="str">
        <f>+VLOOKUP(B7,studies!$A$2:$C$102,3)</f>
        <v>Nordhaus (1991)</v>
      </c>
      <c r="B7" s="87">
        <v>3</v>
      </c>
      <c r="C7" s="5">
        <v>1991</v>
      </c>
      <c r="D7" s="5">
        <v>1</v>
      </c>
      <c r="E7" s="5">
        <v>1989</v>
      </c>
      <c r="F7" s="5">
        <v>1990</v>
      </c>
      <c r="G7" s="113">
        <v>6.25E-2</v>
      </c>
      <c r="H7" s="7">
        <v>114.29402215399814</v>
      </c>
      <c r="I7" s="5">
        <v>0</v>
      </c>
      <c r="J7" s="5">
        <v>1</v>
      </c>
      <c r="K7" s="5">
        <v>0</v>
      </c>
      <c r="L7" s="7" t="s">
        <v>238</v>
      </c>
      <c r="M7" s="7" t="s">
        <v>238</v>
      </c>
      <c r="N7" s="7" t="s">
        <v>238</v>
      </c>
      <c r="O7" s="5">
        <v>1</v>
      </c>
      <c r="P7" s="5">
        <v>0</v>
      </c>
      <c r="Q7" s="33">
        <v>0</v>
      </c>
      <c r="R7" s="5">
        <v>0</v>
      </c>
      <c r="S7" s="5">
        <v>0</v>
      </c>
      <c r="T7" s="5">
        <v>1</v>
      </c>
      <c r="U7" s="5">
        <v>0</v>
      </c>
      <c r="V7" s="13">
        <v>1</v>
      </c>
      <c r="W7" s="13">
        <v>0</v>
      </c>
      <c r="X7" s="3">
        <v>1</v>
      </c>
      <c r="Y7" s="3">
        <v>1</v>
      </c>
      <c r="Z7" s="3"/>
      <c r="AA7" s="5">
        <v>0</v>
      </c>
      <c r="AB7" s="5"/>
      <c r="AC7" s="5">
        <v>0</v>
      </c>
      <c r="AD7" s="5">
        <v>1</v>
      </c>
      <c r="AE7" s="5">
        <v>0</v>
      </c>
      <c r="AF7" s="5">
        <v>0</v>
      </c>
    </row>
    <row r="8" spans="1:32" x14ac:dyDescent="0.2">
      <c r="A8" s="3" t="str">
        <f>+VLOOKUP(B8,studies!$A$2:$C$102,3)</f>
        <v>Nordhaus (1991)</v>
      </c>
      <c r="B8" s="87">
        <v>3</v>
      </c>
      <c r="C8" s="5">
        <v>1991</v>
      </c>
      <c r="D8" s="5">
        <v>1</v>
      </c>
      <c r="E8" s="5">
        <v>1989</v>
      </c>
      <c r="F8" s="5">
        <v>1990</v>
      </c>
      <c r="G8" s="113">
        <v>0.125</v>
      </c>
      <c r="H8" s="7">
        <v>203.20478453350398</v>
      </c>
      <c r="I8" s="5">
        <v>0</v>
      </c>
      <c r="J8" s="5">
        <v>1</v>
      </c>
      <c r="K8" s="5">
        <v>0</v>
      </c>
      <c r="L8" s="7" t="s">
        <v>238</v>
      </c>
      <c r="M8" s="7" t="s">
        <v>238</v>
      </c>
      <c r="N8" s="7" t="s">
        <v>238</v>
      </c>
      <c r="O8" s="5">
        <v>1</v>
      </c>
      <c r="P8" s="5">
        <v>0</v>
      </c>
      <c r="Q8" s="33">
        <v>0</v>
      </c>
      <c r="R8" s="5">
        <v>0</v>
      </c>
      <c r="S8" s="5">
        <v>0</v>
      </c>
      <c r="T8" s="5">
        <v>1</v>
      </c>
      <c r="U8" s="5">
        <v>0</v>
      </c>
      <c r="V8" s="13">
        <v>3</v>
      </c>
      <c r="W8" s="13">
        <v>1</v>
      </c>
      <c r="X8" s="3">
        <v>1</v>
      </c>
      <c r="Y8" s="3">
        <v>2</v>
      </c>
      <c r="Z8" s="3"/>
      <c r="AA8" s="5">
        <v>0</v>
      </c>
      <c r="AB8" s="5"/>
      <c r="AC8" s="5">
        <v>0</v>
      </c>
      <c r="AD8" s="5">
        <v>1</v>
      </c>
      <c r="AE8" s="5">
        <v>0</v>
      </c>
      <c r="AF8" s="5">
        <v>0</v>
      </c>
    </row>
    <row r="9" spans="1:32" x14ac:dyDescent="0.2">
      <c r="A9" s="3" t="str">
        <f>+VLOOKUP(B9,studies!$A$2:$C$102,3)</f>
        <v>Nordhaus (1991)</v>
      </c>
      <c r="B9" s="87">
        <v>3</v>
      </c>
      <c r="C9" s="5">
        <v>1991</v>
      </c>
      <c r="D9" s="5">
        <v>1</v>
      </c>
      <c r="E9" s="5">
        <v>1989</v>
      </c>
      <c r="F9" s="5">
        <v>1990</v>
      </c>
      <c r="G9" s="113">
        <v>0.25</v>
      </c>
      <c r="H9" s="7">
        <v>101.67174543553476</v>
      </c>
      <c r="I9" s="5">
        <v>0</v>
      </c>
      <c r="J9" s="5">
        <v>1</v>
      </c>
      <c r="K9" s="5">
        <v>0</v>
      </c>
      <c r="L9" s="7" t="s">
        <v>238</v>
      </c>
      <c r="M9" s="7" t="s">
        <v>238</v>
      </c>
      <c r="N9" s="7" t="s">
        <v>238</v>
      </c>
      <c r="O9" s="5">
        <v>1</v>
      </c>
      <c r="P9" s="5">
        <v>0</v>
      </c>
      <c r="Q9" s="33">
        <v>0</v>
      </c>
      <c r="R9" s="5">
        <v>0</v>
      </c>
      <c r="S9" s="5">
        <v>0</v>
      </c>
      <c r="T9" s="5">
        <v>1</v>
      </c>
      <c r="U9" s="5">
        <v>0</v>
      </c>
      <c r="V9" s="13">
        <v>3</v>
      </c>
      <c r="W9" s="13">
        <v>1</v>
      </c>
      <c r="X9" s="3">
        <v>1</v>
      </c>
      <c r="Y9" s="3">
        <v>2</v>
      </c>
      <c r="Z9" s="3"/>
      <c r="AA9" s="5">
        <v>0</v>
      </c>
      <c r="AB9" s="5"/>
      <c r="AC9" s="5">
        <v>0</v>
      </c>
      <c r="AD9" s="5">
        <v>1</v>
      </c>
      <c r="AE9" s="5">
        <v>0</v>
      </c>
      <c r="AF9" s="5">
        <v>0</v>
      </c>
    </row>
    <row r="10" spans="1:32" x14ac:dyDescent="0.2">
      <c r="A10" s="3" t="str">
        <f>+VLOOKUP(B10,studies!$A$2:$C$102,3)</f>
        <v>Nordhaus (1991)</v>
      </c>
      <c r="B10" s="87">
        <v>3</v>
      </c>
      <c r="C10" s="5">
        <v>1991</v>
      </c>
      <c r="D10" s="5">
        <v>1</v>
      </c>
      <c r="E10" s="5">
        <v>1989</v>
      </c>
      <c r="F10" s="5">
        <v>1990</v>
      </c>
      <c r="G10" s="113">
        <v>0.125</v>
      </c>
      <c r="H10" s="7">
        <v>25.383259774492309</v>
      </c>
      <c r="I10" s="5">
        <v>0</v>
      </c>
      <c r="J10" s="5">
        <v>1</v>
      </c>
      <c r="K10" s="5">
        <v>0</v>
      </c>
      <c r="L10" s="7" t="s">
        <v>238</v>
      </c>
      <c r="M10" s="7" t="s">
        <v>238</v>
      </c>
      <c r="N10" s="7" t="s">
        <v>238</v>
      </c>
      <c r="O10" s="5">
        <v>1</v>
      </c>
      <c r="P10" s="5">
        <v>0</v>
      </c>
      <c r="Q10" s="33">
        <v>0</v>
      </c>
      <c r="R10" s="5">
        <v>0</v>
      </c>
      <c r="S10" s="5">
        <v>0</v>
      </c>
      <c r="T10" s="5">
        <v>1</v>
      </c>
      <c r="U10" s="5">
        <v>0</v>
      </c>
      <c r="V10" s="13">
        <v>3</v>
      </c>
      <c r="W10" s="13">
        <v>1</v>
      </c>
      <c r="X10" s="3">
        <v>1</v>
      </c>
      <c r="Y10" s="3">
        <v>2</v>
      </c>
      <c r="Z10" s="3"/>
      <c r="AA10" s="5">
        <v>0</v>
      </c>
      <c r="AB10" s="5"/>
      <c r="AC10" s="5">
        <v>0</v>
      </c>
      <c r="AD10" s="5">
        <v>1</v>
      </c>
      <c r="AE10" s="5">
        <v>0</v>
      </c>
      <c r="AF10" s="5">
        <v>0</v>
      </c>
    </row>
    <row r="11" spans="1:32" x14ac:dyDescent="0.2">
      <c r="A11" s="3" t="str">
        <f>+VLOOKUP(B11,studies!$A$2:$C$102,3)</f>
        <v>Nordhaus (1991)</v>
      </c>
      <c r="B11" s="87">
        <v>3</v>
      </c>
      <c r="C11" s="5">
        <v>1991</v>
      </c>
      <c r="D11" s="5">
        <v>1</v>
      </c>
      <c r="E11" s="5">
        <v>1989</v>
      </c>
      <c r="F11" s="5">
        <v>1990</v>
      </c>
      <c r="G11" s="113">
        <v>6.25E-2</v>
      </c>
      <c r="H11" s="7">
        <v>33.844346365989743</v>
      </c>
      <c r="I11" s="5">
        <v>0</v>
      </c>
      <c r="J11" s="5">
        <v>1</v>
      </c>
      <c r="K11" s="5">
        <v>0</v>
      </c>
      <c r="L11" s="7" t="s">
        <v>238</v>
      </c>
      <c r="M11" s="7" t="s">
        <v>238</v>
      </c>
      <c r="N11" s="7" t="s">
        <v>238</v>
      </c>
      <c r="O11" s="5">
        <v>1</v>
      </c>
      <c r="P11" s="5">
        <v>0</v>
      </c>
      <c r="Q11" s="33">
        <v>0</v>
      </c>
      <c r="R11" s="5">
        <v>0</v>
      </c>
      <c r="S11" s="5">
        <v>0</v>
      </c>
      <c r="T11" s="5">
        <v>1</v>
      </c>
      <c r="U11" s="5">
        <v>0</v>
      </c>
      <c r="V11" s="13">
        <v>7</v>
      </c>
      <c r="W11" s="13">
        <v>4</v>
      </c>
      <c r="X11" s="3">
        <v>1</v>
      </c>
      <c r="Y11" s="3">
        <v>3</v>
      </c>
      <c r="Z11" s="3"/>
      <c r="AA11" s="5">
        <v>0</v>
      </c>
      <c r="AB11" s="5"/>
      <c r="AC11" s="5">
        <v>0</v>
      </c>
      <c r="AD11" s="5">
        <v>1</v>
      </c>
      <c r="AE11" s="5">
        <v>0</v>
      </c>
      <c r="AF11" s="5">
        <v>0</v>
      </c>
    </row>
    <row r="12" spans="1:32" x14ac:dyDescent="0.2">
      <c r="A12" s="3" t="str">
        <f>+VLOOKUP(B12,studies!$A$2:$C$102,3)</f>
        <v>Nordhaus (1991)</v>
      </c>
      <c r="B12" s="87">
        <v>3</v>
      </c>
      <c r="C12" s="5">
        <v>1991</v>
      </c>
      <c r="D12" s="5">
        <v>1</v>
      </c>
      <c r="E12" s="5">
        <v>1989</v>
      </c>
      <c r="F12" s="5">
        <v>1990</v>
      </c>
      <c r="G12" s="113">
        <v>0.125</v>
      </c>
      <c r="H12" s="7">
        <v>16.922173182994872</v>
      </c>
      <c r="I12" s="5">
        <v>0</v>
      </c>
      <c r="J12" s="5">
        <v>1</v>
      </c>
      <c r="K12" s="5">
        <v>0</v>
      </c>
      <c r="L12" s="7" t="s">
        <v>238</v>
      </c>
      <c r="M12" s="7" t="s">
        <v>238</v>
      </c>
      <c r="N12" s="7" t="s">
        <v>238</v>
      </c>
      <c r="O12" s="5">
        <v>1</v>
      </c>
      <c r="P12" s="5">
        <v>0</v>
      </c>
      <c r="Q12" s="33">
        <v>0</v>
      </c>
      <c r="R12" s="5">
        <v>0</v>
      </c>
      <c r="S12" s="5">
        <v>0</v>
      </c>
      <c r="T12" s="5">
        <v>1</v>
      </c>
      <c r="U12" s="5">
        <v>0</v>
      </c>
      <c r="V12" s="13">
        <v>7</v>
      </c>
      <c r="W12" s="13">
        <v>4</v>
      </c>
      <c r="X12" s="3">
        <v>1</v>
      </c>
      <c r="Y12" s="3">
        <v>3</v>
      </c>
      <c r="Z12" s="3"/>
      <c r="AA12" s="5">
        <v>0</v>
      </c>
      <c r="AB12" s="5"/>
      <c r="AC12" s="5">
        <v>0</v>
      </c>
      <c r="AD12" s="5">
        <v>1</v>
      </c>
      <c r="AE12" s="5">
        <v>0</v>
      </c>
      <c r="AF12" s="5">
        <v>0</v>
      </c>
    </row>
    <row r="13" spans="1:32" x14ac:dyDescent="0.2">
      <c r="A13" s="3" t="str">
        <f>+VLOOKUP(B13,studies!$A$2:$C$102,3)</f>
        <v>Nordhaus (1991)</v>
      </c>
      <c r="B13" s="87">
        <v>3</v>
      </c>
      <c r="C13" s="5">
        <v>1991</v>
      </c>
      <c r="D13" s="5">
        <v>1</v>
      </c>
      <c r="E13" s="5">
        <v>1989</v>
      </c>
      <c r="F13" s="5">
        <v>1990</v>
      </c>
      <c r="G13" s="113">
        <v>6.25E-2</v>
      </c>
      <c r="H13" s="7">
        <v>4.2998964645314839</v>
      </c>
      <c r="I13" s="5">
        <v>0</v>
      </c>
      <c r="J13" s="5">
        <v>1</v>
      </c>
      <c r="K13" s="5">
        <v>0</v>
      </c>
      <c r="L13" s="7" t="s">
        <v>238</v>
      </c>
      <c r="M13" s="7" t="s">
        <v>238</v>
      </c>
      <c r="N13" s="7" t="s">
        <v>238</v>
      </c>
      <c r="O13" s="5">
        <v>1</v>
      </c>
      <c r="P13" s="5">
        <v>0</v>
      </c>
      <c r="Q13" s="33">
        <v>0</v>
      </c>
      <c r="R13" s="5">
        <v>0</v>
      </c>
      <c r="S13" s="5">
        <v>0</v>
      </c>
      <c r="T13" s="5">
        <v>1</v>
      </c>
      <c r="U13" s="5">
        <v>0</v>
      </c>
      <c r="V13" s="13">
        <v>7</v>
      </c>
      <c r="W13" s="13">
        <v>4</v>
      </c>
      <c r="X13" s="3">
        <v>1</v>
      </c>
      <c r="Y13" s="3">
        <v>3</v>
      </c>
      <c r="Z13" s="3"/>
      <c r="AA13" s="5">
        <v>0</v>
      </c>
      <c r="AB13" s="5"/>
      <c r="AC13" s="5">
        <v>0</v>
      </c>
      <c r="AD13" s="5">
        <v>1</v>
      </c>
      <c r="AE13" s="5">
        <v>0</v>
      </c>
      <c r="AF13" s="5">
        <v>0</v>
      </c>
    </row>
    <row r="14" spans="1:32" x14ac:dyDescent="0.2">
      <c r="A14" s="3" t="str">
        <f>+VLOOKUP(B14,studies!$A$2:$C$102,3)</f>
        <v>Cline (1992)</v>
      </c>
      <c r="B14" s="87">
        <v>4</v>
      </c>
      <c r="C14" s="5">
        <v>1992</v>
      </c>
      <c r="D14" s="5">
        <v>0</v>
      </c>
      <c r="E14" s="5">
        <v>1989</v>
      </c>
      <c r="F14" s="5">
        <v>1990</v>
      </c>
      <c r="G14" s="113">
        <v>1</v>
      </c>
      <c r="H14" s="7">
        <v>245.51021749099118</v>
      </c>
      <c r="I14" s="5">
        <v>0</v>
      </c>
      <c r="J14" s="5">
        <v>1</v>
      </c>
      <c r="K14" s="5">
        <v>0</v>
      </c>
      <c r="L14" s="7">
        <v>111.78469841076718</v>
      </c>
      <c r="M14" s="7">
        <v>114.06601878649712</v>
      </c>
      <c r="N14" s="7">
        <v>114.06601878649708</v>
      </c>
      <c r="O14" s="5">
        <v>1</v>
      </c>
      <c r="P14" s="5">
        <v>1</v>
      </c>
      <c r="Q14" s="5">
        <v>0</v>
      </c>
      <c r="R14" s="5">
        <v>1</v>
      </c>
      <c r="S14" s="33">
        <v>0</v>
      </c>
      <c r="T14" s="33">
        <v>0</v>
      </c>
      <c r="U14" s="33">
        <v>0</v>
      </c>
      <c r="V14" s="13">
        <v>1.5</v>
      </c>
      <c r="W14" s="13">
        <v>0</v>
      </c>
      <c r="X14" s="3">
        <v>1.5</v>
      </c>
      <c r="Y14" s="41">
        <v>1</v>
      </c>
      <c r="Z14" s="41"/>
      <c r="AA14" s="5">
        <v>0</v>
      </c>
      <c r="AB14" s="5"/>
      <c r="AC14" s="5">
        <v>0</v>
      </c>
      <c r="AD14" s="5">
        <v>0</v>
      </c>
      <c r="AE14" s="5">
        <v>0</v>
      </c>
      <c r="AF14" s="5">
        <v>0</v>
      </c>
    </row>
    <row r="15" spans="1:32" x14ac:dyDescent="0.2">
      <c r="A15" s="3" t="str">
        <f>+VLOOKUP(B15,studies!$A$2:$C$102,3)</f>
        <v>Haraden (1992)</v>
      </c>
      <c r="B15" s="87">
        <v>5</v>
      </c>
      <c r="C15" s="33">
        <v>1992</v>
      </c>
      <c r="D15" s="33">
        <v>1</v>
      </c>
      <c r="E15" s="33">
        <v>1984</v>
      </c>
      <c r="F15" s="33">
        <v>1987</v>
      </c>
      <c r="G15" s="114">
        <v>1</v>
      </c>
      <c r="H15" s="7">
        <v>72.59117994842812</v>
      </c>
      <c r="I15" s="33">
        <v>0</v>
      </c>
      <c r="J15" s="5">
        <v>1</v>
      </c>
      <c r="K15" s="5">
        <v>0</v>
      </c>
      <c r="L15" s="7" t="s">
        <v>238</v>
      </c>
      <c r="M15" s="7" t="s">
        <v>238</v>
      </c>
      <c r="N15" s="7" t="s">
        <v>238</v>
      </c>
      <c r="O15" s="33">
        <v>1</v>
      </c>
      <c r="P15" s="33">
        <v>0</v>
      </c>
      <c r="Q15" s="33">
        <v>0</v>
      </c>
      <c r="R15" s="33">
        <v>0</v>
      </c>
      <c r="S15" s="33">
        <v>0</v>
      </c>
      <c r="T15" s="33">
        <v>0</v>
      </c>
      <c r="U15" s="33">
        <v>0</v>
      </c>
      <c r="V15" s="88">
        <v>4</v>
      </c>
      <c r="W15" s="88">
        <v>2</v>
      </c>
      <c r="X15" s="3">
        <v>1</v>
      </c>
      <c r="Y15" s="41">
        <v>2</v>
      </c>
      <c r="Z15" s="41"/>
      <c r="AA15" s="33">
        <v>0</v>
      </c>
      <c r="AB15" s="33"/>
      <c r="AC15" s="33">
        <v>0</v>
      </c>
      <c r="AD15" s="33">
        <v>0</v>
      </c>
      <c r="AE15" s="33">
        <v>0</v>
      </c>
      <c r="AF15" s="33">
        <v>0</v>
      </c>
    </row>
    <row r="16" spans="1:32" x14ac:dyDescent="0.2">
      <c r="A16" s="3" t="str">
        <f>+VLOOKUP(B16,studies!$A$2:$C$102,3)</f>
        <v>Hohmeyer &amp; Gaertner (1992)</v>
      </c>
      <c r="B16" s="87">
        <v>6</v>
      </c>
      <c r="C16" s="5">
        <v>1992</v>
      </c>
      <c r="D16" s="5">
        <v>0</v>
      </c>
      <c r="E16" s="48">
        <v>1990</v>
      </c>
      <c r="F16" s="48">
        <v>1990</v>
      </c>
      <c r="G16" s="115">
        <v>1</v>
      </c>
      <c r="H16" s="7">
        <v>6383.0400952804375</v>
      </c>
      <c r="I16" s="5">
        <v>0</v>
      </c>
      <c r="J16" s="5">
        <v>1</v>
      </c>
      <c r="K16" s="5">
        <v>0</v>
      </c>
      <c r="L16" s="7" t="s">
        <v>238</v>
      </c>
      <c r="M16" s="7" t="s">
        <v>238</v>
      </c>
      <c r="N16" s="7" t="s">
        <v>238</v>
      </c>
      <c r="O16" s="5">
        <v>1</v>
      </c>
      <c r="P16" s="5">
        <v>0</v>
      </c>
      <c r="Q16" s="5">
        <v>0</v>
      </c>
      <c r="R16" s="5">
        <v>1</v>
      </c>
      <c r="S16" s="5">
        <v>0</v>
      </c>
      <c r="T16" s="5">
        <v>0</v>
      </c>
      <c r="U16" s="5">
        <v>0</v>
      </c>
      <c r="V16" s="13">
        <v>0</v>
      </c>
      <c r="W16" s="13">
        <v>2</v>
      </c>
      <c r="X16" s="3"/>
      <c r="Y16" s="41"/>
      <c r="Z16" s="41"/>
      <c r="AA16" s="5">
        <v>0</v>
      </c>
      <c r="AB16" s="5"/>
      <c r="AC16" s="5">
        <v>0</v>
      </c>
      <c r="AD16" s="5">
        <v>0</v>
      </c>
      <c r="AE16" s="5">
        <v>0</v>
      </c>
      <c r="AF16" s="5">
        <v>0</v>
      </c>
    </row>
    <row r="17" spans="1:32" x14ac:dyDescent="0.2">
      <c r="A17" s="3" t="str">
        <f>+VLOOKUP(B17,studies!$A$2:$C$102,3)</f>
        <v>Penner et al. (1992)</v>
      </c>
      <c r="B17" s="87">
        <v>7</v>
      </c>
      <c r="C17" s="5">
        <v>1992</v>
      </c>
      <c r="D17" s="5">
        <v>1</v>
      </c>
      <c r="E17" s="5">
        <v>1989</v>
      </c>
      <c r="F17" s="5">
        <v>1989</v>
      </c>
      <c r="G17" s="113">
        <v>0.25</v>
      </c>
      <c r="H17" s="7">
        <v>65.023091613690866</v>
      </c>
      <c r="I17" s="5">
        <v>0</v>
      </c>
      <c r="J17" s="5">
        <v>1</v>
      </c>
      <c r="K17" s="5">
        <v>0</v>
      </c>
      <c r="L17" s="7" t="s">
        <v>238</v>
      </c>
      <c r="M17" s="7" t="s">
        <v>238</v>
      </c>
      <c r="N17" s="7" t="s">
        <v>238</v>
      </c>
      <c r="O17" s="5">
        <v>0</v>
      </c>
      <c r="P17" s="5">
        <v>0</v>
      </c>
      <c r="Q17" s="5">
        <v>0</v>
      </c>
      <c r="R17" s="5">
        <v>0</v>
      </c>
      <c r="S17" s="5">
        <v>0</v>
      </c>
      <c r="T17" s="5">
        <v>1</v>
      </c>
      <c r="U17" s="5">
        <v>0</v>
      </c>
      <c r="V17" s="13">
        <v>4</v>
      </c>
      <c r="W17" s="13">
        <v>2</v>
      </c>
      <c r="X17" s="3"/>
      <c r="Y17" s="5"/>
      <c r="Z17" s="5"/>
      <c r="AA17" s="5">
        <v>0</v>
      </c>
      <c r="AB17" s="5"/>
      <c r="AC17" s="5">
        <v>0</v>
      </c>
      <c r="AD17" s="5">
        <v>0</v>
      </c>
      <c r="AE17" s="5">
        <v>0</v>
      </c>
      <c r="AF17" s="5">
        <v>0</v>
      </c>
    </row>
    <row r="18" spans="1:32" x14ac:dyDescent="0.2">
      <c r="A18" s="3" t="str">
        <f>+VLOOKUP(B18,studies!$A$2:$C$102,3)</f>
        <v>Haraden (1993)</v>
      </c>
      <c r="B18" s="87">
        <v>8</v>
      </c>
      <c r="C18" s="5">
        <v>1993</v>
      </c>
      <c r="D18" s="5">
        <v>1</v>
      </c>
      <c r="E18" s="5">
        <v>1989</v>
      </c>
      <c r="F18" s="5">
        <v>1989</v>
      </c>
      <c r="G18" s="113">
        <v>0.25</v>
      </c>
      <c r="H18" s="7">
        <v>7.2161199451306608</v>
      </c>
      <c r="I18" s="5">
        <v>0</v>
      </c>
      <c r="J18" s="5">
        <v>1</v>
      </c>
      <c r="K18" s="5">
        <v>0</v>
      </c>
      <c r="L18" s="7" t="s">
        <v>238</v>
      </c>
      <c r="M18" s="7" t="s">
        <v>238</v>
      </c>
      <c r="N18" s="7" t="s">
        <v>238</v>
      </c>
      <c r="O18" s="5">
        <v>0</v>
      </c>
      <c r="P18" s="5">
        <v>0</v>
      </c>
      <c r="Q18" s="5">
        <v>0</v>
      </c>
      <c r="R18" s="5">
        <v>0</v>
      </c>
      <c r="S18" s="5">
        <v>0</v>
      </c>
      <c r="T18" s="5">
        <v>0</v>
      </c>
      <c r="U18" s="5">
        <v>0</v>
      </c>
      <c r="V18" s="13">
        <v>4</v>
      </c>
      <c r="W18" s="13">
        <v>2</v>
      </c>
      <c r="X18" s="3">
        <v>1.25</v>
      </c>
      <c r="Y18" s="41">
        <v>1.6</v>
      </c>
      <c r="Z18" s="41"/>
      <c r="AA18" s="5">
        <v>0</v>
      </c>
      <c r="AB18" s="5"/>
      <c r="AC18" s="5">
        <v>0</v>
      </c>
      <c r="AD18" s="5">
        <v>0</v>
      </c>
      <c r="AE18" s="5">
        <v>0</v>
      </c>
      <c r="AF18" s="5">
        <v>0</v>
      </c>
    </row>
    <row r="19" spans="1:32" x14ac:dyDescent="0.2">
      <c r="A19" s="3" t="str">
        <f>+VLOOKUP(B19,studies!$A$2:$C$102,3)</f>
        <v>Haraden (1993)</v>
      </c>
      <c r="B19" s="87">
        <v>8</v>
      </c>
      <c r="C19" s="5">
        <v>1993</v>
      </c>
      <c r="D19" s="5">
        <v>1</v>
      </c>
      <c r="E19" s="5">
        <v>1989</v>
      </c>
      <c r="F19" s="5">
        <v>1989</v>
      </c>
      <c r="G19" s="113">
        <v>0.5</v>
      </c>
      <c r="H19" s="7">
        <v>11.623804019723982</v>
      </c>
      <c r="I19" s="5">
        <v>0</v>
      </c>
      <c r="J19" s="5">
        <v>1</v>
      </c>
      <c r="K19" s="5">
        <v>0</v>
      </c>
      <c r="L19" s="7" t="s">
        <v>238</v>
      </c>
      <c r="M19" s="7" t="s">
        <v>238</v>
      </c>
      <c r="N19" s="7" t="s">
        <v>238</v>
      </c>
      <c r="O19" s="5">
        <v>0</v>
      </c>
      <c r="P19" s="5">
        <v>0</v>
      </c>
      <c r="Q19" s="5">
        <v>0</v>
      </c>
      <c r="R19" s="5">
        <v>0</v>
      </c>
      <c r="S19" s="5">
        <v>0</v>
      </c>
      <c r="T19" s="5">
        <v>0</v>
      </c>
      <c r="U19" s="5">
        <v>0</v>
      </c>
      <c r="V19" s="13">
        <v>4</v>
      </c>
      <c r="W19" s="13">
        <v>2</v>
      </c>
      <c r="X19" s="3">
        <v>0.86956521739130443</v>
      </c>
      <c r="Y19" s="41">
        <v>2.2999999999999998</v>
      </c>
      <c r="Z19" s="41"/>
      <c r="AA19" s="5">
        <v>0</v>
      </c>
      <c r="AB19" s="5"/>
      <c r="AC19" s="5">
        <v>0</v>
      </c>
      <c r="AD19" s="5">
        <v>0</v>
      </c>
      <c r="AE19" s="5">
        <v>0</v>
      </c>
      <c r="AF19" s="5">
        <v>0</v>
      </c>
    </row>
    <row r="20" spans="1:32" x14ac:dyDescent="0.2">
      <c r="A20" s="3" t="str">
        <f>+VLOOKUP(B20,studies!$A$2:$C$102,3)</f>
        <v>Haraden (1993)</v>
      </c>
      <c r="B20" s="87">
        <v>8</v>
      </c>
      <c r="C20" s="5">
        <v>1993</v>
      </c>
      <c r="D20" s="5">
        <v>1</v>
      </c>
      <c r="E20" s="5">
        <v>1989</v>
      </c>
      <c r="F20" s="5">
        <v>1989</v>
      </c>
      <c r="G20" s="113">
        <v>0.25</v>
      </c>
      <c r="H20" s="7">
        <v>34.247315199052537</v>
      </c>
      <c r="I20" s="5">
        <v>0</v>
      </c>
      <c r="J20" s="5">
        <v>1</v>
      </c>
      <c r="K20" s="5">
        <v>0</v>
      </c>
      <c r="L20" s="7" t="s">
        <v>238</v>
      </c>
      <c r="M20" s="7" t="s">
        <v>238</v>
      </c>
      <c r="N20" s="7" t="s">
        <v>238</v>
      </c>
      <c r="O20" s="5">
        <v>0</v>
      </c>
      <c r="P20" s="5">
        <v>0</v>
      </c>
      <c r="Q20" s="5">
        <v>0</v>
      </c>
      <c r="R20" s="5">
        <v>0</v>
      </c>
      <c r="S20" s="5">
        <v>0</v>
      </c>
      <c r="T20" s="5">
        <v>0</v>
      </c>
      <c r="U20" s="5">
        <v>0</v>
      </c>
      <c r="V20" s="13">
        <v>4</v>
      </c>
      <c r="W20" s="13">
        <v>2</v>
      </c>
      <c r="X20" s="3">
        <v>0.5</v>
      </c>
      <c r="Y20" s="41">
        <v>4</v>
      </c>
      <c r="Z20" s="41"/>
      <c r="AA20" s="5">
        <v>0</v>
      </c>
      <c r="AB20" s="5"/>
      <c r="AC20" s="5">
        <v>0</v>
      </c>
      <c r="AD20" s="5">
        <v>0</v>
      </c>
      <c r="AE20" s="5">
        <v>0</v>
      </c>
      <c r="AF20" s="5">
        <v>0</v>
      </c>
    </row>
    <row r="21" spans="1:32" x14ac:dyDescent="0.2">
      <c r="A21" s="3" t="str">
        <f>+VLOOKUP(B21,studies!$A$2:$C$102,3)</f>
        <v>Nordhaus (1993)</v>
      </c>
      <c r="B21" s="87">
        <v>9</v>
      </c>
      <c r="C21" s="5">
        <v>1993</v>
      </c>
      <c r="D21" s="5">
        <v>1</v>
      </c>
      <c r="E21" s="5">
        <v>1989</v>
      </c>
      <c r="F21" s="5">
        <v>1990</v>
      </c>
      <c r="G21" s="113">
        <v>1</v>
      </c>
      <c r="H21" s="7">
        <v>18.914500577117963</v>
      </c>
      <c r="I21" s="5">
        <v>0</v>
      </c>
      <c r="J21" s="5">
        <v>1</v>
      </c>
      <c r="K21" s="5">
        <v>0</v>
      </c>
      <c r="L21" s="7" t="s">
        <v>238</v>
      </c>
      <c r="M21" s="7" t="s">
        <v>238</v>
      </c>
      <c r="N21" s="7" t="s">
        <v>238</v>
      </c>
      <c r="O21" s="5">
        <v>0</v>
      </c>
      <c r="P21" s="5">
        <v>1</v>
      </c>
      <c r="Q21" s="5">
        <v>0</v>
      </c>
      <c r="R21" s="5">
        <v>1</v>
      </c>
      <c r="S21" s="5">
        <v>0</v>
      </c>
      <c r="T21" s="5">
        <v>1</v>
      </c>
      <c r="U21" s="5">
        <v>0</v>
      </c>
      <c r="V21" s="13">
        <v>5</v>
      </c>
      <c r="W21" s="13">
        <v>3</v>
      </c>
      <c r="X21" s="5"/>
      <c r="Y21" s="5"/>
      <c r="Z21" s="5"/>
      <c r="AA21" s="5">
        <v>0</v>
      </c>
      <c r="AB21" s="5"/>
      <c r="AC21" s="5">
        <v>0</v>
      </c>
      <c r="AD21" s="5">
        <v>1</v>
      </c>
      <c r="AE21" s="5">
        <v>0</v>
      </c>
      <c r="AF21" s="5">
        <v>1</v>
      </c>
    </row>
    <row r="22" spans="1:32" x14ac:dyDescent="0.2">
      <c r="A22" s="3" t="str">
        <f>+VLOOKUP(B22,studies!$A$2:$C$102,3)</f>
        <v>Parry (1993)</v>
      </c>
      <c r="B22" s="87">
        <v>10</v>
      </c>
      <c r="C22" s="5">
        <v>1993</v>
      </c>
      <c r="D22" s="5">
        <v>1</v>
      </c>
      <c r="E22" s="5">
        <v>1991</v>
      </c>
      <c r="F22" s="5">
        <v>1990</v>
      </c>
      <c r="G22" s="113">
        <v>8.9285714285714281E-3</v>
      </c>
      <c r="H22" s="7">
        <v>2.525636689886334E-2</v>
      </c>
      <c r="I22" s="5">
        <v>0</v>
      </c>
      <c r="J22" s="5">
        <v>1</v>
      </c>
      <c r="K22" s="5">
        <v>0</v>
      </c>
      <c r="L22" s="7" t="s">
        <v>238</v>
      </c>
      <c r="M22" s="7" t="s">
        <v>238</v>
      </c>
      <c r="N22" s="7" t="s">
        <v>238</v>
      </c>
      <c r="O22" s="5">
        <v>0</v>
      </c>
      <c r="P22" s="5">
        <v>1</v>
      </c>
      <c r="Q22" s="5">
        <v>0</v>
      </c>
      <c r="R22" s="5">
        <v>0</v>
      </c>
      <c r="S22" s="5">
        <v>0</v>
      </c>
      <c r="T22" s="5">
        <v>1</v>
      </c>
      <c r="U22" s="5">
        <v>0</v>
      </c>
      <c r="V22" s="13"/>
      <c r="W22" s="13">
        <v>0</v>
      </c>
      <c r="X22" s="5"/>
      <c r="Y22" s="5"/>
      <c r="Z22" s="5"/>
      <c r="AA22" s="5">
        <v>0</v>
      </c>
      <c r="AB22" s="5"/>
      <c r="AC22" s="5">
        <v>0</v>
      </c>
      <c r="AD22" s="5">
        <v>0</v>
      </c>
      <c r="AE22" s="5">
        <v>0</v>
      </c>
      <c r="AF22" s="5">
        <v>0</v>
      </c>
    </row>
    <row r="23" spans="1:32" x14ac:dyDescent="0.2">
      <c r="A23" s="3" t="str">
        <f>+VLOOKUP(B23,studies!$A$2:$C$102,3)</f>
        <v>Parry (1993)</v>
      </c>
      <c r="B23" s="87">
        <v>10</v>
      </c>
      <c r="C23" s="5">
        <v>1993</v>
      </c>
      <c r="D23" s="5">
        <v>1</v>
      </c>
      <c r="E23" s="5">
        <v>1991</v>
      </c>
      <c r="F23" s="5">
        <v>1990</v>
      </c>
      <c r="G23" s="113">
        <v>8.9285714285714281E-3</v>
      </c>
      <c r="H23" s="7">
        <v>0.15153820139318003</v>
      </c>
      <c r="I23" s="5">
        <v>0</v>
      </c>
      <c r="J23" s="5">
        <v>1</v>
      </c>
      <c r="K23" s="5">
        <v>0</v>
      </c>
      <c r="L23" s="7" t="s">
        <v>238</v>
      </c>
      <c r="M23" s="7" t="s">
        <v>238</v>
      </c>
      <c r="N23" s="7" t="s">
        <v>238</v>
      </c>
      <c r="O23" s="5">
        <v>0</v>
      </c>
      <c r="P23" s="5">
        <v>1</v>
      </c>
      <c r="Q23" s="5">
        <v>0</v>
      </c>
      <c r="R23" s="5">
        <v>0</v>
      </c>
      <c r="S23" s="5">
        <v>0</v>
      </c>
      <c r="T23" s="5">
        <v>1</v>
      </c>
      <c r="U23" s="5">
        <v>0</v>
      </c>
      <c r="V23" s="13"/>
      <c r="W23" s="13">
        <v>0</v>
      </c>
      <c r="X23" s="5"/>
      <c r="Y23" s="5"/>
      <c r="Z23" s="5"/>
      <c r="AA23" s="5">
        <v>0</v>
      </c>
      <c r="AB23" s="5"/>
      <c r="AC23" s="5">
        <v>0</v>
      </c>
      <c r="AD23" s="5">
        <v>0</v>
      </c>
      <c r="AE23" s="5">
        <v>0</v>
      </c>
      <c r="AF23" s="5">
        <v>0</v>
      </c>
    </row>
    <row r="24" spans="1:32" x14ac:dyDescent="0.2">
      <c r="A24" s="3" t="str">
        <f>+VLOOKUP(B24,studies!$A$2:$C$102,3)</f>
        <v>Parry (1993)</v>
      </c>
      <c r="B24" s="87">
        <v>10</v>
      </c>
      <c r="C24" s="5">
        <v>1993</v>
      </c>
      <c r="D24" s="5">
        <v>1</v>
      </c>
      <c r="E24" s="5">
        <v>1991</v>
      </c>
      <c r="F24" s="5">
        <v>1990</v>
      </c>
      <c r="G24" s="113">
        <v>1.7857142857142856E-2</v>
      </c>
      <c r="H24" s="7">
        <v>3.7884550348295007E-2</v>
      </c>
      <c r="I24" s="5">
        <v>0</v>
      </c>
      <c r="J24" s="5">
        <v>1</v>
      </c>
      <c r="K24" s="5">
        <v>0</v>
      </c>
      <c r="L24" s="7" t="s">
        <v>238</v>
      </c>
      <c r="M24" s="7" t="s">
        <v>238</v>
      </c>
      <c r="N24" s="7" t="s">
        <v>238</v>
      </c>
      <c r="O24" s="5">
        <v>0</v>
      </c>
      <c r="P24" s="5">
        <v>1</v>
      </c>
      <c r="Q24" s="5">
        <v>0</v>
      </c>
      <c r="R24" s="5">
        <v>0</v>
      </c>
      <c r="S24" s="5">
        <v>0</v>
      </c>
      <c r="T24" s="5">
        <v>1</v>
      </c>
      <c r="U24" s="5">
        <v>0</v>
      </c>
      <c r="V24" s="13"/>
      <c r="W24" s="13">
        <v>0</v>
      </c>
      <c r="X24" s="5"/>
      <c r="Y24" s="5"/>
      <c r="Z24" s="5"/>
      <c r="AA24" s="5">
        <v>0</v>
      </c>
      <c r="AB24" s="5"/>
      <c r="AC24" s="5">
        <v>0</v>
      </c>
      <c r="AD24" s="5">
        <v>0</v>
      </c>
      <c r="AE24" s="5">
        <v>0</v>
      </c>
      <c r="AF24" s="5">
        <v>0</v>
      </c>
    </row>
    <row r="25" spans="1:32" x14ac:dyDescent="0.2">
      <c r="A25" s="3" t="str">
        <f>+VLOOKUP(B25,studies!$A$2:$C$102,3)</f>
        <v>Parry (1993)</v>
      </c>
      <c r="B25" s="87">
        <v>10</v>
      </c>
      <c r="C25" s="5">
        <v>1993</v>
      </c>
      <c r="D25" s="5">
        <v>1</v>
      </c>
      <c r="E25" s="5">
        <v>1991</v>
      </c>
      <c r="F25" s="5">
        <v>1990</v>
      </c>
      <c r="G25" s="113">
        <v>1.7857142857142856E-2</v>
      </c>
      <c r="H25" s="7">
        <v>0.22730730208977004</v>
      </c>
      <c r="I25" s="5">
        <v>0</v>
      </c>
      <c r="J25" s="5">
        <v>1</v>
      </c>
      <c r="K25" s="5">
        <v>0</v>
      </c>
      <c r="L25" s="7" t="s">
        <v>238</v>
      </c>
      <c r="M25" s="7" t="s">
        <v>238</v>
      </c>
      <c r="N25" s="7" t="s">
        <v>238</v>
      </c>
      <c r="O25" s="5">
        <v>0</v>
      </c>
      <c r="P25" s="5">
        <v>1</v>
      </c>
      <c r="Q25" s="5">
        <v>0</v>
      </c>
      <c r="R25" s="5">
        <v>0</v>
      </c>
      <c r="S25" s="5">
        <v>0</v>
      </c>
      <c r="T25" s="5">
        <v>1</v>
      </c>
      <c r="U25" s="5">
        <v>0</v>
      </c>
      <c r="V25" s="13"/>
      <c r="W25" s="13">
        <v>0</v>
      </c>
      <c r="X25" s="5"/>
      <c r="Y25" s="5"/>
      <c r="Z25" s="5"/>
      <c r="AA25" s="5">
        <v>0</v>
      </c>
      <c r="AB25" s="5"/>
      <c r="AC25" s="5">
        <v>0</v>
      </c>
      <c r="AD25" s="5">
        <v>0</v>
      </c>
      <c r="AE25" s="5">
        <v>0</v>
      </c>
      <c r="AF25" s="5">
        <v>0</v>
      </c>
    </row>
    <row r="26" spans="1:32" x14ac:dyDescent="0.2">
      <c r="A26" s="3" t="str">
        <f>+VLOOKUP(B26,studies!$A$2:$C$102,3)</f>
        <v>Parry (1993)</v>
      </c>
      <c r="B26" s="87">
        <v>10</v>
      </c>
      <c r="C26" s="5">
        <v>1993</v>
      </c>
      <c r="D26" s="5">
        <v>1</v>
      </c>
      <c r="E26" s="5">
        <v>1991</v>
      </c>
      <c r="F26" s="5">
        <v>1990</v>
      </c>
      <c r="G26" s="113">
        <v>1.7857142857142856E-2</v>
      </c>
      <c r="H26" s="7">
        <v>7.5769100696590014E-2</v>
      </c>
      <c r="I26" s="5">
        <v>0</v>
      </c>
      <c r="J26" s="5">
        <v>1</v>
      </c>
      <c r="K26" s="5">
        <v>0</v>
      </c>
      <c r="L26" s="7" t="s">
        <v>238</v>
      </c>
      <c r="M26" s="7" t="s">
        <v>238</v>
      </c>
      <c r="N26" s="7" t="s">
        <v>238</v>
      </c>
      <c r="O26" s="5">
        <v>0</v>
      </c>
      <c r="P26" s="5">
        <v>1</v>
      </c>
      <c r="Q26" s="5">
        <v>0</v>
      </c>
      <c r="R26" s="5">
        <v>0</v>
      </c>
      <c r="S26" s="5">
        <v>0</v>
      </c>
      <c r="T26" s="5">
        <v>1</v>
      </c>
      <c r="U26" s="5">
        <v>0</v>
      </c>
      <c r="V26" s="13"/>
      <c r="W26" s="13">
        <v>0</v>
      </c>
      <c r="X26" s="5"/>
      <c r="Y26" s="5"/>
      <c r="Z26" s="5"/>
      <c r="AA26" s="5">
        <v>0</v>
      </c>
      <c r="AB26" s="5"/>
      <c r="AC26" s="5">
        <v>0</v>
      </c>
      <c r="AD26" s="5">
        <v>0</v>
      </c>
      <c r="AE26" s="5">
        <v>0</v>
      </c>
      <c r="AF26" s="5">
        <v>0</v>
      </c>
    </row>
    <row r="27" spans="1:32" x14ac:dyDescent="0.2">
      <c r="A27" s="3" t="str">
        <f>+VLOOKUP(B27,studies!$A$2:$C$102,3)</f>
        <v>Parry (1993)</v>
      </c>
      <c r="B27" s="87">
        <v>10</v>
      </c>
      <c r="C27" s="5">
        <v>1993</v>
      </c>
      <c r="D27" s="5">
        <v>1</v>
      </c>
      <c r="E27" s="5">
        <v>1991</v>
      </c>
      <c r="F27" s="5">
        <v>1990</v>
      </c>
      <c r="G27" s="113">
        <v>1.7857142857142856E-2</v>
      </c>
      <c r="H27" s="7">
        <v>0.45461460417954008</v>
      </c>
      <c r="I27" s="5">
        <v>0</v>
      </c>
      <c r="J27" s="5">
        <v>1</v>
      </c>
      <c r="K27" s="5">
        <v>0</v>
      </c>
      <c r="L27" s="7" t="s">
        <v>238</v>
      </c>
      <c r="M27" s="7" t="s">
        <v>238</v>
      </c>
      <c r="N27" s="7" t="s">
        <v>238</v>
      </c>
      <c r="O27" s="5">
        <v>0</v>
      </c>
      <c r="P27" s="5">
        <v>1</v>
      </c>
      <c r="Q27" s="5">
        <v>0</v>
      </c>
      <c r="R27" s="5">
        <v>0</v>
      </c>
      <c r="S27" s="5">
        <v>0</v>
      </c>
      <c r="T27" s="5">
        <v>1</v>
      </c>
      <c r="U27" s="5">
        <v>0</v>
      </c>
      <c r="V27" s="13"/>
      <c r="W27" s="13">
        <v>0</v>
      </c>
      <c r="X27" s="5"/>
      <c r="Y27" s="5"/>
      <c r="Z27" s="5"/>
      <c r="AA27" s="5">
        <v>0</v>
      </c>
      <c r="AB27" s="5"/>
      <c r="AC27" s="5">
        <v>0</v>
      </c>
      <c r="AD27" s="5">
        <v>0</v>
      </c>
      <c r="AE27" s="5">
        <v>0</v>
      </c>
      <c r="AF27" s="5">
        <v>0</v>
      </c>
    </row>
    <row r="28" spans="1:32" x14ac:dyDescent="0.2">
      <c r="A28" s="3" t="str">
        <f>+VLOOKUP(B28,studies!$A$2:$C$102,3)</f>
        <v>Parry (1993)</v>
      </c>
      <c r="B28" s="87">
        <v>10</v>
      </c>
      <c r="C28" s="5">
        <v>1993</v>
      </c>
      <c r="D28" s="5">
        <v>1</v>
      </c>
      <c r="E28" s="5">
        <v>1991</v>
      </c>
      <c r="F28" s="5">
        <v>1990</v>
      </c>
      <c r="G28" s="113">
        <v>8.9285714285714281E-3</v>
      </c>
      <c r="H28" s="7">
        <v>0.13891001794374835</v>
      </c>
      <c r="I28" s="5">
        <v>0</v>
      </c>
      <c r="J28" s="5">
        <v>1</v>
      </c>
      <c r="K28" s="5">
        <v>0</v>
      </c>
      <c r="L28" s="7" t="s">
        <v>238</v>
      </c>
      <c r="M28" s="7" t="s">
        <v>238</v>
      </c>
      <c r="N28" s="7" t="s">
        <v>238</v>
      </c>
      <c r="O28" s="5">
        <v>0</v>
      </c>
      <c r="P28" s="5">
        <v>1</v>
      </c>
      <c r="Q28" s="5">
        <v>0</v>
      </c>
      <c r="R28" s="5">
        <v>0</v>
      </c>
      <c r="S28" s="5">
        <v>0</v>
      </c>
      <c r="T28" s="5">
        <v>1</v>
      </c>
      <c r="U28" s="5">
        <v>0</v>
      </c>
      <c r="V28" s="13"/>
      <c r="W28" s="13">
        <v>0</v>
      </c>
      <c r="X28" s="5"/>
      <c r="Y28" s="5"/>
      <c r="Z28" s="5"/>
      <c r="AA28" s="5">
        <v>0</v>
      </c>
      <c r="AB28" s="5"/>
      <c r="AC28" s="5">
        <v>0</v>
      </c>
      <c r="AD28" s="5">
        <v>0</v>
      </c>
      <c r="AE28" s="5">
        <v>0</v>
      </c>
      <c r="AF28" s="5">
        <v>0</v>
      </c>
    </row>
    <row r="29" spans="1:32" x14ac:dyDescent="0.2">
      <c r="A29" s="3" t="str">
        <f>+VLOOKUP(B29,studies!$A$2:$C$102,3)</f>
        <v>Parry (1993)</v>
      </c>
      <c r="B29" s="87">
        <v>10</v>
      </c>
      <c r="C29" s="5">
        <v>1993</v>
      </c>
      <c r="D29" s="5">
        <v>1</v>
      </c>
      <c r="E29" s="5">
        <v>1991</v>
      </c>
      <c r="F29" s="5">
        <v>1990</v>
      </c>
      <c r="G29" s="113">
        <v>8.9285714285714281E-3</v>
      </c>
      <c r="H29" s="7">
        <v>0.83346010766249012</v>
      </c>
      <c r="I29" s="5">
        <v>0</v>
      </c>
      <c r="J29" s="5">
        <v>1</v>
      </c>
      <c r="K29" s="5">
        <v>0</v>
      </c>
      <c r="L29" s="7" t="s">
        <v>238</v>
      </c>
      <c r="M29" s="7" t="s">
        <v>238</v>
      </c>
      <c r="N29" s="7" t="s">
        <v>238</v>
      </c>
      <c r="O29" s="5">
        <v>0</v>
      </c>
      <c r="P29" s="5">
        <v>1</v>
      </c>
      <c r="Q29" s="5">
        <v>0</v>
      </c>
      <c r="R29" s="5">
        <v>0</v>
      </c>
      <c r="S29" s="5">
        <v>0</v>
      </c>
      <c r="T29" s="5">
        <v>1</v>
      </c>
      <c r="U29" s="5">
        <v>0</v>
      </c>
      <c r="V29" s="13"/>
      <c r="W29" s="13">
        <v>0</v>
      </c>
      <c r="X29" s="5"/>
      <c r="Y29" s="5"/>
      <c r="Z29" s="5"/>
      <c r="AA29" s="5">
        <v>0</v>
      </c>
      <c r="AB29" s="5"/>
      <c r="AC29" s="5">
        <v>0</v>
      </c>
      <c r="AD29" s="5">
        <v>0</v>
      </c>
      <c r="AE29" s="5">
        <v>0</v>
      </c>
      <c r="AF29" s="5">
        <v>0</v>
      </c>
    </row>
    <row r="30" spans="1:32" x14ac:dyDescent="0.2">
      <c r="A30" s="3" t="str">
        <f>+VLOOKUP(B30,studies!$A$2:$C$102,3)</f>
        <v>Parry (1993)</v>
      </c>
      <c r="B30" s="87">
        <v>10</v>
      </c>
      <c r="C30" s="5">
        <v>1993</v>
      </c>
      <c r="D30" s="5">
        <v>1</v>
      </c>
      <c r="E30" s="5">
        <v>1991</v>
      </c>
      <c r="F30" s="5">
        <v>1990</v>
      </c>
      <c r="G30" s="113">
        <v>8.9285714285714281E-3</v>
      </c>
      <c r="H30" s="7">
        <v>0.34096095313465508</v>
      </c>
      <c r="I30" s="5">
        <v>0</v>
      </c>
      <c r="J30" s="5">
        <v>1</v>
      </c>
      <c r="K30" s="5">
        <v>0</v>
      </c>
      <c r="L30" s="7" t="s">
        <v>238</v>
      </c>
      <c r="M30" s="7" t="s">
        <v>238</v>
      </c>
      <c r="N30" s="7" t="s">
        <v>238</v>
      </c>
      <c r="O30" s="5">
        <v>0</v>
      </c>
      <c r="P30" s="5">
        <v>1</v>
      </c>
      <c r="Q30" s="5">
        <v>0</v>
      </c>
      <c r="R30" s="5">
        <v>0</v>
      </c>
      <c r="S30" s="5">
        <v>0</v>
      </c>
      <c r="T30" s="5">
        <v>1</v>
      </c>
      <c r="U30" s="5">
        <v>0</v>
      </c>
      <c r="V30" s="13"/>
      <c r="W30" s="13">
        <v>0</v>
      </c>
      <c r="X30" s="5"/>
      <c r="Y30" s="5"/>
      <c r="Z30" s="5"/>
      <c r="AA30" s="5">
        <v>0</v>
      </c>
      <c r="AB30" s="5"/>
      <c r="AC30" s="5">
        <v>0</v>
      </c>
      <c r="AD30" s="5">
        <v>0</v>
      </c>
      <c r="AE30" s="5">
        <v>0</v>
      </c>
      <c r="AF30" s="5">
        <v>0</v>
      </c>
    </row>
    <row r="31" spans="1:32" x14ac:dyDescent="0.2">
      <c r="A31" s="3" t="str">
        <f>+VLOOKUP(B31,studies!$A$2:$C$102,3)</f>
        <v>Parry (1993)</v>
      </c>
      <c r="B31" s="87">
        <v>10</v>
      </c>
      <c r="C31" s="5">
        <v>1993</v>
      </c>
      <c r="D31" s="5">
        <v>1</v>
      </c>
      <c r="E31" s="5">
        <v>1991</v>
      </c>
      <c r="F31" s="5">
        <v>1990</v>
      </c>
      <c r="G31" s="113">
        <v>8.9285714285714281E-3</v>
      </c>
      <c r="H31" s="7">
        <v>2.0457657188079303</v>
      </c>
      <c r="I31" s="5">
        <v>0</v>
      </c>
      <c r="J31" s="5">
        <v>1</v>
      </c>
      <c r="K31" s="5">
        <v>0</v>
      </c>
      <c r="L31" s="7" t="s">
        <v>238</v>
      </c>
      <c r="M31" s="7" t="s">
        <v>238</v>
      </c>
      <c r="N31" s="7" t="s">
        <v>238</v>
      </c>
      <c r="O31" s="5">
        <v>0</v>
      </c>
      <c r="P31" s="5">
        <v>1</v>
      </c>
      <c r="Q31" s="5">
        <v>0</v>
      </c>
      <c r="R31" s="5">
        <v>0</v>
      </c>
      <c r="S31" s="5">
        <v>0</v>
      </c>
      <c r="T31" s="5">
        <v>1</v>
      </c>
      <c r="U31" s="5">
        <v>0</v>
      </c>
      <c r="V31" s="13"/>
      <c r="W31" s="13">
        <v>0</v>
      </c>
      <c r="X31" s="5"/>
      <c r="Y31" s="5"/>
      <c r="Z31" s="5"/>
      <c r="AA31" s="5">
        <v>0</v>
      </c>
      <c r="AB31" s="5"/>
      <c r="AC31" s="5">
        <v>0</v>
      </c>
      <c r="AD31" s="5">
        <v>0</v>
      </c>
      <c r="AE31" s="5">
        <v>0</v>
      </c>
      <c r="AF31" s="5">
        <v>0</v>
      </c>
    </row>
    <row r="32" spans="1:32" x14ac:dyDescent="0.2">
      <c r="A32" s="3" t="str">
        <f>+VLOOKUP(B32,studies!$A$2:$C$102,3)</f>
        <v>Parry (1993)</v>
      </c>
      <c r="B32" s="87">
        <v>10</v>
      </c>
      <c r="C32" s="5">
        <v>1993</v>
      </c>
      <c r="D32" s="5">
        <v>1</v>
      </c>
      <c r="E32" s="5">
        <v>1991</v>
      </c>
      <c r="F32" s="5">
        <v>1990</v>
      </c>
      <c r="G32" s="113">
        <v>8.9285714285714281E-3</v>
      </c>
      <c r="H32" s="7">
        <v>5.051273379772668E-2</v>
      </c>
      <c r="I32" s="5">
        <v>0</v>
      </c>
      <c r="J32" s="5">
        <v>1</v>
      </c>
      <c r="K32" s="5">
        <v>0</v>
      </c>
      <c r="L32" s="7" t="s">
        <v>238</v>
      </c>
      <c r="M32" s="7" t="s">
        <v>238</v>
      </c>
      <c r="N32" s="7" t="s">
        <v>238</v>
      </c>
      <c r="O32" s="5">
        <v>0</v>
      </c>
      <c r="P32" s="5">
        <v>1</v>
      </c>
      <c r="Q32" s="5">
        <v>0</v>
      </c>
      <c r="R32" s="5">
        <v>0</v>
      </c>
      <c r="S32" s="5">
        <v>0</v>
      </c>
      <c r="T32" s="5">
        <v>1</v>
      </c>
      <c r="U32" s="5">
        <v>0</v>
      </c>
      <c r="V32" s="13"/>
      <c r="W32" s="13">
        <v>0</v>
      </c>
      <c r="X32" s="5"/>
      <c r="Y32" s="5"/>
      <c r="Z32" s="5"/>
      <c r="AA32" s="5">
        <v>0</v>
      </c>
      <c r="AB32" s="5"/>
      <c r="AC32" s="5">
        <v>0</v>
      </c>
      <c r="AD32" s="5">
        <v>0</v>
      </c>
      <c r="AE32" s="5">
        <v>0</v>
      </c>
      <c r="AF32" s="5">
        <v>0</v>
      </c>
    </row>
    <row r="33" spans="1:32" x14ac:dyDescent="0.2">
      <c r="A33" s="3" t="str">
        <f>+VLOOKUP(B33,studies!$A$2:$C$102,3)</f>
        <v>Parry (1993)</v>
      </c>
      <c r="B33" s="87">
        <v>10</v>
      </c>
      <c r="C33" s="5">
        <v>1993</v>
      </c>
      <c r="D33" s="5">
        <v>1</v>
      </c>
      <c r="E33" s="5">
        <v>1991</v>
      </c>
      <c r="F33" s="5">
        <v>1990</v>
      </c>
      <c r="G33" s="113">
        <v>8.9285714285714281E-3</v>
      </c>
      <c r="H33" s="7">
        <v>0.30307640278636006</v>
      </c>
      <c r="I33" s="5">
        <v>0</v>
      </c>
      <c r="J33" s="5">
        <v>1</v>
      </c>
      <c r="K33" s="5">
        <v>0</v>
      </c>
      <c r="L33" s="7" t="s">
        <v>238</v>
      </c>
      <c r="M33" s="7" t="s">
        <v>238</v>
      </c>
      <c r="N33" s="7" t="s">
        <v>238</v>
      </c>
      <c r="O33" s="5">
        <v>0</v>
      </c>
      <c r="P33" s="5">
        <v>1</v>
      </c>
      <c r="Q33" s="5">
        <v>0</v>
      </c>
      <c r="R33" s="5">
        <v>0</v>
      </c>
      <c r="S33" s="5">
        <v>0</v>
      </c>
      <c r="T33" s="5">
        <v>1</v>
      </c>
      <c r="U33" s="5">
        <v>0</v>
      </c>
      <c r="V33" s="13"/>
      <c r="W33" s="13">
        <v>0</v>
      </c>
      <c r="X33" s="5"/>
      <c r="Y33" s="5"/>
      <c r="Z33" s="5"/>
      <c r="AA33" s="5">
        <v>0</v>
      </c>
      <c r="AB33" s="5"/>
      <c r="AC33" s="5">
        <v>0</v>
      </c>
      <c r="AD33" s="5">
        <v>0</v>
      </c>
      <c r="AE33" s="5">
        <v>0</v>
      </c>
      <c r="AF33" s="5">
        <v>0</v>
      </c>
    </row>
    <row r="34" spans="1:32" x14ac:dyDescent="0.2">
      <c r="A34" s="3" t="str">
        <f>+VLOOKUP(B34,studies!$A$2:$C$102,3)</f>
        <v>Parry (1993)</v>
      </c>
      <c r="B34" s="87">
        <v>10</v>
      </c>
      <c r="C34" s="5">
        <v>1993</v>
      </c>
      <c r="D34" s="5">
        <v>1</v>
      </c>
      <c r="E34" s="5">
        <v>1991</v>
      </c>
      <c r="F34" s="5">
        <v>1990</v>
      </c>
      <c r="G34" s="113">
        <v>1.7857142857142856E-2</v>
      </c>
      <c r="H34" s="7">
        <v>7.5769100696590014E-2</v>
      </c>
      <c r="I34" s="5">
        <v>0</v>
      </c>
      <c r="J34" s="5">
        <v>1</v>
      </c>
      <c r="K34" s="5">
        <v>0</v>
      </c>
      <c r="L34" s="7" t="s">
        <v>238</v>
      </c>
      <c r="M34" s="7" t="s">
        <v>238</v>
      </c>
      <c r="N34" s="7" t="s">
        <v>238</v>
      </c>
      <c r="O34" s="5">
        <v>0</v>
      </c>
      <c r="P34" s="5">
        <v>1</v>
      </c>
      <c r="Q34" s="5">
        <v>0</v>
      </c>
      <c r="R34" s="5">
        <v>0</v>
      </c>
      <c r="S34" s="5">
        <v>0</v>
      </c>
      <c r="T34" s="5">
        <v>1</v>
      </c>
      <c r="U34" s="5">
        <v>0</v>
      </c>
      <c r="V34" s="13"/>
      <c r="W34" s="13">
        <v>0</v>
      </c>
      <c r="X34" s="5"/>
      <c r="Y34" s="5"/>
      <c r="Z34" s="5"/>
      <c r="AA34" s="5">
        <v>0</v>
      </c>
      <c r="AB34" s="5"/>
      <c r="AC34" s="5">
        <v>0</v>
      </c>
      <c r="AD34" s="5">
        <v>0</v>
      </c>
      <c r="AE34" s="5">
        <v>0</v>
      </c>
      <c r="AF34" s="5">
        <v>0</v>
      </c>
    </row>
    <row r="35" spans="1:32" x14ac:dyDescent="0.2">
      <c r="A35" s="3" t="str">
        <f>+VLOOKUP(B35,studies!$A$2:$C$102,3)</f>
        <v>Parry (1993)</v>
      </c>
      <c r="B35" s="87">
        <v>10</v>
      </c>
      <c r="C35" s="5">
        <v>1993</v>
      </c>
      <c r="D35" s="5">
        <v>1</v>
      </c>
      <c r="E35" s="5">
        <v>1991</v>
      </c>
      <c r="F35" s="5">
        <v>1990</v>
      </c>
      <c r="G35" s="113">
        <v>1.7857142857142856E-2</v>
      </c>
      <c r="H35" s="7">
        <v>0.45461460417954008</v>
      </c>
      <c r="I35" s="5">
        <v>0</v>
      </c>
      <c r="J35" s="5">
        <v>1</v>
      </c>
      <c r="K35" s="5">
        <v>0</v>
      </c>
      <c r="L35" s="7" t="s">
        <v>238</v>
      </c>
      <c r="M35" s="7" t="s">
        <v>238</v>
      </c>
      <c r="N35" s="7" t="s">
        <v>238</v>
      </c>
      <c r="O35" s="5">
        <v>0</v>
      </c>
      <c r="P35" s="5">
        <v>1</v>
      </c>
      <c r="Q35" s="5">
        <v>0</v>
      </c>
      <c r="R35" s="5">
        <v>0</v>
      </c>
      <c r="S35" s="5">
        <v>0</v>
      </c>
      <c r="T35" s="5">
        <v>1</v>
      </c>
      <c r="U35" s="5">
        <v>0</v>
      </c>
      <c r="V35" s="13"/>
      <c r="W35" s="13">
        <v>0</v>
      </c>
      <c r="X35" s="5"/>
      <c r="Y35" s="5"/>
      <c r="Z35" s="5"/>
      <c r="AA35" s="5">
        <v>0</v>
      </c>
      <c r="AB35" s="5"/>
      <c r="AC35" s="5">
        <v>0</v>
      </c>
      <c r="AD35" s="5">
        <v>0</v>
      </c>
      <c r="AE35" s="5">
        <v>0</v>
      </c>
      <c r="AF35" s="5">
        <v>0</v>
      </c>
    </row>
    <row r="36" spans="1:32" x14ac:dyDescent="0.2">
      <c r="A36" s="3" t="str">
        <f>+VLOOKUP(B36,studies!$A$2:$C$102,3)</f>
        <v>Parry (1993)</v>
      </c>
      <c r="B36" s="87">
        <v>10</v>
      </c>
      <c r="C36" s="5">
        <v>1993</v>
      </c>
      <c r="D36" s="5">
        <v>1</v>
      </c>
      <c r="E36" s="5">
        <v>1991</v>
      </c>
      <c r="F36" s="5">
        <v>1990</v>
      </c>
      <c r="G36" s="113">
        <v>1.7857142857142856E-2</v>
      </c>
      <c r="H36" s="7">
        <v>0.13891001794374835</v>
      </c>
      <c r="I36" s="5">
        <v>0</v>
      </c>
      <c r="J36" s="5">
        <v>1</v>
      </c>
      <c r="K36" s="5">
        <v>0</v>
      </c>
      <c r="L36" s="7" t="s">
        <v>238</v>
      </c>
      <c r="M36" s="7" t="s">
        <v>238</v>
      </c>
      <c r="N36" s="7" t="s">
        <v>238</v>
      </c>
      <c r="O36" s="5">
        <v>0</v>
      </c>
      <c r="P36" s="5">
        <v>1</v>
      </c>
      <c r="Q36" s="5">
        <v>0</v>
      </c>
      <c r="R36" s="5">
        <v>0</v>
      </c>
      <c r="S36" s="5">
        <v>0</v>
      </c>
      <c r="T36" s="5">
        <v>1</v>
      </c>
      <c r="U36" s="5">
        <v>0</v>
      </c>
      <c r="V36" s="13"/>
      <c r="W36" s="13">
        <v>0</v>
      </c>
      <c r="X36" s="5"/>
      <c r="Y36" s="5"/>
      <c r="Z36" s="5"/>
      <c r="AA36" s="5">
        <v>0</v>
      </c>
      <c r="AB36" s="5"/>
      <c r="AC36" s="5">
        <v>0</v>
      </c>
      <c r="AD36" s="5">
        <v>0</v>
      </c>
      <c r="AE36" s="5">
        <v>0</v>
      </c>
      <c r="AF36" s="5">
        <v>0</v>
      </c>
    </row>
    <row r="37" spans="1:32" x14ac:dyDescent="0.2">
      <c r="A37" s="3" t="str">
        <f>+VLOOKUP(B37,studies!$A$2:$C$102,3)</f>
        <v>Parry (1993)</v>
      </c>
      <c r="B37" s="87">
        <v>10</v>
      </c>
      <c r="C37" s="5">
        <v>1993</v>
      </c>
      <c r="D37" s="5">
        <v>1</v>
      </c>
      <c r="E37" s="5">
        <v>1991</v>
      </c>
      <c r="F37" s="5">
        <v>1990</v>
      </c>
      <c r="G37" s="113">
        <v>1.7857142857142856E-2</v>
      </c>
      <c r="H37" s="7">
        <v>0.83346010766249012</v>
      </c>
      <c r="I37" s="5">
        <v>0</v>
      </c>
      <c r="J37" s="5">
        <v>1</v>
      </c>
      <c r="K37" s="5">
        <v>0</v>
      </c>
      <c r="L37" s="7" t="s">
        <v>238</v>
      </c>
      <c r="M37" s="7" t="s">
        <v>238</v>
      </c>
      <c r="N37" s="7" t="s">
        <v>238</v>
      </c>
      <c r="O37" s="5">
        <v>0</v>
      </c>
      <c r="P37" s="5">
        <v>1</v>
      </c>
      <c r="Q37" s="5">
        <v>0</v>
      </c>
      <c r="R37" s="5">
        <v>0</v>
      </c>
      <c r="S37" s="5">
        <v>0</v>
      </c>
      <c r="T37" s="5">
        <v>1</v>
      </c>
      <c r="U37" s="5">
        <v>0</v>
      </c>
      <c r="V37" s="13"/>
      <c r="W37" s="13">
        <v>0</v>
      </c>
      <c r="X37" s="5"/>
      <c r="Y37" s="5"/>
      <c r="Z37" s="5"/>
      <c r="AA37" s="5">
        <v>0</v>
      </c>
      <c r="AB37" s="5"/>
      <c r="AC37" s="5">
        <v>0</v>
      </c>
      <c r="AD37" s="5">
        <v>0</v>
      </c>
      <c r="AE37" s="5">
        <v>0</v>
      </c>
      <c r="AF37" s="5">
        <v>0</v>
      </c>
    </row>
    <row r="38" spans="1:32" x14ac:dyDescent="0.2">
      <c r="A38" s="3" t="str">
        <f>+VLOOKUP(B38,studies!$A$2:$C$102,3)</f>
        <v>Parry (1993)</v>
      </c>
      <c r="B38" s="87">
        <v>10</v>
      </c>
      <c r="C38" s="5">
        <v>1993</v>
      </c>
      <c r="D38" s="5">
        <v>1</v>
      </c>
      <c r="E38" s="5">
        <v>1991</v>
      </c>
      <c r="F38" s="5">
        <v>1990</v>
      </c>
      <c r="G38" s="113">
        <v>8.9285714285714281E-3</v>
      </c>
      <c r="H38" s="7">
        <v>0.26519185243806509</v>
      </c>
      <c r="I38" s="5">
        <v>0</v>
      </c>
      <c r="J38" s="5">
        <v>1</v>
      </c>
      <c r="K38" s="5">
        <v>0</v>
      </c>
      <c r="L38" s="7" t="s">
        <v>238</v>
      </c>
      <c r="M38" s="7" t="s">
        <v>238</v>
      </c>
      <c r="N38" s="7" t="s">
        <v>238</v>
      </c>
      <c r="O38" s="5">
        <v>0</v>
      </c>
      <c r="P38" s="5">
        <v>1</v>
      </c>
      <c r="Q38" s="5">
        <v>0</v>
      </c>
      <c r="R38" s="5">
        <v>0</v>
      </c>
      <c r="S38" s="5">
        <v>0</v>
      </c>
      <c r="T38" s="5">
        <v>1</v>
      </c>
      <c r="U38" s="5">
        <v>0</v>
      </c>
      <c r="V38" s="13"/>
      <c r="W38" s="13">
        <v>0</v>
      </c>
      <c r="X38" s="5"/>
      <c r="Y38" s="5"/>
      <c r="Z38" s="5"/>
      <c r="AA38" s="5">
        <v>0</v>
      </c>
      <c r="AB38" s="5"/>
      <c r="AC38" s="5">
        <v>0</v>
      </c>
      <c r="AD38" s="5">
        <v>0</v>
      </c>
      <c r="AE38" s="5">
        <v>0</v>
      </c>
      <c r="AF38" s="5">
        <v>0</v>
      </c>
    </row>
    <row r="39" spans="1:32" x14ac:dyDescent="0.2">
      <c r="A39" s="3" t="str">
        <f>+VLOOKUP(B39,studies!$A$2:$C$102,3)</f>
        <v>Parry (1993)</v>
      </c>
      <c r="B39" s="87">
        <v>10</v>
      </c>
      <c r="C39" s="5">
        <v>1993</v>
      </c>
      <c r="D39" s="5">
        <v>1</v>
      </c>
      <c r="E39" s="5">
        <v>1991</v>
      </c>
      <c r="F39" s="5">
        <v>1990</v>
      </c>
      <c r="G39" s="113">
        <v>8.9285714285714281E-3</v>
      </c>
      <c r="H39" s="7">
        <v>1.5911511146283903</v>
      </c>
      <c r="I39" s="5">
        <v>0</v>
      </c>
      <c r="J39" s="5">
        <v>1</v>
      </c>
      <c r="K39" s="5">
        <v>0</v>
      </c>
      <c r="L39" s="7" t="s">
        <v>238</v>
      </c>
      <c r="M39" s="7" t="s">
        <v>238</v>
      </c>
      <c r="N39" s="7" t="s">
        <v>238</v>
      </c>
      <c r="O39" s="5">
        <v>0</v>
      </c>
      <c r="P39" s="5">
        <v>1</v>
      </c>
      <c r="Q39" s="5">
        <v>0</v>
      </c>
      <c r="R39" s="5">
        <v>0</v>
      </c>
      <c r="S39" s="5">
        <v>0</v>
      </c>
      <c r="T39" s="5">
        <v>1</v>
      </c>
      <c r="U39" s="5">
        <v>0</v>
      </c>
      <c r="V39" s="13"/>
      <c r="W39" s="13">
        <v>0</v>
      </c>
      <c r="X39" s="5"/>
      <c r="Y39" s="5"/>
      <c r="Z39" s="5"/>
      <c r="AA39" s="5">
        <v>0</v>
      </c>
      <c r="AB39" s="5"/>
      <c r="AC39" s="5">
        <v>0</v>
      </c>
      <c r="AD39" s="5">
        <v>0</v>
      </c>
      <c r="AE39" s="5">
        <v>0</v>
      </c>
      <c r="AF39" s="5">
        <v>0</v>
      </c>
    </row>
    <row r="40" spans="1:32" x14ac:dyDescent="0.2">
      <c r="A40" s="3" t="str">
        <f>+VLOOKUP(B40,studies!$A$2:$C$102,3)</f>
        <v>Parry (1993)</v>
      </c>
      <c r="B40" s="87">
        <v>10</v>
      </c>
      <c r="C40" s="5">
        <v>1993</v>
      </c>
      <c r="D40" s="5">
        <v>1</v>
      </c>
      <c r="E40" s="5">
        <v>1991</v>
      </c>
      <c r="F40" s="5">
        <v>1990</v>
      </c>
      <c r="G40" s="113">
        <v>8.9285714285714281E-3</v>
      </c>
      <c r="H40" s="7">
        <v>0.69455008971874177</v>
      </c>
      <c r="I40" s="5">
        <v>0</v>
      </c>
      <c r="J40" s="5">
        <v>1</v>
      </c>
      <c r="K40" s="5">
        <v>0</v>
      </c>
      <c r="L40" s="7" t="s">
        <v>238</v>
      </c>
      <c r="M40" s="7" t="s">
        <v>238</v>
      </c>
      <c r="N40" s="7" t="s">
        <v>238</v>
      </c>
      <c r="O40" s="5">
        <v>0</v>
      </c>
      <c r="P40" s="5">
        <v>1</v>
      </c>
      <c r="Q40" s="5">
        <v>0</v>
      </c>
      <c r="R40" s="5">
        <v>0</v>
      </c>
      <c r="S40" s="5">
        <v>0</v>
      </c>
      <c r="T40" s="5">
        <v>1</v>
      </c>
      <c r="U40" s="5">
        <v>0</v>
      </c>
      <c r="V40" s="13"/>
      <c r="W40" s="13">
        <v>0</v>
      </c>
      <c r="X40" s="5"/>
      <c r="Y40" s="5"/>
      <c r="Z40" s="5"/>
      <c r="AA40" s="5">
        <v>0</v>
      </c>
      <c r="AB40" s="5"/>
      <c r="AC40" s="5">
        <v>0</v>
      </c>
      <c r="AD40" s="5">
        <v>0</v>
      </c>
      <c r="AE40" s="5">
        <v>0</v>
      </c>
      <c r="AF40" s="5">
        <v>0</v>
      </c>
    </row>
    <row r="41" spans="1:32" x14ac:dyDescent="0.2">
      <c r="A41" s="3" t="str">
        <f>+VLOOKUP(B41,studies!$A$2:$C$102,3)</f>
        <v>Parry (1993)</v>
      </c>
      <c r="B41" s="87">
        <v>10</v>
      </c>
      <c r="C41" s="5">
        <v>1993</v>
      </c>
      <c r="D41" s="5">
        <v>1</v>
      </c>
      <c r="E41" s="5">
        <v>1991</v>
      </c>
      <c r="F41" s="5">
        <v>1990</v>
      </c>
      <c r="G41" s="113">
        <v>8.9285714285714281E-3</v>
      </c>
      <c r="H41" s="7">
        <v>4.1673005383124506</v>
      </c>
      <c r="I41" s="5">
        <v>0</v>
      </c>
      <c r="J41" s="5">
        <v>1</v>
      </c>
      <c r="K41" s="5">
        <v>0</v>
      </c>
      <c r="L41" s="7" t="s">
        <v>238</v>
      </c>
      <c r="M41" s="7" t="s">
        <v>238</v>
      </c>
      <c r="N41" s="7" t="s">
        <v>238</v>
      </c>
      <c r="O41" s="5">
        <v>0</v>
      </c>
      <c r="P41" s="5">
        <v>1</v>
      </c>
      <c r="Q41" s="5">
        <v>0</v>
      </c>
      <c r="R41" s="5">
        <v>0</v>
      </c>
      <c r="S41" s="5">
        <v>0</v>
      </c>
      <c r="T41" s="5">
        <v>1</v>
      </c>
      <c r="U41" s="5">
        <v>0</v>
      </c>
      <c r="V41" s="13"/>
      <c r="W41" s="13">
        <v>0</v>
      </c>
      <c r="X41" s="5"/>
      <c r="Y41" s="5"/>
      <c r="Z41" s="5"/>
      <c r="AA41" s="5">
        <v>0</v>
      </c>
      <c r="AB41" s="5"/>
      <c r="AC41" s="5">
        <v>0</v>
      </c>
      <c r="AD41" s="5">
        <v>0</v>
      </c>
      <c r="AE41" s="5">
        <v>0</v>
      </c>
      <c r="AF41" s="5">
        <v>0</v>
      </c>
    </row>
    <row r="42" spans="1:32" x14ac:dyDescent="0.2">
      <c r="A42" s="3" t="str">
        <f>+VLOOKUP(B42,studies!$A$2:$C$102,3)</f>
        <v>Parry (1993)</v>
      </c>
      <c r="B42" s="87">
        <v>10</v>
      </c>
      <c r="C42" s="5">
        <v>1993</v>
      </c>
      <c r="D42" s="5">
        <v>1</v>
      </c>
      <c r="E42" s="5">
        <v>1991</v>
      </c>
      <c r="F42" s="5">
        <v>1990</v>
      </c>
      <c r="G42" s="113">
        <v>1.7857142857142856E-2</v>
      </c>
      <c r="H42" s="7">
        <v>6.3140917247158354E-2</v>
      </c>
      <c r="I42" s="5">
        <v>0</v>
      </c>
      <c r="J42" s="5">
        <v>1</v>
      </c>
      <c r="K42" s="5">
        <v>0</v>
      </c>
      <c r="L42" s="7" t="s">
        <v>238</v>
      </c>
      <c r="M42" s="7" t="s">
        <v>238</v>
      </c>
      <c r="N42" s="7" t="s">
        <v>238</v>
      </c>
      <c r="O42" s="5">
        <v>0</v>
      </c>
      <c r="P42" s="5">
        <v>1</v>
      </c>
      <c r="Q42" s="5">
        <v>0</v>
      </c>
      <c r="R42" s="5">
        <v>0</v>
      </c>
      <c r="S42" s="5">
        <v>0</v>
      </c>
      <c r="T42" s="5">
        <v>1</v>
      </c>
      <c r="U42" s="5">
        <v>0</v>
      </c>
      <c r="V42" s="13"/>
      <c r="W42" s="13">
        <v>0</v>
      </c>
      <c r="X42" s="5"/>
      <c r="Y42" s="5"/>
      <c r="Z42" s="5"/>
      <c r="AA42" s="5">
        <v>0</v>
      </c>
      <c r="AB42" s="5"/>
      <c r="AC42" s="5">
        <v>0</v>
      </c>
      <c r="AD42" s="5">
        <v>0</v>
      </c>
      <c r="AE42" s="5">
        <v>0</v>
      </c>
      <c r="AF42" s="5">
        <v>0</v>
      </c>
    </row>
    <row r="43" spans="1:32" x14ac:dyDescent="0.2">
      <c r="A43" s="3" t="str">
        <f>+VLOOKUP(B43,studies!$A$2:$C$102,3)</f>
        <v>Parry (1993)</v>
      </c>
      <c r="B43" s="87">
        <v>10</v>
      </c>
      <c r="C43" s="5">
        <v>1993</v>
      </c>
      <c r="D43" s="5">
        <v>1</v>
      </c>
      <c r="E43" s="5">
        <v>1991</v>
      </c>
      <c r="F43" s="5">
        <v>1990</v>
      </c>
      <c r="G43" s="113">
        <v>1.7857142857142856E-2</v>
      </c>
      <c r="H43" s="7">
        <v>0.37884550348295004</v>
      </c>
      <c r="I43" s="5">
        <v>0</v>
      </c>
      <c r="J43" s="5">
        <v>1</v>
      </c>
      <c r="K43" s="5">
        <v>0</v>
      </c>
      <c r="L43" s="7" t="s">
        <v>238</v>
      </c>
      <c r="M43" s="7" t="s">
        <v>238</v>
      </c>
      <c r="N43" s="7" t="s">
        <v>238</v>
      </c>
      <c r="O43" s="5">
        <v>0</v>
      </c>
      <c r="P43" s="5">
        <v>1</v>
      </c>
      <c r="Q43" s="5">
        <v>0</v>
      </c>
      <c r="R43" s="5">
        <v>0</v>
      </c>
      <c r="S43" s="5">
        <v>0</v>
      </c>
      <c r="T43" s="5">
        <v>1</v>
      </c>
      <c r="U43" s="5">
        <v>0</v>
      </c>
      <c r="V43" s="13"/>
      <c r="W43" s="13">
        <v>0</v>
      </c>
      <c r="X43" s="5"/>
      <c r="Y43" s="5"/>
      <c r="Z43" s="5"/>
      <c r="AA43" s="5">
        <v>0</v>
      </c>
      <c r="AB43" s="5"/>
      <c r="AC43" s="5">
        <v>0</v>
      </c>
      <c r="AD43" s="5">
        <v>0</v>
      </c>
      <c r="AE43" s="5">
        <v>0</v>
      </c>
      <c r="AF43" s="5">
        <v>0</v>
      </c>
    </row>
    <row r="44" spans="1:32" x14ac:dyDescent="0.2">
      <c r="A44" s="3" t="str">
        <f>+VLOOKUP(B44,studies!$A$2:$C$102,3)</f>
        <v>Parry (1993)</v>
      </c>
      <c r="B44" s="87">
        <v>10</v>
      </c>
      <c r="C44" s="5">
        <v>1993</v>
      </c>
      <c r="D44" s="5">
        <v>1</v>
      </c>
      <c r="E44" s="5">
        <v>1991</v>
      </c>
      <c r="F44" s="5">
        <v>1990</v>
      </c>
      <c r="G44" s="113">
        <v>3.5714285714285712E-2</v>
      </c>
      <c r="H44" s="7">
        <v>8.8397284146021687E-2</v>
      </c>
      <c r="I44" s="5">
        <v>0</v>
      </c>
      <c r="J44" s="5">
        <v>1</v>
      </c>
      <c r="K44" s="5">
        <v>0</v>
      </c>
      <c r="L44" s="7" t="s">
        <v>238</v>
      </c>
      <c r="M44" s="7" t="s">
        <v>238</v>
      </c>
      <c r="N44" s="7" t="s">
        <v>238</v>
      </c>
      <c r="O44" s="5">
        <v>0</v>
      </c>
      <c r="P44" s="5">
        <v>1</v>
      </c>
      <c r="Q44" s="5">
        <v>0</v>
      </c>
      <c r="R44" s="5">
        <v>0</v>
      </c>
      <c r="S44" s="5">
        <v>0</v>
      </c>
      <c r="T44" s="5">
        <v>1</v>
      </c>
      <c r="U44" s="5">
        <v>0</v>
      </c>
      <c r="V44" s="13"/>
      <c r="W44" s="13">
        <v>0</v>
      </c>
      <c r="X44" s="5"/>
      <c r="Y44" s="5"/>
      <c r="Z44" s="5"/>
      <c r="AA44" s="5">
        <v>0</v>
      </c>
      <c r="AB44" s="5"/>
      <c r="AC44" s="5">
        <v>0</v>
      </c>
      <c r="AD44" s="5">
        <v>0</v>
      </c>
      <c r="AE44" s="5">
        <v>0</v>
      </c>
      <c r="AF44" s="5">
        <v>0</v>
      </c>
    </row>
    <row r="45" spans="1:32" x14ac:dyDescent="0.2">
      <c r="A45" s="3" t="str">
        <f>+VLOOKUP(B45,studies!$A$2:$C$102,3)</f>
        <v>Parry (1993)</v>
      </c>
      <c r="B45" s="87">
        <v>10</v>
      </c>
      <c r="C45" s="5">
        <v>1993</v>
      </c>
      <c r="D45" s="5">
        <v>1</v>
      </c>
      <c r="E45" s="5">
        <v>1991</v>
      </c>
      <c r="F45" s="5">
        <v>1990</v>
      </c>
      <c r="G45" s="113">
        <v>3.5714285714285712E-2</v>
      </c>
      <c r="H45" s="7">
        <v>0.53038370487613018</v>
      </c>
      <c r="I45" s="5">
        <v>0</v>
      </c>
      <c r="J45" s="5">
        <v>1</v>
      </c>
      <c r="K45" s="5">
        <v>0</v>
      </c>
      <c r="L45" s="7" t="s">
        <v>238</v>
      </c>
      <c r="M45" s="7" t="s">
        <v>238</v>
      </c>
      <c r="N45" s="7" t="s">
        <v>238</v>
      </c>
      <c r="O45" s="5">
        <v>0</v>
      </c>
      <c r="P45" s="5">
        <v>1</v>
      </c>
      <c r="Q45" s="5">
        <v>0</v>
      </c>
      <c r="R45" s="5">
        <v>0</v>
      </c>
      <c r="S45" s="5">
        <v>0</v>
      </c>
      <c r="T45" s="5">
        <v>1</v>
      </c>
      <c r="U45" s="5">
        <v>0</v>
      </c>
      <c r="V45" s="13"/>
      <c r="W45" s="13">
        <v>0</v>
      </c>
      <c r="X45" s="5"/>
      <c r="Y45" s="5"/>
      <c r="Z45" s="5"/>
      <c r="AA45" s="5">
        <v>0</v>
      </c>
      <c r="AB45" s="5"/>
      <c r="AC45" s="5">
        <v>0</v>
      </c>
      <c r="AD45" s="5">
        <v>0</v>
      </c>
      <c r="AE45" s="5">
        <v>0</v>
      </c>
      <c r="AF45" s="5">
        <v>0</v>
      </c>
    </row>
    <row r="46" spans="1:32" x14ac:dyDescent="0.2">
      <c r="A46" s="3" t="str">
        <f>+VLOOKUP(B46,studies!$A$2:$C$102,3)</f>
        <v>Parry (1993)</v>
      </c>
      <c r="B46" s="87">
        <v>10</v>
      </c>
      <c r="C46" s="5">
        <v>1993</v>
      </c>
      <c r="D46" s="5">
        <v>1</v>
      </c>
      <c r="E46" s="5">
        <v>1991</v>
      </c>
      <c r="F46" s="5">
        <v>1990</v>
      </c>
      <c r="G46" s="113">
        <v>3.5714285714285712E-2</v>
      </c>
      <c r="H46" s="7">
        <v>0.17679456829204337</v>
      </c>
      <c r="I46" s="5">
        <v>0</v>
      </c>
      <c r="J46" s="5">
        <v>1</v>
      </c>
      <c r="K46" s="5">
        <v>0</v>
      </c>
      <c r="L46" s="7" t="s">
        <v>238</v>
      </c>
      <c r="M46" s="7" t="s">
        <v>238</v>
      </c>
      <c r="N46" s="7" t="s">
        <v>238</v>
      </c>
      <c r="O46" s="5">
        <v>0</v>
      </c>
      <c r="P46" s="5">
        <v>1</v>
      </c>
      <c r="Q46" s="5">
        <v>0</v>
      </c>
      <c r="R46" s="5">
        <v>0</v>
      </c>
      <c r="S46" s="5">
        <v>0</v>
      </c>
      <c r="T46" s="5">
        <v>1</v>
      </c>
      <c r="U46" s="5">
        <v>0</v>
      </c>
      <c r="V46" s="13"/>
      <c r="W46" s="13">
        <v>0</v>
      </c>
      <c r="X46" s="5"/>
      <c r="Y46" s="5"/>
      <c r="Z46" s="5"/>
      <c r="AA46" s="5">
        <v>0</v>
      </c>
      <c r="AB46" s="5"/>
      <c r="AC46" s="5">
        <v>0</v>
      </c>
      <c r="AD46" s="5">
        <v>0</v>
      </c>
      <c r="AE46" s="5">
        <v>0</v>
      </c>
      <c r="AF46" s="5">
        <v>0</v>
      </c>
    </row>
    <row r="47" spans="1:32" x14ac:dyDescent="0.2">
      <c r="A47" s="3" t="str">
        <f>+VLOOKUP(B47,studies!$A$2:$C$102,3)</f>
        <v>Parry (1993)</v>
      </c>
      <c r="B47" s="87">
        <v>10</v>
      </c>
      <c r="C47" s="5">
        <v>1993</v>
      </c>
      <c r="D47" s="5">
        <v>1</v>
      </c>
      <c r="E47" s="5">
        <v>1991</v>
      </c>
      <c r="F47" s="5">
        <v>1990</v>
      </c>
      <c r="G47" s="113">
        <v>3.5714285714285712E-2</v>
      </c>
      <c r="H47" s="7">
        <v>1.0607674097522604</v>
      </c>
      <c r="I47" s="5">
        <v>0</v>
      </c>
      <c r="J47" s="5">
        <v>1</v>
      </c>
      <c r="K47" s="5">
        <v>0</v>
      </c>
      <c r="L47" s="7" t="s">
        <v>238</v>
      </c>
      <c r="M47" s="7" t="s">
        <v>238</v>
      </c>
      <c r="N47" s="7" t="s">
        <v>238</v>
      </c>
      <c r="O47" s="5">
        <v>0</v>
      </c>
      <c r="P47" s="5">
        <v>1</v>
      </c>
      <c r="Q47" s="5">
        <v>0</v>
      </c>
      <c r="R47" s="5">
        <v>0</v>
      </c>
      <c r="S47" s="5">
        <v>0</v>
      </c>
      <c r="T47" s="5">
        <v>1</v>
      </c>
      <c r="U47" s="5">
        <v>0</v>
      </c>
      <c r="V47" s="13"/>
      <c r="W47" s="13">
        <v>0</v>
      </c>
      <c r="X47" s="5"/>
      <c r="Y47" s="5"/>
      <c r="Z47" s="5"/>
      <c r="AA47" s="5">
        <v>0</v>
      </c>
      <c r="AB47" s="5"/>
      <c r="AC47" s="5">
        <v>0</v>
      </c>
      <c r="AD47" s="5">
        <v>0</v>
      </c>
      <c r="AE47" s="5">
        <v>0</v>
      </c>
      <c r="AF47" s="5">
        <v>0</v>
      </c>
    </row>
    <row r="48" spans="1:32" x14ac:dyDescent="0.2">
      <c r="A48" s="3" t="str">
        <f>+VLOOKUP(B48,studies!$A$2:$C$102,3)</f>
        <v>Parry (1993)</v>
      </c>
      <c r="B48" s="87">
        <v>10</v>
      </c>
      <c r="C48" s="5">
        <v>1993</v>
      </c>
      <c r="D48" s="5">
        <v>1</v>
      </c>
      <c r="E48" s="5">
        <v>1991</v>
      </c>
      <c r="F48" s="5">
        <v>1990</v>
      </c>
      <c r="G48" s="113">
        <v>1.7857142857142856E-2</v>
      </c>
      <c r="H48" s="7">
        <v>0.32833276968522335</v>
      </c>
      <c r="I48" s="5">
        <v>0</v>
      </c>
      <c r="J48" s="5">
        <v>1</v>
      </c>
      <c r="K48" s="5">
        <v>0</v>
      </c>
      <c r="L48" s="7" t="s">
        <v>238</v>
      </c>
      <c r="M48" s="7" t="s">
        <v>238</v>
      </c>
      <c r="N48" s="7" t="s">
        <v>238</v>
      </c>
      <c r="O48" s="5">
        <v>0</v>
      </c>
      <c r="P48" s="5">
        <v>1</v>
      </c>
      <c r="Q48" s="5">
        <v>0</v>
      </c>
      <c r="R48" s="5">
        <v>0</v>
      </c>
      <c r="S48" s="5">
        <v>0</v>
      </c>
      <c r="T48" s="5">
        <v>1</v>
      </c>
      <c r="U48" s="5">
        <v>0</v>
      </c>
      <c r="V48" s="13"/>
      <c r="W48" s="13">
        <v>0</v>
      </c>
      <c r="X48" s="5"/>
      <c r="Y48" s="5"/>
      <c r="Z48" s="5"/>
      <c r="AA48" s="5">
        <v>0</v>
      </c>
      <c r="AB48" s="5"/>
      <c r="AC48" s="5">
        <v>0</v>
      </c>
      <c r="AD48" s="5">
        <v>0</v>
      </c>
      <c r="AE48" s="5">
        <v>0</v>
      </c>
      <c r="AF48" s="5">
        <v>0</v>
      </c>
    </row>
    <row r="49" spans="1:32" x14ac:dyDescent="0.2">
      <c r="A49" s="3" t="str">
        <f>+VLOOKUP(B49,studies!$A$2:$C$102,3)</f>
        <v>Parry (1993)</v>
      </c>
      <c r="B49" s="87">
        <v>10</v>
      </c>
      <c r="C49" s="5">
        <v>1993</v>
      </c>
      <c r="D49" s="5">
        <v>1</v>
      </c>
      <c r="E49" s="5">
        <v>1991</v>
      </c>
      <c r="F49" s="5">
        <v>1990</v>
      </c>
      <c r="G49" s="113">
        <v>1.7857142857142856E-2</v>
      </c>
      <c r="H49" s="7">
        <v>1.9699966181113404</v>
      </c>
      <c r="I49" s="5">
        <v>0</v>
      </c>
      <c r="J49" s="5">
        <v>1</v>
      </c>
      <c r="K49" s="5">
        <v>0</v>
      </c>
      <c r="L49" s="7" t="s">
        <v>238</v>
      </c>
      <c r="M49" s="7" t="s">
        <v>238</v>
      </c>
      <c r="N49" s="7" t="s">
        <v>238</v>
      </c>
      <c r="O49" s="5">
        <v>0</v>
      </c>
      <c r="P49" s="5">
        <v>1</v>
      </c>
      <c r="Q49" s="5">
        <v>0</v>
      </c>
      <c r="R49" s="5">
        <v>0</v>
      </c>
      <c r="S49" s="5">
        <v>0</v>
      </c>
      <c r="T49" s="5">
        <v>1</v>
      </c>
      <c r="U49" s="5">
        <v>0</v>
      </c>
      <c r="V49" s="13"/>
      <c r="W49" s="13">
        <v>0</v>
      </c>
      <c r="X49" s="5"/>
      <c r="Y49" s="5"/>
      <c r="Z49" s="5"/>
      <c r="AA49" s="5">
        <v>0</v>
      </c>
      <c r="AB49" s="5"/>
      <c r="AC49" s="5">
        <v>0</v>
      </c>
      <c r="AD49" s="5">
        <v>0</v>
      </c>
      <c r="AE49" s="5">
        <v>0</v>
      </c>
      <c r="AF49" s="5">
        <v>0</v>
      </c>
    </row>
    <row r="50" spans="1:32" x14ac:dyDescent="0.2">
      <c r="A50" s="3" t="str">
        <f>+VLOOKUP(B50,studies!$A$2:$C$102,3)</f>
        <v>Parry (1993)</v>
      </c>
      <c r="B50" s="87">
        <v>10</v>
      </c>
      <c r="C50" s="5">
        <v>1993</v>
      </c>
      <c r="D50" s="5">
        <v>1</v>
      </c>
      <c r="E50" s="5">
        <v>1991</v>
      </c>
      <c r="F50" s="5">
        <v>1990</v>
      </c>
      <c r="G50" s="113">
        <v>1.7857142857142856E-2</v>
      </c>
      <c r="H50" s="7">
        <v>0.8713446580107852</v>
      </c>
      <c r="I50" s="5">
        <v>0</v>
      </c>
      <c r="J50" s="5">
        <v>1</v>
      </c>
      <c r="K50" s="5">
        <v>0</v>
      </c>
      <c r="L50" s="7" t="s">
        <v>238</v>
      </c>
      <c r="M50" s="7" t="s">
        <v>238</v>
      </c>
      <c r="N50" s="7" t="s">
        <v>238</v>
      </c>
      <c r="O50" s="5">
        <v>0</v>
      </c>
      <c r="P50" s="5">
        <v>1</v>
      </c>
      <c r="Q50" s="5">
        <v>0</v>
      </c>
      <c r="R50" s="5">
        <v>0</v>
      </c>
      <c r="S50" s="5">
        <v>0</v>
      </c>
      <c r="T50" s="5">
        <v>1</v>
      </c>
      <c r="U50" s="5">
        <v>0</v>
      </c>
      <c r="V50" s="13"/>
      <c r="W50" s="13">
        <v>0</v>
      </c>
      <c r="X50" s="5"/>
      <c r="Y50" s="5"/>
      <c r="Z50" s="5"/>
      <c r="AA50" s="5">
        <v>0</v>
      </c>
      <c r="AB50" s="5"/>
      <c r="AC50" s="5">
        <v>0</v>
      </c>
      <c r="AD50" s="5">
        <v>0</v>
      </c>
      <c r="AE50" s="5">
        <v>0</v>
      </c>
      <c r="AF50" s="5">
        <v>0</v>
      </c>
    </row>
    <row r="51" spans="1:32" x14ac:dyDescent="0.2">
      <c r="A51" s="3" t="str">
        <f>+VLOOKUP(B51,studies!$A$2:$C$102,3)</f>
        <v>Parry (1993)</v>
      </c>
      <c r="B51" s="87">
        <v>10</v>
      </c>
      <c r="C51" s="5">
        <v>1993</v>
      </c>
      <c r="D51" s="5">
        <v>1</v>
      </c>
      <c r="E51" s="5">
        <v>1991</v>
      </c>
      <c r="F51" s="5">
        <v>1990</v>
      </c>
      <c r="G51" s="113">
        <v>1.7857142857142856E-2</v>
      </c>
      <c r="H51" s="7">
        <v>5.2280679480647105</v>
      </c>
      <c r="I51" s="5">
        <v>0</v>
      </c>
      <c r="J51" s="5">
        <v>1</v>
      </c>
      <c r="K51" s="5">
        <v>0</v>
      </c>
      <c r="L51" s="7" t="s">
        <v>238</v>
      </c>
      <c r="M51" s="7" t="s">
        <v>238</v>
      </c>
      <c r="N51" s="7" t="s">
        <v>238</v>
      </c>
      <c r="O51" s="5">
        <v>0</v>
      </c>
      <c r="P51" s="5">
        <v>1</v>
      </c>
      <c r="Q51" s="5">
        <v>0</v>
      </c>
      <c r="R51" s="5">
        <v>0</v>
      </c>
      <c r="S51" s="5">
        <v>0</v>
      </c>
      <c r="T51" s="5">
        <v>1</v>
      </c>
      <c r="U51" s="5">
        <v>0</v>
      </c>
      <c r="V51" s="13"/>
      <c r="W51" s="13">
        <v>0</v>
      </c>
      <c r="X51" s="5"/>
      <c r="Y51" s="5"/>
      <c r="Z51" s="5"/>
      <c r="AA51" s="5">
        <v>0</v>
      </c>
      <c r="AB51" s="5"/>
      <c r="AC51" s="5">
        <v>0</v>
      </c>
      <c r="AD51" s="5">
        <v>0</v>
      </c>
      <c r="AE51" s="5">
        <v>0</v>
      </c>
      <c r="AF51" s="5">
        <v>0</v>
      </c>
    </row>
    <row r="52" spans="1:32" x14ac:dyDescent="0.2">
      <c r="A52" s="3" t="str">
        <f>+VLOOKUP(B52,studies!$A$2:$C$102,3)</f>
        <v>Parry (1993)</v>
      </c>
      <c r="B52" s="87">
        <v>10</v>
      </c>
      <c r="C52" s="5">
        <v>1993</v>
      </c>
      <c r="D52" s="5">
        <v>1</v>
      </c>
      <c r="E52" s="5">
        <v>1991</v>
      </c>
      <c r="F52" s="5">
        <v>1990</v>
      </c>
      <c r="G52" s="113">
        <v>1.7857142857142856E-2</v>
      </c>
      <c r="H52" s="7">
        <v>0.26519185243806509</v>
      </c>
      <c r="I52" s="5">
        <v>0</v>
      </c>
      <c r="J52" s="5">
        <v>1</v>
      </c>
      <c r="K52" s="5">
        <v>0</v>
      </c>
      <c r="L52" s="7" t="s">
        <v>238</v>
      </c>
      <c r="M52" s="7" t="s">
        <v>238</v>
      </c>
      <c r="N52" s="7" t="s">
        <v>238</v>
      </c>
      <c r="O52" s="5">
        <v>0</v>
      </c>
      <c r="P52" s="5">
        <v>1</v>
      </c>
      <c r="Q52" s="5">
        <v>0</v>
      </c>
      <c r="R52" s="5">
        <v>0</v>
      </c>
      <c r="S52" s="5">
        <v>0</v>
      </c>
      <c r="T52" s="5">
        <v>1</v>
      </c>
      <c r="U52" s="5">
        <v>0</v>
      </c>
      <c r="V52" s="13"/>
      <c r="W52" s="13">
        <v>0</v>
      </c>
      <c r="X52" s="5"/>
      <c r="Y52" s="5"/>
      <c r="Z52" s="5"/>
      <c r="AA52" s="5">
        <v>0</v>
      </c>
      <c r="AB52" s="5"/>
      <c r="AC52" s="5">
        <v>0</v>
      </c>
      <c r="AD52" s="5">
        <v>0</v>
      </c>
      <c r="AE52" s="5">
        <v>0</v>
      </c>
      <c r="AF52" s="5">
        <v>0</v>
      </c>
    </row>
    <row r="53" spans="1:32" x14ac:dyDescent="0.2">
      <c r="A53" s="3" t="str">
        <f>+VLOOKUP(B53,studies!$A$2:$C$102,3)</f>
        <v>Parry (1993)</v>
      </c>
      <c r="B53" s="87">
        <v>10</v>
      </c>
      <c r="C53" s="5">
        <v>1993</v>
      </c>
      <c r="D53" s="5">
        <v>1</v>
      </c>
      <c r="E53" s="5">
        <v>1991</v>
      </c>
      <c r="F53" s="5">
        <v>1990</v>
      </c>
      <c r="G53" s="113">
        <v>1.7857142857142856E-2</v>
      </c>
      <c r="H53" s="7">
        <v>1.5911511146283903</v>
      </c>
      <c r="I53" s="5">
        <v>0</v>
      </c>
      <c r="J53" s="5">
        <v>1</v>
      </c>
      <c r="K53" s="5">
        <v>0</v>
      </c>
      <c r="L53" s="7" t="s">
        <v>238</v>
      </c>
      <c r="M53" s="7" t="s">
        <v>238</v>
      </c>
      <c r="N53" s="7" t="s">
        <v>238</v>
      </c>
      <c r="O53" s="5">
        <v>0</v>
      </c>
      <c r="P53" s="5">
        <v>1</v>
      </c>
      <c r="Q53" s="5">
        <v>0</v>
      </c>
      <c r="R53" s="5">
        <v>0</v>
      </c>
      <c r="S53" s="5">
        <v>0</v>
      </c>
      <c r="T53" s="5">
        <v>1</v>
      </c>
      <c r="U53" s="5">
        <v>0</v>
      </c>
      <c r="V53" s="13"/>
      <c r="W53" s="13">
        <v>0</v>
      </c>
      <c r="X53" s="5"/>
      <c r="Y53" s="5"/>
      <c r="Z53" s="5"/>
      <c r="AA53" s="5">
        <v>0</v>
      </c>
      <c r="AB53" s="5"/>
      <c r="AC53" s="5">
        <v>0</v>
      </c>
      <c r="AD53" s="5">
        <v>0</v>
      </c>
      <c r="AE53" s="5">
        <v>0</v>
      </c>
      <c r="AF53" s="5">
        <v>0</v>
      </c>
    </row>
    <row r="54" spans="1:32" x14ac:dyDescent="0.2">
      <c r="A54" s="3" t="str">
        <f>+VLOOKUP(B54,studies!$A$2:$C$102,3)</f>
        <v>Parry (1993)</v>
      </c>
      <c r="B54" s="87">
        <v>10</v>
      </c>
      <c r="C54" s="5">
        <v>1993</v>
      </c>
      <c r="D54" s="5">
        <v>1</v>
      </c>
      <c r="E54" s="5">
        <v>1991</v>
      </c>
      <c r="F54" s="5">
        <v>1990</v>
      </c>
      <c r="G54" s="113">
        <v>3.5714285714285712E-2</v>
      </c>
      <c r="H54" s="7">
        <v>0.39147368693238177</v>
      </c>
      <c r="I54" s="5">
        <v>0</v>
      </c>
      <c r="J54" s="5">
        <v>1</v>
      </c>
      <c r="K54" s="5">
        <v>0</v>
      </c>
      <c r="L54" s="7" t="s">
        <v>238</v>
      </c>
      <c r="M54" s="7" t="s">
        <v>238</v>
      </c>
      <c r="N54" s="7" t="s">
        <v>238</v>
      </c>
      <c r="O54" s="5">
        <v>0</v>
      </c>
      <c r="P54" s="5">
        <v>1</v>
      </c>
      <c r="Q54" s="5">
        <v>0</v>
      </c>
      <c r="R54" s="5">
        <v>0</v>
      </c>
      <c r="S54" s="5">
        <v>0</v>
      </c>
      <c r="T54" s="5">
        <v>1</v>
      </c>
      <c r="U54" s="5">
        <v>0</v>
      </c>
      <c r="V54" s="13"/>
      <c r="W54" s="13">
        <v>0</v>
      </c>
      <c r="X54" s="5"/>
      <c r="Y54" s="5"/>
      <c r="Z54" s="5"/>
      <c r="AA54" s="5">
        <v>0</v>
      </c>
      <c r="AB54" s="5"/>
      <c r="AC54" s="5">
        <v>0</v>
      </c>
      <c r="AD54" s="5">
        <v>0</v>
      </c>
      <c r="AE54" s="5">
        <v>0</v>
      </c>
      <c r="AF54" s="5">
        <v>0</v>
      </c>
    </row>
    <row r="55" spans="1:32" x14ac:dyDescent="0.2">
      <c r="A55" s="3" t="str">
        <f>+VLOOKUP(B55,studies!$A$2:$C$102,3)</f>
        <v>Parry (1993)</v>
      </c>
      <c r="B55" s="87">
        <v>10</v>
      </c>
      <c r="C55" s="5">
        <v>1993</v>
      </c>
      <c r="D55" s="5">
        <v>1</v>
      </c>
      <c r="E55" s="5">
        <v>1991</v>
      </c>
      <c r="F55" s="5">
        <v>1990</v>
      </c>
      <c r="G55" s="113">
        <v>3.5714285714285712E-2</v>
      </c>
      <c r="H55" s="7">
        <v>2.3488421215942901</v>
      </c>
      <c r="I55" s="5">
        <v>0</v>
      </c>
      <c r="J55" s="5">
        <v>1</v>
      </c>
      <c r="K55" s="5">
        <v>0</v>
      </c>
      <c r="L55" s="7" t="s">
        <v>238</v>
      </c>
      <c r="M55" s="7" t="s">
        <v>238</v>
      </c>
      <c r="N55" s="7" t="s">
        <v>238</v>
      </c>
      <c r="O55" s="5">
        <v>0</v>
      </c>
      <c r="P55" s="5">
        <v>1</v>
      </c>
      <c r="Q55" s="5">
        <v>0</v>
      </c>
      <c r="R55" s="5">
        <v>0</v>
      </c>
      <c r="S55" s="5">
        <v>0</v>
      </c>
      <c r="T55" s="5">
        <v>1</v>
      </c>
      <c r="U55" s="5">
        <v>0</v>
      </c>
      <c r="V55" s="13"/>
      <c r="W55" s="13">
        <v>0</v>
      </c>
      <c r="X55" s="5"/>
      <c r="Y55" s="5"/>
      <c r="Z55" s="5"/>
      <c r="AA55" s="5">
        <v>0</v>
      </c>
      <c r="AB55" s="5"/>
      <c r="AC55" s="5">
        <v>0</v>
      </c>
      <c r="AD55" s="5">
        <v>0</v>
      </c>
      <c r="AE55" s="5">
        <v>0</v>
      </c>
      <c r="AF55" s="5">
        <v>0</v>
      </c>
    </row>
    <row r="56" spans="1:32" x14ac:dyDescent="0.2">
      <c r="A56" s="3" t="str">
        <f>+VLOOKUP(B56,studies!$A$2:$C$102,3)</f>
        <v>Parry (1993)</v>
      </c>
      <c r="B56" s="87">
        <v>10</v>
      </c>
      <c r="C56" s="5">
        <v>1993</v>
      </c>
      <c r="D56" s="5">
        <v>1</v>
      </c>
      <c r="E56" s="5">
        <v>1991</v>
      </c>
      <c r="F56" s="5">
        <v>1990</v>
      </c>
      <c r="G56" s="113">
        <v>3.5714285714285712E-2</v>
      </c>
      <c r="H56" s="7">
        <v>0.78294737386476354</v>
      </c>
      <c r="I56" s="5">
        <v>0</v>
      </c>
      <c r="J56" s="5">
        <v>1</v>
      </c>
      <c r="K56" s="5">
        <v>0</v>
      </c>
      <c r="L56" s="7" t="s">
        <v>238</v>
      </c>
      <c r="M56" s="7" t="s">
        <v>238</v>
      </c>
      <c r="N56" s="7" t="s">
        <v>238</v>
      </c>
      <c r="O56" s="5">
        <v>0</v>
      </c>
      <c r="P56" s="5">
        <v>1</v>
      </c>
      <c r="Q56" s="5">
        <v>0</v>
      </c>
      <c r="R56" s="5">
        <v>0</v>
      </c>
      <c r="S56" s="5">
        <v>0</v>
      </c>
      <c r="T56" s="5">
        <v>1</v>
      </c>
      <c r="U56" s="5">
        <v>0</v>
      </c>
      <c r="V56" s="13"/>
      <c r="W56" s="13">
        <v>0</v>
      </c>
      <c r="X56" s="5"/>
      <c r="Y56" s="5"/>
      <c r="Z56" s="5"/>
      <c r="AA56" s="5">
        <v>0</v>
      </c>
      <c r="AB56" s="5"/>
      <c r="AC56" s="5">
        <v>0</v>
      </c>
      <c r="AD56" s="5">
        <v>0</v>
      </c>
      <c r="AE56" s="5">
        <v>0</v>
      </c>
      <c r="AF56" s="5">
        <v>0</v>
      </c>
    </row>
    <row r="57" spans="1:32" x14ac:dyDescent="0.2">
      <c r="A57" s="3" t="str">
        <f>+VLOOKUP(B57,studies!$A$2:$C$102,3)</f>
        <v>Parry (1993)</v>
      </c>
      <c r="B57" s="87">
        <v>10</v>
      </c>
      <c r="C57" s="5">
        <v>1993</v>
      </c>
      <c r="D57" s="5">
        <v>1</v>
      </c>
      <c r="E57" s="5">
        <v>1991</v>
      </c>
      <c r="F57" s="5">
        <v>1990</v>
      </c>
      <c r="G57" s="113">
        <v>3.5714285714285712E-2</v>
      </c>
      <c r="H57" s="7">
        <v>4.6976842431885801</v>
      </c>
      <c r="I57" s="5">
        <v>0</v>
      </c>
      <c r="J57" s="5">
        <v>1</v>
      </c>
      <c r="K57" s="5">
        <v>0</v>
      </c>
      <c r="L57" s="7" t="s">
        <v>238</v>
      </c>
      <c r="M57" s="7" t="s">
        <v>238</v>
      </c>
      <c r="N57" s="7" t="s">
        <v>238</v>
      </c>
      <c r="O57" s="5">
        <v>0</v>
      </c>
      <c r="P57" s="5">
        <v>1</v>
      </c>
      <c r="Q57" s="5">
        <v>0</v>
      </c>
      <c r="R57" s="5">
        <v>0</v>
      </c>
      <c r="S57" s="5">
        <v>0</v>
      </c>
      <c r="T57" s="5">
        <v>1</v>
      </c>
      <c r="U57" s="5">
        <v>0</v>
      </c>
      <c r="V57" s="13"/>
      <c r="W57" s="13">
        <v>0</v>
      </c>
      <c r="X57" s="5"/>
      <c r="Y57" s="5"/>
      <c r="Z57" s="5"/>
      <c r="AA57" s="5">
        <v>0</v>
      </c>
      <c r="AB57" s="5"/>
      <c r="AC57" s="5">
        <v>0</v>
      </c>
      <c r="AD57" s="5">
        <v>0</v>
      </c>
      <c r="AE57" s="5">
        <v>0</v>
      </c>
      <c r="AF57" s="5">
        <v>0</v>
      </c>
    </row>
    <row r="58" spans="1:32" x14ac:dyDescent="0.2">
      <c r="A58" s="3" t="str">
        <f>+VLOOKUP(B58,studies!$A$2:$C$102,3)</f>
        <v>Parry (1993)</v>
      </c>
      <c r="B58" s="87">
        <v>10</v>
      </c>
      <c r="C58" s="5">
        <v>1993</v>
      </c>
      <c r="D58" s="5">
        <v>1</v>
      </c>
      <c r="E58" s="5">
        <v>1991</v>
      </c>
      <c r="F58" s="5">
        <v>1990</v>
      </c>
      <c r="G58" s="113">
        <v>1.7857142857142856E-2</v>
      </c>
      <c r="H58" s="7">
        <v>1.4901256470329369</v>
      </c>
      <c r="I58" s="5">
        <v>0</v>
      </c>
      <c r="J58" s="5">
        <v>1</v>
      </c>
      <c r="K58" s="5">
        <v>0</v>
      </c>
      <c r="L58" s="7" t="s">
        <v>238</v>
      </c>
      <c r="M58" s="7" t="s">
        <v>238</v>
      </c>
      <c r="N58" s="7" t="s">
        <v>238</v>
      </c>
      <c r="O58" s="5">
        <v>0</v>
      </c>
      <c r="P58" s="5">
        <v>1</v>
      </c>
      <c r="Q58" s="5">
        <v>0</v>
      </c>
      <c r="R58" s="5">
        <v>0</v>
      </c>
      <c r="S58" s="5">
        <v>0</v>
      </c>
      <c r="T58" s="5">
        <v>1</v>
      </c>
      <c r="U58" s="5">
        <v>0</v>
      </c>
      <c r="V58" s="13"/>
      <c r="W58" s="13">
        <v>0</v>
      </c>
      <c r="X58" s="5"/>
      <c r="Y58" s="5"/>
      <c r="Z58" s="5"/>
      <c r="AA58" s="5">
        <v>0</v>
      </c>
      <c r="AB58" s="5"/>
      <c r="AC58" s="5">
        <v>0</v>
      </c>
      <c r="AD58" s="5">
        <v>0</v>
      </c>
      <c r="AE58" s="5">
        <v>0</v>
      </c>
      <c r="AF58" s="5">
        <v>0</v>
      </c>
    </row>
    <row r="59" spans="1:32" x14ac:dyDescent="0.2">
      <c r="A59" s="3" t="str">
        <f>+VLOOKUP(B59,studies!$A$2:$C$102,3)</f>
        <v>Parry (1993)</v>
      </c>
      <c r="B59" s="87">
        <v>10</v>
      </c>
      <c r="C59" s="5">
        <v>1993</v>
      </c>
      <c r="D59" s="5">
        <v>1</v>
      </c>
      <c r="E59" s="5">
        <v>1991</v>
      </c>
      <c r="F59" s="5">
        <v>1990</v>
      </c>
      <c r="G59" s="113">
        <v>1.7857142857142856E-2</v>
      </c>
      <c r="H59" s="7">
        <v>8.9407538821976207</v>
      </c>
      <c r="I59" s="5">
        <v>0</v>
      </c>
      <c r="J59" s="5">
        <v>1</v>
      </c>
      <c r="K59" s="5">
        <v>0</v>
      </c>
      <c r="L59" s="7" t="s">
        <v>238</v>
      </c>
      <c r="M59" s="7" t="s">
        <v>238</v>
      </c>
      <c r="N59" s="7" t="s">
        <v>238</v>
      </c>
      <c r="O59" s="5">
        <v>0</v>
      </c>
      <c r="P59" s="5">
        <v>1</v>
      </c>
      <c r="Q59" s="5">
        <v>0</v>
      </c>
      <c r="R59" s="5">
        <v>0</v>
      </c>
      <c r="S59" s="5">
        <v>0</v>
      </c>
      <c r="T59" s="5">
        <v>1</v>
      </c>
      <c r="U59" s="5">
        <v>0</v>
      </c>
      <c r="V59" s="13"/>
      <c r="W59" s="13">
        <v>0</v>
      </c>
      <c r="X59" s="5"/>
      <c r="Y59" s="5"/>
      <c r="Z59" s="5"/>
      <c r="AA59" s="5">
        <v>0</v>
      </c>
      <c r="AB59" s="5"/>
      <c r="AC59" s="5">
        <v>0</v>
      </c>
      <c r="AD59" s="5">
        <v>0</v>
      </c>
      <c r="AE59" s="5">
        <v>0</v>
      </c>
      <c r="AF59" s="5">
        <v>0</v>
      </c>
    </row>
    <row r="60" spans="1:32" x14ac:dyDescent="0.2">
      <c r="A60" s="3" t="str">
        <f>+VLOOKUP(B60,studies!$A$2:$C$102,3)</f>
        <v>Parry (1993)</v>
      </c>
      <c r="B60" s="87">
        <v>10</v>
      </c>
      <c r="C60" s="5">
        <v>1993</v>
      </c>
      <c r="D60" s="5">
        <v>1</v>
      </c>
      <c r="E60" s="5">
        <v>1991</v>
      </c>
      <c r="F60" s="5">
        <v>1990</v>
      </c>
      <c r="G60" s="113">
        <v>1.7857142857142856E-2</v>
      </c>
      <c r="H60" s="7">
        <v>3.9021086858743859</v>
      </c>
      <c r="I60" s="5">
        <v>0</v>
      </c>
      <c r="J60" s="5">
        <v>1</v>
      </c>
      <c r="K60" s="5">
        <v>0</v>
      </c>
      <c r="L60" s="7" t="s">
        <v>238</v>
      </c>
      <c r="M60" s="7" t="s">
        <v>238</v>
      </c>
      <c r="N60" s="7" t="s">
        <v>238</v>
      </c>
      <c r="O60" s="5">
        <v>0</v>
      </c>
      <c r="P60" s="5">
        <v>1</v>
      </c>
      <c r="Q60" s="5">
        <v>0</v>
      </c>
      <c r="R60" s="5">
        <v>0</v>
      </c>
      <c r="S60" s="5">
        <v>0</v>
      </c>
      <c r="T60" s="5">
        <v>1</v>
      </c>
      <c r="U60" s="5">
        <v>0</v>
      </c>
      <c r="V60" s="13"/>
      <c r="W60" s="13">
        <v>0</v>
      </c>
      <c r="X60" s="5"/>
      <c r="Y60" s="5"/>
      <c r="Z60" s="5"/>
      <c r="AA60" s="5">
        <v>0</v>
      </c>
      <c r="AB60" s="5"/>
      <c r="AC60" s="5">
        <v>0</v>
      </c>
      <c r="AD60" s="5">
        <v>0</v>
      </c>
      <c r="AE60" s="5">
        <v>0</v>
      </c>
      <c r="AF60" s="5">
        <v>0</v>
      </c>
    </row>
    <row r="61" spans="1:32" x14ac:dyDescent="0.2">
      <c r="A61" s="3" t="str">
        <f>+VLOOKUP(B61,studies!$A$2:$C$102,3)</f>
        <v>Parry (1993)</v>
      </c>
      <c r="B61" s="87">
        <v>10</v>
      </c>
      <c r="C61" s="5">
        <v>1993</v>
      </c>
      <c r="D61" s="5">
        <v>1</v>
      </c>
      <c r="E61" s="5">
        <v>1991</v>
      </c>
      <c r="F61" s="5">
        <v>1990</v>
      </c>
      <c r="G61" s="113">
        <v>1.7857142857142856E-2</v>
      </c>
      <c r="H61" s="7">
        <v>23.412652115246317</v>
      </c>
      <c r="I61" s="5">
        <v>0</v>
      </c>
      <c r="J61" s="5">
        <v>1</v>
      </c>
      <c r="K61" s="5">
        <v>0</v>
      </c>
      <c r="L61" s="7" t="s">
        <v>238</v>
      </c>
      <c r="M61" s="7" t="s">
        <v>238</v>
      </c>
      <c r="N61" s="7" t="s">
        <v>238</v>
      </c>
      <c r="O61" s="5">
        <v>0</v>
      </c>
      <c r="P61" s="5">
        <v>1</v>
      </c>
      <c r="Q61" s="5">
        <v>0</v>
      </c>
      <c r="R61" s="5">
        <v>0</v>
      </c>
      <c r="S61" s="5">
        <v>0</v>
      </c>
      <c r="T61" s="5">
        <v>1</v>
      </c>
      <c r="U61" s="5">
        <v>0</v>
      </c>
      <c r="V61" s="13"/>
      <c r="W61" s="13">
        <v>0</v>
      </c>
      <c r="X61" s="5"/>
      <c r="Y61" s="5"/>
      <c r="Z61" s="5"/>
      <c r="AA61" s="5">
        <v>0</v>
      </c>
      <c r="AB61" s="5"/>
      <c r="AC61" s="5">
        <v>0</v>
      </c>
      <c r="AD61" s="5">
        <v>0</v>
      </c>
      <c r="AE61" s="5">
        <v>0</v>
      </c>
      <c r="AF61" s="5">
        <v>0</v>
      </c>
    </row>
    <row r="62" spans="1:32" x14ac:dyDescent="0.2">
      <c r="A62" s="3" t="str">
        <f>+VLOOKUP(B62,studies!$A$2:$C$102,3)</f>
        <v>Parry (1993)</v>
      </c>
      <c r="B62" s="87">
        <v>10</v>
      </c>
      <c r="C62" s="5">
        <v>1993</v>
      </c>
      <c r="D62" s="5">
        <v>1</v>
      </c>
      <c r="E62" s="5">
        <v>1991</v>
      </c>
      <c r="F62" s="5">
        <v>1990</v>
      </c>
      <c r="G62" s="113">
        <v>8.9285714285714281E-3</v>
      </c>
      <c r="H62" s="7">
        <v>1.1617928773477137</v>
      </c>
      <c r="I62" s="5">
        <v>0</v>
      </c>
      <c r="J62" s="5">
        <v>1</v>
      </c>
      <c r="K62" s="5">
        <v>0</v>
      </c>
      <c r="L62" s="7" t="s">
        <v>238</v>
      </c>
      <c r="M62" s="7" t="s">
        <v>238</v>
      </c>
      <c r="N62" s="7" t="s">
        <v>238</v>
      </c>
      <c r="O62" s="5">
        <v>0</v>
      </c>
      <c r="P62" s="5">
        <v>1</v>
      </c>
      <c r="Q62" s="5">
        <v>0</v>
      </c>
      <c r="R62" s="5">
        <v>0</v>
      </c>
      <c r="S62" s="5">
        <v>0</v>
      </c>
      <c r="T62" s="5">
        <v>1</v>
      </c>
      <c r="U62" s="5">
        <v>0</v>
      </c>
      <c r="V62" s="13"/>
      <c r="W62" s="13">
        <v>0</v>
      </c>
      <c r="X62" s="5"/>
      <c r="Y62" s="5"/>
      <c r="Z62" s="5"/>
      <c r="AA62" s="5">
        <v>0</v>
      </c>
      <c r="AB62" s="5"/>
      <c r="AC62" s="5">
        <v>0</v>
      </c>
      <c r="AD62" s="5">
        <v>0</v>
      </c>
      <c r="AE62" s="5">
        <v>0</v>
      </c>
      <c r="AF62" s="5">
        <v>0</v>
      </c>
    </row>
    <row r="63" spans="1:32" x14ac:dyDescent="0.2">
      <c r="A63" s="3" t="str">
        <f>+VLOOKUP(B63,studies!$A$2:$C$102,3)</f>
        <v>Parry (1993)</v>
      </c>
      <c r="B63" s="87">
        <v>10</v>
      </c>
      <c r="C63" s="5">
        <v>1993</v>
      </c>
      <c r="D63" s="5">
        <v>1</v>
      </c>
      <c r="E63" s="5">
        <v>1991</v>
      </c>
      <c r="F63" s="5">
        <v>1990</v>
      </c>
      <c r="G63" s="113">
        <v>8.9285714285714281E-3</v>
      </c>
      <c r="H63" s="7">
        <v>6.9707572640862816</v>
      </c>
      <c r="I63" s="5">
        <v>0</v>
      </c>
      <c r="J63" s="5">
        <v>1</v>
      </c>
      <c r="K63" s="5">
        <v>0</v>
      </c>
      <c r="L63" s="7" t="s">
        <v>238</v>
      </c>
      <c r="M63" s="7" t="s">
        <v>238</v>
      </c>
      <c r="N63" s="7" t="s">
        <v>238</v>
      </c>
      <c r="O63" s="5">
        <v>0</v>
      </c>
      <c r="P63" s="5">
        <v>1</v>
      </c>
      <c r="Q63" s="5">
        <v>0</v>
      </c>
      <c r="R63" s="5">
        <v>0</v>
      </c>
      <c r="S63" s="5">
        <v>0</v>
      </c>
      <c r="T63" s="5">
        <v>1</v>
      </c>
      <c r="U63" s="5">
        <v>0</v>
      </c>
      <c r="V63" s="13"/>
      <c r="W63" s="13">
        <v>0</v>
      </c>
      <c r="X63" s="5"/>
      <c r="Y63" s="5"/>
      <c r="Z63" s="5"/>
      <c r="AA63" s="5">
        <v>0</v>
      </c>
      <c r="AB63" s="5"/>
      <c r="AC63" s="5">
        <v>0</v>
      </c>
      <c r="AD63" s="5">
        <v>0</v>
      </c>
      <c r="AE63" s="5">
        <v>0</v>
      </c>
      <c r="AF63" s="5">
        <v>0</v>
      </c>
    </row>
    <row r="64" spans="1:32" x14ac:dyDescent="0.2">
      <c r="A64" s="3" t="str">
        <f>+VLOOKUP(B64,studies!$A$2:$C$102,3)</f>
        <v>Parry (1993)</v>
      </c>
      <c r="B64" s="87">
        <v>10</v>
      </c>
      <c r="C64" s="5">
        <v>1993</v>
      </c>
      <c r="D64" s="5">
        <v>1</v>
      </c>
      <c r="E64" s="5">
        <v>1991</v>
      </c>
      <c r="F64" s="5">
        <v>1990</v>
      </c>
      <c r="G64" s="113">
        <v>1.7857142857142856E-2</v>
      </c>
      <c r="H64" s="7">
        <v>1.7679456829204339</v>
      </c>
      <c r="I64" s="5">
        <v>0</v>
      </c>
      <c r="J64" s="5">
        <v>1</v>
      </c>
      <c r="K64" s="5">
        <v>0</v>
      </c>
      <c r="L64" s="7" t="s">
        <v>238</v>
      </c>
      <c r="M64" s="7" t="s">
        <v>238</v>
      </c>
      <c r="N64" s="7" t="s">
        <v>238</v>
      </c>
      <c r="O64" s="5">
        <v>0</v>
      </c>
      <c r="P64" s="5">
        <v>1</v>
      </c>
      <c r="Q64" s="5">
        <v>0</v>
      </c>
      <c r="R64" s="5">
        <v>0</v>
      </c>
      <c r="S64" s="5">
        <v>0</v>
      </c>
      <c r="T64" s="5">
        <v>1</v>
      </c>
      <c r="U64" s="5">
        <v>0</v>
      </c>
      <c r="V64" s="13"/>
      <c r="W64" s="13">
        <v>0</v>
      </c>
      <c r="X64" s="5"/>
      <c r="Y64" s="5"/>
      <c r="Z64" s="5"/>
      <c r="AA64" s="5">
        <v>0</v>
      </c>
      <c r="AB64" s="5"/>
      <c r="AC64" s="5">
        <v>0</v>
      </c>
      <c r="AD64" s="5">
        <v>0</v>
      </c>
      <c r="AE64" s="5">
        <v>0</v>
      </c>
      <c r="AF64" s="5">
        <v>0</v>
      </c>
    </row>
    <row r="65" spans="1:32" x14ac:dyDescent="0.2">
      <c r="A65" s="3" t="str">
        <f>+VLOOKUP(B65,studies!$A$2:$C$102,3)</f>
        <v>Parry (1993)</v>
      </c>
      <c r="B65" s="87">
        <v>10</v>
      </c>
      <c r="C65" s="5">
        <v>1993</v>
      </c>
      <c r="D65" s="5">
        <v>1</v>
      </c>
      <c r="E65" s="5">
        <v>1991</v>
      </c>
      <c r="F65" s="5">
        <v>1990</v>
      </c>
      <c r="G65" s="113">
        <v>1.7857142857142856E-2</v>
      </c>
      <c r="H65" s="7">
        <v>10.607674097522601</v>
      </c>
      <c r="I65" s="5">
        <v>0</v>
      </c>
      <c r="J65" s="5">
        <v>1</v>
      </c>
      <c r="K65" s="5">
        <v>0</v>
      </c>
      <c r="L65" s="7" t="s">
        <v>238</v>
      </c>
      <c r="M65" s="7" t="s">
        <v>238</v>
      </c>
      <c r="N65" s="7" t="s">
        <v>238</v>
      </c>
      <c r="O65" s="5">
        <v>0</v>
      </c>
      <c r="P65" s="5">
        <v>1</v>
      </c>
      <c r="Q65" s="5">
        <v>0</v>
      </c>
      <c r="R65" s="5">
        <v>0</v>
      </c>
      <c r="S65" s="5">
        <v>0</v>
      </c>
      <c r="T65" s="5">
        <v>1</v>
      </c>
      <c r="U65" s="5">
        <v>0</v>
      </c>
      <c r="V65" s="13"/>
      <c r="W65" s="13">
        <v>0</v>
      </c>
      <c r="X65" s="5"/>
      <c r="Y65" s="5"/>
      <c r="Z65" s="5"/>
      <c r="AA65" s="5">
        <v>0</v>
      </c>
      <c r="AB65" s="5"/>
      <c r="AC65" s="5">
        <v>0</v>
      </c>
      <c r="AD65" s="5">
        <v>0</v>
      </c>
      <c r="AE65" s="5">
        <v>0</v>
      </c>
      <c r="AF65" s="5">
        <v>0</v>
      </c>
    </row>
    <row r="66" spans="1:32" x14ac:dyDescent="0.2">
      <c r="A66" s="3" t="str">
        <f>+VLOOKUP(B66,studies!$A$2:$C$102,3)</f>
        <v>Parry (1993)</v>
      </c>
      <c r="B66" s="87">
        <v>10</v>
      </c>
      <c r="C66" s="5">
        <v>1993</v>
      </c>
      <c r="D66" s="5">
        <v>1</v>
      </c>
      <c r="E66" s="5">
        <v>1991</v>
      </c>
      <c r="F66" s="5">
        <v>1990</v>
      </c>
      <c r="G66" s="113">
        <v>1.7857142857142856E-2</v>
      </c>
      <c r="H66" s="7">
        <v>3.4853786320431408</v>
      </c>
      <c r="I66" s="5">
        <v>0</v>
      </c>
      <c r="J66" s="5">
        <v>1</v>
      </c>
      <c r="K66" s="5">
        <v>0</v>
      </c>
      <c r="L66" s="7" t="s">
        <v>238</v>
      </c>
      <c r="M66" s="7" t="s">
        <v>238</v>
      </c>
      <c r="N66" s="7" t="s">
        <v>238</v>
      </c>
      <c r="O66" s="5">
        <v>0</v>
      </c>
      <c r="P66" s="5">
        <v>1</v>
      </c>
      <c r="Q66" s="5">
        <v>0</v>
      </c>
      <c r="R66" s="5">
        <v>0</v>
      </c>
      <c r="S66" s="5">
        <v>0</v>
      </c>
      <c r="T66" s="5">
        <v>1</v>
      </c>
      <c r="U66" s="5">
        <v>0</v>
      </c>
      <c r="V66" s="13"/>
      <c r="W66" s="13">
        <v>0</v>
      </c>
      <c r="X66" s="5"/>
      <c r="Y66" s="5"/>
      <c r="Z66" s="5"/>
      <c r="AA66" s="5">
        <v>0</v>
      </c>
      <c r="AB66" s="5"/>
      <c r="AC66" s="5">
        <v>0</v>
      </c>
      <c r="AD66" s="5">
        <v>0</v>
      </c>
      <c r="AE66" s="5">
        <v>0</v>
      </c>
      <c r="AF66" s="5">
        <v>0</v>
      </c>
    </row>
    <row r="67" spans="1:32" x14ac:dyDescent="0.2">
      <c r="A67" s="3" t="str">
        <f>+VLOOKUP(B67,studies!$A$2:$C$102,3)</f>
        <v>Parry (1993)</v>
      </c>
      <c r="B67" s="87">
        <v>10</v>
      </c>
      <c r="C67" s="5">
        <v>1993</v>
      </c>
      <c r="D67" s="5">
        <v>1</v>
      </c>
      <c r="E67" s="5">
        <v>1991</v>
      </c>
      <c r="F67" s="5">
        <v>1990</v>
      </c>
      <c r="G67" s="113">
        <v>1.7857142857142856E-2</v>
      </c>
      <c r="H67" s="7">
        <v>20.912271792258842</v>
      </c>
      <c r="I67" s="5">
        <v>0</v>
      </c>
      <c r="J67" s="5">
        <v>1</v>
      </c>
      <c r="K67" s="5">
        <v>0</v>
      </c>
      <c r="L67" s="7" t="s">
        <v>238</v>
      </c>
      <c r="M67" s="7" t="s">
        <v>238</v>
      </c>
      <c r="N67" s="7" t="s">
        <v>238</v>
      </c>
      <c r="O67" s="5">
        <v>0</v>
      </c>
      <c r="P67" s="5">
        <v>1</v>
      </c>
      <c r="Q67" s="5">
        <v>0</v>
      </c>
      <c r="R67" s="5">
        <v>0</v>
      </c>
      <c r="S67" s="5">
        <v>0</v>
      </c>
      <c r="T67" s="5">
        <v>1</v>
      </c>
      <c r="U67" s="5">
        <v>0</v>
      </c>
      <c r="V67" s="13"/>
      <c r="W67" s="13">
        <v>0</v>
      </c>
      <c r="X67" s="5"/>
      <c r="Y67" s="5"/>
      <c r="Z67" s="5"/>
      <c r="AA67" s="5">
        <v>0</v>
      </c>
      <c r="AB67" s="5"/>
      <c r="AC67" s="5">
        <v>0</v>
      </c>
      <c r="AD67" s="5">
        <v>0</v>
      </c>
      <c r="AE67" s="5">
        <v>0</v>
      </c>
      <c r="AF67" s="5">
        <v>0</v>
      </c>
    </row>
    <row r="68" spans="1:32" x14ac:dyDescent="0.2">
      <c r="A68" s="3" t="str">
        <f>+VLOOKUP(B68,studies!$A$2:$C$102,3)</f>
        <v>Parry (1993)</v>
      </c>
      <c r="B68" s="87">
        <v>10</v>
      </c>
      <c r="C68" s="5">
        <v>1993</v>
      </c>
      <c r="D68" s="5">
        <v>1</v>
      </c>
      <c r="E68" s="5">
        <v>1991</v>
      </c>
      <c r="F68" s="5">
        <v>1990</v>
      </c>
      <c r="G68" s="113">
        <v>8.9285714285714281E-3</v>
      </c>
      <c r="H68" s="7">
        <v>7.0970390985805984</v>
      </c>
      <c r="I68" s="5">
        <v>0</v>
      </c>
      <c r="J68" s="5">
        <v>1</v>
      </c>
      <c r="K68" s="5">
        <v>0</v>
      </c>
      <c r="L68" s="7" t="s">
        <v>238</v>
      </c>
      <c r="M68" s="7" t="s">
        <v>238</v>
      </c>
      <c r="N68" s="7" t="s">
        <v>238</v>
      </c>
      <c r="O68" s="5">
        <v>0</v>
      </c>
      <c r="P68" s="5">
        <v>1</v>
      </c>
      <c r="Q68" s="5">
        <v>0</v>
      </c>
      <c r="R68" s="5">
        <v>0</v>
      </c>
      <c r="S68" s="5">
        <v>0</v>
      </c>
      <c r="T68" s="5">
        <v>1</v>
      </c>
      <c r="U68" s="5">
        <v>0</v>
      </c>
      <c r="V68" s="13"/>
      <c r="W68" s="13">
        <v>0</v>
      </c>
      <c r="X68" s="5"/>
      <c r="Y68" s="5"/>
      <c r="Z68" s="5"/>
      <c r="AA68" s="5">
        <v>0</v>
      </c>
      <c r="AB68" s="5"/>
      <c r="AC68" s="5">
        <v>0</v>
      </c>
      <c r="AD68" s="5">
        <v>0</v>
      </c>
      <c r="AE68" s="5">
        <v>0</v>
      </c>
      <c r="AF68" s="5">
        <v>0</v>
      </c>
    </row>
    <row r="69" spans="1:32" x14ac:dyDescent="0.2">
      <c r="A69" s="3" t="str">
        <f>+VLOOKUP(B69,studies!$A$2:$C$102,3)</f>
        <v>Parry (1993)</v>
      </c>
      <c r="B69" s="87">
        <v>10</v>
      </c>
      <c r="C69" s="5">
        <v>1993</v>
      </c>
      <c r="D69" s="5">
        <v>1</v>
      </c>
      <c r="E69" s="5">
        <v>1991</v>
      </c>
      <c r="F69" s="5">
        <v>1990</v>
      </c>
      <c r="G69" s="113">
        <v>8.9285714285714281E-3</v>
      </c>
      <c r="H69" s="7">
        <v>39.854546966406353</v>
      </c>
      <c r="I69" s="5">
        <v>0</v>
      </c>
      <c r="J69" s="5">
        <v>1</v>
      </c>
      <c r="K69" s="5">
        <v>0</v>
      </c>
      <c r="L69" s="7" t="s">
        <v>238</v>
      </c>
      <c r="M69" s="7" t="s">
        <v>238</v>
      </c>
      <c r="N69" s="7" t="s">
        <v>238</v>
      </c>
      <c r="O69" s="5">
        <v>0</v>
      </c>
      <c r="P69" s="5">
        <v>1</v>
      </c>
      <c r="Q69" s="5">
        <v>0</v>
      </c>
      <c r="R69" s="5">
        <v>0</v>
      </c>
      <c r="S69" s="5">
        <v>0</v>
      </c>
      <c r="T69" s="5">
        <v>1</v>
      </c>
      <c r="U69" s="5">
        <v>0</v>
      </c>
      <c r="V69" s="13"/>
      <c r="W69" s="13">
        <v>0</v>
      </c>
      <c r="X69" s="5"/>
      <c r="Y69" s="5"/>
      <c r="Z69" s="5"/>
      <c r="AA69" s="5">
        <v>0</v>
      </c>
      <c r="AB69" s="5"/>
      <c r="AC69" s="5">
        <v>0</v>
      </c>
      <c r="AD69" s="5">
        <v>0</v>
      </c>
      <c r="AE69" s="5">
        <v>0</v>
      </c>
      <c r="AF69" s="5">
        <v>0</v>
      </c>
    </row>
    <row r="70" spans="1:32" x14ac:dyDescent="0.2">
      <c r="A70" s="3" t="str">
        <f>+VLOOKUP(B70,studies!$A$2:$C$102,3)</f>
        <v>Parry (1993)</v>
      </c>
      <c r="B70" s="87">
        <v>10</v>
      </c>
      <c r="C70" s="5">
        <v>1993</v>
      </c>
      <c r="D70" s="5">
        <v>1</v>
      </c>
      <c r="E70" s="5">
        <v>1991</v>
      </c>
      <c r="F70" s="5">
        <v>1990</v>
      </c>
      <c r="G70" s="113">
        <v>8.9285714285714281E-3</v>
      </c>
      <c r="H70" s="7">
        <v>17.32586769262025</v>
      </c>
      <c r="I70" s="5">
        <v>0</v>
      </c>
      <c r="J70" s="5">
        <v>1</v>
      </c>
      <c r="K70" s="5">
        <v>0</v>
      </c>
      <c r="L70" s="7" t="s">
        <v>238</v>
      </c>
      <c r="M70" s="7" t="s">
        <v>238</v>
      </c>
      <c r="N70" s="7" t="s">
        <v>238</v>
      </c>
      <c r="O70" s="5">
        <v>0</v>
      </c>
      <c r="P70" s="5">
        <v>1</v>
      </c>
      <c r="Q70" s="5">
        <v>0</v>
      </c>
      <c r="R70" s="5">
        <v>0</v>
      </c>
      <c r="S70" s="5">
        <v>0</v>
      </c>
      <c r="T70" s="5">
        <v>1</v>
      </c>
      <c r="U70" s="5">
        <v>0</v>
      </c>
      <c r="V70" s="13"/>
      <c r="W70" s="13">
        <v>0</v>
      </c>
      <c r="X70" s="5"/>
      <c r="Y70" s="5"/>
      <c r="Z70" s="5"/>
      <c r="AA70" s="5">
        <v>0</v>
      </c>
      <c r="AB70" s="5"/>
      <c r="AC70" s="5">
        <v>0</v>
      </c>
      <c r="AD70" s="5">
        <v>0</v>
      </c>
      <c r="AE70" s="5">
        <v>0</v>
      </c>
      <c r="AF70" s="5">
        <v>0</v>
      </c>
    </row>
    <row r="71" spans="1:32" x14ac:dyDescent="0.2">
      <c r="A71" s="3" t="str">
        <f>+VLOOKUP(B71,studies!$A$2:$C$102,3)</f>
        <v>Parry (1993)</v>
      </c>
      <c r="B71" s="87">
        <v>10</v>
      </c>
      <c r="C71" s="5">
        <v>1993</v>
      </c>
      <c r="D71" s="5">
        <v>1</v>
      </c>
      <c r="E71" s="5">
        <v>1991</v>
      </c>
      <c r="F71" s="5">
        <v>1990</v>
      </c>
      <c r="G71" s="113">
        <v>8.9285714285714281E-3</v>
      </c>
      <c r="H71" s="7">
        <v>103.9552061557215</v>
      </c>
      <c r="I71" s="5">
        <v>0</v>
      </c>
      <c r="J71" s="5">
        <v>1</v>
      </c>
      <c r="K71" s="5">
        <v>0</v>
      </c>
      <c r="L71" s="7" t="s">
        <v>238</v>
      </c>
      <c r="M71" s="7" t="s">
        <v>238</v>
      </c>
      <c r="N71" s="7" t="s">
        <v>238</v>
      </c>
      <c r="O71" s="5">
        <v>0</v>
      </c>
      <c r="P71" s="5">
        <v>1</v>
      </c>
      <c r="Q71" s="5">
        <v>0</v>
      </c>
      <c r="R71" s="5">
        <v>0</v>
      </c>
      <c r="S71" s="5">
        <v>0</v>
      </c>
      <c r="T71" s="5">
        <v>1</v>
      </c>
      <c r="U71" s="5">
        <v>0</v>
      </c>
      <c r="V71" s="13"/>
      <c r="W71" s="13">
        <v>0</v>
      </c>
      <c r="X71" s="5"/>
      <c r="Y71" s="5"/>
      <c r="Z71" s="5"/>
      <c r="AA71" s="5">
        <v>0</v>
      </c>
      <c r="AB71" s="5"/>
      <c r="AC71" s="5">
        <v>0</v>
      </c>
      <c r="AD71" s="5">
        <v>0</v>
      </c>
      <c r="AE71" s="5">
        <v>0</v>
      </c>
      <c r="AF71" s="5">
        <v>0</v>
      </c>
    </row>
    <row r="72" spans="1:32" x14ac:dyDescent="0.2">
      <c r="A72" s="3" t="str">
        <f>+VLOOKUP(B72,studies!$A$2:$C$102,3)</f>
        <v>Parry (1993)</v>
      </c>
      <c r="B72" s="87">
        <v>10</v>
      </c>
      <c r="C72" s="5">
        <v>1993</v>
      </c>
      <c r="D72" s="5">
        <v>1</v>
      </c>
      <c r="E72" s="5">
        <v>1991</v>
      </c>
      <c r="F72" s="5">
        <v>1990</v>
      </c>
      <c r="G72" s="113">
        <v>8.9285714285714281E-3</v>
      </c>
      <c r="H72" s="7">
        <v>115.92672406578272</v>
      </c>
      <c r="I72" s="5">
        <v>0</v>
      </c>
      <c r="J72" s="5">
        <v>1</v>
      </c>
      <c r="K72" s="5">
        <v>0</v>
      </c>
      <c r="L72" s="7" t="s">
        <v>238</v>
      </c>
      <c r="M72" s="7" t="s">
        <v>238</v>
      </c>
      <c r="N72" s="7" t="s">
        <v>238</v>
      </c>
      <c r="O72" s="5">
        <v>0</v>
      </c>
      <c r="P72" s="5">
        <v>1</v>
      </c>
      <c r="Q72" s="5">
        <v>0</v>
      </c>
      <c r="R72" s="5">
        <v>0</v>
      </c>
      <c r="S72" s="5">
        <v>0</v>
      </c>
      <c r="T72" s="5">
        <v>1</v>
      </c>
      <c r="U72" s="5">
        <v>0</v>
      </c>
      <c r="V72" s="13"/>
      <c r="W72" s="13">
        <v>0</v>
      </c>
      <c r="X72" s="5"/>
      <c r="Y72" s="5"/>
      <c r="Z72" s="5"/>
      <c r="AA72" s="5">
        <v>0</v>
      </c>
      <c r="AB72" s="5"/>
      <c r="AC72" s="5">
        <v>0</v>
      </c>
      <c r="AD72" s="5">
        <v>0</v>
      </c>
      <c r="AE72" s="5">
        <v>0</v>
      </c>
      <c r="AF72" s="5">
        <v>0</v>
      </c>
    </row>
    <row r="73" spans="1:32" x14ac:dyDescent="0.2">
      <c r="A73" s="3" t="str">
        <f>+VLOOKUP(B73,studies!$A$2:$C$102,3)</f>
        <v>Parry (1993)</v>
      </c>
      <c r="B73" s="87">
        <v>10</v>
      </c>
      <c r="C73" s="5">
        <v>1993</v>
      </c>
      <c r="D73" s="5">
        <v>1</v>
      </c>
      <c r="E73" s="5">
        <v>1991</v>
      </c>
      <c r="F73" s="5">
        <v>1990</v>
      </c>
      <c r="G73" s="113">
        <v>8.9285714285714281E-3</v>
      </c>
      <c r="H73" s="7">
        <v>695.81290806368497</v>
      </c>
      <c r="I73" s="5">
        <v>0</v>
      </c>
      <c r="J73" s="5">
        <v>1</v>
      </c>
      <c r="K73" s="5">
        <v>0</v>
      </c>
      <c r="L73" s="7" t="s">
        <v>238</v>
      </c>
      <c r="M73" s="7" t="s">
        <v>238</v>
      </c>
      <c r="N73" s="7" t="s">
        <v>238</v>
      </c>
      <c r="O73" s="5">
        <v>0</v>
      </c>
      <c r="P73" s="5">
        <v>1</v>
      </c>
      <c r="Q73" s="5">
        <v>0</v>
      </c>
      <c r="R73" s="5">
        <v>0</v>
      </c>
      <c r="S73" s="5">
        <v>0</v>
      </c>
      <c r="T73" s="5">
        <v>1</v>
      </c>
      <c r="U73" s="5">
        <v>0</v>
      </c>
      <c r="V73" s="13"/>
      <c r="W73" s="13">
        <v>0</v>
      </c>
      <c r="X73" s="5"/>
      <c r="Y73" s="5"/>
      <c r="Z73" s="5"/>
      <c r="AA73" s="5">
        <v>0</v>
      </c>
      <c r="AB73" s="5"/>
      <c r="AC73" s="5">
        <v>0</v>
      </c>
      <c r="AD73" s="5">
        <v>0</v>
      </c>
      <c r="AE73" s="5">
        <v>0</v>
      </c>
      <c r="AF73" s="5">
        <v>0</v>
      </c>
    </row>
    <row r="74" spans="1:32" x14ac:dyDescent="0.2">
      <c r="A74" s="3" t="str">
        <f>+VLOOKUP(B74,studies!$A$2:$C$102,3)</f>
        <v>Parry (1993)</v>
      </c>
      <c r="B74" s="87">
        <v>10</v>
      </c>
      <c r="C74" s="5">
        <v>1993</v>
      </c>
      <c r="D74" s="5">
        <v>1</v>
      </c>
      <c r="E74" s="5">
        <v>1991</v>
      </c>
      <c r="F74" s="5">
        <v>1990</v>
      </c>
      <c r="G74" s="113">
        <v>1.7857142857142856E-2</v>
      </c>
      <c r="H74" s="7">
        <v>174.26893160215704</v>
      </c>
      <c r="I74" s="5">
        <v>0</v>
      </c>
      <c r="J74" s="5">
        <v>1</v>
      </c>
      <c r="K74" s="5">
        <v>0</v>
      </c>
      <c r="L74" s="7" t="s">
        <v>238</v>
      </c>
      <c r="M74" s="7" t="s">
        <v>238</v>
      </c>
      <c r="N74" s="7" t="s">
        <v>238</v>
      </c>
      <c r="O74" s="5">
        <v>0</v>
      </c>
      <c r="P74" s="5">
        <v>1</v>
      </c>
      <c r="Q74" s="5">
        <v>0</v>
      </c>
      <c r="R74" s="5">
        <v>0</v>
      </c>
      <c r="S74" s="5">
        <v>0</v>
      </c>
      <c r="T74" s="5">
        <v>1</v>
      </c>
      <c r="U74" s="5">
        <v>0</v>
      </c>
      <c r="V74" s="13"/>
      <c r="W74" s="13">
        <v>0</v>
      </c>
      <c r="X74" s="5"/>
      <c r="Y74" s="5"/>
      <c r="Z74" s="5"/>
      <c r="AA74" s="5">
        <v>0</v>
      </c>
      <c r="AB74" s="5"/>
      <c r="AC74" s="5">
        <v>0</v>
      </c>
      <c r="AD74" s="5">
        <v>0</v>
      </c>
      <c r="AE74" s="5">
        <v>0</v>
      </c>
      <c r="AF74" s="5">
        <v>0</v>
      </c>
    </row>
    <row r="75" spans="1:32" x14ac:dyDescent="0.2">
      <c r="A75" s="3" t="str">
        <f>+VLOOKUP(B75,studies!$A$2:$C$102,3)</f>
        <v>Parry (1993)</v>
      </c>
      <c r="B75" s="87">
        <v>10</v>
      </c>
      <c r="C75" s="5">
        <v>1993</v>
      </c>
      <c r="D75" s="5">
        <v>1</v>
      </c>
      <c r="E75" s="5">
        <v>1991</v>
      </c>
      <c r="F75" s="5">
        <v>1990</v>
      </c>
      <c r="G75" s="113">
        <v>1.7857142857142856E-2</v>
      </c>
      <c r="H75" s="7">
        <v>1045.3610259439536</v>
      </c>
      <c r="I75" s="5">
        <v>0</v>
      </c>
      <c r="J75" s="5">
        <v>1</v>
      </c>
      <c r="K75" s="5">
        <v>0</v>
      </c>
      <c r="L75" s="7" t="s">
        <v>238</v>
      </c>
      <c r="M75" s="7" t="s">
        <v>238</v>
      </c>
      <c r="N75" s="7" t="s">
        <v>238</v>
      </c>
      <c r="O75" s="5">
        <v>0</v>
      </c>
      <c r="P75" s="5">
        <v>1</v>
      </c>
      <c r="Q75" s="5">
        <v>0</v>
      </c>
      <c r="R75" s="5">
        <v>0</v>
      </c>
      <c r="S75" s="5">
        <v>0</v>
      </c>
      <c r="T75" s="5">
        <v>1</v>
      </c>
      <c r="U75" s="5">
        <v>0</v>
      </c>
      <c r="V75" s="13"/>
      <c r="W75" s="13">
        <v>0</v>
      </c>
      <c r="X75" s="5"/>
      <c r="Y75" s="5"/>
      <c r="Z75" s="5"/>
      <c r="AA75" s="5">
        <v>0</v>
      </c>
      <c r="AB75" s="5"/>
      <c r="AC75" s="5">
        <v>0</v>
      </c>
      <c r="AD75" s="5">
        <v>0</v>
      </c>
      <c r="AE75" s="5">
        <v>0</v>
      </c>
      <c r="AF75" s="5">
        <v>0</v>
      </c>
    </row>
    <row r="76" spans="1:32" x14ac:dyDescent="0.2">
      <c r="A76" s="3" t="str">
        <f>+VLOOKUP(B76,studies!$A$2:$C$102,3)</f>
        <v>Parry (1993)</v>
      </c>
      <c r="B76" s="87">
        <v>10</v>
      </c>
      <c r="C76" s="5">
        <v>1993</v>
      </c>
      <c r="D76" s="5">
        <v>1</v>
      </c>
      <c r="E76" s="5">
        <v>1991</v>
      </c>
      <c r="F76" s="5">
        <v>1990</v>
      </c>
      <c r="G76" s="113">
        <v>1.7857142857142856E-2</v>
      </c>
      <c r="H76" s="7">
        <v>348.28529953532541</v>
      </c>
      <c r="I76" s="5">
        <v>0</v>
      </c>
      <c r="J76" s="5">
        <v>1</v>
      </c>
      <c r="K76" s="5">
        <v>0</v>
      </c>
      <c r="L76" s="7" t="s">
        <v>238</v>
      </c>
      <c r="M76" s="7" t="s">
        <v>238</v>
      </c>
      <c r="N76" s="7" t="s">
        <v>238</v>
      </c>
      <c r="O76" s="5">
        <v>0</v>
      </c>
      <c r="P76" s="5">
        <v>1</v>
      </c>
      <c r="Q76" s="5">
        <v>0</v>
      </c>
      <c r="R76" s="5">
        <v>0</v>
      </c>
      <c r="S76" s="5">
        <v>0</v>
      </c>
      <c r="T76" s="5">
        <v>1</v>
      </c>
      <c r="U76" s="5">
        <v>0</v>
      </c>
      <c r="V76" s="13"/>
      <c r="W76" s="13">
        <v>0</v>
      </c>
      <c r="X76" s="5"/>
      <c r="Y76" s="5"/>
      <c r="Z76" s="5"/>
      <c r="AA76" s="5">
        <v>0</v>
      </c>
      <c r="AB76" s="5"/>
      <c r="AC76" s="5">
        <v>0</v>
      </c>
      <c r="AD76" s="5">
        <v>0</v>
      </c>
      <c r="AE76" s="5">
        <v>0</v>
      </c>
      <c r="AF76" s="5">
        <v>0</v>
      </c>
    </row>
    <row r="77" spans="1:32" x14ac:dyDescent="0.2">
      <c r="A77" s="3" t="str">
        <f>+VLOOKUP(B77,studies!$A$2:$C$102,3)</f>
        <v>Parry (1993)</v>
      </c>
      <c r="B77" s="87">
        <v>10</v>
      </c>
      <c r="C77" s="5">
        <v>1993</v>
      </c>
      <c r="D77" s="5">
        <v>1</v>
      </c>
      <c r="E77" s="5">
        <v>1991</v>
      </c>
      <c r="F77" s="5">
        <v>1990</v>
      </c>
      <c r="G77" s="113">
        <v>1.7857142857142856E-2</v>
      </c>
      <c r="H77" s="7">
        <v>2089.3329517084699</v>
      </c>
      <c r="I77" s="5">
        <v>0</v>
      </c>
      <c r="J77" s="5">
        <v>1</v>
      </c>
      <c r="K77" s="5">
        <v>0</v>
      </c>
      <c r="L77" s="7" t="s">
        <v>238</v>
      </c>
      <c r="M77" s="7" t="s">
        <v>238</v>
      </c>
      <c r="N77" s="7" t="s">
        <v>238</v>
      </c>
      <c r="O77" s="5">
        <v>0</v>
      </c>
      <c r="P77" s="5">
        <v>1</v>
      </c>
      <c r="Q77" s="5">
        <v>0</v>
      </c>
      <c r="R77" s="5">
        <v>0</v>
      </c>
      <c r="S77" s="5">
        <v>0</v>
      </c>
      <c r="T77" s="5">
        <v>1</v>
      </c>
      <c r="U77" s="5">
        <v>0</v>
      </c>
      <c r="V77" s="13"/>
      <c r="W77" s="13">
        <v>0</v>
      </c>
      <c r="X77" s="5"/>
      <c r="Y77" s="5"/>
      <c r="Z77" s="5"/>
      <c r="AA77" s="5">
        <v>0</v>
      </c>
      <c r="AB77" s="5"/>
      <c r="AC77" s="5">
        <v>0</v>
      </c>
      <c r="AD77" s="5">
        <v>0</v>
      </c>
      <c r="AE77" s="5">
        <v>0</v>
      </c>
      <c r="AF77" s="5">
        <v>0</v>
      </c>
    </row>
    <row r="78" spans="1:32" x14ac:dyDescent="0.2">
      <c r="A78" s="3" t="str">
        <f>+VLOOKUP(B78,studies!$A$2:$C$102,3)</f>
        <v>Parry (1993)</v>
      </c>
      <c r="B78" s="87">
        <v>10</v>
      </c>
      <c r="C78" s="5">
        <v>1993</v>
      </c>
      <c r="D78" s="5">
        <v>1</v>
      </c>
      <c r="E78" s="5">
        <v>1991</v>
      </c>
      <c r="F78" s="5">
        <v>1990</v>
      </c>
      <c r="G78" s="113">
        <v>8.9285714285714281E-3</v>
      </c>
      <c r="H78" s="7">
        <v>664.11616760561151</v>
      </c>
      <c r="I78" s="5">
        <v>0</v>
      </c>
      <c r="J78" s="5">
        <v>1</v>
      </c>
      <c r="K78" s="5">
        <v>0</v>
      </c>
      <c r="L78" s="7" t="s">
        <v>238</v>
      </c>
      <c r="M78" s="7" t="s">
        <v>238</v>
      </c>
      <c r="N78" s="7" t="s">
        <v>238</v>
      </c>
      <c r="O78" s="5">
        <v>0</v>
      </c>
      <c r="P78" s="5">
        <v>1</v>
      </c>
      <c r="Q78" s="5">
        <v>0</v>
      </c>
      <c r="R78" s="5">
        <v>0</v>
      </c>
      <c r="S78" s="5">
        <v>0</v>
      </c>
      <c r="T78" s="5">
        <v>1</v>
      </c>
      <c r="U78" s="5">
        <v>0</v>
      </c>
      <c r="V78" s="13"/>
      <c r="W78" s="13">
        <v>0</v>
      </c>
      <c r="X78" s="5"/>
      <c r="Y78" s="5"/>
      <c r="Z78" s="5"/>
      <c r="AA78" s="5">
        <v>0</v>
      </c>
      <c r="AB78" s="5"/>
      <c r="AC78" s="5">
        <v>0</v>
      </c>
      <c r="AD78" s="5">
        <v>0</v>
      </c>
      <c r="AE78" s="5">
        <v>0</v>
      </c>
      <c r="AF78" s="5">
        <v>0</v>
      </c>
    </row>
    <row r="79" spans="1:32" x14ac:dyDescent="0.2">
      <c r="A79" s="3" t="str">
        <f>+VLOOKUP(B79,studies!$A$2:$C$102,3)</f>
        <v>Parry (1993)</v>
      </c>
      <c r="B79" s="87">
        <v>10</v>
      </c>
      <c r="C79" s="5">
        <v>1993</v>
      </c>
      <c r="D79" s="5">
        <v>1</v>
      </c>
      <c r="E79" s="5">
        <v>1991</v>
      </c>
      <c r="F79" s="5">
        <v>1990</v>
      </c>
      <c r="G79" s="113">
        <v>8.9285714285714281E-3</v>
      </c>
      <c r="H79" s="7">
        <v>3984.3181601301858</v>
      </c>
      <c r="I79" s="5">
        <v>0</v>
      </c>
      <c r="J79" s="5">
        <v>1</v>
      </c>
      <c r="K79" s="5">
        <v>0</v>
      </c>
      <c r="L79" s="7" t="s">
        <v>238</v>
      </c>
      <c r="M79" s="7" t="s">
        <v>238</v>
      </c>
      <c r="N79" s="7" t="s">
        <v>238</v>
      </c>
      <c r="O79" s="5">
        <v>0</v>
      </c>
      <c r="P79" s="5">
        <v>1</v>
      </c>
      <c r="Q79" s="5">
        <v>0</v>
      </c>
      <c r="R79" s="5">
        <v>0</v>
      </c>
      <c r="S79" s="5">
        <v>0</v>
      </c>
      <c r="T79" s="5">
        <v>1</v>
      </c>
      <c r="U79" s="5">
        <v>0</v>
      </c>
      <c r="V79" s="13"/>
      <c r="W79" s="13">
        <v>0</v>
      </c>
      <c r="X79" s="5"/>
      <c r="Y79" s="5"/>
      <c r="Z79" s="5"/>
      <c r="AA79" s="5">
        <v>0</v>
      </c>
      <c r="AB79" s="5"/>
      <c r="AC79" s="5">
        <v>0</v>
      </c>
      <c r="AD79" s="5">
        <v>0</v>
      </c>
      <c r="AE79" s="5">
        <v>0</v>
      </c>
      <c r="AF79" s="5">
        <v>0</v>
      </c>
    </row>
    <row r="80" spans="1:32" x14ac:dyDescent="0.2">
      <c r="A80" s="3" t="str">
        <f>+VLOOKUP(B80,studies!$A$2:$C$102,3)</f>
        <v>Parry (1993)</v>
      </c>
      <c r="B80" s="87">
        <v>10</v>
      </c>
      <c r="C80" s="5">
        <v>1993</v>
      </c>
      <c r="D80" s="5">
        <v>1</v>
      </c>
      <c r="E80" s="5">
        <v>1991</v>
      </c>
      <c r="F80" s="5">
        <v>1990</v>
      </c>
      <c r="G80" s="113">
        <v>8.9285714285714281E-3</v>
      </c>
      <c r="H80" s="7">
        <v>1732.8393329310138</v>
      </c>
      <c r="I80" s="5">
        <v>0</v>
      </c>
      <c r="J80" s="5">
        <v>1</v>
      </c>
      <c r="K80" s="5">
        <v>0</v>
      </c>
      <c r="L80" s="7" t="s">
        <v>238</v>
      </c>
      <c r="M80" s="7" t="s">
        <v>238</v>
      </c>
      <c r="N80" s="7" t="s">
        <v>238</v>
      </c>
      <c r="O80" s="5">
        <v>0</v>
      </c>
      <c r="P80" s="5">
        <v>1</v>
      </c>
      <c r="Q80" s="5">
        <v>0</v>
      </c>
      <c r="R80" s="5">
        <v>0</v>
      </c>
      <c r="S80" s="5">
        <v>0</v>
      </c>
      <c r="T80" s="5">
        <v>1</v>
      </c>
      <c r="U80" s="5">
        <v>0</v>
      </c>
      <c r="V80" s="13"/>
      <c r="W80" s="13">
        <v>0</v>
      </c>
      <c r="X80" s="5"/>
      <c r="Y80" s="5"/>
      <c r="Z80" s="5"/>
      <c r="AA80" s="5">
        <v>0</v>
      </c>
      <c r="AB80" s="5"/>
      <c r="AC80" s="5">
        <v>0</v>
      </c>
      <c r="AD80" s="5">
        <v>0</v>
      </c>
      <c r="AE80" s="5">
        <v>0</v>
      </c>
      <c r="AF80" s="5">
        <v>0</v>
      </c>
    </row>
    <row r="81" spans="1:32" x14ac:dyDescent="0.2">
      <c r="A81" s="3" t="str">
        <f>+VLOOKUP(B81,studies!$A$2:$C$102,3)</f>
        <v>Parry (1993)</v>
      </c>
      <c r="B81" s="87">
        <v>10</v>
      </c>
      <c r="C81" s="5">
        <v>1993</v>
      </c>
      <c r="D81" s="5">
        <v>1</v>
      </c>
      <c r="E81" s="5">
        <v>1991</v>
      </c>
      <c r="F81" s="5">
        <v>1990</v>
      </c>
      <c r="G81" s="113">
        <v>8.9285714285714281E-3</v>
      </c>
      <c r="H81" s="7">
        <v>10396.657152082598</v>
      </c>
      <c r="I81" s="5">
        <v>0</v>
      </c>
      <c r="J81" s="5">
        <v>1</v>
      </c>
      <c r="K81" s="5">
        <v>0</v>
      </c>
      <c r="L81" s="7" t="s">
        <v>238</v>
      </c>
      <c r="M81" s="7" t="s">
        <v>238</v>
      </c>
      <c r="N81" s="7" t="s">
        <v>238</v>
      </c>
      <c r="O81" s="5">
        <v>0</v>
      </c>
      <c r="P81" s="5">
        <v>1</v>
      </c>
      <c r="Q81" s="5">
        <v>0</v>
      </c>
      <c r="R81" s="5">
        <v>0</v>
      </c>
      <c r="S81" s="5">
        <v>0</v>
      </c>
      <c r="T81" s="5">
        <v>1</v>
      </c>
      <c r="U81" s="5">
        <v>0</v>
      </c>
      <c r="V81" s="13"/>
      <c r="W81" s="13">
        <v>0</v>
      </c>
      <c r="X81" s="5"/>
      <c r="Y81" s="5"/>
      <c r="Z81" s="5"/>
      <c r="AA81" s="5">
        <v>0</v>
      </c>
      <c r="AB81" s="5"/>
      <c r="AC81" s="5">
        <v>0</v>
      </c>
      <c r="AD81" s="5">
        <v>0</v>
      </c>
      <c r="AE81" s="5">
        <v>0</v>
      </c>
      <c r="AF81" s="5">
        <v>0</v>
      </c>
    </row>
    <row r="82" spans="1:32" x14ac:dyDescent="0.2">
      <c r="A82" s="3" t="str">
        <f>+VLOOKUP(B82,studies!$A$2:$C$102,3)</f>
        <v>Peck &amp; Teisberg (1993)</v>
      </c>
      <c r="B82" s="87">
        <v>11</v>
      </c>
      <c r="C82" s="5">
        <v>1993</v>
      </c>
      <c r="D82" s="5">
        <v>1</v>
      </c>
      <c r="E82" s="48">
        <v>1989</v>
      </c>
      <c r="F82" s="5">
        <v>2030</v>
      </c>
      <c r="G82" s="113">
        <v>0.5</v>
      </c>
      <c r="H82" s="7">
        <v>11.105528860183005</v>
      </c>
      <c r="I82" s="5">
        <v>0</v>
      </c>
      <c r="J82" s="5">
        <v>1</v>
      </c>
      <c r="K82" s="5">
        <v>0</v>
      </c>
      <c r="L82" s="7" t="s">
        <v>238</v>
      </c>
      <c r="M82" s="7" t="s">
        <v>238</v>
      </c>
      <c r="N82" s="7" t="s">
        <v>238</v>
      </c>
      <c r="O82" s="5">
        <v>0</v>
      </c>
      <c r="P82" s="5">
        <v>1</v>
      </c>
      <c r="Q82" s="5">
        <v>0</v>
      </c>
      <c r="R82" s="5">
        <v>1</v>
      </c>
      <c r="S82" s="5">
        <v>0</v>
      </c>
      <c r="T82" s="5">
        <v>0</v>
      </c>
      <c r="U82" s="5">
        <v>0</v>
      </c>
      <c r="V82" s="13">
        <v>5</v>
      </c>
      <c r="W82" s="13">
        <v>3</v>
      </c>
      <c r="X82" s="5"/>
      <c r="Y82" s="5"/>
      <c r="Z82" s="5"/>
      <c r="AA82" s="5">
        <v>0</v>
      </c>
      <c r="AB82" s="5"/>
      <c r="AC82" s="5">
        <v>0</v>
      </c>
      <c r="AD82" s="5">
        <v>0</v>
      </c>
      <c r="AE82" s="5">
        <v>0</v>
      </c>
      <c r="AF82" s="5">
        <v>1</v>
      </c>
    </row>
    <row r="83" spans="1:32" x14ac:dyDescent="0.2">
      <c r="A83" s="3" t="str">
        <f>+VLOOKUP(B83,studies!$A$2:$C$102,3)</f>
        <v>Peck &amp; Teisberg (1993)</v>
      </c>
      <c r="B83" s="87">
        <v>11</v>
      </c>
      <c r="C83" s="5">
        <v>1993</v>
      </c>
      <c r="D83" s="5">
        <v>1</v>
      </c>
      <c r="E83" s="48">
        <v>1989</v>
      </c>
      <c r="F83" s="5">
        <v>2030</v>
      </c>
      <c r="G83" s="113">
        <v>1.9230769230769232E-2</v>
      </c>
      <c r="H83" s="7">
        <v>24.210052915198954</v>
      </c>
      <c r="I83" s="5">
        <v>0</v>
      </c>
      <c r="J83" s="5">
        <v>1</v>
      </c>
      <c r="K83" s="5">
        <v>0</v>
      </c>
      <c r="L83" s="7" t="s">
        <v>238</v>
      </c>
      <c r="M83" s="7" t="s">
        <v>238</v>
      </c>
      <c r="N83" s="7" t="s">
        <v>238</v>
      </c>
      <c r="O83" s="5">
        <v>0</v>
      </c>
      <c r="P83" s="5">
        <v>1</v>
      </c>
      <c r="Q83" s="5">
        <v>0</v>
      </c>
      <c r="R83" s="5">
        <v>1</v>
      </c>
      <c r="S83" s="5">
        <v>0</v>
      </c>
      <c r="T83" s="5">
        <v>0</v>
      </c>
      <c r="U83" s="5">
        <v>0</v>
      </c>
      <c r="V83" s="13">
        <v>5</v>
      </c>
      <c r="W83" s="13">
        <v>3</v>
      </c>
      <c r="X83" s="5"/>
      <c r="Y83" s="5"/>
      <c r="Z83" s="5"/>
      <c r="AA83" s="5">
        <v>0</v>
      </c>
      <c r="AB83" s="5"/>
      <c r="AC83" s="5">
        <v>0</v>
      </c>
      <c r="AD83" s="5">
        <v>0</v>
      </c>
      <c r="AE83" s="5">
        <v>0</v>
      </c>
      <c r="AF83" s="5">
        <v>1</v>
      </c>
    </row>
    <row r="84" spans="1:32" x14ac:dyDescent="0.2">
      <c r="A84" s="3" t="str">
        <f>+VLOOKUP(B84,studies!$A$2:$C$102,3)</f>
        <v>Peck &amp; Teisberg (1993)</v>
      </c>
      <c r="B84" s="87">
        <v>11</v>
      </c>
      <c r="C84" s="5">
        <v>1993</v>
      </c>
      <c r="D84" s="5">
        <v>1</v>
      </c>
      <c r="E84" s="48">
        <v>1989</v>
      </c>
      <c r="F84" s="5">
        <v>2030</v>
      </c>
      <c r="G84" s="113">
        <v>1.9230769230769232E-2</v>
      </c>
      <c r="H84" s="7">
        <v>24.543218781004448</v>
      </c>
      <c r="I84" s="5">
        <v>0</v>
      </c>
      <c r="J84" s="5">
        <v>1</v>
      </c>
      <c r="K84" s="5">
        <v>0</v>
      </c>
      <c r="L84" s="7" t="s">
        <v>238</v>
      </c>
      <c r="M84" s="7" t="s">
        <v>238</v>
      </c>
      <c r="N84" s="7" t="s">
        <v>238</v>
      </c>
      <c r="O84" s="5">
        <v>0</v>
      </c>
      <c r="P84" s="5">
        <v>1</v>
      </c>
      <c r="Q84" s="5">
        <v>0</v>
      </c>
      <c r="R84" s="5">
        <v>1</v>
      </c>
      <c r="S84" s="5">
        <v>0</v>
      </c>
      <c r="T84" s="5">
        <v>0</v>
      </c>
      <c r="U84" s="5">
        <v>0</v>
      </c>
      <c r="V84" s="13">
        <v>5</v>
      </c>
      <c r="W84" s="13">
        <v>3</v>
      </c>
      <c r="X84" s="5"/>
      <c r="Y84" s="5"/>
      <c r="Z84" s="5"/>
      <c r="AA84" s="5">
        <v>0</v>
      </c>
      <c r="AB84" s="5"/>
      <c r="AC84" s="5">
        <v>0</v>
      </c>
      <c r="AD84" s="5">
        <v>0</v>
      </c>
      <c r="AE84" s="5">
        <v>0</v>
      </c>
      <c r="AF84" s="5">
        <v>1</v>
      </c>
    </row>
    <row r="85" spans="1:32" x14ac:dyDescent="0.2">
      <c r="A85" s="3" t="str">
        <f>+VLOOKUP(B85,studies!$A$2:$C$102,3)</f>
        <v>Peck &amp; Teisberg (1993)</v>
      </c>
      <c r="B85" s="87">
        <v>11</v>
      </c>
      <c r="C85" s="5">
        <v>1993</v>
      </c>
      <c r="D85" s="5">
        <v>1</v>
      </c>
      <c r="E85" s="48">
        <v>1989</v>
      </c>
      <c r="F85" s="5">
        <v>2030</v>
      </c>
      <c r="G85" s="113">
        <v>1.9230769230769232E-2</v>
      </c>
      <c r="H85" s="7">
        <v>25.431661089819084</v>
      </c>
      <c r="I85" s="5">
        <v>0</v>
      </c>
      <c r="J85" s="5">
        <v>1</v>
      </c>
      <c r="K85" s="5">
        <v>0</v>
      </c>
      <c r="L85" s="7" t="s">
        <v>238</v>
      </c>
      <c r="M85" s="7" t="s">
        <v>238</v>
      </c>
      <c r="N85" s="7" t="s">
        <v>238</v>
      </c>
      <c r="O85" s="5">
        <v>0</v>
      </c>
      <c r="P85" s="5">
        <v>1</v>
      </c>
      <c r="Q85" s="5">
        <v>0</v>
      </c>
      <c r="R85" s="5">
        <v>1</v>
      </c>
      <c r="S85" s="5">
        <v>0</v>
      </c>
      <c r="T85" s="5">
        <v>0</v>
      </c>
      <c r="U85" s="5">
        <v>0</v>
      </c>
      <c r="V85" s="13">
        <v>5</v>
      </c>
      <c r="W85" s="13">
        <v>3</v>
      </c>
      <c r="X85" s="5"/>
      <c r="Y85" s="5"/>
      <c r="Z85" s="5"/>
      <c r="AA85" s="5">
        <v>0</v>
      </c>
      <c r="AB85" s="5"/>
      <c r="AC85" s="5">
        <v>0</v>
      </c>
      <c r="AD85" s="5">
        <v>0</v>
      </c>
      <c r="AE85" s="5">
        <v>0</v>
      </c>
      <c r="AF85" s="5">
        <v>1</v>
      </c>
    </row>
    <row r="86" spans="1:32" x14ac:dyDescent="0.2">
      <c r="A86" s="3" t="str">
        <f>+VLOOKUP(B86,studies!$A$2:$C$102,3)</f>
        <v>Peck &amp; Teisberg (1993)</v>
      </c>
      <c r="B86" s="87">
        <v>11</v>
      </c>
      <c r="C86" s="5">
        <v>1993</v>
      </c>
      <c r="D86" s="5">
        <v>1</v>
      </c>
      <c r="E86" s="48">
        <v>1989</v>
      </c>
      <c r="F86" s="5">
        <v>2030</v>
      </c>
      <c r="G86" s="113">
        <v>1.9230769230769232E-2</v>
      </c>
      <c r="H86" s="7">
        <v>24.210052915198954</v>
      </c>
      <c r="I86" s="5">
        <v>0</v>
      </c>
      <c r="J86" s="5">
        <v>1</v>
      </c>
      <c r="K86" s="5">
        <v>0</v>
      </c>
      <c r="L86" s="7" t="s">
        <v>238</v>
      </c>
      <c r="M86" s="7" t="s">
        <v>238</v>
      </c>
      <c r="N86" s="7" t="s">
        <v>238</v>
      </c>
      <c r="O86" s="5">
        <v>0</v>
      </c>
      <c r="P86" s="5">
        <v>1</v>
      </c>
      <c r="Q86" s="5">
        <v>0</v>
      </c>
      <c r="R86" s="5">
        <v>1</v>
      </c>
      <c r="S86" s="5">
        <v>0</v>
      </c>
      <c r="T86" s="5">
        <v>0</v>
      </c>
      <c r="U86" s="5">
        <v>0</v>
      </c>
      <c r="V86" s="13">
        <v>5</v>
      </c>
      <c r="W86" s="13">
        <v>3</v>
      </c>
      <c r="X86" s="5"/>
      <c r="Y86" s="5"/>
      <c r="Z86" s="5"/>
      <c r="AA86" s="5">
        <v>0</v>
      </c>
      <c r="AB86" s="5"/>
      <c r="AC86" s="5">
        <v>0</v>
      </c>
      <c r="AD86" s="5">
        <v>0</v>
      </c>
      <c r="AE86" s="5">
        <v>0</v>
      </c>
      <c r="AF86" s="5">
        <v>1</v>
      </c>
    </row>
    <row r="87" spans="1:32" x14ac:dyDescent="0.2">
      <c r="A87" s="3" t="str">
        <f>+VLOOKUP(B87,studies!$A$2:$C$102,3)</f>
        <v>Peck &amp; Teisberg (1993)</v>
      </c>
      <c r="B87" s="87">
        <v>11</v>
      </c>
      <c r="C87" s="5">
        <v>1993</v>
      </c>
      <c r="D87" s="5">
        <v>1</v>
      </c>
      <c r="E87" s="48">
        <v>1989</v>
      </c>
      <c r="F87" s="5">
        <v>2030</v>
      </c>
      <c r="G87" s="113">
        <v>1.9230769230769232E-2</v>
      </c>
      <c r="H87" s="7">
        <v>24.543218781004448</v>
      </c>
      <c r="I87" s="5">
        <v>0</v>
      </c>
      <c r="J87" s="5">
        <v>1</v>
      </c>
      <c r="K87" s="5">
        <v>0</v>
      </c>
      <c r="L87" s="7" t="s">
        <v>238</v>
      </c>
      <c r="M87" s="7" t="s">
        <v>238</v>
      </c>
      <c r="N87" s="7" t="s">
        <v>238</v>
      </c>
      <c r="O87" s="5">
        <v>0</v>
      </c>
      <c r="P87" s="5">
        <v>1</v>
      </c>
      <c r="Q87" s="5">
        <v>0</v>
      </c>
      <c r="R87" s="5">
        <v>1</v>
      </c>
      <c r="S87" s="5">
        <v>0</v>
      </c>
      <c r="T87" s="5">
        <v>0</v>
      </c>
      <c r="U87" s="5">
        <v>0</v>
      </c>
      <c r="V87" s="13">
        <v>5</v>
      </c>
      <c r="W87" s="13">
        <v>3</v>
      </c>
      <c r="X87" s="5"/>
      <c r="Y87" s="5"/>
      <c r="Z87" s="5"/>
      <c r="AA87" s="5">
        <v>0</v>
      </c>
      <c r="AB87" s="5"/>
      <c r="AC87" s="5">
        <v>0</v>
      </c>
      <c r="AD87" s="5">
        <v>0</v>
      </c>
      <c r="AE87" s="5">
        <v>0</v>
      </c>
      <c r="AF87" s="5">
        <v>1</v>
      </c>
    </row>
    <row r="88" spans="1:32" x14ac:dyDescent="0.2">
      <c r="A88" s="3" t="str">
        <f>+VLOOKUP(B88,studies!$A$2:$C$102,3)</f>
        <v>Peck &amp; Teisberg (1993)</v>
      </c>
      <c r="B88" s="87">
        <v>11</v>
      </c>
      <c r="C88" s="5">
        <v>1993</v>
      </c>
      <c r="D88" s="5">
        <v>1</v>
      </c>
      <c r="E88" s="48">
        <v>1989</v>
      </c>
      <c r="F88" s="5">
        <v>2030</v>
      </c>
      <c r="G88" s="113">
        <v>1.9230769230769232E-2</v>
      </c>
      <c r="H88" s="7">
        <v>3.7758798124622222</v>
      </c>
      <c r="I88" s="5">
        <v>0</v>
      </c>
      <c r="J88" s="5">
        <v>1</v>
      </c>
      <c r="K88" s="5">
        <v>0</v>
      </c>
      <c r="L88" s="7" t="s">
        <v>238</v>
      </c>
      <c r="M88" s="7" t="s">
        <v>238</v>
      </c>
      <c r="N88" s="7" t="s">
        <v>238</v>
      </c>
      <c r="O88" s="5">
        <v>0</v>
      </c>
      <c r="P88" s="5">
        <v>1</v>
      </c>
      <c r="Q88" s="5">
        <v>0</v>
      </c>
      <c r="R88" s="5">
        <v>1</v>
      </c>
      <c r="S88" s="5">
        <v>0</v>
      </c>
      <c r="T88" s="5">
        <v>0</v>
      </c>
      <c r="U88" s="5">
        <v>0</v>
      </c>
      <c r="V88" s="13">
        <v>5</v>
      </c>
      <c r="W88" s="13">
        <v>3</v>
      </c>
      <c r="X88" s="5"/>
      <c r="Y88" s="5"/>
      <c r="Z88" s="5"/>
      <c r="AA88" s="5">
        <v>0</v>
      </c>
      <c r="AB88" s="5"/>
      <c r="AC88" s="5">
        <v>0</v>
      </c>
      <c r="AD88" s="5">
        <v>0</v>
      </c>
      <c r="AE88" s="5">
        <v>0</v>
      </c>
      <c r="AF88" s="5">
        <v>1</v>
      </c>
    </row>
    <row r="89" spans="1:32" x14ac:dyDescent="0.2">
      <c r="A89" s="3" t="str">
        <f>+VLOOKUP(B89,studies!$A$2:$C$102,3)</f>
        <v>Peck &amp; Teisberg (1993)</v>
      </c>
      <c r="B89" s="87">
        <v>11</v>
      </c>
      <c r="C89" s="5">
        <v>1993</v>
      </c>
      <c r="D89" s="5">
        <v>1</v>
      </c>
      <c r="E89" s="48">
        <v>1989</v>
      </c>
      <c r="F89" s="5">
        <v>2030</v>
      </c>
      <c r="G89" s="113">
        <v>1.9230769230769232E-2</v>
      </c>
      <c r="H89" s="7">
        <v>6.1080408731006539</v>
      </c>
      <c r="I89" s="5">
        <v>0</v>
      </c>
      <c r="J89" s="5">
        <v>1</v>
      </c>
      <c r="K89" s="5">
        <v>0</v>
      </c>
      <c r="L89" s="7" t="s">
        <v>238</v>
      </c>
      <c r="M89" s="7" t="s">
        <v>238</v>
      </c>
      <c r="N89" s="7" t="s">
        <v>238</v>
      </c>
      <c r="O89" s="5">
        <v>0</v>
      </c>
      <c r="P89" s="5">
        <v>1</v>
      </c>
      <c r="Q89" s="5">
        <v>0</v>
      </c>
      <c r="R89" s="5">
        <v>1</v>
      </c>
      <c r="S89" s="5">
        <v>0</v>
      </c>
      <c r="T89" s="5">
        <v>0</v>
      </c>
      <c r="U89" s="5">
        <v>0</v>
      </c>
      <c r="V89" s="13">
        <v>5</v>
      </c>
      <c r="W89" s="13">
        <v>3</v>
      </c>
      <c r="X89" s="5"/>
      <c r="Y89" s="5"/>
      <c r="Z89" s="5"/>
      <c r="AA89" s="5">
        <v>0</v>
      </c>
      <c r="AB89" s="5"/>
      <c r="AC89" s="5">
        <v>0</v>
      </c>
      <c r="AD89" s="5">
        <v>0</v>
      </c>
      <c r="AE89" s="5">
        <v>0</v>
      </c>
      <c r="AF89" s="5">
        <v>1</v>
      </c>
    </row>
    <row r="90" spans="1:32" x14ac:dyDescent="0.2">
      <c r="A90" s="3" t="str">
        <f>+VLOOKUP(B90,studies!$A$2:$C$102,3)</f>
        <v>Peck &amp; Teisberg (1993)</v>
      </c>
      <c r="B90" s="87">
        <v>11</v>
      </c>
      <c r="C90" s="5">
        <v>1993</v>
      </c>
      <c r="D90" s="5">
        <v>1</v>
      </c>
      <c r="E90" s="48">
        <v>1989</v>
      </c>
      <c r="F90" s="5">
        <v>2030</v>
      </c>
      <c r="G90" s="113">
        <v>1.9230769230769232E-2</v>
      </c>
      <c r="H90" s="7">
        <v>13.326634632219609</v>
      </c>
      <c r="I90" s="5">
        <v>0</v>
      </c>
      <c r="J90" s="5">
        <v>1</v>
      </c>
      <c r="K90" s="5">
        <v>0</v>
      </c>
      <c r="L90" s="7" t="s">
        <v>238</v>
      </c>
      <c r="M90" s="7" t="s">
        <v>238</v>
      </c>
      <c r="N90" s="7" t="s">
        <v>238</v>
      </c>
      <c r="O90" s="5">
        <v>0</v>
      </c>
      <c r="P90" s="5">
        <v>1</v>
      </c>
      <c r="Q90" s="5">
        <v>0</v>
      </c>
      <c r="R90" s="5">
        <v>1</v>
      </c>
      <c r="S90" s="5">
        <v>0</v>
      </c>
      <c r="T90" s="5">
        <v>0</v>
      </c>
      <c r="U90" s="5">
        <v>0</v>
      </c>
      <c r="V90" s="13">
        <v>5</v>
      </c>
      <c r="W90" s="13">
        <v>3</v>
      </c>
      <c r="X90" s="5"/>
      <c r="Y90" s="5"/>
      <c r="Z90" s="5"/>
      <c r="AA90" s="5">
        <v>0</v>
      </c>
      <c r="AB90" s="5"/>
      <c r="AC90" s="5">
        <v>0</v>
      </c>
      <c r="AD90" s="5">
        <v>0</v>
      </c>
      <c r="AE90" s="5">
        <v>0</v>
      </c>
      <c r="AF90" s="5">
        <v>1</v>
      </c>
    </row>
    <row r="91" spans="1:32" x14ac:dyDescent="0.2">
      <c r="A91" s="3" t="str">
        <f>+VLOOKUP(B91,studies!$A$2:$C$102,3)</f>
        <v>Peck &amp; Teisberg (1993)</v>
      </c>
      <c r="B91" s="87">
        <v>11</v>
      </c>
      <c r="C91" s="5">
        <v>1993</v>
      </c>
      <c r="D91" s="5">
        <v>1</v>
      </c>
      <c r="E91" s="48">
        <v>1989</v>
      </c>
      <c r="F91" s="5">
        <v>2030</v>
      </c>
      <c r="G91" s="113">
        <v>1.9230769230769232E-2</v>
      </c>
      <c r="H91" s="7">
        <v>11.882915880395815</v>
      </c>
      <c r="I91" s="5">
        <v>0</v>
      </c>
      <c r="J91" s="5">
        <v>1</v>
      </c>
      <c r="K91" s="5">
        <v>0</v>
      </c>
      <c r="L91" s="7" t="s">
        <v>238</v>
      </c>
      <c r="M91" s="7" t="s">
        <v>238</v>
      </c>
      <c r="N91" s="7" t="s">
        <v>238</v>
      </c>
      <c r="O91" s="5">
        <v>0</v>
      </c>
      <c r="P91" s="5">
        <v>1</v>
      </c>
      <c r="Q91" s="5">
        <v>0</v>
      </c>
      <c r="R91" s="5">
        <v>1</v>
      </c>
      <c r="S91" s="5">
        <v>0</v>
      </c>
      <c r="T91" s="5">
        <v>0</v>
      </c>
      <c r="U91" s="5">
        <v>0</v>
      </c>
      <c r="V91" s="13">
        <v>5</v>
      </c>
      <c r="W91" s="13">
        <v>3</v>
      </c>
      <c r="X91" s="5"/>
      <c r="Y91" s="5"/>
      <c r="Z91" s="5"/>
      <c r="AA91" s="5">
        <v>0</v>
      </c>
      <c r="AB91" s="5"/>
      <c r="AC91" s="5">
        <v>0</v>
      </c>
      <c r="AD91" s="5">
        <v>0</v>
      </c>
      <c r="AE91" s="5">
        <v>0</v>
      </c>
      <c r="AF91" s="5">
        <v>1</v>
      </c>
    </row>
    <row r="92" spans="1:32" x14ac:dyDescent="0.2">
      <c r="A92" s="3" t="str">
        <f>+VLOOKUP(B92,studies!$A$2:$C$102,3)</f>
        <v>Peck &amp; Teisberg (1993)</v>
      </c>
      <c r="B92" s="87">
        <v>11</v>
      </c>
      <c r="C92" s="5">
        <v>1993</v>
      </c>
      <c r="D92" s="5">
        <v>1</v>
      </c>
      <c r="E92" s="48">
        <v>1989</v>
      </c>
      <c r="F92" s="5">
        <v>2030</v>
      </c>
      <c r="G92" s="113">
        <v>1.9230769230769232E-2</v>
      </c>
      <c r="H92" s="7">
        <v>21.211560122949543</v>
      </c>
      <c r="I92" s="5">
        <v>0</v>
      </c>
      <c r="J92" s="5">
        <v>1</v>
      </c>
      <c r="K92" s="5">
        <v>0</v>
      </c>
      <c r="L92" s="7" t="s">
        <v>238</v>
      </c>
      <c r="M92" s="7" t="s">
        <v>238</v>
      </c>
      <c r="N92" s="7" t="s">
        <v>238</v>
      </c>
      <c r="O92" s="5">
        <v>0</v>
      </c>
      <c r="P92" s="5">
        <v>1</v>
      </c>
      <c r="Q92" s="5">
        <v>0</v>
      </c>
      <c r="R92" s="5">
        <v>1</v>
      </c>
      <c r="S92" s="5">
        <v>0</v>
      </c>
      <c r="T92" s="5">
        <v>0</v>
      </c>
      <c r="U92" s="5">
        <v>0</v>
      </c>
      <c r="V92" s="13">
        <v>5</v>
      </c>
      <c r="W92" s="13">
        <v>3</v>
      </c>
      <c r="X92" s="5"/>
      <c r="Y92" s="5"/>
      <c r="Z92" s="5"/>
      <c r="AA92" s="5">
        <v>0</v>
      </c>
      <c r="AB92" s="5"/>
      <c r="AC92" s="5">
        <v>0</v>
      </c>
      <c r="AD92" s="5">
        <v>0</v>
      </c>
      <c r="AE92" s="5">
        <v>0</v>
      </c>
      <c r="AF92" s="5">
        <v>1</v>
      </c>
    </row>
    <row r="93" spans="1:32" x14ac:dyDescent="0.2">
      <c r="A93" s="3" t="str">
        <f>+VLOOKUP(B93,studies!$A$2:$C$102,3)</f>
        <v>Peck &amp; Teisberg (1993)</v>
      </c>
      <c r="B93" s="87">
        <v>11</v>
      </c>
      <c r="C93" s="5">
        <v>1993</v>
      </c>
      <c r="D93" s="5">
        <v>1</v>
      </c>
      <c r="E93" s="48">
        <v>1989</v>
      </c>
      <c r="F93" s="5">
        <v>2030</v>
      </c>
      <c r="G93" s="113">
        <v>1.9230769230769232E-2</v>
      </c>
      <c r="H93" s="7">
        <v>21.322615411551372</v>
      </c>
      <c r="I93" s="5">
        <v>0</v>
      </c>
      <c r="J93" s="5">
        <v>1</v>
      </c>
      <c r="K93" s="5">
        <v>0</v>
      </c>
      <c r="L93" s="7" t="s">
        <v>238</v>
      </c>
      <c r="M93" s="7" t="s">
        <v>238</v>
      </c>
      <c r="N93" s="7" t="s">
        <v>238</v>
      </c>
      <c r="O93" s="5">
        <v>0</v>
      </c>
      <c r="P93" s="5">
        <v>1</v>
      </c>
      <c r="Q93" s="5">
        <v>0</v>
      </c>
      <c r="R93" s="5">
        <v>1</v>
      </c>
      <c r="S93" s="5">
        <v>0</v>
      </c>
      <c r="T93" s="5">
        <v>0</v>
      </c>
      <c r="U93" s="5">
        <v>0</v>
      </c>
      <c r="V93" s="13">
        <v>5</v>
      </c>
      <c r="W93" s="13">
        <v>3</v>
      </c>
      <c r="X93" s="5"/>
      <c r="Y93" s="5"/>
      <c r="Z93" s="5"/>
      <c r="AA93" s="5">
        <v>0</v>
      </c>
      <c r="AB93" s="5"/>
      <c r="AC93" s="5">
        <v>0</v>
      </c>
      <c r="AD93" s="5">
        <v>0</v>
      </c>
      <c r="AE93" s="5">
        <v>0</v>
      </c>
      <c r="AF93" s="5">
        <v>1</v>
      </c>
    </row>
    <row r="94" spans="1:32" x14ac:dyDescent="0.2">
      <c r="A94" s="3" t="str">
        <f>+VLOOKUP(B94,studies!$A$2:$C$102,3)</f>
        <v>Peck &amp; Teisberg (1993)</v>
      </c>
      <c r="B94" s="87">
        <v>11</v>
      </c>
      <c r="C94" s="5">
        <v>1993</v>
      </c>
      <c r="D94" s="5">
        <v>1</v>
      </c>
      <c r="E94" s="48">
        <v>1989</v>
      </c>
      <c r="F94" s="5">
        <v>2030</v>
      </c>
      <c r="G94" s="113">
        <v>1.9230769230769232E-2</v>
      </c>
      <c r="H94" s="7">
        <v>19.323620216718428</v>
      </c>
      <c r="I94" s="5">
        <v>0</v>
      </c>
      <c r="J94" s="5">
        <v>1</v>
      </c>
      <c r="K94" s="5">
        <v>0</v>
      </c>
      <c r="L94" s="7" t="s">
        <v>238</v>
      </c>
      <c r="M94" s="7" t="s">
        <v>238</v>
      </c>
      <c r="N94" s="7" t="s">
        <v>238</v>
      </c>
      <c r="O94" s="5">
        <v>0</v>
      </c>
      <c r="P94" s="5">
        <v>1</v>
      </c>
      <c r="Q94" s="5">
        <v>0</v>
      </c>
      <c r="R94" s="5">
        <v>1</v>
      </c>
      <c r="S94" s="5">
        <v>0</v>
      </c>
      <c r="T94" s="5">
        <v>0</v>
      </c>
      <c r="U94" s="5">
        <v>0</v>
      </c>
      <c r="V94" s="13">
        <v>5</v>
      </c>
      <c r="W94" s="13">
        <v>3</v>
      </c>
      <c r="X94" s="5"/>
      <c r="Y94" s="5"/>
      <c r="Z94" s="5"/>
      <c r="AA94" s="5">
        <v>0</v>
      </c>
      <c r="AB94" s="5"/>
      <c r="AC94" s="5">
        <v>0</v>
      </c>
      <c r="AD94" s="5">
        <v>0</v>
      </c>
      <c r="AE94" s="5">
        <v>0</v>
      </c>
      <c r="AF94" s="5">
        <v>1</v>
      </c>
    </row>
    <row r="95" spans="1:32" x14ac:dyDescent="0.2">
      <c r="A95" s="3" t="str">
        <f>+VLOOKUP(B95,studies!$A$2:$C$102,3)</f>
        <v>Peck &amp; Teisberg (1993)</v>
      </c>
      <c r="B95" s="87">
        <v>11</v>
      </c>
      <c r="C95" s="5">
        <v>1993</v>
      </c>
      <c r="D95" s="5">
        <v>1</v>
      </c>
      <c r="E95" s="48">
        <v>1989</v>
      </c>
      <c r="F95" s="5">
        <v>2030</v>
      </c>
      <c r="G95" s="113">
        <v>1.9230769230769232E-2</v>
      </c>
      <c r="H95" s="7">
        <v>25.320605801217255</v>
      </c>
      <c r="I95" s="5">
        <v>0</v>
      </c>
      <c r="J95" s="5">
        <v>1</v>
      </c>
      <c r="K95" s="5">
        <v>0</v>
      </c>
      <c r="L95" s="7" t="s">
        <v>238</v>
      </c>
      <c r="M95" s="7" t="s">
        <v>238</v>
      </c>
      <c r="N95" s="7" t="s">
        <v>238</v>
      </c>
      <c r="O95" s="5">
        <v>0</v>
      </c>
      <c r="P95" s="5">
        <v>1</v>
      </c>
      <c r="Q95" s="5">
        <v>0</v>
      </c>
      <c r="R95" s="5">
        <v>1</v>
      </c>
      <c r="S95" s="5">
        <v>0</v>
      </c>
      <c r="T95" s="5">
        <v>0</v>
      </c>
      <c r="U95" s="5">
        <v>0</v>
      </c>
      <c r="V95" s="13">
        <v>5</v>
      </c>
      <c r="W95" s="13">
        <v>3</v>
      </c>
      <c r="X95" s="5"/>
      <c r="Y95" s="5"/>
      <c r="Z95" s="5"/>
      <c r="AA95" s="5">
        <v>0</v>
      </c>
      <c r="AB95" s="5"/>
      <c r="AC95" s="5">
        <v>0</v>
      </c>
      <c r="AD95" s="5">
        <v>0</v>
      </c>
      <c r="AE95" s="5">
        <v>0</v>
      </c>
      <c r="AF95" s="5">
        <v>1</v>
      </c>
    </row>
    <row r="96" spans="1:32" x14ac:dyDescent="0.2">
      <c r="A96" s="3" t="str">
        <f>+VLOOKUP(B96,studies!$A$2:$C$102,3)</f>
        <v>Peck &amp; Teisberg (1993)</v>
      </c>
      <c r="B96" s="87">
        <v>11</v>
      </c>
      <c r="C96" s="5">
        <v>1993</v>
      </c>
      <c r="D96" s="5">
        <v>1</v>
      </c>
      <c r="E96" s="48">
        <v>1989</v>
      </c>
      <c r="F96" s="5">
        <v>2030</v>
      </c>
      <c r="G96" s="113">
        <v>1.9230769230769232E-2</v>
      </c>
      <c r="H96" s="7">
        <v>24.210052915198954</v>
      </c>
      <c r="I96" s="5">
        <v>0</v>
      </c>
      <c r="J96" s="5">
        <v>1</v>
      </c>
      <c r="K96" s="5">
        <v>0</v>
      </c>
      <c r="L96" s="7" t="s">
        <v>238</v>
      </c>
      <c r="M96" s="7" t="s">
        <v>238</v>
      </c>
      <c r="N96" s="7" t="s">
        <v>238</v>
      </c>
      <c r="O96" s="5">
        <v>0</v>
      </c>
      <c r="P96" s="5">
        <v>1</v>
      </c>
      <c r="Q96" s="5">
        <v>0</v>
      </c>
      <c r="R96" s="5">
        <v>1</v>
      </c>
      <c r="S96" s="5">
        <v>0</v>
      </c>
      <c r="T96" s="5">
        <v>0</v>
      </c>
      <c r="U96" s="5">
        <v>0</v>
      </c>
      <c r="V96" s="13">
        <v>5</v>
      </c>
      <c r="W96" s="13">
        <v>3</v>
      </c>
      <c r="X96" s="5"/>
      <c r="Y96" s="5"/>
      <c r="Z96" s="5"/>
      <c r="AA96" s="5">
        <v>0</v>
      </c>
      <c r="AB96" s="5"/>
      <c r="AC96" s="5">
        <v>0</v>
      </c>
      <c r="AD96" s="5">
        <v>0</v>
      </c>
      <c r="AE96" s="5">
        <v>0</v>
      </c>
      <c r="AF96" s="5">
        <v>1</v>
      </c>
    </row>
    <row r="97" spans="1:32" x14ac:dyDescent="0.2">
      <c r="A97" s="3" t="str">
        <f>+VLOOKUP(B97,studies!$A$2:$C$102,3)</f>
        <v>Peck &amp; Teisberg (1993)</v>
      </c>
      <c r="B97" s="87">
        <v>11</v>
      </c>
      <c r="C97" s="5">
        <v>1993</v>
      </c>
      <c r="D97" s="5">
        <v>1</v>
      </c>
      <c r="E97" s="48">
        <v>1989</v>
      </c>
      <c r="F97" s="5">
        <v>2030</v>
      </c>
      <c r="G97" s="113">
        <v>1.9230769230769232E-2</v>
      </c>
      <c r="H97" s="7">
        <v>24.765329358208103</v>
      </c>
      <c r="I97" s="5">
        <v>0</v>
      </c>
      <c r="J97" s="5">
        <v>1</v>
      </c>
      <c r="K97" s="5">
        <v>0</v>
      </c>
      <c r="L97" s="7" t="s">
        <v>238</v>
      </c>
      <c r="M97" s="7" t="s">
        <v>238</v>
      </c>
      <c r="N97" s="7" t="s">
        <v>238</v>
      </c>
      <c r="O97" s="5">
        <v>0</v>
      </c>
      <c r="P97" s="5">
        <v>1</v>
      </c>
      <c r="Q97" s="5">
        <v>0</v>
      </c>
      <c r="R97" s="5">
        <v>1</v>
      </c>
      <c r="S97" s="5">
        <v>0</v>
      </c>
      <c r="T97" s="5">
        <v>0</v>
      </c>
      <c r="U97" s="5">
        <v>0</v>
      </c>
      <c r="V97" s="13">
        <v>5</v>
      </c>
      <c r="W97" s="13">
        <v>3</v>
      </c>
      <c r="X97" s="5"/>
      <c r="Y97" s="5"/>
      <c r="Z97" s="5"/>
      <c r="AA97" s="5">
        <v>0</v>
      </c>
      <c r="AB97" s="5"/>
      <c r="AC97" s="5">
        <v>0</v>
      </c>
      <c r="AD97" s="5">
        <v>0</v>
      </c>
      <c r="AE97" s="5">
        <v>0</v>
      </c>
      <c r="AF97" s="5">
        <v>1</v>
      </c>
    </row>
    <row r="98" spans="1:32" x14ac:dyDescent="0.2">
      <c r="A98" s="3" t="str">
        <f>+VLOOKUP(B98,studies!$A$2:$C$102,3)</f>
        <v>Peck &amp; Teisberg (1993)</v>
      </c>
      <c r="B98" s="87">
        <v>11</v>
      </c>
      <c r="C98" s="5">
        <v>1993</v>
      </c>
      <c r="D98" s="5">
        <v>1</v>
      </c>
      <c r="E98" s="48">
        <v>1989</v>
      </c>
      <c r="F98" s="5">
        <v>2030</v>
      </c>
      <c r="G98" s="113">
        <v>1.9230769230769232E-2</v>
      </c>
      <c r="H98" s="7">
        <v>24.765329358208103</v>
      </c>
      <c r="I98" s="5">
        <v>0</v>
      </c>
      <c r="J98" s="5">
        <v>1</v>
      </c>
      <c r="K98" s="5">
        <v>0</v>
      </c>
      <c r="L98" s="7" t="s">
        <v>238</v>
      </c>
      <c r="M98" s="7" t="s">
        <v>238</v>
      </c>
      <c r="N98" s="7" t="s">
        <v>238</v>
      </c>
      <c r="O98" s="5">
        <v>0</v>
      </c>
      <c r="P98" s="5">
        <v>1</v>
      </c>
      <c r="Q98" s="5">
        <v>0</v>
      </c>
      <c r="R98" s="5">
        <v>1</v>
      </c>
      <c r="S98" s="5">
        <v>0</v>
      </c>
      <c r="T98" s="5">
        <v>0</v>
      </c>
      <c r="U98" s="5">
        <v>0</v>
      </c>
      <c r="V98" s="13">
        <v>5</v>
      </c>
      <c r="W98" s="13">
        <v>3</v>
      </c>
      <c r="X98" s="5"/>
      <c r="Y98" s="5"/>
      <c r="Z98" s="5"/>
      <c r="AA98" s="5">
        <v>0</v>
      </c>
      <c r="AB98" s="5"/>
      <c r="AC98" s="5">
        <v>0</v>
      </c>
      <c r="AD98" s="5">
        <v>0</v>
      </c>
      <c r="AE98" s="5">
        <v>0</v>
      </c>
      <c r="AF98" s="5">
        <v>1</v>
      </c>
    </row>
    <row r="99" spans="1:32" x14ac:dyDescent="0.2">
      <c r="A99" s="3" t="str">
        <f>+VLOOKUP(B99,studies!$A$2:$C$102,3)</f>
        <v>Peck &amp; Teisberg (1993)</v>
      </c>
      <c r="B99" s="87">
        <v>11</v>
      </c>
      <c r="C99" s="5">
        <v>1993</v>
      </c>
      <c r="D99" s="5">
        <v>1</v>
      </c>
      <c r="E99" s="48">
        <v>1989</v>
      </c>
      <c r="F99" s="5">
        <v>2030</v>
      </c>
      <c r="G99" s="113">
        <v>1.9230769230769232E-2</v>
      </c>
      <c r="H99" s="7">
        <v>24.876384646809932</v>
      </c>
      <c r="I99" s="5">
        <v>0</v>
      </c>
      <c r="J99" s="5">
        <v>1</v>
      </c>
      <c r="K99" s="5">
        <v>0</v>
      </c>
      <c r="L99" s="7" t="s">
        <v>238</v>
      </c>
      <c r="M99" s="7" t="s">
        <v>238</v>
      </c>
      <c r="N99" s="7" t="s">
        <v>238</v>
      </c>
      <c r="O99" s="5">
        <v>0</v>
      </c>
      <c r="P99" s="5">
        <v>1</v>
      </c>
      <c r="Q99" s="5">
        <v>0</v>
      </c>
      <c r="R99" s="5">
        <v>1</v>
      </c>
      <c r="S99" s="5">
        <v>0</v>
      </c>
      <c r="T99" s="5">
        <v>0</v>
      </c>
      <c r="U99" s="5">
        <v>0</v>
      </c>
      <c r="V99" s="13">
        <v>5</v>
      </c>
      <c r="W99" s="13">
        <v>3</v>
      </c>
      <c r="X99" s="5"/>
      <c r="Y99" s="5"/>
      <c r="Z99" s="5"/>
      <c r="AA99" s="5">
        <v>0</v>
      </c>
      <c r="AB99" s="5"/>
      <c r="AC99" s="5">
        <v>0</v>
      </c>
      <c r="AD99" s="5">
        <v>0</v>
      </c>
      <c r="AE99" s="5">
        <v>0</v>
      </c>
      <c r="AF99" s="5">
        <v>1</v>
      </c>
    </row>
    <row r="100" spans="1:32" x14ac:dyDescent="0.2">
      <c r="A100" s="3" t="str">
        <f>+VLOOKUP(B100,studies!$A$2:$C$102,3)</f>
        <v>Peck &amp; Teisberg (1993)</v>
      </c>
      <c r="B100" s="87">
        <v>11</v>
      </c>
      <c r="C100" s="5">
        <v>1993</v>
      </c>
      <c r="D100" s="5">
        <v>1</v>
      </c>
      <c r="E100" s="48">
        <v>1989</v>
      </c>
      <c r="F100" s="5">
        <v>2030</v>
      </c>
      <c r="G100" s="113">
        <v>1.9230769230769232E-2</v>
      </c>
      <c r="H100" s="7">
        <v>63.967846234654118</v>
      </c>
      <c r="I100" s="5">
        <v>0</v>
      </c>
      <c r="J100" s="5">
        <v>1</v>
      </c>
      <c r="K100" s="5">
        <v>0</v>
      </c>
      <c r="L100" s="7" t="s">
        <v>238</v>
      </c>
      <c r="M100" s="7" t="s">
        <v>238</v>
      </c>
      <c r="N100" s="7" t="s">
        <v>238</v>
      </c>
      <c r="O100" s="5">
        <v>0</v>
      </c>
      <c r="P100" s="5">
        <v>1</v>
      </c>
      <c r="Q100" s="5">
        <v>0</v>
      </c>
      <c r="R100" s="5">
        <v>1</v>
      </c>
      <c r="S100" s="5">
        <v>0</v>
      </c>
      <c r="T100" s="5">
        <v>0</v>
      </c>
      <c r="U100" s="5">
        <v>0</v>
      </c>
      <c r="V100" s="13">
        <v>5</v>
      </c>
      <c r="W100" s="13">
        <v>3</v>
      </c>
      <c r="X100" s="5"/>
      <c r="Y100" s="5"/>
      <c r="Z100" s="5"/>
      <c r="AA100" s="5">
        <v>0</v>
      </c>
      <c r="AB100" s="5"/>
      <c r="AC100" s="5">
        <v>0</v>
      </c>
      <c r="AD100" s="5">
        <v>0</v>
      </c>
      <c r="AE100" s="5">
        <v>0</v>
      </c>
      <c r="AF100" s="5">
        <v>1</v>
      </c>
    </row>
    <row r="101" spans="1:32" x14ac:dyDescent="0.2">
      <c r="A101" s="3" t="str">
        <f>+VLOOKUP(B101,studies!$A$2:$C$102,3)</f>
        <v>Peck &amp; Teisberg (1993)</v>
      </c>
      <c r="B101" s="87">
        <v>11</v>
      </c>
      <c r="C101" s="5">
        <v>1993</v>
      </c>
      <c r="D101" s="5">
        <v>1</v>
      </c>
      <c r="E101" s="48">
        <v>1989</v>
      </c>
      <c r="F101" s="5">
        <v>2030</v>
      </c>
      <c r="G101" s="113">
        <v>1.9230769230769232E-2</v>
      </c>
      <c r="H101" s="7">
        <v>43.977894286324712</v>
      </c>
      <c r="I101" s="5">
        <v>0</v>
      </c>
      <c r="J101" s="5">
        <v>1</v>
      </c>
      <c r="K101" s="5">
        <v>0</v>
      </c>
      <c r="L101" s="7" t="s">
        <v>238</v>
      </c>
      <c r="M101" s="7" t="s">
        <v>238</v>
      </c>
      <c r="N101" s="7" t="s">
        <v>238</v>
      </c>
      <c r="O101" s="5">
        <v>0</v>
      </c>
      <c r="P101" s="5">
        <v>1</v>
      </c>
      <c r="Q101" s="5">
        <v>0</v>
      </c>
      <c r="R101" s="5">
        <v>1</v>
      </c>
      <c r="S101" s="5">
        <v>0</v>
      </c>
      <c r="T101" s="5">
        <v>0</v>
      </c>
      <c r="U101" s="5">
        <v>0</v>
      </c>
      <c r="V101" s="13">
        <v>5</v>
      </c>
      <c r="W101" s="13">
        <v>3</v>
      </c>
      <c r="X101" s="5"/>
      <c r="Y101" s="5"/>
      <c r="Z101" s="5"/>
      <c r="AA101" s="5">
        <v>0</v>
      </c>
      <c r="AB101" s="5"/>
      <c r="AC101" s="5">
        <v>0</v>
      </c>
      <c r="AD101" s="5">
        <v>0</v>
      </c>
      <c r="AE101" s="5">
        <v>0</v>
      </c>
      <c r="AF101" s="5">
        <v>1</v>
      </c>
    </row>
    <row r="102" spans="1:32" x14ac:dyDescent="0.2">
      <c r="A102" s="3" t="str">
        <f>+VLOOKUP(B102,studies!$A$2:$C$102,3)</f>
        <v>Peck &amp; Teisberg (1993)</v>
      </c>
      <c r="B102" s="87">
        <v>11</v>
      </c>
      <c r="C102" s="5">
        <v>1993</v>
      </c>
      <c r="D102" s="5">
        <v>1</v>
      </c>
      <c r="E102" s="48">
        <v>1989</v>
      </c>
      <c r="F102" s="5">
        <v>2030</v>
      </c>
      <c r="G102" s="113">
        <v>1.9230769230769232E-2</v>
      </c>
      <c r="H102" s="7">
        <v>36.092968795594771</v>
      </c>
      <c r="I102" s="5">
        <v>0</v>
      </c>
      <c r="J102" s="5">
        <v>1</v>
      </c>
      <c r="K102" s="5">
        <v>0</v>
      </c>
      <c r="L102" s="7" t="s">
        <v>238</v>
      </c>
      <c r="M102" s="7" t="s">
        <v>238</v>
      </c>
      <c r="N102" s="7" t="s">
        <v>238</v>
      </c>
      <c r="O102" s="5">
        <v>0</v>
      </c>
      <c r="P102" s="5">
        <v>1</v>
      </c>
      <c r="Q102" s="5">
        <v>0</v>
      </c>
      <c r="R102" s="5">
        <v>1</v>
      </c>
      <c r="S102" s="5">
        <v>0</v>
      </c>
      <c r="T102" s="5">
        <v>0</v>
      </c>
      <c r="U102" s="5">
        <v>0</v>
      </c>
      <c r="V102" s="13">
        <v>5</v>
      </c>
      <c r="W102" s="13">
        <v>3</v>
      </c>
      <c r="X102" s="5"/>
      <c r="Y102" s="5"/>
      <c r="Z102" s="5"/>
      <c r="AA102" s="5">
        <v>0</v>
      </c>
      <c r="AB102" s="5"/>
      <c r="AC102" s="5">
        <v>0</v>
      </c>
      <c r="AD102" s="5">
        <v>0</v>
      </c>
      <c r="AE102" s="5">
        <v>0</v>
      </c>
      <c r="AF102" s="5">
        <v>1</v>
      </c>
    </row>
    <row r="103" spans="1:32" x14ac:dyDescent="0.2">
      <c r="A103" s="3" t="str">
        <f>+VLOOKUP(B103,studies!$A$2:$C$102,3)</f>
        <v>Peck &amp; Teisberg (1993)</v>
      </c>
      <c r="B103" s="87">
        <v>11</v>
      </c>
      <c r="C103" s="5">
        <v>1993</v>
      </c>
      <c r="D103" s="5">
        <v>1</v>
      </c>
      <c r="E103" s="48">
        <v>1989</v>
      </c>
      <c r="F103" s="5">
        <v>2030</v>
      </c>
      <c r="G103" s="113">
        <v>1.9230769230769232E-2</v>
      </c>
      <c r="H103" s="7">
        <v>57.637694784349804</v>
      </c>
      <c r="I103" s="5">
        <v>0</v>
      </c>
      <c r="J103" s="5">
        <v>1</v>
      </c>
      <c r="K103" s="5">
        <v>0</v>
      </c>
      <c r="L103" s="7" t="s">
        <v>238</v>
      </c>
      <c r="M103" s="7" t="s">
        <v>238</v>
      </c>
      <c r="N103" s="7" t="s">
        <v>238</v>
      </c>
      <c r="O103" s="5">
        <v>0</v>
      </c>
      <c r="P103" s="5">
        <v>1</v>
      </c>
      <c r="Q103" s="5">
        <v>0</v>
      </c>
      <c r="R103" s="5">
        <v>1</v>
      </c>
      <c r="S103" s="5">
        <v>0</v>
      </c>
      <c r="T103" s="5">
        <v>0</v>
      </c>
      <c r="U103" s="5">
        <v>0</v>
      </c>
      <c r="V103" s="13">
        <v>5</v>
      </c>
      <c r="W103" s="13">
        <v>3</v>
      </c>
      <c r="X103" s="5"/>
      <c r="Y103" s="5"/>
      <c r="Z103" s="5"/>
      <c r="AA103" s="5">
        <v>0</v>
      </c>
      <c r="AB103" s="5"/>
      <c r="AC103" s="5">
        <v>0</v>
      </c>
      <c r="AD103" s="5">
        <v>0</v>
      </c>
      <c r="AE103" s="5">
        <v>0</v>
      </c>
      <c r="AF103" s="5">
        <v>1</v>
      </c>
    </row>
    <row r="104" spans="1:32" x14ac:dyDescent="0.2">
      <c r="A104" s="3" t="str">
        <f>+VLOOKUP(B104,studies!$A$2:$C$102,3)</f>
        <v>Peck &amp; Teisberg (1993)</v>
      </c>
      <c r="B104" s="87">
        <v>11</v>
      </c>
      <c r="C104" s="5">
        <v>1993</v>
      </c>
      <c r="D104" s="5">
        <v>1</v>
      </c>
      <c r="E104" s="48">
        <v>1989</v>
      </c>
      <c r="F104" s="5">
        <v>2030</v>
      </c>
      <c r="G104" s="113">
        <v>1.9230769230769232E-2</v>
      </c>
      <c r="H104" s="7">
        <v>27.541711573253856</v>
      </c>
      <c r="I104" s="5">
        <v>0</v>
      </c>
      <c r="J104" s="5">
        <v>1</v>
      </c>
      <c r="K104" s="5">
        <v>0</v>
      </c>
      <c r="L104" s="7" t="s">
        <v>238</v>
      </c>
      <c r="M104" s="7" t="s">
        <v>238</v>
      </c>
      <c r="N104" s="7" t="s">
        <v>238</v>
      </c>
      <c r="O104" s="5">
        <v>0</v>
      </c>
      <c r="P104" s="5">
        <v>1</v>
      </c>
      <c r="Q104" s="5">
        <v>0</v>
      </c>
      <c r="R104" s="5">
        <v>1</v>
      </c>
      <c r="S104" s="5">
        <v>0</v>
      </c>
      <c r="T104" s="5">
        <v>0</v>
      </c>
      <c r="U104" s="5">
        <v>0</v>
      </c>
      <c r="V104" s="13">
        <v>5</v>
      </c>
      <c r="W104" s="13">
        <v>3</v>
      </c>
      <c r="X104" s="5"/>
      <c r="Y104" s="5"/>
      <c r="Z104" s="5"/>
      <c r="AA104" s="5">
        <v>0</v>
      </c>
      <c r="AB104" s="5"/>
      <c r="AC104" s="5">
        <v>0</v>
      </c>
      <c r="AD104" s="5">
        <v>0</v>
      </c>
      <c r="AE104" s="5">
        <v>0</v>
      </c>
      <c r="AF104" s="5">
        <v>1</v>
      </c>
    </row>
    <row r="105" spans="1:32" x14ac:dyDescent="0.2">
      <c r="A105" s="3" t="str">
        <f>+VLOOKUP(B105,studies!$A$2:$C$102,3)</f>
        <v>Peck &amp; Teisberg (1993)</v>
      </c>
      <c r="B105" s="87">
        <v>11</v>
      </c>
      <c r="C105" s="5">
        <v>1993</v>
      </c>
      <c r="D105" s="5">
        <v>1</v>
      </c>
      <c r="E105" s="48">
        <v>1989</v>
      </c>
      <c r="F105" s="5">
        <v>2030</v>
      </c>
      <c r="G105" s="113">
        <v>1.9230769230769232E-2</v>
      </c>
      <c r="H105" s="7">
        <v>27.874877439059347</v>
      </c>
      <c r="I105" s="5">
        <v>0</v>
      </c>
      <c r="J105" s="5">
        <v>1</v>
      </c>
      <c r="K105" s="5">
        <v>0</v>
      </c>
      <c r="L105" s="7" t="s">
        <v>238</v>
      </c>
      <c r="M105" s="7" t="s">
        <v>238</v>
      </c>
      <c r="N105" s="7" t="s">
        <v>238</v>
      </c>
      <c r="O105" s="5">
        <v>0</v>
      </c>
      <c r="P105" s="5">
        <v>1</v>
      </c>
      <c r="Q105" s="5">
        <v>0</v>
      </c>
      <c r="R105" s="5">
        <v>1</v>
      </c>
      <c r="S105" s="5">
        <v>0</v>
      </c>
      <c r="T105" s="5">
        <v>0</v>
      </c>
      <c r="U105" s="5">
        <v>0</v>
      </c>
      <c r="V105" s="13">
        <v>5</v>
      </c>
      <c r="W105" s="13">
        <v>3</v>
      </c>
      <c r="X105" s="5"/>
      <c r="Y105" s="5"/>
      <c r="Z105" s="5"/>
      <c r="AA105" s="5">
        <v>0</v>
      </c>
      <c r="AB105" s="5"/>
      <c r="AC105" s="5">
        <v>0</v>
      </c>
      <c r="AD105" s="5">
        <v>0</v>
      </c>
      <c r="AE105" s="5">
        <v>0</v>
      </c>
      <c r="AF105" s="5">
        <v>1</v>
      </c>
    </row>
    <row r="106" spans="1:32" x14ac:dyDescent="0.2">
      <c r="A106" s="3" t="str">
        <f>+VLOOKUP(B106,studies!$A$2:$C$102,3)</f>
        <v>Peck &amp; Teisberg (1993)</v>
      </c>
      <c r="B106" s="87">
        <v>11</v>
      </c>
      <c r="C106" s="5">
        <v>1993</v>
      </c>
      <c r="D106" s="5">
        <v>1</v>
      </c>
      <c r="E106" s="48">
        <v>1989</v>
      </c>
      <c r="F106" s="5">
        <v>2030</v>
      </c>
      <c r="G106" s="113">
        <v>1.9230769230769232E-2</v>
      </c>
      <c r="H106" s="7">
        <v>31.42864667431791</v>
      </c>
      <c r="I106" s="5">
        <v>0</v>
      </c>
      <c r="J106" s="5">
        <v>1</v>
      </c>
      <c r="K106" s="5">
        <v>0</v>
      </c>
      <c r="L106" s="7" t="s">
        <v>238</v>
      </c>
      <c r="M106" s="7" t="s">
        <v>238</v>
      </c>
      <c r="N106" s="7" t="s">
        <v>238</v>
      </c>
      <c r="O106" s="5">
        <v>0</v>
      </c>
      <c r="P106" s="5">
        <v>1</v>
      </c>
      <c r="Q106" s="5">
        <v>0</v>
      </c>
      <c r="R106" s="5">
        <v>1</v>
      </c>
      <c r="S106" s="5">
        <v>0</v>
      </c>
      <c r="T106" s="5">
        <v>0</v>
      </c>
      <c r="U106" s="5">
        <v>0</v>
      </c>
      <c r="V106" s="13">
        <v>5</v>
      </c>
      <c r="W106" s="13">
        <v>3</v>
      </c>
      <c r="X106" s="5"/>
      <c r="Y106" s="5"/>
      <c r="Z106" s="5"/>
      <c r="AA106" s="5">
        <v>0</v>
      </c>
      <c r="AB106" s="5"/>
      <c r="AC106" s="5">
        <v>0</v>
      </c>
      <c r="AD106" s="5">
        <v>0</v>
      </c>
      <c r="AE106" s="5">
        <v>0</v>
      </c>
      <c r="AF106" s="5">
        <v>1</v>
      </c>
    </row>
    <row r="107" spans="1:32" x14ac:dyDescent="0.2">
      <c r="A107" s="3" t="str">
        <f>+VLOOKUP(B107,studies!$A$2:$C$102,3)</f>
        <v>Peck &amp; Teisberg (1993)</v>
      </c>
      <c r="B107" s="87">
        <v>11</v>
      </c>
      <c r="C107" s="5">
        <v>1993</v>
      </c>
      <c r="D107" s="5">
        <v>1</v>
      </c>
      <c r="E107" s="48">
        <v>1989</v>
      </c>
      <c r="F107" s="5">
        <v>2030</v>
      </c>
      <c r="G107" s="113">
        <v>1.9230769230769232E-2</v>
      </c>
      <c r="H107" s="7">
        <v>13.992966363830588</v>
      </c>
      <c r="I107" s="5">
        <v>0</v>
      </c>
      <c r="J107" s="5">
        <v>1</v>
      </c>
      <c r="K107" s="5">
        <v>0</v>
      </c>
      <c r="L107" s="7" t="s">
        <v>238</v>
      </c>
      <c r="M107" s="7" t="s">
        <v>238</v>
      </c>
      <c r="N107" s="7" t="s">
        <v>238</v>
      </c>
      <c r="O107" s="5">
        <v>0</v>
      </c>
      <c r="P107" s="5">
        <v>1</v>
      </c>
      <c r="Q107" s="5">
        <v>0</v>
      </c>
      <c r="R107" s="5">
        <v>1</v>
      </c>
      <c r="S107" s="5">
        <v>0</v>
      </c>
      <c r="T107" s="5">
        <v>0</v>
      </c>
      <c r="U107" s="5">
        <v>0</v>
      </c>
      <c r="V107" s="13"/>
      <c r="W107" s="13" t="s">
        <v>25</v>
      </c>
      <c r="X107" s="5"/>
      <c r="Y107" s="5"/>
      <c r="Z107" s="5"/>
      <c r="AA107" s="5">
        <v>0</v>
      </c>
      <c r="AB107" s="5"/>
      <c r="AC107" s="5">
        <v>0</v>
      </c>
      <c r="AD107" s="5">
        <v>0</v>
      </c>
      <c r="AE107" s="5">
        <v>0</v>
      </c>
      <c r="AF107" s="5">
        <v>1</v>
      </c>
    </row>
    <row r="108" spans="1:32" x14ac:dyDescent="0.2">
      <c r="A108" s="3" t="str">
        <f>+VLOOKUP(B108,studies!$A$2:$C$102,3)</f>
        <v>Peck &amp; Teisberg (1993)</v>
      </c>
      <c r="B108" s="87">
        <v>11</v>
      </c>
      <c r="C108" s="5">
        <v>1993</v>
      </c>
      <c r="D108" s="5">
        <v>1</v>
      </c>
      <c r="E108" s="48">
        <v>1989</v>
      </c>
      <c r="F108" s="5">
        <v>2030</v>
      </c>
      <c r="G108" s="113">
        <v>1.9230769230769232E-2</v>
      </c>
      <c r="H108" s="7">
        <v>49.863824582221696</v>
      </c>
      <c r="I108" s="5">
        <v>0</v>
      </c>
      <c r="J108" s="5">
        <v>1</v>
      </c>
      <c r="K108" s="5">
        <v>0</v>
      </c>
      <c r="L108" s="7" t="s">
        <v>238</v>
      </c>
      <c r="M108" s="7" t="s">
        <v>238</v>
      </c>
      <c r="N108" s="7" t="s">
        <v>238</v>
      </c>
      <c r="O108" s="5">
        <v>0</v>
      </c>
      <c r="P108" s="5">
        <v>1</v>
      </c>
      <c r="Q108" s="5">
        <v>0</v>
      </c>
      <c r="R108" s="5">
        <v>1</v>
      </c>
      <c r="S108" s="5">
        <v>0</v>
      </c>
      <c r="T108" s="5">
        <v>0</v>
      </c>
      <c r="U108" s="5">
        <v>0</v>
      </c>
      <c r="V108" s="13"/>
      <c r="W108" s="13" t="s">
        <v>25</v>
      </c>
      <c r="X108" s="5"/>
      <c r="Y108" s="5"/>
      <c r="Z108" s="5"/>
      <c r="AA108" s="5">
        <v>0</v>
      </c>
      <c r="AB108" s="5"/>
      <c r="AC108" s="5">
        <v>0</v>
      </c>
      <c r="AD108" s="5">
        <v>0</v>
      </c>
      <c r="AE108" s="5">
        <v>0</v>
      </c>
      <c r="AF108" s="5">
        <v>1</v>
      </c>
    </row>
    <row r="109" spans="1:32" x14ac:dyDescent="0.2">
      <c r="A109" s="3" t="str">
        <f>+VLOOKUP(B109,studies!$A$2:$C$102,3)</f>
        <v>Reilly &amp; Richards (1993)</v>
      </c>
      <c r="B109" s="87">
        <v>12</v>
      </c>
      <c r="C109" s="5">
        <v>1993</v>
      </c>
      <c r="D109" s="5">
        <v>1</v>
      </c>
      <c r="E109" s="48">
        <v>1990</v>
      </c>
      <c r="F109" s="5">
        <v>1990</v>
      </c>
      <c r="G109" s="113">
        <v>0.2</v>
      </c>
      <c r="H109" s="7">
        <v>51.322406156611436</v>
      </c>
      <c r="I109" s="5">
        <v>0</v>
      </c>
      <c r="J109" s="5">
        <v>1</v>
      </c>
      <c r="K109" s="5">
        <v>0</v>
      </c>
      <c r="L109" s="7" t="s">
        <v>238</v>
      </c>
      <c r="M109" s="7" t="s">
        <v>238</v>
      </c>
      <c r="N109" s="7" t="s">
        <v>238</v>
      </c>
      <c r="O109" s="5">
        <v>0</v>
      </c>
      <c r="P109" s="5">
        <v>1</v>
      </c>
      <c r="Q109" s="5">
        <v>0</v>
      </c>
      <c r="R109" s="5">
        <v>0</v>
      </c>
      <c r="S109" s="5">
        <v>0</v>
      </c>
      <c r="T109" s="5">
        <v>0</v>
      </c>
      <c r="U109" s="5">
        <v>0</v>
      </c>
      <c r="V109" s="13">
        <v>5</v>
      </c>
      <c r="W109" s="13">
        <v>3</v>
      </c>
      <c r="X109" s="5"/>
      <c r="Y109" s="5"/>
      <c r="Z109" s="5"/>
      <c r="AA109" s="5">
        <v>0</v>
      </c>
      <c r="AB109" s="5"/>
      <c r="AC109" s="5">
        <v>0</v>
      </c>
      <c r="AD109" s="5">
        <v>0</v>
      </c>
      <c r="AE109" s="5">
        <v>0</v>
      </c>
      <c r="AF109" s="5">
        <v>0</v>
      </c>
    </row>
    <row r="110" spans="1:32" x14ac:dyDescent="0.2">
      <c r="A110" s="3" t="str">
        <f>+VLOOKUP(B110,studies!$A$2:$C$102,3)</f>
        <v>Reilly &amp; Richards (1993)</v>
      </c>
      <c r="B110" s="87">
        <v>12</v>
      </c>
      <c r="C110" s="5">
        <v>1993</v>
      </c>
      <c r="D110" s="5">
        <v>1</v>
      </c>
      <c r="E110" s="48">
        <v>1990</v>
      </c>
      <c r="F110" s="5">
        <v>1990</v>
      </c>
      <c r="G110" s="113">
        <v>0.2</v>
      </c>
      <c r="H110" s="7">
        <v>76.325629668806755</v>
      </c>
      <c r="I110" s="5">
        <v>0</v>
      </c>
      <c r="J110" s="5">
        <v>1</v>
      </c>
      <c r="K110" s="5">
        <v>0</v>
      </c>
      <c r="L110" s="7" t="s">
        <v>238</v>
      </c>
      <c r="M110" s="7" t="s">
        <v>238</v>
      </c>
      <c r="N110" s="7" t="s">
        <v>238</v>
      </c>
      <c r="O110" s="5">
        <v>0</v>
      </c>
      <c r="P110" s="5">
        <v>1</v>
      </c>
      <c r="Q110" s="5">
        <v>0</v>
      </c>
      <c r="R110" s="5">
        <v>0</v>
      </c>
      <c r="S110" s="5">
        <v>0</v>
      </c>
      <c r="T110" s="5">
        <v>0</v>
      </c>
      <c r="U110" s="5">
        <v>0</v>
      </c>
      <c r="V110" s="13">
        <v>5</v>
      </c>
      <c r="W110" s="13">
        <v>3</v>
      </c>
      <c r="X110" s="5"/>
      <c r="Y110" s="5"/>
      <c r="Z110" s="5"/>
      <c r="AA110" s="5">
        <v>0</v>
      </c>
      <c r="AB110" s="5"/>
      <c r="AC110" s="5">
        <v>0</v>
      </c>
      <c r="AD110" s="5">
        <v>0</v>
      </c>
      <c r="AE110" s="5">
        <v>0</v>
      </c>
      <c r="AF110" s="5">
        <v>0</v>
      </c>
    </row>
    <row r="111" spans="1:32" x14ac:dyDescent="0.2">
      <c r="A111" s="3" t="str">
        <f>+VLOOKUP(B111,studies!$A$2:$C$102,3)</f>
        <v>Reilly &amp; Richards (1993)</v>
      </c>
      <c r="B111" s="87">
        <v>12</v>
      </c>
      <c r="C111" s="5">
        <v>1993</v>
      </c>
      <c r="D111" s="5">
        <v>1</v>
      </c>
      <c r="E111" s="48">
        <v>1990</v>
      </c>
      <c r="F111" s="5">
        <v>1990</v>
      </c>
      <c r="G111" s="113">
        <v>0.1</v>
      </c>
      <c r="H111" s="7">
        <v>184.23427851091284</v>
      </c>
      <c r="I111" s="5">
        <v>0</v>
      </c>
      <c r="J111" s="5">
        <v>1</v>
      </c>
      <c r="K111" s="5">
        <v>0</v>
      </c>
      <c r="L111" s="7" t="s">
        <v>238</v>
      </c>
      <c r="M111" s="7" t="s">
        <v>238</v>
      </c>
      <c r="N111" s="7" t="s">
        <v>238</v>
      </c>
      <c r="O111" s="5">
        <v>0</v>
      </c>
      <c r="P111" s="5">
        <v>1</v>
      </c>
      <c r="Q111" s="5">
        <v>0</v>
      </c>
      <c r="R111" s="5">
        <v>0</v>
      </c>
      <c r="S111" s="5">
        <v>0</v>
      </c>
      <c r="T111" s="5">
        <v>0</v>
      </c>
      <c r="U111" s="5">
        <v>0</v>
      </c>
      <c r="V111" s="13">
        <v>2</v>
      </c>
      <c r="W111" s="13">
        <v>0</v>
      </c>
      <c r="X111" s="5"/>
      <c r="Y111" s="5"/>
      <c r="Z111" s="5"/>
      <c r="AA111" s="5">
        <v>0</v>
      </c>
      <c r="AB111" s="5"/>
      <c r="AC111" s="5">
        <v>0</v>
      </c>
      <c r="AD111" s="5">
        <v>0</v>
      </c>
      <c r="AE111" s="5">
        <v>0</v>
      </c>
      <c r="AF111" s="5">
        <v>0</v>
      </c>
    </row>
    <row r="112" spans="1:32" x14ac:dyDescent="0.2">
      <c r="A112" s="3" t="str">
        <f>+VLOOKUP(B112,studies!$A$2:$C$102,3)</f>
        <v>Reilly &amp; Richards (1993)</v>
      </c>
      <c r="B112" s="87">
        <v>12</v>
      </c>
      <c r="C112" s="5">
        <v>1993</v>
      </c>
      <c r="D112" s="5">
        <v>1</v>
      </c>
      <c r="E112" s="48">
        <v>1990</v>
      </c>
      <c r="F112" s="5">
        <v>1990</v>
      </c>
      <c r="G112" s="113">
        <v>0.1</v>
      </c>
      <c r="H112" s="7">
        <v>157.91509586649673</v>
      </c>
      <c r="I112" s="5">
        <v>0</v>
      </c>
      <c r="J112" s="5">
        <v>1</v>
      </c>
      <c r="K112" s="5">
        <v>0</v>
      </c>
      <c r="L112" s="7" t="s">
        <v>238</v>
      </c>
      <c r="M112" s="7" t="s">
        <v>238</v>
      </c>
      <c r="N112" s="7" t="s">
        <v>238</v>
      </c>
      <c r="O112" s="5">
        <v>0</v>
      </c>
      <c r="P112" s="5">
        <v>1</v>
      </c>
      <c r="Q112" s="5">
        <v>0</v>
      </c>
      <c r="R112" s="5">
        <v>0</v>
      </c>
      <c r="S112" s="5">
        <v>0</v>
      </c>
      <c r="T112" s="5">
        <v>0</v>
      </c>
      <c r="U112" s="5">
        <v>0</v>
      </c>
      <c r="V112" s="13">
        <v>2</v>
      </c>
      <c r="W112" s="13">
        <v>0</v>
      </c>
      <c r="X112" s="5"/>
      <c r="Y112" s="5"/>
      <c r="Z112" s="5"/>
      <c r="AA112" s="5">
        <v>0</v>
      </c>
      <c r="AB112" s="5"/>
      <c r="AC112" s="5">
        <v>0</v>
      </c>
      <c r="AD112" s="5">
        <v>0</v>
      </c>
      <c r="AE112" s="5">
        <v>0</v>
      </c>
      <c r="AF112" s="5">
        <v>0</v>
      </c>
    </row>
    <row r="113" spans="1:32" x14ac:dyDescent="0.2">
      <c r="A113" s="3" t="str">
        <f>+VLOOKUP(B113,studies!$A$2:$C$102,3)</f>
        <v>Reilly &amp; Richards (1993)</v>
      </c>
      <c r="B113" s="87">
        <v>12</v>
      </c>
      <c r="C113" s="5">
        <v>1993</v>
      </c>
      <c r="D113" s="5">
        <v>1</v>
      </c>
      <c r="E113" s="48">
        <v>1990</v>
      </c>
      <c r="F113" s="5">
        <v>1990</v>
      </c>
      <c r="G113" s="113">
        <v>0.1</v>
      </c>
      <c r="H113" s="7">
        <v>28.95110090885774</v>
      </c>
      <c r="I113" s="5">
        <v>0</v>
      </c>
      <c r="J113" s="5">
        <v>1</v>
      </c>
      <c r="K113" s="5">
        <v>0</v>
      </c>
      <c r="L113" s="7" t="s">
        <v>238</v>
      </c>
      <c r="M113" s="7" t="s">
        <v>238</v>
      </c>
      <c r="N113" s="7" t="s">
        <v>238</v>
      </c>
      <c r="O113" s="5">
        <v>0</v>
      </c>
      <c r="P113" s="5">
        <v>1</v>
      </c>
      <c r="Q113" s="5">
        <v>0</v>
      </c>
      <c r="R113" s="5">
        <v>0</v>
      </c>
      <c r="S113" s="5">
        <v>0</v>
      </c>
      <c r="T113" s="5">
        <v>0</v>
      </c>
      <c r="U113" s="5">
        <v>0</v>
      </c>
      <c r="V113" s="13">
        <v>8</v>
      </c>
      <c r="W113" s="13">
        <v>6</v>
      </c>
      <c r="X113" s="5"/>
      <c r="Y113" s="5"/>
      <c r="Z113" s="5"/>
      <c r="AA113" s="5">
        <v>0</v>
      </c>
      <c r="AB113" s="5"/>
      <c r="AC113" s="5">
        <v>0</v>
      </c>
      <c r="AD113" s="5">
        <v>0</v>
      </c>
      <c r="AE113" s="5">
        <v>0</v>
      </c>
      <c r="AF113" s="5">
        <v>0</v>
      </c>
    </row>
    <row r="114" spans="1:32" x14ac:dyDescent="0.2">
      <c r="A114" s="3" t="str">
        <f>+VLOOKUP(B114,studies!$A$2:$C$102,3)</f>
        <v>Reilly &amp; Richards (1993)</v>
      </c>
      <c r="B114" s="87">
        <v>12</v>
      </c>
      <c r="C114" s="5">
        <v>1993</v>
      </c>
      <c r="D114" s="5">
        <v>1</v>
      </c>
      <c r="E114" s="48">
        <v>1990</v>
      </c>
      <c r="F114" s="5">
        <v>1990</v>
      </c>
      <c r="G114" s="113">
        <v>0.1</v>
      </c>
      <c r="H114" s="7">
        <v>50.006447024390631</v>
      </c>
      <c r="I114" s="5">
        <v>0</v>
      </c>
      <c r="J114" s="5">
        <v>1</v>
      </c>
      <c r="K114" s="5">
        <v>0</v>
      </c>
      <c r="L114" s="7" t="s">
        <v>238</v>
      </c>
      <c r="M114" s="7" t="s">
        <v>238</v>
      </c>
      <c r="N114" s="7" t="s">
        <v>238</v>
      </c>
      <c r="O114" s="5">
        <v>0</v>
      </c>
      <c r="P114" s="5">
        <v>1</v>
      </c>
      <c r="Q114" s="5">
        <v>0</v>
      </c>
      <c r="R114" s="5">
        <v>0</v>
      </c>
      <c r="S114" s="5">
        <v>0</v>
      </c>
      <c r="T114" s="5">
        <v>0</v>
      </c>
      <c r="U114" s="5">
        <v>0</v>
      </c>
      <c r="V114" s="13">
        <v>8</v>
      </c>
      <c r="W114" s="13">
        <v>6</v>
      </c>
      <c r="X114" s="5"/>
      <c r="Y114" s="5"/>
      <c r="Z114" s="5"/>
      <c r="AA114" s="5">
        <v>0</v>
      </c>
      <c r="AB114" s="5"/>
      <c r="AC114" s="5">
        <v>0</v>
      </c>
      <c r="AD114" s="5">
        <v>0</v>
      </c>
      <c r="AE114" s="5">
        <v>0</v>
      </c>
      <c r="AF114" s="5">
        <v>0</v>
      </c>
    </row>
    <row r="115" spans="1:32" x14ac:dyDescent="0.2">
      <c r="A115" s="3" t="str">
        <f>+VLOOKUP(B115,studies!$A$2:$C$102,3)</f>
        <v>Reilly &amp; Richards (1993)</v>
      </c>
      <c r="B115" s="87">
        <v>12</v>
      </c>
      <c r="C115" s="5">
        <v>1993</v>
      </c>
      <c r="D115" s="5">
        <v>1</v>
      </c>
      <c r="E115" s="48">
        <v>1990</v>
      </c>
      <c r="F115" s="5">
        <v>1990</v>
      </c>
      <c r="G115" s="113">
        <v>0.1</v>
      </c>
      <c r="H115" s="7">
        <v>67.113915743261103</v>
      </c>
      <c r="I115" s="5">
        <v>0</v>
      </c>
      <c r="J115" s="5">
        <v>1</v>
      </c>
      <c r="K115" s="5">
        <v>0</v>
      </c>
      <c r="L115" s="7" t="s">
        <v>238</v>
      </c>
      <c r="M115" s="7" t="s">
        <v>238</v>
      </c>
      <c r="N115" s="7" t="s">
        <v>238</v>
      </c>
      <c r="O115" s="5">
        <v>0</v>
      </c>
      <c r="P115" s="5">
        <v>1</v>
      </c>
      <c r="Q115" s="5">
        <v>0</v>
      </c>
      <c r="R115" s="5">
        <v>0</v>
      </c>
      <c r="S115" s="5">
        <v>0</v>
      </c>
      <c r="T115" s="5">
        <v>0</v>
      </c>
      <c r="U115" s="5">
        <v>0</v>
      </c>
      <c r="V115" s="13">
        <v>5</v>
      </c>
      <c r="W115" s="13">
        <v>3</v>
      </c>
      <c r="X115" s="5"/>
      <c r="Y115" s="5"/>
      <c r="Z115" s="5"/>
      <c r="AA115" s="5">
        <v>0</v>
      </c>
      <c r="AB115" s="5"/>
      <c r="AC115" s="5">
        <v>0</v>
      </c>
      <c r="AD115" s="5">
        <v>0</v>
      </c>
      <c r="AE115" s="5">
        <v>0</v>
      </c>
      <c r="AF115" s="5">
        <v>0</v>
      </c>
    </row>
    <row r="116" spans="1:32" x14ac:dyDescent="0.2">
      <c r="A116" s="3" t="str">
        <f>+VLOOKUP(B116,studies!$A$2:$C$102,3)</f>
        <v>Reilly &amp; Richards (1993)</v>
      </c>
      <c r="B116" s="87">
        <v>12</v>
      </c>
      <c r="C116" s="5">
        <v>1993</v>
      </c>
      <c r="D116" s="5">
        <v>1</v>
      </c>
      <c r="E116" s="48">
        <v>1990</v>
      </c>
      <c r="F116" s="5">
        <v>1990</v>
      </c>
      <c r="G116" s="113">
        <v>0.1</v>
      </c>
      <c r="H116" s="7">
        <v>80.273507065469161</v>
      </c>
      <c r="I116" s="5">
        <v>0</v>
      </c>
      <c r="J116" s="5">
        <v>1</v>
      </c>
      <c r="K116" s="5">
        <v>0</v>
      </c>
      <c r="L116" s="7" t="s">
        <v>238</v>
      </c>
      <c r="M116" s="7" t="s">
        <v>238</v>
      </c>
      <c r="N116" s="7" t="s">
        <v>238</v>
      </c>
      <c r="O116" s="5">
        <v>0</v>
      </c>
      <c r="P116" s="5">
        <v>1</v>
      </c>
      <c r="Q116" s="5">
        <v>0</v>
      </c>
      <c r="R116" s="5">
        <v>0</v>
      </c>
      <c r="S116" s="5">
        <v>0</v>
      </c>
      <c r="T116" s="5">
        <v>0</v>
      </c>
      <c r="U116" s="5">
        <v>0</v>
      </c>
      <c r="V116" s="13">
        <v>5</v>
      </c>
      <c r="W116" s="13">
        <v>3</v>
      </c>
      <c r="X116" s="5"/>
      <c r="Y116" s="5"/>
      <c r="Z116" s="5"/>
      <c r="AA116" s="5">
        <v>0</v>
      </c>
      <c r="AB116" s="5"/>
      <c r="AC116" s="5">
        <v>0</v>
      </c>
      <c r="AD116" s="5">
        <v>0</v>
      </c>
      <c r="AE116" s="5">
        <v>0</v>
      </c>
      <c r="AF116" s="5">
        <v>0</v>
      </c>
    </row>
    <row r="117" spans="1:32" x14ac:dyDescent="0.2">
      <c r="A117" s="3" t="str">
        <f>+VLOOKUP(B117,studies!$A$2:$C$102,3)</f>
        <v>Azar (1994)</v>
      </c>
      <c r="B117" s="87">
        <v>13</v>
      </c>
      <c r="C117" s="5">
        <v>1994</v>
      </c>
      <c r="D117" s="5">
        <v>1</v>
      </c>
      <c r="E117" s="48">
        <v>1990</v>
      </c>
      <c r="F117" s="48">
        <v>1990</v>
      </c>
      <c r="G117" s="115">
        <v>0.25</v>
      </c>
      <c r="H117" s="7">
        <v>179.44897257556445</v>
      </c>
      <c r="I117" s="5">
        <v>0</v>
      </c>
      <c r="J117" s="5">
        <v>1</v>
      </c>
      <c r="K117" s="5">
        <v>0</v>
      </c>
      <c r="L117" s="7" t="s">
        <v>238</v>
      </c>
      <c r="M117" s="7" t="s">
        <v>238</v>
      </c>
      <c r="N117" s="7" t="s">
        <v>238</v>
      </c>
      <c r="O117" s="5">
        <v>0</v>
      </c>
      <c r="P117" s="5">
        <v>0</v>
      </c>
      <c r="Q117" s="5">
        <v>0</v>
      </c>
      <c r="R117" s="5">
        <v>0</v>
      </c>
      <c r="S117" s="5">
        <v>0</v>
      </c>
      <c r="T117" s="5">
        <v>0</v>
      </c>
      <c r="U117" s="5">
        <v>0</v>
      </c>
      <c r="V117" s="13"/>
      <c r="W117" s="13">
        <v>0</v>
      </c>
      <c r="X117" s="5"/>
      <c r="Y117" s="5"/>
      <c r="Z117" s="5"/>
      <c r="AA117" s="5">
        <v>0</v>
      </c>
      <c r="AB117" s="5"/>
      <c r="AC117" s="5">
        <v>0</v>
      </c>
      <c r="AD117" s="5">
        <v>0</v>
      </c>
      <c r="AE117" s="5">
        <v>0</v>
      </c>
      <c r="AF117" s="5">
        <v>0</v>
      </c>
    </row>
    <row r="118" spans="1:32" x14ac:dyDescent="0.2">
      <c r="A118" s="3" t="str">
        <f>+VLOOKUP(B118,studies!$A$2:$C$102,3)</f>
        <v>Azar (1994)</v>
      </c>
      <c r="B118" s="87">
        <v>13</v>
      </c>
      <c r="C118" s="5">
        <v>1994</v>
      </c>
      <c r="D118" s="5">
        <v>1</v>
      </c>
      <c r="E118" s="48">
        <v>1990</v>
      </c>
      <c r="F118" s="48">
        <v>1990</v>
      </c>
      <c r="G118" s="115">
        <v>0.5</v>
      </c>
      <c r="H118" s="7">
        <v>717.79589030225782</v>
      </c>
      <c r="I118" s="5">
        <v>0</v>
      </c>
      <c r="J118" s="5">
        <v>1</v>
      </c>
      <c r="K118" s="5">
        <v>0</v>
      </c>
      <c r="L118" s="7" t="s">
        <v>238</v>
      </c>
      <c r="M118" s="7" t="s">
        <v>238</v>
      </c>
      <c r="N118" s="7" t="s">
        <v>238</v>
      </c>
      <c r="O118" s="5">
        <v>0</v>
      </c>
      <c r="P118" s="5">
        <v>0</v>
      </c>
      <c r="Q118" s="5">
        <v>0</v>
      </c>
      <c r="R118" s="5">
        <v>0</v>
      </c>
      <c r="S118" s="5">
        <v>0</v>
      </c>
      <c r="T118" s="5">
        <v>0</v>
      </c>
      <c r="U118" s="5">
        <v>0</v>
      </c>
      <c r="V118" s="13"/>
      <c r="W118" s="13">
        <v>0</v>
      </c>
      <c r="X118" s="5"/>
      <c r="Y118" s="5"/>
      <c r="Z118" s="5"/>
      <c r="AA118" s="5">
        <v>0</v>
      </c>
      <c r="AB118" s="5"/>
      <c r="AC118" s="5">
        <v>0</v>
      </c>
      <c r="AD118" s="5">
        <v>0</v>
      </c>
      <c r="AE118" s="5">
        <v>0</v>
      </c>
      <c r="AF118" s="5">
        <v>0</v>
      </c>
    </row>
    <row r="119" spans="1:32" x14ac:dyDescent="0.2">
      <c r="A119" s="3" t="str">
        <f>+VLOOKUP(B119,studies!$A$2:$C$102,3)</f>
        <v>Azar (1994)</v>
      </c>
      <c r="B119" s="87">
        <v>13</v>
      </c>
      <c r="C119" s="5">
        <v>1994</v>
      </c>
      <c r="D119" s="5">
        <v>1</v>
      </c>
      <c r="E119" s="48">
        <v>1990</v>
      </c>
      <c r="F119" s="48">
        <v>1990</v>
      </c>
      <c r="G119" s="115">
        <v>0.25</v>
      </c>
      <c r="H119" s="7">
        <v>1794.4897257556447</v>
      </c>
      <c r="I119" s="5">
        <v>0</v>
      </c>
      <c r="J119" s="5">
        <v>1</v>
      </c>
      <c r="K119" s="5">
        <v>0</v>
      </c>
      <c r="L119" s="7" t="s">
        <v>238</v>
      </c>
      <c r="M119" s="7" t="s">
        <v>238</v>
      </c>
      <c r="N119" s="7" t="s">
        <v>238</v>
      </c>
      <c r="O119" s="5">
        <v>0</v>
      </c>
      <c r="P119" s="5">
        <v>0</v>
      </c>
      <c r="Q119" s="5">
        <v>0</v>
      </c>
      <c r="R119" s="5">
        <v>0</v>
      </c>
      <c r="S119" s="5">
        <v>0</v>
      </c>
      <c r="T119" s="5">
        <v>0</v>
      </c>
      <c r="U119" s="5">
        <v>0</v>
      </c>
      <c r="V119" s="13"/>
      <c r="W119" s="13">
        <v>0</v>
      </c>
      <c r="X119" s="5"/>
      <c r="Y119" s="5"/>
      <c r="Z119" s="5"/>
      <c r="AA119" s="5">
        <v>0</v>
      </c>
      <c r="AB119" s="5"/>
      <c r="AC119" s="5">
        <v>0</v>
      </c>
      <c r="AD119" s="5">
        <v>0</v>
      </c>
      <c r="AE119" s="5">
        <v>0</v>
      </c>
      <c r="AF119" s="5">
        <v>0</v>
      </c>
    </row>
    <row r="120" spans="1:32" x14ac:dyDescent="0.2">
      <c r="A120" s="3" t="str">
        <f>+VLOOKUP(B120,studies!$A$2:$C$102,3)</f>
        <v>Fankhauser (1994)</v>
      </c>
      <c r="B120" s="87">
        <v>14</v>
      </c>
      <c r="C120" s="5">
        <v>1994</v>
      </c>
      <c r="D120" s="5">
        <v>1</v>
      </c>
      <c r="E120" s="5">
        <v>1988</v>
      </c>
      <c r="F120" s="5">
        <v>2015</v>
      </c>
      <c r="G120" s="113">
        <v>1</v>
      </c>
      <c r="H120" s="7">
        <v>46.634123415046496</v>
      </c>
      <c r="I120" s="5">
        <v>1</v>
      </c>
      <c r="J120" s="5">
        <v>0</v>
      </c>
      <c r="K120" s="5">
        <v>0</v>
      </c>
      <c r="L120" s="7">
        <v>32.256804733727812</v>
      </c>
      <c r="M120" s="7">
        <v>15.987337623130403</v>
      </c>
      <c r="N120" s="7">
        <v>29.247423534079736</v>
      </c>
      <c r="O120" s="5">
        <v>1</v>
      </c>
      <c r="P120" s="5">
        <v>1</v>
      </c>
      <c r="Q120" s="5">
        <v>0</v>
      </c>
      <c r="R120" s="5">
        <v>1</v>
      </c>
      <c r="S120" s="5">
        <v>0</v>
      </c>
      <c r="T120" s="5">
        <v>0</v>
      </c>
      <c r="U120" s="5">
        <v>0</v>
      </c>
      <c r="V120" s="13" t="s">
        <v>25</v>
      </c>
      <c r="W120" s="13" t="s">
        <v>25</v>
      </c>
      <c r="X120" s="5">
        <v>1</v>
      </c>
      <c r="Y120" s="5"/>
      <c r="Z120" s="5"/>
      <c r="AA120" s="5">
        <v>0</v>
      </c>
      <c r="AB120" s="3">
        <v>6</v>
      </c>
      <c r="AC120" s="5">
        <v>0</v>
      </c>
      <c r="AD120" s="5">
        <v>0</v>
      </c>
      <c r="AE120" s="5">
        <v>0</v>
      </c>
      <c r="AF120" s="5">
        <v>0</v>
      </c>
    </row>
    <row r="121" spans="1:32" x14ac:dyDescent="0.2">
      <c r="A121" s="3" t="str">
        <f>+VLOOKUP(B121,studies!$A$2:$C$102,3)</f>
        <v>Nordhaus (1994)</v>
      </c>
      <c r="B121" s="87">
        <v>15</v>
      </c>
      <c r="C121" s="5">
        <v>1994</v>
      </c>
      <c r="D121" s="5">
        <v>0</v>
      </c>
      <c r="E121" s="48">
        <v>1989</v>
      </c>
      <c r="F121" s="5">
        <v>2005</v>
      </c>
      <c r="G121" s="113">
        <v>1</v>
      </c>
      <c r="H121" s="7">
        <v>17.200863906607989</v>
      </c>
      <c r="I121" s="5">
        <v>0</v>
      </c>
      <c r="J121" s="5">
        <v>1</v>
      </c>
      <c r="K121" s="5">
        <v>0</v>
      </c>
      <c r="L121" s="7" t="s">
        <v>238</v>
      </c>
      <c r="M121" s="7" t="s">
        <v>238</v>
      </c>
      <c r="N121" s="7" t="s">
        <v>238</v>
      </c>
      <c r="O121" s="5">
        <v>1</v>
      </c>
      <c r="P121" s="5">
        <v>1</v>
      </c>
      <c r="Q121" s="5">
        <v>0</v>
      </c>
      <c r="R121" s="5">
        <v>1</v>
      </c>
      <c r="S121" s="5">
        <v>0</v>
      </c>
      <c r="T121" s="5">
        <v>1</v>
      </c>
      <c r="U121" s="5">
        <v>0</v>
      </c>
      <c r="V121" s="13">
        <v>5</v>
      </c>
      <c r="W121" s="13">
        <v>3</v>
      </c>
      <c r="X121" s="5"/>
      <c r="Y121" s="5"/>
      <c r="Z121" s="5"/>
      <c r="AA121" s="5">
        <v>0</v>
      </c>
      <c r="AB121" s="3"/>
      <c r="AC121" s="5">
        <v>0</v>
      </c>
      <c r="AD121" s="5">
        <v>1</v>
      </c>
      <c r="AE121" s="5">
        <v>0</v>
      </c>
      <c r="AF121" s="5">
        <v>1</v>
      </c>
    </row>
    <row r="122" spans="1:32" x14ac:dyDescent="0.2">
      <c r="A122" s="3" t="str">
        <f>+VLOOKUP(B122,studies!$A$2:$C$102,3)</f>
        <v>Maddison (1995)</v>
      </c>
      <c r="B122" s="87">
        <v>16</v>
      </c>
      <c r="C122" s="5">
        <v>1995</v>
      </c>
      <c r="D122" s="5">
        <v>1</v>
      </c>
      <c r="E122" s="5">
        <v>1990</v>
      </c>
      <c r="F122" s="5">
        <v>2010</v>
      </c>
      <c r="G122" s="113">
        <v>1</v>
      </c>
      <c r="H122" s="7">
        <v>43.033787516004104</v>
      </c>
      <c r="I122" s="5">
        <v>0</v>
      </c>
      <c r="J122" s="5">
        <v>1</v>
      </c>
      <c r="K122" s="5">
        <v>0</v>
      </c>
      <c r="L122" s="7" t="s">
        <v>238</v>
      </c>
      <c r="M122" s="7" t="s">
        <v>238</v>
      </c>
      <c r="N122" s="7" t="s">
        <v>238</v>
      </c>
      <c r="O122" s="5">
        <v>0</v>
      </c>
      <c r="P122" s="5">
        <v>1</v>
      </c>
      <c r="Q122" s="5">
        <v>0</v>
      </c>
      <c r="R122" s="5">
        <v>1</v>
      </c>
      <c r="S122" s="5">
        <v>0</v>
      </c>
      <c r="T122" s="5">
        <v>0</v>
      </c>
      <c r="U122" s="5">
        <v>0</v>
      </c>
      <c r="V122" s="13">
        <v>5</v>
      </c>
      <c r="W122" s="13">
        <v>3</v>
      </c>
      <c r="X122" s="5"/>
      <c r="Y122" s="47">
        <v>2.8414594769131432</v>
      </c>
      <c r="Z122" s="47"/>
      <c r="AA122" s="5">
        <v>0</v>
      </c>
      <c r="AB122" s="3">
        <v>1.2</v>
      </c>
      <c r="AC122" s="5">
        <v>0</v>
      </c>
      <c r="AD122" s="5">
        <v>0</v>
      </c>
      <c r="AE122" s="5">
        <v>0</v>
      </c>
      <c r="AF122" s="5">
        <v>1</v>
      </c>
    </row>
    <row r="123" spans="1:32" x14ac:dyDescent="0.2">
      <c r="A123" s="3" t="str">
        <f>+VLOOKUP(B123,studies!$A$2:$C$102,3)</f>
        <v>Schauer (1995)</v>
      </c>
      <c r="B123" s="87">
        <v>17</v>
      </c>
      <c r="C123" s="5">
        <v>1995</v>
      </c>
      <c r="D123" s="5">
        <v>1</v>
      </c>
      <c r="E123" s="48">
        <v>1990</v>
      </c>
      <c r="F123" s="48">
        <v>1990</v>
      </c>
      <c r="G123" s="115">
        <v>0.5</v>
      </c>
      <c r="H123" s="7">
        <v>6.3273707730144029</v>
      </c>
      <c r="I123" s="5">
        <v>0</v>
      </c>
      <c r="J123" s="5">
        <v>0</v>
      </c>
      <c r="K123" s="5">
        <v>1</v>
      </c>
      <c r="L123" s="7">
        <v>75.942805193978899</v>
      </c>
      <c r="M123" s="7">
        <v>75.942805193978899</v>
      </c>
      <c r="N123" s="7">
        <v>75.942805193978899</v>
      </c>
      <c r="O123" s="5">
        <v>1</v>
      </c>
      <c r="P123" s="5">
        <v>1</v>
      </c>
      <c r="Q123" s="5">
        <v>0</v>
      </c>
      <c r="R123" s="5">
        <v>1</v>
      </c>
      <c r="S123" s="5">
        <v>0</v>
      </c>
      <c r="T123" s="5">
        <v>0</v>
      </c>
      <c r="U123" s="5">
        <v>0</v>
      </c>
      <c r="V123" s="13">
        <v>4.91</v>
      </c>
      <c r="W123" s="13">
        <v>2.3000000000000003</v>
      </c>
      <c r="X123" s="5"/>
      <c r="Y123" s="5"/>
      <c r="Z123" s="5"/>
      <c r="AA123" s="5">
        <v>0</v>
      </c>
      <c r="AB123" s="5"/>
      <c r="AC123" s="5">
        <v>0</v>
      </c>
      <c r="AD123" s="5">
        <v>0</v>
      </c>
      <c r="AE123" s="5">
        <v>0</v>
      </c>
      <c r="AF123" s="5">
        <v>0</v>
      </c>
    </row>
    <row r="124" spans="1:32" x14ac:dyDescent="0.2">
      <c r="A124" s="3" t="str">
        <f>+VLOOKUP(B124,studies!$A$2:$C$102,3)</f>
        <v>Schauer (1995)</v>
      </c>
      <c r="B124" s="87">
        <v>17</v>
      </c>
      <c r="C124" s="5">
        <v>1995</v>
      </c>
      <c r="D124" s="5">
        <v>1</v>
      </c>
      <c r="E124" s="48">
        <v>1990</v>
      </c>
      <c r="F124" s="48">
        <v>1990</v>
      </c>
      <c r="G124" s="115">
        <v>0.5</v>
      </c>
      <c r="H124" s="7">
        <v>192.08218024488423</v>
      </c>
      <c r="I124" s="5">
        <v>0</v>
      </c>
      <c r="J124" s="5">
        <v>0</v>
      </c>
      <c r="K124" s="5">
        <v>1</v>
      </c>
      <c r="L124" s="7">
        <v>537.62912183639116</v>
      </c>
      <c r="M124" s="7">
        <v>537.62912183639116</v>
      </c>
      <c r="N124" s="7">
        <v>537.62912183639116</v>
      </c>
      <c r="O124" s="5">
        <v>1</v>
      </c>
      <c r="P124" s="5">
        <v>1</v>
      </c>
      <c r="Q124" s="5">
        <v>0</v>
      </c>
      <c r="R124" s="5">
        <v>1</v>
      </c>
      <c r="S124" s="5">
        <v>0</v>
      </c>
      <c r="T124" s="5">
        <v>0</v>
      </c>
      <c r="U124" s="5">
        <v>0</v>
      </c>
      <c r="V124" s="13">
        <v>4.91</v>
      </c>
      <c r="W124" s="13">
        <v>2.3000000000000003</v>
      </c>
      <c r="X124" s="5"/>
      <c r="Y124" s="5"/>
      <c r="Z124" s="5"/>
      <c r="AA124" s="5">
        <v>0</v>
      </c>
      <c r="AB124" s="5"/>
      <c r="AC124" s="5">
        <v>0</v>
      </c>
      <c r="AD124" s="5">
        <v>0</v>
      </c>
      <c r="AE124" s="5">
        <v>0</v>
      </c>
      <c r="AF124" s="5">
        <v>0</v>
      </c>
    </row>
    <row r="125" spans="1:32" x14ac:dyDescent="0.2">
      <c r="A125" s="3" t="str">
        <f>+VLOOKUP(B125,studies!$A$2:$C$102,3)</f>
        <v>Azar &amp; Sterner (1996)</v>
      </c>
      <c r="B125" s="87">
        <v>18</v>
      </c>
      <c r="C125" s="5">
        <v>1996</v>
      </c>
      <c r="D125" s="5">
        <v>1</v>
      </c>
      <c r="E125" s="48">
        <v>1990</v>
      </c>
      <c r="F125" s="48">
        <v>1990</v>
      </c>
      <c r="G125" s="115">
        <v>4.4444444444444446E-2</v>
      </c>
      <c r="H125" s="7">
        <v>305.06325337845959</v>
      </c>
      <c r="I125" s="5">
        <v>0</v>
      </c>
      <c r="J125" s="5">
        <v>1</v>
      </c>
      <c r="K125" s="5">
        <v>0</v>
      </c>
      <c r="L125" s="7" t="s">
        <v>238</v>
      </c>
      <c r="M125" s="7" t="s">
        <v>238</v>
      </c>
      <c r="N125" s="7" t="s">
        <v>238</v>
      </c>
      <c r="O125" s="5">
        <v>0</v>
      </c>
      <c r="P125" s="5">
        <v>1</v>
      </c>
      <c r="Q125" s="5">
        <v>0</v>
      </c>
      <c r="R125" s="5">
        <v>1</v>
      </c>
      <c r="S125" s="5">
        <v>0</v>
      </c>
      <c r="T125" s="5">
        <v>0</v>
      </c>
      <c r="U125" s="5">
        <v>0</v>
      </c>
      <c r="V125" s="13">
        <v>2</v>
      </c>
      <c r="W125" s="13">
        <v>0</v>
      </c>
      <c r="X125" s="5"/>
      <c r="Y125" s="5"/>
      <c r="Z125" s="5"/>
      <c r="AA125" s="5">
        <v>0</v>
      </c>
      <c r="AB125" s="5"/>
      <c r="AC125" s="5">
        <v>0</v>
      </c>
      <c r="AD125" s="5">
        <v>0</v>
      </c>
      <c r="AE125" s="5">
        <v>0</v>
      </c>
      <c r="AF125" s="5">
        <v>0</v>
      </c>
    </row>
    <row r="126" spans="1:32" x14ac:dyDescent="0.2">
      <c r="A126" s="3" t="str">
        <f>+VLOOKUP(B126,studies!$A$2:$C$102,3)</f>
        <v>Azar &amp; Sterner (1996)</v>
      </c>
      <c r="B126" s="87">
        <v>18</v>
      </c>
      <c r="C126" s="5">
        <v>1996</v>
      </c>
      <c r="D126" s="5">
        <v>1</v>
      </c>
      <c r="E126" s="48">
        <v>1990</v>
      </c>
      <c r="F126" s="48">
        <v>1990</v>
      </c>
      <c r="G126" s="115">
        <v>8.8888888888888892E-2</v>
      </c>
      <c r="H126" s="7">
        <v>717.79589030225782</v>
      </c>
      <c r="I126" s="5">
        <v>0</v>
      </c>
      <c r="J126" s="5">
        <v>1</v>
      </c>
      <c r="K126" s="5">
        <v>0</v>
      </c>
      <c r="L126" s="7" t="s">
        <v>238</v>
      </c>
      <c r="M126" s="7" t="s">
        <v>238</v>
      </c>
      <c r="N126" s="7" t="s">
        <v>238</v>
      </c>
      <c r="O126" s="5">
        <v>0</v>
      </c>
      <c r="P126" s="5">
        <v>1</v>
      </c>
      <c r="Q126" s="5">
        <v>0</v>
      </c>
      <c r="R126" s="5">
        <v>1</v>
      </c>
      <c r="S126" s="5">
        <v>0</v>
      </c>
      <c r="T126" s="5">
        <v>0</v>
      </c>
      <c r="U126" s="5">
        <v>0</v>
      </c>
      <c r="V126" s="13">
        <v>2</v>
      </c>
      <c r="W126" s="13">
        <v>0</v>
      </c>
      <c r="X126" s="5"/>
      <c r="Y126" s="5"/>
      <c r="Z126" s="5"/>
      <c r="AA126" s="5">
        <v>0</v>
      </c>
      <c r="AB126" s="5"/>
      <c r="AC126" s="5">
        <v>0</v>
      </c>
      <c r="AD126" s="5">
        <v>0</v>
      </c>
      <c r="AE126" s="5">
        <v>0</v>
      </c>
      <c r="AF126" s="5">
        <v>0</v>
      </c>
    </row>
    <row r="127" spans="1:32" x14ac:dyDescent="0.2">
      <c r="A127" s="3" t="str">
        <f>+VLOOKUP(B127,studies!$A$2:$C$102,3)</f>
        <v>Azar &amp; Sterner (1996)</v>
      </c>
      <c r="B127" s="87">
        <v>18</v>
      </c>
      <c r="C127" s="5">
        <v>1996</v>
      </c>
      <c r="D127" s="5">
        <v>1</v>
      </c>
      <c r="E127" s="48">
        <v>1990</v>
      </c>
      <c r="F127" s="48">
        <v>1990</v>
      </c>
      <c r="G127" s="115">
        <v>3.3333333333333333E-2</v>
      </c>
      <c r="H127" s="7">
        <v>269.1734588633467</v>
      </c>
      <c r="I127" s="5">
        <v>0</v>
      </c>
      <c r="J127" s="5">
        <v>1</v>
      </c>
      <c r="K127" s="5">
        <v>0</v>
      </c>
      <c r="L127" s="7" t="s">
        <v>238</v>
      </c>
      <c r="M127" s="7" t="s">
        <v>238</v>
      </c>
      <c r="N127" s="7" t="s">
        <v>238</v>
      </c>
      <c r="O127" s="5">
        <v>0</v>
      </c>
      <c r="P127" s="5">
        <v>1</v>
      </c>
      <c r="Q127" s="5">
        <v>0</v>
      </c>
      <c r="R127" s="5">
        <v>1</v>
      </c>
      <c r="S127" s="5">
        <v>0</v>
      </c>
      <c r="T127" s="5">
        <v>0</v>
      </c>
      <c r="U127" s="5">
        <v>0</v>
      </c>
      <c r="V127" s="13">
        <v>2.1</v>
      </c>
      <c r="W127" s="13">
        <v>0.1</v>
      </c>
      <c r="X127" s="5"/>
      <c r="Y127" s="5"/>
      <c r="Z127" s="5"/>
      <c r="AA127" s="5">
        <v>0</v>
      </c>
      <c r="AB127" s="5"/>
      <c r="AC127" s="5">
        <v>0</v>
      </c>
      <c r="AD127" s="5">
        <v>0</v>
      </c>
      <c r="AE127" s="5">
        <v>0</v>
      </c>
      <c r="AF127" s="5">
        <v>0</v>
      </c>
    </row>
    <row r="128" spans="1:32" x14ac:dyDescent="0.2">
      <c r="A128" s="3" t="str">
        <f>+VLOOKUP(B128,studies!$A$2:$C$102,3)</f>
        <v>Azar &amp; Sterner (1996)</v>
      </c>
      <c r="B128" s="87">
        <v>18</v>
      </c>
      <c r="C128" s="5">
        <v>1996</v>
      </c>
      <c r="D128" s="5">
        <v>1</v>
      </c>
      <c r="E128" s="48">
        <v>1990</v>
      </c>
      <c r="F128" s="48">
        <v>1990</v>
      </c>
      <c r="G128" s="115">
        <v>6.6666666666666666E-2</v>
      </c>
      <c r="H128" s="7">
        <v>502.45712321158049</v>
      </c>
      <c r="I128" s="5">
        <v>0</v>
      </c>
      <c r="J128" s="5">
        <v>1</v>
      </c>
      <c r="K128" s="5">
        <v>0</v>
      </c>
      <c r="L128" s="7" t="s">
        <v>238</v>
      </c>
      <c r="M128" s="7" t="s">
        <v>238</v>
      </c>
      <c r="N128" s="7" t="s">
        <v>238</v>
      </c>
      <c r="O128" s="5">
        <v>0</v>
      </c>
      <c r="P128" s="5">
        <v>1</v>
      </c>
      <c r="Q128" s="5">
        <v>0</v>
      </c>
      <c r="R128" s="5">
        <v>1</v>
      </c>
      <c r="S128" s="5">
        <v>0</v>
      </c>
      <c r="T128" s="5">
        <v>0</v>
      </c>
      <c r="U128" s="5">
        <v>0</v>
      </c>
      <c r="V128" s="13">
        <v>2.1</v>
      </c>
      <c r="W128" s="13">
        <v>0.1</v>
      </c>
      <c r="X128" s="5"/>
      <c r="Y128" s="5"/>
      <c r="Z128" s="5"/>
      <c r="AA128" s="5">
        <v>0</v>
      </c>
      <c r="AB128" s="5"/>
      <c r="AC128" s="5">
        <v>0</v>
      </c>
      <c r="AD128" s="5">
        <v>0</v>
      </c>
      <c r="AE128" s="5">
        <v>0</v>
      </c>
      <c r="AF128" s="5">
        <v>0</v>
      </c>
    </row>
    <row r="129" spans="1:32" x14ac:dyDescent="0.2">
      <c r="A129" s="3" t="str">
        <f>+VLOOKUP(B129,studies!$A$2:$C$102,3)</f>
        <v>Azar &amp; Sterner (1996)</v>
      </c>
      <c r="B129" s="87">
        <v>18</v>
      </c>
      <c r="C129" s="5">
        <v>1996</v>
      </c>
      <c r="D129" s="5">
        <v>1</v>
      </c>
      <c r="E129" s="48">
        <v>1990</v>
      </c>
      <c r="F129" s="48">
        <v>1990</v>
      </c>
      <c r="G129" s="115">
        <v>2.2222222222222223E-2</v>
      </c>
      <c r="H129" s="7">
        <v>114.84734244836126</v>
      </c>
      <c r="I129" s="5">
        <v>0</v>
      </c>
      <c r="J129" s="5">
        <v>1</v>
      </c>
      <c r="K129" s="5">
        <v>0</v>
      </c>
      <c r="L129" s="7" t="s">
        <v>238</v>
      </c>
      <c r="M129" s="7" t="s">
        <v>238</v>
      </c>
      <c r="N129" s="7" t="s">
        <v>238</v>
      </c>
      <c r="O129" s="5">
        <v>0</v>
      </c>
      <c r="P129" s="5">
        <v>1</v>
      </c>
      <c r="Q129" s="5">
        <v>0</v>
      </c>
      <c r="R129" s="5">
        <v>1</v>
      </c>
      <c r="S129" s="5">
        <v>0</v>
      </c>
      <c r="T129" s="5">
        <v>0</v>
      </c>
      <c r="U129" s="5">
        <v>0</v>
      </c>
      <c r="V129" s="13">
        <v>3</v>
      </c>
      <c r="W129" s="13">
        <v>1</v>
      </c>
      <c r="X129" s="5"/>
      <c r="Y129" s="5"/>
      <c r="Z129" s="5"/>
      <c r="AA129" s="5">
        <v>0</v>
      </c>
      <c r="AB129" s="5"/>
      <c r="AC129" s="5">
        <v>0</v>
      </c>
      <c r="AD129" s="5">
        <v>0</v>
      </c>
      <c r="AE129" s="5">
        <v>0</v>
      </c>
      <c r="AF129" s="5">
        <v>0</v>
      </c>
    </row>
    <row r="130" spans="1:32" x14ac:dyDescent="0.2">
      <c r="A130" s="3" t="str">
        <f>+VLOOKUP(B130,studies!$A$2:$C$102,3)</f>
        <v>Azar &amp; Sterner (1996)</v>
      </c>
      <c r="B130" s="87">
        <v>18</v>
      </c>
      <c r="C130" s="5">
        <v>1996</v>
      </c>
      <c r="D130" s="5">
        <v>1</v>
      </c>
      <c r="E130" s="48">
        <v>1990</v>
      </c>
      <c r="F130" s="48">
        <v>1990</v>
      </c>
      <c r="G130" s="115">
        <v>4.4444444444444446E-2</v>
      </c>
      <c r="H130" s="7">
        <v>118.43632189987254</v>
      </c>
      <c r="I130" s="5">
        <v>0</v>
      </c>
      <c r="J130" s="5">
        <v>1</v>
      </c>
      <c r="K130" s="5">
        <v>0</v>
      </c>
      <c r="L130" s="7" t="s">
        <v>238</v>
      </c>
      <c r="M130" s="7" t="s">
        <v>238</v>
      </c>
      <c r="N130" s="7" t="s">
        <v>238</v>
      </c>
      <c r="O130" s="5">
        <v>0</v>
      </c>
      <c r="P130" s="5">
        <v>1</v>
      </c>
      <c r="Q130" s="5">
        <v>0</v>
      </c>
      <c r="R130" s="5">
        <v>1</v>
      </c>
      <c r="S130" s="5">
        <v>0</v>
      </c>
      <c r="T130" s="5">
        <v>0</v>
      </c>
      <c r="U130" s="5">
        <v>0</v>
      </c>
      <c r="V130" s="13">
        <v>3</v>
      </c>
      <c r="W130" s="13">
        <v>1</v>
      </c>
      <c r="X130" s="5"/>
      <c r="Y130" s="5"/>
      <c r="Z130" s="5"/>
      <c r="AA130" s="5">
        <v>0</v>
      </c>
      <c r="AB130" s="5"/>
      <c r="AC130" s="5">
        <v>0</v>
      </c>
      <c r="AD130" s="5">
        <v>0</v>
      </c>
      <c r="AE130" s="5">
        <v>0</v>
      </c>
      <c r="AF130" s="5">
        <v>0</v>
      </c>
    </row>
    <row r="131" spans="1:32" x14ac:dyDescent="0.2">
      <c r="A131" s="3" t="str">
        <f>+VLOOKUP(B131,studies!$A$2:$C$102,3)</f>
        <v>Azar &amp; Sterner (1996)</v>
      </c>
      <c r="B131" s="87">
        <v>18</v>
      </c>
      <c r="C131" s="5">
        <v>1996</v>
      </c>
      <c r="D131" s="5">
        <v>1</v>
      </c>
      <c r="E131" s="48">
        <v>1990</v>
      </c>
      <c r="F131" s="48">
        <v>1990</v>
      </c>
      <c r="G131" s="115">
        <v>1.1111111111111112E-2</v>
      </c>
      <c r="H131" s="7">
        <v>46.656732869646767</v>
      </c>
      <c r="I131" s="5">
        <v>0</v>
      </c>
      <c r="J131" s="5">
        <v>1</v>
      </c>
      <c r="K131" s="5">
        <v>0</v>
      </c>
      <c r="L131" s="7" t="s">
        <v>238</v>
      </c>
      <c r="M131" s="7" t="s">
        <v>238</v>
      </c>
      <c r="N131" s="7" t="s">
        <v>238</v>
      </c>
      <c r="O131" s="5">
        <v>0</v>
      </c>
      <c r="P131" s="5">
        <v>1</v>
      </c>
      <c r="Q131" s="5">
        <v>0</v>
      </c>
      <c r="R131" s="5">
        <v>1</v>
      </c>
      <c r="S131" s="5">
        <v>0</v>
      </c>
      <c r="T131" s="5">
        <v>0</v>
      </c>
      <c r="U131" s="5">
        <v>0</v>
      </c>
      <c r="V131" s="13">
        <v>5</v>
      </c>
      <c r="W131" s="13">
        <v>3</v>
      </c>
      <c r="X131" s="5"/>
      <c r="Y131" s="5"/>
      <c r="Z131" s="5"/>
      <c r="AA131" s="5">
        <v>0</v>
      </c>
      <c r="AB131" s="5"/>
      <c r="AC131" s="5">
        <v>0</v>
      </c>
      <c r="AD131" s="5">
        <v>0</v>
      </c>
      <c r="AE131" s="5">
        <v>0</v>
      </c>
      <c r="AF131" s="5">
        <v>0</v>
      </c>
    </row>
    <row r="132" spans="1:32" x14ac:dyDescent="0.2">
      <c r="A132" s="3" t="str">
        <f>+VLOOKUP(B132,studies!$A$2:$C$102,3)</f>
        <v>Azar &amp; Sterner (1996)</v>
      </c>
      <c r="B132" s="87">
        <v>18</v>
      </c>
      <c r="C132" s="5">
        <v>1996</v>
      </c>
      <c r="D132" s="5">
        <v>1</v>
      </c>
      <c r="E132" s="48">
        <v>1990</v>
      </c>
      <c r="F132" s="48">
        <v>1990</v>
      </c>
      <c r="G132" s="115">
        <v>2.2222222222222223E-2</v>
      </c>
      <c r="H132" s="7">
        <v>46.656732869646767</v>
      </c>
      <c r="I132" s="5">
        <v>0</v>
      </c>
      <c r="J132" s="5">
        <v>1</v>
      </c>
      <c r="K132" s="5">
        <v>0</v>
      </c>
      <c r="L132" s="7" t="s">
        <v>238</v>
      </c>
      <c r="M132" s="7" t="s">
        <v>238</v>
      </c>
      <c r="N132" s="7" t="s">
        <v>238</v>
      </c>
      <c r="O132" s="5">
        <v>0</v>
      </c>
      <c r="P132" s="5">
        <v>1</v>
      </c>
      <c r="Q132" s="5">
        <v>0</v>
      </c>
      <c r="R132" s="5">
        <v>1</v>
      </c>
      <c r="S132" s="5">
        <v>0</v>
      </c>
      <c r="T132" s="5">
        <v>0</v>
      </c>
      <c r="U132" s="5">
        <v>0</v>
      </c>
      <c r="V132" s="13">
        <v>5</v>
      </c>
      <c r="W132" s="13">
        <v>3</v>
      </c>
      <c r="X132" s="5"/>
      <c r="Y132" s="5"/>
      <c r="Z132" s="5"/>
      <c r="AA132" s="5">
        <v>0</v>
      </c>
      <c r="AB132" s="5"/>
      <c r="AC132" s="5">
        <v>0</v>
      </c>
      <c r="AD132" s="5">
        <v>0</v>
      </c>
      <c r="AE132" s="5">
        <v>0</v>
      </c>
      <c r="AF132" s="5">
        <v>0</v>
      </c>
    </row>
    <row r="133" spans="1:32" x14ac:dyDescent="0.2">
      <c r="A133" s="3" t="str">
        <f>+VLOOKUP(B133,studies!$A$2:$C$102,3)</f>
        <v>Azar &amp; Sterner (1996)</v>
      </c>
      <c r="B133" s="87">
        <v>18</v>
      </c>
      <c r="C133" s="5">
        <v>1996</v>
      </c>
      <c r="D133" s="5">
        <v>1</v>
      </c>
      <c r="E133" s="48">
        <v>1990</v>
      </c>
      <c r="F133" s="48">
        <v>1990</v>
      </c>
      <c r="G133" s="115">
        <v>8.8888888888888892E-2</v>
      </c>
      <c r="H133" s="7">
        <v>933.13465739293531</v>
      </c>
      <c r="I133" s="5">
        <v>0</v>
      </c>
      <c r="J133" s="5">
        <v>1</v>
      </c>
      <c r="K133" s="5">
        <v>0</v>
      </c>
      <c r="L133" s="7" t="s">
        <v>238</v>
      </c>
      <c r="M133" s="7" t="s">
        <v>238</v>
      </c>
      <c r="N133" s="7" t="s">
        <v>238</v>
      </c>
      <c r="O133" s="5">
        <v>0</v>
      </c>
      <c r="P133" s="5">
        <v>1</v>
      </c>
      <c r="Q133" s="5">
        <v>0</v>
      </c>
      <c r="R133" s="5">
        <v>1</v>
      </c>
      <c r="S133" s="5">
        <v>0</v>
      </c>
      <c r="T133" s="5">
        <v>0</v>
      </c>
      <c r="U133" s="5">
        <v>0</v>
      </c>
      <c r="V133" s="13">
        <v>2</v>
      </c>
      <c r="W133" s="13">
        <v>0</v>
      </c>
      <c r="X133" s="5"/>
      <c r="Y133" s="5"/>
      <c r="Z133" s="5"/>
      <c r="AA133" s="5">
        <v>1</v>
      </c>
      <c r="AB133" s="5"/>
      <c r="AC133" s="5">
        <v>0</v>
      </c>
      <c r="AD133" s="5">
        <v>0</v>
      </c>
      <c r="AE133" s="5">
        <v>0</v>
      </c>
      <c r="AF133" s="5">
        <v>0</v>
      </c>
    </row>
    <row r="134" spans="1:32" x14ac:dyDescent="0.2">
      <c r="A134" s="3" t="str">
        <f>+VLOOKUP(B134,studies!$A$2:$C$102,3)</f>
        <v>Azar &amp; Sterner (1996)</v>
      </c>
      <c r="B134" s="87">
        <v>18</v>
      </c>
      <c r="C134" s="5">
        <v>1996</v>
      </c>
      <c r="D134" s="5">
        <v>1</v>
      </c>
      <c r="E134" s="48">
        <v>1990</v>
      </c>
      <c r="F134" s="48">
        <v>1990</v>
      </c>
      <c r="G134" s="115">
        <v>0.17777777777777778</v>
      </c>
      <c r="H134" s="7">
        <v>2117.4978763916606</v>
      </c>
      <c r="I134" s="5">
        <v>0</v>
      </c>
      <c r="J134" s="5">
        <v>1</v>
      </c>
      <c r="K134" s="5">
        <v>0</v>
      </c>
      <c r="L134" s="7" t="s">
        <v>238</v>
      </c>
      <c r="M134" s="7" t="s">
        <v>238</v>
      </c>
      <c r="N134" s="7" t="s">
        <v>238</v>
      </c>
      <c r="O134" s="5">
        <v>0</v>
      </c>
      <c r="P134" s="5">
        <v>1</v>
      </c>
      <c r="Q134" s="5">
        <v>0</v>
      </c>
      <c r="R134" s="5">
        <v>1</v>
      </c>
      <c r="S134" s="5">
        <v>0</v>
      </c>
      <c r="T134" s="5">
        <v>0</v>
      </c>
      <c r="U134" s="5">
        <v>0</v>
      </c>
      <c r="V134" s="13">
        <v>2</v>
      </c>
      <c r="W134" s="13">
        <v>0</v>
      </c>
      <c r="X134" s="5"/>
      <c r="Y134" s="5"/>
      <c r="Z134" s="5"/>
      <c r="AA134" s="5">
        <v>1</v>
      </c>
      <c r="AB134" s="5"/>
      <c r="AC134" s="5">
        <v>0</v>
      </c>
      <c r="AD134" s="5">
        <v>0</v>
      </c>
      <c r="AE134" s="5">
        <v>0</v>
      </c>
      <c r="AF134" s="5">
        <v>0</v>
      </c>
    </row>
    <row r="135" spans="1:32" x14ac:dyDescent="0.2">
      <c r="A135" s="3" t="str">
        <f>+VLOOKUP(B135,studies!$A$2:$C$102,3)</f>
        <v>Azar &amp; Sterner (1996)</v>
      </c>
      <c r="B135" s="87">
        <v>18</v>
      </c>
      <c r="C135" s="5">
        <v>1996</v>
      </c>
      <c r="D135" s="5">
        <v>1</v>
      </c>
      <c r="E135" s="48">
        <v>1990</v>
      </c>
      <c r="F135" s="48">
        <v>1990</v>
      </c>
      <c r="G135" s="115">
        <v>6.6666666666666666E-2</v>
      </c>
      <c r="H135" s="7">
        <v>825.46527384759656</v>
      </c>
      <c r="I135" s="5">
        <v>0</v>
      </c>
      <c r="J135" s="5">
        <v>1</v>
      </c>
      <c r="K135" s="5">
        <v>0</v>
      </c>
      <c r="L135" s="7" t="s">
        <v>238</v>
      </c>
      <c r="M135" s="7" t="s">
        <v>238</v>
      </c>
      <c r="N135" s="7" t="s">
        <v>238</v>
      </c>
      <c r="O135" s="5">
        <v>0</v>
      </c>
      <c r="P135" s="5">
        <v>1</v>
      </c>
      <c r="Q135" s="5">
        <v>0</v>
      </c>
      <c r="R135" s="5">
        <v>1</v>
      </c>
      <c r="S135" s="5">
        <v>0</v>
      </c>
      <c r="T135" s="5">
        <v>0</v>
      </c>
      <c r="U135" s="5">
        <v>0</v>
      </c>
      <c r="V135" s="13">
        <v>2.1</v>
      </c>
      <c r="W135" s="13">
        <v>0.1</v>
      </c>
      <c r="X135" s="5"/>
      <c r="Y135" s="5"/>
      <c r="Z135" s="5"/>
      <c r="AA135" s="5">
        <v>1</v>
      </c>
      <c r="AB135" s="5"/>
      <c r="AC135" s="5">
        <v>0</v>
      </c>
      <c r="AD135" s="5">
        <v>0</v>
      </c>
      <c r="AE135" s="5">
        <v>0</v>
      </c>
      <c r="AF135" s="5">
        <v>0</v>
      </c>
    </row>
    <row r="136" spans="1:32" x14ac:dyDescent="0.2">
      <c r="A136" s="3" t="str">
        <f>+VLOOKUP(B136,studies!$A$2:$C$102,3)</f>
        <v>Azar &amp; Sterner (1996)</v>
      </c>
      <c r="B136" s="87">
        <v>18</v>
      </c>
      <c r="C136" s="5">
        <v>1996</v>
      </c>
      <c r="D136" s="5">
        <v>1</v>
      </c>
      <c r="E136" s="48">
        <v>1990</v>
      </c>
      <c r="F136" s="48">
        <v>1990</v>
      </c>
      <c r="G136" s="115">
        <v>0.13333333333333333</v>
      </c>
      <c r="H136" s="7">
        <v>1471.4815751196288</v>
      </c>
      <c r="I136" s="5">
        <v>0</v>
      </c>
      <c r="J136" s="5">
        <v>1</v>
      </c>
      <c r="K136" s="5">
        <v>0</v>
      </c>
      <c r="L136" s="7" t="s">
        <v>238</v>
      </c>
      <c r="M136" s="7" t="s">
        <v>238</v>
      </c>
      <c r="N136" s="7" t="s">
        <v>238</v>
      </c>
      <c r="O136" s="5">
        <v>0</v>
      </c>
      <c r="P136" s="5">
        <v>1</v>
      </c>
      <c r="Q136" s="5">
        <v>0</v>
      </c>
      <c r="R136" s="5">
        <v>1</v>
      </c>
      <c r="S136" s="5">
        <v>0</v>
      </c>
      <c r="T136" s="5">
        <v>0</v>
      </c>
      <c r="U136" s="5">
        <v>0</v>
      </c>
      <c r="V136" s="13">
        <v>2.1</v>
      </c>
      <c r="W136" s="13">
        <v>0.1</v>
      </c>
      <c r="X136" s="5"/>
      <c r="Y136" s="5"/>
      <c r="Z136" s="5"/>
      <c r="AA136" s="5">
        <v>1</v>
      </c>
      <c r="AB136" s="5"/>
      <c r="AC136" s="5">
        <v>0</v>
      </c>
      <c r="AD136" s="5">
        <v>0</v>
      </c>
      <c r="AE136" s="5">
        <v>0</v>
      </c>
      <c r="AF136" s="5">
        <v>0</v>
      </c>
    </row>
    <row r="137" spans="1:32" x14ac:dyDescent="0.2">
      <c r="A137" s="3" t="str">
        <f>+VLOOKUP(B137,studies!$A$2:$C$102,3)</f>
        <v>Azar &amp; Sterner (1996)</v>
      </c>
      <c r="B137" s="87">
        <v>18</v>
      </c>
      <c r="C137" s="5">
        <v>1996</v>
      </c>
      <c r="D137" s="5">
        <v>1</v>
      </c>
      <c r="E137" s="48">
        <v>1990</v>
      </c>
      <c r="F137" s="48">
        <v>1990</v>
      </c>
      <c r="G137" s="115">
        <v>4.4444444444444446E-2</v>
      </c>
      <c r="H137" s="7">
        <v>340.95304789357249</v>
      </c>
      <c r="I137" s="5">
        <v>0</v>
      </c>
      <c r="J137" s="5">
        <v>1</v>
      </c>
      <c r="K137" s="5">
        <v>0</v>
      </c>
      <c r="L137" s="7" t="s">
        <v>238</v>
      </c>
      <c r="M137" s="7" t="s">
        <v>238</v>
      </c>
      <c r="N137" s="7" t="s">
        <v>238</v>
      </c>
      <c r="O137" s="5">
        <v>0</v>
      </c>
      <c r="P137" s="5">
        <v>1</v>
      </c>
      <c r="Q137" s="5">
        <v>0</v>
      </c>
      <c r="R137" s="5">
        <v>1</v>
      </c>
      <c r="S137" s="5">
        <v>0</v>
      </c>
      <c r="T137" s="5">
        <v>0</v>
      </c>
      <c r="U137" s="5">
        <v>0</v>
      </c>
      <c r="V137" s="13">
        <v>3</v>
      </c>
      <c r="W137" s="13">
        <v>1</v>
      </c>
      <c r="X137" s="5"/>
      <c r="Y137" s="5"/>
      <c r="Z137" s="5"/>
      <c r="AA137" s="5">
        <v>1</v>
      </c>
      <c r="AB137" s="5"/>
      <c r="AC137" s="5">
        <v>0</v>
      </c>
      <c r="AD137" s="5">
        <v>0</v>
      </c>
      <c r="AE137" s="5">
        <v>0</v>
      </c>
      <c r="AF137" s="5">
        <v>0</v>
      </c>
    </row>
    <row r="138" spans="1:32" x14ac:dyDescent="0.2">
      <c r="A138" s="3" t="str">
        <f>+VLOOKUP(B138,studies!$A$2:$C$102,3)</f>
        <v>Azar &amp; Sterner (1996)</v>
      </c>
      <c r="B138" s="87">
        <v>18</v>
      </c>
      <c r="C138" s="5">
        <v>1996</v>
      </c>
      <c r="D138" s="5">
        <v>1</v>
      </c>
      <c r="E138" s="48">
        <v>1990</v>
      </c>
      <c r="F138" s="48">
        <v>1990</v>
      </c>
      <c r="G138" s="115">
        <v>8.8888888888888892E-2</v>
      </c>
      <c r="H138" s="7">
        <v>351.71998624810635</v>
      </c>
      <c r="I138" s="5">
        <v>0</v>
      </c>
      <c r="J138" s="5">
        <v>1</v>
      </c>
      <c r="K138" s="5">
        <v>0</v>
      </c>
      <c r="L138" s="7" t="s">
        <v>238</v>
      </c>
      <c r="M138" s="7" t="s">
        <v>238</v>
      </c>
      <c r="N138" s="7" t="s">
        <v>238</v>
      </c>
      <c r="O138" s="5">
        <v>0</v>
      </c>
      <c r="P138" s="5">
        <v>1</v>
      </c>
      <c r="Q138" s="5">
        <v>0</v>
      </c>
      <c r="R138" s="5">
        <v>1</v>
      </c>
      <c r="S138" s="5">
        <v>0</v>
      </c>
      <c r="T138" s="5">
        <v>0</v>
      </c>
      <c r="U138" s="5">
        <v>0</v>
      </c>
      <c r="V138" s="13">
        <v>3</v>
      </c>
      <c r="W138" s="13">
        <v>1</v>
      </c>
      <c r="X138" s="5"/>
      <c r="Y138" s="5"/>
      <c r="Z138" s="5"/>
      <c r="AA138" s="5">
        <v>1</v>
      </c>
      <c r="AB138" s="5"/>
      <c r="AC138" s="5">
        <v>0</v>
      </c>
      <c r="AD138" s="5">
        <v>0</v>
      </c>
      <c r="AE138" s="5">
        <v>0</v>
      </c>
      <c r="AF138" s="5">
        <v>0</v>
      </c>
    </row>
    <row r="139" spans="1:32" x14ac:dyDescent="0.2">
      <c r="A139" s="3" t="str">
        <f>+VLOOKUP(B139,studies!$A$2:$C$102,3)</f>
        <v>Azar &amp; Sterner (1996)</v>
      </c>
      <c r="B139" s="87">
        <v>18</v>
      </c>
      <c r="C139" s="5">
        <v>1996</v>
      </c>
      <c r="D139" s="5">
        <v>1</v>
      </c>
      <c r="E139" s="48">
        <v>1990</v>
      </c>
      <c r="F139" s="48">
        <v>1990</v>
      </c>
      <c r="G139" s="115">
        <v>2.2222222222222223E-2</v>
      </c>
      <c r="H139" s="7">
        <v>139.97019860894028</v>
      </c>
      <c r="I139" s="5">
        <v>0</v>
      </c>
      <c r="J139" s="5">
        <v>1</v>
      </c>
      <c r="K139" s="5">
        <v>0</v>
      </c>
      <c r="L139" s="7" t="s">
        <v>238</v>
      </c>
      <c r="M139" s="7" t="s">
        <v>238</v>
      </c>
      <c r="N139" s="7" t="s">
        <v>238</v>
      </c>
      <c r="O139" s="5">
        <v>0</v>
      </c>
      <c r="P139" s="5">
        <v>1</v>
      </c>
      <c r="Q139" s="5">
        <v>0</v>
      </c>
      <c r="R139" s="5">
        <v>1</v>
      </c>
      <c r="S139" s="5">
        <v>0</v>
      </c>
      <c r="T139" s="5">
        <v>0</v>
      </c>
      <c r="U139" s="5">
        <v>0</v>
      </c>
      <c r="V139" s="13">
        <v>5</v>
      </c>
      <c r="W139" s="13">
        <v>3</v>
      </c>
      <c r="X139" s="5"/>
      <c r="Y139" s="5"/>
      <c r="Z139" s="5"/>
      <c r="AA139" s="5">
        <v>1</v>
      </c>
      <c r="AB139" s="5"/>
      <c r="AC139" s="5">
        <v>0</v>
      </c>
      <c r="AD139" s="5">
        <v>0</v>
      </c>
      <c r="AE139" s="5">
        <v>0</v>
      </c>
      <c r="AF139" s="5">
        <v>0</v>
      </c>
    </row>
    <row r="140" spans="1:32" x14ac:dyDescent="0.2">
      <c r="A140" s="3" t="str">
        <f>+VLOOKUP(B140,studies!$A$2:$C$102,3)</f>
        <v>Azar &amp; Sterner (1996)</v>
      </c>
      <c r="B140" s="87">
        <v>18</v>
      </c>
      <c r="C140" s="5">
        <v>1996</v>
      </c>
      <c r="D140" s="5">
        <v>1</v>
      </c>
      <c r="E140" s="48">
        <v>1990</v>
      </c>
      <c r="F140" s="48">
        <v>1990</v>
      </c>
      <c r="G140" s="115">
        <v>4.4444444444444446E-2</v>
      </c>
      <c r="H140" s="7">
        <v>139.97019860894028</v>
      </c>
      <c r="I140" s="5">
        <v>0</v>
      </c>
      <c r="J140" s="5">
        <v>1</v>
      </c>
      <c r="K140" s="5">
        <v>0</v>
      </c>
      <c r="L140" s="7" t="s">
        <v>238</v>
      </c>
      <c r="M140" s="7" t="s">
        <v>238</v>
      </c>
      <c r="N140" s="7" t="s">
        <v>238</v>
      </c>
      <c r="O140" s="5">
        <v>0</v>
      </c>
      <c r="P140" s="5">
        <v>1</v>
      </c>
      <c r="Q140" s="5">
        <v>0</v>
      </c>
      <c r="R140" s="5">
        <v>1</v>
      </c>
      <c r="S140" s="5">
        <v>0</v>
      </c>
      <c r="T140" s="5">
        <v>0</v>
      </c>
      <c r="U140" s="5">
        <v>0</v>
      </c>
      <c r="V140" s="13">
        <v>5</v>
      </c>
      <c r="W140" s="13">
        <v>3</v>
      </c>
      <c r="X140" s="5"/>
      <c r="Y140" s="5"/>
      <c r="Z140" s="5"/>
      <c r="AA140" s="5">
        <v>1</v>
      </c>
      <c r="AB140" s="5"/>
      <c r="AC140" s="5">
        <v>0</v>
      </c>
      <c r="AD140" s="5">
        <v>0</v>
      </c>
      <c r="AE140" s="5">
        <v>0</v>
      </c>
      <c r="AF140" s="5">
        <v>0</v>
      </c>
    </row>
    <row r="141" spans="1:32" x14ac:dyDescent="0.2">
      <c r="A141" s="3" t="str">
        <f>+VLOOKUP(B141,studies!$A$2:$C$102,3)</f>
        <v>Downing et al. (1996)</v>
      </c>
      <c r="B141" s="87">
        <v>19</v>
      </c>
      <c r="C141" s="5">
        <v>1996</v>
      </c>
      <c r="D141" s="5">
        <v>0</v>
      </c>
      <c r="E141" s="48">
        <v>1990</v>
      </c>
      <c r="F141" s="48">
        <v>1995</v>
      </c>
      <c r="G141" s="115">
        <v>0.5</v>
      </c>
      <c r="H141" s="7">
        <v>164.5945600759469</v>
      </c>
      <c r="I141" s="5">
        <v>0</v>
      </c>
      <c r="J141" s="5">
        <v>1</v>
      </c>
      <c r="K141" s="5">
        <v>0</v>
      </c>
      <c r="L141" s="7" t="s">
        <v>238</v>
      </c>
      <c r="M141" s="7" t="s">
        <v>238</v>
      </c>
      <c r="N141" s="7" t="s">
        <v>238</v>
      </c>
      <c r="O141" s="5">
        <v>1</v>
      </c>
      <c r="P141" s="5">
        <v>0</v>
      </c>
      <c r="Q141" s="5">
        <v>1</v>
      </c>
      <c r="R141" s="5">
        <v>1</v>
      </c>
      <c r="S141" s="5">
        <v>0</v>
      </c>
      <c r="T141" s="5">
        <v>0</v>
      </c>
      <c r="U141" s="5">
        <v>0</v>
      </c>
      <c r="V141" s="13">
        <v>0</v>
      </c>
      <c r="W141" s="13">
        <v>-2</v>
      </c>
      <c r="X141" s="5"/>
      <c r="Y141" s="5"/>
      <c r="Z141" s="5"/>
      <c r="AA141" s="5">
        <v>0</v>
      </c>
      <c r="AB141" s="5"/>
      <c r="AC141" s="5">
        <v>0</v>
      </c>
      <c r="AD141" s="5">
        <v>0</v>
      </c>
      <c r="AE141" s="5">
        <v>0</v>
      </c>
      <c r="AF141" s="5">
        <v>0</v>
      </c>
    </row>
    <row r="142" spans="1:32" x14ac:dyDescent="0.2">
      <c r="A142" s="3" t="str">
        <f>+VLOOKUP(B142,studies!$A$2:$C$102,3)</f>
        <v>Downing et al. (1996)</v>
      </c>
      <c r="B142" s="87">
        <v>19</v>
      </c>
      <c r="C142" s="5">
        <v>1996</v>
      </c>
      <c r="D142" s="5">
        <v>0</v>
      </c>
      <c r="E142" s="48">
        <v>1990</v>
      </c>
      <c r="F142" s="48">
        <v>1995</v>
      </c>
      <c r="G142" s="115">
        <v>0.5</v>
      </c>
      <c r="H142" s="7">
        <v>56.349018771089689</v>
      </c>
      <c r="I142" s="5">
        <v>0</v>
      </c>
      <c r="J142" s="5">
        <v>1</v>
      </c>
      <c r="K142" s="5">
        <v>0</v>
      </c>
      <c r="L142" s="7" t="s">
        <v>238</v>
      </c>
      <c r="M142" s="7" t="s">
        <v>238</v>
      </c>
      <c r="N142" s="7" t="s">
        <v>238</v>
      </c>
      <c r="O142" s="5">
        <v>1</v>
      </c>
      <c r="P142" s="5">
        <v>0</v>
      </c>
      <c r="Q142" s="5">
        <v>1</v>
      </c>
      <c r="R142" s="5">
        <v>1</v>
      </c>
      <c r="S142" s="5">
        <v>0</v>
      </c>
      <c r="T142" s="5">
        <v>0</v>
      </c>
      <c r="U142" s="5">
        <v>0</v>
      </c>
      <c r="V142" s="13">
        <v>0</v>
      </c>
      <c r="W142" s="13">
        <v>-2</v>
      </c>
      <c r="X142" s="5"/>
      <c r="Y142" s="5"/>
      <c r="Z142" s="5"/>
      <c r="AA142" s="5">
        <v>0</v>
      </c>
      <c r="AB142" s="5"/>
      <c r="AC142" s="5">
        <v>0</v>
      </c>
      <c r="AD142" s="5">
        <v>0</v>
      </c>
      <c r="AE142" s="5">
        <v>0</v>
      </c>
      <c r="AF142" s="5">
        <v>0</v>
      </c>
    </row>
    <row r="143" spans="1:32" x14ac:dyDescent="0.2">
      <c r="A143" s="3" t="str">
        <f>+VLOOKUP(B143,studies!$A$2:$C$102,3)</f>
        <v>Hohmeyer (1996)</v>
      </c>
      <c r="B143" s="87">
        <v>20</v>
      </c>
      <c r="C143" s="5">
        <v>1996</v>
      </c>
      <c r="D143" s="5">
        <v>0</v>
      </c>
      <c r="E143" s="48">
        <v>1990</v>
      </c>
      <c r="F143" s="48">
        <v>1995</v>
      </c>
      <c r="G143" s="115">
        <v>1</v>
      </c>
      <c r="H143" s="7">
        <v>2463.3450828891664</v>
      </c>
      <c r="I143" s="5">
        <v>0</v>
      </c>
      <c r="J143" s="5">
        <v>1</v>
      </c>
      <c r="K143" s="5">
        <v>0</v>
      </c>
      <c r="L143" s="7" t="s">
        <v>238</v>
      </c>
      <c r="M143" s="7" t="s">
        <v>238</v>
      </c>
      <c r="N143" s="7" t="s">
        <v>238</v>
      </c>
      <c r="O143" s="5">
        <v>0</v>
      </c>
      <c r="P143" s="5">
        <v>0</v>
      </c>
      <c r="Q143" s="5">
        <v>0</v>
      </c>
      <c r="R143" s="5">
        <v>1</v>
      </c>
      <c r="S143" s="48">
        <v>0</v>
      </c>
      <c r="T143" s="48">
        <v>0</v>
      </c>
      <c r="U143" s="48">
        <v>0</v>
      </c>
      <c r="V143" s="13">
        <v>0</v>
      </c>
      <c r="W143" s="13">
        <v>-2</v>
      </c>
      <c r="X143" s="5"/>
      <c r="Y143" s="5"/>
      <c r="Z143" s="5"/>
      <c r="AA143" s="5">
        <v>0</v>
      </c>
      <c r="AB143" s="5"/>
      <c r="AC143" s="5">
        <v>0</v>
      </c>
      <c r="AD143" s="5">
        <v>0</v>
      </c>
      <c r="AE143" s="5">
        <v>0</v>
      </c>
      <c r="AF143" s="5">
        <v>0</v>
      </c>
    </row>
    <row r="144" spans="1:32" x14ac:dyDescent="0.2">
      <c r="A144" s="3" t="str">
        <f>+VLOOKUP(B144,studies!$A$2:$C$102,3)</f>
        <v>Hope &amp; Maul (1996)</v>
      </c>
      <c r="B144" s="87">
        <v>21</v>
      </c>
      <c r="C144" s="5">
        <v>1996</v>
      </c>
      <c r="D144" s="5">
        <v>1</v>
      </c>
      <c r="E144" s="48">
        <v>1990</v>
      </c>
      <c r="F144" s="5">
        <v>1990</v>
      </c>
      <c r="G144" s="113">
        <v>0.1</v>
      </c>
      <c r="H144" s="7">
        <v>25.122856160579026</v>
      </c>
      <c r="I144" s="5">
        <v>1</v>
      </c>
      <c r="J144" s="5">
        <v>0</v>
      </c>
      <c r="K144" s="5">
        <v>0</v>
      </c>
      <c r="L144" s="7" t="s">
        <v>238</v>
      </c>
      <c r="M144" s="7">
        <v>7.3244478602271217</v>
      </c>
      <c r="N144" s="7">
        <v>7.3244478602271217</v>
      </c>
      <c r="O144" s="5">
        <v>1</v>
      </c>
      <c r="P144" s="5">
        <v>1</v>
      </c>
      <c r="Q144" s="5">
        <v>0</v>
      </c>
      <c r="R144" s="5">
        <v>0</v>
      </c>
      <c r="S144" s="5">
        <v>0</v>
      </c>
      <c r="T144" s="5">
        <v>0</v>
      </c>
      <c r="U144" s="5">
        <v>1</v>
      </c>
      <c r="V144" s="13">
        <v>4</v>
      </c>
      <c r="W144" s="13">
        <v>2</v>
      </c>
      <c r="X144" s="5"/>
      <c r="Y144" s="5"/>
      <c r="Z144" s="5"/>
      <c r="AA144" s="5">
        <v>0</v>
      </c>
      <c r="AB144" s="5"/>
      <c r="AC144" s="5">
        <v>1</v>
      </c>
      <c r="AD144" s="5">
        <v>0</v>
      </c>
      <c r="AE144" s="5">
        <v>0</v>
      </c>
      <c r="AF144" s="5">
        <v>0</v>
      </c>
    </row>
    <row r="145" spans="1:32" x14ac:dyDescent="0.2">
      <c r="A145" s="3" t="str">
        <f>+VLOOKUP(B145,studies!$A$2:$C$102,3)</f>
        <v>Hope &amp; Maul (1996)</v>
      </c>
      <c r="B145" s="87">
        <v>21</v>
      </c>
      <c r="C145" s="5">
        <v>1996</v>
      </c>
      <c r="D145" s="5">
        <v>1</v>
      </c>
      <c r="E145" s="48">
        <v>1990</v>
      </c>
      <c r="F145" s="5">
        <v>1990</v>
      </c>
      <c r="G145" s="113">
        <v>1</v>
      </c>
      <c r="H145" s="7">
        <v>86.135506836270949</v>
      </c>
      <c r="I145" s="5">
        <v>1</v>
      </c>
      <c r="J145" s="5">
        <v>0</v>
      </c>
      <c r="K145" s="5">
        <v>0</v>
      </c>
      <c r="L145" s="7" t="s">
        <v>238</v>
      </c>
      <c r="M145" s="7">
        <v>43.946687161362725</v>
      </c>
      <c r="N145" s="7">
        <v>450.45354340396796</v>
      </c>
      <c r="O145" s="5">
        <v>1</v>
      </c>
      <c r="P145" s="5">
        <v>1</v>
      </c>
      <c r="Q145" s="5">
        <v>0</v>
      </c>
      <c r="R145" s="5">
        <v>0</v>
      </c>
      <c r="S145" s="5">
        <v>0</v>
      </c>
      <c r="T145" s="5">
        <v>0</v>
      </c>
      <c r="U145" s="5">
        <v>1</v>
      </c>
      <c r="V145" s="13">
        <v>4</v>
      </c>
      <c r="W145" s="13">
        <v>2</v>
      </c>
      <c r="X145" s="5"/>
      <c r="Y145" s="5"/>
      <c r="Z145" s="5"/>
      <c r="AA145" s="5">
        <v>0</v>
      </c>
      <c r="AB145" s="5"/>
      <c r="AC145" s="5">
        <v>1</v>
      </c>
      <c r="AD145" s="5">
        <v>0</v>
      </c>
      <c r="AE145" s="5">
        <v>0</v>
      </c>
      <c r="AF145" s="5">
        <v>0</v>
      </c>
    </row>
    <row r="146" spans="1:32" x14ac:dyDescent="0.2">
      <c r="A146" s="3" t="str">
        <f>+VLOOKUP(B146,studies!$A$2:$C$102,3)</f>
        <v>Hope &amp; Maul (1996)</v>
      </c>
      <c r="B146" s="87">
        <v>21</v>
      </c>
      <c r="C146" s="5">
        <v>1996</v>
      </c>
      <c r="D146" s="5">
        <v>1</v>
      </c>
      <c r="E146" s="48">
        <v>1990</v>
      </c>
      <c r="F146" s="5">
        <v>1990</v>
      </c>
      <c r="G146" s="113">
        <v>0.1</v>
      </c>
      <c r="H146" s="7">
        <v>32.300815063601604</v>
      </c>
      <c r="I146" s="5">
        <v>1</v>
      </c>
      <c r="J146" s="5">
        <v>0</v>
      </c>
      <c r="K146" s="5">
        <v>0</v>
      </c>
      <c r="L146" s="7" t="s">
        <v>238</v>
      </c>
      <c r="M146" s="7">
        <v>9.1555598252839019</v>
      </c>
      <c r="N146" s="7">
        <v>9.1555598252839019</v>
      </c>
      <c r="O146" s="5">
        <v>1</v>
      </c>
      <c r="P146" s="5">
        <v>1</v>
      </c>
      <c r="Q146" s="5">
        <v>0</v>
      </c>
      <c r="R146" s="5">
        <v>0</v>
      </c>
      <c r="S146" s="5">
        <v>0</v>
      </c>
      <c r="T146" s="5">
        <v>0</v>
      </c>
      <c r="U146" s="5">
        <v>1</v>
      </c>
      <c r="V146" s="13">
        <v>4</v>
      </c>
      <c r="W146" s="13">
        <v>2</v>
      </c>
      <c r="X146" s="5"/>
      <c r="Y146" s="5"/>
      <c r="Z146" s="5"/>
      <c r="AA146" s="5">
        <v>0</v>
      </c>
      <c r="AB146" s="5"/>
      <c r="AC146" s="5">
        <v>1</v>
      </c>
      <c r="AD146" s="5">
        <v>0</v>
      </c>
      <c r="AE146" s="5">
        <v>0</v>
      </c>
      <c r="AF146" s="5">
        <v>0</v>
      </c>
    </row>
    <row r="147" spans="1:32" x14ac:dyDescent="0.2">
      <c r="A147" s="3" t="str">
        <f>+VLOOKUP(B147,studies!$A$2:$C$102,3)</f>
        <v>Hope &amp; Maul (1996)</v>
      </c>
      <c r="B147" s="87">
        <v>21</v>
      </c>
      <c r="C147" s="5">
        <v>1996</v>
      </c>
      <c r="D147" s="5">
        <v>1</v>
      </c>
      <c r="E147" s="48">
        <v>1990</v>
      </c>
      <c r="F147" s="5">
        <v>1990</v>
      </c>
      <c r="G147" s="113">
        <v>0.1</v>
      </c>
      <c r="H147" s="7">
        <v>68.190609578714501</v>
      </c>
      <c r="I147" s="5">
        <v>1</v>
      </c>
      <c r="J147" s="5">
        <v>0</v>
      </c>
      <c r="K147" s="5">
        <v>0</v>
      </c>
      <c r="L147" s="7" t="s">
        <v>238</v>
      </c>
      <c r="M147" s="7">
        <v>20.142231615624585</v>
      </c>
      <c r="N147" s="7">
        <v>23.804455545738143</v>
      </c>
      <c r="O147" s="5">
        <v>1</v>
      </c>
      <c r="P147" s="5">
        <v>1</v>
      </c>
      <c r="Q147" s="5">
        <v>0</v>
      </c>
      <c r="R147" s="5">
        <v>0</v>
      </c>
      <c r="S147" s="5">
        <v>0</v>
      </c>
      <c r="T147" s="5">
        <v>0</v>
      </c>
      <c r="U147" s="5">
        <v>1</v>
      </c>
      <c r="V147" s="13">
        <v>4</v>
      </c>
      <c r="W147" s="13">
        <v>2</v>
      </c>
      <c r="X147" s="5"/>
      <c r="Y147" s="5"/>
      <c r="Z147" s="5"/>
      <c r="AA147" s="5">
        <v>0</v>
      </c>
      <c r="AB147" s="5"/>
      <c r="AC147" s="5">
        <v>1</v>
      </c>
      <c r="AD147" s="5">
        <v>0</v>
      </c>
      <c r="AE147" s="5">
        <v>0</v>
      </c>
      <c r="AF147" s="5">
        <v>0</v>
      </c>
    </row>
    <row r="148" spans="1:32" x14ac:dyDescent="0.2">
      <c r="A148" s="3" t="str">
        <f>+VLOOKUP(B148,studies!$A$2:$C$102,3)</f>
        <v>Hope &amp; Maul (1996)</v>
      </c>
      <c r="B148" s="87">
        <v>21</v>
      </c>
      <c r="C148" s="5">
        <v>1996</v>
      </c>
      <c r="D148" s="5">
        <v>1</v>
      </c>
      <c r="E148" s="48">
        <v>1990</v>
      </c>
      <c r="F148" s="5">
        <v>1990</v>
      </c>
      <c r="G148" s="113">
        <v>0.6</v>
      </c>
      <c r="H148" s="7">
        <v>17.944897257556448</v>
      </c>
      <c r="I148" s="5">
        <v>1</v>
      </c>
      <c r="J148" s="5">
        <v>0</v>
      </c>
      <c r="K148" s="5">
        <v>0</v>
      </c>
      <c r="L148" s="7" t="s">
        <v>238</v>
      </c>
      <c r="M148" s="7">
        <v>5.4933358951703406</v>
      </c>
      <c r="N148" s="7">
        <v>3.6622239301135608</v>
      </c>
      <c r="O148" s="5">
        <v>1</v>
      </c>
      <c r="P148" s="5">
        <v>1</v>
      </c>
      <c r="Q148" s="5">
        <v>0</v>
      </c>
      <c r="R148" s="5">
        <v>1</v>
      </c>
      <c r="S148" s="5">
        <v>0</v>
      </c>
      <c r="T148" s="5">
        <v>0</v>
      </c>
      <c r="U148" s="5">
        <v>1</v>
      </c>
      <c r="V148" s="13">
        <v>4</v>
      </c>
      <c r="W148" s="13">
        <v>2</v>
      </c>
      <c r="X148" s="5"/>
      <c r="Y148" s="5"/>
      <c r="Z148" s="5"/>
      <c r="AA148" s="5">
        <v>0</v>
      </c>
      <c r="AB148" s="5"/>
      <c r="AC148" s="5">
        <v>1</v>
      </c>
      <c r="AD148" s="5">
        <v>0</v>
      </c>
      <c r="AE148" s="5">
        <v>0</v>
      </c>
      <c r="AF148" s="5">
        <v>0</v>
      </c>
    </row>
    <row r="149" spans="1:32" x14ac:dyDescent="0.2">
      <c r="A149" s="3" t="str">
        <f>+VLOOKUP(B149,studies!$A$2:$C$102,3)</f>
        <v>Hope &amp; Maul (1996)</v>
      </c>
      <c r="B149" s="87">
        <v>21</v>
      </c>
      <c r="C149" s="5">
        <v>1996</v>
      </c>
      <c r="D149" s="5">
        <v>1</v>
      </c>
      <c r="E149" s="48">
        <v>1990</v>
      </c>
      <c r="F149" s="5">
        <v>1990</v>
      </c>
      <c r="G149" s="113">
        <v>0.1</v>
      </c>
      <c r="H149" s="7">
        <v>104.0804040938274</v>
      </c>
      <c r="I149" s="5">
        <v>1</v>
      </c>
      <c r="J149" s="5">
        <v>0</v>
      </c>
      <c r="K149" s="5">
        <v>0</v>
      </c>
      <c r="L149" s="7" t="s">
        <v>238</v>
      </c>
      <c r="M149" s="7">
        <v>31.128903405965264</v>
      </c>
      <c r="N149" s="7">
        <v>29.297791440908487</v>
      </c>
      <c r="O149" s="5">
        <v>1</v>
      </c>
      <c r="P149" s="5">
        <v>1</v>
      </c>
      <c r="Q149" s="5">
        <v>0</v>
      </c>
      <c r="R149" s="5">
        <v>0</v>
      </c>
      <c r="S149" s="5">
        <v>0</v>
      </c>
      <c r="T149" s="5">
        <v>0</v>
      </c>
      <c r="U149" s="5">
        <v>1</v>
      </c>
      <c r="V149" s="13">
        <v>4</v>
      </c>
      <c r="W149" s="13">
        <v>2</v>
      </c>
      <c r="X149" s="5"/>
      <c r="Y149" s="5"/>
      <c r="Z149" s="5"/>
      <c r="AA149" s="5">
        <v>0</v>
      </c>
      <c r="AB149" s="5"/>
      <c r="AC149" s="5">
        <v>1</v>
      </c>
      <c r="AD149" s="5">
        <v>0</v>
      </c>
      <c r="AE149" s="5">
        <v>0</v>
      </c>
      <c r="AF149" s="5">
        <v>0</v>
      </c>
    </row>
    <row r="150" spans="1:32" x14ac:dyDescent="0.2">
      <c r="A150" s="3" t="str">
        <f>+VLOOKUP(B150,studies!$A$2:$C$102,3)</f>
        <v>Nordhaus &amp; Yang (1996)</v>
      </c>
      <c r="B150" s="87">
        <v>22</v>
      </c>
      <c r="C150" s="5">
        <v>1996</v>
      </c>
      <c r="D150" s="5">
        <v>1</v>
      </c>
      <c r="E150" s="5">
        <v>1990</v>
      </c>
      <c r="F150" s="5">
        <v>2010</v>
      </c>
      <c r="G150" s="113">
        <v>1</v>
      </c>
      <c r="H150" s="7">
        <v>14.973346763363379</v>
      </c>
      <c r="I150" s="5">
        <v>0</v>
      </c>
      <c r="J150" s="5">
        <v>1</v>
      </c>
      <c r="K150" s="5">
        <v>0</v>
      </c>
      <c r="L150" s="7" t="s">
        <v>238</v>
      </c>
      <c r="M150" s="7" t="s">
        <v>238</v>
      </c>
      <c r="N150" s="7" t="s">
        <v>238</v>
      </c>
      <c r="O150" s="5">
        <v>1</v>
      </c>
      <c r="P150" s="5">
        <v>1</v>
      </c>
      <c r="Q150" s="5">
        <v>0</v>
      </c>
      <c r="R150" s="5">
        <v>1</v>
      </c>
      <c r="S150" s="5">
        <v>0</v>
      </c>
      <c r="T150" s="5">
        <v>1</v>
      </c>
      <c r="U150" s="5">
        <v>0</v>
      </c>
      <c r="V150" s="13">
        <v>5</v>
      </c>
      <c r="W150" s="13">
        <v>3</v>
      </c>
      <c r="X150" s="5"/>
      <c r="Y150" s="5"/>
      <c r="Z150" s="5"/>
      <c r="AA150" s="5">
        <v>0</v>
      </c>
      <c r="AB150" s="5"/>
      <c r="AC150" s="5">
        <v>0</v>
      </c>
      <c r="AD150" s="5">
        <v>1</v>
      </c>
      <c r="AE150" s="5">
        <v>0</v>
      </c>
      <c r="AF150" s="5">
        <v>1</v>
      </c>
    </row>
    <row r="151" spans="1:32" x14ac:dyDescent="0.2">
      <c r="A151" s="3" t="str">
        <f>+VLOOKUP(B151,studies!$A$2:$C$102,3)</f>
        <v>Plambeck &amp; Hope (1996)</v>
      </c>
      <c r="B151" s="87">
        <v>23</v>
      </c>
      <c r="C151" s="5">
        <v>1996</v>
      </c>
      <c r="D151" s="5">
        <v>1</v>
      </c>
      <c r="E151" s="48">
        <v>1990</v>
      </c>
      <c r="F151" s="5">
        <v>1990</v>
      </c>
      <c r="G151" s="113">
        <v>0.125</v>
      </c>
      <c r="H151" s="7">
        <v>10.766938354533869</v>
      </c>
      <c r="I151" s="5">
        <v>1</v>
      </c>
      <c r="J151" s="5">
        <v>0</v>
      </c>
      <c r="K151" s="5">
        <v>0</v>
      </c>
      <c r="L151" s="7" t="s">
        <v>238</v>
      </c>
      <c r="M151" s="7">
        <v>3.6622239301135608</v>
      </c>
      <c r="N151" s="7">
        <v>5.4933358951703406</v>
      </c>
      <c r="O151" s="5">
        <v>1</v>
      </c>
      <c r="P151" s="5">
        <v>1</v>
      </c>
      <c r="Q151" s="5">
        <v>0</v>
      </c>
      <c r="R151" s="5">
        <v>1</v>
      </c>
      <c r="S151" s="5">
        <v>0</v>
      </c>
      <c r="T151" s="5">
        <v>0</v>
      </c>
      <c r="U151" s="5">
        <v>1</v>
      </c>
      <c r="V151" s="13">
        <v>5</v>
      </c>
      <c r="W151" s="13">
        <v>3</v>
      </c>
      <c r="X151" s="5"/>
      <c r="Y151" s="5"/>
      <c r="Z151" s="5"/>
      <c r="AA151" s="5">
        <v>0</v>
      </c>
      <c r="AB151" s="5"/>
      <c r="AC151" s="5">
        <v>1</v>
      </c>
      <c r="AD151" s="5">
        <v>0</v>
      </c>
      <c r="AE151" s="5">
        <v>0</v>
      </c>
      <c r="AF151" s="5">
        <v>0</v>
      </c>
    </row>
    <row r="152" spans="1:32" x14ac:dyDescent="0.2">
      <c r="A152" s="3" t="str">
        <f>+VLOOKUP(B152,studies!$A$2:$C$102,3)</f>
        <v>Plambeck &amp; Hope (1996)</v>
      </c>
      <c r="B152" s="87">
        <v>23</v>
      </c>
      <c r="C152" s="5">
        <v>1996</v>
      </c>
      <c r="D152" s="5">
        <v>1</v>
      </c>
      <c r="E152" s="48">
        <v>1990</v>
      </c>
      <c r="F152" s="5">
        <v>1990</v>
      </c>
      <c r="G152" s="113">
        <v>6.25E-2</v>
      </c>
      <c r="H152" s="7">
        <v>17.944897257556448</v>
      </c>
      <c r="I152" s="5">
        <v>1</v>
      </c>
      <c r="J152" s="5">
        <v>0</v>
      </c>
      <c r="K152" s="5">
        <v>0</v>
      </c>
      <c r="L152" s="7" t="s">
        <v>238</v>
      </c>
      <c r="M152" s="7">
        <v>5.4933358951703406</v>
      </c>
      <c r="N152" s="7">
        <v>12.817783755397462</v>
      </c>
      <c r="O152" s="5">
        <v>1</v>
      </c>
      <c r="P152" s="5">
        <v>1</v>
      </c>
      <c r="Q152" s="5">
        <v>0</v>
      </c>
      <c r="R152" s="5">
        <v>1</v>
      </c>
      <c r="S152" s="5">
        <v>0</v>
      </c>
      <c r="T152" s="5">
        <v>0</v>
      </c>
      <c r="U152" s="5">
        <v>1</v>
      </c>
      <c r="V152" s="13">
        <v>5</v>
      </c>
      <c r="W152" s="13">
        <v>3</v>
      </c>
      <c r="X152" s="5"/>
      <c r="Y152" s="5"/>
      <c r="Z152" s="5"/>
      <c r="AA152" s="5">
        <v>0</v>
      </c>
      <c r="AB152" s="5"/>
      <c r="AC152" s="5">
        <v>1</v>
      </c>
      <c r="AD152" s="5">
        <v>0</v>
      </c>
      <c r="AE152" s="5">
        <v>0</v>
      </c>
      <c r="AF152" s="5">
        <v>0</v>
      </c>
    </row>
    <row r="153" spans="1:32" x14ac:dyDescent="0.2">
      <c r="A153" s="3" t="str">
        <f>+VLOOKUP(B153,studies!$A$2:$C$102,3)</f>
        <v>Plambeck &amp; Hope (1996)</v>
      </c>
      <c r="B153" s="87">
        <v>23</v>
      </c>
      <c r="C153" s="5">
        <v>1996</v>
      </c>
      <c r="D153" s="5">
        <v>1</v>
      </c>
      <c r="E153" s="48">
        <v>1990</v>
      </c>
      <c r="F153" s="5">
        <v>1990</v>
      </c>
      <c r="G153" s="113">
        <v>0.125</v>
      </c>
      <c r="H153" s="7">
        <v>28.711835612090315</v>
      </c>
      <c r="I153" s="5">
        <v>1</v>
      </c>
      <c r="J153" s="5">
        <v>0</v>
      </c>
      <c r="K153" s="5">
        <v>0</v>
      </c>
      <c r="L153" s="7" t="s">
        <v>238</v>
      </c>
      <c r="M153" s="7">
        <v>9.1555598252839019</v>
      </c>
      <c r="N153" s="7">
        <v>7.3244478602271217</v>
      </c>
      <c r="O153" s="5">
        <v>1</v>
      </c>
      <c r="P153" s="5">
        <v>1</v>
      </c>
      <c r="Q153" s="5">
        <v>0</v>
      </c>
      <c r="R153" s="5">
        <v>1</v>
      </c>
      <c r="S153" s="5">
        <v>0</v>
      </c>
      <c r="T153" s="5">
        <v>0</v>
      </c>
      <c r="U153" s="5">
        <v>1</v>
      </c>
      <c r="V153" s="13">
        <v>5</v>
      </c>
      <c r="W153" s="13">
        <v>3</v>
      </c>
      <c r="X153" s="5"/>
      <c r="Y153" s="5"/>
      <c r="Z153" s="5"/>
      <c r="AA153" s="5">
        <v>0</v>
      </c>
      <c r="AB153" s="5"/>
      <c r="AC153" s="5">
        <v>1</v>
      </c>
      <c r="AD153" s="5">
        <v>0</v>
      </c>
      <c r="AE153" s="5">
        <v>0</v>
      </c>
      <c r="AF153" s="5">
        <v>0</v>
      </c>
    </row>
    <row r="154" spans="1:32" x14ac:dyDescent="0.2">
      <c r="A154" s="3" t="str">
        <f>+VLOOKUP(B154,studies!$A$2:$C$102,3)</f>
        <v>Plambeck &amp; Hope (1996)</v>
      </c>
      <c r="B154" s="87">
        <v>23</v>
      </c>
      <c r="C154" s="5">
        <v>1996</v>
      </c>
      <c r="D154" s="5">
        <v>1</v>
      </c>
      <c r="E154" s="48">
        <v>1990</v>
      </c>
      <c r="F154" s="5">
        <v>1990</v>
      </c>
      <c r="G154" s="113">
        <v>0.125</v>
      </c>
      <c r="H154" s="7">
        <v>28.711835612090315</v>
      </c>
      <c r="I154" s="5">
        <v>1</v>
      </c>
      <c r="J154" s="5">
        <v>0</v>
      </c>
      <c r="K154" s="5">
        <v>0</v>
      </c>
      <c r="L154" s="7" t="s">
        <v>238</v>
      </c>
      <c r="M154" s="7">
        <v>3.6622239301135608</v>
      </c>
      <c r="N154" s="7">
        <v>18.311119650567804</v>
      </c>
      <c r="O154" s="5">
        <v>1</v>
      </c>
      <c r="P154" s="5">
        <v>1</v>
      </c>
      <c r="Q154" s="5">
        <v>0</v>
      </c>
      <c r="R154" s="5">
        <v>1</v>
      </c>
      <c r="S154" s="5">
        <v>0</v>
      </c>
      <c r="T154" s="5">
        <v>0</v>
      </c>
      <c r="U154" s="5">
        <v>1</v>
      </c>
      <c r="V154" s="13">
        <v>5</v>
      </c>
      <c r="W154" s="13">
        <v>3</v>
      </c>
      <c r="X154" s="5"/>
      <c r="Y154" s="5"/>
      <c r="Z154" s="5"/>
      <c r="AA154" s="5">
        <v>0</v>
      </c>
      <c r="AB154" s="5"/>
      <c r="AC154" s="5">
        <v>1</v>
      </c>
      <c r="AD154" s="5">
        <v>0</v>
      </c>
      <c r="AE154" s="5">
        <v>0</v>
      </c>
      <c r="AF154" s="5">
        <v>0</v>
      </c>
    </row>
    <row r="155" spans="1:32" x14ac:dyDescent="0.2">
      <c r="A155" s="3" t="str">
        <f>+VLOOKUP(B155,studies!$A$2:$C$102,3)</f>
        <v>Plambeck &amp; Hope (1996)</v>
      </c>
      <c r="B155" s="87">
        <v>23</v>
      </c>
      <c r="C155" s="5">
        <v>1996</v>
      </c>
      <c r="D155" s="5">
        <v>1</v>
      </c>
      <c r="E155" s="48">
        <v>1990</v>
      </c>
      <c r="F155" s="5">
        <v>1990</v>
      </c>
      <c r="G155" s="113">
        <v>0.25</v>
      </c>
      <c r="H155" s="7">
        <v>75.368568481737086</v>
      </c>
      <c r="I155" s="5">
        <v>1</v>
      </c>
      <c r="J155" s="5">
        <v>0</v>
      </c>
      <c r="K155" s="5">
        <v>0</v>
      </c>
      <c r="L155" s="7" t="s">
        <v>238</v>
      </c>
      <c r="M155" s="7">
        <v>20.142231615624585</v>
      </c>
      <c r="N155" s="7">
        <v>49.440023056533065</v>
      </c>
      <c r="O155" s="5">
        <v>1</v>
      </c>
      <c r="P155" s="5">
        <v>1</v>
      </c>
      <c r="Q155" s="5">
        <v>0</v>
      </c>
      <c r="R155" s="5">
        <v>1</v>
      </c>
      <c r="S155" s="5">
        <v>0</v>
      </c>
      <c r="T155" s="5">
        <v>0</v>
      </c>
      <c r="U155" s="5">
        <v>1</v>
      </c>
      <c r="V155" s="13">
        <v>5</v>
      </c>
      <c r="W155" s="13">
        <v>3</v>
      </c>
      <c r="X155" s="5"/>
      <c r="Y155" s="5"/>
      <c r="Z155" s="5"/>
      <c r="AA155" s="5">
        <v>0</v>
      </c>
      <c r="AB155" s="5"/>
      <c r="AC155" s="5">
        <v>1</v>
      </c>
      <c r="AD155" s="5">
        <v>0</v>
      </c>
      <c r="AE155" s="5">
        <v>0</v>
      </c>
      <c r="AF155" s="5">
        <v>0</v>
      </c>
    </row>
    <row r="156" spans="1:32" x14ac:dyDescent="0.2">
      <c r="A156" s="3" t="str">
        <f>+VLOOKUP(B156,studies!$A$2:$C$102,3)</f>
        <v>Plambeck &amp; Hope (1996)</v>
      </c>
      <c r="B156" s="87">
        <v>23</v>
      </c>
      <c r="C156" s="5">
        <v>1996</v>
      </c>
      <c r="D156" s="5">
        <v>1</v>
      </c>
      <c r="E156" s="48">
        <v>1990</v>
      </c>
      <c r="F156" s="5">
        <v>1990</v>
      </c>
      <c r="G156" s="113">
        <v>0.125</v>
      </c>
      <c r="H156" s="7">
        <v>165.09305476951931</v>
      </c>
      <c r="I156" s="5">
        <v>1</v>
      </c>
      <c r="J156" s="5">
        <v>0</v>
      </c>
      <c r="K156" s="5">
        <v>0</v>
      </c>
      <c r="L156" s="7" t="s">
        <v>238</v>
      </c>
      <c r="M156" s="7">
        <v>47.608911091476287</v>
      </c>
      <c r="N156" s="7">
        <v>87.89337432272545</v>
      </c>
      <c r="O156" s="5">
        <v>1</v>
      </c>
      <c r="P156" s="5">
        <v>1</v>
      </c>
      <c r="Q156" s="5">
        <v>0</v>
      </c>
      <c r="R156" s="5">
        <v>1</v>
      </c>
      <c r="S156" s="5">
        <v>0</v>
      </c>
      <c r="T156" s="5">
        <v>0</v>
      </c>
      <c r="U156" s="5">
        <v>1</v>
      </c>
      <c r="V156" s="13">
        <v>4</v>
      </c>
      <c r="W156" s="13">
        <v>2</v>
      </c>
      <c r="X156" s="5"/>
      <c r="Y156" s="5"/>
      <c r="Z156" s="5"/>
      <c r="AA156" s="5">
        <v>0</v>
      </c>
      <c r="AB156" s="5"/>
      <c r="AC156" s="5">
        <v>1</v>
      </c>
      <c r="AD156" s="5">
        <v>0</v>
      </c>
      <c r="AE156" s="5">
        <v>0</v>
      </c>
      <c r="AF156" s="5">
        <v>0</v>
      </c>
    </row>
    <row r="157" spans="1:32" x14ac:dyDescent="0.2">
      <c r="A157" s="3" t="str">
        <f>+VLOOKUP(B157,studies!$A$2:$C$102,3)</f>
        <v>Plambeck &amp; Hope (1996)</v>
      </c>
      <c r="B157" s="87">
        <v>23</v>
      </c>
      <c r="C157" s="5">
        <v>1996</v>
      </c>
      <c r="D157" s="5">
        <v>1</v>
      </c>
      <c r="E157" s="48">
        <v>1990</v>
      </c>
      <c r="F157" s="5">
        <v>1990</v>
      </c>
      <c r="G157" s="113">
        <v>0.125</v>
      </c>
      <c r="H157" s="7">
        <v>1579.1509586649674</v>
      </c>
      <c r="I157" s="5">
        <v>1</v>
      </c>
      <c r="J157" s="5">
        <v>0</v>
      </c>
      <c r="K157" s="5">
        <v>0</v>
      </c>
      <c r="L157" s="7" t="s">
        <v>238</v>
      </c>
      <c r="M157" s="7">
        <v>91.555598252839019</v>
      </c>
      <c r="N157" s="7">
        <v>73.244478602271215</v>
      </c>
      <c r="O157" s="5">
        <v>1</v>
      </c>
      <c r="P157" s="5">
        <v>1</v>
      </c>
      <c r="Q157" s="5">
        <v>0</v>
      </c>
      <c r="R157" s="5">
        <v>1</v>
      </c>
      <c r="S157" s="5">
        <v>0</v>
      </c>
      <c r="T157" s="5">
        <v>0</v>
      </c>
      <c r="U157" s="5">
        <v>1</v>
      </c>
      <c r="V157" s="13">
        <v>2</v>
      </c>
      <c r="W157" s="13">
        <v>0</v>
      </c>
      <c r="X157" s="5"/>
      <c r="Y157" s="5"/>
      <c r="Z157" s="5"/>
      <c r="AA157" s="5">
        <v>0</v>
      </c>
      <c r="AB157" s="5"/>
      <c r="AC157" s="5">
        <v>1</v>
      </c>
      <c r="AD157" s="5">
        <v>0</v>
      </c>
      <c r="AE157" s="5">
        <v>0</v>
      </c>
      <c r="AF157" s="5">
        <v>0</v>
      </c>
    </row>
    <row r="158" spans="1:32" x14ac:dyDescent="0.2">
      <c r="A158" s="3" t="str">
        <f>+VLOOKUP(B158,studies!$A$2:$C$102,3)</f>
        <v>Plambeck &amp; Hope (1996)</v>
      </c>
      <c r="B158" s="87">
        <v>23</v>
      </c>
      <c r="C158" s="5">
        <v>1996</v>
      </c>
      <c r="D158" s="5">
        <v>1</v>
      </c>
      <c r="E158" s="48">
        <v>1990</v>
      </c>
      <c r="F158" s="5">
        <v>1990</v>
      </c>
      <c r="G158" s="113">
        <v>6.25E-2</v>
      </c>
      <c r="H158" s="7">
        <v>114.84734244836126</v>
      </c>
      <c r="I158" s="5">
        <v>1</v>
      </c>
      <c r="J158" s="5">
        <v>0</v>
      </c>
      <c r="K158" s="5">
        <v>0</v>
      </c>
      <c r="L158" s="7" t="s">
        <v>238</v>
      </c>
      <c r="M158" s="7">
        <v>18.311119650567804</v>
      </c>
      <c r="N158" s="7">
        <v>43.946687161362725</v>
      </c>
      <c r="O158" s="5">
        <v>1</v>
      </c>
      <c r="P158" s="5">
        <v>1</v>
      </c>
      <c r="Q158" s="5">
        <v>0</v>
      </c>
      <c r="R158" s="5">
        <v>1</v>
      </c>
      <c r="S158" s="5">
        <v>0</v>
      </c>
      <c r="T158" s="5">
        <v>0</v>
      </c>
      <c r="U158" s="5">
        <v>1</v>
      </c>
      <c r="V158" s="13">
        <v>5</v>
      </c>
      <c r="W158" s="13">
        <v>3</v>
      </c>
      <c r="X158" s="5"/>
      <c r="Y158" s="5"/>
      <c r="Z158" s="5"/>
      <c r="AA158" s="5">
        <v>0</v>
      </c>
      <c r="AB158" s="5"/>
      <c r="AC158" s="5">
        <v>1</v>
      </c>
      <c r="AD158" s="5">
        <v>0</v>
      </c>
      <c r="AE158" s="5">
        <v>0</v>
      </c>
      <c r="AF158" s="5">
        <v>0</v>
      </c>
    </row>
    <row r="159" spans="1:32" x14ac:dyDescent="0.2">
      <c r="A159" s="3" t="str">
        <f>+VLOOKUP(B159,studies!$A$2:$C$102,3)</f>
        <v>Cline (1997)</v>
      </c>
      <c r="B159" s="87">
        <v>24</v>
      </c>
      <c r="C159" s="5">
        <v>1997</v>
      </c>
      <c r="D159" s="5">
        <v>0</v>
      </c>
      <c r="E159" s="48">
        <v>1995</v>
      </c>
      <c r="F159" s="48">
        <v>1995</v>
      </c>
      <c r="G159" s="115">
        <v>1</v>
      </c>
      <c r="H159" s="7">
        <v>231.7250656559599</v>
      </c>
      <c r="I159" s="5">
        <v>0</v>
      </c>
      <c r="J159" s="5">
        <v>1</v>
      </c>
      <c r="K159" s="5">
        <v>0</v>
      </c>
      <c r="L159" s="7">
        <v>105.29956687215271</v>
      </c>
      <c r="M159" s="7">
        <v>107.44853762464562</v>
      </c>
      <c r="N159" s="7">
        <v>107.44853762464562</v>
      </c>
      <c r="O159" s="5">
        <v>1</v>
      </c>
      <c r="P159" s="5">
        <v>1</v>
      </c>
      <c r="Q159" s="5">
        <v>0</v>
      </c>
      <c r="R159" s="5">
        <v>1</v>
      </c>
      <c r="S159" s="5">
        <v>0</v>
      </c>
      <c r="T159" s="5">
        <v>1</v>
      </c>
      <c r="U159" s="5">
        <v>0</v>
      </c>
      <c r="V159" s="13" t="s">
        <v>25</v>
      </c>
      <c r="W159" s="13" t="s">
        <v>25</v>
      </c>
      <c r="X159" s="5"/>
      <c r="Y159" s="5"/>
      <c r="Z159" s="5"/>
      <c r="AA159" s="5">
        <v>0</v>
      </c>
      <c r="AB159" s="5"/>
      <c r="AC159" s="5">
        <v>0</v>
      </c>
      <c r="AD159" s="5">
        <v>0</v>
      </c>
      <c r="AE159" s="5">
        <v>0</v>
      </c>
      <c r="AF159" s="5">
        <v>1</v>
      </c>
    </row>
    <row r="160" spans="1:32" x14ac:dyDescent="0.2">
      <c r="A160" s="3" t="str">
        <f>+VLOOKUP(B160,studies!$A$2:$C$102,3)</f>
        <v>Nordhaus &amp; Popp (1997)</v>
      </c>
      <c r="B160" s="87">
        <v>25</v>
      </c>
      <c r="C160" s="5">
        <v>1997</v>
      </c>
      <c r="D160" s="5">
        <v>1</v>
      </c>
      <c r="E160" s="48">
        <v>1990</v>
      </c>
      <c r="F160" s="48">
        <v>2000</v>
      </c>
      <c r="G160" s="115">
        <v>0.9</v>
      </c>
      <c r="H160" s="7">
        <v>30.750525708258014</v>
      </c>
      <c r="I160" s="5">
        <v>1</v>
      </c>
      <c r="J160" s="5">
        <v>0</v>
      </c>
      <c r="K160" s="5">
        <v>0</v>
      </c>
      <c r="L160" s="7">
        <v>2.0632440359234971</v>
      </c>
      <c r="M160" s="7">
        <v>18.629090455080632</v>
      </c>
      <c r="N160" s="7">
        <v>35.668284397184557</v>
      </c>
      <c r="O160" s="5">
        <v>0</v>
      </c>
      <c r="P160" s="5">
        <v>1</v>
      </c>
      <c r="Q160" s="5">
        <v>0</v>
      </c>
      <c r="R160" s="5">
        <v>1</v>
      </c>
      <c r="S160" s="5">
        <v>0</v>
      </c>
      <c r="T160" s="5">
        <v>1</v>
      </c>
      <c r="U160" s="5">
        <v>0</v>
      </c>
      <c r="V160" s="13">
        <v>5</v>
      </c>
      <c r="W160" s="13">
        <v>3</v>
      </c>
      <c r="X160" s="5">
        <v>1</v>
      </c>
      <c r="Y160" s="5">
        <v>2</v>
      </c>
      <c r="Z160" s="5"/>
      <c r="AA160" s="5">
        <v>0</v>
      </c>
      <c r="AB160" s="5"/>
      <c r="AC160" s="5">
        <v>0</v>
      </c>
      <c r="AD160" s="5">
        <v>1</v>
      </c>
      <c r="AE160" s="5">
        <v>0</v>
      </c>
      <c r="AF160" s="5">
        <v>1</v>
      </c>
    </row>
    <row r="161" spans="1:32" x14ac:dyDescent="0.2">
      <c r="A161" s="3" t="str">
        <f>+VLOOKUP(B161,studies!$A$2:$C$102,3)</f>
        <v>Nordhaus &amp; Popp (1997)</v>
      </c>
      <c r="B161" s="87">
        <v>25</v>
      </c>
      <c r="C161" s="5">
        <v>1997</v>
      </c>
      <c r="D161" s="5">
        <v>1</v>
      </c>
      <c r="E161" s="48">
        <v>1990</v>
      </c>
      <c r="F161" s="48">
        <v>2010</v>
      </c>
      <c r="G161" s="115">
        <v>0.1</v>
      </c>
      <c r="H161" s="7">
        <v>13.009310369727405</v>
      </c>
      <c r="I161" s="5">
        <v>1</v>
      </c>
      <c r="J161" s="5">
        <v>0</v>
      </c>
      <c r="K161" s="5">
        <v>0</v>
      </c>
      <c r="L161" s="7" t="s">
        <v>238</v>
      </c>
      <c r="M161" s="7" t="s">
        <v>238</v>
      </c>
      <c r="N161" s="7" t="s">
        <v>238</v>
      </c>
      <c r="O161" s="5">
        <v>0</v>
      </c>
      <c r="P161" s="5">
        <v>1</v>
      </c>
      <c r="Q161" s="5">
        <v>0</v>
      </c>
      <c r="R161" s="5">
        <v>1</v>
      </c>
      <c r="S161" s="5">
        <v>0</v>
      </c>
      <c r="T161" s="5">
        <v>1</v>
      </c>
      <c r="U161" s="5">
        <v>0</v>
      </c>
      <c r="V161" s="13">
        <v>5</v>
      </c>
      <c r="W161" s="13" t="s">
        <v>25</v>
      </c>
      <c r="X161" s="5"/>
      <c r="Y161" s="5">
        <v>2</v>
      </c>
      <c r="Z161" s="5"/>
      <c r="AA161" s="5">
        <v>0</v>
      </c>
      <c r="AB161" s="5"/>
      <c r="AC161" s="5">
        <v>0</v>
      </c>
      <c r="AD161" s="5">
        <v>1</v>
      </c>
      <c r="AE161" s="5">
        <v>0</v>
      </c>
      <c r="AF161" s="5">
        <v>1</v>
      </c>
    </row>
    <row r="162" spans="1:32" x14ac:dyDescent="0.2">
      <c r="A162" s="3" t="str">
        <f>+VLOOKUP(B162,studies!$A$2:$C$102,3)</f>
        <v>Eyre et al. (1999)</v>
      </c>
      <c r="B162" s="87">
        <v>26</v>
      </c>
      <c r="C162" s="5">
        <v>1999</v>
      </c>
      <c r="D162" s="5">
        <v>0</v>
      </c>
      <c r="E162" s="48">
        <v>1995</v>
      </c>
      <c r="F162" s="48">
        <v>1995</v>
      </c>
      <c r="G162" s="115">
        <v>0.5</v>
      </c>
      <c r="H162" s="7">
        <v>448.92605312265732</v>
      </c>
      <c r="I162" s="5">
        <v>0</v>
      </c>
      <c r="J162" s="5">
        <v>1</v>
      </c>
      <c r="K162" s="5">
        <v>0</v>
      </c>
      <c r="L162" s="7" t="s">
        <v>238</v>
      </c>
      <c r="M162" s="7" t="s">
        <v>238</v>
      </c>
      <c r="N162" s="7" t="s">
        <v>238</v>
      </c>
      <c r="O162" s="5">
        <v>0</v>
      </c>
      <c r="P162" s="5">
        <v>1</v>
      </c>
      <c r="Q162" s="5">
        <v>1</v>
      </c>
      <c r="R162" s="5">
        <v>1</v>
      </c>
      <c r="S162" s="5">
        <v>1</v>
      </c>
      <c r="T162" s="5">
        <v>0</v>
      </c>
      <c r="U162" s="5">
        <v>0</v>
      </c>
      <c r="V162" s="13">
        <v>1</v>
      </c>
      <c r="W162" s="13">
        <v>-1</v>
      </c>
      <c r="X162" s="5"/>
      <c r="Y162" s="5"/>
      <c r="Z162" s="5"/>
      <c r="AA162" s="5">
        <v>1</v>
      </c>
      <c r="AB162" s="5"/>
      <c r="AC162" s="5">
        <v>0</v>
      </c>
      <c r="AD162" s="5">
        <v>0</v>
      </c>
      <c r="AE162" s="5">
        <v>0</v>
      </c>
      <c r="AF162" s="5">
        <v>0</v>
      </c>
    </row>
    <row r="163" spans="1:32" x14ac:dyDescent="0.2">
      <c r="A163" s="3" t="str">
        <f>+VLOOKUP(B163,studies!$A$2:$C$102,3)</f>
        <v>Eyre et al. (1999)</v>
      </c>
      <c r="B163" s="87">
        <v>26</v>
      </c>
      <c r="C163" s="5">
        <v>1999</v>
      </c>
      <c r="D163" s="5">
        <v>0</v>
      </c>
      <c r="E163" s="48">
        <v>1995</v>
      </c>
      <c r="F163" s="48">
        <v>1995</v>
      </c>
      <c r="G163" s="115">
        <v>0.5</v>
      </c>
      <c r="H163" s="7">
        <v>184.85190422697656</v>
      </c>
      <c r="I163" s="5">
        <v>0</v>
      </c>
      <c r="J163" s="5">
        <v>1</v>
      </c>
      <c r="K163" s="5">
        <v>0</v>
      </c>
      <c r="L163" s="7" t="s">
        <v>238</v>
      </c>
      <c r="M163" s="7" t="s">
        <v>238</v>
      </c>
      <c r="N163" s="7" t="s">
        <v>238</v>
      </c>
      <c r="O163" s="5">
        <v>0</v>
      </c>
      <c r="P163" s="5">
        <v>1</v>
      </c>
      <c r="Q163" s="5">
        <v>1</v>
      </c>
      <c r="R163" s="5">
        <v>1</v>
      </c>
      <c r="S163" s="5">
        <v>1</v>
      </c>
      <c r="T163" s="5">
        <v>0</v>
      </c>
      <c r="U163" s="5">
        <v>0</v>
      </c>
      <c r="V163" s="13">
        <v>3</v>
      </c>
      <c r="W163" s="13">
        <v>1</v>
      </c>
      <c r="X163" s="5"/>
      <c r="Y163" s="5"/>
      <c r="Z163" s="5"/>
      <c r="AA163" s="5">
        <v>1</v>
      </c>
      <c r="AB163" s="5"/>
      <c r="AC163" s="5">
        <v>0</v>
      </c>
      <c r="AD163" s="5">
        <v>0</v>
      </c>
      <c r="AE163" s="5">
        <v>0</v>
      </c>
      <c r="AF163" s="5">
        <v>0</v>
      </c>
    </row>
    <row r="164" spans="1:32" x14ac:dyDescent="0.2">
      <c r="A164" s="3" t="str">
        <f>+VLOOKUP(B164,studies!$A$2:$C$102,3)</f>
        <v>Eyre et al. (1999)</v>
      </c>
      <c r="B164" s="87">
        <v>26</v>
      </c>
      <c r="C164" s="5">
        <v>1999</v>
      </c>
      <c r="D164" s="5">
        <v>0</v>
      </c>
      <c r="E164" s="48">
        <v>1995</v>
      </c>
      <c r="F164" s="48">
        <v>1995</v>
      </c>
      <c r="G164" s="115">
        <v>0.5</v>
      </c>
      <c r="H164" s="7">
        <v>422.51863823308923</v>
      </c>
      <c r="I164" s="5">
        <v>0</v>
      </c>
      <c r="J164" s="5">
        <v>1</v>
      </c>
      <c r="K164" s="5">
        <v>0</v>
      </c>
      <c r="L164" s="7" t="s">
        <v>238</v>
      </c>
      <c r="M164" s="7" t="s">
        <v>238</v>
      </c>
      <c r="N164" s="7" t="s">
        <v>238</v>
      </c>
      <c r="O164" s="5">
        <v>0</v>
      </c>
      <c r="P164" s="5">
        <v>1</v>
      </c>
      <c r="Q164" s="5">
        <v>1</v>
      </c>
      <c r="R164" s="5">
        <v>1</v>
      </c>
      <c r="S164" s="5">
        <v>0</v>
      </c>
      <c r="T164" s="5">
        <v>0</v>
      </c>
      <c r="U164" s="5">
        <v>0</v>
      </c>
      <c r="V164" s="13">
        <v>1</v>
      </c>
      <c r="W164" s="13">
        <v>-1</v>
      </c>
      <c r="X164" s="5"/>
      <c r="Y164" s="5"/>
      <c r="Z164" s="5"/>
      <c r="AA164" s="5">
        <v>1</v>
      </c>
      <c r="AB164" s="5"/>
      <c r="AC164" s="5">
        <v>0</v>
      </c>
      <c r="AD164" s="5">
        <v>0</v>
      </c>
      <c r="AE164" s="5">
        <v>0</v>
      </c>
      <c r="AF164" s="5">
        <v>0</v>
      </c>
    </row>
    <row r="165" spans="1:32" x14ac:dyDescent="0.2">
      <c r="A165" s="3" t="str">
        <f>+VLOOKUP(B165,studies!$A$2:$C$102,3)</f>
        <v>Eyre et al. (1999)</v>
      </c>
      <c r="B165" s="87">
        <v>26</v>
      </c>
      <c r="C165" s="5">
        <v>1999</v>
      </c>
      <c r="D165" s="5">
        <v>0</v>
      </c>
      <c r="E165" s="48">
        <v>1995</v>
      </c>
      <c r="F165" s="48">
        <v>1995</v>
      </c>
      <c r="G165" s="115">
        <v>0.5</v>
      </c>
      <c r="H165" s="7">
        <v>195.41487018280378</v>
      </c>
      <c r="I165" s="5">
        <v>0</v>
      </c>
      <c r="J165" s="5">
        <v>1</v>
      </c>
      <c r="K165" s="5">
        <v>0</v>
      </c>
      <c r="L165" s="7" t="s">
        <v>238</v>
      </c>
      <c r="M165" s="7" t="s">
        <v>238</v>
      </c>
      <c r="N165" s="7" t="s">
        <v>238</v>
      </c>
      <c r="O165" s="5">
        <v>0</v>
      </c>
      <c r="P165" s="5">
        <v>1</v>
      </c>
      <c r="Q165" s="5">
        <v>1</v>
      </c>
      <c r="R165" s="5">
        <v>1</v>
      </c>
      <c r="S165" s="5">
        <v>0</v>
      </c>
      <c r="T165" s="5">
        <v>0</v>
      </c>
      <c r="U165" s="5">
        <v>0</v>
      </c>
      <c r="V165" s="13">
        <v>3</v>
      </c>
      <c r="W165" s="13">
        <v>1</v>
      </c>
      <c r="X165" s="5"/>
      <c r="Y165" s="5"/>
      <c r="Z165" s="5"/>
      <c r="AA165" s="5">
        <v>1</v>
      </c>
      <c r="AB165" s="5"/>
      <c r="AC165" s="5">
        <v>0</v>
      </c>
      <c r="AD165" s="5">
        <v>0</v>
      </c>
      <c r="AE165" s="5">
        <v>0</v>
      </c>
      <c r="AF165" s="5">
        <v>0</v>
      </c>
    </row>
    <row r="166" spans="1:32" x14ac:dyDescent="0.2">
      <c r="A166" s="3" t="str">
        <f>+VLOOKUP(B166,studies!$A$2:$C$102,3)</f>
        <v>Roughgarden &amp; Schneider (1999)</v>
      </c>
      <c r="B166" s="87">
        <v>27</v>
      </c>
      <c r="C166" s="5">
        <v>1999</v>
      </c>
      <c r="D166" s="5">
        <v>1</v>
      </c>
      <c r="E166" s="5">
        <v>1990</v>
      </c>
      <c r="F166" s="5">
        <v>1995</v>
      </c>
      <c r="G166" s="113">
        <v>1</v>
      </c>
      <c r="H166" s="7">
        <v>70.359293930021835</v>
      </c>
      <c r="I166" s="5">
        <v>0</v>
      </c>
      <c r="J166" s="5">
        <v>0</v>
      </c>
      <c r="K166" s="5">
        <v>1</v>
      </c>
      <c r="L166" s="7" t="s">
        <v>238</v>
      </c>
      <c r="M166" s="7">
        <v>35.897598943888688</v>
      </c>
      <c r="N166" s="7">
        <v>267.76309689262087</v>
      </c>
      <c r="O166" s="5">
        <v>1</v>
      </c>
      <c r="P166" s="5">
        <v>1</v>
      </c>
      <c r="Q166" s="5">
        <v>0</v>
      </c>
      <c r="R166" s="5">
        <v>1</v>
      </c>
      <c r="S166" s="5">
        <v>0</v>
      </c>
      <c r="T166" s="5">
        <v>1</v>
      </c>
      <c r="U166" s="5">
        <v>0</v>
      </c>
      <c r="V166" s="13">
        <v>5</v>
      </c>
      <c r="W166" s="13">
        <v>3</v>
      </c>
      <c r="X166" s="5"/>
      <c r="Y166" s="5"/>
      <c r="Z166" s="5"/>
      <c r="AA166" s="5">
        <v>0</v>
      </c>
      <c r="AB166" s="5"/>
      <c r="AC166" s="5">
        <v>0</v>
      </c>
      <c r="AD166" s="5">
        <v>0</v>
      </c>
      <c r="AE166" s="5">
        <v>0</v>
      </c>
      <c r="AF166" s="5">
        <v>1</v>
      </c>
    </row>
    <row r="167" spans="1:32" x14ac:dyDescent="0.2">
      <c r="A167" s="3" t="str">
        <f>+VLOOKUP(B167,studies!$A$2:$C$102,3)</f>
        <v>Tol (1999)</v>
      </c>
      <c r="B167" s="87">
        <v>28</v>
      </c>
      <c r="C167" s="5">
        <v>1999</v>
      </c>
      <c r="D167" s="5">
        <v>1</v>
      </c>
      <c r="E167" s="5">
        <v>1995</v>
      </c>
      <c r="F167" s="5">
        <v>2000</v>
      </c>
      <c r="G167" s="113">
        <v>0.25</v>
      </c>
      <c r="H167" s="7">
        <v>158.59453762979751</v>
      </c>
      <c r="I167" s="5">
        <v>0</v>
      </c>
      <c r="J167" s="5">
        <v>0</v>
      </c>
      <c r="K167" s="5">
        <v>1</v>
      </c>
      <c r="L167" s="7">
        <v>115.54744884456677</v>
      </c>
      <c r="M167" s="7">
        <v>50.861221980401538</v>
      </c>
      <c r="N167" s="7">
        <v>124.84118122462195</v>
      </c>
      <c r="O167" s="5">
        <v>1</v>
      </c>
      <c r="P167" s="5">
        <v>1</v>
      </c>
      <c r="Q167" s="5">
        <v>1</v>
      </c>
      <c r="R167" s="5">
        <v>1</v>
      </c>
      <c r="S167" s="5">
        <v>1</v>
      </c>
      <c r="T167" s="5">
        <v>0</v>
      </c>
      <c r="U167" s="5">
        <v>0</v>
      </c>
      <c r="V167" s="13">
        <v>3</v>
      </c>
      <c r="W167" s="13">
        <v>1</v>
      </c>
      <c r="X167" s="5"/>
      <c r="Y167" s="5"/>
      <c r="Z167" s="5"/>
      <c r="AA167" s="5">
        <v>1</v>
      </c>
      <c r="AB167" s="5"/>
      <c r="AC167" s="5">
        <v>0</v>
      </c>
      <c r="AD167" s="5">
        <v>0</v>
      </c>
      <c r="AE167" s="5">
        <v>1</v>
      </c>
      <c r="AF167" s="5">
        <v>0</v>
      </c>
    </row>
    <row r="168" spans="1:32" x14ac:dyDescent="0.2">
      <c r="A168" s="3" t="str">
        <f>+VLOOKUP(B168,studies!$A$2:$C$102,3)</f>
        <v>Tol (1999)</v>
      </c>
      <c r="B168" s="87">
        <v>28</v>
      </c>
      <c r="C168" s="5">
        <v>1999</v>
      </c>
      <c r="D168" s="5">
        <v>1</v>
      </c>
      <c r="E168" s="5">
        <v>1995</v>
      </c>
      <c r="F168" s="5">
        <v>2000</v>
      </c>
      <c r="G168" s="113">
        <v>0.05</v>
      </c>
      <c r="H168" s="7">
        <v>140.46944761496351</v>
      </c>
      <c r="I168" s="5">
        <v>0</v>
      </c>
      <c r="J168" s="5">
        <v>1</v>
      </c>
      <c r="K168" s="5">
        <v>0</v>
      </c>
      <c r="L168" s="7" t="s">
        <v>238</v>
      </c>
      <c r="M168" s="7" t="s">
        <v>238</v>
      </c>
      <c r="N168" s="7" t="s">
        <v>238</v>
      </c>
      <c r="O168" s="5">
        <v>1</v>
      </c>
      <c r="P168" s="5">
        <v>1</v>
      </c>
      <c r="Q168" s="5">
        <v>1</v>
      </c>
      <c r="R168" s="5">
        <v>1</v>
      </c>
      <c r="S168" s="5">
        <v>1</v>
      </c>
      <c r="T168" s="5">
        <v>0</v>
      </c>
      <c r="U168" s="5">
        <v>0</v>
      </c>
      <c r="V168" s="13">
        <v>3</v>
      </c>
      <c r="W168" s="13">
        <v>1</v>
      </c>
      <c r="X168" s="5"/>
      <c r="Y168" s="5"/>
      <c r="Z168" s="5"/>
      <c r="AA168" s="5">
        <v>1</v>
      </c>
      <c r="AB168" s="5"/>
      <c r="AC168" s="5">
        <v>0</v>
      </c>
      <c r="AD168" s="5">
        <v>0</v>
      </c>
      <c r="AE168" s="5">
        <v>1</v>
      </c>
      <c r="AF168" s="5">
        <v>0</v>
      </c>
    </row>
    <row r="169" spans="1:32" x14ac:dyDescent="0.2">
      <c r="A169" s="3" t="str">
        <f>+VLOOKUP(B169,studies!$A$2:$C$102,3)</f>
        <v>Tol (1999)</v>
      </c>
      <c r="B169" s="87">
        <v>28</v>
      </c>
      <c r="C169" s="5">
        <v>1999</v>
      </c>
      <c r="D169" s="5">
        <v>1</v>
      </c>
      <c r="E169" s="5">
        <v>1995</v>
      </c>
      <c r="F169" s="5">
        <v>2000</v>
      </c>
      <c r="G169" s="113">
        <v>0.05</v>
      </c>
      <c r="H169" s="7">
        <v>52.109633792647763</v>
      </c>
      <c r="I169" s="5">
        <v>0</v>
      </c>
      <c r="J169" s="5">
        <v>1</v>
      </c>
      <c r="K169" s="5">
        <v>0</v>
      </c>
      <c r="L169" s="7" t="s">
        <v>238</v>
      </c>
      <c r="M169" s="7" t="s">
        <v>238</v>
      </c>
      <c r="N169" s="7" t="s">
        <v>238</v>
      </c>
      <c r="O169" s="5">
        <v>1</v>
      </c>
      <c r="P169" s="5">
        <v>1</v>
      </c>
      <c r="Q169" s="5">
        <v>1</v>
      </c>
      <c r="R169" s="5">
        <v>1</v>
      </c>
      <c r="S169" s="5">
        <v>1</v>
      </c>
      <c r="T169" s="5">
        <v>0</v>
      </c>
      <c r="U169" s="5">
        <v>0</v>
      </c>
      <c r="V169" s="13">
        <v>3</v>
      </c>
      <c r="W169" s="13">
        <v>1</v>
      </c>
      <c r="X169" s="5"/>
      <c r="Y169" s="5"/>
      <c r="Z169" s="5"/>
      <c r="AA169" s="5">
        <v>0</v>
      </c>
      <c r="AB169" s="5"/>
      <c r="AC169" s="5">
        <v>0</v>
      </c>
      <c r="AD169" s="5">
        <v>0</v>
      </c>
      <c r="AE169" s="5">
        <v>1</v>
      </c>
      <c r="AF169" s="5">
        <v>0</v>
      </c>
    </row>
    <row r="170" spans="1:32" x14ac:dyDescent="0.2">
      <c r="A170" s="3" t="str">
        <f>+VLOOKUP(B170,studies!$A$2:$C$102,3)</f>
        <v>Tol (1999)</v>
      </c>
      <c r="B170" s="87">
        <v>28</v>
      </c>
      <c r="C170" s="5">
        <v>1999</v>
      </c>
      <c r="D170" s="5">
        <v>1</v>
      </c>
      <c r="E170" s="5">
        <v>1995</v>
      </c>
      <c r="F170" s="5">
        <v>2000</v>
      </c>
      <c r="G170" s="113">
        <v>0.05</v>
      </c>
      <c r="H170" s="7">
        <v>149.53199262238053</v>
      </c>
      <c r="I170" s="5">
        <v>0</v>
      </c>
      <c r="J170" s="5">
        <v>1</v>
      </c>
      <c r="K170" s="5">
        <v>0</v>
      </c>
      <c r="L170" s="7" t="s">
        <v>238</v>
      </c>
      <c r="M170" s="7" t="s">
        <v>238</v>
      </c>
      <c r="N170" s="7" t="s">
        <v>238</v>
      </c>
      <c r="O170" s="5">
        <v>1</v>
      </c>
      <c r="P170" s="5">
        <v>1</v>
      </c>
      <c r="Q170" s="5">
        <v>1</v>
      </c>
      <c r="R170" s="5">
        <v>1</v>
      </c>
      <c r="S170" s="5">
        <v>1</v>
      </c>
      <c r="T170" s="5">
        <v>0</v>
      </c>
      <c r="U170" s="5">
        <v>0</v>
      </c>
      <c r="V170" s="13">
        <v>3</v>
      </c>
      <c r="W170" s="13">
        <v>1</v>
      </c>
      <c r="X170" s="5"/>
      <c r="Y170" s="5"/>
      <c r="Z170" s="5"/>
      <c r="AA170" s="5">
        <v>1</v>
      </c>
      <c r="AB170" s="5"/>
      <c r="AC170" s="5">
        <v>0</v>
      </c>
      <c r="AD170" s="5">
        <v>0</v>
      </c>
      <c r="AE170" s="5">
        <v>1</v>
      </c>
      <c r="AF170" s="5">
        <v>0</v>
      </c>
    </row>
    <row r="171" spans="1:32" x14ac:dyDescent="0.2">
      <c r="A171" s="3" t="str">
        <f>+VLOOKUP(B171,studies!$A$2:$C$102,3)</f>
        <v>Tol (1999)</v>
      </c>
      <c r="B171" s="87">
        <v>28</v>
      </c>
      <c r="C171" s="5">
        <v>1999</v>
      </c>
      <c r="D171" s="5">
        <v>1</v>
      </c>
      <c r="E171" s="5">
        <v>1995</v>
      </c>
      <c r="F171" s="5">
        <v>2000</v>
      </c>
      <c r="G171" s="113">
        <v>0.05</v>
      </c>
      <c r="H171" s="7">
        <v>147.26635637052627</v>
      </c>
      <c r="I171" s="5">
        <v>0</v>
      </c>
      <c r="J171" s="5">
        <v>1</v>
      </c>
      <c r="K171" s="5">
        <v>0</v>
      </c>
      <c r="L171" s="7" t="s">
        <v>238</v>
      </c>
      <c r="M171" s="7" t="s">
        <v>238</v>
      </c>
      <c r="N171" s="7" t="s">
        <v>238</v>
      </c>
      <c r="O171" s="5">
        <v>1</v>
      </c>
      <c r="P171" s="5">
        <v>1</v>
      </c>
      <c r="Q171" s="5">
        <v>1</v>
      </c>
      <c r="R171" s="5">
        <v>1</v>
      </c>
      <c r="S171" s="5">
        <v>1</v>
      </c>
      <c r="T171" s="5">
        <v>0</v>
      </c>
      <c r="U171" s="5">
        <v>0</v>
      </c>
      <c r="V171" s="13">
        <v>3</v>
      </c>
      <c r="W171" s="13">
        <v>1</v>
      </c>
      <c r="X171" s="5"/>
      <c r="Y171" s="5"/>
      <c r="Z171" s="5"/>
      <c r="AA171" s="5">
        <v>1</v>
      </c>
      <c r="AB171" s="5"/>
      <c r="AC171" s="5">
        <v>0</v>
      </c>
      <c r="AD171" s="5">
        <v>0</v>
      </c>
      <c r="AE171" s="5">
        <v>1</v>
      </c>
      <c r="AF171" s="5">
        <v>0</v>
      </c>
    </row>
    <row r="172" spans="1:32" x14ac:dyDescent="0.2">
      <c r="A172" s="3" t="str">
        <f>+VLOOKUP(B172,studies!$A$2:$C$102,3)</f>
        <v>Tol (1999)</v>
      </c>
      <c r="B172" s="87">
        <v>28</v>
      </c>
      <c r="C172" s="5">
        <v>1999</v>
      </c>
      <c r="D172" s="5">
        <v>1</v>
      </c>
      <c r="E172" s="5">
        <v>1995</v>
      </c>
      <c r="F172" s="5">
        <v>2000</v>
      </c>
      <c r="G172" s="113">
        <v>0.05</v>
      </c>
      <c r="H172" s="7">
        <v>126.87563010383802</v>
      </c>
      <c r="I172" s="5">
        <v>0</v>
      </c>
      <c r="J172" s="5">
        <v>1</v>
      </c>
      <c r="K172" s="5">
        <v>0</v>
      </c>
      <c r="L172" s="7" t="s">
        <v>238</v>
      </c>
      <c r="M172" s="7" t="s">
        <v>238</v>
      </c>
      <c r="N172" s="7" t="s">
        <v>238</v>
      </c>
      <c r="O172" s="5">
        <v>1</v>
      </c>
      <c r="P172" s="5">
        <v>1</v>
      </c>
      <c r="Q172" s="5">
        <v>1</v>
      </c>
      <c r="R172" s="5">
        <v>1</v>
      </c>
      <c r="S172" s="5">
        <v>1</v>
      </c>
      <c r="T172" s="5">
        <v>0</v>
      </c>
      <c r="U172" s="5">
        <v>0</v>
      </c>
      <c r="V172" s="13">
        <v>3</v>
      </c>
      <c r="W172" s="13">
        <v>1</v>
      </c>
      <c r="X172" s="5"/>
      <c r="Y172" s="5"/>
      <c r="Z172" s="5"/>
      <c r="AA172" s="5">
        <v>1</v>
      </c>
      <c r="AB172" s="5"/>
      <c r="AC172" s="5">
        <v>0</v>
      </c>
      <c r="AD172" s="5">
        <v>0</v>
      </c>
      <c r="AE172" s="5">
        <v>1</v>
      </c>
      <c r="AF172" s="5">
        <v>0</v>
      </c>
    </row>
    <row r="173" spans="1:32" x14ac:dyDescent="0.2">
      <c r="A173" s="3" t="str">
        <f>+VLOOKUP(B173,studies!$A$2:$C$102,3)</f>
        <v>Tol (1999)</v>
      </c>
      <c r="B173" s="87">
        <v>28</v>
      </c>
      <c r="C173" s="5">
        <v>1999</v>
      </c>
      <c r="D173" s="5">
        <v>1</v>
      </c>
      <c r="E173" s="5">
        <v>1995</v>
      </c>
      <c r="F173" s="5">
        <v>2000</v>
      </c>
      <c r="G173" s="113">
        <v>0.05</v>
      </c>
      <c r="H173" s="7">
        <v>917.58268200097132</v>
      </c>
      <c r="I173" s="5">
        <v>0</v>
      </c>
      <c r="J173" s="5">
        <v>0</v>
      </c>
      <c r="K173" s="5">
        <v>1</v>
      </c>
      <c r="L173" s="7">
        <v>604.92487924508487</v>
      </c>
      <c r="M173" s="7">
        <v>285.51640520816312</v>
      </c>
      <c r="N173" s="7">
        <v>643.85683279735588</v>
      </c>
      <c r="O173" s="5">
        <v>1</v>
      </c>
      <c r="P173" s="5">
        <v>1</v>
      </c>
      <c r="Q173" s="5">
        <v>1</v>
      </c>
      <c r="R173" s="5">
        <v>1</v>
      </c>
      <c r="S173" s="5">
        <v>1</v>
      </c>
      <c r="T173" s="5">
        <v>0</v>
      </c>
      <c r="U173" s="5">
        <v>0</v>
      </c>
      <c r="V173" s="13">
        <v>0</v>
      </c>
      <c r="W173" s="13">
        <v>-2</v>
      </c>
      <c r="X173" s="5"/>
      <c r="Y173" s="5"/>
      <c r="Z173" s="5"/>
      <c r="AA173" s="5">
        <v>1</v>
      </c>
      <c r="AB173" s="5"/>
      <c r="AC173" s="5">
        <v>0</v>
      </c>
      <c r="AD173" s="5">
        <v>0</v>
      </c>
      <c r="AE173" s="5">
        <v>1</v>
      </c>
      <c r="AF173" s="5">
        <v>0</v>
      </c>
    </row>
    <row r="174" spans="1:32" x14ac:dyDescent="0.2">
      <c r="A174" s="3" t="str">
        <f>+VLOOKUP(B174,studies!$A$2:$C$102,3)</f>
        <v>Tol (1999)</v>
      </c>
      <c r="B174" s="87">
        <v>28</v>
      </c>
      <c r="C174" s="5">
        <v>1999</v>
      </c>
      <c r="D174" s="5">
        <v>1</v>
      </c>
      <c r="E174" s="5">
        <v>1995</v>
      </c>
      <c r="F174" s="5">
        <v>2000</v>
      </c>
      <c r="G174" s="113">
        <v>1.0000000000000002E-2</v>
      </c>
      <c r="H174" s="7">
        <v>550.54960920058284</v>
      </c>
      <c r="I174" s="5">
        <v>0</v>
      </c>
      <c r="J174" s="5">
        <v>1</v>
      </c>
      <c r="K174" s="5">
        <v>0</v>
      </c>
      <c r="L174" s="7" t="s">
        <v>238</v>
      </c>
      <c r="M174" s="7" t="s">
        <v>238</v>
      </c>
      <c r="N174" s="7" t="s">
        <v>238</v>
      </c>
      <c r="O174" s="5">
        <v>1</v>
      </c>
      <c r="P174" s="5">
        <v>1</v>
      </c>
      <c r="Q174" s="5">
        <v>1</v>
      </c>
      <c r="R174" s="5">
        <v>1</v>
      </c>
      <c r="S174" s="5">
        <v>1</v>
      </c>
      <c r="T174" s="5">
        <v>0</v>
      </c>
      <c r="U174" s="5">
        <v>0</v>
      </c>
      <c r="V174" s="13">
        <v>0</v>
      </c>
      <c r="W174" s="13">
        <v>-2</v>
      </c>
      <c r="X174" s="5"/>
      <c r="Y174" s="5"/>
      <c r="Z174" s="5"/>
      <c r="AA174" s="5">
        <v>1</v>
      </c>
      <c r="AB174" s="5"/>
      <c r="AC174" s="5">
        <v>0</v>
      </c>
      <c r="AD174" s="5">
        <v>0</v>
      </c>
      <c r="AE174" s="5">
        <v>1</v>
      </c>
      <c r="AF174" s="5">
        <v>0</v>
      </c>
    </row>
    <row r="175" spans="1:32" x14ac:dyDescent="0.2">
      <c r="A175" s="3" t="str">
        <f>+VLOOKUP(B175,studies!$A$2:$C$102,3)</f>
        <v>Tol (1999)</v>
      </c>
      <c r="B175" s="87">
        <v>28</v>
      </c>
      <c r="C175" s="5">
        <v>1999</v>
      </c>
      <c r="D175" s="5">
        <v>1</v>
      </c>
      <c r="E175" s="5">
        <v>1995</v>
      </c>
      <c r="F175" s="5">
        <v>2000</v>
      </c>
      <c r="G175" s="113">
        <v>1.0000000000000002E-2</v>
      </c>
      <c r="H175" s="7">
        <v>321.72034776330355</v>
      </c>
      <c r="I175" s="5">
        <v>0</v>
      </c>
      <c r="J175" s="5">
        <v>1</v>
      </c>
      <c r="K175" s="5">
        <v>0</v>
      </c>
      <c r="L175" s="7" t="s">
        <v>238</v>
      </c>
      <c r="M175" s="7" t="s">
        <v>238</v>
      </c>
      <c r="N175" s="7" t="s">
        <v>238</v>
      </c>
      <c r="O175" s="5">
        <v>1</v>
      </c>
      <c r="P175" s="5">
        <v>1</v>
      </c>
      <c r="Q175" s="5">
        <v>1</v>
      </c>
      <c r="R175" s="5">
        <v>1</v>
      </c>
      <c r="S175" s="5">
        <v>1</v>
      </c>
      <c r="T175" s="5">
        <v>0</v>
      </c>
      <c r="U175" s="5">
        <v>0</v>
      </c>
      <c r="V175" s="13">
        <v>0</v>
      </c>
      <c r="W175" s="13">
        <v>-2</v>
      </c>
      <c r="X175" s="5"/>
      <c r="Y175" s="5"/>
      <c r="Z175" s="5"/>
      <c r="AA175" s="5">
        <v>0</v>
      </c>
      <c r="AB175" s="5"/>
      <c r="AC175" s="5">
        <v>0</v>
      </c>
      <c r="AD175" s="5">
        <v>0</v>
      </c>
      <c r="AE175" s="5">
        <v>1</v>
      </c>
      <c r="AF175" s="5">
        <v>0</v>
      </c>
    </row>
    <row r="176" spans="1:32" x14ac:dyDescent="0.2">
      <c r="A176" s="3" t="str">
        <f>+VLOOKUP(B176,studies!$A$2:$C$102,3)</f>
        <v>Tol (1999)</v>
      </c>
      <c r="B176" s="87">
        <v>28</v>
      </c>
      <c r="C176" s="5">
        <v>1999</v>
      </c>
      <c r="D176" s="5">
        <v>1</v>
      </c>
      <c r="E176" s="5">
        <v>1995</v>
      </c>
      <c r="F176" s="5">
        <v>2000</v>
      </c>
      <c r="G176" s="113">
        <v>1.0000000000000002E-2</v>
      </c>
      <c r="H176" s="7">
        <v>815.62905066753012</v>
      </c>
      <c r="I176" s="5">
        <v>0</v>
      </c>
      <c r="J176" s="5">
        <v>1</v>
      </c>
      <c r="K176" s="5">
        <v>0</v>
      </c>
      <c r="L176" s="7" t="s">
        <v>238</v>
      </c>
      <c r="M176" s="7" t="s">
        <v>238</v>
      </c>
      <c r="N176" s="7" t="s">
        <v>238</v>
      </c>
      <c r="O176" s="5">
        <v>1</v>
      </c>
      <c r="P176" s="5">
        <v>1</v>
      </c>
      <c r="Q176" s="5">
        <v>1</v>
      </c>
      <c r="R176" s="5">
        <v>1</v>
      </c>
      <c r="S176" s="5">
        <v>1</v>
      </c>
      <c r="T176" s="5">
        <v>0</v>
      </c>
      <c r="U176" s="5">
        <v>0</v>
      </c>
      <c r="V176" s="13">
        <v>0</v>
      </c>
      <c r="W176" s="13">
        <v>-2</v>
      </c>
      <c r="X176" s="5"/>
      <c r="Y176" s="5"/>
      <c r="Z176" s="5"/>
      <c r="AA176" s="5">
        <v>1</v>
      </c>
      <c r="AB176" s="5"/>
      <c r="AC176" s="5">
        <v>0</v>
      </c>
      <c r="AD176" s="5">
        <v>0</v>
      </c>
      <c r="AE176" s="5">
        <v>1</v>
      </c>
      <c r="AF176" s="5">
        <v>0</v>
      </c>
    </row>
    <row r="177" spans="1:32" x14ac:dyDescent="0.2">
      <c r="A177" s="3" t="str">
        <f>+VLOOKUP(B177,studies!$A$2:$C$102,3)</f>
        <v>Tol (1999)</v>
      </c>
      <c r="B177" s="87">
        <v>28</v>
      </c>
      <c r="C177" s="5">
        <v>1999</v>
      </c>
      <c r="D177" s="5">
        <v>1</v>
      </c>
      <c r="E177" s="5">
        <v>1995</v>
      </c>
      <c r="F177" s="5">
        <v>2000</v>
      </c>
      <c r="G177" s="113">
        <v>1.0000000000000002E-2</v>
      </c>
      <c r="H177" s="7">
        <v>788.44141564527911</v>
      </c>
      <c r="I177" s="5">
        <v>0</v>
      </c>
      <c r="J177" s="5">
        <v>1</v>
      </c>
      <c r="K177" s="5">
        <v>0</v>
      </c>
      <c r="L177" s="7" t="s">
        <v>238</v>
      </c>
      <c r="M177" s="7" t="s">
        <v>238</v>
      </c>
      <c r="N177" s="7" t="s">
        <v>238</v>
      </c>
      <c r="O177" s="5">
        <v>1</v>
      </c>
      <c r="P177" s="5">
        <v>1</v>
      </c>
      <c r="Q177" s="5">
        <v>1</v>
      </c>
      <c r="R177" s="5">
        <v>1</v>
      </c>
      <c r="S177" s="5">
        <v>1</v>
      </c>
      <c r="T177" s="5">
        <v>0</v>
      </c>
      <c r="U177" s="5">
        <v>0</v>
      </c>
      <c r="V177" s="13">
        <v>0</v>
      </c>
      <c r="W177" s="13">
        <v>-2</v>
      </c>
      <c r="X177" s="5"/>
      <c r="Y177" s="5"/>
      <c r="Z177" s="5"/>
      <c r="AA177" s="5">
        <v>1</v>
      </c>
      <c r="AB177" s="5"/>
      <c r="AC177" s="5">
        <v>0</v>
      </c>
      <c r="AD177" s="5">
        <v>0</v>
      </c>
      <c r="AE177" s="5">
        <v>1</v>
      </c>
      <c r="AF177" s="5">
        <v>0</v>
      </c>
    </row>
    <row r="178" spans="1:32" x14ac:dyDescent="0.2">
      <c r="A178" s="3" t="str">
        <f>+VLOOKUP(B178,studies!$A$2:$C$102,3)</f>
        <v>Tol (1999)</v>
      </c>
      <c r="B178" s="87">
        <v>28</v>
      </c>
      <c r="C178" s="5">
        <v>1999</v>
      </c>
      <c r="D178" s="5">
        <v>1</v>
      </c>
      <c r="E178" s="5">
        <v>1995</v>
      </c>
      <c r="F178" s="5">
        <v>2000</v>
      </c>
      <c r="G178" s="113">
        <v>1.0000000000000002E-2</v>
      </c>
      <c r="H178" s="7">
        <v>652.50324053402403</v>
      </c>
      <c r="I178" s="5">
        <v>0</v>
      </c>
      <c r="J178" s="5">
        <v>1</v>
      </c>
      <c r="K178" s="5">
        <v>0</v>
      </c>
      <c r="L178" s="7" t="s">
        <v>238</v>
      </c>
      <c r="M178" s="7" t="s">
        <v>238</v>
      </c>
      <c r="N178" s="7" t="s">
        <v>238</v>
      </c>
      <c r="O178" s="5">
        <v>1</v>
      </c>
      <c r="P178" s="5">
        <v>1</v>
      </c>
      <c r="Q178" s="5">
        <v>1</v>
      </c>
      <c r="R178" s="5">
        <v>1</v>
      </c>
      <c r="S178" s="5">
        <v>1</v>
      </c>
      <c r="T178" s="5">
        <v>0</v>
      </c>
      <c r="U178" s="5">
        <v>0</v>
      </c>
      <c r="V178" s="13">
        <v>0</v>
      </c>
      <c r="W178" s="13">
        <v>-2</v>
      </c>
      <c r="X178" s="5"/>
      <c r="Y178" s="5"/>
      <c r="Z178" s="5"/>
      <c r="AA178" s="5">
        <v>1</v>
      </c>
      <c r="AB178" s="5"/>
      <c r="AC178" s="5">
        <v>0</v>
      </c>
      <c r="AD178" s="5">
        <v>0</v>
      </c>
      <c r="AE178" s="5">
        <v>1</v>
      </c>
      <c r="AF178" s="5">
        <v>0</v>
      </c>
    </row>
    <row r="179" spans="1:32" x14ac:dyDescent="0.2">
      <c r="A179" s="3" t="str">
        <f>+VLOOKUP(B179,studies!$A$2:$C$102,3)</f>
        <v>Tol (1999)</v>
      </c>
      <c r="B179" s="87">
        <v>28</v>
      </c>
      <c r="C179" s="5">
        <v>1999</v>
      </c>
      <c r="D179" s="5">
        <v>1</v>
      </c>
      <c r="E179" s="5">
        <v>1995</v>
      </c>
      <c r="F179" s="5">
        <v>2000</v>
      </c>
      <c r="G179" s="113">
        <v>0.05</v>
      </c>
      <c r="H179" s="7">
        <v>475.7836128893926</v>
      </c>
      <c r="I179" s="5">
        <v>0</v>
      </c>
      <c r="J179" s="5">
        <v>0</v>
      </c>
      <c r="K179" s="5">
        <v>1</v>
      </c>
      <c r="L179" s="7">
        <v>323.98598401515778</v>
      </c>
      <c r="M179" s="7">
        <v>149.11585535163178</v>
      </c>
      <c r="N179" s="7">
        <v>349.09293268366508</v>
      </c>
      <c r="O179" s="5">
        <v>1</v>
      </c>
      <c r="P179" s="5">
        <v>1</v>
      </c>
      <c r="Q179" s="5">
        <v>1</v>
      </c>
      <c r="R179" s="5">
        <v>1</v>
      </c>
      <c r="S179" s="5">
        <v>1</v>
      </c>
      <c r="T179" s="5">
        <v>0</v>
      </c>
      <c r="U179" s="5">
        <v>0</v>
      </c>
      <c r="V179" s="13">
        <v>1</v>
      </c>
      <c r="W179" s="13">
        <v>-1</v>
      </c>
      <c r="X179" s="5"/>
      <c r="Y179" s="5"/>
      <c r="Z179" s="5"/>
      <c r="AA179" s="5">
        <v>1</v>
      </c>
      <c r="AB179" s="5"/>
      <c r="AC179" s="5">
        <v>0</v>
      </c>
      <c r="AD179" s="5">
        <v>0</v>
      </c>
      <c r="AE179" s="5">
        <v>1</v>
      </c>
      <c r="AF179" s="5">
        <v>0</v>
      </c>
    </row>
    <row r="180" spans="1:32" x14ac:dyDescent="0.2">
      <c r="A180" s="3" t="str">
        <f>+VLOOKUP(B180,studies!$A$2:$C$102,3)</f>
        <v>Tol (1999)</v>
      </c>
      <c r="B180" s="87">
        <v>28</v>
      </c>
      <c r="C180" s="5">
        <v>1999</v>
      </c>
      <c r="D180" s="5">
        <v>1</v>
      </c>
      <c r="E180" s="5">
        <v>1995</v>
      </c>
      <c r="F180" s="5">
        <v>2000</v>
      </c>
      <c r="G180" s="113">
        <v>1.0000000000000002E-2</v>
      </c>
      <c r="H180" s="7">
        <v>389.68943531893103</v>
      </c>
      <c r="I180" s="5">
        <v>0</v>
      </c>
      <c r="J180" s="5">
        <v>1</v>
      </c>
      <c r="K180" s="5">
        <v>0</v>
      </c>
      <c r="L180" s="7" t="s">
        <v>238</v>
      </c>
      <c r="M180" s="7" t="s">
        <v>238</v>
      </c>
      <c r="N180" s="7" t="s">
        <v>238</v>
      </c>
      <c r="O180" s="5">
        <v>1</v>
      </c>
      <c r="P180" s="5">
        <v>1</v>
      </c>
      <c r="Q180" s="5">
        <v>1</v>
      </c>
      <c r="R180" s="5">
        <v>1</v>
      </c>
      <c r="S180" s="5">
        <v>1</v>
      </c>
      <c r="T180" s="5">
        <v>0</v>
      </c>
      <c r="U180" s="5">
        <v>0</v>
      </c>
      <c r="V180" s="13">
        <v>1</v>
      </c>
      <c r="W180" s="13">
        <v>-1</v>
      </c>
      <c r="X180" s="5"/>
      <c r="Y180" s="5"/>
      <c r="Z180" s="5"/>
      <c r="AA180" s="5">
        <v>1</v>
      </c>
      <c r="AB180" s="5"/>
      <c r="AC180" s="5">
        <v>0</v>
      </c>
      <c r="AD180" s="5">
        <v>0</v>
      </c>
      <c r="AE180" s="5">
        <v>1</v>
      </c>
      <c r="AF180" s="5">
        <v>0</v>
      </c>
    </row>
    <row r="181" spans="1:32" x14ac:dyDescent="0.2">
      <c r="A181" s="3" t="str">
        <f>+VLOOKUP(B181,studies!$A$2:$C$102,3)</f>
        <v>Tol (1999)</v>
      </c>
      <c r="B181" s="87">
        <v>28</v>
      </c>
      <c r="C181" s="5">
        <v>1999</v>
      </c>
      <c r="D181" s="5">
        <v>1</v>
      </c>
      <c r="E181" s="5">
        <v>1995</v>
      </c>
      <c r="F181" s="5">
        <v>2000</v>
      </c>
      <c r="G181" s="113">
        <v>1.0000000000000002E-2</v>
      </c>
      <c r="H181" s="7">
        <v>165.39144638536027</v>
      </c>
      <c r="I181" s="5">
        <v>0</v>
      </c>
      <c r="J181" s="5">
        <v>1</v>
      </c>
      <c r="K181" s="5">
        <v>0</v>
      </c>
      <c r="L181" s="7" t="s">
        <v>238</v>
      </c>
      <c r="M181" s="7" t="s">
        <v>238</v>
      </c>
      <c r="N181" s="7" t="s">
        <v>238</v>
      </c>
      <c r="O181" s="5">
        <v>1</v>
      </c>
      <c r="P181" s="5">
        <v>1</v>
      </c>
      <c r="Q181" s="5">
        <v>1</v>
      </c>
      <c r="R181" s="5">
        <v>1</v>
      </c>
      <c r="S181" s="5">
        <v>1</v>
      </c>
      <c r="T181" s="5">
        <v>0</v>
      </c>
      <c r="U181" s="5">
        <v>0</v>
      </c>
      <c r="V181" s="13">
        <v>1</v>
      </c>
      <c r="W181" s="13">
        <v>-1</v>
      </c>
      <c r="X181" s="5"/>
      <c r="Y181" s="5"/>
      <c r="Z181" s="5"/>
      <c r="AA181" s="5">
        <v>0</v>
      </c>
      <c r="AB181" s="5"/>
      <c r="AC181" s="5">
        <v>0</v>
      </c>
      <c r="AD181" s="5">
        <v>0</v>
      </c>
      <c r="AE181" s="5">
        <v>1</v>
      </c>
      <c r="AF181" s="5">
        <v>0</v>
      </c>
    </row>
    <row r="182" spans="1:32" x14ac:dyDescent="0.2">
      <c r="A182" s="3" t="str">
        <f>+VLOOKUP(B182,studies!$A$2:$C$102,3)</f>
        <v>Tol (1999)</v>
      </c>
      <c r="B182" s="87">
        <v>28</v>
      </c>
      <c r="C182" s="5">
        <v>1999</v>
      </c>
      <c r="D182" s="5">
        <v>1</v>
      </c>
      <c r="E182" s="5">
        <v>1995</v>
      </c>
      <c r="F182" s="5">
        <v>2000</v>
      </c>
      <c r="G182" s="113">
        <v>1.0000000000000002E-2</v>
      </c>
      <c r="H182" s="7">
        <v>435.00216035601608</v>
      </c>
      <c r="I182" s="5">
        <v>0</v>
      </c>
      <c r="J182" s="5">
        <v>1</v>
      </c>
      <c r="K182" s="5">
        <v>0</v>
      </c>
      <c r="L182" s="7" t="s">
        <v>238</v>
      </c>
      <c r="M182" s="7" t="s">
        <v>238</v>
      </c>
      <c r="N182" s="7" t="s">
        <v>238</v>
      </c>
      <c r="O182" s="5">
        <v>1</v>
      </c>
      <c r="P182" s="5">
        <v>1</v>
      </c>
      <c r="Q182" s="5">
        <v>1</v>
      </c>
      <c r="R182" s="5">
        <v>1</v>
      </c>
      <c r="S182" s="5">
        <v>1</v>
      </c>
      <c r="T182" s="5">
        <v>0</v>
      </c>
      <c r="U182" s="5">
        <v>0</v>
      </c>
      <c r="V182" s="13">
        <v>1</v>
      </c>
      <c r="W182" s="13">
        <v>-1</v>
      </c>
      <c r="X182" s="5"/>
      <c r="Y182" s="5"/>
      <c r="Z182" s="5"/>
      <c r="AA182" s="5">
        <v>1</v>
      </c>
      <c r="AB182" s="5"/>
      <c r="AC182" s="5">
        <v>0</v>
      </c>
      <c r="AD182" s="5">
        <v>0</v>
      </c>
      <c r="AE182" s="5">
        <v>1</v>
      </c>
      <c r="AF182" s="5">
        <v>0</v>
      </c>
    </row>
    <row r="183" spans="1:32" x14ac:dyDescent="0.2">
      <c r="A183" s="3" t="str">
        <f>+VLOOKUP(B183,studies!$A$2:$C$102,3)</f>
        <v>Tol (1999)</v>
      </c>
      <c r="B183" s="87">
        <v>28</v>
      </c>
      <c r="C183" s="5">
        <v>1999</v>
      </c>
      <c r="D183" s="5">
        <v>1</v>
      </c>
      <c r="E183" s="5">
        <v>1995</v>
      </c>
      <c r="F183" s="5">
        <v>2000</v>
      </c>
      <c r="G183" s="113">
        <v>1.0000000000000002E-2</v>
      </c>
      <c r="H183" s="7">
        <v>423.6739790967448</v>
      </c>
      <c r="I183" s="5">
        <v>0</v>
      </c>
      <c r="J183" s="5">
        <v>1</v>
      </c>
      <c r="K183" s="5">
        <v>0</v>
      </c>
      <c r="L183" s="7" t="s">
        <v>238</v>
      </c>
      <c r="M183" s="7" t="s">
        <v>238</v>
      </c>
      <c r="N183" s="7" t="s">
        <v>238</v>
      </c>
      <c r="O183" s="5">
        <v>1</v>
      </c>
      <c r="P183" s="5">
        <v>1</v>
      </c>
      <c r="Q183" s="5">
        <v>1</v>
      </c>
      <c r="R183" s="5">
        <v>1</v>
      </c>
      <c r="S183" s="5">
        <v>1</v>
      </c>
      <c r="T183" s="5">
        <v>0</v>
      </c>
      <c r="U183" s="5">
        <v>0</v>
      </c>
      <c r="V183" s="13">
        <v>1</v>
      </c>
      <c r="W183" s="13">
        <v>-1</v>
      </c>
      <c r="X183" s="5"/>
      <c r="Y183" s="5"/>
      <c r="Z183" s="5"/>
      <c r="AA183" s="5">
        <v>1</v>
      </c>
      <c r="AB183" s="5"/>
      <c r="AC183" s="5">
        <v>0</v>
      </c>
      <c r="AD183" s="5">
        <v>0</v>
      </c>
      <c r="AE183" s="5">
        <v>1</v>
      </c>
      <c r="AF183" s="5">
        <v>0</v>
      </c>
    </row>
    <row r="184" spans="1:32" x14ac:dyDescent="0.2">
      <c r="A184" s="3" t="str">
        <f>+VLOOKUP(B184,studies!$A$2:$C$102,3)</f>
        <v>Tol (1999)</v>
      </c>
      <c r="B184" s="87">
        <v>28</v>
      </c>
      <c r="C184" s="5">
        <v>1999</v>
      </c>
      <c r="D184" s="5">
        <v>1</v>
      </c>
      <c r="E184" s="5">
        <v>1995</v>
      </c>
      <c r="F184" s="5">
        <v>2000</v>
      </c>
      <c r="G184" s="113">
        <v>1.0000000000000002E-2</v>
      </c>
      <c r="H184" s="7">
        <v>353.43925528926303</v>
      </c>
      <c r="I184" s="5">
        <v>0</v>
      </c>
      <c r="J184" s="5">
        <v>1</v>
      </c>
      <c r="K184" s="5">
        <v>0</v>
      </c>
      <c r="L184" s="7" t="s">
        <v>238</v>
      </c>
      <c r="M184" s="7" t="s">
        <v>238</v>
      </c>
      <c r="N184" s="7" t="s">
        <v>238</v>
      </c>
      <c r="O184" s="5">
        <v>1</v>
      </c>
      <c r="P184" s="5">
        <v>1</v>
      </c>
      <c r="Q184" s="5">
        <v>1</v>
      </c>
      <c r="R184" s="5">
        <v>1</v>
      </c>
      <c r="S184" s="5">
        <v>1</v>
      </c>
      <c r="T184" s="5">
        <v>0</v>
      </c>
      <c r="U184" s="5">
        <v>0</v>
      </c>
      <c r="V184" s="13">
        <v>1</v>
      </c>
      <c r="W184" s="13">
        <v>-1</v>
      </c>
      <c r="X184" s="5"/>
      <c r="Y184" s="5"/>
      <c r="Z184" s="5"/>
      <c r="AA184" s="5">
        <v>1</v>
      </c>
      <c r="AB184" s="5"/>
      <c r="AC184" s="5">
        <v>0</v>
      </c>
      <c r="AD184" s="5">
        <v>0</v>
      </c>
      <c r="AE184" s="5">
        <v>1</v>
      </c>
      <c r="AF184" s="5">
        <v>0</v>
      </c>
    </row>
    <row r="185" spans="1:32" x14ac:dyDescent="0.2">
      <c r="A185" s="3" t="str">
        <f>+VLOOKUP(B185,studies!$A$2:$C$102,3)</f>
        <v>Tol (1999)</v>
      </c>
      <c r="B185" s="87">
        <v>28</v>
      </c>
      <c r="C185" s="5">
        <v>1999</v>
      </c>
      <c r="D185" s="5">
        <v>1</v>
      </c>
      <c r="E185" s="5">
        <v>1995</v>
      </c>
      <c r="F185" s="5">
        <v>2000</v>
      </c>
      <c r="G185" s="113">
        <v>0.1</v>
      </c>
      <c r="H185" s="7">
        <v>65.703451303773264</v>
      </c>
      <c r="I185" s="5">
        <v>0</v>
      </c>
      <c r="J185" s="5">
        <v>0</v>
      </c>
      <c r="K185" s="5">
        <v>1</v>
      </c>
      <c r="L185" s="7">
        <v>49.843997540793502</v>
      </c>
      <c r="M185" s="7">
        <v>20.806863537436996</v>
      </c>
      <c r="N185" s="7">
        <v>55.484969433165311</v>
      </c>
      <c r="O185" s="5">
        <v>1</v>
      </c>
      <c r="P185" s="5">
        <v>1</v>
      </c>
      <c r="Q185" s="5">
        <v>1</v>
      </c>
      <c r="R185" s="5">
        <v>1</v>
      </c>
      <c r="S185" s="5">
        <v>1</v>
      </c>
      <c r="T185" s="5">
        <v>0</v>
      </c>
      <c r="U185" s="5">
        <v>0</v>
      </c>
      <c r="V185" s="13">
        <v>5</v>
      </c>
      <c r="W185" s="13">
        <v>3</v>
      </c>
      <c r="X185" s="5"/>
      <c r="Y185" s="5"/>
      <c r="Z185" s="5"/>
      <c r="AA185" s="5">
        <v>1</v>
      </c>
      <c r="AB185" s="5"/>
      <c r="AC185" s="5">
        <v>0</v>
      </c>
      <c r="AD185" s="5">
        <v>0</v>
      </c>
      <c r="AE185" s="5">
        <v>1</v>
      </c>
      <c r="AF185" s="5">
        <v>0</v>
      </c>
    </row>
    <row r="186" spans="1:32" x14ac:dyDescent="0.2">
      <c r="A186" s="3" t="str">
        <f>+VLOOKUP(B186,studies!$A$2:$C$102,3)</f>
        <v>Tol (1999)</v>
      </c>
      <c r="B186" s="87">
        <v>28</v>
      </c>
      <c r="C186" s="5">
        <v>1999</v>
      </c>
      <c r="D186" s="5">
        <v>1</v>
      </c>
      <c r="E186" s="5">
        <v>1995</v>
      </c>
      <c r="F186" s="5">
        <v>2000</v>
      </c>
      <c r="G186" s="113">
        <v>2.0000000000000004E-2</v>
      </c>
      <c r="H186" s="7">
        <v>58.90654254821051</v>
      </c>
      <c r="I186" s="5">
        <v>0</v>
      </c>
      <c r="J186" s="5">
        <v>1</v>
      </c>
      <c r="K186" s="5">
        <v>0</v>
      </c>
      <c r="L186" s="7" t="s">
        <v>238</v>
      </c>
      <c r="M186" s="7" t="s">
        <v>238</v>
      </c>
      <c r="N186" s="7" t="s">
        <v>238</v>
      </c>
      <c r="O186" s="5">
        <v>1</v>
      </c>
      <c r="P186" s="5">
        <v>1</v>
      </c>
      <c r="Q186" s="5">
        <v>1</v>
      </c>
      <c r="R186" s="5">
        <v>1</v>
      </c>
      <c r="S186" s="5">
        <v>1</v>
      </c>
      <c r="T186" s="5">
        <v>0</v>
      </c>
      <c r="U186" s="5">
        <v>0</v>
      </c>
      <c r="V186" s="13">
        <v>5</v>
      </c>
      <c r="W186" s="13">
        <v>3</v>
      </c>
      <c r="X186" s="5"/>
      <c r="Y186" s="5"/>
      <c r="Z186" s="5"/>
      <c r="AA186" s="5">
        <v>1</v>
      </c>
      <c r="AB186" s="5"/>
      <c r="AC186" s="5">
        <v>0</v>
      </c>
      <c r="AD186" s="5">
        <v>0</v>
      </c>
      <c r="AE186" s="5">
        <v>1</v>
      </c>
      <c r="AF186" s="5">
        <v>0</v>
      </c>
    </row>
    <row r="187" spans="1:32" x14ac:dyDescent="0.2">
      <c r="A187" s="3" t="str">
        <f>+VLOOKUP(B187,studies!$A$2:$C$102,3)</f>
        <v>Tol (1999)</v>
      </c>
      <c r="B187" s="87">
        <v>28</v>
      </c>
      <c r="C187" s="5">
        <v>1999</v>
      </c>
      <c r="D187" s="5">
        <v>1</v>
      </c>
      <c r="E187" s="5">
        <v>1995</v>
      </c>
      <c r="F187" s="5">
        <v>2000</v>
      </c>
      <c r="G187" s="113">
        <v>2.0000000000000004E-2</v>
      </c>
      <c r="H187" s="7">
        <v>20.390726266688251</v>
      </c>
      <c r="I187" s="5">
        <v>0</v>
      </c>
      <c r="J187" s="5">
        <v>1</v>
      </c>
      <c r="K187" s="5">
        <v>0</v>
      </c>
      <c r="L187" s="7" t="s">
        <v>238</v>
      </c>
      <c r="M187" s="7" t="s">
        <v>238</v>
      </c>
      <c r="N187" s="7" t="s">
        <v>238</v>
      </c>
      <c r="O187" s="5">
        <v>1</v>
      </c>
      <c r="P187" s="5">
        <v>1</v>
      </c>
      <c r="Q187" s="5">
        <v>1</v>
      </c>
      <c r="R187" s="5">
        <v>1</v>
      </c>
      <c r="S187" s="5">
        <v>1</v>
      </c>
      <c r="T187" s="5">
        <v>0</v>
      </c>
      <c r="U187" s="5">
        <v>0</v>
      </c>
      <c r="V187" s="13">
        <v>5</v>
      </c>
      <c r="W187" s="13">
        <v>3</v>
      </c>
      <c r="X187" s="5"/>
      <c r="Y187" s="5"/>
      <c r="Z187" s="5"/>
      <c r="AA187" s="5">
        <v>0</v>
      </c>
      <c r="AB187" s="5"/>
      <c r="AC187" s="5">
        <v>0</v>
      </c>
      <c r="AD187" s="5">
        <v>0</v>
      </c>
      <c r="AE187" s="5">
        <v>1</v>
      </c>
      <c r="AF187" s="5">
        <v>0</v>
      </c>
    </row>
    <row r="188" spans="1:32" x14ac:dyDescent="0.2">
      <c r="A188" s="3" t="str">
        <f>+VLOOKUP(B188,studies!$A$2:$C$102,3)</f>
        <v>Tol (1999)</v>
      </c>
      <c r="B188" s="87">
        <v>28</v>
      </c>
      <c r="C188" s="5">
        <v>1999</v>
      </c>
      <c r="D188" s="5">
        <v>1</v>
      </c>
      <c r="E188" s="5">
        <v>1995</v>
      </c>
      <c r="F188" s="5">
        <v>2000</v>
      </c>
      <c r="G188" s="113">
        <v>2.0000000000000004E-2</v>
      </c>
      <c r="H188" s="7">
        <v>63.43781505191901</v>
      </c>
      <c r="I188" s="5">
        <v>0</v>
      </c>
      <c r="J188" s="5">
        <v>1</v>
      </c>
      <c r="K188" s="5">
        <v>0</v>
      </c>
      <c r="L188" s="7" t="s">
        <v>238</v>
      </c>
      <c r="M188" s="7" t="s">
        <v>238</v>
      </c>
      <c r="N188" s="7" t="s">
        <v>238</v>
      </c>
      <c r="O188" s="5">
        <v>1</v>
      </c>
      <c r="P188" s="5">
        <v>1</v>
      </c>
      <c r="Q188" s="5">
        <v>1</v>
      </c>
      <c r="R188" s="5">
        <v>1</v>
      </c>
      <c r="S188" s="5">
        <v>1</v>
      </c>
      <c r="T188" s="5">
        <v>0</v>
      </c>
      <c r="U188" s="5">
        <v>0</v>
      </c>
      <c r="V188" s="13">
        <v>5</v>
      </c>
      <c r="W188" s="13">
        <v>3</v>
      </c>
      <c r="X188" s="5"/>
      <c r="Y188" s="5"/>
      <c r="Z188" s="5"/>
      <c r="AA188" s="5">
        <v>1</v>
      </c>
      <c r="AB188" s="5"/>
      <c r="AC188" s="5">
        <v>0</v>
      </c>
      <c r="AD188" s="5">
        <v>0</v>
      </c>
      <c r="AE188" s="5">
        <v>1</v>
      </c>
      <c r="AF188" s="5">
        <v>0</v>
      </c>
    </row>
    <row r="189" spans="1:32" x14ac:dyDescent="0.2">
      <c r="A189" s="3" t="str">
        <f>+VLOOKUP(B189,studies!$A$2:$C$102,3)</f>
        <v>Tol (1999)</v>
      </c>
      <c r="B189" s="87">
        <v>28</v>
      </c>
      <c r="C189" s="5">
        <v>1999</v>
      </c>
      <c r="D189" s="5">
        <v>1</v>
      </c>
      <c r="E189" s="5">
        <v>1995</v>
      </c>
      <c r="F189" s="5">
        <v>2000</v>
      </c>
      <c r="G189" s="113">
        <v>2.0000000000000004E-2</v>
      </c>
      <c r="H189" s="7">
        <v>63.43781505191901</v>
      </c>
      <c r="I189" s="5">
        <v>0</v>
      </c>
      <c r="J189" s="5">
        <v>1</v>
      </c>
      <c r="K189" s="5">
        <v>0</v>
      </c>
      <c r="L189" s="7" t="s">
        <v>238</v>
      </c>
      <c r="M189" s="7" t="s">
        <v>238</v>
      </c>
      <c r="N189" s="7" t="s">
        <v>238</v>
      </c>
      <c r="O189" s="5">
        <v>1</v>
      </c>
      <c r="P189" s="5">
        <v>1</v>
      </c>
      <c r="Q189" s="5">
        <v>1</v>
      </c>
      <c r="R189" s="5">
        <v>1</v>
      </c>
      <c r="S189" s="5">
        <v>1</v>
      </c>
      <c r="T189" s="5">
        <v>0</v>
      </c>
      <c r="U189" s="5">
        <v>0</v>
      </c>
      <c r="V189" s="13">
        <v>5</v>
      </c>
      <c r="W189" s="13">
        <v>3</v>
      </c>
      <c r="X189" s="5"/>
      <c r="Y189" s="5"/>
      <c r="Z189" s="5"/>
      <c r="AA189" s="5">
        <v>1</v>
      </c>
      <c r="AB189" s="5"/>
      <c r="AC189" s="5">
        <v>0</v>
      </c>
      <c r="AD189" s="5">
        <v>0</v>
      </c>
      <c r="AE189" s="5">
        <v>1</v>
      </c>
      <c r="AF189" s="5">
        <v>0</v>
      </c>
    </row>
    <row r="190" spans="1:32" x14ac:dyDescent="0.2">
      <c r="A190" s="3" t="str">
        <f>+VLOOKUP(B190,studies!$A$2:$C$102,3)</f>
        <v>Tol (1999)</v>
      </c>
      <c r="B190" s="87">
        <v>28</v>
      </c>
      <c r="C190" s="5">
        <v>1999</v>
      </c>
      <c r="D190" s="5">
        <v>1</v>
      </c>
      <c r="E190" s="5">
        <v>1995</v>
      </c>
      <c r="F190" s="5">
        <v>2000</v>
      </c>
      <c r="G190" s="113">
        <v>2.0000000000000004E-2</v>
      </c>
      <c r="H190" s="7">
        <v>56.640906296356263</v>
      </c>
      <c r="I190" s="5">
        <v>0</v>
      </c>
      <c r="J190" s="5">
        <v>1</v>
      </c>
      <c r="K190" s="5">
        <v>0</v>
      </c>
      <c r="L190" s="7" t="s">
        <v>238</v>
      </c>
      <c r="M190" s="7" t="s">
        <v>238</v>
      </c>
      <c r="N190" s="7" t="s">
        <v>238</v>
      </c>
      <c r="O190" s="5">
        <v>1</v>
      </c>
      <c r="P190" s="5">
        <v>1</v>
      </c>
      <c r="Q190" s="5">
        <v>1</v>
      </c>
      <c r="R190" s="5">
        <v>1</v>
      </c>
      <c r="S190" s="5">
        <v>1</v>
      </c>
      <c r="T190" s="5">
        <v>0</v>
      </c>
      <c r="U190" s="5">
        <v>0</v>
      </c>
      <c r="V190" s="13">
        <v>5</v>
      </c>
      <c r="W190" s="13">
        <v>3</v>
      </c>
      <c r="X190" s="5"/>
      <c r="Y190" s="5"/>
      <c r="Z190" s="5"/>
      <c r="AA190" s="5">
        <v>1</v>
      </c>
      <c r="AB190" s="5"/>
      <c r="AC190" s="5">
        <v>0</v>
      </c>
      <c r="AD190" s="5">
        <v>0</v>
      </c>
      <c r="AE190" s="5">
        <v>1</v>
      </c>
      <c r="AF190" s="5">
        <v>0</v>
      </c>
    </row>
    <row r="191" spans="1:32" x14ac:dyDescent="0.2">
      <c r="A191" s="3" t="str">
        <f>+VLOOKUP(B191,studies!$A$2:$C$102,3)</f>
        <v>Tol (1999)</v>
      </c>
      <c r="B191" s="87">
        <v>28</v>
      </c>
      <c r="C191" s="5">
        <v>1999</v>
      </c>
      <c r="D191" s="5">
        <v>1</v>
      </c>
      <c r="E191" s="5">
        <v>1995</v>
      </c>
      <c r="F191" s="5">
        <v>2000</v>
      </c>
      <c r="G191" s="113">
        <v>0.05</v>
      </c>
      <c r="H191" s="7">
        <v>13.593817511125502</v>
      </c>
      <c r="I191" s="5">
        <v>0</v>
      </c>
      <c r="J191" s="5">
        <v>0</v>
      </c>
      <c r="K191" s="5">
        <v>1</v>
      </c>
      <c r="L191" s="7">
        <v>11.328181259271251</v>
      </c>
      <c r="M191" s="7">
        <v>4.6237474527637756</v>
      </c>
      <c r="N191" s="7">
        <v>12.715305495100385</v>
      </c>
      <c r="O191" s="5">
        <v>1</v>
      </c>
      <c r="P191" s="5">
        <v>1</v>
      </c>
      <c r="Q191" s="5">
        <v>1</v>
      </c>
      <c r="R191" s="5">
        <v>1</v>
      </c>
      <c r="S191" s="5">
        <v>1</v>
      </c>
      <c r="T191" s="5">
        <v>0</v>
      </c>
      <c r="U191" s="5">
        <v>0</v>
      </c>
      <c r="V191" s="13">
        <v>10</v>
      </c>
      <c r="W191" s="13">
        <v>8</v>
      </c>
      <c r="X191" s="5"/>
      <c r="Y191" s="5"/>
      <c r="Z191" s="5"/>
      <c r="AA191" s="5">
        <v>1</v>
      </c>
      <c r="AB191" s="5"/>
      <c r="AC191" s="5">
        <v>0</v>
      </c>
      <c r="AD191" s="5">
        <v>0</v>
      </c>
      <c r="AE191" s="5">
        <v>1</v>
      </c>
      <c r="AF191" s="5">
        <v>0</v>
      </c>
    </row>
    <row r="192" spans="1:32" x14ac:dyDescent="0.2">
      <c r="A192" s="3" t="str">
        <f>+VLOOKUP(B192,studies!$A$2:$C$102,3)</f>
        <v>Tol (1999)</v>
      </c>
      <c r="B192" s="87">
        <v>28</v>
      </c>
      <c r="C192" s="5">
        <v>1999</v>
      </c>
      <c r="D192" s="5">
        <v>1</v>
      </c>
      <c r="E192" s="5">
        <v>1995</v>
      </c>
      <c r="F192" s="5">
        <v>2000</v>
      </c>
      <c r="G192" s="113">
        <v>1.0000000000000002E-2</v>
      </c>
      <c r="H192" s="7">
        <v>13.593817511125502</v>
      </c>
      <c r="I192" s="5">
        <v>0</v>
      </c>
      <c r="J192" s="5">
        <v>1</v>
      </c>
      <c r="K192" s="5">
        <v>0</v>
      </c>
      <c r="L192" s="7" t="s">
        <v>238</v>
      </c>
      <c r="M192" s="7" t="s">
        <v>238</v>
      </c>
      <c r="N192" s="7" t="s">
        <v>238</v>
      </c>
      <c r="O192" s="5">
        <v>1</v>
      </c>
      <c r="P192" s="5">
        <v>1</v>
      </c>
      <c r="Q192" s="5">
        <v>1</v>
      </c>
      <c r="R192" s="5">
        <v>1</v>
      </c>
      <c r="S192" s="5">
        <v>1</v>
      </c>
      <c r="T192" s="5">
        <v>0</v>
      </c>
      <c r="U192" s="5">
        <v>0</v>
      </c>
      <c r="V192" s="13">
        <v>10</v>
      </c>
      <c r="W192" s="13">
        <v>8</v>
      </c>
      <c r="X192" s="5"/>
      <c r="Y192" s="5"/>
      <c r="Z192" s="5"/>
      <c r="AA192" s="5">
        <v>1</v>
      </c>
      <c r="AB192" s="5"/>
      <c r="AC192" s="5">
        <v>0</v>
      </c>
      <c r="AD192" s="5">
        <v>0</v>
      </c>
      <c r="AE192" s="5">
        <v>1</v>
      </c>
      <c r="AF192" s="5">
        <v>0</v>
      </c>
    </row>
    <row r="193" spans="1:32" x14ac:dyDescent="0.2">
      <c r="A193" s="3" t="str">
        <f>+VLOOKUP(B193,studies!$A$2:$C$102,3)</f>
        <v>Tol (1999)</v>
      </c>
      <c r="B193" s="87">
        <v>28</v>
      </c>
      <c r="C193" s="5">
        <v>1999</v>
      </c>
      <c r="D193" s="5">
        <v>1</v>
      </c>
      <c r="E193" s="5">
        <v>1995</v>
      </c>
      <c r="F193" s="5">
        <v>2000</v>
      </c>
      <c r="G193" s="113">
        <v>1.0000000000000002E-2</v>
      </c>
      <c r="H193" s="7">
        <v>4.5312725037085002</v>
      </c>
      <c r="I193" s="5">
        <v>0</v>
      </c>
      <c r="J193" s="5">
        <v>1</v>
      </c>
      <c r="K193" s="5">
        <v>0</v>
      </c>
      <c r="L193" s="7" t="s">
        <v>238</v>
      </c>
      <c r="M193" s="7" t="s">
        <v>238</v>
      </c>
      <c r="N193" s="7" t="s">
        <v>238</v>
      </c>
      <c r="O193" s="5">
        <v>1</v>
      </c>
      <c r="P193" s="5">
        <v>1</v>
      </c>
      <c r="Q193" s="5">
        <v>1</v>
      </c>
      <c r="R193" s="5">
        <v>1</v>
      </c>
      <c r="S193" s="5">
        <v>1</v>
      </c>
      <c r="T193" s="5">
        <v>0</v>
      </c>
      <c r="U193" s="5">
        <v>0</v>
      </c>
      <c r="V193" s="13">
        <v>10</v>
      </c>
      <c r="W193" s="13">
        <v>8</v>
      </c>
      <c r="X193" s="5"/>
      <c r="Y193" s="5"/>
      <c r="Z193" s="5"/>
      <c r="AA193" s="5">
        <v>0</v>
      </c>
      <c r="AB193" s="5"/>
      <c r="AC193" s="5">
        <v>0</v>
      </c>
      <c r="AD193" s="5">
        <v>0</v>
      </c>
      <c r="AE193" s="5">
        <v>1</v>
      </c>
      <c r="AF193" s="5">
        <v>0</v>
      </c>
    </row>
    <row r="194" spans="1:32" x14ac:dyDescent="0.2">
      <c r="A194" s="3" t="str">
        <f>+VLOOKUP(B194,studies!$A$2:$C$102,3)</f>
        <v>Tol (1999)</v>
      </c>
      <c r="B194" s="87">
        <v>28</v>
      </c>
      <c r="C194" s="5">
        <v>1999</v>
      </c>
      <c r="D194" s="5">
        <v>1</v>
      </c>
      <c r="E194" s="5">
        <v>1995</v>
      </c>
      <c r="F194" s="5">
        <v>2000</v>
      </c>
      <c r="G194" s="113">
        <v>1.0000000000000002E-2</v>
      </c>
      <c r="H194" s="7">
        <v>13.593817511125502</v>
      </c>
      <c r="I194" s="5">
        <v>0</v>
      </c>
      <c r="J194" s="5">
        <v>1</v>
      </c>
      <c r="K194" s="5">
        <v>0</v>
      </c>
      <c r="L194" s="7" t="s">
        <v>238</v>
      </c>
      <c r="M194" s="7" t="s">
        <v>238</v>
      </c>
      <c r="N194" s="7" t="s">
        <v>238</v>
      </c>
      <c r="O194" s="5">
        <v>1</v>
      </c>
      <c r="P194" s="5">
        <v>1</v>
      </c>
      <c r="Q194" s="5">
        <v>1</v>
      </c>
      <c r="R194" s="5">
        <v>1</v>
      </c>
      <c r="S194" s="5">
        <v>1</v>
      </c>
      <c r="T194" s="5">
        <v>0</v>
      </c>
      <c r="U194" s="5">
        <v>0</v>
      </c>
      <c r="V194" s="13">
        <v>10</v>
      </c>
      <c r="W194" s="13">
        <v>8</v>
      </c>
      <c r="X194" s="5"/>
      <c r="Y194" s="5"/>
      <c r="Z194" s="5"/>
      <c r="AA194" s="5">
        <v>1</v>
      </c>
      <c r="AB194" s="5"/>
      <c r="AC194" s="5">
        <v>0</v>
      </c>
      <c r="AD194" s="5">
        <v>0</v>
      </c>
      <c r="AE194" s="5">
        <v>1</v>
      </c>
      <c r="AF194" s="5">
        <v>0</v>
      </c>
    </row>
    <row r="195" spans="1:32" x14ac:dyDescent="0.2">
      <c r="A195" s="3" t="str">
        <f>+VLOOKUP(B195,studies!$A$2:$C$102,3)</f>
        <v>Tol (1999)</v>
      </c>
      <c r="B195" s="87">
        <v>28</v>
      </c>
      <c r="C195" s="5">
        <v>1999</v>
      </c>
      <c r="D195" s="5">
        <v>1</v>
      </c>
      <c r="E195" s="5">
        <v>1995</v>
      </c>
      <c r="F195" s="5">
        <v>2000</v>
      </c>
      <c r="G195" s="113">
        <v>1.0000000000000002E-2</v>
      </c>
      <c r="H195" s="7">
        <v>13.593817511125502</v>
      </c>
      <c r="I195" s="5">
        <v>0</v>
      </c>
      <c r="J195" s="5">
        <v>1</v>
      </c>
      <c r="K195" s="5">
        <v>0</v>
      </c>
      <c r="L195" s="7" t="s">
        <v>238</v>
      </c>
      <c r="M195" s="7" t="s">
        <v>238</v>
      </c>
      <c r="N195" s="7" t="s">
        <v>238</v>
      </c>
      <c r="O195" s="5">
        <v>1</v>
      </c>
      <c r="P195" s="5">
        <v>1</v>
      </c>
      <c r="Q195" s="5">
        <v>1</v>
      </c>
      <c r="R195" s="5">
        <v>1</v>
      </c>
      <c r="S195" s="5">
        <v>1</v>
      </c>
      <c r="T195" s="5">
        <v>0</v>
      </c>
      <c r="U195" s="5">
        <v>0</v>
      </c>
      <c r="V195" s="13">
        <v>10</v>
      </c>
      <c r="W195" s="13">
        <v>8</v>
      </c>
      <c r="X195" s="5"/>
      <c r="Y195" s="5"/>
      <c r="Z195" s="5"/>
      <c r="AA195" s="5">
        <v>1</v>
      </c>
      <c r="AB195" s="5"/>
      <c r="AC195" s="5">
        <v>0</v>
      </c>
      <c r="AD195" s="5">
        <v>0</v>
      </c>
      <c r="AE195" s="5">
        <v>1</v>
      </c>
      <c r="AF195" s="5">
        <v>0</v>
      </c>
    </row>
    <row r="196" spans="1:32" x14ac:dyDescent="0.2">
      <c r="A196" s="3" t="str">
        <f>+VLOOKUP(B196,studies!$A$2:$C$102,3)</f>
        <v>Tol (1999)</v>
      </c>
      <c r="B196" s="87">
        <v>28</v>
      </c>
      <c r="C196" s="5">
        <v>1999</v>
      </c>
      <c r="D196" s="5">
        <v>1</v>
      </c>
      <c r="E196" s="5">
        <v>1995</v>
      </c>
      <c r="F196" s="5">
        <v>2000</v>
      </c>
      <c r="G196" s="113">
        <v>1.0000000000000002E-2</v>
      </c>
      <c r="H196" s="7">
        <v>13.593817511125502</v>
      </c>
      <c r="I196" s="5">
        <v>0</v>
      </c>
      <c r="J196" s="5">
        <v>1</v>
      </c>
      <c r="K196" s="5">
        <v>0</v>
      </c>
      <c r="L196" s="7" t="s">
        <v>238</v>
      </c>
      <c r="M196" s="7" t="s">
        <v>238</v>
      </c>
      <c r="N196" s="7" t="s">
        <v>238</v>
      </c>
      <c r="O196" s="5">
        <v>1</v>
      </c>
      <c r="P196" s="5">
        <v>1</v>
      </c>
      <c r="Q196" s="5">
        <v>1</v>
      </c>
      <c r="R196" s="5">
        <v>1</v>
      </c>
      <c r="S196" s="5">
        <v>1</v>
      </c>
      <c r="T196" s="5">
        <v>0</v>
      </c>
      <c r="U196" s="5">
        <v>0</v>
      </c>
      <c r="V196" s="13">
        <v>10</v>
      </c>
      <c r="W196" s="13">
        <v>8</v>
      </c>
      <c r="X196" s="5"/>
      <c r="Y196" s="5"/>
      <c r="Z196" s="5"/>
      <c r="AA196" s="5">
        <v>1</v>
      </c>
      <c r="AB196" s="5"/>
      <c r="AC196" s="5">
        <v>0</v>
      </c>
      <c r="AD196" s="5">
        <v>0</v>
      </c>
      <c r="AE196" s="5">
        <v>1</v>
      </c>
      <c r="AF196" s="5">
        <v>0</v>
      </c>
    </row>
    <row r="197" spans="1:32" x14ac:dyDescent="0.2">
      <c r="A197" s="3" t="str">
        <f>+VLOOKUP(B197,studies!$A$2:$C$102,3)</f>
        <v>Nordhaus &amp; Boyer (2000)</v>
      </c>
      <c r="B197" s="87">
        <v>29</v>
      </c>
      <c r="C197" s="5">
        <v>2000</v>
      </c>
      <c r="D197" s="5">
        <v>0</v>
      </c>
      <c r="E197" s="5">
        <v>1990</v>
      </c>
      <c r="F197" s="5">
        <v>2015</v>
      </c>
      <c r="G197" s="113">
        <v>1</v>
      </c>
      <c r="H197" s="7">
        <v>21.204986687069631</v>
      </c>
      <c r="I197" s="5">
        <v>0</v>
      </c>
      <c r="J197" s="5">
        <v>1</v>
      </c>
      <c r="K197" s="5">
        <v>0</v>
      </c>
      <c r="L197" s="7" t="s">
        <v>238</v>
      </c>
      <c r="M197" s="7" t="s">
        <v>238</v>
      </c>
      <c r="N197" s="7" t="s">
        <v>238</v>
      </c>
      <c r="O197" s="5">
        <v>1</v>
      </c>
      <c r="P197" s="5">
        <v>1</v>
      </c>
      <c r="Q197" s="5">
        <v>0</v>
      </c>
      <c r="R197" s="5">
        <v>1</v>
      </c>
      <c r="S197" s="5">
        <v>0</v>
      </c>
      <c r="T197" s="5">
        <v>1</v>
      </c>
      <c r="U197" s="5">
        <v>0</v>
      </c>
      <c r="V197" s="13" t="s">
        <v>25</v>
      </c>
      <c r="W197" s="13" t="s">
        <v>25</v>
      </c>
      <c r="X197" s="5">
        <v>1</v>
      </c>
      <c r="Y197" s="5"/>
      <c r="Z197" s="5"/>
      <c r="AA197" s="5">
        <v>0</v>
      </c>
      <c r="AB197" s="5"/>
      <c r="AC197" s="5">
        <v>0</v>
      </c>
      <c r="AD197" s="5">
        <v>1</v>
      </c>
      <c r="AE197" s="5">
        <v>0</v>
      </c>
      <c r="AF197" s="48">
        <v>1</v>
      </c>
    </row>
    <row r="198" spans="1:32" x14ac:dyDescent="0.2">
      <c r="A198" s="3" t="str">
        <f>+VLOOKUP(B198,studies!$A$2:$C$102,3)</f>
        <v>Tol &amp; Downing (2001)</v>
      </c>
      <c r="B198" s="87">
        <v>30</v>
      </c>
      <c r="C198" s="5">
        <v>2001</v>
      </c>
      <c r="D198" s="5">
        <v>0</v>
      </c>
      <c r="E198" s="48">
        <v>1995</v>
      </c>
      <c r="F198" s="48">
        <v>1995</v>
      </c>
      <c r="G198" s="115">
        <v>0.1</v>
      </c>
      <c r="H198" s="7">
        <v>68.923352861772699</v>
      </c>
      <c r="I198" s="5">
        <v>0</v>
      </c>
      <c r="J198" s="5">
        <v>1</v>
      </c>
      <c r="K198" s="5">
        <v>0</v>
      </c>
      <c r="L198" s="7" t="s">
        <v>238</v>
      </c>
      <c r="M198" s="7" t="s">
        <v>238</v>
      </c>
      <c r="N198" s="7" t="s">
        <v>238</v>
      </c>
      <c r="O198" s="5">
        <v>0</v>
      </c>
      <c r="P198" s="5">
        <v>1</v>
      </c>
      <c r="Q198" s="5">
        <v>1</v>
      </c>
      <c r="R198" s="5">
        <v>1</v>
      </c>
      <c r="S198" s="5">
        <v>1</v>
      </c>
      <c r="T198" s="5">
        <v>0</v>
      </c>
      <c r="U198" s="5">
        <v>0</v>
      </c>
      <c r="V198" s="13">
        <v>3</v>
      </c>
      <c r="W198" s="13">
        <v>1</v>
      </c>
      <c r="X198" s="5"/>
      <c r="Y198" s="5"/>
      <c r="Z198" s="5"/>
      <c r="AA198" s="5">
        <v>1</v>
      </c>
      <c r="AB198" s="5"/>
      <c r="AC198" s="5">
        <v>0</v>
      </c>
      <c r="AD198" s="5">
        <v>0</v>
      </c>
      <c r="AE198" s="5">
        <v>1</v>
      </c>
      <c r="AF198" s="5">
        <v>0</v>
      </c>
    </row>
    <row r="199" spans="1:32" x14ac:dyDescent="0.2">
      <c r="A199" s="3" t="str">
        <f>+VLOOKUP(B199,studies!$A$2:$C$102,3)</f>
        <v>Tol &amp; Downing (2001)</v>
      </c>
      <c r="B199" s="87">
        <v>30</v>
      </c>
      <c r="C199" s="5">
        <v>2001</v>
      </c>
      <c r="D199" s="5">
        <v>0</v>
      </c>
      <c r="E199" s="48">
        <v>1995</v>
      </c>
      <c r="F199" s="48">
        <v>1995</v>
      </c>
      <c r="G199" s="115">
        <v>0.1</v>
      </c>
      <c r="H199" s="7">
        <v>9.2425952113488279</v>
      </c>
      <c r="I199" s="5">
        <v>0</v>
      </c>
      <c r="J199" s="5">
        <v>1</v>
      </c>
      <c r="K199" s="5">
        <v>0</v>
      </c>
      <c r="L199" s="7" t="s">
        <v>238</v>
      </c>
      <c r="M199" s="7" t="s">
        <v>238</v>
      </c>
      <c r="N199" s="7" t="s">
        <v>238</v>
      </c>
      <c r="O199" s="5">
        <v>0</v>
      </c>
      <c r="P199" s="5">
        <v>1</v>
      </c>
      <c r="Q199" s="5">
        <v>1</v>
      </c>
      <c r="R199" s="5">
        <v>1</v>
      </c>
      <c r="S199" s="5">
        <v>1</v>
      </c>
      <c r="T199" s="5">
        <v>0</v>
      </c>
      <c r="U199" s="5">
        <v>0</v>
      </c>
      <c r="V199" s="13">
        <v>3</v>
      </c>
      <c r="W199" s="13">
        <v>1</v>
      </c>
      <c r="X199" s="5"/>
      <c r="Y199" s="5"/>
      <c r="Z199" s="5"/>
      <c r="AA199" s="5">
        <v>0</v>
      </c>
      <c r="AB199" s="5"/>
      <c r="AC199" s="5">
        <v>0</v>
      </c>
      <c r="AD199" s="5">
        <v>0</v>
      </c>
      <c r="AE199" s="5">
        <v>1</v>
      </c>
      <c r="AF199" s="5">
        <v>0</v>
      </c>
    </row>
    <row r="200" spans="1:32" x14ac:dyDescent="0.2">
      <c r="A200" s="3" t="str">
        <f>+VLOOKUP(B200,studies!$A$2:$C$102,3)</f>
        <v>Tol &amp; Downing (2001)</v>
      </c>
      <c r="B200" s="87">
        <v>30</v>
      </c>
      <c r="C200" s="5">
        <v>2001</v>
      </c>
      <c r="D200" s="5">
        <v>0</v>
      </c>
      <c r="E200" s="48">
        <v>1995</v>
      </c>
      <c r="F200" s="48">
        <v>1995</v>
      </c>
      <c r="G200" s="115">
        <v>1</v>
      </c>
      <c r="H200" s="7">
        <v>120.9459601942218</v>
      </c>
      <c r="I200" s="5">
        <v>0</v>
      </c>
      <c r="J200" s="5">
        <v>1</v>
      </c>
      <c r="K200" s="5">
        <v>0</v>
      </c>
      <c r="L200" s="7" t="s">
        <v>238</v>
      </c>
      <c r="M200" s="7" t="s">
        <v>238</v>
      </c>
      <c r="N200" s="7" t="s">
        <v>238</v>
      </c>
      <c r="O200" s="5">
        <v>0</v>
      </c>
      <c r="P200" s="5">
        <v>1</v>
      </c>
      <c r="Q200" s="5">
        <v>1</v>
      </c>
      <c r="R200" s="5">
        <v>1</v>
      </c>
      <c r="S200" s="5">
        <v>1</v>
      </c>
      <c r="T200" s="5">
        <v>0</v>
      </c>
      <c r="U200" s="5">
        <v>0</v>
      </c>
      <c r="V200" s="13">
        <v>3</v>
      </c>
      <c r="W200" s="13">
        <v>1</v>
      </c>
      <c r="X200" s="5"/>
      <c r="Y200" s="5"/>
      <c r="Z200" s="5"/>
      <c r="AA200" s="5">
        <v>1</v>
      </c>
      <c r="AB200" s="5"/>
      <c r="AC200" s="5">
        <v>0</v>
      </c>
      <c r="AD200" s="5">
        <v>0</v>
      </c>
      <c r="AE200" s="5">
        <v>1</v>
      </c>
      <c r="AF200" s="5">
        <v>0</v>
      </c>
    </row>
    <row r="201" spans="1:32" x14ac:dyDescent="0.2">
      <c r="A201" s="3" t="str">
        <f>+VLOOKUP(B201,studies!$A$2:$C$102,3)</f>
        <v>Tol &amp; Downing (2001)</v>
      </c>
      <c r="B201" s="87">
        <v>30</v>
      </c>
      <c r="C201" s="5">
        <v>2001</v>
      </c>
      <c r="D201" s="5">
        <v>0</v>
      </c>
      <c r="E201" s="48">
        <v>1995</v>
      </c>
      <c r="F201" s="48">
        <v>1995</v>
      </c>
      <c r="G201" s="115">
        <v>0.8</v>
      </c>
      <c r="H201" s="7">
        <v>10.562965955827231</v>
      </c>
      <c r="I201" s="5">
        <v>0</v>
      </c>
      <c r="J201" s="5">
        <v>0</v>
      </c>
      <c r="K201" s="5">
        <v>1</v>
      </c>
      <c r="L201" s="7">
        <v>8.4503727646617861</v>
      </c>
      <c r="M201" s="7">
        <v>8.4503727646617861</v>
      </c>
      <c r="N201" s="7">
        <v>8.4503727646617861</v>
      </c>
      <c r="O201" s="5">
        <v>0</v>
      </c>
      <c r="P201" s="5">
        <v>1</v>
      </c>
      <c r="Q201" s="5">
        <v>1</v>
      </c>
      <c r="R201" s="5">
        <v>1</v>
      </c>
      <c r="S201" s="5">
        <v>1</v>
      </c>
      <c r="T201" s="5">
        <v>0</v>
      </c>
      <c r="U201" s="5">
        <v>0</v>
      </c>
      <c r="V201" s="13">
        <v>3</v>
      </c>
      <c r="W201" s="13">
        <v>1</v>
      </c>
      <c r="X201" s="5"/>
      <c r="Y201" s="5"/>
      <c r="Z201" s="5"/>
      <c r="AA201" s="5">
        <v>0</v>
      </c>
      <c r="AB201" s="5"/>
      <c r="AC201" s="5">
        <v>0</v>
      </c>
      <c r="AD201" s="5">
        <v>0</v>
      </c>
      <c r="AE201" s="5">
        <v>1</v>
      </c>
      <c r="AF201" s="5">
        <v>0</v>
      </c>
    </row>
    <row r="202" spans="1:32" x14ac:dyDescent="0.2">
      <c r="A202" s="3" t="str">
        <f>+VLOOKUP(B202,studies!$A$2:$C$102,3)</f>
        <v>Clarkson &amp; Deyes (2002)</v>
      </c>
      <c r="B202" s="87">
        <v>31</v>
      </c>
      <c r="C202" s="5">
        <v>2002</v>
      </c>
      <c r="D202" s="5">
        <v>0</v>
      </c>
      <c r="E202" s="48">
        <v>2000</v>
      </c>
      <c r="F202" s="48">
        <v>2000</v>
      </c>
      <c r="G202" s="115">
        <v>1</v>
      </c>
      <c r="H202" s="7">
        <v>203.52044672144405</v>
      </c>
      <c r="I202" s="5">
        <v>0</v>
      </c>
      <c r="J202" s="5">
        <v>1</v>
      </c>
      <c r="K202" s="5">
        <v>0</v>
      </c>
      <c r="L202" s="7"/>
      <c r="M202" s="7">
        <v>51.662725240941604</v>
      </c>
      <c r="N202" s="52">
        <v>103.83696261298164</v>
      </c>
      <c r="O202" s="5">
        <v>0</v>
      </c>
      <c r="P202" s="5">
        <v>1</v>
      </c>
      <c r="Q202" s="5">
        <v>0</v>
      </c>
      <c r="R202" s="5">
        <v>1</v>
      </c>
      <c r="S202" s="5">
        <v>1</v>
      </c>
      <c r="T202" s="5">
        <v>0</v>
      </c>
      <c r="U202" s="13">
        <v>0</v>
      </c>
      <c r="V202" s="13">
        <v>3</v>
      </c>
      <c r="W202" s="5">
        <v>1</v>
      </c>
      <c r="X202" s="5"/>
      <c r="Y202" s="5"/>
      <c r="Z202" s="5"/>
      <c r="AA202" s="5">
        <v>1</v>
      </c>
      <c r="AB202" s="5"/>
      <c r="AC202" s="5">
        <v>0</v>
      </c>
      <c r="AD202" s="5">
        <v>0</v>
      </c>
      <c r="AE202" s="5">
        <v>0</v>
      </c>
      <c r="AF202" s="90">
        <v>0</v>
      </c>
    </row>
    <row r="203" spans="1:32" x14ac:dyDescent="0.2">
      <c r="A203" s="3" t="str">
        <f>+VLOOKUP(B203,studies!$A$2:$C$102,3)</f>
        <v>Newell &amp; Pizer (2003)</v>
      </c>
      <c r="B203" s="87">
        <v>32</v>
      </c>
      <c r="C203" s="5">
        <v>2003</v>
      </c>
      <c r="D203" s="5">
        <v>1</v>
      </c>
      <c r="E203" s="5">
        <v>1989</v>
      </c>
      <c r="F203" s="5">
        <v>2000</v>
      </c>
      <c r="G203" s="113">
        <v>0.1</v>
      </c>
      <c r="H203" s="7">
        <v>15.983259821387531</v>
      </c>
      <c r="I203" s="5">
        <v>0</v>
      </c>
      <c r="J203" s="5">
        <v>1</v>
      </c>
      <c r="K203" s="5">
        <v>0</v>
      </c>
      <c r="L203" s="7" t="s">
        <v>238</v>
      </c>
      <c r="M203" s="7" t="s">
        <v>238</v>
      </c>
      <c r="N203" s="7" t="s">
        <v>238</v>
      </c>
      <c r="O203" s="5">
        <v>0</v>
      </c>
      <c r="P203" s="5">
        <v>1</v>
      </c>
      <c r="Q203" s="5">
        <v>0</v>
      </c>
      <c r="R203" s="5">
        <v>1</v>
      </c>
      <c r="S203" s="5">
        <v>0</v>
      </c>
      <c r="T203" s="5">
        <v>0</v>
      </c>
      <c r="U203" s="5">
        <v>0</v>
      </c>
      <c r="V203" s="13">
        <v>4</v>
      </c>
      <c r="W203" s="13">
        <v>2</v>
      </c>
      <c r="X203" s="5"/>
      <c r="Y203" s="5"/>
      <c r="Z203" s="5"/>
      <c r="AA203" s="5">
        <v>0</v>
      </c>
      <c r="AB203" s="5"/>
      <c r="AC203" s="5">
        <v>0</v>
      </c>
      <c r="AD203" s="5">
        <v>0</v>
      </c>
      <c r="AE203" s="5">
        <v>0</v>
      </c>
      <c r="AF203" s="5">
        <v>0</v>
      </c>
    </row>
    <row r="204" spans="1:32" x14ac:dyDescent="0.2">
      <c r="A204" s="3" t="str">
        <f>+VLOOKUP(B204,studies!$A$2:$C$102,3)</f>
        <v>Newell &amp; Pizer (2003)</v>
      </c>
      <c r="B204" s="87">
        <v>32</v>
      </c>
      <c r="C204" s="5">
        <v>2003</v>
      </c>
      <c r="D204" s="5">
        <v>1</v>
      </c>
      <c r="E204" s="5">
        <v>1989</v>
      </c>
      <c r="F204" s="5">
        <v>2000</v>
      </c>
      <c r="G204" s="113">
        <v>0.2</v>
      </c>
      <c r="H204" s="7">
        <v>29.070598002663033</v>
      </c>
      <c r="I204" s="5">
        <v>0</v>
      </c>
      <c r="J204" s="5">
        <v>1</v>
      </c>
      <c r="K204" s="5">
        <v>0</v>
      </c>
      <c r="L204" s="7" t="s">
        <v>238</v>
      </c>
      <c r="M204" s="7" t="s">
        <v>238</v>
      </c>
      <c r="N204" s="7" t="s">
        <v>238</v>
      </c>
      <c r="O204" s="5">
        <v>0</v>
      </c>
      <c r="P204" s="5">
        <v>1</v>
      </c>
      <c r="Q204" s="5">
        <v>0</v>
      </c>
      <c r="R204" s="5">
        <v>1</v>
      </c>
      <c r="S204" s="5">
        <v>0</v>
      </c>
      <c r="T204" s="5">
        <v>0</v>
      </c>
      <c r="U204" s="5">
        <v>0</v>
      </c>
      <c r="V204" s="13"/>
      <c r="W204" s="13">
        <v>2</v>
      </c>
      <c r="X204" s="5"/>
      <c r="Y204" s="5"/>
      <c r="Z204" s="5"/>
      <c r="AA204" s="5">
        <v>0</v>
      </c>
      <c r="AB204" s="5"/>
      <c r="AC204" s="5">
        <v>0</v>
      </c>
      <c r="AD204" s="5">
        <v>0</v>
      </c>
      <c r="AE204" s="5">
        <v>0</v>
      </c>
      <c r="AF204" s="5">
        <v>0</v>
      </c>
    </row>
    <row r="205" spans="1:32" x14ac:dyDescent="0.2">
      <c r="A205" s="3" t="str">
        <f>+VLOOKUP(B205,studies!$A$2:$C$102,3)</f>
        <v>Newell &amp; Pizer (2003)</v>
      </c>
      <c r="B205" s="87">
        <v>32</v>
      </c>
      <c r="C205" s="5">
        <v>2003</v>
      </c>
      <c r="D205" s="5">
        <v>1</v>
      </c>
      <c r="E205" s="5">
        <v>1989</v>
      </c>
      <c r="F205" s="5">
        <v>2000</v>
      </c>
      <c r="G205" s="113">
        <v>0.2</v>
      </c>
      <c r="H205" s="7">
        <v>18.15520105147155</v>
      </c>
      <c r="I205" s="5">
        <v>0</v>
      </c>
      <c r="J205" s="5">
        <v>1</v>
      </c>
      <c r="K205" s="5">
        <v>0</v>
      </c>
      <c r="L205" s="7" t="s">
        <v>238</v>
      </c>
      <c r="M205" s="7" t="s">
        <v>238</v>
      </c>
      <c r="N205" s="7" t="s">
        <v>238</v>
      </c>
      <c r="O205" s="5">
        <v>0</v>
      </c>
      <c r="P205" s="5">
        <v>1</v>
      </c>
      <c r="Q205" s="5">
        <v>0</v>
      </c>
      <c r="R205" s="5">
        <v>1</v>
      </c>
      <c r="S205" s="5">
        <v>0</v>
      </c>
      <c r="T205" s="5">
        <v>0</v>
      </c>
      <c r="U205" s="5">
        <v>0</v>
      </c>
      <c r="V205" s="13"/>
      <c r="W205" s="13">
        <v>2</v>
      </c>
      <c r="X205" s="5"/>
      <c r="Y205" s="5"/>
      <c r="Z205" s="5"/>
      <c r="AA205" s="5">
        <v>0</v>
      </c>
      <c r="AB205" s="5"/>
      <c r="AC205" s="5">
        <v>0</v>
      </c>
      <c r="AD205" s="5">
        <v>0</v>
      </c>
      <c r="AE205" s="5">
        <v>0</v>
      </c>
      <c r="AF205" s="5">
        <v>0</v>
      </c>
    </row>
    <row r="206" spans="1:32" x14ac:dyDescent="0.2">
      <c r="A206" s="3" t="str">
        <f>+VLOOKUP(B206,studies!$A$2:$C$102,3)</f>
        <v>Newell &amp; Pizer (2003)</v>
      </c>
      <c r="B206" s="87">
        <v>32</v>
      </c>
      <c r="C206" s="5">
        <v>2003</v>
      </c>
      <c r="D206" s="5">
        <v>1</v>
      </c>
      <c r="E206" s="5">
        <v>1989</v>
      </c>
      <c r="F206" s="5">
        <v>2000</v>
      </c>
      <c r="G206" s="113">
        <v>0.05</v>
      </c>
      <c r="H206" s="7">
        <v>60.508055038109937</v>
      </c>
      <c r="I206" s="5">
        <v>0</v>
      </c>
      <c r="J206" s="5">
        <v>1</v>
      </c>
      <c r="K206" s="5">
        <v>0</v>
      </c>
      <c r="L206" s="7" t="s">
        <v>238</v>
      </c>
      <c r="M206" s="7" t="s">
        <v>238</v>
      </c>
      <c r="N206" s="7" t="s">
        <v>238</v>
      </c>
      <c r="O206" s="5">
        <v>0</v>
      </c>
      <c r="P206" s="5">
        <v>1</v>
      </c>
      <c r="Q206" s="5">
        <v>0</v>
      </c>
      <c r="R206" s="5">
        <v>1</v>
      </c>
      <c r="S206" s="5">
        <v>0</v>
      </c>
      <c r="T206" s="5">
        <v>0</v>
      </c>
      <c r="U206" s="5">
        <v>0</v>
      </c>
      <c r="V206" s="13">
        <v>2</v>
      </c>
      <c r="W206" s="13">
        <v>0</v>
      </c>
      <c r="X206" s="5"/>
      <c r="Y206" s="5"/>
      <c r="Z206" s="5"/>
      <c r="AA206" s="5">
        <v>0</v>
      </c>
      <c r="AB206" s="5"/>
      <c r="AC206" s="5">
        <v>0</v>
      </c>
      <c r="AD206" s="5">
        <v>0</v>
      </c>
      <c r="AE206" s="5">
        <v>0</v>
      </c>
      <c r="AF206" s="5">
        <v>0</v>
      </c>
    </row>
    <row r="207" spans="1:32" x14ac:dyDescent="0.2">
      <c r="A207" s="3" t="str">
        <f>+VLOOKUP(B207,studies!$A$2:$C$102,3)</f>
        <v>Newell &amp; Pizer (2003)</v>
      </c>
      <c r="B207" s="87">
        <v>32</v>
      </c>
      <c r="C207" s="5">
        <v>2003</v>
      </c>
      <c r="D207" s="5">
        <v>1</v>
      </c>
      <c r="E207" s="5">
        <v>1989</v>
      </c>
      <c r="F207" s="5">
        <v>2000</v>
      </c>
      <c r="G207" s="113">
        <v>0.1</v>
      </c>
      <c r="H207" s="7">
        <v>94.228834905183632</v>
      </c>
      <c r="I207" s="5">
        <v>0</v>
      </c>
      <c r="J207" s="5">
        <v>1</v>
      </c>
      <c r="K207" s="5">
        <v>0</v>
      </c>
      <c r="L207" s="7" t="s">
        <v>238</v>
      </c>
      <c r="M207" s="7" t="s">
        <v>238</v>
      </c>
      <c r="N207" s="7" t="s">
        <v>238</v>
      </c>
      <c r="O207" s="5">
        <v>0</v>
      </c>
      <c r="P207" s="5">
        <v>1</v>
      </c>
      <c r="Q207" s="5">
        <v>0</v>
      </c>
      <c r="R207" s="5">
        <v>1</v>
      </c>
      <c r="S207" s="5">
        <v>0</v>
      </c>
      <c r="T207" s="5">
        <v>0</v>
      </c>
      <c r="U207" s="5">
        <v>0</v>
      </c>
      <c r="V207" s="13"/>
      <c r="W207" s="13">
        <v>0</v>
      </c>
      <c r="X207" s="5"/>
      <c r="Y207" s="5"/>
      <c r="Z207" s="5"/>
      <c r="AA207" s="5">
        <v>0</v>
      </c>
      <c r="AB207" s="5"/>
      <c r="AC207" s="5">
        <v>0</v>
      </c>
      <c r="AD207" s="5">
        <v>0</v>
      </c>
      <c r="AE207" s="5">
        <v>0</v>
      </c>
      <c r="AF207" s="5">
        <v>0</v>
      </c>
    </row>
    <row r="208" spans="1:32" x14ac:dyDescent="0.2">
      <c r="A208" s="3" t="str">
        <f>+VLOOKUP(B208,studies!$A$2:$C$102,3)</f>
        <v>Newell &amp; Pizer (2003)</v>
      </c>
      <c r="B208" s="87">
        <v>32</v>
      </c>
      <c r="C208" s="5">
        <v>2003</v>
      </c>
      <c r="D208" s="5">
        <v>1</v>
      </c>
      <c r="E208" s="5">
        <v>1989</v>
      </c>
      <c r="F208" s="5">
        <v>2000</v>
      </c>
      <c r="G208" s="113">
        <v>0.1</v>
      </c>
      <c r="H208" s="7">
        <v>64.93547369943505</v>
      </c>
      <c r="I208" s="5">
        <v>0</v>
      </c>
      <c r="J208" s="5">
        <v>1</v>
      </c>
      <c r="K208" s="5">
        <v>0</v>
      </c>
      <c r="L208" s="7" t="s">
        <v>238</v>
      </c>
      <c r="M208" s="7" t="s">
        <v>238</v>
      </c>
      <c r="N208" s="7" t="s">
        <v>238</v>
      </c>
      <c r="O208" s="5">
        <v>0</v>
      </c>
      <c r="P208" s="5">
        <v>1</v>
      </c>
      <c r="Q208" s="5">
        <v>0</v>
      </c>
      <c r="R208" s="5">
        <v>1</v>
      </c>
      <c r="S208" s="5">
        <v>0</v>
      </c>
      <c r="T208" s="5">
        <v>0</v>
      </c>
      <c r="U208" s="5">
        <v>0</v>
      </c>
      <c r="V208" s="13"/>
      <c r="W208" s="13">
        <v>0</v>
      </c>
      <c r="X208" s="5"/>
      <c r="Y208" s="5"/>
      <c r="Z208" s="5"/>
      <c r="AA208" s="5">
        <v>0</v>
      </c>
      <c r="AB208" s="5"/>
      <c r="AC208" s="5">
        <v>0</v>
      </c>
      <c r="AD208" s="5">
        <v>0</v>
      </c>
      <c r="AE208" s="5">
        <v>0</v>
      </c>
      <c r="AF208" s="5">
        <v>0</v>
      </c>
    </row>
    <row r="209" spans="1:32" x14ac:dyDescent="0.2">
      <c r="A209" s="3" t="str">
        <f>+VLOOKUP(B209,studies!$A$2:$C$102,3)</f>
        <v>Newell &amp; Pizer (2003)</v>
      </c>
      <c r="B209" s="87">
        <v>32</v>
      </c>
      <c r="C209" s="5">
        <v>2003</v>
      </c>
      <c r="D209" s="5">
        <v>1</v>
      </c>
      <c r="E209" s="5">
        <v>1989</v>
      </c>
      <c r="F209" s="5">
        <v>2000</v>
      </c>
      <c r="G209" s="113">
        <v>0.05</v>
      </c>
      <c r="H209" s="7">
        <v>4.1211192570824995</v>
      </c>
      <c r="I209" s="5">
        <v>0</v>
      </c>
      <c r="J209" s="5">
        <v>1</v>
      </c>
      <c r="K209" s="5">
        <v>0</v>
      </c>
      <c r="L209" s="7" t="s">
        <v>238</v>
      </c>
      <c r="M209" s="7" t="s">
        <v>238</v>
      </c>
      <c r="N209" s="7" t="s">
        <v>238</v>
      </c>
      <c r="O209" s="5">
        <v>0</v>
      </c>
      <c r="P209" s="5">
        <v>1</v>
      </c>
      <c r="Q209" s="5">
        <v>0</v>
      </c>
      <c r="R209" s="5">
        <v>1</v>
      </c>
      <c r="S209" s="5">
        <v>0</v>
      </c>
      <c r="T209" s="5">
        <v>0</v>
      </c>
      <c r="U209" s="5">
        <v>0</v>
      </c>
      <c r="V209" s="13">
        <v>7</v>
      </c>
      <c r="W209" s="13">
        <v>5</v>
      </c>
      <c r="X209" s="5"/>
      <c r="Y209" s="5"/>
      <c r="Z209" s="5"/>
      <c r="AA209" s="5">
        <v>0</v>
      </c>
      <c r="AB209" s="5"/>
      <c r="AC209" s="5">
        <v>0</v>
      </c>
      <c r="AD209" s="5">
        <v>0</v>
      </c>
      <c r="AE209" s="5">
        <v>0</v>
      </c>
      <c r="AF209" s="5">
        <v>0</v>
      </c>
    </row>
    <row r="210" spans="1:32" x14ac:dyDescent="0.2">
      <c r="A210" s="3" t="str">
        <f>+VLOOKUP(B210,studies!$A$2:$C$102,3)</f>
        <v>Newell &amp; Pizer (2003)</v>
      </c>
      <c r="B210" s="87">
        <v>32</v>
      </c>
      <c r="C210" s="5">
        <v>2003</v>
      </c>
      <c r="D210" s="5">
        <v>1</v>
      </c>
      <c r="E210" s="5">
        <v>1989</v>
      </c>
      <c r="F210" s="5">
        <v>2000</v>
      </c>
      <c r="G210" s="113">
        <v>0.1</v>
      </c>
      <c r="H210" s="7">
        <v>8.0194753110794572</v>
      </c>
      <c r="I210" s="5">
        <v>0</v>
      </c>
      <c r="J210" s="5">
        <v>1</v>
      </c>
      <c r="K210" s="5">
        <v>0</v>
      </c>
      <c r="L210" s="7" t="s">
        <v>238</v>
      </c>
      <c r="M210" s="7" t="s">
        <v>238</v>
      </c>
      <c r="N210" s="7" t="s">
        <v>238</v>
      </c>
      <c r="O210" s="5">
        <v>0</v>
      </c>
      <c r="P210" s="5">
        <v>1</v>
      </c>
      <c r="Q210" s="5">
        <v>0</v>
      </c>
      <c r="R210" s="5">
        <v>1</v>
      </c>
      <c r="S210" s="5">
        <v>0</v>
      </c>
      <c r="T210" s="5">
        <v>0</v>
      </c>
      <c r="U210" s="5">
        <v>0</v>
      </c>
      <c r="V210" s="13"/>
      <c r="W210" s="13">
        <v>5</v>
      </c>
      <c r="X210" s="5"/>
      <c r="Y210" s="5"/>
      <c r="Z210" s="5"/>
      <c r="AA210" s="5">
        <v>0</v>
      </c>
      <c r="AB210" s="5"/>
      <c r="AC210" s="5">
        <v>0</v>
      </c>
      <c r="AD210" s="5">
        <v>0</v>
      </c>
      <c r="AE210" s="5">
        <v>0</v>
      </c>
      <c r="AF210" s="5">
        <v>0</v>
      </c>
    </row>
    <row r="211" spans="1:32" x14ac:dyDescent="0.2">
      <c r="A211" s="3" t="str">
        <f>+VLOOKUP(B211,studies!$A$2:$C$102,3)</f>
        <v>Newell &amp; Pizer (2003)</v>
      </c>
      <c r="B211" s="87">
        <v>32</v>
      </c>
      <c r="C211" s="5">
        <v>2003</v>
      </c>
      <c r="D211" s="5">
        <v>1</v>
      </c>
      <c r="E211" s="5">
        <v>1989</v>
      </c>
      <c r="F211" s="5">
        <v>2000</v>
      </c>
      <c r="G211" s="113">
        <v>0.1</v>
      </c>
      <c r="H211" s="7">
        <v>4.9843266690389685</v>
      </c>
      <c r="I211" s="5">
        <v>0</v>
      </c>
      <c r="J211" s="5">
        <v>1</v>
      </c>
      <c r="K211" s="5">
        <v>0</v>
      </c>
      <c r="L211" s="7" t="s">
        <v>238</v>
      </c>
      <c r="M211" s="7" t="s">
        <v>238</v>
      </c>
      <c r="N211" s="7" t="s">
        <v>238</v>
      </c>
      <c r="O211" s="5">
        <v>0</v>
      </c>
      <c r="P211" s="5">
        <v>1</v>
      </c>
      <c r="Q211" s="5">
        <v>0</v>
      </c>
      <c r="R211" s="5">
        <v>1</v>
      </c>
      <c r="S211" s="5">
        <v>0</v>
      </c>
      <c r="T211" s="5">
        <v>0</v>
      </c>
      <c r="U211" s="5">
        <v>0</v>
      </c>
      <c r="V211" s="13"/>
      <c r="W211" s="13">
        <v>5</v>
      </c>
      <c r="X211" s="5"/>
      <c r="Y211" s="5"/>
      <c r="Z211" s="5"/>
      <c r="AA211" s="5">
        <v>0</v>
      </c>
      <c r="AB211" s="5"/>
      <c r="AC211" s="5">
        <v>0</v>
      </c>
      <c r="AD211" s="5">
        <v>0</v>
      </c>
      <c r="AE211" s="5">
        <v>0</v>
      </c>
      <c r="AF211" s="5">
        <v>0</v>
      </c>
    </row>
    <row r="212" spans="1:32" x14ac:dyDescent="0.2">
      <c r="A212" s="3" t="str">
        <f>+VLOOKUP(B212,studies!$A$2:$C$102,3)</f>
        <v>Pearce (2003)</v>
      </c>
      <c r="B212" s="87">
        <v>33</v>
      </c>
      <c r="C212" s="5">
        <v>2003</v>
      </c>
      <c r="D212" s="5">
        <v>1</v>
      </c>
      <c r="E212" s="5">
        <v>2000</v>
      </c>
      <c r="F212" s="5">
        <v>2000</v>
      </c>
      <c r="G212" s="113">
        <v>1</v>
      </c>
      <c r="H212" s="7">
        <v>51.799128475901185</v>
      </c>
      <c r="I212" s="5">
        <v>0</v>
      </c>
      <c r="J212" s="5">
        <v>1</v>
      </c>
      <c r="K212" s="5">
        <v>0</v>
      </c>
      <c r="L212" s="7" t="s">
        <v>238</v>
      </c>
      <c r="M212" s="7">
        <v>19.607965025439881</v>
      </c>
      <c r="N212" s="7">
        <v>19.607965025439885</v>
      </c>
      <c r="O212" s="5">
        <v>0</v>
      </c>
      <c r="P212" s="5">
        <v>1</v>
      </c>
      <c r="Q212" s="5">
        <v>0</v>
      </c>
      <c r="R212" s="5">
        <v>1</v>
      </c>
      <c r="S212" s="5">
        <v>0</v>
      </c>
      <c r="T212" s="5">
        <v>1</v>
      </c>
      <c r="U212" s="5">
        <v>0</v>
      </c>
      <c r="V212" s="13">
        <v>3</v>
      </c>
      <c r="W212" s="13">
        <v>1</v>
      </c>
      <c r="X212" s="5"/>
      <c r="Y212" s="5"/>
      <c r="Z212" s="5"/>
      <c r="AA212" s="5">
        <v>1</v>
      </c>
      <c r="AB212" s="5"/>
      <c r="AC212" s="5">
        <v>0</v>
      </c>
      <c r="AD212" s="5">
        <v>0</v>
      </c>
      <c r="AE212" s="5">
        <v>0</v>
      </c>
      <c r="AF212" s="5">
        <v>0</v>
      </c>
    </row>
    <row r="213" spans="1:32" x14ac:dyDescent="0.2">
      <c r="A213" s="3" t="str">
        <f>+VLOOKUP(B213,studies!$A$2:$C$102,3)</f>
        <v>Uzawa (2003)</v>
      </c>
      <c r="B213" s="87">
        <v>34</v>
      </c>
      <c r="C213" s="5">
        <v>2003</v>
      </c>
      <c r="D213" s="5">
        <v>0</v>
      </c>
      <c r="E213" s="48">
        <v>2000</v>
      </c>
      <c r="F213" s="48">
        <v>2000</v>
      </c>
      <c r="G213" s="115">
        <v>1</v>
      </c>
      <c r="H213" s="7">
        <v>322.22399791267043</v>
      </c>
      <c r="I213" s="5">
        <v>0</v>
      </c>
      <c r="J213" s="5">
        <v>1</v>
      </c>
      <c r="K213" s="5">
        <v>0</v>
      </c>
      <c r="L213" s="7" t="s">
        <v>238</v>
      </c>
      <c r="M213" s="7" t="s">
        <v>238</v>
      </c>
      <c r="N213" s="7" t="s">
        <v>238</v>
      </c>
      <c r="O213" s="5">
        <v>1</v>
      </c>
      <c r="P213" s="5">
        <v>0</v>
      </c>
      <c r="Q213" s="5">
        <v>0</v>
      </c>
      <c r="R213" s="5">
        <v>0</v>
      </c>
      <c r="S213" s="5">
        <v>0</v>
      </c>
      <c r="T213" s="5">
        <v>0</v>
      </c>
      <c r="U213" s="5">
        <v>0</v>
      </c>
      <c r="V213" s="13"/>
      <c r="W213" s="13">
        <v>0</v>
      </c>
      <c r="X213" s="5"/>
      <c r="Y213" s="5"/>
      <c r="Z213" s="5"/>
      <c r="AA213" s="5">
        <v>0</v>
      </c>
      <c r="AB213" s="5"/>
      <c r="AC213" s="5">
        <v>0</v>
      </c>
      <c r="AD213" s="5">
        <v>0</v>
      </c>
      <c r="AE213" s="5">
        <v>0</v>
      </c>
      <c r="AF213" s="5">
        <v>0</v>
      </c>
    </row>
    <row r="214" spans="1:32" x14ac:dyDescent="0.2">
      <c r="A214" s="3" t="str">
        <f>+VLOOKUP(B214,studies!$A$2:$C$102,3)</f>
        <v>Cline (2004)</v>
      </c>
      <c r="B214" s="87">
        <v>35</v>
      </c>
      <c r="C214" s="5">
        <v>2004</v>
      </c>
      <c r="D214" s="5">
        <v>0</v>
      </c>
      <c r="E214" s="5">
        <v>1990</v>
      </c>
      <c r="F214" s="5">
        <v>1995</v>
      </c>
      <c r="G214" s="113">
        <v>0.23529411764705882</v>
      </c>
      <c r="H214" s="7">
        <v>394.13521326226663</v>
      </c>
      <c r="I214" s="5">
        <v>0</v>
      </c>
      <c r="J214" s="5">
        <v>1</v>
      </c>
      <c r="K214" s="5">
        <v>0</v>
      </c>
      <c r="L214" s="7" t="s">
        <v>238</v>
      </c>
      <c r="M214" s="7" t="s">
        <v>238</v>
      </c>
      <c r="N214" s="7" t="s">
        <v>238</v>
      </c>
      <c r="O214" s="5">
        <v>0</v>
      </c>
      <c r="P214" s="5">
        <v>1</v>
      </c>
      <c r="Q214" s="5">
        <v>0</v>
      </c>
      <c r="R214" s="5">
        <v>1</v>
      </c>
      <c r="S214" s="5">
        <v>0</v>
      </c>
      <c r="T214" s="5">
        <v>1</v>
      </c>
      <c r="U214" s="5">
        <v>0</v>
      </c>
      <c r="V214" s="13"/>
      <c r="W214" s="13">
        <v>0</v>
      </c>
      <c r="X214" s="5"/>
      <c r="Y214" s="5"/>
      <c r="Z214" s="5"/>
      <c r="AA214" s="5">
        <v>0</v>
      </c>
      <c r="AB214" s="5"/>
      <c r="AC214" s="5">
        <v>0</v>
      </c>
      <c r="AD214" s="5">
        <v>0</v>
      </c>
      <c r="AE214" s="5">
        <v>0</v>
      </c>
      <c r="AF214" s="5">
        <v>0</v>
      </c>
    </row>
    <row r="215" spans="1:32" x14ac:dyDescent="0.2">
      <c r="A215" s="3" t="str">
        <f>+VLOOKUP(B215,studies!$A$2:$C$102,3)</f>
        <v>Cline (2004)</v>
      </c>
      <c r="B215" s="87">
        <v>35</v>
      </c>
      <c r="C215" s="5">
        <v>2004</v>
      </c>
      <c r="D215" s="5">
        <v>0</v>
      </c>
      <c r="E215" s="5">
        <v>1990</v>
      </c>
      <c r="F215" s="5">
        <v>2005</v>
      </c>
      <c r="G215" s="113">
        <v>1.1764705882352941E-2</v>
      </c>
      <c r="H215" s="7">
        <v>1019.9441107590814</v>
      </c>
      <c r="I215" s="5">
        <v>0</v>
      </c>
      <c r="J215" s="5">
        <v>1</v>
      </c>
      <c r="K215" s="5">
        <v>0</v>
      </c>
      <c r="L215" s="7" t="s">
        <v>238</v>
      </c>
      <c r="M215" s="7" t="s">
        <v>238</v>
      </c>
      <c r="N215" s="7" t="s">
        <v>238</v>
      </c>
      <c r="O215" s="5">
        <v>0</v>
      </c>
      <c r="P215" s="5">
        <v>1</v>
      </c>
      <c r="Q215" s="5">
        <v>0</v>
      </c>
      <c r="R215" s="5">
        <v>1</v>
      </c>
      <c r="S215" s="5">
        <v>0</v>
      </c>
      <c r="T215" s="5">
        <v>1</v>
      </c>
      <c r="U215" s="5">
        <v>0</v>
      </c>
      <c r="V215" s="13"/>
      <c r="W215" s="13">
        <v>0</v>
      </c>
      <c r="X215" s="5"/>
      <c r="Y215" s="5"/>
      <c r="Z215" s="5"/>
      <c r="AA215" s="5">
        <v>0</v>
      </c>
      <c r="AB215" s="5"/>
      <c r="AC215" s="5">
        <v>0</v>
      </c>
      <c r="AD215" s="5">
        <v>0</v>
      </c>
      <c r="AE215" s="5">
        <v>0</v>
      </c>
      <c r="AF215" s="5">
        <v>0</v>
      </c>
    </row>
    <row r="216" spans="1:32" x14ac:dyDescent="0.2">
      <c r="A216" s="3" t="str">
        <f>+VLOOKUP(B216,studies!$A$2:$C$102,3)</f>
        <v>Cline (2004)</v>
      </c>
      <c r="B216" s="87">
        <v>35</v>
      </c>
      <c r="C216" s="5">
        <v>2004</v>
      </c>
      <c r="D216" s="5">
        <v>0</v>
      </c>
      <c r="E216" s="5">
        <v>1990</v>
      </c>
      <c r="F216" s="5">
        <v>2005</v>
      </c>
      <c r="G216" s="113">
        <v>1.1764705882352941E-2</v>
      </c>
      <c r="H216" s="7">
        <v>72.529358987312449</v>
      </c>
      <c r="I216" s="5">
        <v>0</v>
      </c>
      <c r="J216" s="5">
        <v>1</v>
      </c>
      <c r="K216" s="5">
        <v>0</v>
      </c>
      <c r="L216" s="7" t="s">
        <v>238</v>
      </c>
      <c r="M216" s="7" t="s">
        <v>238</v>
      </c>
      <c r="N216" s="7" t="s">
        <v>238</v>
      </c>
      <c r="O216" s="5">
        <v>0</v>
      </c>
      <c r="P216" s="5">
        <v>1</v>
      </c>
      <c r="Q216" s="5">
        <v>0</v>
      </c>
      <c r="R216" s="5">
        <v>1</v>
      </c>
      <c r="S216" s="5">
        <v>0</v>
      </c>
      <c r="T216" s="5">
        <v>1</v>
      </c>
      <c r="U216" s="5">
        <v>0</v>
      </c>
      <c r="V216" s="13"/>
      <c r="W216" s="13">
        <v>0</v>
      </c>
      <c r="X216" s="5"/>
      <c r="Y216" s="5"/>
      <c r="Z216" s="5"/>
      <c r="AA216" s="5">
        <v>0</v>
      </c>
      <c r="AB216" s="5"/>
      <c r="AC216" s="5">
        <v>0</v>
      </c>
      <c r="AD216" s="5">
        <v>0</v>
      </c>
      <c r="AE216" s="5">
        <v>0</v>
      </c>
      <c r="AF216" s="5">
        <v>0</v>
      </c>
    </row>
    <row r="217" spans="1:32" x14ac:dyDescent="0.2">
      <c r="A217" s="3" t="str">
        <f>+VLOOKUP(B217,studies!$A$2:$C$102,3)</f>
        <v>Cline (2004)</v>
      </c>
      <c r="B217" s="87">
        <v>35</v>
      </c>
      <c r="C217" s="5">
        <v>2004</v>
      </c>
      <c r="D217" s="5">
        <v>0</v>
      </c>
      <c r="E217" s="5">
        <v>1990</v>
      </c>
      <c r="F217" s="5">
        <v>2025</v>
      </c>
      <c r="G217" s="113">
        <v>0.23529411764705882</v>
      </c>
      <c r="H217" s="7">
        <v>110.52577166480931</v>
      </c>
      <c r="I217" s="5">
        <v>0</v>
      </c>
      <c r="J217" s="5">
        <v>1</v>
      </c>
      <c r="K217" s="5">
        <v>0</v>
      </c>
      <c r="L217" s="7" t="s">
        <v>238</v>
      </c>
      <c r="M217" s="7" t="s">
        <v>238</v>
      </c>
      <c r="N217" s="7" t="s">
        <v>238</v>
      </c>
      <c r="O217" s="5">
        <v>0</v>
      </c>
      <c r="P217" s="5">
        <v>1</v>
      </c>
      <c r="Q217" s="5">
        <v>0</v>
      </c>
      <c r="R217" s="5">
        <v>1</v>
      </c>
      <c r="S217" s="5">
        <v>0</v>
      </c>
      <c r="T217" s="5">
        <v>1</v>
      </c>
      <c r="U217" s="5">
        <v>0</v>
      </c>
      <c r="V217" s="13"/>
      <c r="W217" s="13">
        <v>1</v>
      </c>
      <c r="X217" s="5"/>
      <c r="Y217" s="5"/>
      <c r="Z217" s="5"/>
      <c r="AA217" s="5">
        <v>0</v>
      </c>
      <c r="AB217" s="5"/>
      <c r="AC217" s="5">
        <v>0</v>
      </c>
      <c r="AD217" s="5">
        <v>0</v>
      </c>
      <c r="AE217" s="5">
        <v>0</v>
      </c>
      <c r="AF217" s="5">
        <v>0</v>
      </c>
    </row>
    <row r="218" spans="1:32" x14ac:dyDescent="0.2">
      <c r="A218" s="3" t="str">
        <f>+VLOOKUP(B218,studies!$A$2:$C$102,3)</f>
        <v>Cline (2004)</v>
      </c>
      <c r="B218" s="87">
        <v>35</v>
      </c>
      <c r="C218" s="5">
        <v>2004</v>
      </c>
      <c r="D218" s="5">
        <v>0</v>
      </c>
      <c r="E218" s="5">
        <v>1990</v>
      </c>
      <c r="F218" s="5">
        <v>2025</v>
      </c>
      <c r="G218" s="113">
        <v>0.23529411764705882</v>
      </c>
      <c r="H218" s="7">
        <v>55.262885832404656</v>
      </c>
      <c r="I218" s="5">
        <v>0</v>
      </c>
      <c r="J218" s="5">
        <v>1</v>
      </c>
      <c r="K218" s="5">
        <v>0</v>
      </c>
      <c r="L218" s="7" t="s">
        <v>238</v>
      </c>
      <c r="M218" s="7" t="s">
        <v>238</v>
      </c>
      <c r="N218" s="7" t="s">
        <v>238</v>
      </c>
      <c r="O218" s="5">
        <v>0</v>
      </c>
      <c r="P218" s="5">
        <v>1</v>
      </c>
      <c r="Q218" s="5">
        <v>0</v>
      </c>
      <c r="R218" s="5">
        <v>1</v>
      </c>
      <c r="S218" s="5">
        <v>0</v>
      </c>
      <c r="T218" s="5">
        <v>1</v>
      </c>
      <c r="U218" s="5">
        <v>0</v>
      </c>
      <c r="V218" s="13"/>
      <c r="W218" s="13">
        <v>2</v>
      </c>
      <c r="X218" s="5"/>
      <c r="Y218" s="5"/>
      <c r="Z218" s="5"/>
      <c r="AA218" s="5">
        <v>0</v>
      </c>
      <c r="AB218" s="5"/>
      <c r="AC218" s="5">
        <v>0</v>
      </c>
      <c r="AD218" s="5">
        <v>0</v>
      </c>
      <c r="AE218" s="5">
        <v>0</v>
      </c>
      <c r="AF218" s="5">
        <v>0</v>
      </c>
    </row>
    <row r="219" spans="1:32" x14ac:dyDescent="0.2">
      <c r="A219" s="3" t="str">
        <f>+VLOOKUP(B219,studies!$A$2:$C$102,3)</f>
        <v>Cline (2004)</v>
      </c>
      <c r="B219" s="87">
        <v>35</v>
      </c>
      <c r="C219" s="5">
        <v>2004</v>
      </c>
      <c r="D219" s="5">
        <v>0</v>
      </c>
      <c r="E219" s="5">
        <v>1990</v>
      </c>
      <c r="F219" s="5">
        <v>2025</v>
      </c>
      <c r="G219" s="113">
        <v>0.23529411764705882</v>
      </c>
      <c r="H219" s="7">
        <v>31.929667369833801</v>
      </c>
      <c r="I219" s="5">
        <v>0</v>
      </c>
      <c r="J219" s="5">
        <v>1</v>
      </c>
      <c r="K219" s="5">
        <v>0</v>
      </c>
      <c r="L219" s="7" t="s">
        <v>238</v>
      </c>
      <c r="M219" s="7" t="s">
        <v>238</v>
      </c>
      <c r="N219" s="7" t="s">
        <v>238</v>
      </c>
      <c r="O219" s="5">
        <v>0</v>
      </c>
      <c r="P219" s="5">
        <v>1</v>
      </c>
      <c r="Q219" s="5">
        <v>0</v>
      </c>
      <c r="R219" s="5">
        <v>1</v>
      </c>
      <c r="S219" s="5">
        <v>0</v>
      </c>
      <c r="T219" s="5">
        <v>1</v>
      </c>
      <c r="U219" s="5">
        <v>0</v>
      </c>
      <c r="V219" s="13"/>
      <c r="W219" s="13">
        <v>3</v>
      </c>
      <c r="X219" s="5"/>
      <c r="Y219" s="5"/>
      <c r="Z219" s="5"/>
      <c r="AA219" s="5">
        <v>0</v>
      </c>
      <c r="AB219" s="5"/>
      <c r="AC219" s="5">
        <v>0</v>
      </c>
      <c r="AD219" s="5">
        <v>0</v>
      </c>
      <c r="AE219" s="5">
        <v>0</v>
      </c>
      <c r="AF219" s="5">
        <v>0</v>
      </c>
    </row>
    <row r="220" spans="1:32" x14ac:dyDescent="0.2">
      <c r="A220" s="3" t="str">
        <f>+VLOOKUP(B220,studies!$A$2:$C$102,3)</f>
        <v>Cline (2004)</v>
      </c>
      <c r="B220" s="87">
        <v>35</v>
      </c>
      <c r="C220" s="5">
        <v>2004</v>
      </c>
      <c r="D220" s="5">
        <v>0</v>
      </c>
      <c r="E220" s="5">
        <v>1990</v>
      </c>
      <c r="F220" s="5">
        <v>2025</v>
      </c>
      <c r="G220" s="113">
        <v>1.1764705882352941E-2</v>
      </c>
      <c r="H220" s="7">
        <v>416.31373993744836</v>
      </c>
      <c r="I220" s="5">
        <v>0</v>
      </c>
      <c r="J220" s="5">
        <v>1</v>
      </c>
      <c r="K220" s="5">
        <v>0</v>
      </c>
      <c r="L220" s="7" t="s">
        <v>238</v>
      </c>
      <c r="M220" s="7" t="s">
        <v>238</v>
      </c>
      <c r="N220" s="7" t="s">
        <v>238</v>
      </c>
      <c r="O220" s="5">
        <v>0</v>
      </c>
      <c r="P220" s="5">
        <v>1</v>
      </c>
      <c r="Q220" s="5">
        <v>0</v>
      </c>
      <c r="R220" s="5">
        <v>1</v>
      </c>
      <c r="S220" s="5">
        <v>0</v>
      </c>
      <c r="T220" s="5">
        <v>1</v>
      </c>
      <c r="U220" s="5">
        <v>0</v>
      </c>
      <c r="V220" s="13"/>
      <c r="W220" s="13">
        <v>1</v>
      </c>
      <c r="X220" s="5"/>
      <c r="Y220" s="5"/>
      <c r="Z220" s="5"/>
      <c r="AA220" s="5">
        <v>0</v>
      </c>
      <c r="AB220" s="5"/>
      <c r="AC220" s="5">
        <v>0</v>
      </c>
      <c r="AD220" s="5">
        <v>0</v>
      </c>
      <c r="AE220" s="5">
        <v>0</v>
      </c>
      <c r="AF220" s="5">
        <v>0</v>
      </c>
    </row>
    <row r="221" spans="1:32" x14ac:dyDescent="0.2">
      <c r="A221" s="3" t="str">
        <f>+VLOOKUP(B221,studies!$A$2:$C$102,3)</f>
        <v>Cline (2004)</v>
      </c>
      <c r="B221" s="87">
        <v>35</v>
      </c>
      <c r="C221" s="5">
        <v>2004</v>
      </c>
      <c r="D221" s="5">
        <v>0</v>
      </c>
      <c r="E221" s="5">
        <v>1990</v>
      </c>
      <c r="F221" s="5">
        <v>2025</v>
      </c>
      <c r="G221" s="113">
        <v>1.1764705882352941E-2</v>
      </c>
      <c r="H221" s="7">
        <v>170.70091401564991</v>
      </c>
      <c r="I221" s="5">
        <v>0</v>
      </c>
      <c r="J221" s="5">
        <v>1</v>
      </c>
      <c r="K221" s="5">
        <v>0</v>
      </c>
      <c r="L221" s="7" t="s">
        <v>238</v>
      </c>
      <c r="M221" s="7" t="s">
        <v>238</v>
      </c>
      <c r="N221" s="7" t="s">
        <v>238</v>
      </c>
      <c r="O221" s="5">
        <v>0</v>
      </c>
      <c r="P221" s="5">
        <v>1</v>
      </c>
      <c r="Q221" s="5">
        <v>0</v>
      </c>
      <c r="R221" s="5">
        <v>1</v>
      </c>
      <c r="S221" s="5">
        <v>0</v>
      </c>
      <c r="T221" s="5">
        <v>1</v>
      </c>
      <c r="U221" s="5">
        <v>0</v>
      </c>
      <c r="V221" s="13"/>
      <c r="W221" s="13">
        <v>2</v>
      </c>
      <c r="X221" s="5"/>
      <c r="Y221" s="5"/>
      <c r="Z221" s="5"/>
      <c r="AA221" s="5">
        <v>0</v>
      </c>
      <c r="AB221" s="5"/>
      <c r="AC221" s="5">
        <v>0</v>
      </c>
      <c r="AD221" s="5">
        <v>0</v>
      </c>
      <c r="AE221" s="5">
        <v>0</v>
      </c>
      <c r="AF221" s="5">
        <v>0</v>
      </c>
    </row>
    <row r="222" spans="1:32" x14ac:dyDescent="0.2">
      <c r="A222" s="3" t="str">
        <f>+VLOOKUP(B222,studies!$A$2:$C$102,3)</f>
        <v>Cline (2004)</v>
      </c>
      <c r="B222" s="87">
        <v>35</v>
      </c>
      <c r="C222" s="5">
        <v>2004</v>
      </c>
      <c r="D222" s="5">
        <v>0</v>
      </c>
      <c r="E222" s="5">
        <v>1990</v>
      </c>
      <c r="F222" s="5">
        <v>2025</v>
      </c>
      <c r="G222" s="113">
        <v>1.1764705882352941E-2</v>
      </c>
      <c r="H222" s="7">
        <v>88.420617331847438</v>
      </c>
      <c r="I222" s="5">
        <v>0</v>
      </c>
      <c r="J222" s="5">
        <v>1</v>
      </c>
      <c r="K222" s="5">
        <v>0</v>
      </c>
      <c r="L222" s="7" t="s">
        <v>238</v>
      </c>
      <c r="M222" s="7" t="s">
        <v>238</v>
      </c>
      <c r="N222" s="7" t="s">
        <v>238</v>
      </c>
      <c r="O222" s="5">
        <v>0</v>
      </c>
      <c r="P222" s="5">
        <v>1</v>
      </c>
      <c r="Q222" s="5">
        <v>0</v>
      </c>
      <c r="R222" s="5">
        <v>1</v>
      </c>
      <c r="S222" s="5">
        <v>0</v>
      </c>
      <c r="T222" s="5">
        <v>1</v>
      </c>
      <c r="U222" s="5">
        <v>0</v>
      </c>
      <c r="V222" s="13"/>
      <c r="W222" s="13">
        <v>3</v>
      </c>
      <c r="X222" s="5"/>
      <c r="Y222" s="5"/>
      <c r="Z222" s="5"/>
      <c r="AA222" s="5">
        <v>0</v>
      </c>
      <c r="AB222" s="5"/>
      <c r="AC222" s="5">
        <v>0</v>
      </c>
      <c r="AD222" s="5">
        <v>0</v>
      </c>
      <c r="AE222" s="5">
        <v>0</v>
      </c>
      <c r="AF222" s="5">
        <v>0</v>
      </c>
    </row>
    <row r="223" spans="1:32" x14ac:dyDescent="0.2">
      <c r="A223" s="3" t="str">
        <f>+VLOOKUP(B223,studies!$A$2:$C$102,3)</f>
        <v>Hohmeyer (2004)</v>
      </c>
      <c r="B223" s="87">
        <v>36</v>
      </c>
      <c r="C223" s="5">
        <v>2004</v>
      </c>
      <c r="D223" s="5">
        <v>0</v>
      </c>
      <c r="E223" s="48">
        <v>1990</v>
      </c>
      <c r="F223" s="48">
        <v>1990</v>
      </c>
      <c r="G223" s="115">
        <v>0.5</v>
      </c>
      <c r="H223" s="7">
        <v>114.84734244836126</v>
      </c>
      <c r="I223" s="5">
        <v>0</v>
      </c>
      <c r="J223" s="5">
        <v>1</v>
      </c>
      <c r="K223" s="5">
        <v>0</v>
      </c>
      <c r="L223" s="7" t="s">
        <v>238</v>
      </c>
      <c r="M223" s="7" t="s">
        <v>238</v>
      </c>
      <c r="N223" s="7" t="s">
        <v>238</v>
      </c>
      <c r="O223" s="5">
        <v>0</v>
      </c>
      <c r="P223" s="5">
        <v>1</v>
      </c>
      <c r="Q223" s="5">
        <v>0</v>
      </c>
      <c r="R223" s="5">
        <v>1</v>
      </c>
      <c r="S223" s="5">
        <v>0</v>
      </c>
      <c r="T223" s="5">
        <v>0</v>
      </c>
      <c r="U223" s="5">
        <v>0</v>
      </c>
      <c r="V223" s="13"/>
      <c r="W223" s="13">
        <v>1</v>
      </c>
      <c r="X223" s="5"/>
      <c r="Y223" s="5"/>
      <c r="Z223" s="5"/>
      <c r="AA223" s="5">
        <v>0</v>
      </c>
      <c r="AB223" s="5"/>
      <c r="AC223" s="5">
        <v>0</v>
      </c>
      <c r="AD223" s="5">
        <v>0</v>
      </c>
      <c r="AE223" s="5">
        <v>0</v>
      </c>
      <c r="AF223" s="5">
        <v>0</v>
      </c>
    </row>
    <row r="224" spans="1:32" x14ac:dyDescent="0.2">
      <c r="A224" s="3" t="str">
        <f>+VLOOKUP(B224,studies!$A$2:$C$102,3)</f>
        <v>Hohmeyer (2004)</v>
      </c>
      <c r="B224" s="87">
        <v>36</v>
      </c>
      <c r="C224" s="5">
        <v>2004</v>
      </c>
      <c r="D224" s="5">
        <v>0</v>
      </c>
      <c r="E224" s="48">
        <v>1990</v>
      </c>
      <c r="F224" s="48">
        <v>1990</v>
      </c>
      <c r="G224" s="115">
        <v>0.5</v>
      </c>
      <c r="H224" s="7">
        <v>2117.4978763916606</v>
      </c>
      <c r="I224" s="5">
        <v>0</v>
      </c>
      <c r="J224" s="5">
        <v>1</v>
      </c>
      <c r="K224" s="5">
        <v>0</v>
      </c>
      <c r="L224" s="7" t="s">
        <v>238</v>
      </c>
      <c r="M224" s="7" t="s">
        <v>238</v>
      </c>
      <c r="N224" s="7" t="s">
        <v>238</v>
      </c>
      <c r="O224" s="5">
        <v>0</v>
      </c>
      <c r="P224" s="5">
        <v>1</v>
      </c>
      <c r="Q224" s="5">
        <v>0</v>
      </c>
      <c r="R224" s="5">
        <v>1</v>
      </c>
      <c r="S224" s="5">
        <v>0</v>
      </c>
      <c r="T224" s="5">
        <v>0</v>
      </c>
      <c r="U224" s="5">
        <v>0</v>
      </c>
      <c r="V224" s="13"/>
      <c r="W224" s="13">
        <v>0</v>
      </c>
      <c r="X224" s="5"/>
      <c r="Y224" s="5"/>
      <c r="Z224" s="5"/>
      <c r="AA224" s="5">
        <v>1</v>
      </c>
      <c r="AB224" s="5"/>
      <c r="AC224" s="5">
        <v>0</v>
      </c>
      <c r="AD224" s="5">
        <v>0</v>
      </c>
      <c r="AE224" s="5">
        <v>0</v>
      </c>
      <c r="AF224" s="5">
        <v>0</v>
      </c>
    </row>
    <row r="225" spans="1:32" x14ac:dyDescent="0.2">
      <c r="A225" s="3" t="str">
        <f>+VLOOKUP(B225,studies!$A$2:$C$102,3)</f>
        <v>Link &amp; Tol (2004)</v>
      </c>
      <c r="B225" s="87">
        <v>37</v>
      </c>
      <c r="C225" s="5">
        <v>2004</v>
      </c>
      <c r="D225" s="5">
        <v>1</v>
      </c>
      <c r="E225" s="5">
        <v>1995</v>
      </c>
      <c r="F225" s="5">
        <v>2000</v>
      </c>
      <c r="G225" s="113">
        <v>0.16500000000000001</v>
      </c>
      <c r="H225" s="7">
        <v>178.98526389648578</v>
      </c>
      <c r="I225" s="5">
        <v>0</v>
      </c>
      <c r="J225" s="5">
        <v>1</v>
      </c>
      <c r="K225" s="5">
        <v>0</v>
      </c>
      <c r="L225" s="7" t="s">
        <v>238</v>
      </c>
      <c r="M225" s="7" t="s">
        <v>238</v>
      </c>
      <c r="N225" s="7" t="s">
        <v>238</v>
      </c>
      <c r="O225" s="5">
        <v>1</v>
      </c>
      <c r="P225" s="5">
        <v>1</v>
      </c>
      <c r="Q225" s="5">
        <v>1</v>
      </c>
      <c r="R225" s="5">
        <v>1</v>
      </c>
      <c r="S225" s="5">
        <v>1</v>
      </c>
      <c r="T225" s="5">
        <v>0</v>
      </c>
      <c r="U225" s="5">
        <v>0</v>
      </c>
      <c r="V225" s="13"/>
      <c r="W225" s="13">
        <v>0</v>
      </c>
      <c r="X225" s="5"/>
      <c r="Y225" s="5"/>
      <c r="Z225" s="5"/>
      <c r="AA225" s="5">
        <v>0</v>
      </c>
      <c r="AB225" s="5"/>
      <c r="AC225" s="5">
        <v>0</v>
      </c>
      <c r="AD225" s="5">
        <v>0</v>
      </c>
      <c r="AE225" s="5">
        <v>1</v>
      </c>
      <c r="AF225" s="5">
        <v>0</v>
      </c>
    </row>
    <row r="226" spans="1:32" x14ac:dyDescent="0.2">
      <c r="A226" s="3" t="str">
        <f>+VLOOKUP(B226,studies!$A$2:$C$102,3)</f>
        <v>Link &amp; Tol (2004)</v>
      </c>
      <c r="B226" s="87">
        <v>37</v>
      </c>
      <c r="C226" s="5">
        <v>2004</v>
      </c>
      <c r="D226" s="5">
        <v>1</v>
      </c>
      <c r="E226" s="5">
        <v>1995</v>
      </c>
      <c r="F226" s="5">
        <v>2000</v>
      </c>
      <c r="G226" s="113">
        <v>0.16500000000000001</v>
      </c>
      <c r="H226" s="7">
        <v>385.15816281522251</v>
      </c>
      <c r="I226" s="5">
        <v>0</v>
      </c>
      <c r="J226" s="5">
        <v>1</v>
      </c>
      <c r="K226" s="5">
        <v>0</v>
      </c>
      <c r="L226" s="7" t="s">
        <v>238</v>
      </c>
      <c r="M226" s="7" t="s">
        <v>238</v>
      </c>
      <c r="N226" s="7" t="s">
        <v>238</v>
      </c>
      <c r="O226" s="5">
        <v>1</v>
      </c>
      <c r="P226" s="5">
        <v>1</v>
      </c>
      <c r="Q226" s="5">
        <v>1</v>
      </c>
      <c r="R226" s="5">
        <v>1</v>
      </c>
      <c r="S226" s="5">
        <v>1</v>
      </c>
      <c r="T226" s="5">
        <v>0</v>
      </c>
      <c r="U226" s="5">
        <v>0</v>
      </c>
      <c r="V226" s="13"/>
      <c r="W226" s="13">
        <v>0</v>
      </c>
      <c r="X226" s="5"/>
      <c r="Y226" s="5"/>
      <c r="Z226" s="5"/>
      <c r="AA226" s="5">
        <v>1</v>
      </c>
      <c r="AB226" s="5"/>
      <c r="AC226" s="5">
        <v>0</v>
      </c>
      <c r="AD226" s="5">
        <v>0</v>
      </c>
      <c r="AE226" s="5">
        <v>1</v>
      </c>
      <c r="AF226" s="5">
        <v>0</v>
      </c>
    </row>
    <row r="227" spans="1:32" x14ac:dyDescent="0.2">
      <c r="A227" s="3" t="str">
        <f>+VLOOKUP(B227,studies!$A$2:$C$102,3)</f>
        <v>Link &amp; Tol (2004)</v>
      </c>
      <c r="B227" s="87">
        <v>37</v>
      </c>
      <c r="C227" s="5">
        <v>2004</v>
      </c>
      <c r="D227" s="5">
        <v>1</v>
      </c>
      <c r="E227" s="5">
        <v>1995</v>
      </c>
      <c r="F227" s="5">
        <v>2000</v>
      </c>
      <c r="G227" s="113">
        <v>0.16500000000000001</v>
      </c>
      <c r="H227" s="7">
        <v>57.094033546727104</v>
      </c>
      <c r="I227" s="5">
        <v>0</v>
      </c>
      <c r="J227" s="5">
        <v>1</v>
      </c>
      <c r="K227" s="5">
        <v>0</v>
      </c>
      <c r="L227" s="7" t="s">
        <v>238</v>
      </c>
      <c r="M227" s="7" t="s">
        <v>238</v>
      </c>
      <c r="N227" s="7" t="s">
        <v>238</v>
      </c>
      <c r="O227" s="5">
        <v>1</v>
      </c>
      <c r="P227" s="5">
        <v>1</v>
      </c>
      <c r="Q227" s="5">
        <v>1</v>
      </c>
      <c r="R227" s="5">
        <v>1</v>
      </c>
      <c r="S227" s="5">
        <v>1</v>
      </c>
      <c r="T227" s="5">
        <v>0</v>
      </c>
      <c r="U227" s="5">
        <v>0</v>
      </c>
      <c r="V227" s="13"/>
      <c r="W227" s="13">
        <v>1</v>
      </c>
      <c r="X227" s="5"/>
      <c r="Y227" s="5"/>
      <c r="Z227" s="5"/>
      <c r="AA227" s="5">
        <v>0</v>
      </c>
      <c r="AB227" s="5"/>
      <c r="AC227" s="5">
        <v>0</v>
      </c>
      <c r="AD227" s="5">
        <v>0</v>
      </c>
      <c r="AE227" s="5">
        <v>1</v>
      </c>
      <c r="AF227" s="5">
        <v>0</v>
      </c>
    </row>
    <row r="228" spans="1:32" x14ac:dyDescent="0.2">
      <c r="A228" s="3" t="str">
        <f>+VLOOKUP(B228,studies!$A$2:$C$102,3)</f>
        <v>Link &amp; Tol (2004)</v>
      </c>
      <c r="B228" s="87">
        <v>37</v>
      </c>
      <c r="C228" s="5">
        <v>2004</v>
      </c>
      <c r="D228" s="5">
        <v>1</v>
      </c>
      <c r="E228" s="5">
        <v>1995</v>
      </c>
      <c r="F228" s="5">
        <v>2000</v>
      </c>
      <c r="G228" s="113">
        <v>0.16500000000000001</v>
      </c>
      <c r="H228" s="7">
        <v>213.19637129948495</v>
      </c>
      <c r="I228" s="5">
        <v>0</v>
      </c>
      <c r="J228" s="5">
        <v>1</v>
      </c>
      <c r="K228" s="5">
        <v>0</v>
      </c>
      <c r="L228" s="7" t="s">
        <v>238</v>
      </c>
      <c r="M228" s="7" t="s">
        <v>238</v>
      </c>
      <c r="N228" s="7" t="s">
        <v>238</v>
      </c>
      <c r="O228" s="5">
        <v>1</v>
      </c>
      <c r="P228" s="5">
        <v>1</v>
      </c>
      <c r="Q228" s="5">
        <v>1</v>
      </c>
      <c r="R228" s="5">
        <v>1</v>
      </c>
      <c r="S228" s="5">
        <v>1</v>
      </c>
      <c r="T228" s="5">
        <v>0</v>
      </c>
      <c r="U228" s="5">
        <v>0</v>
      </c>
      <c r="V228" s="13"/>
      <c r="W228" s="13">
        <v>1</v>
      </c>
      <c r="X228" s="5"/>
      <c r="Y228" s="5"/>
      <c r="Z228" s="5"/>
      <c r="AA228" s="5">
        <v>1</v>
      </c>
      <c r="AB228" s="5"/>
      <c r="AC228" s="5">
        <v>0</v>
      </c>
      <c r="AD228" s="5">
        <v>0</v>
      </c>
      <c r="AE228" s="5">
        <v>1</v>
      </c>
      <c r="AF228" s="5">
        <v>0</v>
      </c>
    </row>
    <row r="229" spans="1:32" x14ac:dyDescent="0.2">
      <c r="A229" s="3" t="str">
        <f>+VLOOKUP(B229,studies!$A$2:$C$102,3)</f>
        <v>Link &amp; Tol (2004)</v>
      </c>
      <c r="B229" s="87">
        <v>37</v>
      </c>
      <c r="C229" s="5">
        <v>2004</v>
      </c>
      <c r="D229" s="5">
        <v>1</v>
      </c>
      <c r="E229" s="5">
        <v>1995</v>
      </c>
      <c r="F229" s="5">
        <v>2000</v>
      </c>
      <c r="G229" s="113">
        <v>0.16500000000000001</v>
      </c>
      <c r="H229" s="7">
        <v>11.554744884456676</v>
      </c>
      <c r="I229" s="5">
        <v>0</v>
      </c>
      <c r="J229" s="5">
        <v>1</v>
      </c>
      <c r="K229" s="5">
        <v>0</v>
      </c>
      <c r="L229" s="7" t="s">
        <v>238</v>
      </c>
      <c r="M229" s="7" t="s">
        <v>238</v>
      </c>
      <c r="N229" s="7" t="s">
        <v>238</v>
      </c>
      <c r="O229" s="5">
        <v>1</v>
      </c>
      <c r="P229" s="5">
        <v>1</v>
      </c>
      <c r="Q229" s="5">
        <v>1</v>
      </c>
      <c r="R229" s="5">
        <v>1</v>
      </c>
      <c r="S229" s="5">
        <v>1</v>
      </c>
      <c r="T229" s="5">
        <v>0</v>
      </c>
      <c r="U229" s="5">
        <v>0</v>
      </c>
      <c r="V229" s="13"/>
      <c r="W229" s="13">
        <v>3</v>
      </c>
      <c r="X229" s="5"/>
      <c r="Y229" s="5"/>
      <c r="Z229" s="5"/>
      <c r="AA229" s="5">
        <v>0</v>
      </c>
      <c r="AB229" s="5"/>
      <c r="AC229" s="5">
        <v>0</v>
      </c>
      <c r="AD229" s="5">
        <v>0</v>
      </c>
      <c r="AE229" s="5">
        <v>1</v>
      </c>
      <c r="AF229" s="5">
        <v>0</v>
      </c>
    </row>
    <row r="230" spans="1:32" x14ac:dyDescent="0.2">
      <c r="A230" s="3" t="str">
        <f>+VLOOKUP(B230,studies!$A$2:$C$102,3)</f>
        <v>Link &amp; Tol (2004)</v>
      </c>
      <c r="B230" s="87">
        <v>37</v>
      </c>
      <c r="C230" s="5">
        <v>2004</v>
      </c>
      <c r="D230" s="5">
        <v>1</v>
      </c>
      <c r="E230" s="5">
        <v>1995</v>
      </c>
      <c r="F230" s="5">
        <v>2000</v>
      </c>
      <c r="G230" s="113">
        <v>0.16500000000000001</v>
      </c>
      <c r="H230" s="7">
        <v>102.1801949586267</v>
      </c>
      <c r="I230" s="5">
        <v>0</v>
      </c>
      <c r="J230" s="5">
        <v>1</v>
      </c>
      <c r="K230" s="5">
        <v>0</v>
      </c>
      <c r="L230" s="7" t="s">
        <v>238</v>
      </c>
      <c r="M230" s="7" t="s">
        <v>238</v>
      </c>
      <c r="N230" s="7" t="s">
        <v>238</v>
      </c>
      <c r="O230" s="5">
        <v>1</v>
      </c>
      <c r="P230" s="5">
        <v>1</v>
      </c>
      <c r="Q230" s="5">
        <v>1</v>
      </c>
      <c r="R230" s="5">
        <v>1</v>
      </c>
      <c r="S230" s="5">
        <v>1</v>
      </c>
      <c r="T230" s="5">
        <v>0</v>
      </c>
      <c r="U230" s="5">
        <v>0</v>
      </c>
      <c r="V230" s="13"/>
      <c r="W230" s="13">
        <v>3</v>
      </c>
      <c r="X230" s="5"/>
      <c r="Y230" s="5"/>
      <c r="Z230" s="5"/>
      <c r="AA230" s="5">
        <v>1</v>
      </c>
      <c r="AB230" s="5"/>
      <c r="AC230" s="5">
        <v>0</v>
      </c>
      <c r="AD230" s="5">
        <v>0</v>
      </c>
      <c r="AE230" s="5">
        <v>1</v>
      </c>
      <c r="AF230" s="5">
        <v>0</v>
      </c>
    </row>
    <row r="231" spans="1:32" x14ac:dyDescent="0.2">
      <c r="A231" s="3" t="str">
        <f>+VLOOKUP(B231,studies!$A$2:$C$102,3)</f>
        <v>Link &amp; Tol (2004)</v>
      </c>
      <c r="B231" s="87">
        <v>37</v>
      </c>
      <c r="C231" s="5">
        <v>2004</v>
      </c>
      <c r="D231" s="5">
        <v>1</v>
      </c>
      <c r="E231" s="5">
        <v>1995</v>
      </c>
      <c r="F231" s="5">
        <v>2000</v>
      </c>
      <c r="G231" s="113">
        <v>1.6666666666666668E-3</v>
      </c>
      <c r="H231" s="7">
        <v>171.28210064018131</v>
      </c>
      <c r="I231" s="5">
        <v>0</v>
      </c>
      <c r="J231" s="5">
        <v>1</v>
      </c>
      <c r="K231" s="5">
        <v>0</v>
      </c>
      <c r="L231" s="7" t="s">
        <v>238</v>
      </c>
      <c r="M231" s="7" t="s">
        <v>238</v>
      </c>
      <c r="N231" s="7" t="s">
        <v>238</v>
      </c>
      <c r="O231" s="5">
        <v>1</v>
      </c>
      <c r="P231" s="5">
        <v>1</v>
      </c>
      <c r="Q231" s="5">
        <v>1</v>
      </c>
      <c r="R231" s="5">
        <v>1</v>
      </c>
      <c r="S231" s="5">
        <v>1</v>
      </c>
      <c r="T231" s="5">
        <v>0</v>
      </c>
      <c r="U231" s="5">
        <v>0</v>
      </c>
      <c r="V231" s="13"/>
      <c r="W231" s="13">
        <v>0</v>
      </c>
      <c r="X231" s="5"/>
      <c r="Y231" s="5"/>
      <c r="Z231" s="5"/>
      <c r="AA231" s="5">
        <v>0</v>
      </c>
      <c r="AB231" s="5"/>
      <c r="AC231" s="5">
        <v>0</v>
      </c>
      <c r="AD231" s="5">
        <v>0</v>
      </c>
      <c r="AE231" s="5">
        <v>1</v>
      </c>
      <c r="AF231" s="5">
        <v>0</v>
      </c>
    </row>
    <row r="232" spans="1:32" x14ac:dyDescent="0.2">
      <c r="A232" s="3" t="str">
        <f>+VLOOKUP(B232,studies!$A$2:$C$102,3)</f>
        <v>Link &amp; Tol (2004)</v>
      </c>
      <c r="B232" s="87">
        <v>37</v>
      </c>
      <c r="C232" s="5">
        <v>2004</v>
      </c>
      <c r="D232" s="5">
        <v>1</v>
      </c>
      <c r="E232" s="5">
        <v>1995</v>
      </c>
      <c r="F232" s="5">
        <v>2000</v>
      </c>
      <c r="G232" s="113">
        <v>1.6666666666666668E-3</v>
      </c>
      <c r="H232" s="7">
        <v>380.17376306114323</v>
      </c>
      <c r="I232" s="5">
        <v>0</v>
      </c>
      <c r="J232" s="5">
        <v>1</v>
      </c>
      <c r="K232" s="5">
        <v>0</v>
      </c>
      <c r="L232" s="7" t="s">
        <v>238</v>
      </c>
      <c r="M232" s="7" t="s">
        <v>238</v>
      </c>
      <c r="N232" s="7" t="s">
        <v>238</v>
      </c>
      <c r="O232" s="5">
        <v>1</v>
      </c>
      <c r="P232" s="5">
        <v>1</v>
      </c>
      <c r="Q232" s="5">
        <v>1</v>
      </c>
      <c r="R232" s="5">
        <v>1</v>
      </c>
      <c r="S232" s="5">
        <v>1</v>
      </c>
      <c r="T232" s="5">
        <v>0</v>
      </c>
      <c r="U232" s="5">
        <v>0</v>
      </c>
      <c r="V232" s="13"/>
      <c r="W232" s="13">
        <v>0</v>
      </c>
      <c r="X232" s="5"/>
      <c r="Y232" s="5"/>
      <c r="Z232" s="5"/>
      <c r="AA232" s="5">
        <v>1</v>
      </c>
      <c r="AB232" s="5"/>
      <c r="AC232" s="5">
        <v>0</v>
      </c>
      <c r="AD232" s="5">
        <v>0</v>
      </c>
      <c r="AE232" s="5">
        <v>1</v>
      </c>
      <c r="AF232" s="5">
        <v>0</v>
      </c>
    </row>
    <row r="233" spans="1:32" x14ac:dyDescent="0.2">
      <c r="A233" s="3" t="str">
        <f>+VLOOKUP(B233,studies!$A$2:$C$102,3)</f>
        <v>Link &amp; Tol (2004)</v>
      </c>
      <c r="B233" s="87">
        <v>37</v>
      </c>
      <c r="C233" s="5">
        <v>2004</v>
      </c>
      <c r="D233" s="5">
        <v>1</v>
      </c>
      <c r="E233" s="5">
        <v>1995</v>
      </c>
      <c r="F233" s="5">
        <v>2000</v>
      </c>
      <c r="G233" s="113">
        <v>1.6666666666666668E-3</v>
      </c>
      <c r="H233" s="7">
        <v>55.281524545243705</v>
      </c>
      <c r="I233" s="5">
        <v>0</v>
      </c>
      <c r="J233" s="5">
        <v>1</v>
      </c>
      <c r="K233" s="5">
        <v>0</v>
      </c>
      <c r="L233" s="7" t="s">
        <v>238</v>
      </c>
      <c r="M233" s="7" t="s">
        <v>238</v>
      </c>
      <c r="N233" s="7" t="s">
        <v>238</v>
      </c>
      <c r="O233" s="5">
        <v>1</v>
      </c>
      <c r="P233" s="5">
        <v>1</v>
      </c>
      <c r="Q233" s="5">
        <v>1</v>
      </c>
      <c r="R233" s="5">
        <v>1</v>
      </c>
      <c r="S233" s="5">
        <v>1</v>
      </c>
      <c r="T233" s="5">
        <v>0</v>
      </c>
      <c r="U233" s="5">
        <v>0</v>
      </c>
      <c r="V233" s="13"/>
      <c r="W233" s="13">
        <v>1</v>
      </c>
      <c r="X233" s="5"/>
      <c r="Y233" s="5"/>
      <c r="Z233" s="5"/>
      <c r="AA233" s="5">
        <v>0</v>
      </c>
      <c r="AB233" s="5"/>
      <c r="AC233" s="5">
        <v>0</v>
      </c>
      <c r="AD233" s="5">
        <v>0</v>
      </c>
      <c r="AE233" s="5">
        <v>1</v>
      </c>
      <c r="AF233" s="5">
        <v>0</v>
      </c>
    </row>
    <row r="234" spans="1:32" x14ac:dyDescent="0.2">
      <c r="A234" s="3" t="str">
        <f>+VLOOKUP(B234,studies!$A$2:$C$102,3)</f>
        <v>Link &amp; Tol (2004)</v>
      </c>
      <c r="B234" s="87">
        <v>37</v>
      </c>
      <c r="C234" s="5">
        <v>2004</v>
      </c>
      <c r="D234" s="5">
        <v>1</v>
      </c>
      <c r="E234" s="5">
        <v>1995</v>
      </c>
      <c r="F234" s="5">
        <v>2000</v>
      </c>
      <c r="G234" s="113">
        <v>1.6666666666666668E-3</v>
      </c>
      <c r="H234" s="7">
        <v>212.06355317355784</v>
      </c>
      <c r="I234" s="5">
        <v>0</v>
      </c>
      <c r="J234" s="5">
        <v>1</v>
      </c>
      <c r="K234" s="5">
        <v>0</v>
      </c>
      <c r="L234" s="7" t="s">
        <v>238</v>
      </c>
      <c r="M234" s="7" t="s">
        <v>238</v>
      </c>
      <c r="N234" s="7" t="s">
        <v>238</v>
      </c>
      <c r="O234" s="5">
        <v>1</v>
      </c>
      <c r="P234" s="5">
        <v>1</v>
      </c>
      <c r="Q234" s="5">
        <v>1</v>
      </c>
      <c r="R234" s="5">
        <v>1</v>
      </c>
      <c r="S234" s="5">
        <v>1</v>
      </c>
      <c r="T234" s="5">
        <v>0</v>
      </c>
      <c r="U234" s="5">
        <v>0</v>
      </c>
      <c r="V234" s="13"/>
      <c r="W234" s="13">
        <v>1</v>
      </c>
      <c r="X234" s="5"/>
      <c r="Y234" s="5"/>
      <c r="Z234" s="5"/>
      <c r="AA234" s="5">
        <v>1</v>
      </c>
      <c r="AB234" s="5"/>
      <c r="AC234" s="5">
        <v>0</v>
      </c>
      <c r="AD234" s="5">
        <v>0</v>
      </c>
      <c r="AE234" s="5">
        <v>1</v>
      </c>
      <c r="AF234" s="5">
        <v>0</v>
      </c>
    </row>
    <row r="235" spans="1:32" x14ac:dyDescent="0.2">
      <c r="A235" s="3" t="str">
        <f>+VLOOKUP(B235,studies!$A$2:$C$102,3)</f>
        <v>Link &amp; Tol (2004)</v>
      </c>
      <c r="B235" s="87">
        <v>37</v>
      </c>
      <c r="C235" s="5">
        <v>2004</v>
      </c>
      <c r="D235" s="5">
        <v>1</v>
      </c>
      <c r="E235" s="5">
        <v>1995</v>
      </c>
      <c r="F235" s="5">
        <v>2000</v>
      </c>
      <c r="G235" s="113">
        <v>1.6666666666666668E-3</v>
      </c>
      <c r="H235" s="7">
        <v>11.328181259271251</v>
      </c>
      <c r="I235" s="5">
        <v>0</v>
      </c>
      <c r="J235" s="5">
        <v>1</v>
      </c>
      <c r="K235" s="5">
        <v>0</v>
      </c>
      <c r="L235" s="7" t="s">
        <v>238</v>
      </c>
      <c r="M235" s="7" t="s">
        <v>238</v>
      </c>
      <c r="N235" s="7" t="s">
        <v>238</v>
      </c>
      <c r="O235" s="5">
        <v>1</v>
      </c>
      <c r="P235" s="5">
        <v>1</v>
      </c>
      <c r="Q235" s="5">
        <v>1</v>
      </c>
      <c r="R235" s="5">
        <v>1</v>
      </c>
      <c r="S235" s="5">
        <v>1</v>
      </c>
      <c r="T235" s="5">
        <v>0</v>
      </c>
      <c r="U235" s="5">
        <v>0</v>
      </c>
      <c r="V235" s="13"/>
      <c r="W235" s="13">
        <v>3</v>
      </c>
      <c r="X235" s="5"/>
      <c r="Y235" s="5"/>
      <c r="Z235" s="5"/>
      <c r="AA235" s="5">
        <v>0</v>
      </c>
      <c r="AB235" s="5"/>
      <c r="AC235" s="5">
        <v>0</v>
      </c>
      <c r="AD235" s="5">
        <v>0</v>
      </c>
      <c r="AE235" s="5">
        <v>1</v>
      </c>
      <c r="AF235" s="5">
        <v>0</v>
      </c>
    </row>
    <row r="236" spans="1:32" x14ac:dyDescent="0.2">
      <c r="A236" s="3" t="str">
        <f>+VLOOKUP(B236,studies!$A$2:$C$102,3)</f>
        <v>Link &amp; Tol (2004)</v>
      </c>
      <c r="B236" s="87">
        <v>37</v>
      </c>
      <c r="C236" s="5">
        <v>2004</v>
      </c>
      <c r="D236" s="5">
        <v>1</v>
      </c>
      <c r="E236" s="5">
        <v>1995</v>
      </c>
      <c r="F236" s="5">
        <v>2000</v>
      </c>
      <c r="G236" s="113">
        <v>1.6666666666666668E-3</v>
      </c>
      <c r="H236" s="7">
        <v>101.95363133344127</v>
      </c>
      <c r="I236" s="5">
        <v>0</v>
      </c>
      <c r="J236" s="5">
        <v>1</v>
      </c>
      <c r="K236" s="5">
        <v>0</v>
      </c>
      <c r="L236" s="7" t="s">
        <v>238</v>
      </c>
      <c r="M236" s="7" t="s">
        <v>238</v>
      </c>
      <c r="N236" s="7" t="s">
        <v>238</v>
      </c>
      <c r="O236" s="5">
        <v>1</v>
      </c>
      <c r="P236" s="5">
        <v>1</v>
      </c>
      <c r="Q236" s="5">
        <v>1</v>
      </c>
      <c r="R236" s="5">
        <v>1</v>
      </c>
      <c r="S236" s="5">
        <v>1</v>
      </c>
      <c r="T236" s="5">
        <v>0</v>
      </c>
      <c r="U236" s="5">
        <v>0</v>
      </c>
      <c r="V236" s="13"/>
      <c r="W236" s="13">
        <v>3</v>
      </c>
      <c r="X236" s="5"/>
      <c r="Y236" s="5"/>
      <c r="Z236" s="5"/>
      <c r="AA236" s="5">
        <v>1</v>
      </c>
      <c r="AB236" s="5"/>
      <c r="AC236" s="5">
        <v>0</v>
      </c>
      <c r="AD236" s="5">
        <v>0</v>
      </c>
      <c r="AE236" s="5">
        <v>1</v>
      </c>
      <c r="AF236" s="5">
        <v>0</v>
      </c>
    </row>
    <row r="237" spans="1:32" x14ac:dyDescent="0.2">
      <c r="A237" s="3" t="str">
        <f>+VLOOKUP(B237,studies!$A$2:$C$102,3)</f>
        <v>Manne (2004)</v>
      </c>
      <c r="B237" s="87">
        <v>38</v>
      </c>
      <c r="C237" s="5">
        <v>2004</v>
      </c>
      <c r="D237" s="5">
        <v>0</v>
      </c>
      <c r="E237" s="5">
        <v>2000</v>
      </c>
      <c r="F237" s="5">
        <v>2000</v>
      </c>
      <c r="G237" s="113">
        <v>0.05</v>
      </c>
      <c r="H237" s="7">
        <v>601.53826617175571</v>
      </c>
      <c r="I237" s="5">
        <v>0</v>
      </c>
      <c r="J237" s="5">
        <v>1</v>
      </c>
      <c r="K237" s="5">
        <v>0</v>
      </c>
      <c r="L237" s="7" t="s">
        <v>238</v>
      </c>
      <c r="M237" s="7" t="s">
        <v>238</v>
      </c>
      <c r="N237" s="7" t="s">
        <v>238</v>
      </c>
      <c r="O237" s="5">
        <v>0</v>
      </c>
      <c r="P237" s="5">
        <v>1</v>
      </c>
      <c r="Q237" s="5">
        <v>0</v>
      </c>
      <c r="R237" s="5">
        <v>1</v>
      </c>
      <c r="S237" s="5">
        <v>0</v>
      </c>
      <c r="T237" s="5">
        <v>0</v>
      </c>
      <c r="U237" s="5">
        <v>0</v>
      </c>
      <c r="V237" s="13"/>
      <c r="W237" s="13">
        <v>0</v>
      </c>
      <c r="X237" s="5"/>
      <c r="Y237" s="5"/>
      <c r="Z237" s="5"/>
      <c r="AA237" s="5">
        <v>0</v>
      </c>
      <c r="AB237" s="5"/>
      <c r="AC237" s="5">
        <v>0</v>
      </c>
      <c r="AD237" s="5">
        <v>0</v>
      </c>
      <c r="AE237" s="5">
        <v>0</v>
      </c>
      <c r="AF237" s="5">
        <v>0</v>
      </c>
    </row>
    <row r="238" spans="1:32" x14ac:dyDescent="0.2">
      <c r="A238" s="3" t="str">
        <f>+VLOOKUP(B238,studies!$A$2:$C$102,3)</f>
        <v>Manne (2004)</v>
      </c>
      <c r="B238" s="87">
        <v>38</v>
      </c>
      <c r="C238" s="5">
        <v>2004</v>
      </c>
      <c r="D238" s="5">
        <v>0</v>
      </c>
      <c r="E238" s="5">
        <v>2000</v>
      </c>
      <c r="F238" s="5">
        <v>2000</v>
      </c>
      <c r="G238" s="113">
        <v>0.95</v>
      </c>
      <c r="H238" s="7">
        <v>24.061530646870228</v>
      </c>
      <c r="I238" s="5">
        <v>0</v>
      </c>
      <c r="J238" s="5">
        <v>1</v>
      </c>
      <c r="K238" s="5">
        <v>0</v>
      </c>
      <c r="L238" s="7" t="s">
        <v>238</v>
      </c>
      <c r="M238" s="7" t="s">
        <v>238</v>
      </c>
      <c r="N238" s="7" t="s">
        <v>238</v>
      </c>
      <c r="O238" s="5">
        <v>0</v>
      </c>
      <c r="P238" s="5">
        <v>1</v>
      </c>
      <c r="Q238" s="5">
        <v>0</v>
      </c>
      <c r="R238" s="5">
        <v>1</v>
      </c>
      <c r="S238" s="5">
        <v>0</v>
      </c>
      <c r="T238" s="5">
        <v>0</v>
      </c>
      <c r="U238" s="5">
        <v>0</v>
      </c>
      <c r="V238" s="13"/>
      <c r="W238" s="13">
        <v>3</v>
      </c>
      <c r="X238" s="5"/>
      <c r="Y238" s="5"/>
      <c r="Z238" s="5"/>
      <c r="AA238" s="5">
        <v>0</v>
      </c>
      <c r="AB238" s="5"/>
      <c r="AC238" s="5">
        <v>0</v>
      </c>
      <c r="AD238" s="5">
        <v>0</v>
      </c>
      <c r="AE238" s="5">
        <v>0</v>
      </c>
      <c r="AF238" s="5">
        <v>0</v>
      </c>
    </row>
    <row r="239" spans="1:32" x14ac:dyDescent="0.2">
      <c r="A239" s="3" t="str">
        <f>+VLOOKUP(B239,studies!$A$2:$C$102,3)</f>
        <v>Mendelsohn (2004)</v>
      </c>
      <c r="B239" s="87">
        <v>39</v>
      </c>
      <c r="C239" s="5">
        <v>2004</v>
      </c>
      <c r="D239" s="5">
        <v>0</v>
      </c>
      <c r="E239" s="5">
        <v>1990</v>
      </c>
      <c r="F239" s="5">
        <v>2000</v>
      </c>
      <c r="G239" s="113">
        <v>1</v>
      </c>
      <c r="H239" s="7">
        <v>3.9626966118889193</v>
      </c>
      <c r="I239" s="5">
        <v>0</v>
      </c>
      <c r="J239" s="5">
        <v>1</v>
      </c>
      <c r="K239" s="5">
        <v>0</v>
      </c>
      <c r="L239" s="7">
        <v>0.66044943531481981</v>
      </c>
      <c r="M239" s="7">
        <v>0.67392799521920388</v>
      </c>
      <c r="N239" s="7">
        <v>0.67392799521920388</v>
      </c>
      <c r="O239" s="5">
        <v>1</v>
      </c>
      <c r="P239" s="5">
        <v>0</v>
      </c>
      <c r="Q239" s="5">
        <v>0</v>
      </c>
      <c r="R239" s="5">
        <v>0</v>
      </c>
      <c r="S239" s="5">
        <v>0</v>
      </c>
      <c r="T239" s="5">
        <v>0</v>
      </c>
      <c r="U239" s="5">
        <v>0</v>
      </c>
      <c r="V239" s="13">
        <v>5</v>
      </c>
      <c r="W239" s="13">
        <v>3</v>
      </c>
      <c r="X239" s="5"/>
      <c r="Y239" s="5"/>
      <c r="Z239" s="5"/>
      <c r="AA239" s="5">
        <v>0</v>
      </c>
      <c r="AB239" s="5"/>
      <c r="AC239" s="5">
        <v>0</v>
      </c>
      <c r="AD239" s="5">
        <v>0</v>
      </c>
      <c r="AE239" s="5">
        <v>0</v>
      </c>
      <c r="AF239" s="5">
        <v>0</v>
      </c>
    </row>
    <row r="240" spans="1:32" x14ac:dyDescent="0.2">
      <c r="A240" s="3" t="str">
        <f>+VLOOKUP(B240,studies!$A$2:$C$102,3)</f>
        <v>Downing et al. (2005)</v>
      </c>
      <c r="B240" s="87">
        <v>41</v>
      </c>
      <c r="C240" s="5">
        <v>2005</v>
      </c>
      <c r="D240" s="5">
        <v>0</v>
      </c>
      <c r="E240" s="5">
        <v>2000</v>
      </c>
      <c r="F240" s="5">
        <v>2000</v>
      </c>
      <c r="G240" s="113">
        <v>1</v>
      </c>
      <c r="H240" s="7">
        <v>101.76022336072202</v>
      </c>
      <c r="I240" s="5">
        <v>0</v>
      </c>
      <c r="J240" s="5">
        <v>1</v>
      </c>
      <c r="K240" s="5">
        <v>0</v>
      </c>
      <c r="L240" s="7" t="s">
        <v>238</v>
      </c>
      <c r="M240" s="7" t="s">
        <v>238</v>
      </c>
      <c r="N240" s="7" t="s">
        <v>238</v>
      </c>
      <c r="O240" s="5">
        <v>0</v>
      </c>
      <c r="P240" s="5">
        <v>0</v>
      </c>
      <c r="Q240" s="5">
        <v>0</v>
      </c>
      <c r="R240" s="5">
        <v>0</v>
      </c>
      <c r="S240" s="5">
        <v>1</v>
      </c>
      <c r="T240" s="5">
        <v>0</v>
      </c>
      <c r="U240" s="5">
        <v>0</v>
      </c>
      <c r="V240" s="13" t="s">
        <v>25</v>
      </c>
      <c r="W240" s="13" t="s">
        <v>25</v>
      </c>
      <c r="X240" s="5"/>
      <c r="Y240" s="5"/>
      <c r="Z240" s="5"/>
      <c r="AA240" s="5">
        <v>1</v>
      </c>
      <c r="AB240" s="5"/>
      <c r="AC240" s="5">
        <v>0</v>
      </c>
      <c r="AD240" s="5">
        <v>0</v>
      </c>
      <c r="AE240" s="5">
        <v>0</v>
      </c>
      <c r="AF240" s="5">
        <v>0</v>
      </c>
    </row>
    <row r="241" spans="1:32" x14ac:dyDescent="0.2">
      <c r="A241" s="3" t="str">
        <f>+VLOOKUP(B241,studies!$A$2:$C$102,3)</f>
        <v>Hope (2005b)</v>
      </c>
      <c r="B241" s="87">
        <v>42</v>
      </c>
      <c r="C241" s="5">
        <v>2005</v>
      </c>
      <c r="D241" s="5">
        <v>0</v>
      </c>
      <c r="E241" s="5">
        <v>2000</v>
      </c>
      <c r="F241" s="5">
        <v>2000</v>
      </c>
      <c r="G241" s="113">
        <v>0.16666666666666666</v>
      </c>
      <c r="H241" s="7">
        <v>86.220484817951657</v>
      </c>
      <c r="I241" s="5">
        <v>1</v>
      </c>
      <c r="J241" s="5">
        <v>0</v>
      </c>
      <c r="K241" s="5">
        <v>0</v>
      </c>
      <c r="L241" s="7" t="s">
        <v>238</v>
      </c>
      <c r="M241" s="7">
        <v>33.759800652496494</v>
      </c>
      <c r="N241" s="7">
        <v>82.864965237945952</v>
      </c>
      <c r="O241" s="5">
        <v>0</v>
      </c>
      <c r="P241" s="5">
        <v>1</v>
      </c>
      <c r="Q241" s="5">
        <v>0</v>
      </c>
      <c r="R241" s="5">
        <v>1</v>
      </c>
      <c r="S241" s="5">
        <v>0</v>
      </c>
      <c r="T241" s="5">
        <v>0</v>
      </c>
      <c r="U241" s="5">
        <v>1</v>
      </c>
      <c r="V241" s="13"/>
      <c r="W241" s="13">
        <v>3</v>
      </c>
      <c r="X241" s="5"/>
      <c r="Y241" s="5"/>
      <c r="Z241" s="5"/>
      <c r="AA241" s="5">
        <v>1</v>
      </c>
      <c r="AB241" s="5"/>
      <c r="AC241" s="5">
        <v>1</v>
      </c>
      <c r="AD241" s="5">
        <v>0</v>
      </c>
      <c r="AE241" s="5">
        <v>0</v>
      </c>
      <c r="AF241" s="5">
        <v>0</v>
      </c>
    </row>
    <row r="242" spans="1:32" x14ac:dyDescent="0.2">
      <c r="A242" s="3" t="str">
        <f>+VLOOKUP(B242,studies!$A$2:$C$102,3)</f>
        <v>Hope (2005b)</v>
      </c>
      <c r="B242" s="87">
        <v>42</v>
      </c>
      <c r="C242" s="5">
        <v>2005</v>
      </c>
      <c r="D242" s="5">
        <v>0</v>
      </c>
      <c r="E242" s="5">
        <v>2000</v>
      </c>
      <c r="F242" s="5">
        <v>2000</v>
      </c>
      <c r="G242" s="113">
        <v>0.16666666666666666</v>
      </c>
      <c r="H242" s="7">
        <v>70.179464386704836</v>
      </c>
      <c r="I242" s="5">
        <v>1</v>
      </c>
      <c r="J242" s="5">
        <v>0</v>
      </c>
      <c r="K242" s="5">
        <v>0</v>
      </c>
      <c r="L242" s="7" t="s">
        <v>238</v>
      </c>
      <c r="M242" s="7">
        <v>27.621655079315314</v>
      </c>
      <c r="N242" s="7">
        <v>70.588674091583584</v>
      </c>
      <c r="O242" s="5">
        <v>0</v>
      </c>
      <c r="P242" s="5">
        <v>1</v>
      </c>
      <c r="Q242" s="5">
        <v>0</v>
      </c>
      <c r="R242" s="5">
        <v>1</v>
      </c>
      <c r="S242" s="5">
        <v>0</v>
      </c>
      <c r="T242" s="5">
        <v>0</v>
      </c>
      <c r="U242" s="5">
        <v>1</v>
      </c>
      <c r="V242" s="13"/>
      <c r="W242" s="13">
        <v>3</v>
      </c>
      <c r="X242" s="5"/>
      <c r="Y242" s="5"/>
      <c r="Z242" s="5"/>
      <c r="AA242" s="5">
        <v>1</v>
      </c>
      <c r="AB242" s="5"/>
      <c r="AC242" s="5">
        <v>1</v>
      </c>
      <c r="AD242" s="5">
        <v>0</v>
      </c>
      <c r="AE242" s="5">
        <v>0</v>
      </c>
      <c r="AF242" s="5">
        <v>0</v>
      </c>
    </row>
    <row r="243" spans="1:32" x14ac:dyDescent="0.2">
      <c r="A243" s="3" t="str">
        <f>+VLOOKUP(B243,studies!$A$2:$C$102,3)</f>
        <v>Hope (2005b)</v>
      </c>
      <c r="B243" s="87">
        <v>42</v>
      </c>
      <c r="C243" s="5">
        <v>2005</v>
      </c>
      <c r="D243" s="5">
        <v>0</v>
      </c>
      <c r="E243" s="5">
        <v>2000</v>
      </c>
      <c r="F243" s="5">
        <v>2000</v>
      </c>
      <c r="G243" s="113">
        <v>0.16666666666666666</v>
      </c>
      <c r="H243" s="7">
        <v>62.158954171081426</v>
      </c>
      <c r="I243" s="5">
        <v>1</v>
      </c>
      <c r="J243" s="5">
        <v>0</v>
      </c>
      <c r="K243" s="5">
        <v>0</v>
      </c>
      <c r="L243" s="7" t="s">
        <v>238</v>
      </c>
      <c r="M243" s="7">
        <v>23.529558030527859</v>
      </c>
      <c r="N243" s="7">
        <v>62.404479994008675</v>
      </c>
      <c r="O243" s="5">
        <v>0</v>
      </c>
      <c r="P243" s="5">
        <v>1</v>
      </c>
      <c r="Q243" s="5">
        <v>0</v>
      </c>
      <c r="R243" s="5">
        <v>1</v>
      </c>
      <c r="S243" s="5">
        <v>0</v>
      </c>
      <c r="T243" s="5">
        <v>0</v>
      </c>
      <c r="U243" s="5">
        <v>1</v>
      </c>
      <c r="V243" s="13"/>
      <c r="W243" s="13">
        <v>3</v>
      </c>
      <c r="X243" s="5"/>
      <c r="Y243" s="5"/>
      <c r="Z243" s="5"/>
      <c r="AA243" s="5">
        <v>0</v>
      </c>
      <c r="AB243" s="5"/>
      <c r="AC243" s="5">
        <v>1</v>
      </c>
      <c r="AD243" s="5">
        <v>0</v>
      </c>
      <c r="AE243" s="5">
        <v>0</v>
      </c>
      <c r="AF243" s="5">
        <v>0</v>
      </c>
    </row>
    <row r="244" spans="1:32" x14ac:dyDescent="0.2">
      <c r="A244" s="3" t="str">
        <f>+VLOOKUP(B244,studies!$A$2:$C$102,3)</f>
        <v>Hope (2005b)</v>
      </c>
      <c r="B244" s="87">
        <v>42</v>
      </c>
      <c r="C244" s="5">
        <v>2005</v>
      </c>
      <c r="D244" s="5">
        <v>0</v>
      </c>
      <c r="E244" s="5">
        <v>2000</v>
      </c>
      <c r="F244" s="5">
        <v>2000</v>
      </c>
      <c r="G244" s="113">
        <v>0.16666666666666666</v>
      </c>
      <c r="H244" s="7">
        <v>92.23586747966921</v>
      </c>
      <c r="I244" s="5">
        <v>1</v>
      </c>
      <c r="J244" s="5">
        <v>0</v>
      </c>
      <c r="K244" s="5">
        <v>0</v>
      </c>
      <c r="L244" s="7" t="s">
        <v>238</v>
      </c>
      <c r="M244" s="7">
        <v>36.82887343908709</v>
      </c>
      <c r="N244" s="7">
        <v>73.65774687817418</v>
      </c>
      <c r="O244" s="5">
        <v>0</v>
      </c>
      <c r="P244" s="5">
        <v>1</v>
      </c>
      <c r="Q244" s="5">
        <v>0</v>
      </c>
      <c r="R244" s="5">
        <v>1</v>
      </c>
      <c r="S244" s="5">
        <v>0</v>
      </c>
      <c r="T244" s="5">
        <v>0</v>
      </c>
      <c r="U244" s="5">
        <v>1</v>
      </c>
      <c r="V244" s="13"/>
      <c r="W244" s="13">
        <v>3</v>
      </c>
      <c r="X244" s="5"/>
      <c r="Y244" s="5"/>
      <c r="Z244" s="5"/>
      <c r="AA244" s="5">
        <v>1</v>
      </c>
      <c r="AB244" s="5"/>
      <c r="AC244" s="5">
        <v>1</v>
      </c>
      <c r="AD244" s="5">
        <v>0</v>
      </c>
      <c r="AE244" s="5">
        <v>0</v>
      </c>
      <c r="AF244" s="5">
        <v>0</v>
      </c>
    </row>
    <row r="245" spans="1:32" x14ac:dyDescent="0.2">
      <c r="A245" s="3" t="str">
        <f>+VLOOKUP(B245,studies!$A$2:$C$102,3)</f>
        <v>Hope (2005b)</v>
      </c>
      <c r="B245" s="87">
        <v>42</v>
      </c>
      <c r="C245" s="5">
        <v>2005</v>
      </c>
      <c r="D245" s="5">
        <v>0</v>
      </c>
      <c r="E245" s="5">
        <v>2000</v>
      </c>
      <c r="F245" s="5">
        <v>2000</v>
      </c>
      <c r="G245" s="113">
        <v>0.16666666666666666</v>
      </c>
      <c r="H245" s="7">
        <v>74.189719494516538</v>
      </c>
      <c r="I245" s="5">
        <v>1</v>
      </c>
      <c r="J245" s="5">
        <v>0</v>
      </c>
      <c r="K245" s="5">
        <v>0</v>
      </c>
      <c r="L245" s="7" t="s">
        <v>238</v>
      </c>
      <c r="M245" s="7">
        <v>28.64467934151218</v>
      </c>
      <c r="N245" s="7">
        <v>68.542625567189845</v>
      </c>
      <c r="O245" s="5">
        <v>0</v>
      </c>
      <c r="P245" s="5">
        <v>1</v>
      </c>
      <c r="Q245" s="5">
        <v>0</v>
      </c>
      <c r="R245" s="5">
        <v>1</v>
      </c>
      <c r="S245" s="5">
        <v>0</v>
      </c>
      <c r="T245" s="5">
        <v>0</v>
      </c>
      <c r="U245" s="5">
        <v>1</v>
      </c>
      <c r="V245" s="13"/>
      <c r="W245" s="13">
        <v>3</v>
      </c>
      <c r="X245" s="5"/>
      <c r="Y245" s="5"/>
      <c r="Z245" s="5"/>
      <c r="AA245" s="5">
        <v>1</v>
      </c>
      <c r="AB245" s="5"/>
      <c r="AC245" s="5">
        <v>1</v>
      </c>
      <c r="AD245" s="5">
        <v>0</v>
      </c>
      <c r="AE245" s="5">
        <v>0</v>
      </c>
      <c r="AF245" s="5">
        <v>0</v>
      </c>
    </row>
    <row r="246" spans="1:32" x14ac:dyDescent="0.2">
      <c r="A246" s="3" t="str">
        <f>+VLOOKUP(B246,studies!$A$2:$C$102,3)</f>
        <v>Hope (2005b)</v>
      </c>
      <c r="B246" s="87">
        <v>42</v>
      </c>
      <c r="C246" s="5">
        <v>2005</v>
      </c>
      <c r="D246" s="5">
        <v>0</v>
      </c>
      <c r="E246" s="5">
        <v>2000</v>
      </c>
      <c r="F246" s="5">
        <v>2000</v>
      </c>
      <c r="G246" s="113">
        <v>0.16666666666666666</v>
      </c>
      <c r="H246" s="7">
        <v>64.164081724987284</v>
      </c>
      <c r="I246" s="5">
        <v>1</v>
      </c>
      <c r="J246" s="5">
        <v>0</v>
      </c>
      <c r="K246" s="5">
        <v>0</v>
      </c>
      <c r="L246" s="7" t="s">
        <v>238</v>
      </c>
      <c r="M246" s="7">
        <v>24.552582292724722</v>
      </c>
      <c r="N246" s="7">
        <v>59.335407207418086</v>
      </c>
      <c r="O246" s="5">
        <v>0</v>
      </c>
      <c r="P246" s="5">
        <v>1</v>
      </c>
      <c r="Q246" s="5">
        <v>0</v>
      </c>
      <c r="R246" s="5">
        <v>1</v>
      </c>
      <c r="S246" s="5">
        <v>0</v>
      </c>
      <c r="T246" s="5">
        <v>0</v>
      </c>
      <c r="U246" s="5">
        <v>1</v>
      </c>
      <c r="V246" s="13"/>
      <c r="W246" s="13">
        <v>3</v>
      </c>
      <c r="X246" s="5"/>
      <c r="Y246" s="5"/>
      <c r="Z246" s="5"/>
      <c r="AA246" s="5">
        <v>0</v>
      </c>
      <c r="AB246" s="5"/>
      <c r="AC246" s="5">
        <v>1</v>
      </c>
      <c r="AD246" s="5">
        <v>0</v>
      </c>
      <c r="AE246" s="5">
        <v>0</v>
      </c>
      <c r="AF246" s="5">
        <v>0</v>
      </c>
    </row>
    <row r="247" spans="1:32" x14ac:dyDescent="0.2">
      <c r="A247" s="3" t="str">
        <f>+VLOOKUP(B247,studies!$A$2:$C$102,3)</f>
        <v>Hope (2005a)</v>
      </c>
      <c r="B247" s="87">
        <v>43</v>
      </c>
      <c r="C247" s="5">
        <v>2005</v>
      </c>
      <c r="D247" s="5">
        <v>1</v>
      </c>
      <c r="E247" s="5">
        <v>2000</v>
      </c>
      <c r="F247" s="5">
        <v>2000</v>
      </c>
      <c r="G247" s="113">
        <v>1</v>
      </c>
      <c r="H247" s="7">
        <v>42.107678632022903</v>
      </c>
      <c r="I247" s="5">
        <v>1</v>
      </c>
      <c r="J247" s="5">
        <v>0</v>
      </c>
      <c r="K247" s="5">
        <v>0</v>
      </c>
      <c r="L247" s="7" t="s">
        <v>238</v>
      </c>
      <c r="M247" s="7">
        <v>11.2532668841655</v>
      </c>
      <c r="N247" s="7">
        <v>27.621655079315314</v>
      </c>
      <c r="O247" s="5">
        <v>0</v>
      </c>
      <c r="P247" s="5">
        <v>1</v>
      </c>
      <c r="Q247" s="5">
        <v>0</v>
      </c>
      <c r="R247" s="5">
        <v>1</v>
      </c>
      <c r="S247" s="5">
        <v>0</v>
      </c>
      <c r="T247" s="5">
        <v>0</v>
      </c>
      <c r="U247" s="5">
        <v>1</v>
      </c>
      <c r="V247" s="13"/>
      <c r="W247" s="13">
        <v>3</v>
      </c>
      <c r="X247" s="5"/>
      <c r="Y247" s="5"/>
      <c r="Z247" s="5"/>
      <c r="AA247" s="5">
        <v>0</v>
      </c>
      <c r="AB247" s="5"/>
      <c r="AC247" s="5">
        <v>1</v>
      </c>
      <c r="AD247" s="5">
        <v>0</v>
      </c>
      <c r="AE247" s="5">
        <v>0</v>
      </c>
      <c r="AF247" s="5">
        <v>0</v>
      </c>
    </row>
    <row r="248" spans="1:32" x14ac:dyDescent="0.2">
      <c r="A248" s="3" t="str">
        <f>+VLOOKUP(B248,studies!$A$2:$C$102,3)</f>
        <v>Tol (2005)</v>
      </c>
      <c r="B248" s="87">
        <v>44</v>
      </c>
      <c r="C248" s="5">
        <v>2005</v>
      </c>
      <c r="D248" s="5">
        <v>1</v>
      </c>
      <c r="E248" s="5">
        <v>1995</v>
      </c>
      <c r="F248" s="5">
        <v>2005</v>
      </c>
      <c r="G248" s="113">
        <v>8.3333333333333343E-2</v>
      </c>
      <c r="H248" s="7">
        <v>38.681878623456058</v>
      </c>
      <c r="I248" s="5">
        <v>0</v>
      </c>
      <c r="J248" s="5">
        <v>1</v>
      </c>
      <c r="K248" s="5">
        <v>0</v>
      </c>
      <c r="L248" s="7" t="s">
        <v>238</v>
      </c>
      <c r="M248" s="7" t="s">
        <v>238</v>
      </c>
      <c r="N248" s="7" t="s">
        <v>238</v>
      </c>
      <c r="O248" s="5">
        <v>1</v>
      </c>
      <c r="P248" s="5">
        <v>1</v>
      </c>
      <c r="Q248" s="5">
        <v>1</v>
      </c>
      <c r="R248" s="5">
        <v>1</v>
      </c>
      <c r="S248" s="5">
        <v>1</v>
      </c>
      <c r="T248" s="5">
        <v>0</v>
      </c>
      <c r="U248" s="5">
        <v>0</v>
      </c>
      <c r="V248" s="13">
        <v>2</v>
      </c>
      <c r="W248" s="13">
        <v>0</v>
      </c>
      <c r="X248" s="5"/>
      <c r="Y248" s="5"/>
      <c r="Z248" s="5"/>
      <c r="AA248" s="5">
        <v>0</v>
      </c>
      <c r="AB248" s="5"/>
      <c r="AC248" s="5">
        <v>0</v>
      </c>
      <c r="AD248" s="5">
        <v>0</v>
      </c>
      <c r="AE248" s="5">
        <v>1</v>
      </c>
      <c r="AF248" s="5">
        <v>0</v>
      </c>
    </row>
    <row r="249" spans="1:32" x14ac:dyDescent="0.2">
      <c r="A249" s="3" t="str">
        <f>+VLOOKUP(B249,studies!$A$2:$C$102,3)</f>
        <v>Tol (2005)</v>
      </c>
      <c r="B249" s="87">
        <v>44</v>
      </c>
      <c r="C249" s="5">
        <v>2005</v>
      </c>
      <c r="D249" s="5">
        <v>1</v>
      </c>
      <c r="E249" s="5">
        <v>1995</v>
      </c>
      <c r="F249" s="5">
        <v>2005</v>
      </c>
      <c r="G249" s="113">
        <v>0.16666666666666669</v>
      </c>
      <c r="H249" s="7">
        <v>31.295389238072499</v>
      </c>
      <c r="I249" s="5">
        <v>0</v>
      </c>
      <c r="J249" s="5">
        <v>1</v>
      </c>
      <c r="K249" s="5">
        <v>0</v>
      </c>
      <c r="L249" s="7" t="s">
        <v>238</v>
      </c>
      <c r="M249" s="7" t="s">
        <v>238</v>
      </c>
      <c r="N249" s="7" t="s">
        <v>238</v>
      </c>
      <c r="O249" s="5">
        <v>1</v>
      </c>
      <c r="P249" s="5">
        <v>1</v>
      </c>
      <c r="Q249" s="5">
        <v>1</v>
      </c>
      <c r="R249" s="5">
        <v>1</v>
      </c>
      <c r="S249" s="5">
        <v>1</v>
      </c>
      <c r="T249" s="5">
        <v>0</v>
      </c>
      <c r="U249" s="5">
        <v>0</v>
      </c>
      <c r="V249" s="13">
        <v>2</v>
      </c>
      <c r="W249" s="13">
        <v>0</v>
      </c>
      <c r="X249" s="5"/>
      <c r="Y249" s="5"/>
      <c r="Z249" s="5"/>
      <c r="AA249" s="5">
        <v>1</v>
      </c>
      <c r="AB249" s="5"/>
      <c r="AC249" s="5">
        <v>0</v>
      </c>
      <c r="AD249" s="5">
        <v>0</v>
      </c>
      <c r="AE249" s="5">
        <v>1</v>
      </c>
      <c r="AF249" s="5">
        <v>0</v>
      </c>
    </row>
    <row r="250" spans="1:32" x14ac:dyDescent="0.2">
      <c r="A250" s="3" t="str">
        <f>+VLOOKUP(B250,studies!$A$2:$C$102,3)</f>
        <v>Tol (2005)</v>
      </c>
      <c r="B250" s="87">
        <v>44</v>
      </c>
      <c r="C250" s="5">
        <v>2005</v>
      </c>
      <c r="D250" s="5">
        <v>1</v>
      </c>
      <c r="E250" s="5">
        <v>1995</v>
      </c>
      <c r="F250" s="5">
        <v>2005</v>
      </c>
      <c r="G250" s="113">
        <v>0.16666666666666669</v>
      </c>
      <c r="H250" s="7">
        <v>7.3864893853835696</v>
      </c>
      <c r="I250" s="5">
        <v>0</v>
      </c>
      <c r="J250" s="5">
        <v>1</v>
      </c>
      <c r="K250" s="5">
        <v>0</v>
      </c>
      <c r="L250" s="7" t="s">
        <v>238</v>
      </c>
      <c r="M250" s="7" t="s">
        <v>238</v>
      </c>
      <c r="N250" s="7" t="s">
        <v>238</v>
      </c>
      <c r="O250" s="5">
        <v>1</v>
      </c>
      <c r="P250" s="5">
        <v>1</v>
      </c>
      <c r="Q250" s="5">
        <v>1</v>
      </c>
      <c r="R250" s="5">
        <v>1</v>
      </c>
      <c r="S250" s="5">
        <v>1</v>
      </c>
      <c r="T250" s="5">
        <v>0</v>
      </c>
      <c r="U250" s="5">
        <v>0</v>
      </c>
      <c r="V250" s="13">
        <v>3</v>
      </c>
      <c r="W250" s="13">
        <v>1</v>
      </c>
      <c r="X250" s="5"/>
      <c r="Y250" s="5"/>
      <c r="Z250" s="5"/>
      <c r="AA250" s="5">
        <v>0</v>
      </c>
      <c r="AB250" s="5"/>
      <c r="AC250" s="5">
        <v>0</v>
      </c>
      <c r="AD250" s="5">
        <v>0</v>
      </c>
      <c r="AE250" s="5">
        <v>1</v>
      </c>
      <c r="AF250" s="5">
        <v>0</v>
      </c>
    </row>
    <row r="251" spans="1:32" x14ac:dyDescent="0.2">
      <c r="A251" s="3" t="str">
        <f>+VLOOKUP(B251,studies!$A$2:$C$102,3)</f>
        <v>Tol (2005)</v>
      </c>
      <c r="B251" s="87">
        <v>44</v>
      </c>
      <c r="C251" s="5">
        <v>2005</v>
      </c>
      <c r="D251" s="5">
        <v>1</v>
      </c>
      <c r="E251" s="5">
        <v>1995</v>
      </c>
      <c r="F251" s="5">
        <v>2005</v>
      </c>
      <c r="G251" s="113">
        <v>0.33333333333333337</v>
      </c>
      <c r="H251" s="7">
        <v>12.829165774613569</v>
      </c>
      <c r="I251" s="5">
        <v>0</v>
      </c>
      <c r="J251" s="5">
        <v>1</v>
      </c>
      <c r="K251" s="5">
        <v>0</v>
      </c>
      <c r="L251" s="7" t="s">
        <v>238</v>
      </c>
      <c r="M251" s="7" t="s">
        <v>238</v>
      </c>
      <c r="N251" s="7" t="s">
        <v>238</v>
      </c>
      <c r="O251" s="5">
        <v>1</v>
      </c>
      <c r="P251" s="5">
        <v>1</v>
      </c>
      <c r="Q251" s="5">
        <v>1</v>
      </c>
      <c r="R251" s="5">
        <v>1</v>
      </c>
      <c r="S251" s="5">
        <v>1</v>
      </c>
      <c r="T251" s="5">
        <v>0</v>
      </c>
      <c r="U251" s="5">
        <v>0</v>
      </c>
      <c r="V251" s="13">
        <v>3</v>
      </c>
      <c r="W251" s="13">
        <v>1</v>
      </c>
      <c r="X251" s="5"/>
      <c r="Y251" s="5"/>
      <c r="Z251" s="5"/>
      <c r="AA251" s="5">
        <v>1</v>
      </c>
      <c r="AB251" s="5"/>
      <c r="AC251" s="5">
        <v>0</v>
      </c>
      <c r="AD251" s="5">
        <v>0</v>
      </c>
      <c r="AE251" s="5">
        <v>1</v>
      </c>
      <c r="AF251" s="5">
        <v>0</v>
      </c>
    </row>
    <row r="252" spans="1:32" x14ac:dyDescent="0.2">
      <c r="A252" s="3" t="str">
        <f>+VLOOKUP(B252,studies!$A$2:$C$102,3)</f>
        <v>Tol (2005)</v>
      </c>
      <c r="B252" s="122">
        <v>44</v>
      </c>
      <c r="C252" s="33">
        <v>2005</v>
      </c>
      <c r="D252" s="33">
        <v>1</v>
      </c>
      <c r="E252" s="33">
        <v>1995</v>
      </c>
      <c r="F252" s="33">
        <v>2005</v>
      </c>
      <c r="G252" s="114">
        <v>8.3333333333333343E-2</v>
      </c>
      <c r="H252" s="102">
        <v>-12.829165774613569</v>
      </c>
      <c r="I252" s="33">
        <v>0</v>
      </c>
      <c r="J252" s="33">
        <v>1</v>
      </c>
      <c r="K252" s="33">
        <v>0</v>
      </c>
      <c r="L252" s="102" t="s">
        <v>238</v>
      </c>
      <c r="M252" s="102" t="s">
        <v>238</v>
      </c>
      <c r="N252" s="102" t="s">
        <v>238</v>
      </c>
      <c r="O252" s="33">
        <v>1</v>
      </c>
      <c r="P252" s="33">
        <v>1</v>
      </c>
      <c r="Q252" s="33">
        <v>1</v>
      </c>
      <c r="R252" s="33">
        <v>1</v>
      </c>
      <c r="S252" s="33">
        <v>1</v>
      </c>
      <c r="T252" s="33">
        <v>0</v>
      </c>
      <c r="U252" s="33">
        <v>0</v>
      </c>
      <c r="V252" s="88">
        <v>5</v>
      </c>
      <c r="W252" s="88">
        <v>3</v>
      </c>
      <c r="X252" s="33"/>
      <c r="Y252" s="33"/>
      <c r="Z252" s="33"/>
      <c r="AA252" s="33">
        <v>0</v>
      </c>
      <c r="AB252" s="33"/>
      <c r="AC252" s="33">
        <v>0</v>
      </c>
      <c r="AD252" s="33">
        <v>0</v>
      </c>
      <c r="AE252" s="33">
        <v>1</v>
      </c>
      <c r="AF252" s="33">
        <v>0</v>
      </c>
    </row>
    <row r="253" spans="1:32" x14ac:dyDescent="0.2">
      <c r="A253" s="3" t="str">
        <f>+VLOOKUP(B253,studies!$A$2:$C$102,3)</f>
        <v>Tol (2005)</v>
      </c>
      <c r="B253" s="87">
        <v>44</v>
      </c>
      <c r="C253" s="5">
        <v>2005</v>
      </c>
      <c r="D253" s="5">
        <v>1</v>
      </c>
      <c r="E253" s="5">
        <v>1995</v>
      </c>
      <c r="F253" s="5">
        <v>2005</v>
      </c>
      <c r="G253" s="113">
        <v>0.16666666666666669</v>
      </c>
      <c r="H253" s="7">
        <v>-0.97190649807678553</v>
      </c>
      <c r="I253" s="5">
        <v>0</v>
      </c>
      <c r="J253" s="5">
        <v>1</v>
      </c>
      <c r="K253" s="5">
        <v>0</v>
      </c>
      <c r="L253" s="7" t="s">
        <v>238</v>
      </c>
      <c r="M253" s="7" t="s">
        <v>238</v>
      </c>
      <c r="N253" s="7" t="s">
        <v>238</v>
      </c>
      <c r="O253" s="5">
        <v>1</v>
      </c>
      <c r="P253" s="5">
        <v>1</v>
      </c>
      <c r="Q253" s="5">
        <v>1</v>
      </c>
      <c r="R253" s="5">
        <v>1</v>
      </c>
      <c r="S253" s="5">
        <v>1</v>
      </c>
      <c r="T253" s="5">
        <v>0</v>
      </c>
      <c r="U253" s="5">
        <v>0</v>
      </c>
      <c r="V253" s="13">
        <v>5</v>
      </c>
      <c r="W253" s="13">
        <v>3</v>
      </c>
      <c r="X253" s="5"/>
      <c r="Y253" s="5"/>
      <c r="Z253" s="5"/>
      <c r="AA253" s="5">
        <v>1</v>
      </c>
      <c r="AB253" s="5"/>
      <c r="AC253" s="5">
        <v>0</v>
      </c>
      <c r="AD253" s="5">
        <v>0</v>
      </c>
      <c r="AE253" s="5">
        <v>1</v>
      </c>
      <c r="AF253" s="5">
        <v>0</v>
      </c>
    </row>
    <row r="254" spans="1:32" x14ac:dyDescent="0.2">
      <c r="A254" s="3" t="str">
        <f>+VLOOKUP(B254,studies!$A$2:$C$102,3)</f>
        <v>Guo et al. (2006)</v>
      </c>
      <c r="B254" s="87">
        <v>45</v>
      </c>
      <c r="C254" s="5">
        <v>2006</v>
      </c>
      <c r="D254" s="5">
        <v>1</v>
      </c>
      <c r="E254" s="5">
        <v>1995</v>
      </c>
      <c r="F254" s="5">
        <v>2000</v>
      </c>
      <c r="G254" s="113">
        <v>1.5873015873015872E-2</v>
      </c>
      <c r="H254" s="7">
        <v>131.40690260754653</v>
      </c>
      <c r="I254" s="5">
        <v>0</v>
      </c>
      <c r="J254" s="5">
        <v>1</v>
      </c>
      <c r="K254" s="5">
        <v>0</v>
      </c>
      <c r="L254" s="7" t="s">
        <v>238</v>
      </c>
      <c r="M254" s="7" t="s">
        <v>238</v>
      </c>
      <c r="N254" s="7" t="s">
        <v>238</v>
      </c>
      <c r="O254" s="5">
        <v>0</v>
      </c>
      <c r="P254" s="5">
        <v>1</v>
      </c>
      <c r="Q254" s="5">
        <v>1</v>
      </c>
      <c r="R254" s="5">
        <v>1</v>
      </c>
      <c r="S254" s="5">
        <v>1</v>
      </c>
      <c r="T254" s="5">
        <v>0</v>
      </c>
      <c r="U254" s="5">
        <v>0</v>
      </c>
      <c r="V254" s="13"/>
      <c r="W254" s="13">
        <v>0</v>
      </c>
      <c r="X254" s="3"/>
      <c r="Y254" s="5"/>
      <c r="Z254" s="5"/>
      <c r="AA254" s="5">
        <v>0</v>
      </c>
      <c r="AB254" s="5"/>
      <c r="AC254" s="5">
        <v>0</v>
      </c>
      <c r="AD254" s="5">
        <v>0</v>
      </c>
      <c r="AE254" s="5">
        <v>1</v>
      </c>
      <c r="AF254" s="5">
        <v>0</v>
      </c>
    </row>
    <row r="255" spans="1:32" x14ac:dyDescent="0.2">
      <c r="A255" s="3" t="str">
        <f>+VLOOKUP(B255,studies!$A$2:$C$102,3)</f>
        <v>Guo et al. (2006)</v>
      </c>
      <c r="B255" s="87">
        <v>45</v>
      </c>
      <c r="C255" s="5">
        <v>2006</v>
      </c>
      <c r="D255" s="5">
        <v>1</v>
      </c>
      <c r="E255" s="5">
        <v>1995</v>
      </c>
      <c r="F255" s="5">
        <v>2000</v>
      </c>
      <c r="G255" s="113">
        <v>1.5873015873015872E-2</v>
      </c>
      <c r="H255" s="7">
        <v>24.921998770396751</v>
      </c>
      <c r="I255" s="5">
        <v>0</v>
      </c>
      <c r="J255" s="5">
        <v>1</v>
      </c>
      <c r="K255" s="5">
        <v>0</v>
      </c>
      <c r="L255" s="7" t="s">
        <v>238</v>
      </c>
      <c r="M255" s="7" t="s">
        <v>238</v>
      </c>
      <c r="N255" s="7" t="s">
        <v>238</v>
      </c>
      <c r="O255" s="5">
        <v>0</v>
      </c>
      <c r="P255" s="5">
        <v>1</v>
      </c>
      <c r="Q255" s="5">
        <v>1</v>
      </c>
      <c r="R255" s="5">
        <v>1</v>
      </c>
      <c r="S255" s="5">
        <v>1</v>
      </c>
      <c r="T255" s="5">
        <v>0</v>
      </c>
      <c r="U255" s="5">
        <v>0</v>
      </c>
      <c r="V255" s="13"/>
      <c r="W255" s="13">
        <v>1</v>
      </c>
      <c r="X255" s="5"/>
      <c r="Y255" s="5"/>
      <c r="Z255" s="5"/>
      <c r="AA255" s="5">
        <v>0</v>
      </c>
      <c r="AB255" s="5"/>
      <c r="AC255" s="5">
        <v>0</v>
      </c>
      <c r="AD255" s="5">
        <v>0</v>
      </c>
      <c r="AE255" s="5">
        <v>1</v>
      </c>
      <c r="AF255" s="5">
        <v>0</v>
      </c>
    </row>
    <row r="256" spans="1:32" x14ac:dyDescent="0.2">
      <c r="A256" s="3" t="str">
        <f>+VLOOKUP(B256,studies!$A$2:$C$102,3)</f>
        <v>Guo et al. (2006)</v>
      </c>
      <c r="B256" s="87">
        <v>45</v>
      </c>
      <c r="C256" s="5">
        <v>2006</v>
      </c>
      <c r="D256" s="5">
        <v>1</v>
      </c>
      <c r="E256" s="5">
        <v>1995</v>
      </c>
      <c r="F256" s="5">
        <v>2000</v>
      </c>
      <c r="G256" s="113">
        <v>1.5873015873015872E-2</v>
      </c>
      <c r="H256" s="7">
        <v>-5.2109633792647747</v>
      </c>
      <c r="I256" s="5">
        <v>0</v>
      </c>
      <c r="J256" s="5">
        <v>1</v>
      </c>
      <c r="K256" s="5">
        <v>0</v>
      </c>
      <c r="L256" s="7" t="s">
        <v>238</v>
      </c>
      <c r="M256" s="7" t="s">
        <v>238</v>
      </c>
      <c r="N256" s="7" t="s">
        <v>238</v>
      </c>
      <c r="O256" s="5">
        <v>0</v>
      </c>
      <c r="P256" s="5">
        <v>1</v>
      </c>
      <c r="Q256" s="5">
        <v>1</v>
      </c>
      <c r="R256" s="5">
        <v>1</v>
      </c>
      <c r="S256" s="5">
        <v>1</v>
      </c>
      <c r="T256" s="5">
        <v>0</v>
      </c>
      <c r="U256" s="5">
        <v>0</v>
      </c>
      <c r="V256" s="13"/>
      <c r="W256" s="13">
        <v>3</v>
      </c>
      <c r="X256" s="5"/>
      <c r="Y256" s="5"/>
      <c r="Z256" s="5"/>
      <c r="AA256" s="5">
        <v>0</v>
      </c>
      <c r="AB256" s="5"/>
      <c r="AC256" s="5">
        <v>0</v>
      </c>
      <c r="AD256" s="5">
        <v>0</v>
      </c>
      <c r="AE256" s="5">
        <v>1</v>
      </c>
      <c r="AF256" s="5">
        <v>0</v>
      </c>
    </row>
    <row r="257" spans="1:32" x14ac:dyDescent="0.2">
      <c r="A257" s="3" t="str">
        <f>+VLOOKUP(B257,studies!$A$2:$C$102,3)</f>
        <v>Guo et al. (2006)</v>
      </c>
      <c r="B257" s="87">
        <v>45</v>
      </c>
      <c r="C257" s="5">
        <v>2006</v>
      </c>
      <c r="D257" s="5">
        <v>1</v>
      </c>
      <c r="E257" s="5">
        <v>1995</v>
      </c>
      <c r="F257" s="5">
        <v>2000</v>
      </c>
      <c r="G257" s="113">
        <v>0.14285714285714285</v>
      </c>
      <c r="H257" s="7">
        <v>40.781452533376502</v>
      </c>
      <c r="I257" s="5">
        <v>0</v>
      </c>
      <c r="J257" s="5">
        <v>1</v>
      </c>
      <c r="K257" s="5">
        <v>0</v>
      </c>
      <c r="L257" s="7" t="s">
        <v>238</v>
      </c>
      <c r="M257" s="7" t="s">
        <v>238</v>
      </c>
      <c r="N257" s="7" t="s">
        <v>238</v>
      </c>
      <c r="O257" s="5">
        <v>0</v>
      </c>
      <c r="P257" s="5">
        <v>1</v>
      </c>
      <c r="Q257" s="5">
        <v>1</v>
      </c>
      <c r="R257" s="5">
        <v>1</v>
      </c>
      <c r="S257" s="5">
        <v>1</v>
      </c>
      <c r="T257" s="5">
        <v>0</v>
      </c>
      <c r="U257" s="5">
        <v>0</v>
      </c>
      <c r="V257" s="13" t="s">
        <v>25</v>
      </c>
      <c r="W257" s="13" t="s">
        <v>25</v>
      </c>
      <c r="X257" s="5"/>
      <c r="Y257" s="5"/>
      <c r="Z257" s="5"/>
      <c r="AA257" s="5">
        <v>0</v>
      </c>
      <c r="AB257" s="5"/>
      <c r="AC257" s="5">
        <v>0</v>
      </c>
      <c r="AD257" s="5">
        <v>0</v>
      </c>
      <c r="AE257" s="5">
        <v>1</v>
      </c>
      <c r="AF257" s="5">
        <v>0</v>
      </c>
    </row>
    <row r="258" spans="1:32" x14ac:dyDescent="0.2">
      <c r="A258" s="3" t="str">
        <f>+VLOOKUP(B258,studies!$A$2:$C$102,3)</f>
        <v>Guo et al. (2006)</v>
      </c>
      <c r="B258" s="87">
        <v>45</v>
      </c>
      <c r="C258" s="5">
        <v>2006</v>
      </c>
      <c r="D258" s="5">
        <v>1</v>
      </c>
      <c r="E258" s="5">
        <v>1995</v>
      </c>
      <c r="F258" s="5">
        <v>2000</v>
      </c>
      <c r="G258" s="113">
        <v>7.9365079365079361E-3</v>
      </c>
      <c r="H258" s="7">
        <v>14.953199262238051</v>
      </c>
      <c r="I258" s="5">
        <v>0</v>
      </c>
      <c r="J258" s="5">
        <v>1</v>
      </c>
      <c r="K258" s="5">
        <v>0</v>
      </c>
      <c r="L258" s="7" t="s">
        <v>238</v>
      </c>
      <c r="M258" s="7" t="s">
        <v>238</v>
      </c>
      <c r="N258" s="7" t="s">
        <v>238</v>
      </c>
      <c r="O258" s="5">
        <v>0</v>
      </c>
      <c r="P258" s="5">
        <v>1</v>
      </c>
      <c r="Q258" s="5">
        <v>1</v>
      </c>
      <c r="R258" s="5">
        <v>1</v>
      </c>
      <c r="S258" s="5">
        <v>1</v>
      </c>
      <c r="T258" s="5">
        <v>0</v>
      </c>
      <c r="U258" s="5">
        <v>0</v>
      </c>
      <c r="V258" s="13">
        <v>3.5</v>
      </c>
      <c r="W258" s="13" t="s">
        <v>25</v>
      </c>
      <c r="X258" s="5"/>
      <c r="Y258" s="5"/>
      <c r="Z258" s="5"/>
      <c r="AA258" s="5">
        <v>0</v>
      </c>
      <c r="AB258" s="5"/>
      <c r="AC258" s="5">
        <v>0</v>
      </c>
      <c r="AD258" s="5">
        <v>0</v>
      </c>
      <c r="AE258" s="5">
        <v>1</v>
      </c>
      <c r="AF258" s="5">
        <v>0</v>
      </c>
    </row>
    <row r="259" spans="1:32" x14ac:dyDescent="0.2">
      <c r="A259" s="3" t="str">
        <f>+VLOOKUP(B259,studies!$A$2:$C$102,3)</f>
        <v>Guo et al. (2006)</v>
      </c>
      <c r="B259" s="87">
        <v>45</v>
      </c>
      <c r="C259" s="5">
        <v>2006</v>
      </c>
      <c r="D259" s="5">
        <v>1</v>
      </c>
      <c r="E259" s="5">
        <v>1995</v>
      </c>
      <c r="F259" s="5">
        <v>2000</v>
      </c>
      <c r="G259" s="113">
        <v>0.14285714285714285</v>
      </c>
      <c r="H259" s="7">
        <v>199.37599016317401</v>
      </c>
      <c r="I259" s="5">
        <v>0</v>
      </c>
      <c r="J259" s="5">
        <v>1</v>
      </c>
      <c r="K259" s="5">
        <v>0</v>
      </c>
      <c r="L259" s="7" t="s">
        <v>238</v>
      </c>
      <c r="M259" s="7" t="s">
        <v>238</v>
      </c>
      <c r="N259" s="7" t="s">
        <v>238</v>
      </c>
      <c r="O259" s="5">
        <v>0</v>
      </c>
      <c r="P259" s="5">
        <v>1</v>
      </c>
      <c r="Q259" s="5">
        <v>1</v>
      </c>
      <c r="R259" s="5">
        <v>1</v>
      </c>
      <c r="S259" s="5">
        <v>1</v>
      </c>
      <c r="T259" s="5">
        <v>0</v>
      </c>
      <c r="U259" s="5">
        <v>0</v>
      </c>
      <c r="V259" s="13" t="s">
        <v>25</v>
      </c>
      <c r="W259" s="13" t="s">
        <v>25</v>
      </c>
      <c r="X259" s="5"/>
      <c r="Y259" s="5"/>
      <c r="Z259" s="5"/>
      <c r="AA259" s="5">
        <v>0</v>
      </c>
      <c r="AB259" s="5"/>
      <c r="AC259" s="5">
        <v>0</v>
      </c>
      <c r="AD259" s="5">
        <v>0</v>
      </c>
      <c r="AE259" s="5">
        <v>1</v>
      </c>
      <c r="AF259" s="5">
        <v>0</v>
      </c>
    </row>
    <row r="260" spans="1:32" x14ac:dyDescent="0.2">
      <c r="A260" s="3" t="str">
        <f>+VLOOKUP(B260,studies!$A$2:$C$102,3)</f>
        <v>Guo et al. (2006)</v>
      </c>
      <c r="B260" s="87">
        <v>45</v>
      </c>
      <c r="C260" s="5">
        <v>2006</v>
      </c>
      <c r="D260" s="5">
        <v>1</v>
      </c>
      <c r="E260" s="5">
        <v>1995</v>
      </c>
      <c r="F260" s="5">
        <v>2000</v>
      </c>
      <c r="G260" s="113">
        <v>7.9365079365079361E-3</v>
      </c>
      <c r="H260" s="7">
        <v>4.7578361288939259</v>
      </c>
      <c r="I260" s="5">
        <v>0</v>
      </c>
      <c r="J260" s="5">
        <v>1</v>
      </c>
      <c r="K260" s="5">
        <v>0</v>
      </c>
      <c r="L260" s="7" t="s">
        <v>238</v>
      </c>
      <c r="M260" s="7" t="s">
        <v>238</v>
      </c>
      <c r="N260" s="7" t="s">
        <v>238</v>
      </c>
      <c r="O260" s="5">
        <v>0</v>
      </c>
      <c r="P260" s="5">
        <v>1</v>
      </c>
      <c r="Q260" s="5">
        <v>1</v>
      </c>
      <c r="R260" s="5">
        <v>1</v>
      </c>
      <c r="S260" s="5">
        <v>1</v>
      </c>
      <c r="T260" s="5">
        <v>0</v>
      </c>
      <c r="U260" s="5">
        <v>0</v>
      </c>
      <c r="V260" s="13">
        <v>4</v>
      </c>
      <c r="W260" s="13" t="s">
        <v>25</v>
      </c>
      <c r="X260" s="5"/>
      <c r="Y260" s="5"/>
      <c r="Z260" s="5"/>
      <c r="AA260" s="5">
        <v>0</v>
      </c>
      <c r="AB260" s="5"/>
      <c r="AC260" s="5">
        <v>0</v>
      </c>
      <c r="AD260" s="5">
        <v>0</v>
      </c>
      <c r="AE260" s="5">
        <v>1</v>
      </c>
      <c r="AF260" s="5">
        <v>0</v>
      </c>
    </row>
    <row r="261" spans="1:32" x14ac:dyDescent="0.2">
      <c r="A261" s="3" t="str">
        <f>+VLOOKUP(B261,studies!$A$2:$C$102,3)</f>
        <v>Guo et al. (2006)</v>
      </c>
      <c r="B261" s="87">
        <v>45</v>
      </c>
      <c r="C261" s="5">
        <v>2006</v>
      </c>
      <c r="D261" s="5">
        <v>1</v>
      </c>
      <c r="E261" s="5">
        <v>1995</v>
      </c>
      <c r="F261" s="5">
        <v>2000</v>
      </c>
      <c r="G261" s="113">
        <v>0.21428571428571427</v>
      </c>
      <c r="H261" s="7">
        <v>199.37599016317401</v>
      </c>
      <c r="I261" s="5">
        <v>0</v>
      </c>
      <c r="J261" s="5">
        <v>1</v>
      </c>
      <c r="K261" s="5">
        <v>0</v>
      </c>
      <c r="L261" s="7" t="s">
        <v>238</v>
      </c>
      <c r="M261" s="7" t="s">
        <v>238</v>
      </c>
      <c r="N261" s="7" t="s">
        <v>238</v>
      </c>
      <c r="O261" s="5">
        <v>0</v>
      </c>
      <c r="P261" s="5">
        <v>1</v>
      </c>
      <c r="Q261" s="5">
        <v>1</v>
      </c>
      <c r="R261" s="5">
        <v>1</v>
      </c>
      <c r="S261" s="5">
        <v>1</v>
      </c>
      <c r="T261" s="5">
        <v>0</v>
      </c>
      <c r="U261" s="5">
        <v>0</v>
      </c>
      <c r="V261" s="13" t="s">
        <v>25</v>
      </c>
      <c r="W261" s="13" t="s">
        <v>25</v>
      </c>
      <c r="X261" s="5"/>
      <c r="Y261" s="5"/>
      <c r="Z261" s="5"/>
      <c r="AA261" s="5">
        <v>0</v>
      </c>
      <c r="AB261" s="5"/>
      <c r="AC261" s="5">
        <v>0</v>
      </c>
      <c r="AD261" s="5">
        <v>0</v>
      </c>
      <c r="AE261" s="5">
        <v>1</v>
      </c>
      <c r="AF261" s="5">
        <v>0</v>
      </c>
    </row>
    <row r="262" spans="1:32" x14ac:dyDescent="0.2">
      <c r="A262" s="3" t="str">
        <f>+VLOOKUP(B262,studies!$A$2:$C$102,3)</f>
        <v>Guo et al. (2006)</v>
      </c>
      <c r="B262" s="87">
        <v>45</v>
      </c>
      <c r="C262" s="5">
        <v>2006</v>
      </c>
      <c r="D262" s="5">
        <v>1</v>
      </c>
      <c r="E262" s="5">
        <v>1995</v>
      </c>
      <c r="F262" s="5">
        <v>2000</v>
      </c>
      <c r="G262" s="113">
        <v>7.9365079365079361E-3</v>
      </c>
      <c r="H262" s="7">
        <v>4.7578361288939259</v>
      </c>
      <c r="I262" s="5">
        <v>0</v>
      </c>
      <c r="J262" s="5">
        <v>1</v>
      </c>
      <c r="K262" s="5">
        <v>0</v>
      </c>
      <c r="L262" s="7" t="s">
        <v>238</v>
      </c>
      <c r="M262" s="7" t="s">
        <v>238</v>
      </c>
      <c r="N262" s="7" t="s">
        <v>238</v>
      </c>
      <c r="O262" s="5">
        <v>0</v>
      </c>
      <c r="P262" s="5">
        <v>1</v>
      </c>
      <c r="Q262" s="5">
        <v>1</v>
      </c>
      <c r="R262" s="5">
        <v>1</v>
      </c>
      <c r="S262" s="5">
        <v>1</v>
      </c>
      <c r="T262" s="5">
        <v>0</v>
      </c>
      <c r="U262" s="5">
        <v>0</v>
      </c>
      <c r="V262" s="13">
        <v>4</v>
      </c>
      <c r="W262" s="13" t="s">
        <v>25</v>
      </c>
      <c r="X262" s="5"/>
      <c r="Y262" s="5"/>
      <c r="Z262" s="5"/>
      <c r="AA262" s="5">
        <v>0</v>
      </c>
      <c r="AB262" s="5"/>
      <c r="AC262" s="5">
        <v>0</v>
      </c>
      <c r="AD262" s="5">
        <v>0</v>
      </c>
      <c r="AE262" s="5">
        <v>1</v>
      </c>
      <c r="AF262" s="5">
        <v>0</v>
      </c>
    </row>
    <row r="263" spans="1:32" x14ac:dyDescent="0.2">
      <c r="A263" s="3" t="str">
        <f>+VLOOKUP(B263,studies!$A$2:$C$102,3)</f>
        <v>Guo et al. (2006)</v>
      </c>
      <c r="B263" s="87">
        <v>45</v>
      </c>
      <c r="C263" s="5">
        <v>2006</v>
      </c>
      <c r="D263" s="5">
        <v>1</v>
      </c>
      <c r="E263" s="5">
        <v>1995</v>
      </c>
      <c r="F263" s="5">
        <v>2000</v>
      </c>
      <c r="G263" s="113">
        <v>3.5714285714285712E-2</v>
      </c>
      <c r="H263" s="7">
        <v>419.14270659303634</v>
      </c>
      <c r="I263" s="5">
        <v>0</v>
      </c>
      <c r="J263" s="5">
        <v>1</v>
      </c>
      <c r="K263" s="5">
        <v>0</v>
      </c>
      <c r="L263" s="7" t="s">
        <v>238</v>
      </c>
      <c r="M263" s="7" t="s">
        <v>238</v>
      </c>
      <c r="N263" s="7" t="s">
        <v>238</v>
      </c>
      <c r="O263" s="5">
        <v>0</v>
      </c>
      <c r="P263" s="5">
        <v>1</v>
      </c>
      <c r="Q263" s="5">
        <v>1</v>
      </c>
      <c r="R263" s="5">
        <v>1</v>
      </c>
      <c r="S263" s="5">
        <v>1</v>
      </c>
      <c r="T263" s="5">
        <v>0</v>
      </c>
      <c r="U263" s="5">
        <v>0</v>
      </c>
      <c r="V263" s="13" t="s">
        <v>25</v>
      </c>
      <c r="W263" s="13">
        <v>0</v>
      </c>
      <c r="X263" s="5"/>
      <c r="Y263" s="5"/>
      <c r="Z263" s="5"/>
      <c r="AA263" s="5">
        <v>0</v>
      </c>
      <c r="AB263" s="5"/>
      <c r="AC263" s="5">
        <v>0</v>
      </c>
      <c r="AD263" s="5">
        <v>0</v>
      </c>
      <c r="AE263" s="5">
        <v>1</v>
      </c>
      <c r="AF263" s="5">
        <v>0</v>
      </c>
    </row>
    <row r="264" spans="1:32" x14ac:dyDescent="0.2">
      <c r="A264" s="3" t="str">
        <f>+VLOOKUP(B264,studies!$A$2:$C$102,3)</f>
        <v>Guo et al. (2006)</v>
      </c>
      <c r="B264" s="87">
        <v>45</v>
      </c>
      <c r="C264" s="5">
        <v>2006</v>
      </c>
      <c r="D264" s="5">
        <v>1</v>
      </c>
      <c r="E264" s="5">
        <v>1995</v>
      </c>
      <c r="F264" s="5">
        <v>2000</v>
      </c>
      <c r="G264" s="113">
        <v>3.5714285714285712E-2</v>
      </c>
      <c r="H264" s="7">
        <v>65.703451303773264</v>
      </c>
      <c r="I264" s="5">
        <v>0</v>
      </c>
      <c r="J264" s="5">
        <v>1</v>
      </c>
      <c r="K264" s="5">
        <v>0</v>
      </c>
      <c r="L264" s="7" t="s">
        <v>238</v>
      </c>
      <c r="M264" s="7" t="s">
        <v>238</v>
      </c>
      <c r="N264" s="7" t="s">
        <v>238</v>
      </c>
      <c r="O264" s="5">
        <v>0</v>
      </c>
      <c r="P264" s="5">
        <v>1</v>
      </c>
      <c r="Q264" s="5">
        <v>1</v>
      </c>
      <c r="R264" s="5">
        <v>1</v>
      </c>
      <c r="S264" s="5">
        <v>1</v>
      </c>
      <c r="T264" s="5">
        <v>0</v>
      </c>
      <c r="U264" s="5">
        <v>0</v>
      </c>
      <c r="V264" s="13" t="s">
        <v>25</v>
      </c>
      <c r="W264" s="13">
        <v>1</v>
      </c>
      <c r="X264" s="5"/>
      <c r="Y264" s="5"/>
      <c r="Z264" s="5"/>
      <c r="AA264" s="5">
        <v>0</v>
      </c>
      <c r="AB264" s="5"/>
      <c r="AC264" s="5">
        <v>0</v>
      </c>
      <c r="AD264" s="5">
        <v>0</v>
      </c>
      <c r="AE264" s="5">
        <v>1</v>
      </c>
      <c r="AF264" s="5">
        <v>0</v>
      </c>
    </row>
    <row r="265" spans="1:32" x14ac:dyDescent="0.2">
      <c r="A265" s="3" t="str">
        <f>+VLOOKUP(B265,studies!$A$2:$C$102,3)</f>
        <v>Guo et al. (2006)</v>
      </c>
      <c r="B265" s="87">
        <v>45</v>
      </c>
      <c r="C265" s="5">
        <v>2006</v>
      </c>
      <c r="D265" s="5">
        <v>1</v>
      </c>
      <c r="E265" s="5">
        <v>1995</v>
      </c>
      <c r="F265" s="5">
        <v>2000</v>
      </c>
      <c r="G265" s="113">
        <v>3.5714285714285712E-2</v>
      </c>
      <c r="H265" s="7">
        <v>-2.9453271274105255</v>
      </c>
      <c r="I265" s="5">
        <v>0</v>
      </c>
      <c r="J265" s="5">
        <v>1</v>
      </c>
      <c r="K265" s="5">
        <v>0</v>
      </c>
      <c r="L265" s="7" t="s">
        <v>238</v>
      </c>
      <c r="M265" s="7" t="s">
        <v>238</v>
      </c>
      <c r="N265" s="7" t="s">
        <v>238</v>
      </c>
      <c r="O265" s="5">
        <v>0</v>
      </c>
      <c r="P265" s="5">
        <v>1</v>
      </c>
      <c r="Q265" s="5">
        <v>1</v>
      </c>
      <c r="R265" s="5">
        <v>1</v>
      </c>
      <c r="S265" s="5">
        <v>1</v>
      </c>
      <c r="T265" s="5">
        <v>0</v>
      </c>
      <c r="U265" s="5">
        <v>0</v>
      </c>
      <c r="V265" s="13" t="s">
        <v>25</v>
      </c>
      <c r="W265" s="13">
        <v>3</v>
      </c>
      <c r="X265" s="5"/>
      <c r="Y265" s="5"/>
      <c r="Z265" s="5"/>
      <c r="AA265" s="5">
        <v>0</v>
      </c>
      <c r="AB265" s="5"/>
      <c r="AC265" s="5">
        <v>0</v>
      </c>
      <c r="AD265" s="5">
        <v>0</v>
      </c>
      <c r="AE265" s="5">
        <v>1</v>
      </c>
      <c r="AF265" s="5">
        <v>0</v>
      </c>
    </row>
    <row r="266" spans="1:32" x14ac:dyDescent="0.2">
      <c r="A266" s="3" t="str">
        <f>+VLOOKUP(B266,studies!$A$2:$C$102,3)</f>
        <v>Guo et al. (2006)</v>
      </c>
      <c r="B266" s="87">
        <v>45</v>
      </c>
      <c r="C266" s="5">
        <v>2006</v>
      </c>
      <c r="D266" s="5">
        <v>1</v>
      </c>
      <c r="E266" s="5">
        <v>1995</v>
      </c>
      <c r="F266" s="5">
        <v>2000</v>
      </c>
      <c r="G266" s="113">
        <v>3.5714285714285712E-2</v>
      </c>
      <c r="H266" s="7">
        <v>192.57908140761126</v>
      </c>
      <c r="I266" s="5">
        <v>0</v>
      </c>
      <c r="J266" s="5">
        <v>1</v>
      </c>
      <c r="K266" s="5">
        <v>0</v>
      </c>
      <c r="L266" s="7" t="s">
        <v>238</v>
      </c>
      <c r="M266" s="7" t="s">
        <v>238</v>
      </c>
      <c r="N266" s="7" t="s">
        <v>238</v>
      </c>
      <c r="O266" s="5">
        <v>0</v>
      </c>
      <c r="P266" s="5">
        <v>1</v>
      </c>
      <c r="Q266" s="5">
        <v>1</v>
      </c>
      <c r="R266" s="5">
        <v>1</v>
      </c>
      <c r="S266" s="5">
        <v>1</v>
      </c>
      <c r="T266" s="5">
        <v>0</v>
      </c>
      <c r="U266" s="5">
        <v>0</v>
      </c>
      <c r="V266" s="13" t="s">
        <v>25</v>
      </c>
      <c r="W266" s="13">
        <v>0</v>
      </c>
      <c r="X266" s="5"/>
      <c r="Y266" s="5"/>
      <c r="Z266" s="5"/>
      <c r="AA266" s="5">
        <v>0</v>
      </c>
      <c r="AB266" s="5"/>
      <c r="AC266" s="5">
        <v>0</v>
      </c>
      <c r="AD266" s="5">
        <v>0</v>
      </c>
      <c r="AE266" s="5">
        <v>1</v>
      </c>
      <c r="AF266" s="5">
        <v>0</v>
      </c>
    </row>
    <row r="267" spans="1:32" x14ac:dyDescent="0.2">
      <c r="A267" s="3" t="str">
        <f>+VLOOKUP(B267,studies!$A$2:$C$102,3)</f>
        <v>Guo et al. (2006)</v>
      </c>
      <c r="B267" s="87">
        <v>45</v>
      </c>
      <c r="C267" s="5">
        <v>2006</v>
      </c>
      <c r="D267" s="5">
        <v>1</v>
      </c>
      <c r="E267" s="5">
        <v>1995</v>
      </c>
      <c r="F267" s="5">
        <v>2000</v>
      </c>
      <c r="G267" s="113">
        <v>3.5714285714285712E-2</v>
      </c>
      <c r="H267" s="7">
        <v>33.984543777813755</v>
      </c>
      <c r="I267" s="5">
        <v>0</v>
      </c>
      <c r="J267" s="5">
        <v>1</v>
      </c>
      <c r="K267" s="5">
        <v>0</v>
      </c>
      <c r="L267" s="7" t="s">
        <v>238</v>
      </c>
      <c r="M267" s="7" t="s">
        <v>238</v>
      </c>
      <c r="N267" s="7" t="s">
        <v>238</v>
      </c>
      <c r="O267" s="5">
        <v>0</v>
      </c>
      <c r="P267" s="5">
        <v>1</v>
      </c>
      <c r="Q267" s="5">
        <v>1</v>
      </c>
      <c r="R267" s="5">
        <v>1</v>
      </c>
      <c r="S267" s="5">
        <v>1</v>
      </c>
      <c r="T267" s="5">
        <v>0</v>
      </c>
      <c r="U267" s="5">
        <v>0</v>
      </c>
      <c r="V267" s="13" t="s">
        <v>25</v>
      </c>
      <c r="W267" s="13">
        <v>1</v>
      </c>
      <c r="X267" s="5"/>
      <c r="Y267" s="5"/>
      <c r="Z267" s="5"/>
      <c r="AA267" s="5">
        <v>0</v>
      </c>
      <c r="AB267" s="5"/>
      <c r="AC267" s="5">
        <v>0</v>
      </c>
      <c r="AD267" s="5">
        <v>0</v>
      </c>
      <c r="AE267" s="5">
        <v>1</v>
      </c>
      <c r="AF267" s="5">
        <v>0</v>
      </c>
    </row>
    <row r="268" spans="1:32" x14ac:dyDescent="0.2">
      <c r="A268" s="3" t="str">
        <f>+VLOOKUP(B268,studies!$A$2:$C$102,3)</f>
        <v>Guo et al. (2006)</v>
      </c>
      <c r="B268" s="87">
        <v>45</v>
      </c>
      <c r="C268" s="5">
        <v>2006</v>
      </c>
      <c r="D268" s="5">
        <v>1</v>
      </c>
      <c r="E268" s="5">
        <v>1995</v>
      </c>
      <c r="F268" s="5">
        <v>2000</v>
      </c>
      <c r="G268" s="113">
        <v>3.5714285714285712E-2</v>
      </c>
      <c r="H268" s="7">
        <v>-4.7578361288939259</v>
      </c>
      <c r="I268" s="5">
        <v>0</v>
      </c>
      <c r="J268" s="5">
        <v>1</v>
      </c>
      <c r="K268" s="5">
        <v>0</v>
      </c>
      <c r="L268" s="7" t="s">
        <v>238</v>
      </c>
      <c r="M268" s="7" t="s">
        <v>238</v>
      </c>
      <c r="N268" s="7" t="s">
        <v>238</v>
      </c>
      <c r="O268" s="5">
        <v>0</v>
      </c>
      <c r="P268" s="5">
        <v>1</v>
      </c>
      <c r="Q268" s="5">
        <v>1</v>
      </c>
      <c r="R268" s="5">
        <v>1</v>
      </c>
      <c r="S268" s="5">
        <v>1</v>
      </c>
      <c r="T268" s="5">
        <v>0</v>
      </c>
      <c r="U268" s="5">
        <v>0</v>
      </c>
      <c r="V268" s="13" t="s">
        <v>25</v>
      </c>
      <c r="W268" s="13">
        <v>3</v>
      </c>
      <c r="X268" s="5"/>
      <c r="Y268" s="5"/>
      <c r="Z268" s="5"/>
      <c r="AA268" s="5">
        <v>0</v>
      </c>
      <c r="AB268" s="5"/>
      <c r="AC268" s="5">
        <v>0</v>
      </c>
      <c r="AD268" s="5">
        <v>0</v>
      </c>
      <c r="AE268" s="5">
        <v>1</v>
      </c>
      <c r="AF268" s="5">
        <v>0</v>
      </c>
    </row>
    <row r="269" spans="1:32" x14ac:dyDescent="0.2">
      <c r="A269" s="3" t="str">
        <f>+VLOOKUP(B269,studies!$A$2:$C$102,3)</f>
        <v>Guo et al. (2006)</v>
      </c>
      <c r="B269" s="87">
        <v>45</v>
      </c>
      <c r="C269" s="5">
        <v>2006</v>
      </c>
      <c r="D269" s="5">
        <v>1</v>
      </c>
      <c r="E269" s="5">
        <v>1995</v>
      </c>
      <c r="F269" s="5">
        <v>2000</v>
      </c>
      <c r="G269" s="113">
        <v>0.21428571428571427</v>
      </c>
      <c r="H269" s="7">
        <v>79.297268814898757</v>
      </c>
      <c r="I269" s="5">
        <v>0</v>
      </c>
      <c r="J269" s="5">
        <v>1</v>
      </c>
      <c r="K269" s="5">
        <v>0</v>
      </c>
      <c r="L269" s="7" t="s">
        <v>238</v>
      </c>
      <c r="M269" s="7" t="s">
        <v>238</v>
      </c>
      <c r="N269" s="7" t="s">
        <v>238</v>
      </c>
      <c r="O269" s="5">
        <v>0</v>
      </c>
      <c r="P269" s="5">
        <v>1</v>
      </c>
      <c r="Q269" s="5">
        <v>1</v>
      </c>
      <c r="R269" s="5">
        <v>1</v>
      </c>
      <c r="S269" s="5">
        <v>1</v>
      </c>
      <c r="T269" s="5">
        <v>0</v>
      </c>
      <c r="U269" s="5">
        <v>0</v>
      </c>
      <c r="V269" s="13" t="s">
        <v>25</v>
      </c>
      <c r="W269" s="13" t="s">
        <v>25</v>
      </c>
      <c r="X269" s="5"/>
      <c r="Y269" s="5"/>
      <c r="Z269" s="5"/>
      <c r="AA269" s="5">
        <v>0</v>
      </c>
      <c r="AB269" s="5"/>
      <c r="AC269" s="5">
        <v>0</v>
      </c>
      <c r="AD269" s="5">
        <v>0</v>
      </c>
      <c r="AE269" s="5">
        <v>1</v>
      </c>
      <c r="AF269" s="5">
        <v>0</v>
      </c>
    </row>
    <row r="270" spans="1:32" x14ac:dyDescent="0.2">
      <c r="A270" s="3" t="str">
        <f>+VLOOKUP(B270,studies!$A$2:$C$102,3)</f>
        <v>Hope (2006)</v>
      </c>
      <c r="B270" s="87">
        <v>46</v>
      </c>
      <c r="C270" s="5">
        <v>2006</v>
      </c>
      <c r="D270" s="5">
        <v>1</v>
      </c>
      <c r="E270" s="5">
        <v>2000</v>
      </c>
      <c r="F270" s="5">
        <v>2000</v>
      </c>
      <c r="G270" s="113">
        <v>1</v>
      </c>
      <c r="H270" s="7">
        <v>38.097423524211194</v>
      </c>
      <c r="I270" s="5">
        <v>1</v>
      </c>
      <c r="J270" s="5">
        <v>0</v>
      </c>
      <c r="K270" s="5">
        <v>0</v>
      </c>
      <c r="L270" s="7" t="s">
        <v>238</v>
      </c>
      <c r="M270" s="7">
        <v>15.345363932952951</v>
      </c>
      <c r="N270" s="7">
        <v>32.736776390299632</v>
      </c>
      <c r="O270" s="5">
        <v>0</v>
      </c>
      <c r="P270" s="5">
        <v>1</v>
      </c>
      <c r="Q270" s="5">
        <v>0</v>
      </c>
      <c r="R270" s="5">
        <v>1</v>
      </c>
      <c r="S270" s="5">
        <v>0</v>
      </c>
      <c r="T270" s="5">
        <v>0</v>
      </c>
      <c r="U270" s="5">
        <v>1</v>
      </c>
      <c r="V270" s="13"/>
      <c r="W270" s="13">
        <v>3</v>
      </c>
      <c r="X270" s="5"/>
      <c r="Y270" s="5"/>
      <c r="Z270" s="5"/>
      <c r="AA270" s="5">
        <v>0</v>
      </c>
      <c r="AB270" s="5"/>
      <c r="AC270" s="5">
        <v>1</v>
      </c>
      <c r="AD270" s="5">
        <v>0</v>
      </c>
      <c r="AE270" s="5">
        <v>0</v>
      </c>
      <c r="AF270" s="5">
        <v>0</v>
      </c>
    </row>
    <row r="271" spans="1:32" x14ac:dyDescent="0.2">
      <c r="A271" s="3" t="str">
        <f>+VLOOKUP(B271,studies!$A$2:$C$102,3)</f>
        <v>Stern et al. (2006)</v>
      </c>
      <c r="B271" s="87">
        <v>47</v>
      </c>
      <c r="C271" s="5">
        <v>2006</v>
      </c>
      <c r="D271" s="5">
        <v>0</v>
      </c>
      <c r="E271" s="48">
        <v>2000</v>
      </c>
      <c r="F271" s="48">
        <v>2000</v>
      </c>
      <c r="G271" s="115">
        <v>1</v>
      </c>
      <c r="H271" s="7">
        <v>629.61005192643768</v>
      </c>
      <c r="I271" s="5">
        <v>0</v>
      </c>
      <c r="J271" s="5">
        <v>1</v>
      </c>
      <c r="K271" s="5">
        <v>0</v>
      </c>
      <c r="L271" s="7" t="s">
        <v>238</v>
      </c>
      <c r="M271" s="7" t="s">
        <v>238</v>
      </c>
      <c r="N271" s="7" t="s">
        <v>238</v>
      </c>
      <c r="O271" s="5">
        <v>0</v>
      </c>
      <c r="P271" s="5">
        <v>1</v>
      </c>
      <c r="Q271" s="5">
        <v>0</v>
      </c>
      <c r="R271" s="5">
        <v>1</v>
      </c>
      <c r="S271" s="5">
        <v>0</v>
      </c>
      <c r="T271" s="5">
        <v>0</v>
      </c>
      <c r="U271" s="5">
        <v>1</v>
      </c>
      <c r="V271" s="13">
        <v>1.4</v>
      </c>
      <c r="W271" s="13">
        <v>0.1</v>
      </c>
      <c r="X271" s="5">
        <v>1</v>
      </c>
      <c r="Y271" s="3">
        <v>1.3</v>
      </c>
      <c r="Z271" s="5"/>
      <c r="AA271" s="5">
        <v>0</v>
      </c>
      <c r="AB271" s="5">
        <v>4</v>
      </c>
      <c r="AC271" s="5">
        <v>0</v>
      </c>
      <c r="AD271" s="5">
        <v>0</v>
      </c>
      <c r="AE271" s="5">
        <v>0</v>
      </c>
      <c r="AF271" s="5">
        <v>0</v>
      </c>
    </row>
    <row r="272" spans="1:32" x14ac:dyDescent="0.2">
      <c r="A272" s="3" t="str">
        <f>+VLOOKUP(B272,studies!$A$2:$C$102,3)</f>
        <v>Wahba &amp; Hope (2006)</v>
      </c>
      <c r="B272" s="87">
        <v>48</v>
      </c>
      <c r="C272" s="5">
        <v>2006</v>
      </c>
      <c r="D272" s="5">
        <v>1</v>
      </c>
      <c r="E272" s="5">
        <v>2000</v>
      </c>
      <c r="F272" s="5">
        <v>2000</v>
      </c>
      <c r="G272" s="113">
        <v>0.2</v>
      </c>
      <c r="H272" s="7">
        <v>38.097423524211194</v>
      </c>
      <c r="I272" s="5">
        <v>1</v>
      </c>
      <c r="J272" s="5">
        <v>0</v>
      </c>
      <c r="K272" s="5">
        <v>0</v>
      </c>
      <c r="L272" s="7" t="s">
        <v>238</v>
      </c>
      <c r="M272" s="7">
        <v>14.32233967075609</v>
      </c>
      <c r="N272" s="7">
        <v>30.690727865905902</v>
      </c>
      <c r="O272" s="5">
        <v>0</v>
      </c>
      <c r="P272" s="5">
        <v>1</v>
      </c>
      <c r="Q272" s="5">
        <v>0</v>
      </c>
      <c r="R272" s="5">
        <v>1</v>
      </c>
      <c r="S272" s="5">
        <v>0</v>
      </c>
      <c r="T272" s="5">
        <v>0</v>
      </c>
      <c r="U272" s="5">
        <v>1</v>
      </c>
      <c r="V272" s="13"/>
      <c r="W272" s="13">
        <v>3</v>
      </c>
      <c r="X272" s="5">
        <v>1</v>
      </c>
      <c r="Y272" s="5"/>
      <c r="Z272" s="5"/>
      <c r="AA272" s="5">
        <v>0</v>
      </c>
      <c r="AB272" s="5"/>
      <c r="AC272" s="5">
        <v>1</v>
      </c>
      <c r="AD272" s="5">
        <v>0</v>
      </c>
      <c r="AE272" s="5">
        <v>0</v>
      </c>
      <c r="AF272" s="5">
        <v>0</v>
      </c>
    </row>
    <row r="273" spans="1:32" x14ac:dyDescent="0.2">
      <c r="A273" s="3" t="str">
        <f>+VLOOKUP(B273,studies!$A$2:$C$102,3)</f>
        <v>Wahba &amp; Hope (2006)</v>
      </c>
      <c r="B273" s="87">
        <v>48</v>
      </c>
      <c r="C273" s="5">
        <v>2006</v>
      </c>
      <c r="D273" s="5">
        <v>1</v>
      </c>
      <c r="E273" s="5">
        <v>2000</v>
      </c>
      <c r="F273" s="5">
        <v>2000</v>
      </c>
      <c r="G273" s="113">
        <v>0.2</v>
      </c>
      <c r="H273" s="7">
        <v>28.071785754681933</v>
      </c>
      <c r="I273" s="5">
        <v>1</v>
      </c>
      <c r="J273" s="5">
        <v>0</v>
      </c>
      <c r="K273" s="5">
        <v>0</v>
      </c>
      <c r="L273" s="7" t="s">
        <v>238</v>
      </c>
      <c r="M273" s="7">
        <v>11.2532668841655</v>
      </c>
      <c r="N273" s="7">
        <v>27.621655079315314</v>
      </c>
      <c r="O273" s="5">
        <v>0</v>
      </c>
      <c r="P273" s="5">
        <v>1</v>
      </c>
      <c r="Q273" s="5">
        <v>0</v>
      </c>
      <c r="R273" s="5">
        <v>1</v>
      </c>
      <c r="S273" s="5">
        <v>0</v>
      </c>
      <c r="T273" s="5">
        <v>0</v>
      </c>
      <c r="U273" s="5">
        <v>1</v>
      </c>
      <c r="V273" s="13"/>
      <c r="W273" s="13">
        <v>3</v>
      </c>
      <c r="X273" s="5">
        <v>1</v>
      </c>
      <c r="Y273" s="5"/>
      <c r="Z273" s="5"/>
      <c r="AA273" s="5">
        <v>0</v>
      </c>
      <c r="AB273" s="5"/>
      <c r="AC273" s="5">
        <v>1</v>
      </c>
      <c r="AD273" s="5">
        <v>0</v>
      </c>
      <c r="AE273" s="5">
        <v>0</v>
      </c>
      <c r="AF273" s="5">
        <v>0</v>
      </c>
    </row>
    <row r="274" spans="1:32" x14ac:dyDescent="0.2">
      <c r="A274" s="3" t="str">
        <f>+VLOOKUP(B274,studies!$A$2:$C$102,3)</f>
        <v>Wahba &amp; Hope (2006)</v>
      </c>
      <c r="B274" s="87">
        <v>48</v>
      </c>
      <c r="C274" s="5">
        <v>2006</v>
      </c>
      <c r="D274" s="5">
        <v>1</v>
      </c>
      <c r="E274" s="5">
        <v>2000</v>
      </c>
      <c r="F274" s="5">
        <v>2000</v>
      </c>
      <c r="G274" s="113">
        <v>0.1</v>
      </c>
      <c r="H274" s="7">
        <v>94.240995033575075</v>
      </c>
      <c r="I274" s="5">
        <v>1</v>
      </c>
      <c r="J274" s="5">
        <v>0</v>
      </c>
      <c r="K274" s="5">
        <v>0</v>
      </c>
      <c r="L274" s="7" t="s">
        <v>238</v>
      </c>
      <c r="M274" s="7" t="s">
        <v>238</v>
      </c>
      <c r="N274" s="7" t="s">
        <v>238</v>
      </c>
      <c r="O274" s="5">
        <v>0</v>
      </c>
      <c r="P274" s="5">
        <v>1</v>
      </c>
      <c r="Q274" s="5">
        <v>0</v>
      </c>
      <c r="R274" s="5">
        <v>1</v>
      </c>
      <c r="S274" s="5">
        <v>0</v>
      </c>
      <c r="T274" s="5">
        <v>0</v>
      </c>
      <c r="U274" s="5">
        <v>1</v>
      </c>
      <c r="V274" s="13"/>
      <c r="W274" s="13">
        <v>2</v>
      </c>
      <c r="X274" s="5">
        <v>1</v>
      </c>
      <c r="Y274" s="5"/>
      <c r="Z274" s="5"/>
      <c r="AA274" s="5">
        <v>0</v>
      </c>
      <c r="AB274" s="5"/>
      <c r="AC274" s="5">
        <v>1</v>
      </c>
      <c r="AD274" s="5">
        <v>0</v>
      </c>
      <c r="AE274" s="5">
        <v>0</v>
      </c>
      <c r="AF274" s="5">
        <v>0</v>
      </c>
    </row>
    <row r="275" spans="1:32" x14ac:dyDescent="0.2">
      <c r="A275" s="3" t="str">
        <f>+VLOOKUP(B275,studies!$A$2:$C$102,3)</f>
        <v>Wahba &amp; Hope (2006)</v>
      </c>
      <c r="B275" s="87">
        <v>48</v>
      </c>
      <c r="C275" s="5">
        <v>2006</v>
      </c>
      <c r="D275" s="5">
        <v>1</v>
      </c>
      <c r="E275" s="5">
        <v>2000</v>
      </c>
      <c r="F275" s="5">
        <v>2000</v>
      </c>
      <c r="G275" s="113">
        <v>0.1</v>
      </c>
      <c r="H275" s="7">
        <v>290.74349531634857</v>
      </c>
      <c r="I275" s="5">
        <v>1</v>
      </c>
      <c r="J275" s="5">
        <v>0</v>
      </c>
      <c r="K275" s="5">
        <v>0</v>
      </c>
      <c r="L275" s="7" t="s">
        <v>238</v>
      </c>
      <c r="M275" s="7" t="s">
        <v>238</v>
      </c>
      <c r="N275" s="7" t="s">
        <v>238</v>
      </c>
      <c r="O275" s="5">
        <v>0</v>
      </c>
      <c r="P275" s="5">
        <v>1</v>
      </c>
      <c r="Q275" s="5">
        <v>0</v>
      </c>
      <c r="R275" s="5">
        <v>1</v>
      </c>
      <c r="S275" s="5">
        <v>0</v>
      </c>
      <c r="T275" s="5">
        <v>0</v>
      </c>
      <c r="U275" s="5">
        <v>1</v>
      </c>
      <c r="V275" s="13"/>
      <c r="W275" s="13">
        <v>1</v>
      </c>
      <c r="X275" s="5">
        <v>1</v>
      </c>
      <c r="Y275" s="5"/>
      <c r="Z275" s="5"/>
      <c r="AA275" s="5">
        <v>0</v>
      </c>
      <c r="AB275" s="5"/>
      <c r="AC275" s="5">
        <v>1</v>
      </c>
      <c r="AD275" s="5">
        <v>0</v>
      </c>
      <c r="AE275" s="5">
        <v>0</v>
      </c>
      <c r="AF275" s="5">
        <v>0</v>
      </c>
    </row>
    <row r="276" spans="1:32" x14ac:dyDescent="0.2">
      <c r="A276" s="3" t="str">
        <f>+VLOOKUP(B276,studies!$A$2:$C$102,3)</f>
        <v>Wahba &amp; Hope (2006)</v>
      </c>
      <c r="B276" s="87">
        <v>48</v>
      </c>
      <c r="C276" s="5">
        <v>2006</v>
      </c>
      <c r="D276" s="5">
        <v>1</v>
      </c>
      <c r="E276" s="5">
        <v>2000</v>
      </c>
      <c r="F276" s="5">
        <v>2000</v>
      </c>
      <c r="G276" s="113">
        <v>0.1</v>
      </c>
      <c r="H276" s="7">
        <v>60.153826617175575</v>
      </c>
      <c r="I276" s="5">
        <v>1</v>
      </c>
      <c r="J276" s="5">
        <v>0</v>
      </c>
      <c r="K276" s="5">
        <v>0</v>
      </c>
      <c r="L276" s="7" t="s">
        <v>238</v>
      </c>
      <c r="M276" s="7" t="s">
        <v>238</v>
      </c>
      <c r="N276" s="7" t="s">
        <v>238</v>
      </c>
      <c r="O276" s="5">
        <v>0</v>
      </c>
      <c r="P276" s="5">
        <v>1</v>
      </c>
      <c r="Q276" s="5">
        <v>0</v>
      </c>
      <c r="R276" s="5">
        <v>1</v>
      </c>
      <c r="S276" s="5">
        <v>0</v>
      </c>
      <c r="T276" s="5">
        <v>0</v>
      </c>
      <c r="U276" s="5">
        <v>1</v>
      </c>
      <c r="V276" s="13"/>
      <c r="W276" s="13">
        <v>2</v>
      </c>
      <c r="X276" s="5">
        <v>1</v>
      </c>
      <c r="Y276" s="5"/>
      <c r="Z276" s="5"/>
      <c r="AA276" s="5">
        <v>0</v>
      </c>
      <c r="AB276" s="5"/>
      <c r="AC276" s="5">
        <v>1</v>
      </c>
      <c r="AD276" s="5">
        <v>0</v>
      </c>
      <c r="AE276" s="5">
        <v>0</v>
      </c>
      <c r="AF276" s="5">
        <v>0</v>
      </c>
    </row>
    <row r="277" spans="1:32" x14ac:dyDescent="0.2">
      <c r="A277" s="3" t="str">
        <f>+VLOOKUP(B277,studies!$A$2:$C$102,3)</f>
        <v>Wahba &amp; Hope (2006)</v>
      </c>
      <c r="B277" s="87">
        <v>48</v>
      </c>
      <c r="C277" s="5">
        <v>2006</v>
      </c>
      <c r="D277" s="5">
        <v>1</v>
      </c>
      <c r="E277" s="5">
        <v>2000</v>
      </c>
      <c r="F277" s="5">
        <v>2000</v>
      </c>
      <c r="G277" s="113">
        <v>0.1</v>
      </c>
      <c r="H277" s="7">
        <v>182.46660740543257</v>
      </c>
      <c r="I277" s="5">
        <v>1</v>
      </c>
      <c r="J277" s="5">
        <v>0</v>
      </c>
      <c r="K277" s="5">
        <v>0</v>
      </c>
      <c r="L277" s="7" t="s">
        <v>238</v>
      </c>
      <c r="M277" s="7" t="s">
        <v>238</v>
      </c>
      <c r="N277" s="7" t="s">
        <v>238</v>
      </c>
      <c r="O277" s="5">
        <v>0</v>
      </c>
      <c r="P277" s="5">
        <v>1</v>
      </c>
      <c r="Q277" s="5">
        <v>0</v>
      </c>
      <c r="R277" s="5">
        <v>1</v>
      </c>
      <c r="S277" s="5">
        <v>0</v>
      </c>
      <c r="T277" s="5">
        <v>0</v>
      </c>
      <c r="U277" s="5">
        <v>1</v>
      </c>
      <c r="V277" s="13"/>
      <c r="W277" s="13">
        <v>1</v>
      </c>
      <c r="X277" s="5">
        <v>1</v>
      </c>
      <c r="Y277" s="5"/>
      <c r="Z277" s="5"/>
      <c r="AA277" s="5">
        <v>0</v>
      </c>
      <c r="AB277" s="5"/>
      <c r="AC277" s="5">
        <v>1</v>
      </c>
      <c r="AD277" s="5">
        <v>0</v>
      </c>
      <c r="AE277" s="5">
        <v>0</v>
      </c>
      <c r="AF277" s="5">
        <v>0</v>
      </c>
    </row>
    <row r="278" spans="1:32" x14ac:dyDescent="0.2">
      <c r="A278" s="3" t="str">
        <f>+VLOOKUP(B278,studies!$A$2:$C$102,3)</f>
        <v>Wahba &amp; Hope (2006)</v>
      </c>
      <c r="B278" s="87">
        <v>48</v>
      </c>
      <c r="C278" s="5">
        <v>2006</v>
      </c>
      <c r="D278" s="5">
        <v>1</v>
      </c>
      <c r="E278" s="5">
        <v>2000</v>
      </c>
      <c r="F278" s="5">
        <v>2000</v>
      </c>
      <c r="G278" s="113">
        <v>0.1</v>
      </c>
      <c r="H278" s="7">
        <v>58.148699063269717</v>
      </c>
      <c r="I278" s="5">
        <v>1</v>
      </c>
      <c r="J278" s="5">
        <v>0</v>
      </c>
      <c r="K278" s="5">
        <v>0</v>
      </c>
      <c r="L278" s="7" t="s">
        <v>238</v>
      </c>
      <c r="M278" s="7" t="s">
        <v>238</v>
      </c>
      <c r="N278" s="7" t="s">
        <v>238</v>
      </c>
      <c r="O278" s="5">
        <v>0</v>
      </c>
      <c r="P278" s="5">
        <v>1</v>
      </c>
      <c r="Q278" s="5">
        <v>0</v>
      </c>
      <c r="R278" s="5">
        <v>1</v>
      </c>
      <c r="S278" s="5">
        <v>0</v>
      </c>
      <c r="T278" s="5">
        <v>0</v>
      </c>
      <c r="U278" s="5">
        <v>1</v>
      </c>
      <c r="V278" s="13"/>
      <c r="W278" s="13">
        <v>3</v>
      </c>
      <c r="X278" s="5">
        <v>1</v>
      </c>
      <c r="Y278" s="5"/>
      <c r="Z278" s="5"/>
      <c r="AA278" s="5">
        <v>0</v>
      </c>
      <c r="AB278" s="5"/>
      <c r="AC278" s="5">
        <v>1</v>
      </c>
      <c r="AD278" s="5">
        <v>0</v>
      </c>
      <c r="AE278" s="5">
        <v>0</v>
      </c>
      <c r="AF278" s="5">
        <v>0</v>
      </c>
    </row>
    <row r="279" spans="1:32" x14ac:dyDescent="0.2">
      <c r="A279" s="3" t="str">
        <f>+VLOOKUP(B279,studies!$A$2:$C$102,3)</f>
        <v>Wahba &amp; Hope (2006)</v>
      </c>
      <c r="B279" s="87">
        <v>48</v>
      </c>
      <c r="C279" s="5">
        <v>2006</v>
      </c>
      <c r="D279" s="5">
        <v>1</v>
      </c>
      <c r="E279" s="5">
        <v>2000</v>
      </c>
      <c r="F279" s="5">
        <v>2007</v>
      </c>
      <c r="G279" s="113">
        <v>0</v>
      </c>
      <c r="H279" s="7">
        <v>32.361006116925253</v>
      </c>
      <c r="I279" s="5">
        <v>1</v>
      </c>
      <c r="J279" s="5">
        <v>0</v>
      </c>
      <c r="K279" s="5">
        <v>0</v>
      </c>
      <c r="L279" s="7" t="s">
        <v>238</v>
      </c>
      <c r="M279" s="7" t="s">
        <v>238</v>
      </c>
      <c r="N279" s="7" t="s">
        <v>238</v>
      </c>
      <c r="O279" s="5">
        <v>0</v>
      </c>
      <c r="P279" s="5">
        <v>1</v>
      </c>
      <c r="Q279" s="5">
        <v>0</v>
      </c>
      <c r="R279" s="5">
        <v>1</v>
      </c>
      <c r="S279" s="5">
        <v>0</v>
      </c>
      <c r="T279" s="5">
        <v>0</v>
      </c>
      <c r="U279" s="5">
        <v>1</v>
      </c>
      <c r="V279" s="88"/>
      <c r="W279" s="13">
        <v>3</v>
      </c>
      <c r="X279" s="5">
        <v>1</v>
      </c>
      <c r="Y279" s="5"/>
      <c r="Z279" s="5"/>
      <c r="AA279" s="5">
        <v>0</v>
      </c>
      <c r="AB279" s="33"/>
      <c r="AC279" s="5">
        <v>1</v>
      </c>
      <c r="AD279" s="5">
        <v>0</v>
      </c>
      <c r="AE279" s="5">
        <v>0</v>
      </c>
      <c r="AF279" s="5">
        <v>0</v>
      </c>
    </row>
    <row r="280" spans="1:32" x14ac:dyDescent="0.2">
      <c r="A280" s="3" t="str">
        <f>+VLOOKUP(B280,studies!$A$2:$C$102,3)</f>
        <v>Stern &amp; Taylor (2007)</v>
      </c>
      <c r="B280" s="87">
        <v>49</v>
      </c>
      <c r="C280" s="5">
        <v>2007</v>
      </c>
      <c r="D280" s="5">
        <v>1</v>
      </c>
      <c r="E280" s="5">
        <v>2000</v>
      </c>
      <c r="F280" s="5">
        <v>2000</v>
      </c>
      <c r="G280" s="113">
        <v>0.5</v>
      </c>
      <c r="H280" s="7">
        <v>183.80335910803649</v>
      </c>
      <c r="I280" s="5">
        <v>0</v>
      </c>
      <c r="J280" s="5">
        <v>1</v>
      </c>
      <c r="K280" s="5">
        <v>0</v>
      </c>
      <c r="L280" s="7" t="s">
        <v>238</v>
      </c>
      <c r="M280" s="7" t="s">
        <v>238</v>
      </c>
      <c r="N280" s="7" t="s">
        <v>238</v>
      </c>
      <c r="O280" s="5">
        <v>0</v>
      </c>
      <c r="P280" s="5">
        <v>1</v>
      </c>
      <c r="Q280" s="5">
        <v>0</v>
      </c>
      <c r="R280" s="5">
        <v>1</v>
      </c>
      <c r="S280" s="5">
        <v>0</v>
      </c>
      <c r="T280" s="5">
        <v>0</v>
      </c>
      <c r="U280" s="5">
        <v>1</v>
      </c>
      <c r="V280" s="13"/>
      <c r="W280" s="13">
        <v>0</v>
      </c>
      <c r="X280" s="5"/>
      <c r="Y280" s="5"/>
      <c r="Z280" s="5"/>
      <c r="AA280" s="5">
        <v>0</v>
      </c>
      <c r="AB280" s="5"/>
      <c r="AC280" s="5">
        <v>0</v>
      </c>
      <c r="AD280" s="5">
        <v>0</v>
      </c>
      <c r="AE280" s="5">
        <v>0</v>
      </c>
      <c r="AF280" s="5">
        <v>1</v>
      </c>
    </row>
    <row r="281" spans="1:32" x14ac:dyDescent="0.2">
      <c r="A281" s="3" t="str">
        <f>+VLOOKUP(B281,studies!$A$2:$C$102,3)</f>
        <v>Stern &amp; Taylor (2007)</v>
      </c>
      <c r="B281" s="87">
        <v>49</v>
      </c>
      <c r="C281" s="5">
        <v>2007</v>
      </c>
      <c r="D281" s="5">
        <v>1</v>
      </c>
      <c r="E281" s="5">
        <v>2000</v>
      </c>
      <c r="F281" s="5">
        <v>2000</v>
      </c>
      <c r="G281" s="113">
        <v>0.5</v>
      </c>
      <c r="H281" s="7">
        <v>220.56403092964379</v>
      </c>
      <c r="I281" s="5">
        <v>0</v>
      </c>
      <c r="J281" s="5">
        <v>1</v>
      </c>
      <c r="K281" s="5">
        <v>0</v>
      </c>
      <c r="L281" s="7" t="s">
        <v>238</v>
      </c>
      <c r="M281" s="7" t="s">
        <v>238</v>
      </c>
      <c r="N281" s="7" t="s">
        <v>238</v>
      </c>
      <c r="O281" s="5">
        <v>0</v>
      </c>
      <c r="P281" s="5">
        <v>1</v>
      </c>
      <c r="Q281" s="5">
        <v>0</v>
      </c>
      <c r="R281" s="5">
        <v>1</v>
      </c>
      <c r="S281" s="5">
        <v>0</v>
      </c>
      <c r="T281" s="5">
        <v>0</v>
      </c>
      <c r="U281" s="5">
        <v>1</v>
      </c>
      <c r="V281" s="13"/>
      <c r="W281" s="13">
        <v>0</v>
      </c>
      <c r="X281" s="5"/>
      <c r="Y281" s="5"/>
      <c r="Z281" s="5"/>
      <c r="AA281" s="5">
        <v>0</v>
      </c>
      <c r="AB281" s="5"/>
      <c r="AC281" s="5">
        <v>0</v>
      </c>
      <c r="AD281" s="5">
        <v>0</v>
      </c>
      <c r="AE281" s="5">
        <v>0</v>
      </c>
      <c r="AF281" s="5">
        <v>1</v>
      </c>
    </row>
    <row r="282" spans="1:32" x14ac:dyDescent="0.2">
      <c r="A282" s="3" t="str">
        <f>+VLOOKUP(B282,studies!$A$2:$C$102,3)</f>
        <v>Hope (2008b)</v>
      </c>
      <c r="B282" s="87">
        <v>50</v>
      </c>
      <c r="C282" s="5">
        <v>2008</v>
      </c>
      <c r="D282" s="5">
        <v>1</v>
      </c>
      <c r="E282" s="5">
        <v>2000</v>
      </c>
      <c r="F282" s="5">
        <v>2000</v>
      </c>
      <c r="G282" s="113">
        <v>0.2</v>
      </c>
      <c r="H282" s="7">
        <v>28.071785754681933</v>
      </c>
      <c r="I282" s="5">
        <v>1</v>
      </c>
      <c r="J282" s="5">
        <v>0</v>
      </c>
      <c r="K282" s="5">
        <v>0</v>
      </c>
      <c r="L282" s="7" t="s">
        <v>238</v>
      </c>
      <c r="M282" s="7">
        <v>11.2532668841655</v>
      </c>
      <c r="N282" s="7">
        <v>27.621655079315314</v>
      </c>
      <c r="O282" s="5">
        <v>0</v>
      </c>
      <c r="P282" s="5">
        <v>1</v>
      </c>
      <c r="Q282" s="5">
        <v>0</v>
      </c>
      <c r="R282" s="5">
        <v>1</v>
      </c>
      <c r="S282" s="5">
        <v>0</v>
      </c>
      <c r="T282" s="5">
        <v>0</v>
      </c>
      <c r="U282" s="5">
        <v>1</v>
      </c>
      <c r="V282" s="13"/>
      <c r="W282" s="13">
        <v>2</v>
      </c>
      <c r="X282" s="5">
        <v>1</v>
      </c>
      <c r="Y282" s="3"/>
      <c r="Z282" s="5"/>
      <c r="AA282" s="5">
        <v>0</v>
      </c>
      <c r="AB282" s="3">
        <v>3.9</v>
      </c>
      <c r="AC282" s="5">
        <v>1</v>
      </c>
      <c r="AD282" s="5">
        <v>0</v>
      </c>
      <c r="AE282" s="5">
        <v>0</v>
      </c>
      <c r="AF282" s="5">
        <v>0</v>
      </c>
    </row>
    <row r="283" spans="1:32" x14ac:dyDescent="0.2">
      <c r="A283" s="3" t="str">
        <f>+VLOOKUP(B283,studies!$A$2:$C$102,3)</f>
        <v>Hope (2008b)</v>
      </c>
      <c r="B283" s="87">
        <v>50</v>
      </c>
      <c r="C283" s="5">
        <v>2008</v>
      </c>
      <c r="D283" s="5">
        <v>1</v>
      </c>
      <c r="E283" s="5">
        <v>2000</v>
      </c>
      <c r="F283" s="5">
        <v>2000</v>
      </c>
      <c r="G283" s="113">
        <v>0.2</v>
      </c>
      <c r="H283" s="7">
        <v>26.066658200776079</v>
      </c>
      <c r="I283" s="5">
        <v>1</v>
      </c>
      <c r="J283" s="5">
        <v>0</v>
      </c>
      <c r="K283" s="5">
        <v>0</v>
      </c>
      <c r="L283" s="7" t="s">
        <v>238</v>
      </c>
      <c r="M283" s="7">
        <v>10.230242621968634</v>
      </c>
      <c r="N283" s="7">
        <v>24.552582292724722</v>
      </c>
      <c r="O283" s="5">
        <v>0</v>
      </c>
      <c r="P283" s="5">
        <v>1</v>
      </c>
      <c r="Q283" s="5">
        <v>0</v>
      </c>
      <c r="R283" s="5">
        <v>1</v>
      </c>
      <c r="S283" s="5">
        <v>0</v>
      </c>
      <c r="T283" s="5">
        <v>0</v>
      </c>
      <c r="U283" s="5">
        <v>1</v>
      </c>
      <c r="V283" s="13"/>
      <c r="W283" s="13">
        <v>2</v>
      </c>
      <c r="X283" s="5">
        <v>1</v>
      </c>
      <c r="Y283" s="3"/>
      <c r="Z283" s="5"/>
      <c r="AA283" s="5">
        <v>0</v>
      </c>
      <c r="AB283" s="3">
        <v>3.6</v>
      </c>
      <c r="AC283" s="5">
        <v>1</v>
      </c>
      <c r="AD283" s="5">
        <v>0</v>
      </c>
      <c r="AE283" s="5">
        <v>0</v>
      </c>
      <c r="AF283" s="5">
        <v>0</v>
      </c>
    </row>
    <row r="284" spans="1:32" x14ac:dyDescent="0.2">
      <c r="A284" s="3" t="str">
        <f>+VLOOKUP(B284,studies!$A$2:$C$102,3)</f>
        <v>Hope (2008b)</v>
      </c>
      <c r="B284" s="87">
        <v>50</v>
      </c>
      <c r="C284" s="5">
        <v>2008</v>
      </c>
      <c r="D284" s="5">
        <v>1</v>
      </c>
      <c r="E284" s="5">
        <v>2000</v>
      </c>
      <c r="F284" s="5">
        <v>2000</v>
      </c>
      <c r="G284" s="113">
        <v>0.2</v>
      </c>
      <c r="H284" s="7">
        <v>26.066658200776079</v>
      </c>
      <c r="I284" s="5">
        <v>1</v>
      </c>
      <c r="J284" s="5">
        <v>0</v>
      </c>
      <c r="K284" s="5">
        <v>0</v>
      </c>
      <c r="L284" s="7" t="s">
        <v>238</v>
      </c>
      <c r="M284" s="7">
        <v>11.2532668841655</v>
      </c>
      <c r="N284" s="7">
        <v>30.690727865905902</v>
      </c>
      <c r="O284" s="5">
        <v>0</v>
      </c>
      <c r="P284" s="5">
        <v>1</v>
      </c>
      <c r="Q284" s="5">
        <v>0</v>
      </c>
      <c r="R284" s="5">
        <v>1</v>
      </c>
      <c r="S284" s="5">
        <v>0</v>
      </c>
      <c r="T284" s="5">
        <v>0</v>
      </c>
      <c r="U284" s="5">
        <v>1</v>
      </c>
      <c r="V284" s="13"/>
      <c r="W284" s="13">
        <v>2</v>
      </c>
      <c r="X284" s="5">
        <v>1</v>
      </c>
      <c r="Y284" s="3"/>
      <c r="Z284" s="5"/>
      <c r="AA284" s="5">
        <v>0</v>
      </c>
      <c r="AB284" s="3">
        <v>3.3</v>
      </c>
      <c r="AC284" s="5">
        <v>1</v>
      </c>
      <c r="AD284" s="5">
        <v>0</v>
      </c>
      <c r="AE284" s="5">
        <v>0</v>
      </c>
      <c r="AF284" s="5">
        <v>0</v>
      </c>
    </row>
    <row r="285" spans="1:32" x14ac:dyDescent="0.2">
      <c r="A285" s="3" t="str">
        <f>+VLOOKUP(B285,studies!$A$2:$C$102,3)</f>
        <v>Hope (2008b)</v>
      </c>
      <c r="B285" s="87">
        <v>50</v>
      </c>
      <c r="C285" s="5">
        <v>2008</v>
      </c>
      <c r="D285" s="5">
        <v>1</v>
      </c>
      <c r="E285" s="5">
        <v>2000</v>
      </c>
      <c r="F285" s="5">
        <v>2000</v>
      </c>
      <c r="G285" s="113">
        <v>0.2</v>
      </c>
      <c r="H285" s="7">
        <v>26.066658200776079</v>
      </c>
      <c r="I285" s="5">
        <v>1</v>
      </c>
      <c r="J285" s="5">
        <v>0</v>
      </c>
      <c r="K285" s="5">
        <v>0</v>
      </c>
      <c r="L285" s="7" t="s">
        <v>238</v>
      </c>
      <c r="M285" s="7">
        <v>11.2532668841655</v>
      </c>
      <c r="N285" s="7">
        <v>24.552582292724722</v>
      </c>
      <c r="O285" s="5">
        <v>0</v>
      </c>
      <c r="P285" s="5">
        <v>1</v>
      </c>
      <c r="Q285" s="5">
        <v>0</v>
      </c>
      <c r="R285" s="5">
        <v>1</v>
      </c>
      <c r="S285" s="5">
        <v>0</v>
      </c>
      <c r="T285" s="5">
        <v>0</v>
      </c>
      <c r="U285" s="5">
        <v>1</v>
      </c>
      <c r="V285" s="13"/>
      <c r="W285" s="13">
        <v>2</v>
      </c>
      <c r="X285" s="5">
        <v>1</v>
      </c>
      <c r="Y285" s="3"/>
      <c r="Z285" s="5"/>
      <c r="AA285" s="5">
        <v>0</v>
      </c>
      <c r="AB285" s="3">
        <v>3.1</v>
      </c>
      <c r="AC285" s="5">
        <v>1</v>
      </c>
      <c r="AD285" s="5">
        <v>0</v>
      </c>
      <c r="AE285" s="5">
        <v>0</v>
      </c>
      <c r="AF285" s="5">
        <v>0</v>
      </c>
    </row>
    <row r="286" spans="1:32" x14ac:dyDescent="0.2">
      <c r="A286" s="3" t="str">
        <f>+VLOOKUP(B286,studies!$A$2:$C$102,3)</f>
        <v>Hope (2008b)</v>
      </c>
      <c r="B286" s="87">
        <v>50</v>
      </c>
      <c r="C286" s="5">
        <v>2008</v>
      </c>
      <c r="D286" s="5">
        <v>1</v>
      </c>
      <c r="E286" s="5">
        <v>2000</v>
      </c>
      <c r="F286" s="5">
        <v>2000</v>
      </c>
      <c r="G286" s="113">
        <v>0.2</v>
      </c>
      <c r="H286" s="7">
        <v>24.061530646870228</v>
      </c>
      <c r="I286" s="5">
        <v>1</v>
      </c>
      <c r="J286" s="5">
        <v>0</v>
      </c>
      <c r="K286" s="5">
        <v>0</v>
      </c>
      <c r="L286" s="7" t="s">
        <v>238</v>
      </c>
      <c r="M286" s="7">
        <v>10.230242621968634</v>
      </c>
      <c r="N286" s="7">
        <v>23.529558030527859</v>
      </c>
      <c r="O286" s="5">
        <v>0</v>
      </c>
      <c r="P286" s="5">
        <v>1</v>
      </c>
      <c r="Q286" s="5">
        <v>0</v>
      </c>
      <c r="R286" s="5">
        <v>1</v>
      </c>
      <c r="S286" s="5">
        <v>0</v>
      </c>
      <c r="T286" s="5">
        <v>0</v>
      </c>
      <c r="U286" s="5">
        <v>1</v>
      </c>
      <c r="V286" s="13"/>
      <c r="W286" s="13">
        <v>2</v>
      </c>
      <c r="X286" s="5">
        <v>1</v>
      </c>
      <c r="Y286" s="3"/>
      <c r="Z286" s="5"/>
      <c r="AA286" s="5">
        <v>0</v>
      </c>
      <c r="AB286" s="3">
        <v>3.3</v>
      </c>
      <c r="AC286" s="5">
        <v>1</v>
      </c>
      <c r="AD286" s="5">
        <v>0</v>
      </c>
      <c r="AE286" s="5">
        <v>0</v>
      </c>
      <c r="AF286" s="5">
        <v>1</v>
      </c>
    </row>
    <row r="287" spans="1:32" x14ac:dyDescent="0.2">
      <c r="A287" s="3" t="str">
        <f>+VLOOKUP(B287,studies!$A$2:$C$102,3)</f>
        <v>Hope (2008a)</v>
      </c>
      <c r="B287" s="87">
        <v>51</v>
      </c>
      <c r="C287" s="5">
        <v>2008</v>
      </c>
      <c r="D287" s="5">
        <v>1</v>
      </c>
      <c r="E287" s="5">
        <v>2000</v>
      </c>
      <c r="F287" s="5">
        <v>2000</v>
      </c>
      <c r="G287" s="113">
        <v>0.1</v>
      </c>
      <c r="H287" s="7">
        <v>32.082040862493642</v>
      </c>
      <c r="I287" s="5">
        <v>1</v>
      </c>
      <c r="J287" s="5">
        <v>0</v>
      </c>
      <c r="K287" s="5">
        <v>0</v>
      </c>
      <c r="L287" s="7" t="s">
        <v>238</v>
      </c>
      <c r="M287" s="7">
        <v>12.276291146362361</v>
      </c>
      <c r="N287" s="7">
        <v>28.64467934151218</v>
      </c>
      <c r="O287" s="5">
        <v>0</v>
      </c>
      <c r="P287" s="5">
        <v>1</v>
      </c>
      <c r="Q287" s="5">
        <v>0</v>
      </c>
      <c r="R287" s="5">
        <v>1</v>
      </c>
      <c r="S287" s="5">
        <v>0</v>
      </c>
      <c r="T287" s="5">
        <v>0</v>
      </c>
      <c r="U287" s="5">
        <v>1</v>
      </c>
      <c r="V287" s="13"/>
      <c r="W287" s="13">
        <v>3</v>
      </c>
      <c r="X287" s="3"/>
      <c r="Y287" s="3"/>
      <c r="Z287" s="5"/>
      <c r="AA287" s="5">
        <v>0</v>
      </c>
      <c r="AB287" s="5"/>
      <c r="AC287" s="5">
        <v>1</v>
      </c>
      <c r="AD287" s="5">
        <v>0</v>
      </c>
      <c r="AE287" s="5">
        <v>0</v>
      </c>
      <c r="AF287" s="5">
        <v>0</v>
      </c>
    </row>
    <row r="288" spans="1:32" x14ac:dyDescent="0.2">
      <c r="A288" s="3" t="str">
        <f>+VLOOKUP(B288,studies!$A$2:$C$102,3)</f>
        <v>Hope (2008a)</v>
      </c>
      <c r="B288" s="87">
        <v>51</v>
      </c>
      <c r="C288" s="5">
        <v>2008</v>
      </c>
      <c r="D288" s="5">
        <v>1</v>
      </c>
      <c r="E288" s="5">
        <v>2000</v>
      </c>
      <c r="F288" s="5">
        <v>2000</v>
      </c>
      <c r="G288" s="113">
        <v>0.1</v>
      </c>
      <c r="H288" s="7">
        <v>116.29739812653943</v>
      </c>
      <c r="I288" s="5">
        <v>1</v>
      </c>
      <c r="J288" s="5">
        <v>0</v>
      </c>
      <c r="K288" s="5">
        <v>0</v>
      </c>
      <c r="L288" s="7" t="s">
        <v>238</v>
      </c>
      <c r="M288" s="7">
        <v>46.036091798858855</v>
      </c>
      <c r="N288" s="7">
        <v>100.25637769529261</v>
      </c>
      <c r="O288" s="5">
        <v>0</v>
      </c>
      <c r="P288" s="5">
        <v>1</v>
      </c>
      <c r="Q288" s="5">
        <v>0</v>
      </c>
      <c r="R288" s="5">
        <v>1</v>
      </c>
      <c r="S288" s="5">
        <v>0</v>
      </c>
      <c r="T288" s="5">
        <v>0</v>
      </c>
      <c r="U288" s="5">
        <v>1</v>
      </c>
      <c r="V288" s="13">
        <v>3</v>
      </c>
      <c r="W288" s="13">
        <v>1</v>
      </c>
      <c r="X288" s="3"/>
      <c r="Y288" s="3"/>
      <c r="Z288" s="5"/>
      <c r="AA288" s="5">
        <v>0</v>
      </c>
      <c r="AB288" s="5"/>
      <c r="AC288" s="5">
        <v>1</v>
      </c>
      <c r="AD288" s="5">
        <v>0</v>
      </c>
      <c r="AE288" s="5">
        <v>0</v>
      </c>
      <c r="AF288" s="5">
        <v>0</v>
      </c>
    </row>
    <row r="289" spans="1:32" x14ac:dyDescent="0.2">
      <c r="A289" s="3" t="str">
        <f>+VLOOKUP(B289,studies!$A$2:$C$102,3)</f>
        <v>Hope (2008a)</v>
      </c>
      <c r="B289" s="87">
        <v>51</v>
      </c>
      <c r="C289" s="5">
        <v>2008</v>
      </c>
      <c r="D289" s="5">
        <v>1</v>
      </c>
      <c r="E289" s="5">
        <v>2000</v>
      </c>
      <c r="F289" s="5">
        <v>2000</v>
      </c>
      <c r="G289" s="113">
        <v>0.1</v>
      </c>
      <c r="H289" s="7">
        <v>156.39994920465648</v>
      </c>
      <c r="I289" s="5">
        <v>1</v>
      </c>
      <c r="J289" s="5">
        <v>0</v>
      </c>
      <c r="K289" s="5">
        <v>0</v>
      </c>
      <c r="L289" s="7" t="s">
        <v>238</v>
      </c>
      <c r="M289" s="7">
        <v>61.381455731811805</v>
      </c>
      <c r="N289" s="7">
        <v>145.26944523195462</v>
      </c>
      <c r="O289" s="5">
        <v>0</v>
      </c>
      <c r="P289" s="5">
        <v>1</v>
      </c>
      <c r="Q289" s="5">
        <v>0</v>
      </c>
      <c r="R289" s="5">
        <v>1</v>
      </c>
      <c r="S289" s="5">
        <v>0</v>
      </c>
      <c r="T289" s="5">
        <v>0</v>
      </c>
      <c r="U289" s="5">
        <v>1</v>
      </c>
      <c r="V289" s="13">
        <v>3</v>
      </c>
      <c r="W289" s="13">
        <v>1</v>
      </c>
      <c r="X289" s="3">
        <v>1</v>
      </c>
      <c r="Y289" s="3"/>
      <c r="Z289" s="5"/>
      <c r="AA289" s="5">
        <v>1</v>
      </c>
      <c r="AB289" s="5"/>
      <c r="AC289" s="5">
        <v>1</v>
      </c>
      <c r="AD289" s="5">
        <v>0</v>
      </c>
      <c r="AE289" s="5">
        <v>0</v>
      </c>
      <c r="AF289" s="5">
        <v>0</v>
      </c>
    </row>
    <row r="290" spans="1:32" x14ac:dyDescent="0.2">
      <c r="A290" s="3" t="str">
        <f>+VLOOKUP(B290,studies!$A$2:$C$102,3)</f>
        <v>Hope (2008a)</v>
      </c>
      <c r="B290" s="87">
        <v>51</v>
      </c>
      <c r="C290" s="5">
        <v>2008</v>
      </c>
      <c r="D290" s="5">
        <v>1</v>
      </c>
      <c r="E290" s="5">
        <v>2000</v>
      </c>
      <c r="F290" s="5">
        <v>2000</v>
      </c>
      <c r="G290" s="113">
        <v>0.1</v>
      </c>
      <c r="H290" s="7">
        <v>130.33329100388039</v>
      </c>
      <c r="I290" s="5">
        <v>1</v>
      </c>
      <c r="J290" s="5">
        <v>0</v>
      </c>
      <c r="K290" s="5">
        <v>0</v>
      </c>
      <c r="L290" s="7" t="s">
        <v>238</v>
      </c>
      <c r="M290" s="7">
        <v>51.151213109843177</v>
      </c>
      <c r="N290" s="7">
        <v>121.73988720142675</v>
      </c>
      <c r="O290" s="5">
        <v>0</v>
      </c>
      <c r="P290" s="5">
        <v>1</v>
      </c>
      <c r="Q290" s="5">
        <v>0</v>
      </c>
      <c r="R290" s="5">
        <v>1</v>
      </c>
      <c r="S290" s="5">
        <v>0</v>
      </c>
      <c r="T290" s="5">
        <v>0</v>
      </c>
      <c r="U290" s="5">
        <v>1</v>
      </c>
      <c r="V290" s="13">
        <v>3</v>
      </c>
      <c r="W290" s="13">
        <v>1</v>
      </c>
      <c r="X290" s="3">
        <v>0.5</v>
      </c>
      <c r="Y290" s="3"/>
      <c r="Z290" s="5"/>
      <c r="AA290" s="5">
        <v>1</v>
      </c>
      <c r="AB290" s="5"/>
      <c r="AC290" s="5">
        <v>1</v>
      </c>
      <c r="AD290" s="5">
        <v>0</v>
      </c>
      <c r="AE290" s="5">
        <v>0</v>
      </c>
      <c r="AF290" s="5">
        <v>0</v>
      </c>
    </row>
    <row r="291" spans="1:32" x14ac:dyDescent="0.2">
      <c r="A291" s="3" t="str">
        <f>+VLOOKUP(B291,studies!$A$2:$C$102,3)</f>
        <v>Hope (2008a)</v>
      </c>
      <c r="B291" s="87">
        <v>51</v>
      </c>
      <c r="C291" s="5">
        <v>2008</v>
      </c>
      <c r="D291" s="5">
        <v>1</v>
      </c>
      <c r="E291" s="5">
        <v>2000</v>
      </c>
      <c r="F291" s="5">
        <v>2000</v>
      </c>
      <c r="G291" s="113">
        <v>0.1</v>
      </c>
      <c r="H291" s="7">
        <v>50.128188847646307</v>
      </c>
      <c r="I291" s="5">
        <v>1</v>
      </c>
      <c r="J291" s="5">
        <v>0</v>
      </c>
      <c r="K291" s="5">
        <v>0</v>
      </c>
      <c r="L291" s="7" t="s">
        <v>238</v>
      </c>
      <c r="M291" s="7">
        <v>18.414436719543545</v>
      </c>
      <c r="N291" s="7">
        <v>37.851897701283946</v>
      </c>
      <c r="O291" s="5">
        <v>0</v>
      </c>
      <c r="P291" s="5">
        <v>1</v>
      </c>
      <c r="Q291" s="5">
        <v>0</v>
      </c>
      <c r="R291" s="5">
        <v>1</v>
      </c>
      <c r="S291" s="5">
        <v>0</v>
      </c>
      <c r="T291" s="5">
        <v>0</v>
      </c>
      <c r="U291" s="5">
        <v>1</v>
      </c>
      <c r="V291" s="13"/>
      <c r="W291" s="13">
        <v>2</v>
      </c>
      <c r="X291" s="3">
        <v>1</v>
      </c>
      <c r="Y291" s="3"/>
      <c r="Z291" s="5"/>
      <c r="AA291" s="5">
        <v>1</v>
      </c>
      <c r="AB291" s="5"/>
      <c r="AC291" s="5">
        <v>1</v>
      </c>
      <c r="AD291" s="5">
        <v>0</v>
      </c>
      <c r="AE291" s="5">
        <v>0</v>
      </c>
      <c r="AF291" s="5">
        <v>0</v>
      </c>
    </row>
    <row r="292" spans="1:32" x14ac:dyDescent="0.2">
      <c r="A292" s="3" t="str">
        <f>+VLOOKUP(B292,studies!$A$2:$C$102,3)</f>
        <v>Hope (2008a)</v>
      </c>
      <c r="B292" s="87">
        <v>51</v>
      </c>
      <c r="C292" s="5">
        <v>2008</v>
      </c>
      <c r="D292" s="5">
        <v>1</v>
      </c>
      <c r="E292" s="5">
        <v>2000</v>
      </c>
      <c r="F292" s="5">
        <v>2000</v>
      </c>
      <c r="G292" s="113">
        <v>0.1</v>
      </c>
      <c r="H292" s="7">
        <v>138.35380121950379</v>
      </c>
      <c r="I292" s="5">
        <v>1</v>
      </c>
      <c r="J292" s="5">
        <v>0</v>
      </c>
      <c r="K292" s="5">
        <v>0</v>
      </c>
      <c r="L292" s="7" t="s">
        <v>238</v>
      </c>
      <c r="M292" s="7">
        <v>55.243310158630628</v>
      </c>
      <c r="N292" s="7">
        <v>126.85500851241108</v>
      </c>
      <c r="O292" s="5">
        <v>0</v>
      </c>
      <c r="P292" s="5">
        <v>1</v>
      </c>
      <c r="Q292" s="5">
        <v>0</v>
      </c>
      <c r="R292" s="5">
        <v>1</v>
      </c>
      <c r="S292" s="5">
        <v>0</v>
      </c>
      <c r="T292" s="5">
        <v>0</v>
      </c>
      <c r="U292" s="5">
        <v>1</v>
      </c>
      <c r="V292" s="13"/>
      <c r="W292" s="13">
        <v>1</v>
      </c>
      <c r="X292" s="3">
        <v>1</v>
      </c>
      <c r="Y292" s="3"/>
      <c r="Z292" s="5"/>
      <c r="AA292" s="5">
        <v>1</v>
      </c>
      <c r="AB292" s="5"/>
      <c r="AC292" s="5">
        <v>1</v>
      </c>
      <c r="AD292" s="5">
        <v>0</v>
      </c>
      <c r="AE292" s="5">
        <v>0</v>
      </c>
      <c r="AF292" s="5">
        <v>0</v>
      </c>
    </row>
    <row r="293" spans="1:32" x14ac:dyDescent="0.2">
      <c r="A293" s="3" t="str">
        <f>+VLOOKUP(B293,studies!$A$2:$C$102,3)</f>
        <v>Hope (2008a)</v>
      </c>
      <c r="B293" s="87">
        <v>51</v>
      </c>
      <c r="C293" s="5">
        <v>2008</v>
      </c>
      <c r="D293" s="5">
        <v>1</v>
      </c>
      <c r="E293" s="5">
        <v>2000</v>
      </c>
      <c r="F293" s="5">
        <v>2000</v>
      </c>
      <c r="G293" s="113">
        <v>0.1</v>
      </c>
      <c r="H293" s="7">
        <v>124.31790834216285</v>
      </c>
      <c r="I293" s="5">
        <v>1</v>
      </c>
      <c r="J293" s="5">
        <v>0</v>
      </c>
      <c r="K293" s="5">
        <v>0</v>
      </c>
      <c r="L293" s="7" t="s">
        <v>238</v>
      </c>
      <c r="M293" s="7">
        <v>49.105164585449444</v>
      </c>
      <c r="N293" s="7">
        <v>129.92408129900167</v>
      </c>
      <c r="O293" s="5">
        <v>0</v>
      </c>
      <c r="P293" s="5">
        <v>1</v>
      </c>
      <c r="Q293" s="5">
        <v>0</v>
      </c>
      <c r="R293" s="5">
        <v>1</v>
      </c>
      <c r="S293" s="5">
        <v>0</v>
      </c>
      <c r="T293" s="5">
        <v>0</v>
      </c>
      <c r="U293" s="5">
        <v>1</v>
      </c>
      <c r="V293" s="13"/>
      <c r="W293" s="13">
        <v>2</v>
      </c>
      <c r="X293" s="3">
        <v>0.5</v>
      </c>
      <c r="Y293" s="3"/>
      <c r="Z293" s="5"/>
      <c r="AA293" s="5">
        <v>1</v>
      </c>
      <c r="AB293" s="5"/>
      <c r="AC293" s="5">
        <v>1</v>
      </c>
      <c r="AD293" s="5">
        <v>0</v>
      </c>
      <c r="AE293" s="5">
        <v>0</v>
      </c>
      <c r="AF293" s="5">
        <v>0</v>
      </c>
    </row>
    <row r="294" spans="1:32" x14ac:dyDescent="0.2">
      <c r="A294" s="3" t="str">
        <f>+VLOOKUP(B294,studies!$A$2:$C$102,3)</f>
        <v>Hope (2008a)</v>
      </c>
      <c r="B294" s="87">
        <v>51</v>
      </c>
      <c r="C294" s="5">
        <v>2008</v>
      </c>
      <c r="D294" s="5">
        <v>1</v>
      </c>
      <c r="E294" s="5">
        <v>2000</v>
      </c>
      <c r="F294" s="5">
        <v>2000</v>
      </c>
      <c r="G294" s="113">
        <v>0.1</v>
      </c>
      <c r="H294" s="7">
        <v>411.05114855069974</v>
      </c>
      <c r="I294" s="5">
        <v>1</v>
      </c>
      <c r="J294" s="5">
        <v>0</v>
      </c>
      <c r="K294" s="5">
        <v>0</v>
      </c>
      <c r="L294" s="7" t="s">
        <v>238</v>
      </c>
      <c r="M294" s="7">
        <v>166.75295473808876</v>
      </c>
      <c r="N294" s="7">
        <v>401.02551078117045</v>
      </c>
      <c r="O294" s="5">
        <v>0</v>
      </c>
      <c r="P294" s="5">
        <v>1</v>
      </c>
      <c r="Q294" s="5">
        <v>0</v>
      </c>
      <c r="R294" s="5">
        <v>1</v>
      </c>
      <c r="S294" s="5">
        <v>0</v>
      </c>
      <c r="T294" s="5">
        <v>0</v>
      </c>
      <c r="U294" s="5">
        <v>1</v>
      </c>
      <c r="V294" s="13"/>
      <c r="W294" s="13">
        <v>1</v>
      </c>
      <c r="X294" s="3">
        <v>0.5</v>
      </c>
      <c r="Y294" s="3"/>
      <c r="Z294" s="5"/>
      <c r="AA294" s="5">
        <v>1</v>
      </c>
      <c r="AB294" s="5"/>
      <c r="AC294" s="5">
        <v>1</v>
      </c>
      <c r="AD294" s="5">
        <v>0</v>
      </c>
      <c r="AE294" s="5">
        <v>0</v>
      </c>
      <c r="AF294" s="5">
        <v>0</v>
      </c>
    </row>
    <row r="295" spans="1:32" x14ac:dyDescent="0.2">
      <c r="A295" s="3" t="str">
        <f>+VLOOKUP(B295,studies!$A$2:$C$102,3)</f>
        <v>Hope (2008a)</v>
      </c>
      <c r="B295" s="87">
        <v>51</v>
      </c>
      <c r="C295" s="5">
        <v>2008</v>
      </c>
      <c r="D295" s="5">
        <v>1</v>
      </c>
      <c r="E295" s="5">
        <v>2000</v>
      </c>
      <c r="F295" s="5">
        <v>2000</v>
      </c>
      <c r="G295" s="113">
        <v>0.1</v>
      </c>
      <c r="H295" s="7">
        <v>405.03576588898221</v>
      </c>
      <c r="I295" s="5">
        <v>1</v>
      </c>
      <c r="J295" s="5">
        <v>0</v>
      </c>
      <c r="K295" s="5">
        <v>0</v>
      </c>
      <c r="L295" s="7" t="s">
        <v>238</v>
      </c>
      <c r="M295" s="7">
        <v>165.7299304758919</v>
      </c>
      <c r="N295" s="7">
        <v>435.80833569586389</v>
      </c>
      <c r="O295" s="5">
        <v>0</v>
      </c>
      <c r="P295" s="5">
        <v>1</v>
      </c>
      <c r="Q295" s="5">
        <v>0</v>
      </c>
      <c r="R295" s="5">
        <v>1</v>
      </c>
      <c r="S295" s="5">
        <v>0</v>
      </c>
      <c r="T295" s="5">
        <v>0</v>
      </c>
      <c r="U295" s="5">
        <v>1</v>
      </c>
      <c r="V295" s="13"/>
      <c r="W295" s="13">
        <v>2</v>
      </c>
      <c r="X295" s="3">
        <v>0</v>
      </c>
      <c r="Y295" s="3"/>
      <c r="Z295" s="5"/>
      <c r="AA295" s="5">
        <v>0</v>
      </c>
      <c r="AB295" s="5"/>
      <c r="AC295" s="5">
        <v>1</v>
      </c>
      <c r="AD295" s="5">
        <v>0</v>
      </c>
      <c r="AE295" s="5">
        <v>0</v>
      </c>
      <c r="AF295" s="5">
        <v>0</v>
      </c>
    </row>
    <row r="296" spans="1:32" x14ac:dyDescent="0.2">
      <c r="A296" s="3" t="str">
        <f>+VLOOKUP(B296,studies!$A$2:$C$102,3)</f>
        <v>Hope (2008a)</v>
      </c>
      <c r="B296" s="87">
        <v>51</v>
      </c>
      <c r="C296" s="5">
        <v>2008</v>
      </c>
      <c r="D296" s="5">
        <v>1</v>
      </c>
      <c r="E296" s="5">
        <v>2000</v>
      </c>
      <c r="F296" s="5">
        <v>2000</v>
      </c>
      <c r="G296" s="113">
        <v>0.1</v>
      </c>
      <c r="H296" s="7">
        <v>1634.1789564332698</v>
      </c>
      <c r="I296" s="5">
        <v>1</v>
      </c>
      <c r="J296" s="5">
        <v>0</v>
      </c>
      <c r="K296" s="5">
        <v>0</v>
      </c>
      <c r="L296" s="7" t="s">
        <v>238</v>
      </c>
      <c r="M296" s="7">
        <v>685.4262556718985</v>
      </c>
      <c r="N296" s="7">
        <v>1592.8487762405164</v>
      </c>
      <c r="O296" s="5">
        <v>0</v>
      </c>
      <c r="P296" s="5">
        <v>1</v>
      </c>
      <c r="Q296" s="5">
        <v>0</v>
      </c>
      <c r="R296" s="5">
        <v>1</v>
      </c>
      <c r="S296" s="5">
        <v>0</v>
      </c>
      <c r="T296" s="5">
        <v>0</v>
      </c>
      <c r="U296" s="5">
        <v>1</v>
      </c>
      <c r="V296" s="13"/>
      <c r="W296" s="13">
        <v>1</v>
      </c>
      <c r="X296" s="3">
        <v>0</v>
      </c>
      <c r="Y296" s="3"/>
      <c r="Z296" s="5"/>
      <c r="AA296" s="5">
        <v>0</v>
      </c>
      <c r="AB296" s="5"/>
      <c r="AC296" s="5">
        <v>1</v>
      </c>
      <c r="AD296" s="5">
        <v>0</v>
      </c>
      <c r="AE296" s="5">
        <v>0</v>
      </c>
      <c r="AF296" s="5">
        <v>0</v>
      </c>
    </row>
    <row r="297" spans="1:32" x14ac:dyDescent="0.2">
      <c r="A297" s="3" t="str">
        <f>+VLOOKUP(B297,studies!$A$2:$C$102,3)</f>
        <v>Nordhaus (2008)</v>
      </c>
      <c r="B297" s="87">
        <v>52</v>
      </c>
      <c r="C297" s="5">
        <v>2008</v>
      </c>
      <c r="D297" s="5">
        <v>0</v>
      </c>
      <c r="E297" s="5">
        <v>2005</v>
      </c>
      <c r="F297" s="5">
        <v>2005</v>
      </c>
      <c r="G297" s="113">
        <v>0.2</v>
      </c>
      <c r="H297" s="7">
        <v>42.622952008437778</v>
      </c>
      <c r="I297" s="5">
        <v>0</v>
      </c>
      <c r="J297" s="5">
        <v>1</v>
      </c>
      <c r="K297" s="5">
        <v>0</v>
      </c>
      <c r="L297" s="7" t="s">
        <v>238</v>
      </c>
      <c r="M297" s="7" t="s">
        <v>238</v>
      </c>
      <c r="N297" s="7" t="s">
        <v>238</v>
      </c>
      <c r="O297" s="5">
        <v>1</v>
      </c>
      <c r="P297" s="5">
        <v>1</v>
      </c>
      <c r="Q297" s="5">
        <v>0</v>
      </c>
      <c r="R297" s="5">
        <v>1</v>
      </c>
      <c r="S297" s="5">
        <v>0</v>
      </c>
      <c r="T297" s="5">
        <v>1</v>
      </c>
      <c r="U297" s="5">
        <v>0</v>
      </c>
      <c r="V297" s="13">
        <v>4.0999999999999996</v>
      </c>
      <c r="W297" s="13">
        <v>1.5</v>
      </c>
      <c r="X297" s="3">
        <v>2</v>
      </c>
      <c r="Y297" s="3">
        <v>1.3</v>
      </c>
      <c r="Z297" s="5">
        <v>0.5</v>
      </c>
      <c r="AA297" s="5">
        <v>0</v>
      </c>
      <c r="AB297" s="5">
        <v>3</v>
      </c>
      <c r="AC297" s="5">
        <v>0</v>
      </c>
      <c r="AD297" s="5">
        <v>1</v>
      </c>
      <c r="AE297" s="5">
        <v>0</v>
      </c>
      <c r="AF297" s="5">
        <v>0</v>
      </c>
    </row>
    <row r="298" spans="1:32" x14ac:dyDescent="0.2">
      <c r="A298" s="3" t="str">
        <f>+VLOOKUP(B298,studies!$A$2:$C$102,3)</f>
        <v>Nordhaus (2008)</v>
      </c>
      <c r="B298" s="87">
        <v>52</v>
      </c>
      <c r="C298" s="5">
        <v>2008</v>
      </c>
      <c r="D298" s="5">
        <v>0</v>
      </c>
      <c r="E298" s="5">
        <v>2005</v>
      </c>
      <c r="F298" s="5">
        <v>2005</v>
      </c>
      <c r="G298" s="113">
        <v>0</v>
      </c>
      <c r="H298" s="7">
        <v>46.782111623143876</v>
      </c>
      <c r="I298" s="5">
        <v>0</v>
      </c>
      <c r="J298" s="5">
        <v>1</v>
      </c>
      <c r="K298" s="5">
        <v>0</v>
      </c>
      <c r="L298" s="7" t="s">
        <v>238</v>
      </c>
      <c r="M298" s="7" t="s">
        <v>238</v>
      </c>
      <c r="N298" s="7" t="s">
        <v>238</v>
      </c>
      <c r="O298" s="5">
        <v>1</v>
      </c>
      <c r="P298" s="5">
        <v>1</v>
      </c>
      <c r="Q298" s="5">
        <v>0</v>
      </c>
      <c r="R298" s="5">
        <v>1</v>
      </c>
      <c r="S298" s="5">
        <v>0</v>
      </c>
      <c r="T298" s="5">
        <v>1</v>
      </c>
      <c r="U298" s="5">
        <v>0</v>
      </c>
      <c r="V298" s="13">
        <v>4.0999999999999996</v>
      </c>
      <c r="W298" s="13">
        <v>1.5</v>
      </c>
      <c r="X298" s="3">
        <v>2</v>
      </c>
      <c r="Y298" s="3">
        <v>1.3</v>
      </c>
      <c r="Z298" s="5">
        <v>0.5</v>
      </c>
      <c r="AA298" s="5">
        <v>0</v>
      </c>
      <c r="AB298" s="5">
        <v>3</v>
      </c>
      <c r="AC298" s="5">
        <v>0</v>
      </c>
      <c r="AD298" s="5">
        <v>1</v>
      </c>
      <c r="AE298" s="5">
        <v>0</v>
      </c>
      <c r="AF298" s="5">
        <v>1</v>
      </c>
    </row>
    <row r="299" spans="1:32" x14ac:dyDescent="0.2">
      <c r="A299" s="3" t="str">
        <f>+VLOOKUP(B299,studies!$A$2:$C$102,3)</f>
        <v>Nordhaus (2008)</v>
      </c>
      <c r="B299" s="87">
        <v>52</v>
      </c>
      <c r="C299" s="5">
        <v>2008</v>
      </c>
      <c r="D299" s="5">
        <v>0</v>
      </c>
      <c r="E299" s="5">
        <v>2005</v>
      </c>
      <c r="F299" s="5">
        <v>2005</v>
      </c>
      <c r="G299" s="113">
        <v>0.01</v>
      </c>
      <c r="H299" s="7">
        <v>343.10717951276246</v>
      </c>
      <c r="I299" s="5">
        <v>0</v>
      </c>
      <c r="J299" s="5">
        <v>1</v>
      </c>
      <c r="K299" s="5">
        <v>0</v>
      </c>
      <c r="L299" s="7" t="s">
        <v>238</v>
      </c>
      <c r="M299" s="7" t="s">
        <v>238</v>
      </c>
      <c r="N299" s="7" t="s">
        <v>238</v>
      </c>
      <c r="O299" s="5">
        <v>1</v>
      </c>
      <c r="P299" s="5">
        <v>1</v>
      </c>
      <c r="Q299" s="5">
        <v>0</v>
      </c>
      <c r="R299" s="5">
        <v>1</v>
      </c>
      <c r="S299" s="5">
        <v>0</v>
      </c>
      <c r="T299" s="5">
        <v>1</v>
      </c>
      <c r="U299" s="5">
        <v>0</v>
      </c>
      <c r="V299" s="13">
        <v>1.4</v>
      </c>
      <c r="W299" s="13">
        <v>0.1</v>
      </c>
      <c r="X299" s="3">
        <v>1</v>
      </c>
      <c r="Y299" s="3">
        <v>1.3</v>
      </c>
      <c r="Z299" s="5">
        <v>1</v>
      </c>
      <c r="AA299" s="5">
        <v>0</v>
      </c>
      <c r="AB299" s="5">
        <v>3</v>
      </c>
      <c r="AC299" s="5">
        <v>0</v>
      </c>
      <c r="AD299" s="5">
        <v>1</v>
      </c>
      <c r="AE299" s="5">
        <v>0</v>
      </c>
      <c r="AF299" s="5">
        <v>1</v>
      </c>
    </row>
    <row r="300" spans="1:32" x14ac:dyDescent="0.2">
      <c r="A300" s="3" t="str">
        <f>+VLOOKUP(B300,studies!$A$2:$C$102,3)</f>
        <v>Nordhaus (2008)</v>
      </c>
      <c r="B300" s="87">
        <v>52</v>
      </c>
      <c r="C300" s="5">
        <v>2008</v>
      </c>
      <c r="D300" s="5">
        <v>0</v>
      </c>
      <c r="E300" s="5">
        <v>2005</v>
      </c>
      <c r="F300" s="5">
        <v>2015</v>
      </c>
      <c r="G300" s="113">
        <v>0.09</v>
      </c>
      <c r="H300" s="7">
        <v>42.395427353588467</v>
      </c>
      <c r="I300" s="5">
        <v>0</v>
      </c>
      <c r="J300" s="5">
        <v>1</v>
      </c>
      <c r="K300" s="5">
        <v>0</v>
      </c>
      <c r="L300" s="7" t="s">
        <v>238</v>
      </c>
      <c r="M300" s="7" t="s">
        <v>238</v>
      </c>
      <c r="N300" s="7" t="s">
        <v>238</v>
      </c>
      <c r="O300" s="5">
        <v>1</v>
      </c>
      <c r="P300" s="5">
        <v>1</v>
      </c>
      <c r="Q300" s="5">
        <v>0</v>
      </c>
      <c r="R300" s="5">
        <v>1</v>
      </c>
      <c r="S300" s="5">
        <v>0</v>
      </c>
      <c r="T300" s="5">
        <v>1</v>
      </c>
      <c r="U300" s="5">
        <v>0</v>
      </c>
      <c r="V300" s="13">
        <v>1.4</v>
      </c>
      <c r="W300" s="13">
        <v>0.1</v>
      </c>
      <c r="X300" s="3">
        <v>1</v>
      </c>
      <c r="Y300" s="3">
        <v>1.3</v>
      </c>
      <c r="Z300" s="5">
        <v>1</v>
      </c>
      <c r="AA300" s="5">
        <v>0</v>
      </c>
      <c r="AB300" s="5">
        <v>3</v>
      </c>
      <c r="AC300" s="5">
        <v>0</v>
      </c>
      <c r="AD300" s="5">
        <v>1</v>
      </c>
      <c r="AE300" s="5">
        <v>0</v>
      </c>
      <c r="AF300" s="5">
        <v>1</v>
      </c>
    </row>
    <row r="301" spans="1:32" x14ac:dyDescent="0.2">
      <c r="A301" s="3" t="str">
        <f>+VLOOKUP(B301,studies!$A$2:$C$102,3)</f>
        <v>Anthoff et al. (2009a)</v>
      </c>
      <c r="B301" s="87">
        <v>53</v>
      </c>
      <c r="C301" s="5">
        <v>2009</v>
      </c>
      <c r="D301" s="5">
        <v>1</v>
      </c>
      <c r="E301" s="5">
        <v>1995</v>
      </c>
      <c r="F301" s="48">
        <v>2010</v>
      </c>
      <c r="G301" s="115">
        <v>3.0303030303030304E-2</v>
      </c>
      <c r="H301" s="7">
        <v>83.885473996294053</v>
      </c>
      <c r="I301" s="5">
        <v>0</v>
      </c>
      <c r="J301" s="5">
        <v>1</v>
      </c>
      <c r="K301" s="5">
        <v>0</v>
      </c>
      <c r="L301" s="7" t="s">
        <v>238</v>
      </c>
      <c r="M301" s="7" t="s">
        <v>238</v>
      </c>
      <c r="N301" s="7" t="s">
        <v>238</v>
      </c>
      <c r="O301" s="5">
        <v>0</v>
      </c>
      <c r="P301" s="5">
        <v>1</v>
      </c>
      <c r="Q301" s="5">
        <v>1</v>
      </c>
      <c r="R301" s="5">
        <v>1</v>
      </c>
      <c r="S301" s="5">
        <v>1</v>
      </c>
      <c r="T301" s="5">
        <v>0</v>
      </c>
      <c r="U301" s="5">
        <v>0</v>
      </c>
      <c r="V301" s="13"/>
      <c r="W301" s="13">
        <v>0</v>
      </c>
      <c r="X301" s="3"/>
      <c r="Y301" s="3"/>
      <c r="Z301" s="5"/>
      <c r="AA301" s="5">
        <v>1</v>
      </c>
      <c r="AB301" s="5"/>
      <c r="AC301" s="5">
        <v>0</v>
      </c>
      <c r="AD301" s="5">
        <v>0</v>
      </c>
      <c r="AE301" s="5">
        <v>1</v>
      </c>
      <c r="AF301" s="5">
        <v>0</v>
      </c>
    </row>
    <row r="302" spans="1:32" x14ac:dyDescent="0.2">
      <c r="A302" s="3" t="str">
        <f>+VLOOKUP(B302,studies!$A$2:$C$102,3)</f>
        <v>Anthoff et al. (2009a)</v>
      </c>
      <c r="B302" s="87">
        <v>53</v>
      </c>
      <c r="C302" s="5">
        <v>2009</v>
      </c>
      <c r="D302" s="5">
        <v>1</v>
      </c>
      <c r="E302" s="5">
        <v>1995</v>
      </c>
      <c r="F302" s="48">
        <v>2010</v>
      </c>
      <c r="G302" s="115">
        <v>3.0303030303030304E-2</v>
      </c>
      <c r="H302" s="7">
        <v>14.675788691200552</v>
      </c>
      <c r="I302" s="5">
        <v>0</v>
      </c>
      <c r="J302" s="5">
        <v>1</v>
      </c>
      <c r="K302" s="5">
        <v>0</v>
      </c>
      <c r="L302" s="7" t="s">
        <v>238</v>
      </c>
      <c r="M302" s="7" t="s">
        <v>238</v>
      </c>
      <c r="N302" s="7" t="s">
        <v>238</v>
      </c>
      <c r="O302" s="5">
        <v>0</v>
      </c>
      <c r="P302" s="5">
        <v>1</v>
      </c>
      <c r="Q302" s="5">
        <v>1</v>
      </c>
      <c r="R302" s="5">
        <v>1</v>
      </c>
      <c r="S302" s="5">
        <v>1</v>
      </c>
      <c r="T302" s="5">
        <v>0</v>
      </c>
      <c r="U302" s="5">
        <v>0</v>
      </c>
      <c r="V302" s="13"/>
      <c r="W302" s="13">
        <v>1</v>
      </c>
      <c r="X302" s="3"/>
      <c r="Y302" s="3"/>
      <c r="Z302" s="5"/>
      <c r="AA302" s="5">
        <v>1</v>
      </c>
      <c r="AB302" s="5"/>
      <c r="AC302" s="5">
        <v>0</v>
      </c>
      <c r="AD302" s="5">
        <v>0</v>
      </c>
      <c r="AE302" s="5">
        <v>1</v>
      </c>
      <c r="AF302" s="5">
        <v>0</v>
      </c>
    </row>
    <row r="303" spans="1:32" x14ac:dyDescent="0.2">
      <c r="A303" s="3" t="str">
        <f>+VLOOKUP(B303,studies!$A$2:$C$102,3)</f>
        <v>Anthoff et al. (2009a)</v>
      </c>
      <c r="B303" s="87">
        <v>53</v>
      </c>
      <c r="C303" s="5">
        <v>2009</v>
      </c>
      <c r="D303" s="5">
        <v>1</v>
      </c>
      <c r="E303" s="5">
        <v>1995</v>
      </c>
      <c r="F303" s="48">
        <v>2010</v>
      </c>
      <c r="G303" s="115">
        <v>3.0303030303030304E-2</v>
      </c>
      <c r="H303" s="7">
        <v>-9.8394492361458248</v>
      </c>
      <c r="I303" s="5">
        <v>0</v>
      </c>
      <c r="J303" s="5">
        <v>1</v>
      </c>
      <c r="K303" s="5">
        <v>0</v>
      </c>
      <c r="L303" s="7" t="s">
        <v>238</v>
      </c>
      <c r="M303" s="7" t="s">
        <v>238</v>
      </c>
      <c r="N303" s="7" t="s">
        <v>238</v>
      </c>
      <c r="O303" s="5">
        <v>0</v>
      </c>
      <c r="P303" s="5">
        <v>1</v>
      </c>
      <c r="Q303" s="5">
        <v>1</v>
      </c>
      <c r="R303" s="5">
        <v>1</v>
      </c>
      <c r="S303" s="5">
        <v>1</v>
      </c>
      <c r="T303" s="5">
        <v>0</v>
      </c>
      <c r="U303" s="5">
        <v>0</v>
      </c>
      <c r="V303" s="13"/>
      <c r="W303" s="13">
        <v>3</v>
      </c>
      <c r="X303" s="3"/>
      <c r="Y303" s="3"/>
      <c r="Z303" s="5"/>
      <c r="AA303" s="5">
        <v>1</v>
      </c>
      <c r="AB303" s="5"/>
      <c r="AC303" s="5">
        <v>0</v>
      </c>
      <c r="AD303" s="5">
        <v>0</v>
      </c>
      <c r="AE303" s="5">
        <v>1</v>
      </c>
      <c r="AF303" s="5">
        <v>0</v>
      </c>
    </row>
    <row r="304" spans="1:32" x14ac:dyDescent="0.2">
      <c r="A304" s="3" t="str">
        <f>+VLOOKUP(B304,studies!$A$2:$C$102,3)</f>
        <v>Anthoff et al. (2009a)</v>
      </c>
      <c r="B304" s="87">
        <v>53</v>
      </c>
      <c r="C304" s="5">
        <v>2009</v>
      </c>
      <c r="D304" s="5">
        <v>1</v>
      </c>
      <c r="E304" s="5">
        <v>1995</v>
      </c>
      <c r="F304" s="48">
        <v>2010</v>
      </c>
      <c r="G304" s="115">
        <v>3.0303030303030304E-2</v>
      </c>
      <c r="H304" s="7">
        <v>123.24327094087735</v>
      </c>
      <c r="I304" s="5">
        <v>0</v>
      </c>
      <c r="J304" s="5">
        <v>1</v>
      </c>
      <c r="K304" s="5">
        <v>0</v>
      </c>
      <c r="L304" s="7" t="s">
        <v>238</v>
      </c>
      <c r="M304" s="7" t="s">
        <v>238</v>
      </c>
      <c r="N304" s="7" t="s">
        <v>238</v>
      </c>
      <c r="O304" s="5">
        <v>0</v>
      </c>
      <c r="P304" s="5">
        <v>1</v>
      </c>
      <c r="Q304" s="5">
        <v>1</v>
      </c>
      <c r="R304" s="5">
        <v>1</v>
      </c>
      <c r="S304" s="5">
        <v>1</v>
      </c>
      <c r="T304" s="5">
        <v>0</v>
      </c>
      <c r="U304" s="5">
        <v>0</v>
      </c>
      <c r="V304" s="13"/>
      <c r="W304" s="13">
        <v>0</v>
      </c>
      <c r="X304" s="3"/>
      <c r="Y304" s="3"/>
      <c r="Z304" s="5"/>
      <c r="AA304" s="5">
        <v>0</v>
      </c>
      <c r="AB304" s="5"/>
      <c r="AC304" s="5">
        <v>0</v>
      </c>
      <c r="AD304" s="5">
        <v>0</v>
      </c>
      <c r="AE304" s="5">
        <v>1</v>
      </c>
      <c r="AF304" s="5">
        <v>0</v>
      </c>
    </row>
    <row r="305" spans="1:32" x14ac:dyDescent="0.2">
      <c r="A305" s="3" t="str">
        <f>+VLOOKUP(B305,studies!$A$2:$C$102,3)</f>
        <v>Anthoff et al. (2009a)</v>
      </c>
      <c r="B305" s="87">
        <v>53</v>
      </c>
      <c r="C305" s="5">
        <v>2009</v>
      </c>
      <c r="D305" s="5">
        <v>1</v>
      </c>
      <c r="E305" s="5">
        <v>1995</v>
      </c>
      <c r="F305" s="48">
        <v>2010</v>
      </c>
      <c r="G305" s="115">
        <v>3.0303030303030304E-2</v>
      </c>
      <c r="H305" s="7">
        <v>43.860595747565284</v>
      </c>
      <c r="I305" s="5">
        <v>0</v>
      </c>
      <c r="J305" s="5">
        <v>1</v>
      </c>
      <c r="K305" s="5">
        <v>0</v>
      </c>
      <c r="L305" s="7" t="s">
        <v>238</v>
      </c>
      <c r="M305" s="7" t="s">
        <v>238</v>
      </c>
      <c r="N305" s="7" t="s">
        <v>238</v>
      </c>
      <c r="O305" s="5">
        <v>0</v>
      </c>
      <c r="P305" s="5">
        <v>1</v>
      </c>
      <c r="Q305" s="5">
        <v>1</v>
      </c>
      <c r="R305" s="5">
        <v>1</v>
      </c>
      <c r="S305" s="5">
        <v>1</v>
      </c>
      <c r="T305" s="5">
        <v>0</v>
      </c>
      <c r="U305" s="5">
        <v>0</v>
      </c>
      <c r="V305" s="13"/>
      <c r="W305" s="13">
        <v>0</v>
      </c>
      <c r="X305" s="3"/>
      <c r="Y305" s="3"/>
      <c r="Z305" s="5"/>
      <c r="AA305" s="5">
        <v>0</v>
      </c>
      <c r="AB305" s="5"/>
      <c r="AC305" s="5">
        <v>0</v>
      </c>
      <c r="AD305" s="5">
        <v>0</v>
      </c>
      <c r="AE305" s="5">
        <v>1</v>
      </c>
      <c r="AF305" s="5">
        <v>0</v>
      </c>
    </row>
    <row r="306" spans="1:32" x14ac:dyDescent="0.2">
      <c r="A306" s="3" t="str">
        <f>+VLOOKUP(B306,studies!$A$2:$C$102,3)</f>
        <v>Anthoff et al. (2009a)</v>
      </c>
      <c r="B306" s="87">
        <v>53</v>
      </c>
      <c r="C306" s="5">
        <v>2009</v>
      </c>
      <c r="D306" s="5">
        <v>1</v>
      </c>
      <c r="E306" s="5">
        <v>1995</v>
      </c>
      <c r="F306" s="48">
        <v>2010</v>
      </c>
      <c r="G306" s="115">
        <v>3.0303030303030304E-2</v>
      </c>
      <c r="H306" s="7">
        <v>185.94891353055243</v>
      </c>
      <c r="I306" s="5">
        <v>0</v>
      </c>
      <c r="J306" s="5">
        <v>1</v>
      </c>
      <c r="K306" s="5">
        <v>0</v>
      </c>
      <c r="L306" s="7" t="s">
        <v>238</v>
      </c>
      <c r="M306" s="7" t="s">
        <v>238</v>
      </c>
      <c r="N306" s="7" t="s">
        <v>238</v>
      </c>
      <c r="O306" s="5">
        <v>0</v>
      </c>
      <c r="P306" s="5">
        <v>1</v>
      </c>
      <c r="Q306" s="5">
        <v>1</v>
      </c>
      <c r="R306" s="5">
        <v>1</v>
      </c>
      <c r="S306" s="5">
        <v>1</v>
      </c>
      <c r="T306" s="5">
        <v>0</v>
      </c>
      <c r="U306" s="5">
        <v>0</v>
      </c>
      <c r="V306" s="13"/>
      <c r="W306" s="13">
        <v>0</v>
      </c>
      <c r="X306" s="3"/>
      <c r="Y306" s="3"/>
      <c r="Z306" s="5"/>
      <c r="AA306" s="5">
        <v>0</v>
      </c>
      <c r="AB306" s="5"/>
      <c r="AC306" s="5">
        <v>0</v>
      </c>
      <c r="AD306" s="5">
        <v>0</v>
      </c>
      <c r="AE306" s="5">
        <v>1</v>
      </c>
      <c r="AF306" s="5">
        <v>0</v>
      </c>
    </row>
    <row r="307" spans="1:32" x14ac:dyDescent="0.2">
      <c r="A307" s="3" t="str">
        <f>+VLOOKUP(B307,studies!$A$2:$C$102,3)</f>
        <v>Anthoff et al. (2009a)</v>
      </c>
      <c r="B307" s="87">
        <v>53</v>
      </c>
      <c r="C307" s="5">
        <v>2009</v>
      </c>
      <c r="D307" s="5">
        <v>1</v>
      </c>
      <c r="E307" s="5">
        <v>1995</v>
      </c>
      <c r="F307" s="48">
        <v>2010</v>
      </c>
      <c r="G307" s="115">
        <v>3.0303030303030304E-2</v>
      </c>
      <c r="H307" s="7">
        <v>21.846912710764457</v>
      </c>
      <c r="I307" s="5">
        <v>0</v>
      </c>
      <c r="J307" s="5">
        <v>1</v>
      </c>
      <c r="K307" s="5">
        <v>0</v>
      </c>
      <c r="L307" s="7" t="s">
        <v>238</v>
      </c>
      <c r="M307" s="7" t="s">
        <v>238</v>
      </c>
      <c r="N307" s="7" t="s">
        <v>238</v>
      </c>
      <c r="O307" s="5">
        <v>0</v>
      </c>
      <c r="P307" s="5">
        <v>1</v>
      </c>
      <c r="Q307" s="5">
        <v>1</v>
      </c>
      <c r="R307" s="5">
        <v>1</v>
      </c>
      <c r="S307" s="5">
        <v>1</v>
      </c>
      <c r="T307" s="5">
        <v>0</v>
      </c>
      <c r="U307" s="5">
        <v>0</v>
      </c>
      <c r="V307" s="13"/>
      <c r="W307" s="13">
        <v>0</v>
      </c>
      <c r="X307" s="3"/>
      <c r="Y307" s="3"/>
      <c r="Z307" s="5"/>
      <c r="AA307" s="5">
        <v>0</v>
      </c>
      <c r="AB307" s="5"/>
      <c r="AC307" s="5">
        <v>0</v>
      </c>
      <c r="AD307" s="5">
        <v>0</v>
      </c>
      <c r="AE307" s="5">
        <v>1</v>
      </c>
      <c r="AF307" s="5">
        <v>0</v>
      </c>
    </row>
    <row r="308" spans="1:32" x14ac:dyDescent="0.2">
      <c r="A308" s="3" t="str">
        <f>+VLOOKUP(B308,studies!$A$2:$C$102,3)</f>
        <v>Anthoff et al. (2009a)</v>
      </c>
      <c r="B308" s="87">
        <v>53</v>
      </c>
      <c r="C308" s="5">
        <v>2009</v>
      </c>
      <c r="D308" s="5">
        <v>1</v>
      </c>
      <c r="E308" s="5">
        <v>1995</v>
      </c>
      <c r="F308" s="48">
        <v>2010</v>
      </c>
      <c r="G308" s="115">
        <v>3.0303030303030304E-2</v>
      </c>
      <c r="H308" s="7">
        <v>116.40568757338617</v>
      </c>
      <c r="I308" s="5">
        <v>0</v>
      </c>
      <c r="J308" s="5">
        <v>1</v>
      </c>
      <c r="K308" s="5">
        <v>0</v>
      </c>
      <c r="L308" s="7" t="s">
        <v>238</v>
      </c>
      <c r="M308" s="7" t="s">
        <v>238</v>
      </c>
      <c r="N308" s="7" t="s">
        <v>238</v>
      </c>
      <c r="O308" s="5">
        <v>0</v>
      </c>
      <c r="P308" s="5">
        <v>1</v>
      </c>
      <c r="Q308" s="5">
        <v>1</v>
      </c>
      <c r="R308" s="5">
        <v>1</v>
      </c>
      <c r="S308" s="5">
        <v>1</v>
      </c>
      <c r="T308" s="5">
        <v>0</v>
      </c>
      <c r="U308" s="5">
        <v>0</v>
      </c>
      <c r="V308" s="13"/>
      <c r="W308" s="13">
        <v>0</v>
      </c>
      <c r="X308" s="3"/>
      <c r="Y308" s="3"/>
      <c r="Z308" s="5"/>
      <c r="AA308" s="5">
        <v>0</v>
      </c>
      <c r="AB308" s="5"/>
      <c r="AC308" s="5">
        <v>0</v>
      </c>
      <c r="AD308" s="5">
        <v>0</v>
      </c>
      <c r="AE308" s="5">
        <v>1</v>
      </c>
      <c r="AF308" s="5">
        <v>0</v>
      </c>
    </row>
    <row r="309" spans="1:32" x14ac:dyDescent="0.2">
      <c r="A309" s="3" t="str">
        <f>+VLOOKUP(B309,studies!$A$2:$C$102,3)</f>
        <v>Anthoff et al. (2009a)</v>
      </c>
      <c r="B309" s="87">
        <v>53</v>
      </c>
      <c r="C309" s="5">
        <v>2009</v>
      </c>
      <c r="D309" s="5">
        <v>1</v>
      </c>
      <c r="E309" s="5">
        <v>1995</v>
      </c>
      <c r="F309" s="48">
        <v>2010</v>
      </c>
      <c r="G309" s="115">
        <v>3.0303030303030304E-2</v>
      </c>
      <c r="H309" s="7">
        <v>25.015548905455482</v>
      </c>
      <c r="I309" s="5">
        <v>0</v>
      </c>
      <c r="J309" s="5">
        <v>1</v>
      </c>
      <c r="K309" s="5">
        <v>0</v>
      </c>
      <c r="L309" s="7" t="s">
        <v>238</v>
      </c>
      <c r="M309" s="7" t="s">
        <v>238</v>
      </c>
      <c r="N309" s="7" t="s">
        <v>238</v>
      </c>
      <c r="O309" s="5">
        <v>0</v>
      </c>
      <c r="P309" s="5">
        <v>1</v>
      </c>
      <c r="Q309" s="5">
        <v>1</v>
      </c>
      <c r="R309" s="5">
        <v>1</v>
      </c>
      <c r="S309" s="5">
        <v>1</v>
      </c>
      <c r="T309" s="5">
        <v>0</v>
      </c>
      <c r="U309" s="5">
        <v>0</v>
      </c>
      <c r="V309" s="13"/>
      <c r="W309" s="13">
        <v>1</v>
      </c>
      <c r="X309" s="3"/>
      <c r="Y309" s="3"/>
      <c r="Z309" s="5"/>
      <c r="AA309" s="5">
        <v>0</v>
      </c>
      <c r="AB309" s="5"/>
      <c r="AC309" s="5">
        <v>0</v>
      </c>
      <c r="AD309" s="5">
        <v>0</v>
      </c>
      <c r="AE309" s="5">
        <v>1</v>
      </c>
      <c r="AF309" s="5">
        <v>0</v>
      </c>
    </row>
    <row r="310" spans="1:32" x14ac:dyDescent="0.2">
      <c r="A310" s="3" t="str">
        <f>+VLOOKUP(B310,studies!$A$2:$C$102,3)</f>
        <v>Anthoff et al. (2009a)</v>
      </c>
      <c r="B310" s="87">
        <v>53</v>
      </c>
      <c r="C310" s="5">
        <v>2009</v>
      </c>
      <c r="D310" s="5">
        <v>1</v>
      </c>
      <c r="E310" s="5">
        <v>1995</v>
      </c>
      <c r="F310" s="48">
        <v>2010</v>
      </c>
      <c r="G310" s="115">
        <v>3.0303030303030304E-2</v>
      </c>
      <c r="H310" s="7">
        <v>5.836961411272946</v>
      </c>
      <c r="I310" s="5">
        <v>0</v>
      </c>
      <c r="J310" s="5">
        <v>1</v>
      </c>
      <c r="K310" s="5">
        <v>0</v>
      </c>
      <c r="L310" s="7" t="s">
        <v>238</v>
      </c>
      <c r="M310" s="7" t="s">
        <v>238</v>
      </c>
      <c r="N310" s="7" t="s">
        <v>238</v>
      </c>
      <c r="O310" s="5">
        <v>0</v>
      </c>
      <c r="P310" s="5">
        <v>1</v>
      </c>
      <c r="Q310" s="5">
        <v>1</v>
      </c>
      <c r="R310" s="5">
        <v>1</v>
      </c>
      <c r="S310" s="5">
        <v>1</v>
      </c>
      <c r="T310" s="5">
        <v>0</v>
      </c>
      <c r="U310" s="5">
        <v>0</v>
      </c>
      <c r="V310" s="13"/>
      <c r="W310" s="13">
        <v>1</v>
      </c>
      <c r="X310" s="3"/>
      <c r="Y310" s="3"/>
      <c r="Z310" s="5"/>
      <c r="AA310" s="5">
        <v>0</v>
      </c>
      <c r="AB310" s="5"/>
      <c r="AC310" s="5">
        <v>0</v>
      </c>
      <c r="AD310" s="5">
        <v>0</v>
      </c>
      <c r="AE310" s="5">
        <v>1</v>
      </c>
      <c r="AF310" s="5">
        <v>0</v>
      </c>
    </row>
    <row r="311" spans="1:32" x14ac:dyDescent="0.2">
      <c r="A311" s="3" t="str">
        <f>+VLOOKUP(B311,studies!$A$2:$C$102,3)</f>
        <v>Anthoff et al. (2009a)</v>
      </c>
      <c r="B311" s="87">
        <v>53</v>
      </c>
      <c r="C311" s="5">
        <v>2009</v>
      </c>
      <c r="D311" s="5">
        <v>1</v>
      </c>
      <c r="E311" s="5">
        <v>1995</v>
      </c>
      <c r="F311" s="48">
        <v>2010</v>
      </c>
      <c r="G311" s="115">
        <v>3.0303030303030304E-2</v>
      </c>
      <c r="H311" s="7">
        <v>36.355931075928638</v>
      </c>
      <c r="I311" s="5">
        <v>0</v>
      </c>
      <c r="J311" s="5">
        <v>1</v>
      </c>
      <c r="K311" s="5">
        <v>0</v>
      </c>
      <c r="L311" s="7" t="s">
        <v>238</v>
      </c>
      <c r="M311" s="7" t="s">
        <v>238</v>
      </c>
      <c r="N311" s="7" t="s">
        <v>238</v>
      </c>
      <c r="O311" s="5">
        <v>0</v>
      </c>
      <c r="P311" s="5">
        <v>1</v>
      </c>
      <c r="Q311" s="5">
        <v>1</v>
      </c>
      <c r="R311" s="5">
        <v>1</v>
      </c>
      <c r="S311" s="5">
        <v>1</v>
      </c>
      <c r="T311" s="5">
        <v>0</v>
      </c>
      <c r="U311" s="5">
        <v>0</v>
      </c>
      <c r="V311" s="13"/>
      <c r="W311" s="13">
        <v>1</v>
      </c>
      <c r="X311" s="3"/>
      <c r="Y311" s="3"/>
      <c r="Z311" s="5"/>
      <c r="AA311" s="5">
        <v>0</v>
      </c>
      <c r="AB311" s="5"/>
      <c r="AC311" s="5">
        <v>0</v>
      </c>
      <c r="AD311" s="5">
        <v>0</v>
      </c>
      <c r="AE311" s="5">
        <v>1</v>
      </c>
      <c r="AF311" s="5">
        <v>0</v>
      </c>
    </row>
    <row r="312" spans="1:32" x14ac:dyDescent="0.2">
      <c r="A312" s="3" t="str">
        <f>+VLOOKUP(B312,studies!$A$2:$C$102,3)</f>
        <v>Anthoff et al. (2009a)</v>
      </c>
      <c r="B312" s="87">
        <v>53</v>
      </c>
      <c r="C312" s="5">
        <v>2009</v>
      </c>
      <c r="D312" s="5">
        <v>1</v>
      </c>
      <c r="E312" s="5">
        <v>1995</v>
      </c>
      <c r="F312" s="48">
        <v>2010</v>
      </c>
      <c r="G312" s="115">
        <v>3.0303030303030304E-2</v>
      </c>
      <c r="H312" s="7">
        <v>-2.6683252165819185</v>
      </c>
      <c r="I312" s="5">
        <v>0</v>
      </c>
      <c r="J312" s="5">
        <v>1</v>
      </c>
      <c r="K312" s="5">
        <v>0</v>
      </c>
      <c r="L312" s="7" t="s">
        <v>238</v>
      </c>
      <c r="M312" s="7" t="s">
        <v>238</v>
      </c>
      <c r="N312" s="7" t="s">
        <v>238</v>
      </c>
      <c r="O312" s="5">
        <v>0</v>
      </c>
      <c r="P312" s="5">
        <v>1</v>
      </c>
      <c r="Q312" s="5">
        <v>1</v>
      </c>
      <c r="R312" s="5">
        <v>1</v>
      </c>
      <c r="S312" s="5">
        <v>1</v>
      </c>
      <c r="T312" s="5">
        <v>0</v>
      </c>
      <c r="U312" s="5">
        <v>0</v>
      </c>
      <c r="V312" s="13"/>
      <c r="W312" s="13">
        <v>1</v>
      </c>
      <c r="X312" s="3"/>
      <c r="Y312" s="3"/>
      <c r="Z312" s="5"/>
      <c r="AA312" s="5">
        <v>0</v>
      </c>
      <c r="AB312" s="5"/>
      <c r="AC312" s="5">
        <v>0</v>
      </c>
      <c r="AD312" s="5">
        <v>0</v>
      </c>
      <c r="AE312" s="5">
        <v>1</v>
      </c>
      <c r="AF312" s="5">
        <v>0</v>
      </c>
    </row>
    <row r="313" spans="1:32" x14ac:dyDescent="0.2">
      <c r="A313" s="3" t="str">
        <f>+VLOOKUP(B313,studies!$A$2:$C$102,3)</f>
        <v>Anthoff et al. (2009a)</v>
      </c>
      <c r="B313" s="87">
        <v>53</v>
      </c>
      <c r="C313" s="5">
        <v>2009</v>
      </c>
      <c r="D313" s="5">
        <v>1</v>
      </c>
      <c r="E313" s="5">
        <v>1995</v>
      </c>
      <c r="F313" s="48">
        <v>2010</v>
      </c>
      <c r="G313" s="115">
        <v>3.0303030303030304E-2</v>
      </c>
      <c r="H313" s="7">
        <v>21.179831406618973</v>
      </c>
      <c r="I313" s="5">
        <v>0</v>
      </c>
      <c r="J313" s="5">
        <v>1</v>
      </c>
      <c r="K313" s="5">
        <v>0</v>
      </c>
      <c r="L313" s="7" t="s">
        <v>238</v>
      </c>
      <c r="M313" s="7" t="s">
        <v>238</v>
      </c>
      <c r="N313" s="7" t="s">
        <v>238</v>
      </c>
      <c r="O313" s="5">
        <v>0</v>
      </c>
      <c r="P313" s="5">
        <v>1</v>
      </c>
      <c r="Q313" s="5">
        <v>1</v>
      </c>
      <c r="R313" s="5">
        <v>1</v>
      </c>
      <c r="S313" s="5">
        <v>1</v>
      </c>
      <c r="T313" s="5">
        <v>0</v>
      </c>
      <c r="U313" s="5">
        <v>0</v>
      </c>
      <c r="V313" s="13"/>
      <c r="W313" s="13">
        <v>1</v>
      </c>
      <c r="X313" s="3"/>
      <c r="Y313" s="3"/>
      <c r="Z313" s="5"/>
      <c r="AA313" s="5">
        <v>0</v>
      </c>
      <c r="AB313" s="5"/>
      <c r="AC313" s="5">
        <v>0</v>
      </c>
      <c r="AD313" s="5">
        <v>0</v>
      </c>
      <c r="AE313" s="5">
        <v>1</v>
      </c>
      <c r="AF313" s="5">
        <v>0</v>
      </c>
    </row>
    <row r="314" spans="1:32" x14ac:dyDescent="0.2">
      <c r="A314" s="3" t="str">
        <f>+VLOOKUP(B314,studies!$A$2:$C$102,3)</f>
        <v>Anthoff et al. (2009a)</v>
      </c>
      <c r="B314" s="87">
        <v>53</v>
      </c>
      <c r="C314" s="5">
        <v>2009</v>
      </c>
      <c r="D314" s="5">
        <v>1</v>
      </c>
      <c r="E314" s="5">
        <v>1995</v>
      </c>
      <c r="F314" s="48">
        <v>2010</v>
      </c>
      <c r="G314" s="115">
        <v>3.0303030303030304E-2</v>
      </c>
      <c r="H314" s="7">
        <v>-4.336028476945617</v>
      </c>
      <c r="I314" s="5">
        <v>0</v>
      </c>
      <c r="J314" s="5">
        <v>1</v>
      </c>
      <c r="K314" s="5">
        <v>0</v>
      </c>
      <c r="L314" s="7" t="s">
        <v>238</v>
      </c>
      <c r="M314" s="7" t="s">
        <v>238</v>
      </c>
      <c r="N314" s="7" t="s">
        <v>238</v>
      </c>
      <c r="O314" s="5">
        <v>0</v>
      </c>
      <c r="P314" s="5">
        <v>1</v>
      </c>
      <c r="Q314" s="5">
        <v>1</v>
      </c>
      <c r="R314" s="5">
        <v>1</v>
      </c>
      <c r="S314" s="5">
        <v>1</v>
      </c>
      <c r="T314" s="5">
        <v>0</v>
      </c>
      <c r="U314" s="5">
        <v>0</v>
      </c>
      <c r="V314" s="13"/>
      <c r="W314" s="13">
        <v>3</v>
      </c>
      <c r="X314" s="3"/>
      <c r="Y314" s="3"/>
      <c r="Z314" s="5"/>
      <c r="AA314" s="5">
        <v>0</v>
      </c>
      <c r="AB314" s="5"/>
      <c r="AC314" s="5">
        <v>0</v>
      </c>
      <c r="AD314" s="5">
        <v>0</v>
      </c>
      <c r="AE314" s="5">
        <v>1</v>
      </c>
      <c r="AF314" s="5">
        <v>0</v>
      </c>
    </row>
    <row r="315" spans="1:32" x14ac:dyDescent="0.2">
      <c r="A315" s="3" t="str">
        <f>+VLOOKUP(B315,studies!$A$2:$C$102,3)</f>
        <v>Anthoff et al. (2009a)</v>
      </c>
      <c r="B315" s="87">
        <v>53</v>
      </c>
      <c r="C315" s="5">
        <v>2009</v>
      </c>
      <c r="D315" s="5">
        <v>1</v>
      </c>
      <c r="E315" s="5">
        <v>1995</v>
      </c>
      <c r="F315" s="48">
        <v>2010</v>
      </c>
      <c r="G315" s="115">
        <v>3.0303030303030304E-2</v>
      </c>
      <c r="H315" s="7">
        <v>-6.3372723893820551</v>
      </c>
      <c r="I315" s="5">
        <v>0</v>
      </c>
      <c r="J315" s="5">
        <v>1</v>
      </c>
      <c r="K315" s="5">
        <v>0</v>
      </c>
      <c r="L315" s="7" t="s">
        <v>238</v>
      </c>
      <c r="M315" s="7" t="s">
        <v>238</v>
      </c>
      <c r="N315" s="7" t="s">
        <v>238</v>
      </c>
      <c r="O315" s="5">
        <v>0</v>
      </c>
      <c r="P315" s="5">
        <v>1</v>
      </c>
      <c r="Q315" s="5">
        <v>1</v>
      </c>
      <c r="R315" s="5">
        <v>1</v>
      </c>
      <c r="S315" s="5">
        <v>1</v>
      </c>
      <c r="T315" s="5">
        <v>0</v>
      </c>
      <c r="U315" s="5">
        <v>0</v>
      </c>
      <c r="V315" s="13"/>
      <c r="W315" s="13">
        <v>3</v>
      </c>
      <c r="X315" s="3"/>
      <c r="Y315" s="3"/>
      <c r="Z315" s="5"/>
      <c r="AA315" s="5">
        <v>0</v>
      </c>
      <c r="AB315" s="5"/>
      <c r="AC315" s="5">
        <v>0</v>
      </c>
      <c r="AD315" s="5">
        <v>0</v>
      </c>
      <c r="AE315" s="5">
        <v>1</v>
      </c>
      <c r="AF315" s="5">
        <v>0</v>
      </c>
    </row>
    <row r="316" spans="1:32" x14ac:dyDescent="0.2">
      <c r="A316" s="3" t="str">
        <f>+VLOOKUP(B316,studies!$A$2:$C$102,3)</f>
        <v>Anthoff et al. (2009a)</v>
      </c>
      <c r="B316" s="87">
        <v>53</v>
      </c>
      <c r="C316" s="5">
        <v>2009</v>
      </c>
      <c r="D316" s="5">
        <v>1</v>
      </c>
      <c r="E316" s="5">
        <v>1995</v>
      </c>
      <c r="F316" s="48">
        <v>2010</v>
      </c>
      <c r="G316" s="115">
        <v>3.0303030303030304E-2</v>
      </c>
      <c r="H316" s="7">
        <v>-4.002487824872877</v>
      </c>
      <c r="I316" s="5">
        <v>0</v>
      </c>
      <c r="J316" s="5">
        <v>1</v>
      </c>
      <c r="K316" s="5">
        <v>0</v>
      </c>
      <c r="L316" s="7" t="s">
        <v>238</v>
      </c>
      <c r="M316" s="7" t="s">
        <v>238</v>
      </c>
      <c r="N316" s="7" t="s">
        <v>238</v>
      </c>
      <c r="O316" s="5">
        <v>0</v>
      </c>
      <c r="P316" s="5">
        <v>1</v>
      </c>
      <c r="Q316" s="5">
        <v>1</v>
      </c>
      <c r="R316" s="5">
        <v>1</v>
      </c>
      <c r="S316" s="5">
        <v>1</v>
      </c>
      <c r="T316" s="5">
        <v>0</v>
      </c>
      <c r="U316" s="5">
        <v>0</v>
      </c>
      <c r="V316" s="13"/>
      <c r="W316" s="13">
        <v>3</v>
      </c>
      <c r="X316" s="3"/>
      <c r="Y316" s="3"/>
      <c r="Z316" s="5"/>
      <c r="AA316" s="5">
        <v>0</v>
      </c>
      <c r="AB316" s="5"/>
      <c r="AC316" s="5">
        <v>0</v>
      </c>
      <c r="AD316" s="5">
        <v>0</v>
      </c>
      <c r="AE316" s="5">
        <v>1</v>
      </c>
      <c r="AF316" s="5">
        <v>0</v>
      </c>
    </row>
    <row r="317" spans="1:32" x14ac:dyDescent="0.2">
      <c r="A317" s="3" t="str">
        <f>+VLOOKUP(B317,studies!$A$2:$C$102,3)</f>
        <v>Anthoff et al. (2009a)</v>
      </c>
      <c r="B317" s="87">
        <v>53</v>
      </c>
      <c r="C317" s="5">
        <v>2009</v>
      </c>
      <c r="D317" s="5">
        <v>1</v>
      </c>
      <c r="E317" s="5">
        <v>1995</v>
      </c>
      <c r="F317" s="48">
        <v>2010</v>
      </c>
      <c r="G317" s="115">
        <v>3.0303030303030304E-2</v>
      </c>
      <c r="H317" s="7">
        <v>-8.8388272799276031</v>
      </c>
      <c r="I317" s="5">
        <v>0</v>
      </c>
      <c r="J317" s="5">
        <v>1</v>
      </c>
      <c r="K317" s="5">
        <v>0</v>
      </c>
      <c r="L317" s="7" t="s">
        <v>238</v>
      </c>
      <c r="M317" s="7" t="s">
        <v>238</v>
      </c>
      <c r="N317" s="7" t="s">
        <v>238</v>
      </c>
      <c r="O317" s="5">
        <v>0</v>
      </c>
      <c r="P317" s="5">
        <v>1</v>
      </c>
      <c r="Q317" s="5">
        <v>1</v>
      </c>
      <c r="R317" s="5">
        <v>1</v>
      </c>
      <c r="S317" s="5">
        <v>1</v>
      </c>
      <c r="T317" s="5">
        <v>0</v>
      </c>
      <c r="U317" s="5">
        <v>0</v>
      </c>
      <c r="V317" s="13"/>
      <c r="W317" s="13">
        <v>3</v>
      </c>
      <c r="X317" s="3"/>
      <c r="Y317" s="3"/>
      <c r="Z317" s="5"/>
      <c r="AA317" s="5">
        <v>0</v>
      </c>
      <c r="AB317" s="5"/>
      <c r="AC317" s="5">
        <v>0</v>
      </c>
      <c r="AD317" s="5">
        <v>0</v>
      </c>
      <c r="AE317" s="5">
        <v>1</v>
      </c>
      <c r="AF317" s="5">
        <v>0</v>
      </c>
    </row>
    <row r="318" spans="1:32" x14ac:dyDescent="0.2">
      <c r="A318" s="3" t="str">
        <f>+VLOOKUP(B318,studies!$A$2:$C$102,3)</f>
        <v>Anthoff et al. (2009a)</v>
      </c>
      <c r="B318" s="87">
        <v>53</v>
      </c>
      <c r="C318" s="5">
        <v>2009</v>
      </c>
      <c r="D318" s="5">
        <v>1</v>
      </c>
      <c r="E318" s="5">
        <v>1995</v>
      </c>
      <c r="F318" s="48">
        <v>2010</v>
      </c>
      <c r="G318" s="115">
        <v>3.0303030303030304E-2</v>
      </c>
      <c r="H318" s="7">
        <v>-5.1698801071274669</v>
      </c>
      <c r="I318" s="5">
        <v>0</v>
      </c>
      <c r="J318" s="5">
        <v>1</v>
      </c>
      <c r="K318" s="5">
        <v>0</v>
      </c>
      <c r="L318" s="7" t="s">
        <v>238</v>
      </c>
      <c r="M318" s="7" t="s">
        <v>238</v>
      </c>
      <c r="N318" s="7" t="s">
        <v>238</v>
      </c>
      <c r="O318" s="5">
        <v>0</v>
      </c>
      <c r="P318" s="5">
        <v>1</v>
      </c>
      <c r="Q318" s="5">
        <v>1</v>
      </c>
      <c r="R318" s="5">
        <v>1</v>
      </c>
      <c r="S318" s="5">
        <v>1</v>
      </c>
      <c r="T318" s="5">
        <v>0</v>
      </c>
      <c r="U318" s="5">
        <v>0</v>
      </c>
      <c r="V318" s="13"/>
      <c r="W318" s="13">
        <v>3</v>
      </c>
      <c r="X318" s="3"/>
      <c r="Y318" s="5"/>
      <c r="Z318" s="5"/>
      <c r="AA318" s="5">
        <v>0</v>
      </c>
      <c r="AB318" s="5"/>
      <c r="AC318" s="5">
        <v>0</v>
      </c>
      <c r="AD318" s="5">
        <v>0</v>
      </c>
      <c r="AE318" s="5">
        <v>1</v>
      </c>
      <c r="AF318" s="5">
        <v>0</v>
      </c>
    </row>
    <row r="319" spans="1:32" x14ac:dyDescent="0.2">
      <c r="A319" s="3" t="str">
        <f>+VLOOKUP(B319,studies!$A$2:$C$102,3)</f>
        <v>Anthoff et al. (2009a)</v>
      </c>
      <c r="B319" s="87">
        <v>53</v>
      </c>
      <c r="C319" s="5">
        <v>2009</v>
      </c>
      <c r="D319" s="5">
        <v>1</v>
      </c>
      <c r="E319" s="5">
        <v>1995</v>
      </c>
      <c r="F319" s="48">
        <v>2010</v>
      </c>
      <c r="G319" s="115">
        <v>3.0303030303030304E-2</v>
      </c>
      <c r="H319" s="7">
        <v>122.57618963673187</v>
      </c>
      <c r="I319" s="5">
        <v>0</v>
      </c>
      <c r="J319" s="5">
        <v>1</v>
      </c>
      <c r="K319" s="5">
        <v>0</v>
      </c>
      <c r="L319" s="7" t="s">
        <v>238</v>
      </c>
      <c r="M319" s="7" t="s">
        <v>238</v>
      </c>
      <c r="N319" s="7" t="s">
        <v>238</v>
      </c>
      <c r="O319" s="5">
        <v>0</v>
      </c>
      <c r="P319" s="5">
        <v>1</v>
      </c>
      <c r="Q319" s="5">
        <v>1</v>
      </c>
      <c r="R319" s="5">
        <v>1</v>
      </c>
      <c r="S319" s="5">
        <v>1</v>
      </c>
      <c r="T319" s="5">
        <v>0</v>
      </c>
      <c r="U319" s="5">
        <v>0</v>
      </c>
      <c r="V319" s="13"/>
      <c r="W319" s="13">
        <v>0</v>
      </c>
      <c r="X319" s="3"/>
      <c r="Y319" s="5"/>
      <c r="Z319" s="5"/>
      <c r="AA319" s="5">
        <v>1</v>
      </c>
      <c r="AB319" s="5"/>
      <c r="AC319" s="5">
        <v>0</v>
      </c>
      <c r="AD319" s="5">
        <v>0</v>
      </c>
      <c r="AE319" s="5">
        <v>1</v>
      </c>
      <c r="AF319" s="5">
        <v>0</v>
      </c>
    </row>
    <row r="320" spans="1:32" x14ac:dyDescent="0.2">
      <c r="A320" s="3" t="str">
        <f>+VLOOKUP(B320,studies!$A$2:$C$102,3)</f>
        <v>Anthoff et al. (2009a)</v>
      </c>
      <c r="B320" s="87">
        <v>53</v>
      </c>
      <c r="C320" s="5">
        <v>2009</v>
      </c>
      <c r="D320" s="5">
        <v>1</v>
      </c>
      <c r="E320" s="5">
        <v>1995</v>
      </c>
      <c r="F320" s="48">
        <v>2010</v>
      </c>
      <c r="G320" s="115">
        <v>3.0303030303030304E-2</v>
      </c>
      <c r="H320" s="7">
        <v>43.693825421528913</v>
      </c>
      <c r="I320" s="5">
        <v>0</v>
      </c>
      <c r="J320" s="5">
        <v>1</v>
      </c>
      <c r="K320" s="5">
        <v>0</v>
      </c>
      <c r="L320" s="7" t="s">
        <v>238</v>
      </c>
      <c r="M320" s="7" t="s">
        <v>238</v>
      </c>
      <c r="N320" s="7" t="s">
        <v>238</v>
      </c>
      <c r="O320" s="5">
        <v>0</v>
      </c>
      <c r="P320" s="5">
        <v>1</v>
      </c>
      <c r="Q320" s="5">
        <v>1</v>
      </c>
      <c r="R320" s="5">
        <v>1</v>
      </c>
      <c r="S320" s="5">
        <v>1</v>
      </c>
      <c r="T320" s="5">
        <v>0</v>
      </c>
      <c r="U320" s="5">
        <v>0</v>
      </c>
      <c r="V320" s="13"/>
      <c r="W320" s="13">
        <v>0</v>
      </c>
      <c r="X320" s="3"/>
      <c r="Y320" s="5"/>
      <c r="Z320" s="5"/>
      <c r="AA320" s="5">
        <v>1</v>
      </c>
      <c r="AB320" s="5"/>
      <c r="AC320" s="5">
        <v>0</v>
      </c>
      <c r="AD320" s="5">
        <v>0</v>
      </c>
      <c r="AE320" s="5">
        <v>1</v>
      </c>
      <c r="AF320" s="5">
        <v>0</v>
      </c>
    </row>
    <row r="321" spans="1:32" x14ac:dyDescent="0.2">
      <c r="A321" s="3" t="str">
        <f>+VLOOKUP(B321,studies!$A$2:$C$102,3)</f>
        <v>Anthoff et al. (2009a)</v>
      </c>
      <c r="B321" s="87">
        <v>53</v>
      </c>
      <c r="C321" s="5">
        <v>2009</v>
      </c>
      <c r="D321" s="5">
        <v>1</v>
      </c>
      <c r="E321" s="5">
        <v>1995</v>
      </c>
      <c r="F321" s="48">
        <v>2010</v>
      </c>
      <c r="G321" s="115">
        <v>3.0303030303030304E-2</v>
      </c>
      <c r="H321" s="7">
        <v>214.46663928277167</v>
      </c>
      <c r="I321" s="5">
        <v>0</v>
      </c>
      <c r="J321" s="5">
        <v>1</v>
      </c>
      <c r="K321" s="5">
        <v>0</v>
      </c>
      <c r="L321" s="7" t="s">
        <v>238</v>
      </c>
      <c r="M321" s="7" t="s">
        <v>238</v>
      </c>
      <c r="N321" s="7" t="s">
        <v>238</v>
      </c>
      <c r="O321" s="5">
        <v>0</v>
      </c>
      <c r="P321" s="5">
        <v>1</v>
      </c>
      <c r="Q321" s="5">
        <v>1</v>
      </c>
      <c r="R321" s="5">
        <v>1</v>
      </c>
      <c r="S321" s="5">
        <v>1</v>
      </c>
      <c r="T321" s="5">
        <v>0</v>
      </c>
      <c r="U321" s="5">
        <v>0</v>
      </c>
      <c r="V321" s="13"/>
      <c r="W321" s="13">
        <v>0</v>
      </c>
      <c r="X321" s="3"/>
      <c r="Y321" s="5"/>
      <c r="Z321" s="5"/>
      <c r="AA321" s="5">
        <v>1</v>
      </c>
      <c r="AB321" s="5"/>
      <c r="AC321" s="5">
        <v>0</v>
      </c>
      <c r="AD321" s="5">
        <v>0</v>
      </c>
      <c r="AE321" s="5">
        <v>1</v>
      </c>
      <c r="AF321" s="5">
        <v>0</v>
      </c>
    </row>
    <row r="322" spans="1:32" x14ac:dyDescent="0.2">
      <c r="A322" s="3" t="str">
        <f>+VLOOKUP(B322,studies!$A$2:$C$102,3)</f>
        <v>Anthoff et al. (2009a)</v>
      </c>
      <c r="B322" s="87">
        <v>53</v>
      </c>
      <c r="C322" s="5">
        <v>2009</v>
      </c>
      <c r="D322" s="5">
        <v>1</v>
      </c>
      <c r="E322" s="5">
        <v>1995</v>
      </c>
      <c r="F322" s="48">
        <v>2010</v>
      </c>
      <c r="G322" s="115">
        <v>3.0303030303030304E-2</v>
      </c>
      <c r="H322" s="7">
        <v>20.345979776437126</v>
      </c>
      <c r="I322" s="5">
        <v>0</v>
      </c>
      <c r="J322" s="5">
        <v>1</v>
      </c>
      <c r="K322" s="5">
        <v>0</v>
      </c>
      <c r="L322" s="7" t="s">
        <v>238</v>
      </c>
      <c r="M322" s="7" t="s">
        <v>238</v>
      </c>
      <c r="N322" s="7" t="s">
        <v>238</v>
      </c>
      <c r="O322" s="5">
        <v>0</v>
      </c>
      <c r="P322" s="5">
        <v>1</v>
      </c>
      <c r="Q322" s="5">
        <v>1</v>
      </c>
      <c r="R322" s="5">
        <v>1</v>
      </c>
      <c r="S322" s="5">
        <v>1</v>
      </c>
      <c r="T322" s="5">
        <v>0</v>
      </c>
      <c r="U322" s="5">
        <v>0</v>
      </c>
      <c r="V322" s="13"/>
      <c r="W322" s="13">
        <v>0</v>
      </c>
      <c r="X322" s="3"/>
      <c r="Y322" s="5"/>
      <c r="Z322" s="5"/>
      <c r="AA322" s="5">
        <v>1</v>
      </c>
      <c r="AB322" s="5"/>
      <c r="AC322" s="5">
        <v>0</v>
      </c>
      <c r="AD322" s="5">
        <v>0</v>
      </c>
      <c r="AE322" s="5">
        <v>1</v>
      </c>
      <c r="AF322" s="5">
        <v>0</v>
      </c>
    </row>
    <row r="323" spans="1:32" x14ac:dyDescent="0.2">
      <c r="A323" s="3" t="str">
        <f>+VLOOKUP(B323,studies!$A$2:$C$102,3)</f>
        <v>Anthoff et al. (2009a)</v>
      </c>
      <c r="B323" s="87">
        <v>53</v>
      </c>
      <c r="C323" s="5">
        <v>2009</v>
      </c>
      <c r="D323" s="5">
        <v>1</v>
      </c>
      <c r="E323" s="5">
        <v>1995</v>
      </c>
      <c r="F323" s="48">
        <v>2010</v>
      </c>
      <c r="G323" s="115">
        <v>3.0303030303030304E-2</v>
      </c>
      <c r="H323" s="7">
        <v>108.23394159760407</v>
      </c>
      <c r="I323" s="5">
        <v>0</v>
      </c>
      <c r="J323" s="5">
        <v>1</v>
      </c>
      <c r="K323" s="5">
        <v>0</v>
      </c>
      <c r="L323" s="7" t="s">
        <v>238</v>
      </c>
      <c r="M323" s="7" t="s">
        <v>238</v>
      </c>
      <c r="N323" s="7" t="s">
        <v>238</v>
      </c>
      <c r="O323" s="5">
        <v>0</v>
      </c>
      <c r="P323" s="5">
        <v>1</v>
      </c>
      <c r="Q323" s="5">
        <v>1</v>
      </c>
      <c r="R323" s="5">
        <v>1</v>
      </c>
      <c r="S323" s="5">
        <v>1</v>
      </c>
      <c r="T323" s="5">
        <v>0</v>
      </c>
      <c r="U323" s="5">
        <v>0</v>
      </c>
      <c r="V323" s="13"/>
      <c r="W323" s="13">
        <v>0</v>
      </c>
      <c r="X323" s="3"/>
      <c r="Y323" s="5"/>
      <c r="Z323" s="5"/>
      <c r="AA323" s="5">
        <v>1</v>
      </c>
      <c r="AB323" s="5"/>
      <c r="AC323" s="5">
        <v>0</v>
      </c>
      <c r="AD323" s="5">
        <v>0</v>
      </c>
      <c r="AE323" s="5">
        <v>1</v>
      </c>
      <c r="AF323" s="5">
        <v>0</v>
      </c>
    </row>
    <row r="324" spans="1:32" x14ac:dyDescent="0.2">
      <c r="A324" s="3" t="str">
        <f>+VLOOKUP(B324,studies!$A$2:$C$102,3)</f>
        <v>Anthoff et al. (2009a)</v>
      </c>
      <c r="B324" s="87">
        <v>53</v>
      </c>
      <c r="C324" s="5">
        <v>2009</v>
      </c>
      <c r="D324" s="5">
        <v>1</v>
      </c>
      <c r="E324" s="5">
        <v>1995</v>
      </c>
      <c r="F324" s="48">
        <v>2010</v>
      </c>
      <c r="G324" s="115">
        <v>3.0303030303030304E-2</v>
      </c>
      <c r="H324" s="7">
        <v>28.517725752219253</v>
      </c>
      <c r="I324" s="5">
        <v>0</v>
      </c>
      <c r="J324" s="5">
        <v>1</v>
      </c>
      <c r="K324" s="5">
        <v>0</v>
      </c>
      <c r="L324" s="7" t="s">
        <v>238</v>
      </c>
      <c r="M324" s="7" t="s">
        <v>238</v>
      </c>
      <c r="N324" s="7" t="s">
        <v>238</v>
      </c>
      <c r="O324" s="5">
        <v>0</v>
      </c>
      <c r="P324" s="5">
        <v>1</v>
      </c>
      <c r="Q324" s="5">
        <v>1</v>
      </c>
      <c r="R324" s="5">
        <v>1</v>
      </c>
      <c r="S324" s="5">
        <v>1</v>
      </c>
      <c r="T324" s="5">
        <v>0</v>
      </c>
      <c r="U324" s="5">
        <v>0</v>
      </c>
      <c r="V324" s="13"/>
      <c r="W324" s="13">
        <v>1</v>
      </c>
      <c r="X324" s="3"/>
      <c r="Y324" s="5"/>
      <c r="Z324" s="5"/>
      <c r="AA324" s="5">
        <v>1</v>
      </c>
      <c r="AB324" s="5"/>
      <c r="AC324" s="5">
        <v>0</v>
      </c>
      <c r="AD324" s="5">
        <v>0</v>
      </c>
      <c r="AE324" s="5">
        <v>1</v>
      </c>
      <c r="AF324" s="5">
        <v>0</v>
      </c>
    </row>
    <row r="325" spans="1:32" x14ac:dyDescent="0.2">
      <c r="A325" s="3" t="str">
        <f>+VLOOKUP(B325,studies!$A$2:$C$102,3)</f>
        <v>Anthoff et al. (2009a)</v>
      </c>
      <c r="B325" s="87">
        <v>53</v>
      </c>
      <c r="C325" s="5">
        <v>2009</v>
      </c>
      <c r="D325" s="5">
        <v>1</v>
      </c>
      <c r="E325" s="5">
        <v>1995</v>
      </c>
      <c r="F325" s="48">
        <v>2010</v>
      </c>
      <c r="G325" s="115">
        <v>3.0303030303030304E-2</v>
      </c>
      <c r="H325" s="7">
        <v>5.670191085236576</v>
      </c>
      <c r="I325" s="5">
        <v>0</v>
      </c>
      <c r="J325" s="5">
        <v>1</v>
      </c>
      <c r="K325" s="5">
        <v>0</v>
      </c>
      <c r="L325" s="7" t="s">
        <v>238</v>
      </c>
      <c r="M325" s="7" t="s">
        <v>238</v>
      </c>
      <c r="N325" s="7" t="s">
        <v>238</v>
      </c>
      <c r="O325" s="5">
        <v>0</v>
      </c>
      <c r="P325" s="5">
        <v>1</v>
      </c>
      <c r="Q325" s="5">
        <v>1</v>
      </c>
      <c r="R325" s="5">
        <v>1</v>
      </c>
      <c r="S325" s="5">
        <v>1</v>
      </c>
      <c r="T325" s="5">
        <v>0</v>
      </c>
      <c r="U325" s="5">
        <v>0</v>
      </c>
      <c r="V325" s="13"/>
      <c r="W325" s="13">
        <v>1</v>
      </c>
      <c r="X325" s="3"/>
      <c r="Y325" s="5"/>
      <c r="Z325" s="5"/>
      <c r="AA325" s="5">
        <v>1</v>
      </c>
      <c r="AB325" s="5"/>
      <c r="AC325" s="5">
        <v>0</v>
      </c>
      <c r="AD325" s="5">
        <v>0</v>
      </c>
      <c r="AE325" s="5">
        <v>1</v>
      </c>
      <c r="AF325" s="5">
        <v>0</v>
      </c>
    </row>
    <row r="326" spans="1:32" x14ac:dyDescent="0.2">
      <c r="A326" s="3" t="str">
        <f>+VLOOKUP(B326,studies!$A$2:$C$102,3)</f>
        <v>Anthoff et al. (2009a)</v>
      </c>
      <c r="B326" s="87">
        <v>53</v>
      </c>
      <c r="C326" s="5">
        <v>2009</v>
      </c>
      <c r="D326" s="5">
        <v>1</v>
      </c>
      <c r="E326" s="5">
        <v>1995</v>
      </c>
      <c r="F326" s="48">
        <v>2010</v>
      </c>
      <c r="G326" s="115">
        <v>3.0303030303030304E-2</v>
      </c>
      <c r="H326" s="7">
        <v>46.028609986038092</v>
      </c>
      <c r="I326" s="5">
        <v>0</v>
      </c>
      <c r="J326" s="5">
        <v>1</v>
      </c>
      <c r="K326" s="5">
        <v>0</v>
      </c>
      <c r="L326" s="7" t="s">
        <v>238</v>
      </c>
      <c r="M326" s="7" t="s">
        <v>238</v>
      </c>
      <c r="N326" s="7" t="s">
        <v>238</v>
      </c>
      <c r="O326" s="5">
        <v>0</v>
      </c>
      <c r="P326" s="5">
        <v>1</v>
      </c>
      <c r="Q326" s="5">
        <v>1</v>
      </c>
      <c r="R326" s="5">
        <v>1</v>
      </c>
      <c r="S326" s="5">
        <v>1</v>
      </c>
      <c r="T326" s="5">
        <v>0</v>
      </c>
      <c r="U326" s="5">
        <v>0</v>
      </c>
      <c r="V326" s="13"/>
      <c r="W326" s="13">
        <v>1</v>
      </c>
      <c r="X326" s="3"/>
      <c r="Y326" s="5"/>
      <c r="Z326" s="5"/>
      <c r="AA326" s="5">
        <v>1</v>
      </c>
      <c r="AB326" s="5"/>
      <c r="AC326" s="5">
        <v>0</v>
      </c>
      <c r="AD326" s="5">
        <v>0</v>
      </c>
      <c r="AE326" s="5">
        <v>1</v>
      </c>
      <c r="AF326" s="5">
        <v>0</v>
      </c>
    </row>
    <row r="327" spans="1:32" x14ac:dyDescent="0.2">
      <c r="A327" s="3" t="str">
        <f>+VLOOKUP(B327,studies!$A$2:$C$102,3)</f>
        <v>Anthoff et al. (2009a)</v>
      </c>
      <c r="B327" s="87">
        <v>53</v>
      </c>
      <c r="C327" s="5">
        <v>2009</v>
      </c>
      <c r="D327" s="5">
        <v>1</v>
      </c>
      <c r="E327" s="5">
        <v>1995</v>
      </c>
      <c r="F327" s="48">
        <v>2010</v>
      </c>
      <c r="G327" s="115">
        <v>3.0303030303030304E-2</v>
      </c>
      <c r="H327" s="7">
        <v>-3.835717498836507</v>
      </c>
      <c r="I327" s="5">
        <v>0</v>
      </c>
      <c r="J327" s="5">
        <v>1</v>
      </c>
      <c r="K327" s="5">
        <v>0</v>
      </c>
      <c r="L327" s="7" t="s">
        <v>238</v>
      </c>
      <c r="M327" s="7" t="s">
        <v>238</v>
      </c>
      <c r="N327" s="7" t="s">
        <v>238</v>
      </c>
      <c r="O327" s="5">
        <v>0</v>
      </c>
      <c r="P327" s="5">
        <v>1</v>
      </c>
      <c r="Q327" s="5">
        <v>1</v>
      </c>
      <c r="R327" s="5">
        <v>1</v>
      </c>
      <c r="S327" s="5">
        <v>1</v>
      </c>
      <c r="T327" s="5">
        <v>0</v>
      </c>
      <c r="U327" s="5">
        <v>0</v>
      </c>
      <c r="V327" s="13"/>
      <c r="W327" s="13">
        <v>1</v>
      </c>
      <c r="X327" s="3"/>
      <c r="Y327" s="5"/>
      <c r="Z327" s="5"/>
      <c r="AA327" s="5">
        <v>1</v>
      </c>
      <c r="AB327" s="5"/>
      <c r="AC327" s="5">
        <v>0</v>
      </c>
      <c r="AD327" s="5">
        <v>0</v>
      </c>
      <c r="AE327" s="5">
        <v>1</v>
      </c>
      <c r="AF327" s="5">
        <v>0</v>
      </c>
    </row>
    <row r="328" spans="1:32" x14ac:dyDescent="0.2">
      <c r="A328" s="3" t="str">
        <f>+VLOOKUP(B328,studies!$A$2:$C$102,3)</f>
        <v>Anthoff et al. (2009a)</v>
      </c>
      <c r="B328" s="87">
        <v>53</v>
      </c>
      <c r="C328" s="5">
        <v>2009</v>
      </c>
      <c r="D328" s="5">
        <v>1</v>
      </c>
      <c r="E328" s="5">
        <v>1995</v>
      </c>
      <c r="F328" s="48">
        <v>2010</v>
      </c>
      <c r="G328" s="115">
        <v>3.0303030303030304E-2</v>
      </c>
      <c r="H328" s="7">
        <v>21.179831406618973</v>
      </c>
      <c r="I328" s="5">
        <v>0</v>
      </c>
      <c r="J328" s="5">
        <v>1</v>
      </c>
      <c r="K328" s="5">
        <v>0</v>
      </c>
      <c r="L328" s="7" t="s">
        <v>238</v>
      </c>
      <c r="M328" s="7" t="s">
        <v>238</v>
      </c>
      <c r="N328" s="7" t="s">
        <v>238</v>
      </c>
      <c r="O328" s="5">
        <v>0</v>
      </c>
      <c r="P328" s="5">
        <v>1</v>
      </c>
      <c r="Q328" s="5">
        <v>1</v>
      </c>
      <c r="R328" s="5">
        <v>1</v>
      </c>
      <c r="S328" s="5">
        <v>1</v>
      </c>
      <c r="T328" s="5">
        <v>0</v>
      </c>
      <c r="U328" s="5">
        <v>0</v>
      </c>
      <c r="V328" s="13"/>
      <c r="W328" s="13">
        <v>1</v>
      </c>
      <c r="X328" s="3"/>
      <c r="Y328" s="5"/>
      <c r="Z328" s="5"/>
      <c r="AA328" s="5">
        <v>1</v>
      </c>
      <c r="AB328" s="5"/>
      <c r="AC328" s="5">
        <v>0</v>
      </c>
      <c r="AD328" s="5">
        <v>0</v>
      </c>
      <c r="AE328" s="5">
        <v>1</v>
      </c>
      <c r="AF328" s="5">
        <v>0</v>
      </c>
    </row>
    <row r="329" spans="1:32" x14ac:dyDescent="0.2">
      <c r="A329" s="3" t="str">
        <f>+VLOOKUP(B329,studies!$A$2:$C$102,3)</f>
        <v>Anthoff et al. (2009a)</v>
      </c>
      <c r="B329" s="87">
        <v>53</v>
      </c>
      <c r="C329" s="5">
        <v>2009</v>
      </c>
      <c r="D329" s="5">
        <v>1</v>
      </c>
      <c r="E329" s="5">
        <v>1995</v>
      </c>
      <c r="F329" s="48">
        <v>2010</v>
      </c>
      <c r="G329" s="115">
        <v>3.0303030303030304E-2</v>
      </c>
      <c r="H329" s="7">
        <v>-4.836339455054727</v>
      </c>
      <c r="I329" s="5">
        <v>0</v>
      </c>
      <c r="J329" s="5">
        <v>1</v>
      </c>
      <c r="K329" s="5">
        <v>0</v>
      </c>
      <c r="L329" s="7" t="s">
        <v>238</v>
      </c>
      <c r="M329" s="7" t="s">
        <v>238</v>
      </c>
      <c r="N329" s="7" t="s">
        <v>238</v>
      </c>
      <c r="O329" s="5">
        <v>0</v>
      </c>
      <c r="P329" s="5">
        <v>1</v>
      </c>
      <c r="Q329" s="5">
        <v>1</v>
      </c>
      <c r="R329" s="5">
        <v>1</v>
      </c>
      <c r="S329" s="5">
        <v>1</v>
      </c>
      <c r="T329" s="5">
        <v>0</v>
      </c>
      <c r="U329" s="5">
        <v>0</v>
      </c>
      <c r="V329" s="13"/>
      <c r="W329" s="13">
        <v>3</v>
      </c>
      <c r="X329" s="3"/>
      <c r="Y329" s="5"/>
      <c r="Z329" s="5"/>
      <c r="AA329" s="5">
        <v>1</v>
      </c>
      <c r="AB329" s="5"/>
      <c r="AC329" s="5">
        <v>0</v>
      </c>
      <c r="AD329" s="5">
        <v>0</v>
      </c>
      <c r="AE329" s="5">
        <v>1</v>
      </c>
      <c r="AF329" s="5">
        <v>0</v>
      </c>
    </row>
    <row r="330" spans="1:32" x14ac:dyDescent="0.2">
      <c r="A330" s="3" t="str">
        <f>+VLOOKUP(B330,studies!$A$2:$C$102,3)</f>
        <v>Anthoff et al. (2009a)</v>
      </c>
      <c r="B330" s="87">
        <v>53</v>
      </c>
      <c r="C330" s="5">
        <v>2009</v>
      </c>
      <c r="D330" s="5">
        <v>1</v>
      </c>
      <c r="E330" s="5">
        <v>1995</v>
      </c>
      <c r="F330" s="48">
        <v>2010</v>
      </c>
      <c r="G330" s="115">
        <v>3.0303030303030304E-2</v>
      </c>
      <c r="H330" s="7">
        <v>-7.504664671636645</v>
      </c>
      <c r="I330" s="5">
        <v>0</v>
      </c>
      <c r="J330" s="5">
        <v>1</v>
      </c>
      <c r="K330" s="5">
        <v>0</v>
      </c>
      <c r="L330" s="7" t="s">
        <v>238</v>
      </c>
      <c r="M330" s="7" t="s">
        <v>238</v>
      </c>
      <c r="N330" s="7" t="s">
        <v>238</v>
      </c>
      <c r="O330" s="5">
        <v>0</v>
      </c>
      <c r="P330" s="5">
        <v>1</v>
      </c>
      <c r="Q330" s="5">
        <v>1</v>
      </c>
      <c r="R330" s="5">
        <v>1</v>
      </c>
      <c r="S330" s="5">
        <v>1</v>
      </c>
      <c r="T330" s="5">
        <v>0</v>
      </c>
      <c r="U330" s="5">
        <v>0</v>
      </c>
      <c r="V330" s="13"/>
      <c r="W330" s="13">
        <v>3</v>
      </c>
      <c r="X330" s="3"/>
      <c r="Y330" s="5"/>
      <c r="Z330" s="5"/>
      <c r="AA330" s="5">
        <v>1</v>
      </c>
      <c r="AB330" s="5"/>
      <c r="AC330" s="5">
        <v>0</v>
      </c>
      <c r="AD330" s="5">
        <v>0</v>
      </c>
      <c r="AE330" s="5">
        <v>1</v>
      </c>
      <c r="AF330" s="5">
        <v>0</v>
      </c>
    </row>
    <row r="331" spans="1:32" x14ac:dyDescent="0.2">
      <c r="A331" s="3" t="str">
        <f>+VLOOKUP(B331,studies!$A$2:$C$102,3)</f>
        <v>Anthoff et al. (2009a)</v>
      </c>
      <c r="B331" s="87">
        <v>53</v>
      </c>
      <c r="C331" s="5">
        <v>2009</v>
      </c>
      <c r="D331" s="5">
        <v>1</v>
      </c>
      <c r="E331" s="5">
        <v>1995</v>
      </c>
      <c r="F331" s="48">
        <v>2010</v>
      </c>
      <c r="G331" s="115">
        <v>3.0303030303030304E-2</v>
      </c>
      <c r="H331" s="7">
        <v>-3.1686361946910275</v>
      </c>
      <c r="I331" s="5">
        <v>0</v>
      </c>
      <c r="J331" s="5">
        <v>1</v>
      </c>
      <c r="K331" s="5">
        <v>0</v>
      </c>
      <c r="L331" s="7" t="s">
        <v>238</v>
      </c>
      <c r="M331" s="7" t="s">
        <v>238</v>
      </c>
      <c r="N331" s="7" t="s">
        <v>238</v>
      </c>
      <c r="O331" s="5">
        <v>0</v>
      </c>
      <c r="P331" s="5">
        <v>1</v>
      </c>
      <c r="Q331" s="5">
        <v>1</v>
      </c>
      <c r="R331" s="5">
        <v>1</v>
      </c>
      <c r="S331" s="5">
        <v>1</v>
      </c>
      <c r="T331" s="5">
        <v>0</v>
      </c>
      <c r="U331" s="5">
        <v>0</v>
      </c>
      <c r="V331" s="13"/>
      <c r="W331" s="13">
        <v>3</v>
      </c>
      <c r="X331" s="3"/>
      <c r="Y331" s="5"/>
      <c r="Z331" s="5"/>
      <c r="AA331" s="5">
        <v>1</v>
      </c>
      <c r="AB331" s="5"/>
      <c r="AC331" s="5">
        <v>0</v>
      </c>
      <c r="AD331" s="5">
        <v>0</v>
      </c>
      <c r="AE331" s="5">
        <v>1</v>
      </c>
      <c r="AF331" s="5">
        <v>0</v>
      </c>
    </row>
    <row r="332" spans="1:32" x14ac:dyDescent="0.2">
      <c r="A332" s="3" t="str">
        <f>+VLOOKUP(B332,studies!$A$2:$C$102,3)</f>
        <v>Anthoff et al. (2009a)</v>
      </c>
      <c r="B332" s="87">
        <v>53</v>
      </c>
      <c r="C332" s="5">
        <v>2009</v>
      </c>
      <c r="D332" s="5">
        <v>1</v>
      </c>
      <c r="E332" s="5">
        <v>1995</v>
      </c>
      <c r="F332" s="48">
        <v>2010</v>
      </c>
      <c r="G332" s="115">
        <v>3.0303030303030304E-2</v>
      </c>
      <c r="H332" s="7">
        <v>-11.006841518400412</v>
      </c>
      <c r="I332" s="5">
        <v>0</v>
      </c>
      <c r="J332" s="5">
        <v>1</v>
      </c>
      <c r="K332" s="5">
        <v>0</v>
      </c>
      <c r="L332" s="7" t="s">
        <v>238</v>
      </c>
      <c r="M332" s="7" t="s">
        <v>238</v>
      </c>
      <c r="N332" s="7" t="s">
        <v>238</v>
      </c>
      <c r="O332" s="5">
        <v>0</v>
      </c>
      <c r="P332" s="5">
        <v>1</v>
      </c>
      <c r="Q332" s="5">
        <v>1</v>
      </c>
      <c r="R332" s="5">
        <v>1</v>
      </c>
      <c r="S332" s="5">
        <v>1</v>
      </c>
      <c r="T332" s="5">
        <v>0</v>
      </c>
      <c r="U332" s="5">
        <v>0</v>
      </c>
      <c r="V332" s="13"/>
      <c r="W332" s="13">
        <v>3</v>
      </c>
      <c r="X332" s="3"/>
      <c r="Y332" s="5"/>
      <c r="Z332" s="5"/>
      <c r="AA332" s="5">
        <v>1</v>
      </c>
      <c r="AB332" s="5"/>
      <c r="AC332" s="5">
        <v>0</v>
      </c>
      <c r="AD332" s="5">
        <v>0</v>
      </c>
      <c r="AE332" s="5">
        <v>1</v>
      </c>
      <c r="AF332" s="5">
        <v>0</v>
      </c>
    </row>
    <row r="333" spans="1:32" x14ac:dyDescent="0.2">
      <c r="A333" s="3" t="str">
        <f>+VLOOKUP(B333,studies!$A$2:$C$102,3)</f>
        <v>Anthoff et al. (2009a)</v>
      </c>
      <c r="B333" s="87">
        <v>53</v>
      </c>
      <c r="C333" s="5">
        <v>2009</v>
      </c>
      <c r="D333" s="5">
        <v>1</v>
      </c>
      <c r="E333" s="5">
        <v>1995</v>
      </c>
      <c r="F333" s="48">
        <v>2010</v>
      </c>
      <c r="G333" s="115">
        <v>3.0303030303030304E-2</v>
      </c>
      <c r="H333" s="7">
        <v>-4.836339455054727</v>
      </c>
      <c r="I333" s="5">
        <v>0</v>
      </c>
      <c r="J333" s="5">
        <v>1</v>
      </c>
      <c r="K333" s="5">
        <v>0</v>
      </c>
      <c r="L333" s="7" t="s">
        <v>238</v>
      </c>
      <c r="M333" s="7" t="s">
        <v>238</v>
      </c>
      <c r="N333" s="7" t="s">
        <v>238</v>
      </c>
      <c r="O333" s="5">
        <v>0</v>
      </c>
      <c r="P333" s="5">
        <v>1</v>
      </c>
      <c r="Q333" s="5">
        <v>1</v>
      </c>
      <c r="R333" s="5">
        <v>1</v>
      </c>
      <c r="S333" s="5">
        <v>1</v>
      </c>
      <c r="T333" s="5">
        <v>0</v>
      </c>
      <c r="U333" s="5">
        <v>0</v>
      </c>
      <c r="V333" s="13"/>
      <c r="W333" s="13">
        <v>3</v>
      </c>
      <c r="X333" s="3"/>
      <c r="Y333" s="5"/>
      <c r="Z333" s="5"/>
      <c r="AA333" s="5">
        <v>1</v>
      </c>
      <c r="AB333" s="5"/>
      <c r="AC333" s="5">
        <v>0</v>
      </c>
      <c r="AD333" s="5">
        <v>0</v>
      </c>
      <c r="AE333" s="5">
        <v>1</v>
      </c>
      <c r="AF333" s="5">
        <v>0</v>
      </c>
    </row>
    <row r="334" spans="1:32" x14ac:dyDescent="0.2">
      <c r="A334" s="3" t="str">
        <f>+VLOOKUP(B334,studies!$A$2:$C$102,3)</f>
        <v>Anthoff et al. (2009b)</v>
      </c>
      <c r="B334" s="87">
        <v>54</v>
      </c>
      <c r="C334" s="5">
        <v>2009</v>
      </c>
      <c r="D334" s="5">
        <v>1</v>
      </c>
      <c r="E334" s="5">
        <v>1995</v>
      </c>
      <c r="F334" s="5">
        <v>2010</v>
      </c>
      <c r="G334" s="113">
        <v>0.25</v>
      </c>
      <c r="H334" s="7">
        <v>-3.1352821294837536</v>
      </c>
      <c r="I334" s="5">
        <v>0</v>
      </c>
      <c r="J334" s="5">
        <v>1</v>
      </c>
      <c r="K334" s="5">
        <v>0</v>
      </c>
      <c r="L334" s="7">
        <v>3.6689471728001379</v>
      </c>
      <c r="M334" s="7">
        <v>3.6689471728001379</v>
      </c>
      <c r="N334" s="7">
        <v>3.6689471728001379</v>
      </c>
      <c r="O334" s="5">
        <v>0</v>
      </c>
      <c r="P334" s="5">
        <v>1</v>
      </c>
      <c r="Q334" s="5">
        <v>1</v>
      </c>
      <c r="R334" s="5">
        <v>1</v>
      </c>
      <c r="S334" s="5">
        <v>1</v>
      </c>
      <c r="T334" s="5">
        <v>0</v>
      </c>
      <c r="U334" s="5">
        <v>0</v>
      </c>
      <c r="V334" s="13"/>
      <c r="W334" s="13" t="s">
        <v>25</v>
      </c>
      <c r="X334" s="3"/>
      <c r="Y334" s="5"/>
      <c r="Z334" s="5"/>
      <c r="AA334" s="5">
        <v>0</v>
      </c>
      <c r="AB334" s="5"/>
      <c r="AC334" s="5">
        <v>0</v>
      </c>
      <c r="AD334" s="5">
        <v>0</v>
      </c>
      <c r="AE334" s="5">
        <v>1</v>
      </c>
      <c r="AF334" s="5">
        <v>0</v>
      </c>
    </row>
    <row r="335" spans="1:32" x14ac:dyDescent="0.2">
      <c r="A335" s="3" t="str">
        <f>+VLOOKUP(B335,studies!$A$2:$C$102,3)</f>
        <v>Anthoff et al. (2009b)</v>
      </c>
      <c r="B335" s="87">
        <v>54</v>
      </c>
      <c r="C335" s="5">
        <v>2009</v>
      </c>
      <c r="D335" s="5">
        <v>1</v>
      </c>
      <c r="E335" s="5">
        <v>1995</v>
      </c>
      <c r="F335" s="5">
        <v>2010</v>
      </c>
      <c r="G335" s="113">
        <v>0.25</v>
      </c>
      <c r="H335" s="7">
        <v>-0.58369614112729462</v>
      </c>
      <c r="I335" s="5">
        <v>0</v>
      </c>
      <c r="J335" s="5">
        <v>1</v>
      </c>
      <c r="K335" s="5">
        <v>0</v>
      </c>
      <c r="L335" s="7">
        <v>8.0883608127639377</v>
      </c>
      <c r="M335" s="7">
        <v>8.0883608127639377</v>
      </c>
      <c r="N335" s="7">
        <v>8.0883608127639377</v>
      </c>
      <c r="O335" s="5">
        <v>0</v>
      </c>
      <c r="P335" s="5">
        <v>1</v>
      </c>
      <c r="Q335" s="5">
        <v>1</v>
      </c>
      <c r="R335" s="5">
        <v>1</v>
      </c>
      <c r="S335" s="5">
        <v>1</v>
      </c>
      <c r="T335" s="5">
        <v>0</v>
      </c>
      <c r="U335" s="5">
        <v>0</v>
      </c>
      <c r="V335" s="13"/>
      <c r="W335" s="13" t="s">
        <v>25</v>
      </c>
      <c r="X335" s="3"/>
      <c r="Y335" s="5"/>
      <c r="Z335" s="5"/>
      <c r="AA335" s="5">
        <v>1</v>
      </c>
      <c r="AB335" s="5"/>
      <c r="AC335" s="5">
        <v>0</v>
      </c>
      <c r="AD335" s="5">
        <v>0</v>
      </c>
      <c r="AE335" s="5">
        <v>1</v>
      </c>
      <c r="AF335" s="5">
        <v>0</v>
      </c>
    </row>
    <row r="336" spans="1:32" x14ac:dyDescent="0.2">
      <c r="A336" s="3" t="str">
        <f>+VLOOKUP(B336,studies!$A$2:$C$102,3)</f>
        <v>Anthoff et al. (2009b)</v>
      </c>
      <c r="B336" s="87">
        <v>54</v>
      </c>
      <c r="C336" s="5">
        <v>2009</v>
      </c>
      <c r="D336" s="5">
        <v>1</v>
      </c>
      <c r="E336" s="5">
        <v>1995</v>
      </c>
      <c r="F336" s="5">
        <v>2010</v>
      </c>
      <c r="G336" s="113">
        <v>0.25</v>
      </c>
      <c r="H336" s="7">
        <v>14.942621212858743</v>
      </c>
      <c r="I336" s="5">
        <v>1</v>
      </c>
      <c r="J336" s="5">
        <v>0</v>
      </c>
      <c r="K336" s="5">
        <v>0</v>
      </c>
      <c r="L336" s="7">
        <v>11.473798431302248</v>
      </c>
      <c r="M336" s="7">
        <v>11.473798431302248</v>
      </c>
      <c r="N336" s="7">
        <v>11.473798431302248</v>
      </c>
      <c r="O336" s="5">
        <v>0</v>
      </c>
      <c r="P336" s="5">
        <v>1</v>
      </c>
      <c r="Q336" s="5">
        <v>1</v>
      </c>
      <c r="R336" s="5">
        <v>1</v>
      </c>
      <c r="S336" s="5">
        <v>1</v>
      </c>
      <c r="T336" s="5">
        <v>0</v>
      </c>
      <c r="U336" s="5">
        <v>0</v>
      </c>
      <c r="V336" s="13"/>
      <c r="W336" s="13" t="s">
        <v>25</v>
      </c>
      <c r="X336" s="3"/>
      <c r="Y336" s="5"/>
      <c r="Z336" s="5"/>
      <c r="AA336" s="5">
        <v>0</v>
      </c>
      <c r="AB336" s="5"/>
      <c r="AC336" s="5">
        <v>0</v>
      </c>
      <c r="AD336" s="5">
        <v>0</v>
      </c>
      <c r="AE336" s="5">
        <v>1</v>
      </c>
      <c r="AF336" s="5">
        <v>0</v>
      </c>
    </row>
    <row r="337" spans="1:32" x14ac:dyDescent="0.2">
      <c r="A337" s="3" t="str">
        <f>+VLOOKUP(B337,studies!$A$2:$C$102,3)</f>
        <v>Anthoff et al. (2009b)</v>
      </c>
      <c r="B337" s="87">
        <v>54</v>
      </c>
      <c r="C337" s="5">
        <v>2009</v>
      </c>
      <c r="D337" s="5">
        <v>1</v>
      </c>
      <c r="E337" s="5">
        <v>1995</v>
      </c>
      <c r="F337" s="5">
        <v>2010</v>
      </c>
      <c r="G337" s="113">
        <v>0.25</v>
      </c>
      <c r="H337" s="7">
        <v>73.96263959713005</v>
      </c>
      <c r="I337" s="5">
        <v>1</v>
      </c>
      <c r="J337" s="5">
        <v>0</v>
      </c>
      <c r="K337" s="5">
        <v>0</v>
      </c>
      <c r="L337" s="7">
        <v>19.762283635309831</v>
      </c>
      <c r="M337" s="7">
        <v>19.762283635309831</v>
      </c>
      <c r="N337" s="7">
        <v>19.762283635309831</v>
      </c>
      <c r="O337" s="5">
        <v>0</v>
      </c>
      <c r="P337" s="5">
        <v>1</v>
      </c>
      <c r="Q337" s="5">
        <v>1</v>
      </c>
      <c r="R337" s="5">
        <v>1</v>
      </c>
      <c r="S337" s="5">
        <v>1</v>
      </c>
      <c r="T337" s="5">
        <v>0</v>
      </c>
      <c r="U337" s="5">
        <v>0</v>
      </c>
      <c r="V337" s="13"/>
      <c r="W337" s="13" t="s">
        <v>25</v>
      </c>
      <c r="X337" s="3"/>
      <c r="Y337" s="5"/>
      <c r="Z337" s="5"/>
      <c r="AA337" s="5">
        <v>1</v>
      </c>
      <c r="AB337" s="5"/>
      <c r="AC337" s="5">
        <v>0</v>
      </c>
      <c r="AD337" s="5">
        <v>0</v>
      </c>
      <c r="AE337" s="5">
        <v>1</v>
      </c>
      <c r="AF337" s="5">
        <v>0</v>
      </c>
    </row>
    <row r="338" spans="1:32" x14ac:dyDescent="0.2">
      <c r="A338" s="3" t="str">
        <f>+VLOOKUP(B338,studies!$A$2:$C$102,3)</f>
        <v>Anthoff et al. (2009c)</v>
      </c>
      <c r="B338" s="87">
        <v>55</v>
      </c>
      <c r="C338" s="5">
        <v>2009</v>
      </c>
      <c r="D338" s="5">
        <v>1</v>
      </c>
      <c r="E338" s="5">
        <v>1995</v>
      </c>
      <c r="F338" s="5">
        <v>2010</v>
      </c>
      <c r="G338" s="113">
        <v>2.5000000000000001E-2</v>
      </c>
      <c r="H338" s="7">
        <v>-1.1673922822545892</v>
      </c>
      <c r="I338" s="5">
        <v>1</v>
      </c>
      <c r="J338" s="5">
        <v>0</v>
      </c>
      <c r="K338" s="5">
        <v>0</v>
      </c>
      <c r="L338" s="7" t="s">
        <v>238</v>
      </c>
      <c r="M338" s="7" t="s">
        <v>238</v>
      </c>
      <c r="N338" s="7" t="s">
        <v>238</v>
      </c>
      <c r="O338" s="5">
        <v>0</v>
      </c>
      <c r="P338" s="5">
        <v>1</v>
      </c>
      <c r="Q338" s="5">
        <v>1</v>
      </c>
      <c r="R338" s="5">
        <v>1</v>
      </c>
      <c r="S338" s="5">
        <v>1</v>
      </c>
      <c r="T338" s="5">
        <v>0</v>
      </c>
      <c r="U338" s="5">
        <v>0</v>
      </c>
      <c r="V338" s="13"/>
      <c r="W338" s="13" t="s">
        <v>25</v>
      </c>
      <c r="X338" s="3"/>
      <c r="Y338" s="5"/>
      <c r="Z338" s="5"/>
      <c r="AA338" s="5">
        <v>1</v>
      </c>
      <c r="AB338" s="5"/>
      <c r="AC338" s="5">
        <v>0</v>
      </c>
      <c r="AD338" s="5">
        <v>0</v>
      </c>
      <c r="AE338" s="5">
        <v>1</v>
      </c>
      <c r="AF338" s="5">
        <v>0</v>
      </c>
    </row>
    <row r="339" spans="1:32" x14ac:dyDescent="0.2">
      <c r="A339" s="3" t="str">
        <f>+VLOOKUP(B339,studies!$A$2:$C$102,3)</f>
        <v>Anthoff et al. (2009c)</v>
      </c>
      <c r="B339" s="87">
        <v>55</v>
      </c>
      <c r="C339" s="5">
        <v>2009</v>
      </c>
      <c r="D339" s="5">
        <v>1</v>
      </c>
      <c r="E339" s="5">
        <v>1995</v>
      </c>
      <c r="F339" s="5">
        <v>2010</v>
      </c>
      <c r="G339" s="113">
        <v>2.5000000000000001E-2</v>
      </c>
      <c r="H339" s="7">
        <v>21.013061080582606</v>
      </c>
      <c r="I339" s="5">
        <v>1</v>
      </c>
      <c r="J339" s="5">
        <v>0</v>
      </c>
      <c r="K339" s="5">
        <v>0</v>
      </c>
      <c r="L339" s="7" t="s">
        <v>238</v>
      </c>
      <c r="M339" s="7" t="s">
        <v>238</v>
      </c>
      <c r="N339" s="7" t="s">
        <v>238</v>
      </c>
      <c r="O339" s="5">
        <v>0</v>
      </c>
      <c r="P339" s="5">
        <v>1</v>
      </c>
      <c r="Q339" s="5">
        <v>1</v>
      </c>
      <c r="R339" s="5">
        <v>1</v>
      </c>
      <c r="S339" s="5">
        <v>1</v>
      </c>
      <c r="T339" s="5">
        <v>0</v>
      </c>
      <c r="U339" s="5">
        <v>0</v>
      </c>
      <c r="V339" s="13"/>
      <c r="W339" s="13" t="s">
        <v>25</v>
      </c>
      <c r="X339" s="3"/>
      <c r="Y339" s="5"/>
      <c r="Z339" s="5"/>
      <c r="AA339" s="5">
        <v>1</v>
      </c>
      <c r="AB339" s="5"/>
      <c r="AC339" s="5">
        <v>0</v>
      </c>
      <c r="AD339" s="5">
        <v>0</v>
      </c>
      <c r="AE339" s="5">
        <v>1</v>
      </c>
      <c r="AF339" s="5">
        <v>0</v>
      </c>
    </row>
    <row r="340" spans="1:32" x14ac:dyDescent="0.2">
      <c r="A340" s="3" t="str">
        <f>+VLOOKUP(B340,studies!$A$2:$C$102,3)</f>
        <v>Anthoff et al. (2009c)</v>
      </c>
      <c r="B340" s="87">
        <v>55</v>
      </c>
      <c r="C340" s="5">
        <v>2009</v>
      </c>
      <c r="D340" s="5">
        <v>1</v>
      </c>
      <c r="E340" s="5">
        <v>1995</v>
      </c>
      <c r="F340" s="5">
        <v>2010</v>
      </c>
      <c r="G340" s="113">
        <v>2.5000000000000001E-2</v>
      </c>
      <c r="H340" s="7">
        <v>350.38445500241312</v>
      </c>
      <c r="I340" s="5">
        <v>1</v>
      </c>
      <c r="J340" s="5">
        <v>0</v>
      </c>
      <c r="K340" s="5">
        <v>0</v>
      </c>
      <c r="L340" s="7" t="s">
        <v>238</v>
      </c>
      <c r="M340" s="7" t="s">
        <v>238</v>
      </c>
      <c r="N340" s="7" t="s">
        <v>238</v>
      </c>
      <c r="O340" s="5">
        <v>0</v>
      </c>
      <c r="P340" s="5">
        <v>1</v>
      </c>
      <c r="Q340" s="5">
        <v>1</v>
      </c>
      <c r="R340" s="5">
        <v>1</v>
      </c>
      <c r="S340" s="5">
        <v>1</v>
      </c>
      <c r="T340" s="5">
        <v>0</v>
      </c>
      <c r="U340" s="5">
        <v>0</v>
      </c>
      <c r="V340" s="13"/>
      <c r="W340" s="13" t="s">
        <v>25</v>
      </c>
      <c r="X340" s="3"/>
      <c r="Y340" s="5"/>
      <c r="Z340" s="5"/>
      <c r="AA340" s="5">
        <v>1</v>
      </c>
      <c r="AB340" s="5"/>
      <c r="AC340" s="5">
        <v>0</v>
      </c>
      <c r="AD340" s="5">
        <v>0</v>
      </c>
      <c r="AE340" s="5">
        <v>1</v>
      </c>
      <c r="AF340" s="5">
        <v>0</v>
      </c>
    </row>
    <row r="341" spans="1:32" x14ac:dyDescent="0.2">
      <c r="A341" s="3" t="str">
        <f>+VLOOKUP(B341,studies!$A$2:$C$102,3)</f>
        <v>Anthoff et al. (2009c)</v>
      </c>
      <c r="B341" s="87">
        <v>55</v>
      </c>
      <c r="C341" s="5">
        <v>2009</v>
      </c>
      <c r="D341" s="5">
        <v>1</v>
      </c>
      <c r="E341" s="5">
        <v>1995</v>
      </c>
      <c r="F341" s="5">
        <v>2010</v>
      </c>
      <c r="G341" s="113">
        <v>2.5000000000000001E-2</v>
      </c>
      <c r="H341" s="7">
        <v>102.73052083840385</v>
      </c>
      <c r="I341" s="5">
        <v>1</v>
      </c>
      <c r="J341" s="5">
        <v>0</v>
      </c>
      <c r="K341" s="5">
        <v>0</v>
      </c>
      <c r="L341" s="7" t="s">
        <v>238</v>
      </c>
      <c r="M341" s="7" t="s">
        <v>238</v>
      </c>
      <c r="N341" s="7" t="s">
        <v>238</v>
      </c>
      <c r="O341" s="5">
        <v>0</v>
      </c>
      <c r="P341" s="5">
        <v>1</v>
      </c>
      <c r="Q341" s="5">
        <v>1</v>
      </c>
      <c r="R341" s="5">
        <v>1</v>
      </c>
      <c r="S341" s="5">
        <v>1</v>
      </c>
      <c r="T341" s="5">
        <v>0</v>
      </c>
      <c r="U341" s="5">
        <v>0</v>
      </c>
      <c r="V341" s="13"/>
      <c r="W341" s="13" t="s">
        <v>25</v>
      </c>
      <c r="X341" s="3"/>
      <c r="Y341" s="5"/>
      <c r="Z341" s="5"/>
      <c r="AA341" s="5">
        <v>1</v>
      </c>
      <c r="AB341" s="5"/>
      <c r="AC341" s="5">
        <v>0</v>
      </c>
      <c r="AD341" s="5">
        <v>0</v>
      </c>
      <c r="AE341" s="5">
        <v>1</v>
      </c>
      <c r="AF341" s="5">
        <v>0</v>
      </c>
    </row>
    <row r="342" spans="1:32" x14ac:dyDescent="0.2">
      <c r="A342" s="3" t="str">
        <f>+VLOOKUP(B342,studies!$A$2:$C$102,3)</f>
        <v>Anthoff et al. (2009c)</v>
      </c>
      <c r="B342" s="87">
        <v>55</v>
      </c>
      <c r="C342" s="5">
        <v>2009</v>
      </c>
      <c r="D342" s="5">
        <v>1</v>
      </c>
      <c r="E342" s="5">
        <v>1995</v>
      </c>
      <c r="F342" s="5">
        <v>2010</v>
      </c>
      <c r="G342" s="113">
        <v>2.5000000000000001E-2</v>
      </c>
      <c r="H342" s="7">
        <v>67.875522696802548</v>
      </c>
      <c r="I342" s="5">
        <v>1</v>
      </c>
      <c r="J342" s="5">
        <v>0</v>
      </c>
      <c r="K342" s="5">
        <v>0</v>
      </c>
      <c r="L342" s="7" t="s">
        <v>238</v>
      </c>
      <c r="M342" s="7" t="s">
        <v>238</v>
      </c>
      <c r="N342" s="7" t="s">
        <v>238</v>
      </c>
      <c r="O342" s="5">
        <v>0</v>
      </c>
      <c r="P342" s="5">
        <v>1</v>
      </c>
      <c r="Q342" s="5">
        <v>1</v>
      </c>
      <c r="R342" s="5">
        <v>1</v>
      </c>
      <c r="S342" s="5">
        <v>1</v>
      </c>
      <c r="T342" s="5">
        <v>0</v>
      </c>
      <c r="U342" s="5">
        <v>0</v>
      </c>
      <c r="V342" s="13"/>
      <c r="W342" s="13" t="s">
        <v>25</v>
      </c>
      <c r="X342" s="3"/>
      <c r="Y342" s="5"/>
      <c r="Z342" s="5"/>
      <c r="AA342" s="5">
        <v>1</v>
      </c>
      <c r="AB342" s="5"/>
      <c r="AC342" s="5">
        <v>0</v>
      </c>
      <c r="AD342" s="5">
        <v>0</v>
      </c>
      <c r="AE342" s="5">
        <v>1</v>
      </c>
      <c r="AF342" s="5">
        <v>0</v>
      </c>
    </row>
    <row r="343" spans="1:32" x14ac:dyDescent="0.2">
      <c r="A343" s="3" t="str">
        <f>+VLOOKUP(B343,studies!$A$2:$C$102,3)</f>
        <v>Anthoff et al. (2009c)</v>
      </c>
      <c r="B343" s="87">
        <v>55</v>
      </c>
      <c r="C343" s="5">
        <v>2009</v>
      </c>
      <c r="D343" s="5">
        <v>1</v>
      </c>
      <c r="E343" s="5">
        <v>1995</v>
      </c>
      <c r="F343" s="5">
        <v>2010</v>
      </c>
      <c r="G343" s="113">
        <v>2.5000000000000001E-2</v>
      </c>
      <c r="H343" s="7">
        <v>97.894181383349135</v>
      </c>
      <c r="I343" s="5">
        <v>1</v>
      </c>
      <c r="J343" s="5">
        <v>0</v>
      </c>
      <c r="K343" s="5">
        <v>0</v>
      </c>
      <c r="L343" s="7" t="s">
        <v>238</v>
      </c>
      <c r="M343" s="7" t="s">
        <v>238</v>
      </c>
      <c r="N343" s="7" t="s">
        <v>238</v>
      </c>
      <c r="O343" s="5">
        <v>0</v>
      </c>
      <c r="P343" s="5">
        <v>1</v>
      </c>
      <c r="Q343" s="5">
        <v>1</v>
      </c>
      <c r="R343" s="5">
        <v>1</v>
      </c>
      <c r="S343" s="5">
        <v>1</v>
      </c>
      <c r="T343" s="5">
        <v>0</v>
      </c>
      <c r="U343" s="5">
        <v>0</v>
      </c>
      <c r="V343" s="13"/>
      <c r="W343" s="13" t="s">
        <v>25</v>
      </c>
      <c r="X343" s="3"/>
      <c r="Y343" s="5"/>
      <c r="Z343" s="5"/>
      <c r="AA343" s="5">
        <v>1</v>
      </c>
      <c r="AB343" s="5"/>
      <c r="AC343" s="5">
        <v>0</v>
      </c>
      <c r="AD343" s="5">
        <v>0</v>
      </c>
      <c r="AE343" s="5">
        <v>1</v>
      </c>
      <c r="AF343" s="5">
        <v>0</v>
      </c>
    </row>
    <row r="344" spans="1:32" x14ac:dyDescent="0.2">
      <c r="A344" s="3" t="str">
        <f>+VLOOKUP(B344,studies!$A$2:$C$102,3)</f>
        <v>Anthoff et al. (2009c)</v>
      </c>
      <c r="B344" s="87">
        <v>55</v>
      </c>
      <c r="C344" s="5">
        <v>2009</v>
      </c>
      <c r="D344" s="5">
        <v>1</v>
      </c>
      <c r="E344" s="5">
        <v>1995</v>
      </c>
      <c r="F344" s="5">
        <v>2010</v>
      </c>
      <c r="G344" s="113">
        <v>2.5000000000000001E-2</v>
      </c>
      <c r="H344" s="7">
        <v>379.90280271085066</v>
      </c>
      <c r="I344" s="5">
        <v>1</v>
      </c>
      <c r="J344" s="5">
        <v>0</v>
      </c>
      <c r="K344" s="5">
        <v>0</v>
      </c>
      <c r="L344" s="7" t="s">
        <v>238</v>
      </c>
      <c r="M344" s="7" t="s">
        <v>238</v>
      </c>
      <c r="N344" s="7" t="s">
        <v>238</v>
      </c>
      <c r="O344" s="5">
        <v>0</v>
      </c>
      <c r="P344" s="5">
        <v>1</v>
      </c>
      <c r="Q344" s="5">
        <v>1</v>
      </c>
      <c r="R344" s="5">
        <v>1</v>
      </c>
      <c r="S344" s="5">
        <v>1</v>
      </c>
      <c r="T344" s="5">
        <v>0</v>
      </c>
      <c r="U344" s="5">
        <v>0</v>
      </c>
      <c r="V344" s="13"/>
      <c r="W344" s="13" t="s">
        <v>25</v>
      </c>
      <c r="X344" s="3"/>
      <c r="Y344" s="5"/>
      <c r="Z344" s="5"/>
      <c r="AA344" s="5">
        <v>1</v>
      </c>
      <c r="AB344" s="5"/>
      <c r="AC344" s="5">
        <v>0</v>
      </c>
      <c r="AD344" s="5">
        <v>0</v>
      </c>
      <c r="AE344" s="5">
        <v>1</v>
      </c>
      <c r="AF344" s="5">
        <v>0</v>
      </c>
    </row>
    <row r="345" spans="1:32" x14ac:dyDescent="0.2">
      <c r="A345" s="3" t="str">
        <f>+VLOOKUP(B345,studies!$A$2:$C$102,3)</f>
        <v>Anthoff et al. (2009c)</v>
      </c>
      <c r="B345" s="87">
        <v>55</v>
      </c>
      <c r="C345" s="5">
        <v>2009</v>
      </c>
      <c r="D345" s="5">
        <v>1</v>
      </c>
      <c r="E345" s="5">
        <v>1995</v>
      </c>
      <c r="F345" s="5">
        <v>2010</v>
      </c>
      <c r="G345" s="113">
        <v>2.5000000000000001E-2</v>
      </c>
      <c r="H345" s="7">
        <v>195.78836276669827</v>
      </c>
      <c r="I345" s="5">
        <v>1</v>
      </c>
      <c r="J345" s="5">
        <v>0</v>
      </c>
      <c r="K345" s="5">
        <v>0</v>
      </c>
      <c r="L345" s="7" t="s">
        <v>238</v>
      </c>
      <c r="M345" s="7" t="s">
        <v>238</v>
      </c>
      <c r="N345" s="7" t="s">
        <v>238</v>
      </c>
      <c r="O345" s="5">
        <v>0</v>
      </c>
      <c r="P345" s="5">
        <v>1</v>
      </c>
      <c r="Q345" s="5">
        <v>1</v>
      </c>
      <c r="R345" s="5">
        <v>1</v>
      </c>
      <c r="S345" s="5">
        <v>1</v>
      </c>
      <c r="T345" s="5">
        <v>0</v>
      </c>
      <c r="U345" s="5">
        <v>0</v>
      </c>
      <c r="V345" s="13"/>
      <c r="W345" s="13" t="s">
        <v>25</v>
      </c>
      <c r="X345" s="3"/>
      <c r="Y345" s="5"/>
      <c r="Z345" s="5"/>
      <c r="AA345" s="5">
        <v>1</v>
      </c>
      <c r="AB345" s="5"/>
      <c r="AC345" s="5">
        <v>0</v>
      </c>
      <c r="AD345" s="5">
        <v>0</v>
      </c>
      <c r="AE345" s="5">
        <v>1</v>
      </c>
      <c r="AF345" s="5">
        <v>0</v>
      </c>
    </row>
    <row r="346" spans="1:32" x14ac:dyDescent="0.2">
      <c r="A346" s="3" t="str">
        <f>+VLOOKUP(B346,studies!$A$2:$C$102,3)</f>
        <v>Anthoff et al. (2009c)</v>
      </c>
      <c r="B346" s="87">
        <v>55</v>
      </c>
      <c r="C346" s="5">
        <v>2009</v>
      </c>
      <c r="D346" s="5">
        <v>1</v>
      </c>
      <c r="E346" s="5">
        <v>1995</v>
      </c>
      <c r="F346" s="5">
        <v>2010</v>
      </c>
      <c r="G346" s="113">
        <v>0.2</v>
      </c>
      <c r="H346" s="7">
        <v>-0.66708130414547961</v>
      </c>
      <c r="I346" s="5">
        <v>1</v>
      </c>
      <c r="J346" s="5">
        <v>0</v>
      </c>
      <c r="K346" s="5">
        <v>0</v>
      </c>
      <c r="L346" s="7" t="s">
        <v>238</v>
      </c>
      <c r="M346" s="7" t="s">
        <v>238</v>
      </c>
      <c r="N346" s="7" t="s">
        <v>238</v>
      </c>
      <c r="O346" s="5">
        <v>0</v>
      </c>
      <c r="P346" s="5">
        <v>1</v>
      </c>
      <c r="Q346" s="5">
        <v>1</v>
      </c>
      <c r="R346" s="5">
        <v>1</v>
      </c>
      <c r="S346" s="5">
        <v>1</v>
      </c>
      <c r="T346" s="5">
        <v>0</v>
      </c>
      <c r="U346" s="5">
        <v>0</v>
      </c>
      <c r="V346" s="13"/>
      <c r="W346" s="13" t="s">
        <v>25</v>
      </c>
      <c r="X346" s="3"/>
      <c r="Y346" s="5"/>
      <c r="Z346" s="5"/>
      <c r="AA346" s="5">
        <v>1</v>
      </c>
      <c r="AB346" s="5"/>
      <c r="AC346" s="5">
        <v>0</v>
      </c>
      <c r="AD346" s="5">
        <v>0</v>
      </c>
      <c r="AE346" s="5">
        <v>1</v>
      </c>
      <c r="AF346" s="5">
        <v>0</v>
      </c>
    </row>
    <row r="347" spans="1:32" x14ac:dyDescent="0.2">
      <c r="A347" s="3" t="str">
        <f>+VLOOKUP(B347,studies!$A$2:$C$102,3)</f>
        <v>Anthoff et al. (2009c)</v>
      </c>
      <c r="B347" s="87">
        <v>55</v>
      </c>
      <c r="C347" s="5">
        <v>2009</v>
      </c>
      <c r="D347" s="5">
        <v>1</v>
      </c>
      <c r="E347" s="5">
        <v>1995</v>
      </c>
      <c r="F347" s="5">
        <v>2010</v>
      </c>
      <c r="G347" s="113">
        <v>0.2</v>
      </c>
      <c r="H347" s="7">
        <v>22.013683036800824</v>
      </c>
      <c r="I347" s="5">
        <v>1</v>
      </c>
      <c r="J347" s="5">
        <v>0</v>
      </c>
      <c r="K347" s="5">
        <v>0</v>
      </c>
      <c r="L347" s="7" t="s">
        <v>238</v>
      </c>
      <c r="M347" s="7" t="s">
        <v>238</v>
      </c>
      <c r="N347" s="7" t="s">
        <v>238</v>
      </c>
      <c r="O347" s="5">
        <v>0</v>
      </c>
      <c r="P347" s="5">
        <v>1</v>
      </c>
      <c r="Q347" s="5">
        <v>1</v>
      </c>
      <c r="R347" s="5">
        <v>1</v>
      </c>
      <c r="S347" s="5">
        <v>1</v>
      </c>
      <c r="T347" s="5">
        <v>0</v>
      </c>
      <c r="U347" s="5">
        <v>0</v>
      </c>
      <c r="V347" s="13"/>
      <c r="W347" s="13" t="s">
        <v>25</v>
      </c>
      <c r="X347" s="3"/>
      <c r="Y347" s="5"/>
      <c r="Z347" s="5"/>
      <c r="AA347" s="5">
        <v>1</v>
      </c>
      <c r="AB347" s="5"/>
      <c r="AC347" s="5">
        <v>0</v>
      </c>
      <c r="AD347" s="5">
        <v>0</v>
      </c>
      <c r="AE347" s="5">
        <v>1</v>
      </c>
      <c r="AF347" s="5">
        <v>0</v>
      </c>
    </row>
    <row r="348" spans="1:32" x14ac:dyDescent="0.2">
      <c r="A348" s="3" t="str">
        <f>+VLOOKUP(B348,studies!$A$2:$C$102,3)</f>
        <v>Anthoff et al. (2009c)</v>
      </c>
      <c r="B348" s="87">
        <v>55</v>
      </c>
      <c r="C348" s="5">
        <v>2009</v>
      </c>
      <c r="D348" s="5">
        <v>1</v>
      </c>
      <c r="E348" s="5">
        <v>1995</v>
      </c>
      <c r="F348" s="5">
        <v>2010</v>
      </c>
      <c r="G348" s="113">
        <v>0.2</v>
      </c>
      <c r="H348" s="7">
        <v>342.71302000474009</v>
      </c>
      <c r="I348" s="5">
        <v>1</v>
      </c>
      <c r="J348" s="5">
        <v>0</v>
      </c>
      <c r="K348" s="5">
        <v>0</v>
      </c>
      <c r="L348" s="7" t="s">
        <v>238</v>
      </c>
      <c r="M348" s="7" t="s">
        <v>238</v>
      </c>
      <c r="N348" s="7" t="s">
        <v>238</v>
      </c>
      <c r="O348" s="5">
        <v>0</v>
      </c>
      <c r="P348" s="5">
        <v>1</v>
      </c>
      <c r="Q348" s="5">
        <v>1</v>
      </c>
      <c r="R348" s="5">
        <v>1</v>
      </c>
      <c r="S348" s="5">
        <v>1</v>
      </c>
      <c r="T348" s="5">
        <v>0</v>
      </c>
      <c r="U348" s="5">
        <v>0</v>
      </c>
      <c r="V348" s="13"/>
      <c r="W348" s="13" t="s">
        <v>25</v>
      </c>
      <c r="X348" s="3"/>
      <c r="Y348" s="5"/>
      <c r="Z348" s="5"/>
      <c r="AA348" s="5">
        <v>1</v>
      </c>
      <c r="AB348" s="5"/>
      <c r="AC348" s="5">
        <v>0</v>
      </c>
      <c r="AD348" s="5">
        <v>0</v>
      </c>
      <c r="AE348" s="5">
        <v>1</v>
      </c>
      <c r="AF348" s="5">
        <v>0</v>
      </c>
    </row>
    <row r="349" spans="1:32" x14ac:dyDescent="0.2">
      <c r="A349" s="3" t="str">
        <f>+VLOOKUP(B349,studies!$A$2:$C$102,3)</f>
        <v>Anthoff et al. (2009c)</v>
      </c>
      <c r="B349" s="87">
        <v>55</v>
      </c>
      <c r="C349" s="5">
        <v>2009</v>
      </c>
      <c r="D349" s="5">
        <v>1</v>
      </c>
      <c r="E349" s="5">
        <v>1995</v>
      </c>
      <c r="F349" s="5">
        <v>2010</v>
      </c>
      <c r="G349" s="113">
        <v>0.2</v>
      </c>
      <c r="H349" s="7">
        <v>101.22958790407652</v>
      </c>
      <c r="I349" s="5">
        <v>1</v>
      </c>
      <c r="J349" s="5">
        <v>0</v>
      </c>
      <c r="K349" s="5">
        <v>0</v>
      </c>
      <c r="L349" s="7" t="s">
        <v>238</v>
      </c>
      <c r="M349" s="7" t="s">
        <v>238</v>
      </c>
      <c r="N349" s="7" t="s">
        <v>238</v>
      </c>
      <c r="O349" s="5">
        <v>0</v>
      </c>
      <c r="P349" s="5">
        <v>1</v>
      </c>
      <c r="Q349" s="5">
        <v>1</v>
      </c>
      <c r="R349" s="5">
        <v>1</v>
      </c>
      <c r="S349" s="5">
        <v>1</v>
      </c>
      <c r="T349" s="5">
        <v>0</v>
      </c>
      <c r="U349" s="5">
        <v>0</v>
      </c>
      <c r="V349" s="13"/>
      <c r="W349" s="13" t="s">
        <v>25</v>
      </c>
      <c r="X349" s="3"/>
      <c r="Y349" s="5"/>
      <c r="Z349" s="5"/>
      <c r="AA349" s="5">
        <v>1</v>
      </c>
      <c r="AB349" s="5"/>
      <c r="AC349" s="5">
        <v>0</v>
      </c>
      <c r="AD349" s="5">
        <v>0</v>
      </c>
      <c r="AE349" s="5">
        <v>1</v>
      </c>
      <c r="AF349" s="5">
        <v>0</v>
      </c>
    </row>
    <row r="350" spans="1:32" x14ac:dyDescent="0.2">
      <c r="A350" s="3" t="str">
        <f>+VLOOKUP(B350,studies!$A$2:$C$102,3)</f>
        <v>EPA &amp; NHTSA (2009)</v>
      </c>
      <c r="B350" s="87">
        <v>56</v>
      </c>
      <c r="C350" s="5">
        <v>2009</v>
      </c>
      <c r="D350" s="5">
        <v>0</v>
      </c>
      <c r="E350" s="5">
        <v>2007</v>
      </c>
      <c r="F350" s="5">
        <v>2015</v>
      </c>
      <c r="G350" s="113">
        <v>0.1111111111111111</v>
      </c>
      <c r="H350" s="7">
        <v>26.992942417197998</v>
      </c>
      <c r="I350" s="5">
        <v>0</v>
      </c>
      <c r="J350" s="5">
        <v>1</v>
      </c>
      <c r="K350" s="5">
        <v>0</v>
      </c>
      <c r="L350" s="7" t="s">
        <v>238</v>
      </c>
      <c r="M350" s="7" t="s">
        <v>238</v>
      </c>
      <c r="N350" s="7" t="s">
        <v>238</v>
      </c>
      <c r="O350" s="5">
        <v>0</v>
      </c>
      <c r="P350" s="5">
        <v>0</v>
      </c>
      <c r="Q350" s="5">
        <v>0</v>
      </c>
      <c r="R350" s="5">
        <v>0</v>
      </c>
      <c r="S350" s="5">
        <v>1</v>
      </c>
      <c r="T350" s="5">
        <v>1</v>
      </c>
      <c r="U350" s="5">
        <v>1</v>
      </c>
      <c r="V350" s="13">
        <v>5</v>
      </c>
      <c r="W350" s="13" t="s">
        <v>25</v>
      </c>
      <c r="X350" s="3"/>
      <c r="Y350" s="5"/>
      <c r="Z350" s="5"/>
      <c r="AA350" s="5">
        <v>0</v>
      </c>
      <c r="AB350" s="5"/>
      <c r="AC350" s="5">
        <v>0</v>
      </c>
      <c r="AD350" s="5">
        <v>0</v>
      </c>
      <c r="AE350" s="5">
        <v>0</v>
      </c>
      <c r="AF350" s="5">
        <v>0</v>
      </c>
    </row>
    <row r="351" spans="1:32" x14ac:dyDescent="0.2">
      <c r="A351" s="3" t="str">
        <f>+VLOOKUP(B351,studies!$A$2:$C$102,3)</f>
        <v>EPA &amp; NHTSA (2009)</v>
      </c>
      <c r="B351" s="87">
        <v>56</v>
      </c>
      <c r="C351" s="5">
        <v>2009</v>
      </c>
      <c r="D351" s="5">
        <v>0</v>
      </c>
      <c r="E351" s="5">
        <v>2007</v>
      </c>
      <c r="F351" s="5">
        <v>2015</v>
      </c>
      <c r="G351" s="113">
        <v>0.22222222222222221</v>
      </c>
      <c r="H351" s="7">
        <v>50.129750203367706</v>
      </c>
      <c r="I351" s="5">
        <v>0</v>
      </c>
      <c r="J351" s="5">
        <v>1</v>
      </c>
      <c r="K351" s="5">
        <v>0</v>
      </c>
      <c r="L351" s="7" t="s">
        <v>238</v>
      </c>
      <c r="M351" s="7" t="s">
        <v>238</v>
      </c>
      <c r="N351" s="7" t="s">
        <v>238</v>
      </c>
      <c r="O351" s="5">
        <v>0</v>
      </c>
      <c r="P351" s="5">
        <v>0</v>
      </c>
      <c r="Q351" s="5">
        <v>0</v>
      </c>
      <c r="R351" s="5">
        <v>0</v>
      </c>
      <c r="S351" s="5">
        <v>1</v>
      </c>
      <c r="T351" s="5">
        <v>1</v>
      </c>
      <c r="U351" s="5">
        <v>1</v>
      </c>
      <c r="V351" s="13"/>
      <c r="W351" s="13" t="s">
        <v>25</v>
      </c>
      <c r="X351" s="3"/>
      <c r="Y351" s="5"/>
      <c r="Z351" s="5"/>
      <c r="AA351" s="5">
        <v>0</v>
      </c>
      <c r="AB351" s="5"/>
      <c r="AC351" s="5">
        <v>0</v>
      </c>
      <c r="AD351" s="5">
        <v>0</v>
      </c>
      <c r="AE351" s="5">
        <v>0</v>
      </c>
      <c r="AF351" s="5">
        <v>0</v>
      </c>
    </row>
    <row r="352" spans="1:32" x14ac:dyDescent="0.2">
      <c r="A352" s="3" t="str">
        <f>+VLOOKUP(B352,studies!$A$2:$C$102,3)</f>
        <v>EPA &amp; NHTSA (2009)</v>
      </c>
      <c r="B352" s="87">
        <v>56</v>
      </c>
      <c r="C352" s="5">
        <v>2009</v>
      </c>
      <c r="D352" s="5">
        <v>0</v>
      </c>
      <c r="E352" s="5">
        <v>2007</v>
      </c>
      <c r="F352" s="5">
        <v>2015</v>
      </c>
      <c r="G352" s="113">
        <v>0.33333333333333331</v>
      </c>
      <c r="H352" s="7">
        <v>353.47900784425946</v>
      </c>
      <c r="I352" s="5">
        <v>0</v>
      </c>
      <c r="J352" s="5">
        <v>1</v>
      </c>
      <c r="K352" s="5">
        <v>0</v>
      </c>
      <c r="L352" s="7" t="s">
        <v>238</v>
      </c>
      <c r="M352" s="7" t="s">
        <v>238</v>
      </c>
      <c r="N352" s="7" t="s">
        <v>238</v>
      </c>
      <c r="O352" s="5">
        <v>0</v>
      </c>
      <c r="P352" s="5">
        <v>0</v>
      </c>
      <c r="Q352" s="5">
        <v>0</v>
      </c>
      <c r="R352" s="5">
        <v>0</v>
      </c>
      <c r="S352" s="5">
        <v>1</v>
      </c>
      <c r="T352" s="5">
        <v>1</v>
      </c>
      <c r="U352" s="5">
        <v>1</v>
      </c>
      <c r="V352" s="13"/>
      <c r="W352" s="13" t="s">
        <v>25</v>
      </c>
      <c r="X352" s="3"/>
      <c r="Y352" s="5"/>
      <c r="Z352" s="5"/>
      <c r="AA352" s="5">
        <v>0</v>
      </c>
      <c r="AB352" s="5"/>
      <c r="AC352" s="5">
        <v>0</v>
      </c>
      <c r="AD352" s="5">
        <v>0</v>
      </c>
      <c r="AE352" s="5">
        <v>0</v>
      </c>
      <c r="AF352" s="5">
        <v>0</v>
      </c>
    </row>
    <row r="353" spans="1:32" x14ac:dyDescent="0.2">
      <c r="A353" s="3" t="str">
        <f>+VLOOKUP(B353,studies!$A$2:$C$102,3)</f>
        <v>EPA &amp; NHTSA (2009)</v>
      </c>
      <c r="B353" s="87">
        <v>56</v>
      </c>
      <c r="C353" s="5">
        <v>2009</v>
      </c>
      <c r="D353" s="5">
        <v>0</v>
      </c>
      <c r="E353" s="5">
        <v>2007</v>
      </c>
      <c r="F353" s="5">
        <v>2015</v>
      </c>
      <c r="G353" s="113">
        <v>0.22222222222222221</v>
      </c>
      <c r="H353" s="7">
        <v>607.9838934921263</v>
      </c>
      <c r="I353" s="5">
        <v>0</v>
      </c>
      <c r="J353" s="5">
        <v>1</v>
      </c>
      <c r="K353" s="5">
        <v>0</v>
      </c>
      <c r="L353" s="7" t="s">
        <v>238</v>
      </c>
      <c r="M353" s="7" t="s">
        <v>238</v>
      </c>
      <c r="N353" s="7" t="s">
        <v>238</v>
      </c>
      <c r="O353" s="5">
        <v>0</v>
      </c>
      <c r="P353" s="5">
        <v>0</v>
      </c>
      <c r="Q353" s="5">
        <v>0</v>
      </c>
      <c r="R353" s="5">
        <v>0</v>
      </c>
      <c r="S353" s="5">
        <v>1</v>
      </c>
      <c r="T353" s="5">
        <v>1</v>
      </c>
      <c r="U353" s="5">
        <v>1</v>
      </c>
      <c r="V353" s="13">
        <v>3</v>
      </c>
      <c r="W353" s="13" t="s">
        <v>25</v>
      </c>
      <c r="X353" s="3"/>
      <c r="Y353" s="5"/>
      <c r="Z353" s="5"/>
      <c r="AA353" s="5">
        <v>0</v>
      </c>
      <c r="AB353" s="5"/>
      <c r="AC353" s="5">
        <v>0</v>
      </c>
      <c r="AD353" s="5">
        <v>0</v>
      </c>
      <c r="AE353" s="5">
        <v>0</v>
      </c>
      <c r="AF353" s="5">
        <v>0</v>
      </c>
    </row>
    <row r="354" spans="1:32" x14ac:dyDescent="0.2">
      <c r="A354" s="3" t="str">
        <f>+VLOOKUP(B354,studies!$A$2:$C$102,3)</f>
        <v>EPA &amp; NHTSA (2009)</v>
      </c>
      <c r="B354" s="87">
        <v>56</v>
      </c>
      <c r="C354" s="5">
        <v>2009</v>
      </c>
      <c r="D354" s="5">
        <v>0</v>
      </c>
      <c r="E354" s="5">
        <v>2007</v>
      </c>
      <c r="F354" s="5">
        <v>2015</v>
      </c>
      <c r="G354" s="113">
        <v>0.1111111111111111</v>
      </c>
      <c r="H354" s="7">
        <v>1018.0195425914671</v>
      </c>
      <c r="I354" s="5">
        <v>0</v>
      </c>
      <c r="J354" s="5">
        <v>1</v>
      </c>
      <c r="K354" s="5">
        <v>0</v>
      </c>
      <c r="L354" s="7" t="s">
        <v>238</v>
      </c>
      <c r="M354" s="7" t="s">
        <v>238</v>
      </c>
      <c r="N354" s="7" t="s">
        <v>238</v>
      </c>
      <c r="O354" s="5">
        <v>0</v>
      </c>
      <c r="P354" s="5">
        <v>0</v>
      </c>
      <c r="Q354" s="5">
        <v>0</v>
      </c>
      <c r="R354" s="5">
        <v>0</v>
      </c>
      <c r="S354" s="5">
        <v>1</v>
      </c>
      <c r="T354" s="5">
        <v>1</v>
      </c>
      <c r="U354" s="5">
        <v>1</v>
      </c>
      <c r="V354" s="13"/>
      <c r="W354" s="13" t="s">
        <v>25</v>
      </c>
      <c r="X354" s="3"/>
      <c r="Y354" s="5"/>
      <c r="Z354" s="5"/>
      <c r="AA354" s="5">
        <v>0</v>
      </c>
      <c r="AB354" s="5"/>
      <c r="AC354" s="5">
        <v>0</v>
      </c>
      <c r="AD354" s="5">
        <v>0</v>
      </c>
      <c r="AE354" s="5">
        <v>0</v>
      </c>
      <c r="AF354" s="5">
        <v>0</v>
      </c>
    </row>
    <row r="355" spans="1:32" x14ac:dyDescent="0.2">
      <c r="A355" s="3" t="str">
        <f>+VLOOKUP(B355,studies!$A$2:$C$102,3)</f>
        <v>Narita et al. (2009)</v>
      </c>
      <c r="B355" s="87">
        <v>57</v>
      </c>
      <c r="C355" s="5">
        <v>2009</v>
      </c>
      <c r="D355" s="5">
        <v>1</v>
      </c>
      <c r="E355" s="48">
        <v>2005</v>
      </c>
      <c r="F355" s="48">
        <v>2010</v>
      </c>
      <c r="G355" s="115">
        <v>0.33333333333333331</v>
      </c>
      <c r="H355" s="7">
        <v>142.29202863285522</v>
      </c>
      <c r="I355" s="5">
        <v>0</v>
      </c>
      <c r="J355" s="5">
        <v>1</v>
      </c>
      <c r="K355" s="5">
        <v>0</v>
      </c>
      <c r="L355" s="7" t="s">
        <v>238</v>
      </c>
      <c r="M355" s="7" t="s">
        <v>238</v>
      </c>
      <c r="N355" s="7" t="s">
        <v>238</v>
      </c>
      <c r="O355" s="5">
        <v>0</v>
      </c>
      <c r="P355" s="5">
        <v>1</v>
      </c>
      <c r="Q355" s="5">
        <v>1</v>
      </c>
      <c r="R355" s="5">
        <v>1</v>
      </c>
      <c r="S355" s="5">
        <v>1</v>
      </c>
      <c r="T355" s="5">
        <v>0</v>
      </c>
      <c r="U355" s="5">
        <v>0</v>
      </c>
      <c r="V355" s="13"/>
      <c r="W355" s="13">
        <v>0</v>
      </c>
      <c r="X355" s="3"/>
      <c r="Y355" s="5"/>
      <c r="Z355" s="5"/>
      <c r="AA355" s="5">
        <v>0</v>
      </c>
      <c r="AB355" s="5"/>
      <c r="AC355" s="5">
        <v>0</v>
      </c>
      <c r="AD355" s="5">
        <v>0</v>
      </c>
      <c r="AE355" s="5">
        <v>1</v>
      </c>
      <c r="AF355" s="5">
        <v>0</v>
      </c>
    </row>
    <row r="356" spans="1:32" x14ac:dyDescent="0.2">
      <c r="A356" s="3" t="str">
        <f>+VLOOKUP(B356,studies!$A$2:$C$102,3)</f>
        <v>Narita et al. (2009)</v>
      </c>
      <c r="B356" s="87">
        <v>57</v>
      </c>
      <c r="C356" s="5">
        <v>2009</v>
      </c>
      <c r="D356" s="5">
        <v>1</v>
      </c>
      <c r="E356" s="48">
        <v>2005</v>
      </c>
      <c r="F356" s="48">
        <v>2010</v>
      </c>
      <c r="G356" s="115">
        <v>0.33333333333333331</v>
      </c>
      <c r="H356" s="7">
        <v>11.829472656600091</v>
      </c>
      <c r="I356" s="5">
        <v>0</v>
      </c>
      <c r="J356" s="5">
        <v>1</v>
      </c>
      <c r="K356" s="5">
        <v>0</v>
      </c>
      <c r="L356" s="7" t="s">
        <v>238</v>
      </c>
      <c r="M356" s="7" t="s">
        <v>238</v>
      </c>
      <c r="N356" s="7" t="s">
        <v>238</v>
      </c>
      <c r="O356" s="5">
        <v>0</v>
      </c>
      <c r="P356" s="5">
        <v>1</v>
      </c>
      <c r="Q356" s="5">
        <v>1</v>
      </c>
      <c r="R356" s="5">
        <v>1</v>
      </c>
      <c r="S356" s="5">
        <v>1</v>
      </c>
      <c r="T356" s="5">
        <v>0</v>
      </c>
      <c r="U356" s="5">
        <v>0</v>
      </c>
      <c r="V356" s="13"/>
      <c r="W356" s="13">
        <v>1</v>
      </c>
      <c r="X356" s="3"/>
      <c r="Y356" s="5"/>
      <c r="Z356" s="5"/>
      <c r="AA356" s="5">
        <v>0</v>
      </c>
      <c r="AB356" s="5"/>
      <c r="AC356" s="5">
        <v>0</v>
      </c>
      <c r="AD356" s="5">
        <v>0</v>
      </c>
      <c r="AE356" s="5">
        <v>1</v>
      </c>
      <c r="AF356" s="5">
        <v>0</v>
      </c>
    </row>
    <row r="357" spans="1:32" x14ac:dyDescent="0.2">
      <c r="A357" s="3" t="str">
        <f>+VLOOKUP(B357,studies!$A$2:$C$102,3)</f>
        <v>Narita et al. (2009)</v>
      </c>
      <c r="B357" s="87">
        <v>57</v>
      </c>
      <c r="C357" s="5">
        <v>2009</v>
      </c>
      <c r="D357" s="5">
        <v>1</v>
      </c>
      <c r="E357" s="48">
        <v>2005</v>
      </c>
      <c r="F357" s="48">
        <v>2010</v>
      </c>
      <c r="G357" s="115">
        <v>0.33333333333333331</v>
      </c>
      <c r="H357" s="7">
        <v>-3.8650752244336934</v>
      </c>
      <c r="I357" s="5">
        <v>0</v>
      </c>
      <c r="J357" s="5">
        <v>1</v>
      </c>
      <c r="K357" s="5">
        <v>0</v>
      </c>
      <c r="L357" s="7" t="s">
        <v>238</v>
      </c>
      <c r="M357" s="7" t="s">
        <v>238</v>
      </c>
      <c r="N357" s="7" t="s">
        <v>238</v>
      </c>
      <c r="O357" s="5">
        <v>0</v>
      </c>
      <c r="P357" s="5">
        <v>1</v>
      </c>
      <c r="Q357" s="5">
        <v>1</v>
      </c>
      <c r="R357" s="5">
        <v>1</v>
      </c>
      <c r="S357" s="5">
        <v>1</v>
      </c>
      <c r="T357" s="5">
        <v>0</v>
      </c>
      <c r="U357" s="5">
        <v>0</v>
      </c>
      <c r="V357" s="13"/>
      <c r="W357" s="13">
        <v>3</v>
      </c>
      <c r="X357" s="3"/>
      <c r="Y357" s="5"/>
      <c r="Z357" s="5"/>
      <c r="AA357" s="5">
        <v>0</v>
      </c>
      <c r="AB357" s="5"/>
      <c r="AC357" s="5">
        <v>0</v>
      </c>
      <c r="AD357" s="5">
        <v>0</v>
      </c>
      <c r="AE357" s="5">
        <v>1</v>
      </c>
      <c r="AF357" s="5">
        <v>0</v>
      </c>
    </row>
    <row r="358" spans="1:32" x14ac:dyDescent="0.2">
      <c r="A358" s="3" t="str">
        <f>+VLOOKUP(B358,studies!$A$2:$C$102,3)</f>
        <v>Anthoff &amp; Tol (2010)</v>
      </c>
      <c r="B358" s="87">
        <v>58</v>
      </c>
      <c r="C358" s="5">
        <v>2010</v>
      </c>
      <c r="D358" s="5">
        <v>1</v>
      </c>
      <c r="E358" s="5">
        <v>1995</v>
      </c>
      <c r="F358" s="48">
        <v>2010</v>
      </c>
      <c r="G358" s="115">
        <v>0.11764705882352941</v>
      </c>
      <c r="H358" s="7">
        <v>25.949462731259153</v>
      </c>
      <c r="I358" s="5">
        <v>0</v>
      </c>
      <c r="J358" s="5">
        <v>1</v>
      </c>
      <c r="K358" s="5">
        <v>0</v>
      </c>
      <c r="L358" s="7" t="s">
        <v>238</v>
      </c>
      <c r="M358" s="7" t="s">
        <v>238</v>
      </c>
      <c r="N358" s="7" t="s">
        <v>238</v>
      </c>
      <c r="O358" s="5">
        <v>0</v>
      </c>
      <c r="P358" s="5">
        <v>1</v>
      </c>
      <c r="Q358" s="5">
        <v>1</v>
      </c>
      <c r="R358" s="5">
        <v>1</v>
      </c>
      <c r="S358" s="5">
        <v>1</v>
      </c>
      <c r="T358" s="5">
        <v>0</v>
      </c>
      <c r="U358" s="5">
        <v>0</v>
      </c>
      <c r="V358" s="13"/>
      <c r="W358" s="13">
        <v>1</v>
      </c>
      <c r="X358" s="3"/>
      <c r="Y358" s="5"/>
      <c r="Z358" s="5"/>
      <c r="AA358" s="5">
        <v>0</v>
      </c>
      <c r="AB358" s="5"/>
      <c r="AC358" s="5">
        <v>0</v>
      </c>
      <c r="AD358" s="5">
        <v>0</v>
      </c>
      <c r="AE358" s="5">
        <v>1</v>
      </c>
      <c r="AF358" s="5">
        <v>0</v>
      </c>
    </row>
    <row r="359" spans="1:32" x14ac:dyDescent="0.2">
      <c r="A359" s="3" t="str">
        <f>+VLOOKUP(B359,studies!$A$2:$C$102,3)</f>
        <v>Anthoff &amp; Tol (2010)</v>
      </c>
      <c r="B359" s="87">
        <v>58</v>
      </c>
      <c r="C359" s="5">
        <v>2010</v>
      </c>
      <c r="D359" s="5">
        <v>1</v>
      </c>
      <c r="E359" s="5">
        <v>1995</v>
      </c>
      <c r="F359" s="48">
        <v>2010</v>
      </c>
      <c r="G359" s="115">
        <v>0.11764705882352941</v>
      </c>
      <c r="H359" s="7">
        <v>46.462212833732657</v>
      </c>
      <c r="I359" s="5">
        <v>0</v>
      </c>
      <c r="J359" s="5">
        <v>1</v>
      </c>
      <c r="K359" s="5">
        <v>0</v>
      </c>
      <c r="L359" s="7" t="s">
        <v>238</v>
      </c>
      <c r="M359" s="7" t="s">
        <v>238</v>
      </c>
      <c r="N359" s="7" t="s">
        <v>238</v>
      </c>
      <c r="O359" s="5">
        <v>0</v>
      </c>
      <c r="P359" s="5">
        <v>1</v>
      </c>
      <c r="Q359" s="5">
        <v>1</v>
      </c>
      <c r="R359" s="5">
        <v>1</v>
      </c>
      <c r="S359" s="5">
        <v>1</v>
      </c>
      <c r="T359" s="5">
        <v>0</v>
      </c>
      <c r="U359" s="5">
        <v>0</v>
      </c>
      <c r="V359" s="13"/>
      <c r="W359" s="13">
        <v>1</v>
      </c>
      <c r="X359" s="3"/>
      <c r="Y359" s="5"/>
      <c r="Z359" s="5"/>
      <c r="AA359" s="5">
        <v>1</v>
      </c>
      <c r="AB359" s="5"/>
      <c r="AC359" s="5">
        <v>0</v>
      </c>
      <c r="AD359" s="5">
        <v>0</v>
      </c>
      <c r="AE359" s="5">
        <v>1</v>
      </c>
      <c r="AF359" s="5">
        <v>0</v>
      </c>
    </row>
    <row r="360" spans="1:32" x14ac:dyDescent="0.2">
      <c r="A360" s="3" t="str">
        <f>+VLOOKUP(B360,studies!$A$2:$C$102,3)</f>
        <v>Anthoff &amp; Tol (2010)</v>
      </c>
      <c r="B360" s="87">
        <v>58</v>
      </c>
      <c r="C360" s="5">
        <v>2010</v>
      </c>
      <c r="D360" s="5">
        <v>1</v>
      </c>
      <c r="E360" s="5">
        <v>1995</v>
      </c>
      <c r="F360" s="48">
        <v>2010</v>
      </c>
      <c r="G360" s="115">
        <v>5.8823529411764705E-2</v>
      </c>
      <c r="H360" s="7">
        <v>169.25520389431179</v>
      </c>
      <c r="I360" s="5">
        <v>0</v>
      </c>
      <c r="J360" s="5">
        <v>1</v>
      </c>
      <c r="K360" s="5">
        <v>0</v>
      </c>
      <c r="L360" s="7" t="s">
        <v>238</v>
      </c>
      <c r="M360" s="7" t="s">
        <v>238</v>
      </c>
      <c r="N360" s="7" t="s">
        <v>238</v>
      </c>
      <c r="O360" s="5">
        <v>0</v>
      </c>
      <c r="P360" s="5">
        <v>1</v>
      </c>
      <c r="Q360" s="5">
        <v>1</v>
      </c>
      <c r="R360" s="5">
        <v>1</v>
      </c>
      <c r="S360" s="5">
        <v>1</v>
      </c>
      <c r="T360" s="5">
        <v>0</v>
      </c>
      <c r="U360" s="5">
        <v>0</v>
      </c>
      <c r="V360" s="13"/>
      <c r="W360" s="13">
        <v>0</v>
      </c>
      <c r="X360" s="3"/>
      <c r="Y360" s="5"/>
      <c r="Z360" s="5"/>
      <c r="AA360" s="5">
        <v>0</v>
      </c>
      <c r="AB360" s="5"/>
      <c r="AC360" s="5">
        <v>0</v>
      </c>
      <c r="AD360" s="5">
        <v>0</v>
      </c>
      <c r="AE360" s="5">
        <v>1</v>
      </c>
      <c r="AF360" s="5">
        <v>0</v>
      </c>
    </row>
    <row r="361" spans="1:32" x14ac:dyDescent="0.2">
      <c r="A361" s="3" t="str">
        <f>+VLOOKUP(B361,studies!$A$2:$C$102,3)</f>
        <v>Anthoff &amp; Tol (2010)</v>
      </c>
      <c r="B361" s="87">
        <v>58</v>
      </c>
      <c r="C361" s="5">
        <v>2010</v>
      </c>
      <c r="D361" s="5">
        <v>1</v>
      </c>
      <c r="E361" s="5">
        <v>1995</v>
      </c>
      <c r="F361" s="48">
        <v>2010</v>
      </c>
      <c r="G361" s="115">
        <v>5.8823529411764705E-2</v>
      </c>
      <c r="H361" s="7">
        <v>303.72211777743684</v>
      </c>
      <c r="I361" s="5">
        <v>0</v>
      </c>
      <c r="J361" s="5">
        <v>1</v>
      </c>
      <c r="K361" s="5">
        <v>0</v>
      </c>
      <c r="L361" s="7" t="s">
        <v>238</v>
      </c>
      <c r="M361" s="7" t="s">
        <v>238</v>
      </c>
      <c r="N361" s="7" t="s">
        <v>238</v>
      </c>
      <c r="O361" s="5">
        <v>0</v>
      </c>
      <c r="P361" s="5">
        <v>1</v>
      </c>
      <c r="Q361" s="5">
        <v>1</v>
      </c>
      <c r="R361" s="5">
        <v>1</v>
      </c>
      <c r="S361" s="5">
        <v>1</v>
      </c>
      <c r="T361" s="5">
        <v>0</v>
      </c>
      <c r="U361" s="5">
        <v>0</v>
      </c>
      <c r="V361" s="13"/>
      <c r="W361" s="13">
        <v>0</v>
      </c>
      <c r="X361" s="3"/>
      <c r="Y361" s="5"/>
      <c r="Z361" s="5"/>
      <c r="AA361" s="5">
        <v>1</v>
      </c>
      <c r="AB361" s="5"/>
      <c r="AC361" s="5">
        <v>0</v>
      </c>
      <c r="AD361" s="5">
        <v>0</v>
      </c>
      <c r="AE361" s="5">
        <v>1</v>
      </c>
      <c r="AF361" s="5">
        <v>0</v>
      </c>
    </row>
    <row r="362" spans="1:32" x14ac:dyDescent="0.2">
      <c r="A362" s="3" t="str">
        <f>+VLOOKUP(B362,studies!$A$2:$C$102,3)</f>
        <v>Anthoff &amp; Tol (2010)</v>
      </c>
      <c r="B362" s="87">
        <v>58</v>
      </c>
      <c r="C362" s="5">
        <v>2010</v>
      </c>
      <c r="D362" s="5">
        <v>1</v>
      </c>
      <c r="E362" s="5">
        <v>1995</v>
      </c>
      <c r="F362" s="48">
        <v>2010</v>
      </c>
      <c r="G362" s="115">
        <v>5.8823529411764705E-2</v>
      </c>
      <c r="H362" s="7">
        <v>1.1006841518400414</v>
      </c>
      <c r="I362" s="5">
        <v>0</v>
      </c>
      <c r="J362" s="5">
        <v>1</v>
      </c>
      <c r="K362" s="5">
        <v>0</v>
      </c>
      <c r="L362" s="7" t="s">
        <v>238</v>
      </c>
      <c r="M362" s="7" t="s">
        <v>238</v>
      </c>
      <c r="N362" s="7" t="s">
        <v>238</v>
      </c>
      <c r="O362" s="5">
        <v>0</v>
      </c>
      <c r="P362" s="5">
        <v>1</v>
      </c>
      <c r="Q362" s="5">
        <v>1</v>
      </c>
      <c r="R362" s="5">
        <v>1</v>
      </c>
      <c r="S362" s="5">
        <v>1</v>
      </c>
      <c r="T362" s="5">
        <v>0</v>
      </c>
      <c r="U362" s="5">
        <v>0</v>
      </c>
      <c r="V362" s="13"/>
      <c r="W362" s="13">
        <v>3</v>
      </c>
      <c r="X362" s="3"/>
      <c r="Y362" s="5"/>
      <c r="Z362" s="5"/>
      <c r="AA362" s="5">
        <v>0</v>
      </c>
      <c r="AB362" s="5"/>
      <c r="AC362" s="5">
        <v>0</v>
      </c>
      <c r="AD362" s="5">
        <v>0</v>
      </c>
      <c r="AE362" s="5">
        <v>1</v>
      </c>
      <c r="AF362" s="5">
        <v>0</v>
      </c>
    </row>
    <row r="363" spans="1:32" x14ac:dyDescent="0.2">
      <c r="A363" s="3" t="str">
        <f>+VLOOKUP(B363,studies!$A$2:$C$102,3)</f>
        <v>Anthoff &amp; Tol (2010)</v>
      </c>
      <c r="B363" s="87">
        <v>58</v>
      </c>
      <c r="C363" s="5">
        <v>2010</v>
      </c>
      <c r="D363" s="5">
        <v>1</v>
      </c>
      <c r="E363" s="5">
        <v>1995</v>
      </c>
      <c r="F363" s="48">
        <v>2010</v>
      </c>
      <c r="G363" s="115">
        <v>5.8823529411764705E-2</v>
      </c>
      <c r="H363" s="7">
        <v>1.9345357820218907</v>
      </c>
      <c r="I363" s="5">
        <v>0</v>
      </c>
      <c r="J363" s="5">
        <v>1</v>
      </c>
      <c r="K363" s="5">
        <v>0</v>
      </c>
      <c r="L363" s="7" t="s">
        <v>238</v>
      </c>
      <c r="M363" s="7" t="s">
        <v>238</v>
      </c>
      <c r="N363" s="7" t="s">
        <v>238</v>
      </c>
      <c r="O363" s="5">
        <v>0</v>
      </c>
      <c r="P363" s="5">
        <v>1</v>
      </c>
      <c r="Q363" s="5">
        <v>1</v>
      </c>
      <c r="R363" s="5">
        <v>1</v>
      </c>
      <c r="S363" s="5">
        <v>1</v>
      </c>
      <c r="T363" s="5">
        <v>0</v>
      </c>
      <c r="U363" s="5">
        <v>0</v>
      </c>
      <c r="V363" s="13"/>
      <c r="W363" s="13">
        <v>3</v>
      </c>
      <c r="X363" s="3"/>
      <c r="Y363" s="5"/>
      <c r="Z363" s="5"/>
      <c r="AA363" s="5">
        <v>1</v>
      </c>
      <c r="AB363" s="5"/>
      <c r="AC363" s="5">
        <v>0</v>
      </c>
      <c r="AD363" s="5">
        <v>0</v>
      </c>
      <c r="AE363" s="5">
        <v>1</v>
      </c>
      <c r="AF363" s="5">
        <v>0</v>
      </c>
    </row>
    <row r="364" spans="1:32" x14ac:dyDescent="0.2">
      <c r="A364" s="3" t="str">
        <f>+VLOOKUP(B364,studies!$A$2:$C$102,3)</f>
        <v>Anthoff &amp; Tol (2010)</v>
      </c>
      <c r="B364" s="87">
        <v>58</v>
      </c>
      <c r="C364" s="5">
        <v>2010</v>
      </c>
      <c r="D364" s="5">
        <v>1</v>
      </c>
      <c r="E364" s="5">
        <v>1995</v>
      </c>
      <c r="F364" s="48">
        <v>2010</v>
      </c>
      <c r="G364" s="115">
        <v>5.8823529411764705E-2</v>
      </c>
      <c r="H364" s="7">
        <v>93.174581156519864</v>
      </c>
      <c r="I364" s="5">
        <v>0</v>
      </c>
      <c r="J364" s="5">
        <v>1</v>
      </c>
      <c r="K364" s="5">
        <v>0</v>
      </c>
      <c r="L364" s="7" t="s">
        <v>238</v>
      </c>
      <c r="M364" s="7" t="s">
        <v>238</v>
      </c>
      <c r="N364" s="7" t="s">
        <v>238</v>
      </c>
      <c r="O364" s="5">
        <v>0</v>
      </c>
      <c r="P364" s="5">
        <v>1</v>
      </c>
      <c r="Q364" s="5">
        <v>1</v>
      </c>
      <c r="R364" s="5">
        <v>1</v>
      </c>
      <c r="S364" s="5">
        <v>1</v>
      </c>
      <c r="T364" s="5">
        <v>0</v>
      </c>
      <c r="U364" s="5">
        <v>0</v>
      </c>
      <c r="V364" s="13"/>
      <c r="W364" s="13">
        <v>1</v>
      </c>
      <c r="X364" s="3"/>
      <c r="Y364" s="5"/>
      <c r="Z364" s="5"/>
      <c r="AA364" s="5">
        <v>0</v>
      </c>
      <c r="AB364" s="5"/>
      <c r="AC364" s="5">
        <v>0</v>
      </c>
      <c r="AD364" s="5">
        <v>0</v>
      </c>
      <c r="AE364" s="5">
        <v>1</v>
      </c>
      <c r="AF364" s="5">
        <v>0</v>
      </c>
    </row>
    <row r="365" spans="1:32" x14ac:dyDescent="0.2">
      <c r="A365" s="3" t="str">
        <f>+VLOOKUP(B365,studies!$A$2:$C$102,3)</f>
        <v>Anthoff &amp; Tol (2010)</v>
      </c>
      <c r="B365" s="87">
        <v>58</v>
      </c>
      <c r="C365" s="5">
        <v>2010</v>
      </c>
      <c r="D365" s="5">
        <v>1</v>
      </c>
      <c r="E365" s="5">
        <v>1995</v>
      </c>
      <c r="F365" s="48">
        <v>2010</v>
      </c>
      <c r="G365" s="115">
        <v>5.8823529411764705E-2</v>
      </c>
      <c r="H365" s="7">
        <v>119.67438596369904</v>
      </c>
      <c r="I365" s="5">
        <v>0</v>
      </c>
      <c r="J365" s="5">
        <v>1</v>
      </c>
      <c r="K365" s="5">
        <v>0</v>
      </c>
      <c r="L365" s="7" t="s">
        <v>238</v>
      </c>
      <c r="M365" s="7" t="s">
        <v>238</v>
      </c>
      <c r="N365" s="7" t="s">
        <v>238</v>
      </c>
      <c r="O365" s="5">
        <v>0</v>
      </c>
      <c r="P365" s="5">
        <v>1</v>
      </c>
      <c r="Q365" s="5">
        <v>1</v>
      </c>
      <c r="R365" s="5">
        <v>1</v>
      </c>
      <c r="S365" s="5">
        <v>1</v>
      </c>
      <c r="T365" s="5">
        <v>0</v>
      </c>
      <c r="U365" s="5">
        <v>0</v>
      </c>
      <c r="V365" s="13"/>
      <c r="W365" s="13">
        <v>1</v>
      </c>
      <c r="X365" s="3"/>
      <c r="Y365" s="5"/>
      <c r="Z365" s="5"/>
      <c r="AA365" s="5">
        <v>1</v>
      </c>
      <c r="AB365" s="5"/>
      <c r="AC365" s="5">
        <v>0</v>
      </c>
      <c r="AD365" s="5">
        <v>0</v>
      </c>
      <c r="AE365" s="5">
        <v>1</v>
      </c>
      <c r="AF365" s="5">
        <v>0</v>
      </c>
    </row>
    <row r="366" spans="1:32" x14ac:dyDescent="0.2">
      <c r="A366" s="3" t="str">
        <f>+VLOOKUP(B366,studies!$A$2:$C$102,3)</f>
        <v>Anthoff &amp; Tol (2010)</v>
      </c>
      <c r="B366" s="87">
        <v>58</v>
      </c>
      <c r="C366" s="5">
        <v>2010</v>
      </c>
      <c r="D366" s="5">
        <v>1</v>
      </c>
      <c r="E366" s="5">
        <v>1995</v>
      </c>
      <c r="F366" s="48">
        <v>2010</v>
      </c>
      <c r="G366" s="115">
        <v>5.8823529411764705E-2</v>
      </c>
      <c r="H366" s="7">
        <v>7.7548201606912004</v>
      </c>
      <c r="I366" s="5">
        <v>0</v>
      </c>
      <c r="J366" s="5">
        <v>1</v>
      </c>
      <c r="K366" s="5">
        <v>0</v>
      </c>
      <c r="L366" s="7" t="s">
        <v>238</v>
      </c>
      <c r="M366" s="7" t="s">
        <v>238</v>
      </c>
      <c r="N366" s="7" t="s">
        <v>238</v>
      </c>
      <c r="O366" s="5">
        <v>0</v>
      </c>
      <c r="P366" s="5">
        <v>1</v>
      </c>
      <c r="Q366" s="5">
        <v>1</v>
      </c>
      <c r="R366" s="5">
        <v>1</v>
      </c>
      <c r="S366" s="5">
        <v>1</v>
      </c>
      <c r="T366" s="5">
        <v>0</v>
      </c>
      <c r="U366" s="5">
        <v>0</v>
      </c>
      <c r="V366" s="13"/>
      <c r="W366" s="13">
        <v>1</v>
      </c>
      <c r="X366" s="3"/>
      <c r="Y366" s="5"/>
      <c r="Z366" s="5"/>
      <c r="AA366" s="5">
        <v>0</v>
      </c>
      <c r="AB366" s="5"/>
      <c r="AC366" s="5">
        <v>0</v>
      </c>
      <c r="AD366" s="5">
        <v>0</v>
      </c>
      <c r="AE366" s="5">
        <v>1</v>
      </c>
      <c r="AF366" s="5">
        <v>0</v>
      </c>
    </row>
    <row r="367" spans="1:32" x14ac:dyDescent="0.2">
      <c r="A367" s="3" t="str">
        <f>+VLOOKUP(B367,studies!$A$2:$C$102,3)</f>
        <v>Anthoff &amp; Tol (2010)</v>
      </c>
      <c r="B367" s="87">
        <v>58</v>
      </c>
      <c r="C367" s="5">
        <v>2010</v>
      </c>
      <c r="D367" s="5">
        <v>1</v>
      </c>
      <c r="E367" s="5">
        <v>1995</v>
      </c>
      <c r="F367" s="48">
        <v>2010</v>
      </c>
      <c r="G367" s="115">
        <v>5.8823529411764705E-2</v>
      </c>
      <c r="H367" s="7">
        <v>21.5967572217099</v>
      </c>
      <c r="I367" s="5">
        <v>0</v>
      </c>
      <c r="J367" s="5">
        <v>1</v>
      </c>
      <c r="K367" s="5">
        <v>0</v>
      </c>
      <c r="L367" s="7" t="s">
        <v>238</v>
      </c>
      <c r="M367" s="7" t="s">
        <v>238</v>
      </c>
      <c r="N367" s="7" t="s">
        <v>238</v>
      </c>
      <c r="O367" s="5">
        <v>0</v>
      </c>
      <c r="P367" s="5">
        <v>1</v>
      </c>
      <c r="Q367" s="5">
        <v>1</v>
      </c>
      <c r="R367" s="5">
        <v>1</v>
      </c>
      <c r="S367" s="5">
        <v>1</v>
      </c>
      <c r="T367" s="5">
        <v>0</v>
      </c>
      <c r="U367" s="5">
        <v>0</v>
      </c>
      <c r="V367" s="13"/>
      <c r="W367" s="13">
        <v>1</v>
      </c>
      <c r="X367" s="3"/>
      <c r="Y367" s="5"/>
      <c r="Z367" s="5"/>
      <c r="AA367" s="5">
        <v>1</v>
      </c>
      <c r="AB367" s="5"/>
      <c r="AC367" s="5">
        <v>0</v>
      </c>
      <c r="AD367" s="5">
        <v>0</v>
      </c>
      <c r="AE367" s="5">
        <v>1</v>
      </c>
      <c r="AF367" s="5">
        <v>0</v>
      </c>
    </row>
    <row r="368" spans="1:32" x14ac:dyDescent="0.2">
      <c r="A368" s="3" t="str">
        <f>+VLOOKUP(B368,studies!$A$2:$C$102,3)</f>
        <v>Anthoff &amp; Tol (2010)</v>
      </c>
      <c r="B368" s="87">
        <v>58</v>
      </c>
      <c r="C368" s="5">
        <v>2010</v>
      </c>
      <c r="D368" s="5">
        <v>1</v>
      </c>
      <c r="E368" s="5">
        <v>1995</v>
      </c>
      <c r="F368" s="48">
        <v>2010</v>
      </c>
      <c r="G368" s="115">
        <v>5.8823529411764705E-2</v>
      </c>
      <c r="H368" s="7">
        <v>2.4848778579419113</v>
      </c>
      <c r="I368" s="5">
        <v>0</v>
      </c>
      <c r="J368" s="5">
        <v>1</v>
      </c>
      <c r="K368" s="5">
        <v>0</v>
      </c>
      <c r="L368" s="7" t="s">
        <v>238</v>
      </c>
      <c r="M368" s="7" t="s">
        <v>238</v>
      </c>
      <c r="N368" s="7" t="s">
        <v>238</v>
      </c>
      <c r="O368" s="5">
        <v>0</v>
      </c>
      <c r="P368" s="5">
        <v>1</v>
      </c>
      <c r="Q368" s="5">
        <v>1</v>
      </c>
      <c r="R368" s="5">
        <v>1</v>
      </c>
      <c r="S368" s="5">
        <v>1</v>
      </c>
      <c r="T368" s="5">
        <v>0</v>
      </c>
      <c r="U368" s="5">
        <v>0</v>
      </c>
      <c r="V368" s="13"/>
      <c r="W368" s="13">
        <v>1</v>
      </c>
      <c r="X368" s="3"/>
      <c r="Y368" s="5"/>
      <c r="Z368" s="5"/>
      <c r="AA368" s="5">
        <v>0</v>
      </c>
      <c r="AB368" s="5"/>
      <c r="AC368" s="5">
        <v>0</v>
      </c>
      <c r="AD368" s="5">
        <v>0</v>
      </c>
      <c r="AE368" s="5">
        <v>1</v>
      </c>
      <c r="AF368" s="5">
        <v>0</v>
      </c>
    </row>
    <row r="369" spans="1:32" x14ac:dyDescent="0.2">
      <c r="A369" s="3" t="str">
        <f>+VLOOKUP(B369,studies!$A$2:$C$102,3)</f>
        <v>Anthoff &amp; Tol (2010)</v>
      </c>
      <c r="B369" s="87">
        <v>58</v>
      </c>
      <c r="C369" s="5">
        <v>2010</v>
      </c>
      <c r="D369" s="5">
        <v>1</v>
      </c>
      <c r="E369" s="5">
        <v>1995</v>
      </c>
      <c r="F369" s="48">
        <v>2010</v>
      </c>
      <c r="G369" s="115">
        <v>5.8823529411764705E-2</v>
      </c>
      <c r="H369" s="7">
        <v>12.107525670240452</v>
      </c>
      <c r="I369" s="5">
        <v>0</v>
      </c>
      <c r="J369" s="5">
        <v>1</v>
      </c>
      <c r="K369" s="5">
        <v>0</v>
      </c>
      <c r="L369" s="7" t="s">
        <v>238</v>
      </c>
      <c r="M369" s="7" t="s">
        <v>238</v>
      </c>
      <c r="N369" s="7" t="s">
        <v>238</v>
      </c>
      <c r="O369" s="5">
        <v>0</v>
      </c>
      <c r="P369" s="5">
        <v>1</v>
      </c>
      <c r="Q369" s="5">
        <v>1</v>
      </c>
      <c r="R369" s="5">
        <v>1</v>
      </c>
      <c r="S369" s="5">
        <v>1</v>
      </c>
      <c r="T369" s="5">
        <v>0</v>
      </c>
      <c r="U369" s="5">
        <v>0</v>
      </c>
      <c r="V369" s="13"/>
      <c r="W369" s="13">
        <v>1</v>
      </c>
      <c r="X369" s="3"/>
      <c r="Y369" s="5"/>
      <c r="Z369" s="5"/>
      <c r="AA369" s="5">
        <v>1</v>
      </c>
      <c r="AB369" s="5"/>
      <c r="AC369" s="5">
        <v>0</v>
      </c>
      <c r="AD369" s="5">
        <v>0</v>
      </c>
      <c r="AE369" s="5">
        <v>1</v>
      </c>
      <c r="AF369" s="5">
        <v>0</v>
      </c>
    </row>
    <row r="370" spans="1:32" x14ac:dyDescent="0.2">
      <c r="A370" s="3" t="str">
        <f>+VLOOKUP(B370,studies!$A$2:$C$102,3)</f>
        <v>Anthoff &amp; Tol (2010)</v>
      </c>
      <c r="B370" s="87">
        <v>58</v>
      </c>
      <c r="C370" s="5">
        <v>2010</v>
      </c>
      <c r="D370" s="5">
        <v>1</v>
      </c>
      <c r="E370" s="5">
        <v>1995</v>
      </c>
      <c r="F370" s="48">
        <v>2010</v>
      </c>
      <c r="G370" s="115">
        <v>5.8823529411764705E-2</v>
      </c>
      <c r="H370" s="7">
        <v>25.949462731259153</v>
      </c>
      <c r="I370" s="5">
        <v>0</v>
      </c>
      <c r="J370" s="5">
        <v>1</v>
      </c>
      <c r="K370" s="5">
        <v>0</v>
      </c>
      <c r="L370" s="7" t="s">
        <v>238</v>
      </c>
      <c r="M370" s="7" t="s">
        <v>238</v>
      </c>
      <c r="N370" s="7" t="s">
        <v>238</v>
      </c>
      <c r="O370" s="5">
        <v>0</v>
      </c>
      <c r="P370" s="5">
        <v>1</v>
      </c>
      <c r="Q370" s="5">
        <v>1</v>
      </c>
      <c r="R370" s="5">
        <v>1</v>
      </c>
      <c r="S370" s="5">
        <v>1</v>
      </c>
      <c r="T370" s="5">
        <v>0</v>
      </c>
      <c r="U370" s="5">
        <v>0</v>
      </c>
      <c r="V370" s="13"/>
      <c r="W370" s="13">
        <v>1</v>
      </c>
      <c r="X370" s="3"/>
      <c r="Y370" s="5"/>
      <c r="Z370" s="5"/>
      <c r="AA370" s="5">
        <v>0</v>
      </c>
      <c r="AB370" s="5"/>
      <c r="AC370" s="5">
        <v>0</v>
      </c>
      <c r="AD370" s="5">
        <v>0</v>
      </c>
      <c r="AE370" s="5">
        <v>1</v>
      </c>
      <c r="AF370" s="5">
        <v>0</v>
      </c>
    </row>
    <row r="371" spans="1:32" x14ac:dyDescent="0.2">
      <c r="A371" s="3" t="str">
        <f>+VLOOKUP(B371,studies!$A$2:$C$102,3)</f>
        <v>Anthoff &amp; Tol (2010)</v>
      </c>
      <c r="B371" s="87">
        <v>58</v>
      </c>
      <c r="C371" s="5">
        <v>2010</v>
      </c>
      <c r="D371" s="5">
        <v>1</v>
      </c>
      <c r="E371" s="5">
        <v>1995</v>
      </c>
      <c r="F371" s="48">
        <v>2010</v>
      </c>
      <c r="G371" s="115">
        <v>5.8823529411764705E-2</v>
      </c>
      <c r="H371" s="7">
        <v>32.303412153244849</v>
      </c>
      <c r="I371" s="5">
        <v>0</v>
      </c>
      <c r="J371" s="5">
        <v>1</v>
      </c>
      <c r="K371" s="5">
        <v>0</v>
      </c>
      <c r="L371" s="7" t="s">
        <v>238</v>
      </c>
      <c r="M371" s="7" t="s">
        <v>238</v>
      </c>
      <c r="N371" s="7" t="s">
        <v>238</v>
      </c>
      <c r="O371" s="5">
        <v>0</v>
      </c>
      <c r="P371" s="5">
        <v>1</v>
      </c>
      <c r="Q371" s="5">
        <v>1</v>
      </c>
      <c r="R371" s="5">
        <v>1</v>
      </c>
      <c r="S371" s="5">
        <v>1</v>
      </c>
      <c r="T371" s="5">
        <v>0</v>
      </c>
      <c r="U371" s="5">
        <v>0</v>
      </c>
      <c r="V371" s="13"/>
      <c r="W371" s="13">
        <v>1</v>
      </c>
      <c r="X371" s="3"/>
      <c r="Y371" s="5"/>
      <c r="Z371" s="5"/>
      <c r="AA371" s="5">
        <v>1</v>
      </c>
      <c r="AB371" s="5"/>
      <c r="AC371" s="5">
        <v>0</v>
      </c>
      <c r="AD371" s="5">
        <v>0</v>
      </c>
      <c r="AE371" s="5">
        <v>1</v>
      </c>
      <c r="AF371" s="5">
        <v>0</v>
      </c>
    </row>
    <row r="372" spans="1:32" x14ac:dyDescent="0.2">
      <c r="A372" s="3" t="str">
        <f>+VLOOKUP(B372,studies!$A$2:$C$102,3)</f>
        <v>Anthoff &amp; Tol (2010)</v>
      </c>
      <c r="B372" s="87">
        <v>58</v>
      </c>
      <c r="C372" s="5">
        <v>2010</v>
      </c>
      <c r="D372" s="5">
        <v>1</v>
      </c>
      <c r="E372" s="5">
        <v>1995</v>
      </c>
      <c r="F372" s="48">
        <v>2010</v>
      </c>
      <c r="G372" s="115">
        <v>2.9411764705882353E-2</v>
      </c>
      <c r="H372" s="7">
        <v>25.949462731259153</v>
      </c>
      <c r="I372" s="5">
        <v>0</v>
      </c>
      <c r="J372" s="5">
        <v>1</v>
      </c>
      <c r="K372" s="5">
        <v>0</v>
      </c>
      <c r="L372" s="7" t="s">
        <v>238</v>
      </c>
      <c r="M372" s="7" t="s">
        <v>238</v>
      </c>
      <c r="N372" s="7" t="s">
        <v>238</v>
      </c>
      <c r="O372" s="5">
        <v>0</v>
      </c>
      <c r="P372" s="5">
        <v>1</v>
      </c>
      <c r="Q372" s="5">
        <v>1</v>
      </c>
      <c r="R372" s="5">
        <v>1</v>
      </c>
      <c r="S372" s="5">
        <v>1</v>
      </c>
      <c r="T372" s="5">
        <v>0</v>
      </c>
      <c r="U372" s="5">
        <v>0</v>
      </c>
      <c r="V372" s="13"/>
      <c r="W372" s="13">
        <v>1</v>
      </c>
      <c r="X372" s="3"/>
      <c r="Y372" s="5"/>
      <c r="Z372" s="5"/>
      <c r="AA372" s="5">
        <v>0</v>
      </c>
      <c r="AB372" s="5"/>
      <c r="AC372" s="5">
        <v>0</v>
      </c>
      <c r="AD372" s="5">
        <v>0</v>
      </c>
      <c r="AE372" s="5">
        <v>1</v>
      </c>
      <c r="AF372" s="5">
        <v>0</v>
      </c>
    </row>
    <row r="373" spans="1:32" x14ac:dyDescent="0.2">
      <c r="A373" s="3" t="str">
        <f>+VLOOKUP(B373,studies!$A$2:$C$102,3)</f>
        <v>Anthoff &amp; Tol (2010)</v>
      </c>
      <c r="B373" s="87">
        <v>58</v>
      </c>
      <c r="C373" s="5">
        <v>2010</v>
      </c>
      <c r="D373" s="5">
        <v>1</v>
      </c>
      <c r="E373" s="5">
        <v>1995</v>
      </c>
      <c r="F373" s="48">
        <v>2010</v>
      </c>
      <c r="G373" s="115">
        <v>2.9411764705882353E-2</v>
      </c>
      <c r="H373" s="7">
        <v>75.230094075006463</v>
      </c>
      <c r="I373" s="5">
        <v>0</v>
      </c>
      <c r="J373" s="5">
        <v>1</v>
      </c>
      <c r="K373" s="5">
        <v>0</v>
      </c>
      <c r="L373" s="7" t="s">
        <v>238</v>
      </c>
      <c r="M373" s="7" t="s">
        <v>238</v>
      </c>
      <c r="N373" s="7" t="s">
        <v>238</v>
      </c>
      <c r="O373" s="5">
        <v>0</v>
      </c>
      <c r="P373" s="5">
        <v>1</v>
      </c>
      <c r="Q373" s="5">
        <v>1</v>
      </c>
      <c r="R373" s="5">
        <v>1</v>
      </c>
      <c r="S373" s="5">
        <v>1</v>
      </c>
      <c r="T373" s="5">
        <v>0</v>
      </c>
      <c r="U373" s="5">
        <v>0</v>
      </c>
      <c r="V373" s="13"/>
      <c r="W373" s="13">
        <v>1</v>
      </c>
      <c r="X373" s="3"/>
      <c r="Y373" s="5"/>
      <c r="Z373" s="5"/>
      <c r="AA373" s="5">
        <v>1</v>
      </c>
      <c r="AB373" s="5"/>
      <c r="AC373" s="5">
        <v>0</v>
      </c>
      <c r="AD373" s="5">
        <v>0</v>
      </c>
      <c r="AE373" s="5">
        <v>1</v>
      </c>
      <c r="AF373" s="5">
        <v>0</v>
      </c>
    </row>
    <row r="374" spans="1:32" x14ac:dyDescent="0.2">
      <c r="A374" s="3" t="str">
        <f>+VLOOKUP(B374,studies!$A$2:$C$102,3)</f>
        <v>Kemfert &amp; Schill (2010)</v>
      </c>
      <c r="B374" s="87">
        <v>59</v>
      </c>
      <c r="C374" s="5">
        <v>2010</v>
      </c>
      <c r="D374" s="5">
        <v>0</v>
      </c>
      <c r="E374" s="5">
        <v>2000</v>
      </c>
      <c r="F374" s="5">
        <v>2010</v>
      </c>
      <c r="G374" s="113">
        <v>0.1</v>
      </c>
      <c r="H374" s="7">
        <v>70.353446948815645</v>
      </c>
      <c r="I374" s="5">
        <v>0</v>
      </c>
      <c r="J374" s="5">
        <v>1</v>
      </c>
      <c r="K374" s="5">
        <v>0</v>
      </c>
      <c r="L374" s="7" t="s">
        <v>238</v>
      </c>
      <c r="M374" s="7" t="s">
        <v>238</v>
      </c>
      <c r="N374" s="7" t="s">
        <v>238</v>
      </c>
      <c r="O374" s="5">
        <v>0</v>
      </c>
      <c r="P374" s="5">
        <v>1</v>
      </c>
      <c r="Q374" s="5">
        <v>0</v>
      </c>
      <c r="R374" s="5">
        <v>1</v>
      </c>
      <c r="S374" s="5">
        <v>0</v>
      </c>
      <c r="T374" s="5">
        <v>0</v>
      </c>
      <c r="U374" s="5">
        <v>0</v>
      </c>
      <c r="V374" s="13"/>
      <c r="W374" s="13" t="s">
        <v>25</v>
      </c>
      <c r="X374" s="3"/>
      <c r="Y374" s="5"/>
      <c r="Z374" s="5"/>
      <c r="AA374" s="5">
        <v>0</v>
      </c>
      <c r="AB374" s="5"/>
      <c r="AC374" s="5">
        <v>0</v>
      </c>
      <c r="AD374" s="5">
        <v>0</v>
      </c>
      <c r="AE374" s="5">
        <v>0</v>
      </c>
      <c r="AF374" s="5">
        <v>0</v>
      </c>
    </row>
    <row r="375" spans="1:32" x14ac:dyDescent="0.2">
      <c r="A375" s="3" t="str">
        <f>+VLOOKUP(B375,studies!$A$2:$C$102,3)</f>
        <v>Kemfert &amp; Schill (2010)</v>
      </c>
      <c r="B375" s="87">
        <v>59</v>
      </c>
      <c r="C375" s="5">
        <v>2010</v>
      </c>
      <c r="D375" s="5">
        <v>0</v>
      </c>
      <c r="E375" s="5">
        <v>2000</v>
      </c>
      <c r="F375" s="5">
        <v>2010</v>
      </c>
      <c r="G375" s="113">
        <v>0.8</v>
      </c>
      <c r="H375" s="7">
        <v>102.82426861749981</v>
      </c>
      <c r="I375" s="5">
        <v>1</v>
      </c>
      <c r="J375" s="5">
        <v>0</v>
      </c>
      <c r="K375" s="5">
        <v>0</v>
      </c>
      <c r="L375" s="7" t="s">
        <v>238</v>
      </c>
      <c r="M375" s="7" t="s">
        <v>238</v>
      </c>
      <c r="N375" s="7" t="s">
        <v>238</v>
      </c>
      <c r="O375" s="5">
        <v>0</v>
      </c>
      <c r="P375" s="5">
        <v>1</v>
      </c>
      <c r="Q375" s="5">
        <v>0</v>
      </c>
      <c r="R375" s="5">
        <v>1</v>
      </c>
      <c r="S375" s="5">
        <v>0</v>
      </c>
      <c r="T375" s="5">
        <v>0</v>
      </c>
      <c r="U375" s="5">
        <v>0</v>
      </c>
      <c r="V375" s="13"/>
      <c r="W375" s="13" t="s">
        <v>25</v>
      </c>
      <c r="X375" s="3"/>
      <c r="Y375" s="5"/>
      <c r="Z375" s="5"/>
      <c r="AA375" s="5">
        <v>0</v>
      </c>
      <c r="AB375" s="5"/>
      <c r="AC375" s="5">
        <v>0</v>
      </c>
      <c r="AD375" s="5">
        <v>0</v>
      </c>
      <c r="AE375" s="5">
        <v>0</v>
      </c>
      <c r="AF375" s="5">
        <v>0</v>
      </c>
    </row>
    <row r="376" spans="1:32" x14ac:dyDescent="0.2">
      <c r="A376" s="3" t="str">
        <f>+VLOOKUP(B376,studies!$A$2:$C$102,3)</f>
        <v>Kemfert &amp; Schill (2010)</v>
      </c>
      <c r="B376" s="87">
        <v>59</v>
      </c>
      <c r="C376" s="5">
        <v>2010</v>
      </c>
      <c r="D376" s="5">
        <v>0</v>
      </c>
      <c r="E376" s="5">
        <v>2000</v>
      </c>
      <c r="F376" s="5">
        <v>2010</v>
      </c>
      <c r="G376" s="113">
        <v>0.1</v>
      </c>
      <c r="H376" s="7">
        <v>248.94296612657845</v>
      </c>
      <c r="I376" s="5">
        <v>0</v>
      </c>
      <c r="J376" s="5">
        <v>1</v>
      </c>
      <c r="K376" s="5">
        <v>0</v>
      </c>
      <c r="L376" s="7" t="s">
        <v>238</v>
      </c>
      <c r="M376" s="7" t="s">
        <v>238</v>
      </c>
      <c r="N376" s="7" t="s">
        <v>238</v>
      </c>
      <c r="O376" s="5">
        <v>0</v>
      </c>
      <c r="P376" s="5">
        <v>1</v>
      </c>
      <c r="Q376" s="5">
        <v>0</v>
      </c>
      <c r="R376" s="5">
        <v>1</v>
      </c>
      <c r="S376" s="5">
        <v>0</v>
      </c>
      <c r="T376" s="5">
        <v>0</v>
      </c>
      <c r="U376" s="5">
        <v>0</v>
      </c>
      <c r="V376" s="13"/>
      <c r="W376" s="13" t="s">
        <v>25</v>
      </c>
      <c r="X376" s="3"/>
      <c r="Y376" s="5"/>
      <c r="Z376" s="5"/>
      <c r="AA376" s="5">
        <v>0</v>
      </c>
      <c r="AB376" s="5"/>
      <c r="AC376" s="5">
        <v>0</v>
      </c>
      <c r="AD376" s="5">
        <v>0</v>
      </c>
      <c r="AE376" s="5">
        <v>0</v>
      </c>
      <c r="AF376" s="5">
        <v>0</v>
      </c>
    </row>
    <row r="377" spans="1:32" x14ac:dyDescent="0.2">
      <c r="A377" s="3" t="str">
        <f>+VLOOKUP(B377,studies!$A$2:$C$102,3)</f>
        <v>Narita et al. (2010)</v>
      </c>
      <c r="B377" s="87">
        <v>60</v>
      </c>
      <c r="C377" s="5">
        <v>2010</v>
      </c>
      <c r="D377" s="5">
        <v>1</v>
      </c>
      <c r="E377" s="48">
        <v>2005</v>
      </c>
      <c r="F377" s="48">
        <v>2010</v>
      </c>
      <c r="G377" s="115">
        <v>0.33333333333333331</v>
      </c>
      <c r="H377" s="7">
        <v>187.43662780309251</v>
      </c>
      <c r="I377" s="5">
        <v>0</v>
      </c>
      <c r="J377" s="5">
        <v>1</v>
      </c>
      <c r="K377" s="5">
        <v>0</v>
      </c>
      <c r="L377" s="7" t="s">
        <v>238</v>
      </c>
      <c r="M377" s="7" t="s">
        <v>238</v>
      </c>
      <c r="N377" s="7" t="s">
        <v>238</v>
      </c>
      <c r="O377" s="5">
        <v>0</v>
      </c>
      <c r="P377" s="5">
        <v>1</v>
      </c>
      <c r="Q377" s="5">
        <v>1</v>
      </c>
      <c r="R377" s="5">
        <v>1</v>
      </c>
      <c r="S377" s="5">
        <v>1</v>
      </c>
      <c r="T377" s="5">
        <v>0</v>
      </c>
      <c r="U377" s="5">
        <v>0</v>
      </c>
      <c r="V377" s="13"/>
      <c r="W377" s="13">
        <v>0</v>
      </c>
      <c r="X377" s="3"/>
      <c r="Y377" s="5"/>
      <c r="Z377" s="5"/>
      <c r="AA377" s="5">
        <v>0</v>
      </c>
      <c r="AB377" s="5"/>
      <c r="AC377" s="5">
        <v>0</v>
      </c>
      <c r="AD377" s="5">
        <v>0</v>
      </c>
      <c r="AE377" s="5">
        <v>1</v>
      </c>
      <c r="AF377" s="5">
        <v>0</v>
      </c>
    </row>
    <row r="378" spans="1:32" x14ac:dyDescent="0.2">
      <c r="A378" s="3" t="str">
        <f>+VLOOKUP(B378,studies!$A$2:$C$102,3)</f>
        <v>Narita et al. (2010)</v>
      </c>
      <c r="B378" s="87">
        <v>60</v>
      </c>
      <c r="C378" s="5">
        <v>2010</v>
      </c>
      <c r="D378" s="5">
        <v>1</v>
      </c>
      <c r="E378" s="48">
        <v>2005</v>
      </c>
      <c r="F378" s="48">
        <v>2010</v>
      </c>
      <c r="G378" s="115">
        <v>0.33333333333333331</v>
      </c>
      <c r="H378" s="7">
        <v>28.643200568951375</v>
      </c>
      <c r="I378" s="5">
        <v>0</v>
      </c>
      <c r="J378" s="5">
        <v>1</v>
      </c>
      <c r="K378" s="5">
        <v>0</v>
      </c>
      <c r="L378" s="7" t="s">
        <v>238</v>
      </c>
      <c r="M378" s="7" t="s">
        <v>238</v>
      </c>
      <c r="N378" s="7" t="s">
        <v>238</v>
      </c>
      <c r="O378" s="5">
        <v>0</v>
      </c>
      <c r="P378" s="5">
        <v>1</v>
      </c>
      <c r="Q378" s="5">
        <v>1</v>
      </c>
      <c r="R378" s="5">
        <v>1</v>
      </c>
      <c r="S378" s="5">
        <v>1</v>
      </c>
      <c r="T378" s="5">
        <v>0</v>
      </c>
      <c r="U378" s="5">
        <v>0</v>
      </c>
      <c r="V378" s="13"/>
      <c r="W378" s="13">
        <v>1</v>
      </c>
      <c r="X378" s="3"/>
      <c r="Y378" s="5"/>
      <c r="Z378" s="5"/>
      <c r="AA378" s="5">
        <v>0</v>
      </c>
      <c r="AB378" s="5"/>
      <c r="AC378" s="5">
        <v>0</v>
      </c>
      <c r="AD378" s="5">
        <v>0</v>
      </c>
      <c r="AE378" s="5">
        <v>1</v>
      </c>
      <c r="AF378" s="5">
        <v>0</v>
      </c>
    </row>
    <row r="379" spans="1:32" x14ac:dyDescent="0.2">
      <c r="A379" s="3" t="str">
        <f>+VLOOKUP(B379,studies!$A$2:$C$102,3)</f>
        <v>Narita et al. (2010)</v>
      </c>
      <c r="B379" s="87">
        <v>60</v>
      </c>
      <c r="C379" s="5">
        <v>2010</v>
      </c>
      <c r="D379" s="5">
        <v>1</v>
      </c>
      <c r="E379" s="48">
        <v>2005</v>
      </c>
      <c r="F379" s="48">
        <v>2010</v>
      </c>
      <c r="G379" s="115">
        <v>0.33333333333333331</v>
      </c>
      <c r="H379" s="7">
        <v>1.3143858507333432</v>
      </c>
      <c r="I379" s="5">
        <v>0</v>
      </c>
      <c r="J379" s="5">
        <v>1</v>
      </c>
      <c r="K379" s="5">
        <v>0</v>
      </c>
      <c r="L379" s="7" t="s">
        <v>238</v>
      </c>
      <c r="M379" s="7" t="s">
        <v>238</v>
      </c>
      <c r="N379" s="7" t="s">
        <v>238</v>
      </c>
      <c r="O379" s="5">
        <v>0</v>
      </c>
      <c r="P379" s="5">
        <v>1</v>
      </c>
      <c r="Q379" s="5">
        <v>1</v>
      </c>
      <c r="R379" s="5">
        <v>1</v>
      </c>
      <c r="S379" s="5">
        <v>1</v>
      </c>
      <c r="T379" s="5">
        <v>0</v>
      </c>
      <c r="U379" s="5">
        <v>0</v>
      </c>
      <c r="V379" s="13"/>
      <c r="W379" s="13" t="s">
        <v>25</v>
      </c>
      <c r="X379" s="3"/>
      <c r="Y379" s="5"/>
      <c r="Z379" s="5"/>
      <c r="AA379" s="5">
        <v>0</v>
      </c>
      <c r="AB379" s="5"/>
      <c r="AC379" s="5">
        <v>0</v>
      </c>
      <c r="AD379" s="5">
        <v>0</v>
      </c>
      <c r="AE379" s="5">
        <v>1</v>
      </c>
      <c r="AF379" s="5">
        <v>0</v>
      </c>
    </row>
    <row r="380" spans="1:32" x14ac:dyDescent="0.2">
      <c r="A380" s="3" t="str">
        <f>+VLOOKUP(B380,studies!$A$2:$C$102,3)</f>
        <v>Nordhaus (2010)</v>
      </c>
      <c r="B380" s="87">
        <v>61</v>
      </c>
      <c r="C380" s="5">
        <v>2010</v>
      </c>
      <c r="D380" s="5">
        <v>1</v>
      </c>
      <c r="E380" s="5">
        <v>2005</v>
      </c>
      <c r="F380" s="5">
        <v>2015</v>
      </c>
      <c r="G380" s="113">
        <v>1</v>
      </c>
      <c r="H380" s="7">
        <v>42.383030005120325</v>
      </c>
      <c r="I380" s="5">
        <v>0</v>
      </c>
      <c r="J380" s="5">
        <v>1</v>
      </c>
      <c r="K380" s="5">
        <v>0</v>
      </c>
      <c r="L380" s="7" t="s">
        <v>238</v>
      </c>
      <c r="M380" s="7" t="s">
        <v>238</v>
      </c>
      <c r="N380" s="7" t="s">
        <v>238</v>
      </c>
      <c r="O380" s="5">
        <v>0</v>
      </c>
      <c r="P380" s="5">
        <v>1</v>
      </c>
      <c r="Q380" s="5">
        <v>0</v>
      </c>
      <c r="R380" s="5">
        <v>1</v>
      </c>
      <c r="S380" s="5">
        <v>0</v>
      </c>
      <c r="T380" s="5">
        <v>1</v>
      </c>
      <c r="U380" s="5">
        <v>0</v>
      </c>
      <c r="V380" s="13"/>
      <c r="W380" s="13">
        <v>3</v>
      </c>
      <c r="X380" s="3"/>
      <c r="Y380" s="5"/>
      <c r="Z380" s="5"/>
      <c r="AA380" s="5">
        <v>0</v>
      </c>
      <c r="AB380" s="5"/>
      <c r="AC380" s="5">
        <v>0</v>
      </c>
      <c r="AD380" s="5">
        <v>1</v>
      </c>
      <c r="AE380" s="5">
        <v>0</v>
      </c>
      <c r="AF380" s="5">
        <v>1</v>
      </c>
    </row>
    <row r="381" spans="1:32" x14ac:dyDescent="0.2">
      <c r="A381" s="3" t="str">
        <f>+VLOOKUP(B381,studies!$A$2:$C$102,3)</f>
        <v>Sohngen (2010)</v>
      </c>
      <c r="B381" s="87">
        <v>62</v>
      </c>
      <c r="C381" s="5">
        <v>2010</v>
      </c>
      <c r="D381" s="5">
        <v>0</v>
      </c>
      <c r="E381" s="48">
        <v>2005</v>
      </c>
      <c r="F381" s="5">
        <v>2010</v>
      </c>
      <c r="G381" s="113">
        <v>1</v>
      </c>
      <c r="H381" s="7">
        <v>34.499375151426669</v>
      </c>
      <c r="I381" s="5">
        <v>0</v>
      </c>
      <c r="J381" s="5">
        <v>1</v>
      </c>
      <c r="K381" s="5">
        <v>0</v>
      </c>
      <c r="L381" s="7" t="s">
        <v>238</v>
      </c>
      <c r="M381" s="7" t="s">
        <v>238</v>
      </c>
      <c r="N381" s="7" t="s">
        <v>238</v>
      </c>
      <c r="O381" s="5">
        <v>0</v>
      </c>
      <c r="P381" s="5">
        <v>1</v>
      </c>
      <c r="Q381" s="5">
        <v>0</v>
      </c>
      <c r="R381" s="5">
        <v>1</v>
      </c>
      <c r="S381" s="5">
        <v>0</v>
      </c>
      <c r="T381" s="5">
        <v>1</v>
      </c>
      <c r="U381" s="5">
        <v>0</v>
      </c>
      <c r="V381" s="13">
        <v>5</v>
      </c>
      <c r="W381" s="13">
        <v>3</v>
      </c>
      <c r="X381" s="3"/>
      <c r="Y381" s="5"/>
      <c r="Z381" s="5"/>
      <c r="AA381" s="5">
        <v>0</v>
      </c>
      <c r="AB381" s="5"/>
      <c r="AC381" s="5">
        <v>0</v>
      </c>
      <c r="AD381" s="5">
        <v>0</v>
      </c>
      <c r="AE381" s="5">
        <v>0</v>
      </c>
      <c r="AF381" s="5">
        <v>0</v>
      </c>
    </row>
    <row r="382" spans="1:32" x14ac:dyDescent="0.2">
      <c r="A382" s="3" t="str">
        <f>+VLOOKUP(B382,studies!$A$2:$C$102,3)</f>
        <v>Tol (2010)</v>
      </c>
      <c r="B382" s="87">
        <v>63</v>
      </c>
      <c r="C382" s="5">
        <v>2010</v>
      </c>
      <c r="D382" s="5">
        <v>0</v>
      </c>
      <c r="E382" s="5">
        <v>1995</v>
      </c>
      <c r="F382" s="5">
        <v>2010</v>
      </c>
      <c r="G382" s="113">
        <v>1</v>
      </c>
      <c r="H382" s="7">
        <v>3.335406520727398</v>
      </c>
      <c r="I382" s="5">
        <v>0</v>
      </c>
      <c r="J382" s="5">
        <v>1</v>
      </c>
      <c r="K382" s="5">
        <v>0</v>
      </c>
      <c r="L382" s="7" t="s">
        <v>238</v>
      </c>
      <c r="M382" s="7" t="s">
        <v>238</v>
      </c>
      <c r="N382" s="7" t="s">
        <v>238</v>
      </c>
      <c r="O382" s="5">
        <v>0</v>
      </c>
      <c r="P382" s="5">
        <v>1</v>
      </c>
      <c r="Q382" s="5">
        <v>1</v>
      </c>
      <c r="R382" s="5">
        <v>1</v>
      </c>
      <c r="S382" s="5">
        <v>1</v>
      </c>
      <c r="T382" s="5">
        <v>0</v>
      </c>
      <c r="U382" s="5">
        <v>0</v>
      </c>
      <c r="V382" s="13"/>
      <c r="W382" s="13">
        <v>3</v>
      </c>
      <c r="X382" s="3"/>
      <c r="Y382" s="5"/>
      <c r="Z382" s="5"/>
      <c r="AA382" s="5">
        <v>0</v>
      </c>
      <c r="AB382" s="5"/>
      <c r="AC382" s="5">
        <v>0</v>
      </c>
      <c r="AD382" s="5">
        <v>0</v>
      </c>
      <c r="AE382" s="5">
        <v>1</v>
      </c>
      <c r="AF382" s="5">
        <v>0</v>
      </c>
    </row>
    <row r="383" spans="1:32" x14ac:dyDescent="0.2">
      <c r="A383" s="3" t="str">
        <f>+VLOOKUP(B383,studies!$A$2:$C$102,3)</f>
        <v>Anthoff et al. (2011)</v>
      </c>
      <c r="B383" s="87">
        <v>64</v>
      </c>
      <c r="C383" s="5">
        <v>2011</v>
      </c>
      <c r="D383" s="5">
        <v>0</v>
      </c>
      <c r="E383" s="5">
        <v>1995</v>
      </c>
      <c r="F383" s="5">
        <v>2015</v>
      </c>
      <c r="G383" s="113">
        <v>5.8823529411764705E-2</v>
      </c>
      <c r="H383" s="7">
        <v>1.9029821522309713</v>
      </c>
      <c r="I383" s="5">
        <v>0</v>
      </c>
      <c r="J383" s="5">
        <v>1</v>
      </c>
      <c r="K383" s="5">
        <v>0</v>
      </c>
      <c r="L383" s="7" t="s">
        <v>238</v>
      </c>
      <c r="M383" s="7" t="s">
        <v>238</v>
      </c>
      <c r="N383" s="7" t="s">
        <v>238</v>
      </c>
      <c r="O383" s="5">
        <v>0</v>
      </c>
      <c r="P383" s="5">
        <v>1</v>
      </c>
      <c r="Q383" s="5">
        <v>1</v>
      </c>
      <c r="R383" s="5">
        <v>1</v>
      </c>
      <c r="S383" s="5">
        <v>1</v>
      </c>
      <c r="T383" s="5">
        <v>0</v>
      </c>
      <c r="U383" s="5">
        <v>0</v>
      </c>
      <c r="V383" s="13"/>
      <c r="W383" s="13">
        <v>3</v>
      </c>
      <c r="X383" s="3"/>
      <c r="Y383" s="5"/>
      <c r="Z383" s="5"/>
      <c r="AA383" s="5">
        <v>0</v>
      </c>
      <c r="AB383" s="5"/>
      <c r="AC383" s="5">
        <v>0</v>
      </c>
      <c r="AD383" s="5">
        <v>0</v>
      </c>
      <c r="AE383" s="5">
        <v>1</v>
      </c>
      <c r="AF383" s="5">
        <v>0</v>
      </c>
    </row>
    <row r="384" spans="1:32" x14ac:dyDescent="0.2">
      <c r="A384" s="3" t="str">
        <f>+VLOOKUP(B384,studies!$A$2:$C$102,3)</f>
        <v>Anthoff et al. (2011)</v>
      </c>
      <c r="B384" s="87">
        <v>64</v>
      </c>
      <c r="C384" s="5">
        <v>2011</v>
      </c>
      <c r="D384" s="5">
        <v>0</v>
      </c>
      <c r="E384" s="5">
        <v>1995</v>
      </c>
      <c r="F384" s="5">
        <v>2015</v>
      </c>
      <c r="G384" s="113">
        <v>5.8823529411764705E-2</v>
      </c>
      <c r="H384" s="7">
        <v>43.35365354330709</v>
      </c>
      <c r="I384" s="5">
        <v>0</v>
      </c>
      <c r="J384" s="5">
        <v>1</v>
      </c>
      <c r="K384" s="5">
        <v>0</v>
      </c>
      <c r="L384" s="7" t="s">
        <v>238</v>
      </c>
      <c r="M384" s="7" t="s">
        <v>238</v>
      </c>
      <c r="N384" s="7" t="s">
        <v>238</v>
      </c>
      <c r="O384" s="5">
        <v>0</v>
      </c>
      <c r="P384" s="5">
        <v>1</v>
      </c>
      <c r="Q384" s="5">
        <v>1</v>
      </c>
      <c r="R384" s="5">
        <v>1</v>
      </c>
      <c r="S384" s="5">
        <v>1</v>
      </c>
      <c r="T384" s="5">
        <v>0</v>
      </c>
      <c r="U384" s="5">
        <v>0</v>
      </c>
      <c r="V384" s="13"/>
      <c r="W384" s="13">
        <v>1</v>
      </c>
      <c r="X384" s="3"/>
      <c r="Y384" s="5"/>
      <c r="Z384" s="5"/>
      <c r="AA384" s="5">
        <v>0</v>
      </c>
      <c r="AB384" s="5"/>
      <c r="AC384" s="5">
        <v>0</v>
      </c>
      <c r="AD384" s="5">
        <v>0</v>
      </c>
      <c r="AE384" s="5">
        <v>1</v>
      </c>
      <c r="AF384" s="5">
        <v>0</v>
      </c>
    </row>
    <row r="385" spans="1:32" x14ac:dyDescent="0.2">
      <c r="A385" s="3" t="str">
        <f>+VLOOKUP(B385,studies!$A$2:$C$102,3)</f>
        <v>Anthoff et al. (2011)</v>
      </c>
      <c r="B385" s="87">
        <v>64</v>
      </c>
      <c r="C385" s="5">
        <v>2011</v>
      </c>
      <c r="D385" s="5">
        <v>0</v>
      </c>
      <c r="E385" s="5">
        <v>1995</v>
      </c>
      <c r="F385" s="5">
        <v>2015</v>
      </c>
      <c r="G385" s="113">
        <v>5.8823529411764705E-2</v>
      </c>
      <c r="H385" s="7">
        <v>266.13133858267719</v>
      </c>
      <c r="I385" s="5">
        <v>0</v>
      </c>
      <c r="J385" s="5">
        <v>1</v>
      </c>
      <c r="K385" s="5">
        <v>0</v>
      </c>
      <c r="L385" s="7" t="s">
        <v>238</v>
      </c>
      <c r="M385" s="7" t="s">
        <v>238</v>
      </c>
      <c r="N385" s="7" t="s">
        <v>238</v>
      </c>
      <c r="O385" s="5">
        <v>0</v>
      </c>
      <c r="P385" s="5">
        <v>1</v>
      </c>
      <c r="Q385" s="5">
        <v>1</v>
      </c>
      <c r="R385" s="5">
        <v>1</v>
      </c>
      <c r="S385" s="5">
        <v>1</v>
      </c>
      <c r="T385" s="5">
        <v>0</v>
      </c>
      <c r="U385" s="5">
        <v>0</v>
      </c>
      <c r="V385" s="13"/>
      <c r="W385" s="13">
        <v>0.1</v>
      </c>
      <c r="X385" s="3"/>
      <c r="Y385" s="5"/>
      <c r="Z385" s="5"/>
      <c r="AA385" s="5">
        <v>0</v>
      </c>
      <c r="AB385" s="5"/>
      <c r="AC385" s="5">
        <v>0</v>
      </c>
      <c r="AD385" s="5">
        <v>0</v>
      </c>
      <c r="AE385" s="5">
        <v>1</v>
      </c>
      <c r="AF385" s="5">
        <v>0</v>
      </c>
    </row>
    <row r="386" spans="1:32" x14ac:dyDescent="0.2">
      <c r="A386" s="3" t="str">
        <f>+VLOOKUP(B386,studies!$A$2:$C$102,3)</f>
        <v>Anthoff et al. (2011)</v>
      </c>
      <c r="B386" s="87">
        <v>64</v>
      </c>
      <c r="C386" s="5">
        <v>2011</v>
      </c>
      <c r="D386" s="5">
        <v>0</v>
      </c>
      <c r="E386" s="5">
        <v>1995</v>
      </c>
      <c r="F386" s="5">
        <v>2015</v>
      </c>
      <c r="G386" s="113">
        <v>5.8823529411764705E-2</v>
      </c>
      <c r="H386" s="7">
        <v>-3.2765632545931758</v>
      </c>
      <c r="I386" s="5">
        <v>0</v>
      </c>
      <c r="J386" s="5">
        <v>1</v>
      </c>
      <c r="K386" s="5">
        <v>0</v>
      </c>
      <c r="L386" s="7" t="s">
        <v>238</v>
      </c>
      <c r="M386" s="7" t="s">
        <v>238</v>
      </c>
      <c r="N386" s="7" t="s">
        <v>238</v>
      </c>
      <c r="O386" s="5">
        <v>0</v>
      </c>
      <c r="P386" s="5">
        <v>1</v>
      </c>
      <c r="Q386" s="5">
        <v>1</v>
      </c>
      <c r="R386" s="5">
        <v>1</v>
      </c>
      <c r="S386" s="5">
        <v>1</v>
      </c>
      <c r="T386" s="5">
        <v>0</v>
      </c>
      <c r="U386" s="5">
        <v>0</v>
      </c>
      <c r="V386" s="13"/>
      <c r="W386" s="13">
        <v>3</v>
      </c>
      <c r="X386" s="3"/>
      <c r="Y386" s="5"/>
      <c r="Z386" s="5"/>
      <c r="AA386" s="5">
        <v>0</v>
      </c>
      <c r="AB386" s="5"/>
      <c r="AC386" s="5">
        <v>0</v>
      </c>
      <c r="AD386" s="5">
        <v>0</v>
      </c>
      <c r="AE386" s="5">
        <v>1</v>
      </c>
      <c r="AF386" s="5">
        <v>0</v>
      </c>
    </row>
    <row r="387" spans="1:32" x14ac:dyDescent="0.2">
      <c r="A387" s="3" t="str">
        <f>+VLOOKUP(B387,studies!$A$2:$C$102,3)</f>
        <v>Anthoff et al. (2011)</v>
      </c>
      <c r="B387" s="87">
        <v>64</v>
      </c>
      <c r="C387" s="5">
        <v>2011</v>
      </c>
      <c r="D387" s="5">
        <v>0</v>
      </c>
      <c r="E387" s="5">
        <v>1995</v>
      </c>
      <c r="F387" s="5">
        <v>2015</v>
      </c>
      <c r="G387" s="113">
        <v>5.8823529411764705E-2</v>
      </c>
      <c r="H387" s="7">
        <v>2.2177611548556433</v>
      </c>
      <c r="I387" s="5">
        <v>0</v>
      </c>
      <c r="J387" s="5">
        <v>1</v>
      </c>
      <c r="K387" s="5">
        <v>0</v>
      </c>
      <c r="L387" s="7" t="s">
        <v>238</v>
      </c>
      <c r="M387" s="7" t="s">
        <v>238</v>
      </c>
      <c r="N387" s="7" t="s">
        <v>238</v>
      </c>
      <c r="O387" s="5">
        <v>0</v>
      </c>
      <c r="P387" s="5">
        <v>1</v>
      </c>
      <c r="Q387" s="5">
        <v>1</v>
      </c>
      <c r="R387" s="5">
        <v>1</v>
      </c>
      <c r="S387" s="5">
        <v>1</v>
      </c>
      <c r="T387" s="5">
        <v>0</v>
      </c>
      <c r="U387" s="5">
        <v>0</v>
      </c>
      <c r="V387" s="13"/>
      <c r="W387" s="13">
        <v>3</v>
      </c>
      <c r="X387" s="3"/>
      <c r="Y387" s="5"/>
      <c r="Z387" s="5"/>
      <c r="AA387" s="5">
        <v>0</v>
      </c>
      <c r="AB387" s="5"/>
      <c r="AC387" s="5">
        <v>0</v>
      </c>
      <c r="AD387" s="5">
        <v>0</v>
      </c>
      <c r="AE387" s="5">
        <v>1</v>
      </c>
      <c r="AF387" s="5">
        <v>0</v>
      </c>
    </row>
    <row r="388" spans="1:32" x14ac:dyDescent="0.2">
      <c r="A388" s="3" t="str">
        <f>+VLOOKUP(B388,studies!$A$2:$C$102,3)</f>
        <v>Anthoff et al. (2011)</v>
      </c>
      <c r="B388" s="87">
        <v>64</v>
      </c>
      <c r="C388" s="5">
        <v>2011</v>
      </c>
      <c r="D388" s="5">
        <v>0</v>
      </c>
      <c r="E388" s="5">
        <v>1995</v>
      </c>
      <c r="F388" s="5">
        <v>2015</v>
      </c>
      <c r="G388" s="113">
        <v>5.8823529411764705E-2</v>
      </c>
      <c r="H388" s="7">
        <v>11.575282414698163</v>
      </c>
      <c r="I388" s="5">
        <v>0</v>
      </c>
      <c r="J388" s="5">
        <v>1</v>
      </c>
      <c r="K388" s="5">
        <v>0</v>
      </c>
      <c r="L388" s="7" t="s">
        <v>238</v>
      </c>
      <c r="M388" s="7" t="s">
        <v>238</v>
      </c>
      <c r="N388" s="7" t="s">
        <v>238</v>
      </c>
      <c r="O388" s="5">
        <v>0</v>
      </c>
      <c r="P388" s="5">
        <v>1</v>
      </c>
      <c r="Q388" s="5">
        <v>1</v>
      </c>
      <c r="R388" s="5">
        <v>1</v>
      </c>
      <c r="S388" s="5">
        <v>1</v>
      </c>
      <c r="T388" s="5">
        <v>0</v>
      </c>
      <c r="U388" s="5">
        <v>0</v>
      </c>
      <c r="V388" s="13"/>
      <c r="W388" s="13">
        <v>1</v>
      </c>
      <c r="X388" s="3"/>
      <c r="Y388" s="5"/>
      <c r="Z388" s="5"/>
      <c r="AA388" s="5">
        <v>0</v>
      </c>
      <c r="AB388" s="5"/>
      <c r="AC388" s="5">
        <v>0</v>
      </c>
      <c r="AD388" s="5">
        <v>0</v>
      </c>
      <c r="AE388" s="5">
        <v>1</v>
      </c>
      <c r="AF388" s="5">
        <v>0</v>
      </c>
    </row>
    <row r="389" spans="1:32" x14ac:dyDescent="0.2">
      <c r="A389" s="3" t="str">
        <f>+VLOOKUP(B389,studies!$A$2:$C$102,3)</f>
        <v>Anthoff et al. (2011)</v>
      </c>
      <c r="B389" s="87">
        <v>64</v>
      </c>
      <c r="C389" s="5">
        <v>2011</v>
      </c>
      <c r="D389" s="5">
        <v>0</v>
      </c>
      <c r="E389" s="5">
        <v>1995</v>
      </c>
      <c r="F389" s="5">
        <v>2015</v>
      </c>
      <c r="G389" s="113">
        <v>5.8823529411764705E-2</v>
      </c>
      <c r="H389" s="7">
        <v>64.958939632545935</v>
      </c>
      <c r="I389" s="5">
        <v>0</v>
      </c>
      <c r="J389" s="5">
        <v>1</v>
      </c>
      <c r="K389" s="5">
        <v>0</v>
      </c>
      <c r="L389" s="7" t="s">
        <v>238</v>
      </c>
      <c r="M389" s="7" t="s">
        <v>238</v>
      </c>
      <c r="N389" s="7" t="s">
        <v>238</v>
      </c>
      <c r="O389" s="5">
        <v>0</v>
      </c>
      <c r="P389" s="5">
        <v>1</v>
      </c>
      <c r="Q389" s="5">
        <v>1</v>
      </c>
      <c r="R389" s="5">
        <v>1</v>
      </c>
      <c r="S389" s="5">
        <v>1</v>
      </c>
      <c r="T389" s="5">
        <v>0</v>
      </c>
      <c r="U389" s="5">
        <v>0</v>
      </c>
      <c r="V389" s="13"/>
      <c r="W389" s="13">
        <v>1</v>
      </c>
      <c r="X389" s="3"/>
      <c r="Y389" s="5"/>
      <c r="Z389" s="5"/>
      <c r="AA389" s="5">
        <v>0</v>
      </c>
      <c r="AB389" s="5"/>
      <c r="AC389" s="5">
        <v>0</v>
      </c>
      <c r="AD389" s="5">
        <v>0</v>
      </c>
      <c r="AE389" s="5">
        <v>1</v>
      </c>
      <c r="AF389" s="5">
        <v>0</v>
      </c>
    </row>
    <row r="390" spans="1:32" x14ac:dyDescent="0.2">
      <c r="A390" s="3" t="str">
        <f>+VLOOKUP(B390,studies!$A$2:$C$102,3)</f>
        <v>Anthoff et al. (2011)</v>
      </c>
      <c r="B390" s="87">
        <v>64</v>
      </c>
      <c r="C390" s="5">
        <v>2011</v>
      </c>
      <c r="D390" s="5">
        <v>0</v>
      </c>
      <c r="E390" s="5">
        <v>1995</v>
      </c>
      <c r="F390" s="5">
        <v>2015</v>
      </c>
      <c r="G390" s="113">
        <v>5.8823529411764705E-2</v>
      </c>
      <c r="H390" s="7">
        <v>83.130272965879271</v>
      </c>
      <c r="I390" s="5">
        <v>0</v>
      </c>
      <c r="J390" s="5">
        <v>1</v>
      </c>
      <c r="K390" s="5">
        <v>0</v>
      </c>
      <c r="L390" s="7" t="s">
        <v>238</v>
      </c>
      <c r="M390" s="7" t="s">
        <v>238</v>
      </c>
      <c r="N390" s="7" t="s">
        <v>238</v>
      </c>
      <c r="O390" s="5">
        <v>0</v>
      </c>
      <c r="P390" s="5">
        <v>1</v>
      </c>
      <c r="Q390" s="5">
        <v>1</v>
      </c>
      <c r="R390" s="5">
        <v>1</v>
      </c>
      <c r="S390" s="5">
        <v>1</v>
      </c>
      <c r="T390" s="5">
        <v>0</v>
      </c>
      <c r="U390" s="5">
        <v>0</v>
      </c>
      <c r="V390" s="13"/>
      <c r="W390" s="13">
        <v>0.1</v>
      </c>
      <c r="X390" s="3"/>
      <c r="Y390" s="5"/>
      <c r="Z390" s="5"/>
      <c r="AA390" s="5">
        <v>0</v>
      </c>
      <c r="AB390" s="5"/>
      <c r="AC390" s="5">
        <v>0</v>
      </c>
      <c r="AD390" s="5">
        <v>0</v>
      </c>
      <c r="AE390" s="5">
        <v>1</v>
      </c>
      <c r="AF390" s="5">
        <v>0</v>
      </c>
    </row>
    <row r="391" spans="1:32" x14ac:dyDescent="0.2">
      <c r="A391" s="3" t="str">
        <f>+VLOOKUP(B391,studies!$A$2:$C$102,3)</f>
        <v>Anthoff et al. (2011)</v>
      </c>
      <c r="B391" s="87">
        <v>64</v>
      </c>
      <c r="C391" s="5">
        <v>2011</v>
      </c>
      <c r="D391" s="5">
        <v>0</v>
      </c>
      <c r="E391" s="5">
        <v>1995</v>
      </c>
      <c r="F391" s="5">
        <v>2015</v>
      </c>
      <c r="G391" s="113">
        <v>5.8823529411764705E-2</v>
      </c>
      <c r="H391" s="7">
        <v>2689.929658792651</v>
      </c>
      <c r="I391" s="5">
        <v>0</v>
      </c>
      <c r="J391" s="5">
        <v>1</v>
      </c>
      <c r="K391" s="5">
        <v>0</v>
      </c>
      <c r="L391" s="7" t="s">
        <v>238</v>
      </c>
      <c r="M391" s="7" t="s">
        <v>238</v>
      </c>
      <c r="N391" s="7" t="s">
        <v>238</v>
      </c>
      <c r="O391" s="5">
        <v>0</v>
      </c>
      <c r="P391" s="5">
        <v>1</v>
      </c>
      <c r="Q391" s="5">
        <v>1</v>
      </c>
      <c r="R391" s="5">
        <v>1</v>
      </c>
      <c r="S391" s="5">
        <v>1</v>
      </c>
      <c r="T391" s="5">
        <v>0</v>
      </c>
      <c r="U391" s="5">
        <v>0</v>
      </c>
      <c r="V391" s="13"/>
      <c r="W391" s="13">
        <v>0.1</v>
      </c>
      <c r="X391" s="3"/>
      <c r="Y391" s="5"/>
      <c r="Z391" s="5"/>
      <c r="AA391" s="5">
        <v>0</v>
      </c>
      <c r="AB391" s="5"/>
      <c r="AC391" s="5">
        <v>0</v>
      </c>
      <c r="AD391" s="5">
        <v>0</v>
      </c>
      <c r="AE391" s="5">
        <v>1</v>
      </c>
      <c r="AF391" s="5">
        <v>0</v>
      </c>
    </row>
    <row r="392" spans="1:32" x14ac:dyDescent="0.2">
      <c r="A392" s="3" t="str">
        <f>+VLOOKUP(B392,studies!$A$2:$C$102,3)</f>
        <v>Anthoff et al. (2011)</v>
      </c>
      <c r="B392" s="87">
        <v>64</v>
      </c>
      <c r="C392" s="5">
        <v>2011</v>
      </c>
      <c r="D392" s="5">
        <v>0</v>
      </c>
      <c r="E392" s="5">
        <v>1995</v>
      </c>
      <c r="F392" s="5">
        <v>2015</v>
      </c>
      <c r="G392" s="113">
        <v>2.9411764705882353E-2</v>
      </c>
      <c r="H392" s="7">
        <v>1.0130160629921259</v>
      </c>
      <c r="I392" s="5">
        <v>0</v>
      </c>
      <c r="J392" s="5">
        <v>1</v>
      </c>
      <c r="K392" s="5">
        <v>0</v>
      </c>
      <c r="L392" s="7" t="s">
        <v>238</v>
      </c>
      <c r="M392" s="7" t="s">
        <v>238</v>
      </c>
      <c r="N392" s="7" t="s">
        <v>238</v>
      </c>
      <c r="O392" s="5">
        <v>0</v>
      </c>
      <c r="P392" s="5">
        <v>1</v>
      </c>
      <c r="Q392" s="5">
        <v>1</v>
      </c>
      <c r="R392" s="5">
        <v>1</v>
      </c>
      <c r="S392" s="5">
        <v>1</v>
      </c>
      <c r="T392" s="5">
        <v>0</v>
      </c>
      <c r="U392" s="5">
        <v>0</v>
      </c>
      <c r="V392" s="13"/>
      <c r="W392" s="13">
        <v>3</v>
      </c>
      <c r="X392" s="3"/>
      <c r="Y392" s="5"/>
      <c r="Z392" s="5"/>
      <c r="AA392" s="5">
        <v>0</v>
      </c>
      <c r="AB392" s="5"/>
      <c r="AC392" s="5">
        <v>0</v>
      </c>
      <c r="AD392" s="5">
        <v>0</v>
      </c>
      <c r="AE392" s="5">
        <v>1</v>
      </c>
      <c r="AF392" s="5">
        <v>0</v>
      </c>
    </row>
    <row r="393" spans="1:32" x14ac:dyDescent="0.2">
      <c r="A393" s="3" t="str">
        <f>+VLOOKUP(B393,studies!$A$2:$C$102,3)</f>
        <v>Anthoff et al. (2011)</v>
      </c>
      <c r="B393" s="87">
        <v>64</v>
      </c>
      <c r="C393" s="5">
        <v>2011</v>
      </c>
      <c r="D393" s="5">
        <v>0</v>
      </c>
      <c r="E393" s="5">
        <v>1995</v>
      </c>
      <c r="F393" s="5">
        <v>2015</v>
      </c>
      <c r="G393" s="113">
        <v>2.9411764705882353E-2</v>
      </c>
      <c r="H393" s="7">
        <v>4.1779758530183724</v>
      </c>
      <c r="I393" s="5">
        <v>0</v>
      </c>
      <c r="J393" s="5">
        <v>1</v>
      </c>
      <c r="K393" s="5">
        <v>0</v>
      </c>
      <c r="L393" s="7" t="s">
        <v>238</v>
      </c>
      <c r="M393" s="7" t="s">
        <v>238</v>
      </c>
      <c r="N393" s="7" t="s">
        <v>238</v>
      </c>
      <c r="O393" s="5">
        <v>0</v>
      </c>
      <c r="P393" s="5">
        <v>1</v>
      </c>
      <c r="Q393" s="5">
        <v>1</v>
      </c>
      <c r="R393" s="5">
        <v>1</v>
      </c>
      <c r="S393" s="5">
        <v>1</v>
      </c>
      <c r="T393" s="5">
        <v>0</v>
      </c>
      <c r="U393" s="5">
        <v>0</v>
      </c>
      <c r="V393" s="13"/>
      <c r="W393" s="13">
        <v>3</v>
      </c>
      <c r="X393" s="3"/>
      <c r="Y393" s="5"/>
      <c r="Z393" s="5"/>
      <c r="AA393" s="5">
        <v>0</v>
      </c>
      <c r="AB393" s="5"/>
      <c r="AC393" s="5">
        <v>0</v>
      </c>
      <c r="AD393" s="5">
        <v>0</v>
      </c>
      <c r="AE393" s="5">
        <v>1</v>
      </c>
      <c r="AF393" s="5">
        <v>0</v>
      </c>
    </row>
    <row r="394" spans="1:32" x14ac:dyDescent="0.2">
      <c r="A394" s="3" t="str">
        <f>+VLOOKUP(B394,studies!$A$2:$C$102,3)</f>
        <v>Anthoff et al. (2011)</v>
      </c>
      <c r="B394" s="87">
        <v>64</v>
      </c>
      <c r="C394" s="5">
        <v>2011</v>
      </c>
      <c r="D394" s="5">
        <v>0</v>
      </c>
      <c r="E394" s="5">
        <v>1995</v>
      </c>
      <c r="F394" s="5">
        <v>2015</v>
      </c>
      <c r="G394" s="113">
        <v>2.9411764705882353E-2</v>
      </c>
      <c r="H394" s="7">
        <v>16.454356955380579</v>
      </c>
      <c r="I394" s="5">
        <v>0</v>
      </c>
      <c r="J394" s="5">
        <v>1</v>
      </c>
      <c r="K394" s="5">
        <v>0</v>
      </c>
      <c r="L394" s="7" t="s">
        <v>238</v>
      </c>
      <c r="M394" s="7" t="s">
        <v>238</v>
      </c>
      <c r="N394" s="7" t="s">
        <v>238</v>
      </c>
      <c r="O394" s="5">
        <v>0</v>
      </c>
      <c r="P394" s="5">
        <v>1</v>
      </c>
      <c r="Q394" s="5">
        <v>1</v>
      </c>
      <c r="R394" s="5">
        <v>1</v>
      </c>
      <c r="S394" s="5">
        <v>1</v>
      </c>
      <c r="T394" s="5">
        <v>0</v>
      </c>
      <c r="U394" s="5">
        <v>0</v>
      </c>
      <c r="V394" s="13"/>
      <c r="W394" s="13">
        <v>1</v>
      </c>
      <c r="X394" s="3"/>
      <c r="Y394" s="5"/>
      <c r="Z394" s="5"/>
      <c r="AA394" s="5">
        <v>0</v>
      </c>
      <c r="AB394" s="5"/>
      <c r="AC394" s="5">
        <v>0</v>
      </c>
      <c r="AD394" s="5">
        <v>0</v>
      </c>
      <c r="AE394" s="5">
        <v>1</v>
      </c>
      <c r="AF394" s="5">
        <v>0</v>
      </c>
    </row>
    <row r="395" spans="1:32" x14ac:dyDescent="0.2">
      <c r="A395" s="3" t="str">
        <f>+VLOOKUP(B395,studies!$A$2:$C$102,3)</f>
        <v>Anthoff et al. (2011)</v>
      </c>
      <c r="B395" s="87">
        <v>64</v>
      </c>
      <c r="C395" s="5">
        <v>2011</v>
      </c>
      <c r="D395" s="5">
        <v>0</v>
      </c>
      <c r="E395" s="5">
        <v>1995</v>
      </c>
      <c r="F395" s="5">
        <v>2015</v>
      </c>
      <c r="G395" s="113">
        <v>2.9411764705882353E-2</v>
      </c>
      <c r="H395" s="7">
        <v>92.287480314960632</v>
      </c>
      <c r="I395" s="5">
        <v>0</v>
      </c>
      <c r="J395" s="5">
        <v>1</v>
      </c>
      <c r="K395" s="5">
        <v>0</v>
      </c>
      <c r="L395" s="7" t="s">
        <v>238</v>
      </c>
      <c r="M395" s="7" t="s">
        <v>238</v>
      </c>
      <c r="N395" s="7" t="s">
        <v>238</v>
      </c>
      <c r="O395" s="5">
        <v>0</v>
      </c>
      <c r="P395" s="5">
        <v>1</v>
      </c>
      <c r="Q395" s="5">
        <v>1</v>
      </c>
      <c r="R395" s="5">
        <v>1</v>
      </c>
      <c r="S395" s="5">
        <v>1</v>
      </c>
      <c r="T395" s="5">
        <v>0</v>
      </c>
      <c r="U395" s="5">
        <v>0</v>
      </c>
      <c r="V395" s="13"/>
      <c r="W395" s="13">
        <v>1</v>
      </c>
      <c r="X395" s="3"/>
      <c r="Y395" s="5"/>
      <c r="Z395" s="5"/>
      <c r="AA395" s="5">
        <v>0</v>
      </c>
      <c r="AB395" s="5"/>
      <c r="AC395" s="5">
        <v>0</v>
      </c>
      <c r="AD395" s="5">
        <v>0</v>
      </c>
      <c r="AE395" s="5">
        <v>1</v>
      </c>
      <c r="AF395" s="5">
        <v>0</v>
      </c>
    </row>
    <row r="396" spans="1:32" x14ac:dyDescent="0.2">
      <c r="A396" s="3" t="str">
        <f>+VLOOKUP(B396,studies!$A$2:$C$102,3)</f>
        <v>Anthoff et al. (2011)</v>
      </c>
      <c r="B396" s="87">
        <v>64</v>
      </c>
      <c r="C396" s="5">
        <v>2011</v>
      </c>
      <c r="D396" s="5">
        <v>0</v>
      </c>
      <c r="E396" s="5">
        <v>1995</v>
      </c>
      <c r="F396" s="5">
        <v>2015</v>
      </c>
      <c r="G396" s="113">
        <v>2.9411764705882353E-2</v>
      </c>
      <c r="H396" s="7">
        <v>75.546960629921259</v>
      </c>
      <c r="I396" s="5">
        <v>0</v>
      </c>
      <c r="J396" s="5">
        <v>1</v>
      </c>
      <c r="K396" s="5">
        <v>0</v>
      </c>
      <c r="L396" s="7" t="s">
        <v>238</v>
      </c>
      <c r="M396" s="7" t="s">
        <v>238</v>
      </c>
      <c r="N396" s="7" t="s">
        <v>238</v>
      </c>
      <c r="O396" s="5">
        <v>0</v>
      </c>
      <c r="P396" s="5">
        <v>1</v>
      </c>
      <c r="Q396" s="5">
        <v>1</v>
      </c>
      <c r="R396" s="5">
        <v>1</v>
      </c>
      <c r="S396" s="5">
        <v>1</v>
      </c>
      <c r="T396" s="5">
        <v>0</v>
      </c>
      <c r="U396" s="5">
        <v>0</v>
      </c>
      <c r="V396" s="13"/>
      <c r="W396" s="13">
        <v>0.1</v>
      </c>
      <c r="X396" s="3"/>
      <c r="Y396" s="5"/>
      <c r="Z396" s="5"/>
      <c r="AA396" s="5">
        <v>0</v>
      </c>
      <c r="AB396" s="5"/>
      <c r="AC396" s="5">
        <v>0</v>
      </c>
      <c r="AD396" s="5">
        <v>0</v>
      </c>
      <c r="AE396" s="5">
        <v>1</v>
      </c>
      <c r="AF396" s="5">
        <v>0</v>
      </c>
    </row>
    <row r="397" spans="1:32" x14ac:dyDescent="0.2">
      <c r="A397" s="3" t="str">
        <f>+VLOOKUP(B397,studies!$A$2:$C$102,3)</f>
        <v>Anthoff et al. (2011)</v>
      </c>
      <c r="B397" s="87">
        <v>64</v>
      </c>
      <c r="C397" s="5">
        <v>2011</v>
      </c>
      <c r="D397" s="5">
        <v>0</v>
      </c>
      <c r="E397" s="5">
        <v>1995</v>
      </c>
      <c r="F397" s="5">
        <v>2015</v>
      </c>
      <c r="G397" s="113">
        <v>2.9411764705882353E-2</v>
      </c>
      <c r="H397" s="7">
        <v>2160.5286089238843</v>
      </c>
      <c r="I397" s="5">
        <v>0</v>
      </c>
      <c r="J397" s="5">
        <v>1</v>
      </c>
      <c r="K397" s="5">
        <v>0</v>
      </c>
      <c r="L397" s="7" t="s">
        <v>238</v>
      </c>
      <c r="M397" s="7" t="s">
        <v>238</v>
      </c>
      <c r="N397" s="7" t="s">
        <v>238</v>
      </c>
      <c r="O397" s="5">
        <v>0</v>
      </c>
      <c r="P397" s="5">
        <v>1</v>
      </c>
      <c r="Q397" s="5">
        <v>1</v>
      </c>
      <c r="R397" s="5">
        <v>1</v>
      </c>
      <c r="S397" s="5">
        <v>1</v>
      </c>
      <c r="T397" s="5">
        <v>0</v>
      </c>
      <c r="U397" s="5">
        <v>0</v>
      </c>
      <c r="V397" s="13"/>
      <c r="W397" s="13">
        <v>0.1</v>
      </c>
      <c r="X397" s="3"/>
      <c r="Y397" s="5"/>
      <c r="Z397" s="5"/>
      <c r="AA397" s="5">
        <v>0</v>
      </c>
      <c r="AB397" s="5"/>
      <c r="AC397" s="5">
        <v>0</v>
      </c>
      <c r="AD397" s="5">
        <v>0</v>
      </c>
      <c r="AE397" s="5">
        <v>1</v>
      </c>
      <c r="AF397" s="5">
        <v>0</v>
      </c>
    </row>
    <row r="398" spans="1:32" x14ac:dyDescent="0.2">
      <c r="A398" s="3" t="str">
        <f>+VLOOKUP(B398,studies!$A$2:$C$102,3)</f>
        <v>Anthoff et al. (2011)</v>
      </c>
      <c r="B398" s="87">
        <v>64</v>
      </c>
      <c r="C398" s="5">
        <v>2011</v>
      </c>
      <c r="D398" s="5">
        <v>0</v>
      </c>
      <c r="E398" s="5">
        <v>1995</v>
      </c>
      <c r="F398" s="5">
        <v>2015</v>
      </c>
      <c r="G398" s="113">
        <v>5.8823529411764705E-2</v>
      </c>
      <c r="H398" s="7">
        <v>130.91944881889765</v>
      </c>
      <c r="I398" s="5">
        <v>0</v>
      </c>
      <c r="J398" s="5">
        <v>1</v>
      </c>
      <c r="K398" s="5">
        <v>0</v>
      </c>
      <c r="L398" s="7" t="s">
        <v>238</v>
      </c>
      <c r="M398" s="7" t="s">
        <v>238</v>
      </c>
      <c r="N398" s="7" t="s">
        <v>238</v>
      </c>
      <c r="O398" s="5">
        <v>0</v>
      </c>
      <c r="P398" s="5">
        <v>1</v>
      </c>
      <c r="Q398" s="5">
        <v>1</v>
      </c>
      <c r="R398" s="5">
        <v>1</v>
      </c>
      <c r="S398" s="5">
        <v>1</v>
      </c>
      <c r="T398" s="5">
        <v>0</v>
      </c>
      <c r="U398" s="5">
        <v>0</v>
      </c>
      <c r="V398" s="13"/>
      <c r="W398" s="13">
        <v>1</v>
      </c>
      <c r="X398" s="3"/>
      <c r="Y398" s="5"/>
      <c r="Z398" s="5"/>
      <c r="AA398" s="5">
        <v>1</v>
      </c>
      <c r="AB398" s="5"/>
      <c r="AC398" s="5">
        <v>0</v>
      </c>
      <c r="AD398" s="5">
        <v>0</v>
      </c>
      <c r="AE398" s="5">
        <v>1</v>
      </c>
      <c r="AF398" s="5">
        <v>0</v>
      </c>
    </row>
    <row r="399" spans="1:32" x14ac:dyDescent="0.2">
      <c r="A399" s="3" t="str">
        <f>+VLOOKUP(B399,studies!$A$2:$C$102,3)</f>
        <v>Anthoff et al. (2011)</v>
      </c>
      <c r="B399" s="87">
        <v>64</v>
      </c>
      <c r="C399" s="5">
        <v>2011</v>
      </c>
      <c r="D399" s="5">
        <v>0</v>
      </c>
      <c r="E399" s="5">
        <v>1995</v>
      </c>
      <c r="F399" s="5">
        <v>2015</v>
      </c>
      <c r="G399" s="113">
        <v>5.8823529411764705E-2</v>
      </c>
      <c r="H399" s="7">
        <v>17.312845144356956</v>
      </c>
      <c r="I399" s="5">
        <v>0</v>
      </c>
      <c r="J399" s="5">
        <v>1</v>
      </c>
      <c r="K399" s="5">
        <v>0</v>
      </c>
      <c r="L399" s="7" t="s">
        <v>238</v>
      </c>
      <c r="M399" s="7" t="s">
        <v>238</v>
      </c>
      <c r="N399" s="7" t="s">
        <v>238</v>
      </c>
      <c r="O399" s="5">
        <v>0</v>
      </c>
      <c r="P399" s="5">
        <v>1</v>
      </c>
      <c r="Q399" s="5">
        <v>1</v>
      </c>
      <c r="R399" s="5">
        <v>1</v>
      </c>
      <c r="S399" s="5">
        <v>1</v>
      </c>
      <c r="T399" s="5">
        <v>0</v>
      </c>
      <c r="U399" s="5">
        <v>0</v>
      </c>
      <c r="V399" s="13"/>
      <c r="W399" s="13">
        <v>1</v>
      </c>
      <c r="X399" s="3"/>
      <c r="Y399" s="5"/>
      <c r="Z399" s="5"/>
      <c r="AA399" s="5">
        <v>0</v>
      </c>
      <c r="AB399" s="5"/>
      <c r="AC399" s="5">
        <v>0</v>
      </c>
      <c r="AD399" s="5">
        <v>0</v>
      </c>
      <c r="AE399" s="5">
        <v>1</v>
      </c>
      <c r="AF399" s="5">
        <v>0</v>
      </c>
    </row>
    <row r="400" spans="1:32" x14ac:dyDescent="0.2">
      <c r="A400" s="3" t="str">
        <f>+VLOOKUP(B400,studies!$A$2:$C$102,3)</f>
        <v>Anthoff et al. (2011)</v>
      </c>
      <c r="B400" s="87">
        <v>64</v>
      </c>
      <c r="C400" s="5">
        <v>2011</v>
      </c>
      <c r="D400" s="5">
        <v>0</v>
      </c>
      <c r="E400" s="5">
        <v>1995</v>
      </c>
      <c r="F400" s="5">
        <v>2015</v>
      </c>
      <c r="G400" s="113">
        <v>5.8823529411764705E-2</v>
      </c>
      <c r="H400" s="7">
        <v>41.636677165354335</v>
      </c>
      <c r="I400" s="5">
        <v>0</v>
      </c>
      <c r="J400" s="5">
        <v>1</v>
      </c>
      <c r="K400" s="5">
        <v>0</v>
      </c>
      <c r="L400" s="7" t="s">
        <v>238</v>
      </c>
      <c r="M400" s="7" t="s">
        <v>238</v>
      </c>
      <c r="N400" s="7" t="s">
        <v>238</v>
      </c>
      <c r="O400" s="5">
        <v>0</v>
      </c>
      <c r="P400" s="5">
        <v>1</v>
      </c>
      <c r="Q400" s="5">
        <v>1</v>
      </c>
      <c r="R400" s="5">
        <v>1</v>
      </c>
      <c r="S400" s="5">
        <v>1</v>
      </c>
      <c r="T400" s="5">
        <v>0</v>
      </c>
      <c r="U400" s="5">
        <v>0</v>
      </c>
      <c r="V400" s="13"/>
      <c r="W400" s="13">
        <v>1</v>
      </c>
      <c r="X400" s="3"/>
      <c r="Y400" s="5"/>
      <c r="Z400" s="5"/>
      <c r="AA400" s="5">
        <v>0</v>
      </c>
      <c r="AB400" s="5"/>
      <c r="AC400" s="5">
        <v>0</v>
      </c>
      <c r="AD400" s="5">
        <v>0</v>
      </c>
      <c r="AE400" s="5">
        <v>1</v>
      </c>
      <c r="AF400" s="5">
        <v>0</v>
      </c>
    </row>
    <row r="401" spans="1:32" x14ac:dyDescent="0.2">
      <c r="A401" s="3" t="str">
        <f>+VLOOKUP(B401,studies!$A$2:$C$102,3)</f>
        <v>Anthoff et al. (2011)</v>
      </c>
      <c r="B401" s="87">
        <v>64</v>
      </c>
      <c r="C401" s="5">
        <v>2011</v>
      </c>
      <c r="D401" s="5">
        <v>0</v>
      </c>
      <c r="E401" s="5">
        <v>1995</v>
      </c>
      <c r="F401" s="5">
        <v>2015</v>
      </c>
      <c r="G401" s="113">
        <v>2.9411764705882353E-2</v>
      </c>
      <c r="H401" s="7">
        <v>3.4482608923884519</v>
      </c>
      <c r="I401" s="5">
        <v>0</v>
      </c>
      <c r="J401" s="5">
        <v>1</v>
      </c>
      <c r="K401" s="5">
        <v>0</v>
      </c>
      <c r="L401" s="7" t="s">
        <v>238</v>
      </c>
      <c r="M401" s="7" t="s">
        <v>238</v>
      </c>
      <c r="N401" s="7" t="s">
        <v>238</v>
      </c>
      <c r="O401" s="5">
        <v>0</v>
      </c>
      <c r="P401" s="5">
        <v>1</v>
      </c>
      <c r="Q401" s="5">
        <v>1</v>
      </c>
      <c r="R401" s="5">
        <v>1</v>
      </c>
      <c r="S401" s="5">
        <v>1</v>
      </c>
      <c r="T401" s="5">
        <v>0</v>
      </c>
      <c r="U401" s="5">
        <v>0</v>
      </c>
      <c r="V401" s="13"/>
      <c r="W401" s="13">
        <v>1</v>
      </c>
      <c r="X401" s="3"/>
      <c r="Y401" s="5"/>
      <c r="Z401" s="5"/>
      <c r="AA401" s="5">
        <v>0</v>
      </c>
      <c r="AB401" s="5"/>
      <c r="AC401" s="5">
        <v>0</v>
      </c>
      <c r="AD401" s="5">
        <v>0</v>
      </c>
      <c r="AE401" s="5">
        <v>1</v>
      </c>
      <c r="AF401" s="5">
        <v>0</v>
      </c>
    </row>
    <row r="402" spans="1:32" x14ac:dyDescent="0.2">
      <c r="A402" s="3" t="str">
        <f>+VLOOKUP(B402,studies!$A$2:$C$102,3)</f>
        <v>Anthoff et al. (2011)</v>
      </c>
      <c r="B402" s="87">
        <v>64</v>
      </c>
      <c r="C402" s="5">
        <v>2011</v>
      </c>
      <c r="D402" s="5">
        <v>0</v>
      </c>
      <c r="E402" s="5">
        <v>1995</v>
      </c>
      <c r="F402" s="5">
        <v>2015</v>
      </c>
      <c r="G402" s="113">
        <v>2.9411764705882353E-2</v>
      </c>
      <c r="H402" s="7">
        <v>107.31102362204724</v>
      </c>
      <c r="I402" s="5">
        <v>0</v>
      </c>
      <c r="J402" s="5">
        <v>1</v>
      </c>
      <c r="K402" s="5">
        <v>0</v>
      </c>
      <c r="L402" s="7" t="s">
        <v>238</v>
      </c>
      <c r="M402" s="7" t="s">
        <v>238</v>
      </c>
      <c r="N402" s="7" t="s">
        <v>238</v>
      </c>
      <c r="O402" s="5">
        <v>0</v>
      </c>
      <c r="P402" s="5">
        <v>1</v>
      </c>
      <c r="Q402" s="5">
        <v>1</v>
      </c>
      <c r="R402" s="5">
        <v>1</v>
      </c>
      <c r="S402" s="5">
        <v>1</v>
      </c>
      <c r="T402" s="5">
        <v>0</v>
      </c>
      <c r="U402" s="5">
        <v>0</v>
      </c>
      <c r="V402" s="13"/>
      <c r="W402" s="13">
        <v>1</v>
      </c>
      <c r="X402" s="3"/>
      <c r="Y402" s="5"/>
      <c r="Z402" s="5"/>
      <c r="AA402" s="5">
        <v>0</v>
      </c>
      <c r="AB402" s="5"/>
      <c r="AC402" s="5">
        <v>0</v>
      </c>
      <c r="AD402" s="5">
        <v>0</v>
      </c>
      <c r="AE402" s="5">
        <v>1</v>
      </c>
      <c r="AF402" s="5">
        <v>0</v>
      </c>
    </row>
    <row r="403" spans="1:32" x14ac:dyDescent="0.2">
      <c r="A403" s="3" t="str">
        <f>+VLOOKUP(B403,studies!$A$2:$C$102,3)</f>
        <v>Anthoff et al. (2011)</v>
      </c>
      <c r="B403" s="87">
        <v>64</v>
      </c>
      <c r="C403" s="5">
        <v>2011</v>
      </c>
      <c r="D403" s="5">
        <v>0</v>
      </c>
      <c r="E403" s="5">
        <v>1995</v>
      </c>
      <c r="F403" s="5">
        <v>2015</v>
      </c>
      <c r="G403" s="113">
        <v>2.9411764705882353E-2</v>
      </c>
      <c r="H403" s="7">
        <v>7.3686902887139114</v>
      </c>
      <c r="I403" s="5">
        <v>0</v>
      </c>
      <c r="J403" s="5">
        <v>1</v>
      </c>
      <c r="K403" s="5">
        <v>0</v>
      </c>
      <c r="L403" s="7" t="s">
        <v>238</v>
      </c>
      <c r="M403" s="7" t="s">
        <v>238</v>
      </c>
      <c r="N403" s="7" t="s">
        <v>238</v>
      </c>
      <c r="O403" s="5">
        <v>0</v>
      </c>
      <c r="P403" s="5">
        <v>1</v>
      </c>
      <c r="Q403" s="5">
        <v>1</v>
      </c>
      <c r="R403" s="5">
        <v>1</v>
      </c>
      <c r="S403" s="5">
        <v>1</v>
      </c>
      <c r="T403" s="5">
        <v>0</v>
      </c>
      <c r="U403" s="5">
        <v>0</v>
      </c>
      <c r="V403" s="13"/>
      <c r="W403" s="13">
        <v>1</v>
      </c>
      <c r="X403" s="3"/>
      <c r="Y403" s="5"/>
      <c r="Z403" s="5"/>
      <c r="AA403" s="5">
        <v>0</v>
      </c>
      <c r="AB403" s="5"/>
      <c r="AC403" s="5">
        <v>0</v>
      </c>
      <c r="AD403" s="5">
        <v>0</v>
      </c>
      <c r="AE403" s="5">
        <v>1</v>
      </c>
      <c r="AF403" s="5">
        <v>0</v>
      </c>
    </row>
    <row r="404" spans="1:32" x14ac:dyDescent="0.2">
      <c r="A404" s="3" t="str">
        <f>+VLOOKUP(B404,studies!$A$2:$C$102,3)</f>
        <v>Anthoff et al. (2011)</v>
      </c>
      <c r="B404" s="87">
        <v>64</v>
      </c>
      <c r="C404" s="5">
        <v>2011</v>
      </c>
      <c r="D404" s="5">
        <v>0</v>
      </c>
      <c r="E404" s="5">
        <v>1995</v>
      </c>
      <c r="F404" s="5">
        <v>2015</v>
      </c>
      <c r="G404" s="113">
        <v>2.9411764705882353E-2</v>
      </c>
      <c r="H404" s="7">
        <v>74.402309711286094</v>
      </c>
      <c r="I404" s="5">
        <v>0</v>
      </c>
      <c r="J404" s="5">
        <v>1</v>
      </c>
      <c r="K404" s="5">
        <v>0</v>
      </c>
      <c r="L404" s="7" t="s">
        <v>238</v>
      </c>
      <c r="M404" s="7" t="s">
        <v>238</v>
      </c>
      <c r="N404" s="7" t="s">
        <v>238</v>
      </c>
      <c r="O404" s="5">
        <v>0</v>
      </c>
      <c r="P404" s="5">
        <v>1</v>
      </c>
      <c r="Q404" s="5">
        <v>1</v>
      </c>
      <c r="R404" s="5">
        <v>1</v>
      </c>
      <c r="S404" s="5">
        <v>1</v>
      </c>
      <c r="T404" s="5">
        <v>0</v>
      </c>
      <c r="U404" s="5">
        <v>0</v>
      </c>
      <c r="V404" s="13"/>
      <c r="W404" s="13">
        <v>1</v>
      </c>
      <c r="X404" s="3"/>
      <c r="Y404" s="5"/>
      <c r="Z404" s="5"/>
      <c r="AA404" s="5">
        <v>0</v>
      </c>
      <c r="AB404" s="5"/>
      <c r="AC404" s="5">
        <v>0</v>
      </c>
      <c r="AD404" s="5">
        <v>0</v>
      </c>
      <c r="AE404" s="5">
        <v>1</v>
      </c>
      <c r="AF404" s="5">
        <v>0</v>
      </c>
    </row>
    <row r="405" spans="1:32" x14ac:dyDescent="0.2">
      <c r="A405" s="3" t="str">
        <f>+VLOOKUP(B405,studies!$A$2:$C$102,3)</f>
        <v>Ceronsky et al. (2011)</v>
      </c>
      <c r="B405" s="87">
        <v>65</v>
      </c>
      <c r="C405" s="5">
        <v>2011</v>
      </c>
      <c r="D405" s="5">
        <v>0</v>
      </c>
      <c r="E405" s="5">
        <v>2010</v>
      </c>
      <c r="F405" s="5">
        <v>2010</v>
      </c>
      <c r="G405" s="113">
        <v>0.13528138528138528</v>
      </c>
      <c r="H405" s="7">
        <v>644.55626634590897</v>
      </c>
      <c r="I405" s="5">
        <v>1</v>
      </c>
      <c r="J405" s="5">
        <v>0</v>
      </c>
      <c r="K405" s="5">
        <v>0</v>
      </c>
      <c r="L405" s="7" t="s">
        <v>238</v>
      </c>
      <c r="M405" s="7" t="s">
        <v>238</v>
      </c>
      <c r="N405" s="7" t="s">
        <v>238</v>
      </c>
      <c r="O405" s="5">
        <v>0</v>
      </c>
      <c r="P405" s="5">
        <v>1</v>
      </c>
      <c r="Q405" s="5">
        <v>1</v>
      </c>
      <c r="R405" s="5">
        <v>1</v>
      </c>
      <c r="S405" s="5">
        <v>1</v>
      </c>
      <c r="T405" s="5">
        <v>0</v>
      </c>
      <c r="U405" s="5">
        <v>0</v>
      </c>
      <c r="V405" s="13"/>
      <c r="W405" s="13">
        <v>0</v>
      </c>
      <c r="X405" s="3"/>
      <c r="Y405" s="5"/>
      <c r="Z405" s="5"/>
      <c r="AA405" s="5">
        <v>0</v>
      </c>
      <c r="AB405" s="5"/>
      <c r="AC405" s="5">
        <v>0</v>
      </c>
      <c r="AD405" s="5">
        <v>0</v>
      </c>
      <c r="AE405" s="5">
        <v>1</v>
      </c>
      <c r="AF405" s="5">
        <v>0</v>
      </c>
    </row>
    <row r="406" spans="1:32" x14ac:dyDescent="0.2">
      <c r="A406" s="3" t="str">
        <f>+VLOOKUP(B406,studies!$A$2:$C$102,3)</f>
        <v>Ceronsky et al. (2011)</v>
      </c>
      <c r="B406" s="87">
        <v>65</v>
      </c>
      <c r="C406" s="5">
        <v>2011</v>
      </c>
      <c r="D406" s="5">
        <v>0</v>
      </c>
      <c r="E406" s="5">
        <v>2010</v>
      </c>
      <c r="F406" s="5">
        <v>2010</v>
      </c>
      <c r="G406" s="113">
        <v>1.3528138528138528E-3</v>
      </c>
      <c r="H406" s="7">
        <v>624.74169757939819</v>
      </c>
      <c r="I406" s="5">
        <v>1</v>
      </c>
      <c r="J406" s="5">
        <v>0</v>
      </c>
      <c r="K406" s="5">
        <v>0</v>
      </c>
      <c r="L406" s="7" t="s">
        <v>238</v>
      </c>
      <c r="M406" s="7" t="s">
        <v>238</v>
      </c>
      <c r="N406" s="7" t="s">
        <v>238</v>
      </c>
      <c r="O406" s="5">
        <v>0</v>
      </c>
      <c r="P406" s="5">
        <v>1</v>
      </c>
      <c r="Q406" s="5">
        <v>1</v>
      </c>
      <c r="R406" s="5">
        <v>1</v>
      </c>
      <c r="S406" s="5">
        <v>1</v>
      </c>
      <c r="T406" s="5">
        <v>0</v>
      </c>
      <c r="U406" s="5">
        <v>0</v>
      </c>
      <c r="V406" s="13"/>
      <c r="W406" s="13">
        <v>0</v>
      </c>
      <c r="X406" s="3"/>
      <c r="Y406" s="5"/>
      <c r="Z406" s="5"/>
      <c r="AA406" s="5">
        <v>0</v>
      </c>
      <c r="AB406" s="5"/>
      <c r="AC406" s="5">
        <v>0</v>
      </c>
      <c r="AD406" s="5">
        <v>0</v>
      </c>
      <c r="AE406" s="5">
        <v>1</v>
      </c>
      <c r="AF406" s="5">
        <v>0</v>
      </c>
    </row>
    <row r="407" spans="1:32" x14ac:dyDescent="0.2">
      <c r="A407" s="3" t="str">
        <f>+VLOOKUP(B407,studies!$A$2:$C$102,3)</f>
        <v>Ceronsky et al. (2011)</v>
      </c>
      <c r="B407" s="87">
        <v>65</v>
      </c>
      <c r="C407" s="5">
        <v>2011</v>
      </c>
      <c r="D407" s="5">
        <v>0</v>
      </c>
      <c r="E407" s="5">
        <v>2010</v>
      </c>
      <c r="F407" s="5">
        <v>2010</v>
      </c>
      <c r="G407" s="113">
        <v>1.3528138528138528E-2</v>
      </c>
      <c r="H407" s="7">
        <v>673.69533806136599</v>
      </c>
      <c r="I407" s="5">
        <v>1</v>
      </c>
      <c r="J407" s="5">
        <v>0</v>
      </c>
      <c r="K407" s="5">
        <v>0</v>
      </c>
      <c r="L407" s="7" t="s">
        <v>238</v>
      </c>
      <c r="M407" s="7" t="s">
        <v>238</v>
      </c>
      <c r="N407" s="7" t="s">
        <v>238</v>
      </c>
      <c r="O407" s="5">
        <v>0</v>
      </c>
      <c r="P407" s="5">
        <v>1</v>
      </c>
      <c r="Q407" s="5">
        <v>1</v>
      </c>
      <c r="R407" s="5">
        <v>1</v>
      </c>
      <c r="S407" s="5">
        <v>1</v>
      </c>
      <c r="T407" s="5">
        <v>0</v>
      </c>
      <c r="U407" s="5">
        <v>0</v>
      </c>
      <c r="V407" s="13"/>
      <c r="W407" s="13">
        <v>0</v>
      </c>
      <c r="X407" s="3"/>
      <c r="Y407" s="5"/>
      <c r="Z407" s="5"/>
      <c r="AA407" s="5">
        <v>0</v>
      </c>
      <c r="AB407" s="5"/>
      <c r="AC407" s="5">
        <v>0</v>
      </c>
      <c r="AD407" s="5">
        <v>0</v>
      </c>
      <c r="AE407" s="5">
        <v>1</v>
      </c>
      <c r="AF407" s="5">
        <v>0</v>
      </c>
    </row>
    <row r="408" spans="1:32" x14ac:dyDescent="0.2">
      <c r="A408" s="3" t="str">
        <f>+VLOOKUP(B408,studies!$A$2:$C$102,3)</f>
        <v>Ceronsky et al. (2011)</v>
      </c>
      <c r="B408" s="87">
        <v>65</v>
      </c>
      <c r="C408" s="5">
        <v>2011</v>
      </c>
      <c r="D408" s="5">
        <v>0</v>
      </c>
      <c r="E408" s="5">
        <v>2010</v>
      </c>
      <c r="F408" s="5">
        <v>2010</v>
      </c>
      <c r="G408" s="113">
        <v>1.3528138528138528E-3</v>
      </c>
      <c r="H408" s="7">
        <v>828.71519958759723</v>
      </c>
      <c r="I408" s="5">
        <v>1</v>
      </c>
      <c r="J408" s="5">
        <v>0</v>
      </c>
      <c r="K408" s="5">
        <v>0</v>
      </c>
      <c r="L408" s="7" t="s">
        <v>238</v>
      </c>
      <c r="M408" s="7" t="s">
        <v>238</v>
      </c>
      <c r="N408" s="7" t="s">
        <v>238</v>
      </c>
      <c r="O408" s="5">
        <v>0</v>
      </c>
      <c r="P408" s="5">
        <v>1</v>
      </c>
      <c r="Q408" s="5">
        <v>1</v>
      </c>
      <c r="R408" s="5">
        <v>1</v>
      </c>
      <c r="S408" s="5">
        <v>1</v>
      </c>
      <c r="T408" s="5">
        <v>0</v>
      </c>
      <c r="U408" s="5">
        <v>0</v>
      </c>
      <c r="V408" s="13"/>
      <c r="W408" s="13">
        <v>0</v>
      </c>
      <c r="X408" s="3"/>
      <c r="Y408" s="5"/>
      <c r="Z408" s="5"/>
      <c r="AA408" s="5">
        <v>0</v>
      </c>
      <c r="AB408" s="5"/>
      <c r="AC408" s="5">
        <v>0</v>
      </c>
      <c r="AD408" s="5">
        <v>0</v>
      </c>
      <c r="AE408" s="5">
        <v>1</v>
      </c>
      <c r="AF408" s="5">
        <v>0</v>
      </c>
    </row>
    <row r="409" spans="1:32" x14ac:dyDescent="0.2">
      <c r="A409" s="3" t="str">
        <f>+VLOOKUP(B409,studies!$A$2:$C$102,3)</f>
        <v>Ceronsky et al. (2011)</v>
      </c>
      <c r="B409" s="87">
        <v>65</v>
      </c>
      <c r="C409" s="5">
        <v>2011</v>
      </c>
      <c r="D409" s="5">
        <v>0</v>
      </c>
      <c r="E409" s="5">
        <v>2010</v>
      </c>
      <c r="F409" s="5">
        <v>2010</v>
      </c>
      <c r="G409" s="113">
        <v>1.3528138528138528E-4</v>
      </c>
      <c r="H409" s="7">
        <v>1190.0396888592641</v>
      </c>
      <c r="I409" s="5">
        <v>1</v>
      </c>
      <c r="J409" s="5">
        <v>0</v>
      </c>
      <c r="K409" s="5">
        <v>0</v>
      </c>
      <c r="L409" s="7" t="s">
        <v>238</v>
      </c>
      <c r="M409" s="7" t="s">
        <v>238</v>
      </c>
      <c r="N409" s="7" t="s">
        <v>238</v>
      </c>
      <c r="O409" s="5">
        <v>0</v>
      </c>
      <c r="P409" s="5">
        <v>1</v>
      </c>
      <c r="Q409" s="5">
        <v>1</v>
      </c>
      <c r="R409" s="5">
        <v>1</v>
      </c>
      <c r="S409" s="5">
        <v>1</v>
      </c>
      <c r="T409" s="5">
        <v>0</v>
      </c>
      <c r="U409" s="5">
        <v>0</v>
      </c>
      <c r="V409" s="13"/>
      <c r="W409" s="13">
        <v>0</v>
      </c>
      <c r="X409" s="3"/>
      <c r="Y409" s="5"/>
      <c r="Z409" s="5"/>
      <c r="AA409" s="5">
        <v>0</v>
      </c>
      <c r="AB409" s="5"/>
      <c r="AC409" s="5">
        <v>0</v>
      </c>
      <c r="AD409" s="5">
        <v>0</v>
      </c>
      <c r="AE409" s="5">
        <v>1</v>
      </c>
      <c r="AF409" s="5">
        <v>0</v>
      </c>
    </row>
    <row r="410" spans="1:32" x14ac:dyDescent="0.2">
      <c r="A410" s="3" t="str">
        <f>+VLOOKUP(B410,studies!$A$2:$C$102,3)</f>
        <v>Ceronsky et al. (2011)</v>
      </c>
      <c r="B410" s="87">
        <v>65</v>
      </c>
      <c r="C410" s="5">
        <v>2011</v>
      </c>
      <c r="D410" s="5">
        <v>0</v>
      </c>
      <c r="E410" s="5">
        <v>2010</v>
      </c>
      <c r="F410" s="5">
        <v>2010</v>
      </c>
      <c r="G410" s="113">
        <v>1.3528138528138528E-2</v>
      </c>
      <c r="H410" s="7">
        <v>968.58274382179081</v>
      </c>
      <c r="I410" s="5">
        <v>1</v>
      </c>
      <c r="J410" s="5">
        <v>0</v>
      </c>
      <c r="K410" s="5">
        <v>0</v>
      </c>
      <c r="L410" s="7" t="s">
        <v>238</v>
      </c>
      <c r="M410" s="7" t="s">
        <v>238</v>
      </c>
      <c r="N410" s="7" t="s">
        <v>238</v>
      </c>
      <c r="O410" s="5">
        <v>0</v>
      </c>
      <c r="P410" s="5">
        <v>1</v>
      </c>
      <c r="Q410" s="5">
        <v>1</v>
      </c>
      <c r="R410" s="5">
        <v>1</v>
      </c>
      <c r="S410" s="5">
        <v>1</v>
      </c>
      <c r="T410" s="5">
        <v>0</v>
      </c>
      <c r="U410" s="5">
        <v>0</v>
      </c>
      <c r="V410" s="13"/>
      <c r="W410" s="13">
        <v>0</v>
      </c>
      <c r="X410" s="3"/>
      <c r="Y410" s="5"/>
      <c r="Z410" s="5"/>
      <c r="AA410" s="5">
        <v>0</v>
      </c>
      <c r="AB410" s="5"/>
      <c r="AC410" s="5">
        <v>0</v>
      </c>
      <c r="AD410" s="5">
        <v>0</v>
      </c>
      <c r="AE410" s="5">
        <v>1</v>
      </c>
      <c r="AF410" s="5">
        <v>0</v>
      </c>
    </row>
    <row r="411" spans="1:32" x14ac:dyDescent="0.2">
      <c r="A411" s="3" t="str">
        <f>+VLOOKUP(B411,studies!$A$2:$C$102,3)</f>
        <v>Ceronsky et al. (2011)</v>
      </c>
      <c r="B411" s="87">
        <v>65</v>
      </c>
      <c r="C411" s="5">
        <v>2011</v>
      </c>
      <c r="D411" s="5">
        <v>0</v>
      </c>
      <c r="E411" s="5">
        <v>2010</v>
      </c>
      <c r="F411" s="5">
        <v>2010</v>
      </c>
      <c r="G411" s="113">
        <v>1.3528138528138528E-3</v>
      </c>
      <c r="H411" s="7">
        <v>1874.2250927381945</v>
      </c>
      <c r="I411" s="5">
        <v>1</v>
      </c>
      <c r="J411" s="5">
        <v>0</v>
      </c>
      <c r="K411" s="5">
        <v>0</v>
      </c>
      <c r="L411" s="7" t="s">
        <v>238</v>
      </c>
      <c r="M411" s="7" t="s">
        <v>238</v>
      </c>
      <c r="N411" s="7" t="s">
        <v>238</v>
      </c>
      <c r="O411" s="5">
        <v>0</v>
      </c>
      <c r="P411" s="5">
        <v>1</v>
      </c>
      <c r="Q411" s="5">
        <v>1</v>
      </c>
      <c r="R411" s="5">
        <v>1</v>
      </c>
      <c r="S411" s="5">
        <v>1</v>
      </c>
      <c r="T411" s="5">
        <v>0</v>
      </c>
      <c r="U411" s="5">
        <v>0</v>
      </c>
      <c r="V411" s="13"/>
      <c r="W411" s="13">
        <v>0</v>
      </c>
      <c r="X411" s="3"/>
      <c r="Y411" s="5"/>
      <c r="Z411" s="5"/>
      <c r="AA411" s="5">
        <v>0</v>
      </c>
      <c r="AB411" s="5"/>
      <c r="AC411" s="5">
        <v>0</v>
      </c>
      <c r="AD411" s="5">
        <v>0</v>
      </c>
      <c r="AE411" s="5">
        <v>1</v>
      </c>
      <c r="AF411" s="5">
        <v>0</v>
      </c>
    </row>
    <row r="412" spans="1:32" x14ac:dyDescent="0.2">
      <c r="A412" s="3" t="str">
        <f>+VLOOKUP(B412,studies!$A$2:$C$102,3)</f>
        <v>Ceronsky et al. (2011)</v>
      </c>
      <c r="B412" s="87">
        <v>65</v>
      </c>
      <c r="C412" s="5">
        <v>2011</v>
      </c>
      <c r="D412" s="5">
        <v>0</v>
      </c>
      <c r="E412" s="5">
        <v>2010</v>
      </c>
      <c r="F412" s="5">
        <v>2010</v>
      </c>
      <c r="G412" s="113">
        <v>1.3528138528138528E-4</v>
      </c>
      <c r="H412" s="7">
        <v>2190.0926301337486</v>
      </c>
      <c r="I412" s="5">
        <v>1</v>
      </c>
      <c r="J412" s="5">
        <v>0</v>
      </c>
      <c r="K412" s="5">
        <v>0</v>
      </c>
      <c r="L412" s="7" t="s">
        <v>238</v>
      </c>
      <c r="M412" s="7" t="s">
        <v>238</v>
      </c>
      <c r="N412" s="7" t="s">
        <v>238</v>
      </c>
      <c r="O412" s="5">
        <v>0</v>
      </c>
      <c r="P412" s="5">
        <v>1</v>
      </c>
      <c r="Q412" s="5">
        <v>1</v>
      </c>
      <c r="R412" s="5">
        <v>1</v>
      </c>
      <c r="S412" s="5">
        <v>1</v>
      </c>
      <c r="T412" s="5">
        <v>0</v>
      </c>
      <c r="U412" s="5">
        <v>0</v>
      </c>
      <c r="V412" s="13"/>
      <c r="W412" s="13">
        <v>0</v>
      </c>
      <c r="X412" s="3"/>
      <c r="Y412" s="5"/>
      <c r="Z412" s="5"/>
      <c r="AA412" s="5">
        <v>0</v>
      </c>
      <c r="AB412" s="5"/>
      <c r="AC412" s="5">
        <v>0</v>
      </c>
      <c r="AD412" s="5">
        <v>0</v>
      </c>
      <c r="AE412" s="5">
        <v>1</v>
      </c>
      <c r="AF412" s="5">
        <v>0</v>
      </c>
    </row>
    <row r="413" spans="1:32" x14ac:dyDescent="0.2">
      <c r="A413" s="3" t="str">
        <f>+VLOOKUP(B413,studies!$A$2:$C$102,3)</f>
        <v>Ceronsky et al. (2011)</v>
      </c>
      <c r="B413" s="87">
        <v>65</v>
      </c>
      <c r="C413" s="5">
        <v>2011</v>
      </c>
      <c r="D413" s="5">
        <v>0</v>
      </c>
      <c r="E413" s="5">
        <v>2010</v>
      </c>
      <c r="F413" s="5">
        <v>2010</v>
      </c>
      <c r="G413" s="113">
        <v>0.13528138528138528</v>
      </c>
      <c r="H413" s="7">
        <v>418.4370698339626</v>
      </c>
      <c r="I413" s="5">
        <v>0</v>
      </c>
      <c r="J413" s="5">
        <v>1</v>
      </c>
      <c r="K413" s="5">
        <v>0</v>
      </c>
      <c r="L413" s="7" t="s">
        <v>238</v>
      </c>
      <c r="M413" s="7" t="s">
        <v>238</v>
      </c>
      <c r="N413" s="7" t="s">
        <v>238</v>
      </c>
      <c r="O413" s="5">
        <v>0</v>
      </c>
      <c r="P413" s="5">
        <v>1</v>
      </c>
      <c r="Q413" s="5">
        <v>1</v>
      </c>
      <c r="R413" s="5">
        <v>1</v>
      </c>
      <c r="S413" s="5">
        <v>1</v>
      </c>
      <c r="T413" s="5">
        <v>0</v>
      </c>
      <c r="U413" s="5">
        <v>0</v>
      </c>
      <c r="V413" s="13"/>
      <c r="W413" s="13">
        <v>0</v>
      </c>
      <c r="X413" s="3"/>
      <c r="Y413" s="5"/>
      <c r="Z413" s="5"/>
      <c r="AA413" s="5">
        <v>0</v>
      </c>
      <c r="AB413" s="5"/>
      <c r="AC413" s="5">
        <v>0</v>
      </c>
      <c r="AD413" s="5">
        <v>0</v>
      </c>
      <c r="AE413" s="5">
        <v>1</v>
      </c>
      <c r="AF413" s="5">
        <v>0</v>
      </c>
    </row>
    <row r="414" spans="1:32" x14ac:dyDescent="0.2">
      <c r="A414" s="3" t="str">
        <f>+VLOOKUP(B414,studies!$A$2:$C$102,3)</f>
        <v>Ceronsky et al. (2011)</v>
      </c>
      <c r="B414" s="87">
        <v>65</v>
      </c>
      <c r="C414" s="5">
        <v>2011</v>
      </c>
      <c r="D414" s="5">
        <v>0</v>
      </c>
      <c r="E414" s="5">
        <v>2010</v>
      </c>
      <c r="F414" s="5">
        <v>2010</v>
      </c>
      <c r="G414" s="113">
        <v>1.3528138528138528E-3</v>
      </c>
      <c r="H414" s="7">
        <v>397.45693819883354</v>
      </c>
      <c r="I414" s="5">
        <v>0</v>
      </c>
      <c r="J414" s="5">
        <v>1</v>
      </c>
      <c r="K414" s="5">
        <v>0</v>
      </c>
      <c r="L414" s="7" t="s">
        <v>238</v>
      </c>
      <c r="M414" s="7" t="s">
        <v>238</v>
      </c>
      <c r="N414" s="7" t="s">
        <v>238</v>
      </c>
      <c r="O414" s="5">
        <v>0</v>
      </c>
      <c r="P414" s="5">
        <v>1</v>
      </c>
      <c r="Q414" s="5">
        <v>1</v>
      </c>
      <c r="R414" s="5">
        <v>1</v>
      </c>
      <c r="S414" s="5">
        <v>1</v>
      </c>
      <c r="T414" s="5">
        <v>0</v>
      </c>
      <c r="U414" s="5">
        <v>0</v>
      </c>
      <c r="V414" s="13"/>
      <c r="W414" s="13">
        <v>0</v>
      </c>
      <c r="X414" s="3"/>
      <c r="Y414" s="5"/>
      <c r="Z414" s="5"/>
      <c r="AA414" s="5">
        <v>0</v>
      </c>
      <c r="AB414" s="5"/>
      <c r="AC414" s="5">
        <v>0</v>
      </c>
      <c r="AD414" s="5">
        <v>0</v>
      </c>
      <c r="AE414" s="5">
        <v>1</v>
      </c>
      <c r="AF414" s="5">
        <v>0</v>
      </c>
    </row>
    <row r="415" spans="1:32" x14ac:dyDescent="0.2">
      <c r="A415" s="3" t="str">
        <f>+VLOOKUP(B415,studies!$A$2:$C$102,3)</f>
        <v>Ceronsky et al. (2011)</v>
      </c>
      <c r="B415" s="87">
        <v>65</v>
      </c>
      <c r="C415" s="5">
        <v>2011</v>
      </c>
      <c r="D415" s="5">
        <v>0</v>
      </c>
      <c r="E415" s="5">
        <v>2010</v>
      </c>
      <c r="F415" s="5">
        <v>2010</v>
      </c>
      <c r="G415" s="113">
        <v>1.3528138528138528E-2</v>
      </c>
      <c r="H415" s="7">
        <v>427.76157278290884</v>
      </c>
      <c r="I415" s="5">
        <v>0</v>
      </c>
      <c r="J415" s="5">
        <v>1</v>
      </c>
      <c r="K415" s="5">
        <v>0</v>
      </c>
      <c r="L415" s="7" t="s">
        <v>238</v>
      </c>
      <c r="M415" s="7" t="s">
        <v>238</v>
      </c>
      <c r="N415" s="7" t="s">
        <v>238</v>
      </c>
      <c r="O415" s="5">
        <v>0</v>
      </c>
      <c r="P415" s="5">
        <v>1</v>
      </c>
      <c r="Q415" s="5">
        <v>1</v>
      </c>
      <c r="R415" s="5">
        <v>1</v>
      </c>
      <c r="S415" s="5">
        <v>1</v>
      </c>
      <c r="T415" s="5">
        <v>0</v>
      </c>
      <c r="U415" s="5">
        <v>0</v>
      </c>
      <c r="V415" s="13"/>
      <c r="W415" s="13">
        <v>0</v>
      </c>
      <c r="X415" s="3"/>
      <c r="Y415" s="5"/>
      <c r="Z415" s="5"/>
      <c r="AA415" s="5">
        <v>0</v>
      </c>
      <c r="AB415" s="5"/>
      <c r="AC415" s="5">
        <v>0</v>
      </c>
      <c r="AD415" s="5">
        <v>0</v>
      </c>
      <c r="AE415" s="5">
        <v>1</v>
      </c>
      <c r="AF415" s="5">
        <v>0</v>
      </c>
    </row>
    <row r="416" spans="1:32" x14ac:dyDescent="0.2">
      <c r="A416" s="3" t="str">
        <f>+VLOOKUP(B416,studies!$A$2:$C$102,3)</f>
        <v>Ceronsky et al. (2011)</v>
      </c>
      <c r="B416" s="87">
        <v>65</v>
      </c>
      <c r="C416" s="5">
        <v>2011</v>
      </c>
      <c r="D416" s="5">
        <v>0</v>
      </c>
      <c r="E416" s="5">
        <v>2010</v>
      </c>
      <c r="F416" s="5">
        <v>2010</v>
      </c>
      <c r="G416" s="113">
        <v>1.3528138528138528E-3</v>
      </c>
      <c r="H416" s="7">
        <v>493.03309342553251</v>
      </c>
      <c r="I416" s="5">
        <v>0</v>
      </c>
      <c r="J416" s="5">
        <v>1</v>
      </c>
      <c r="K416" s="5">
        <v>0</v>
      </c>
      <c r="L416" s="7" t="s">
        <v>238</v>
      </c>
      <c r="M416" s="7" t="s">
        <v>238</v>
      </c>
      <c r="N416" s="7" t="s">
        <v>238</v>
      </c>
      <c r="O416" s="5">
        <v>0</v>
      </c>
      <c r="P416" s="5">
        <v>1</v>
      </c>
      <c r="Q416" s="5">
        <v>1</v>
      </c>
      <c r="R416" s="5">
        <v>1</v>
      </c>
      <c r="S416" s="5">
        <v>1</v>
      </c>
      <c r="T416" s="5">
        <v>0</v>
      </c>
      <c r="U416" s="5">
        <v>0</v>
      </c>
      <c r="V416" s="13"/>
      <c r="W416" s="13">
        <v>0</v>
      </c>
      <c r="X416" s="3"/>
      <c r="Y416" s="5"/>
      <c r="Z416" s="5"/>
      <c r="AA416" s="5">
        <v>0</v>
      </c>
      <c r="AB416" s="5"/>
      <c r="AC416" s="5">
        <v>0</v>
      </c>
      <c r="AD416" s="5">
        <v>0</v>
      </c>
      <c r="AE416" s="5">
        <v>1</v>
      </c>
      <c r="AF416" s="5">
        <v>0</v>
      </c>
    </row>
    <row r="417" spans="1:32" x14ac:dyDescent="0.2">
      <c r="A417" s="3" t="str">
        <f>+VLOOKUP(B417,studies!$A$2:$C$102,3)</f>
        <v>Ceronsky et al. (2011)</v>
      </c>
      <c r="B417" s="87">
        <v>65</v>
      </c>
      <c r="C417" s="5">
        <v>2011</v>
      </c>
      <c r="D417" s="5">
        <v>0</v>
      </c>
      <c r="E417" s="5">
        <v>2010</v>
      </c>
      <c r="F417" s="5">
        <v>2010</v>
      </c>
      <c r="G417" s="113">
        <v>1.3528138528138528E-4</v>
      </c>
      <c r="H417" s="7">
        <v>679.52315240445739</v>
      </c>
      <c r="I417" s="5">
        <v>0</v>
      </c>
      <c r="J417" s="5">
        <v>1</v>
      </c>
      <c r="K417" s="5">
        <v>0</v>
      </c>
      <c r="L417" s="7" t="s">
        <v>238</v>
      </c>
      <c r="M417" s="7" t="s">
        <v>238</v>
      </c>
      <c r="N417" s="7" t="s">
        <v>238</v>
      </c>
      <c r="O417" s="5">
        <v>0</v>
      </c>
      <c r="P417" s="5">
        <v>1</v>
      </c>
      <c r="Q417" s="5">
        <v>1</v>
      </c>
      <c r="R417" s="5">
        <v>1</v>
      </c>
      <c r="S417" s="5">
        <v>1</v>
      </c>
      <c r="T417" s="5">
        <v>0</v>
      </c>
      <c r="U417" s="5">
        <v>0</v>
      </c>
      <c r="V417" s="13"/>
      <c r="W417" s="13">
        <v>0</v>
      </c>
      <c r="X417" s="3"/>
      <c r="Y417" s="5"/>
      <c r="Z417" s="5"/>
      <c r="AA417" s="5">
        <v>0</v>
      </c>
      <c r="AB417" s="5"/>
      <c r="AC417" s="5">
        <v>0</v>
      </c>
      <c r="AD417" s="5">
        <v>0</v>
      </c>
      <c r="AE417" s="5">
        <v>1</v>
      </c>
      <c r="AF417" s="5">
        <v>0</v>
      </c>
    </row>
    <row r="418" spans="1:32" x14ac:dyDescent="0.2">
      <c r="A418" s="3" t="str">
        <f>+VLOOKUP(B418,studies!$A$2:$C$102,3)</f>
        <v>Ceronsky et al. (2011)</v>
      </c>
      <c r="B418" s="87">
        <v>65</v>
      </c>
      <c r="C418" s="5">
        <v>2011</v>
      </c>
      <c r="D418" s="5">
        <v>0</v>
      </c>
      <c r="E418" s="5">
        <v>2010</v>
      </c>
      <c r="F418" s="5">
        <v>2010</v>
      </c>
      <c r="G418" s="113">
        <v>1.3528138528138528E-2</v>
      </c>
      <c r="H418" s="7">
        <v>841.53639114239832</v>
      </c>
      <c r="I418" s="5">
        <v>0</v>
      </c>
      <c r="J418" s="5">
        <v>1</v>
      </c>
      <c r="K418" s="5">
        <v>0</v>
      </c>
      <c r="L418" s="7" t="s">
        <v>238</v>
      </c>
      <c r="M418" s="7" t="s">
        <v>238</v>
      </c>
      <c r="N418" s="7" t="s">
        <v>238</v>
      </c>
      <c r="O418" s="5">
        <v>0</v>
      </c>
      <c r="P418" s="5">
        <v>1</v>
      </c>
      <c r="Q418" s="5">
        <v>1</v>
      </c>
      <c r="R418" s="5">
        <v>1</v>
      </c>
      <c r="S418" s="5">
        <v>1</v>
      </c>
      <c r="T418" s="5">
        <v>0</v>
      </c>
      <c r="U418" s="5">
        <v>0</v>
      </c>
      <c r="V418" s="13"/>
      <c r="W418" s="13">
        <v>0</v>
      </c>
      <c r="X418" s="3"/>
      <c r="Y418" s="5"/>
      <c r="Z418" s="5"/>
      <c r="AA418" s="5">
        <v>0</v>
      </c>
      <c r="AB418" s="5"/>
      <c r="AC418" s="5">
        <v>0</v>
      </c>
      <c r="AD418" s="5">
        <v>0</v>
      </c>
      <c r="AE418" s="5">
        <v>1</v>
      </c>
      <c r="AF418" s="5">
        <v>0</v>
      </c>
    </row>
    <row r="419" spans="1:32" x14ac:dyDescent="0.2">
      <c r="A419" s="3" t="str">
        <f>+VLOOKUP(B419,studies!$A$2:$C$102,3)</f>
        <v>Ceronsky et al. (2011)</v>
      </c>
      <c r="B419" s="87">
        <v>65</v>
      </c>
      <c r="C419" s="5">
        <v>2011</v>
      </c>
      <c r="D419" s="5">
        <v>0</v>
      </c>
      <c r="E419" s="5">
        <v>2010</v>
      </c>
      <c r="F419" s="5">
        <v>2010</v>
      </c>
      <c r="G419" s="113">
        <v>1.3528138528138528E-3</v>
      </c>
      <c r="H419" s="7">
        <v>1662.0926506496676</v>
      </c>
      <c r="I419" s="5">
        <v>0</v>
      </c>
      <c r="J419" s="5">
        <v>1</v>
      </c>
      <c r="K419" s="5">
        <v>0</v>
      </c>
      <c r="L419" s="7" t="s">
        <v>238</v>
      </c>
      <c r="M419" s="7" t="s">
        <v>238</v>
      </c>
      <c r="N419" s="7" t="s">
        <v>238</v>
      </c>
      <c r="O419" s="5">
        <v>0</v>
      </c>
      <c r="P419" s="5">
        <v>1</v>
      </c>
      <c r="Q419" s="5">
        <v>1</v>
      </c>
      <c r="R419" s="5">
        <v>1</v>
      </c>
      <c r="S419" s="5">
        <v>1</v>
      </c>
      <c r="T419" s="5">
        <v>0</v>
      </c>
      <c r="U419" s="5">
        <v>0</v>
      </c>
      <c r="V419" s="13"/>
      <c r="W419" s="13">
        <v>0</v>
      </c>
      <c r="X419" s="3"/>
      <c r="Y419" s="5"/>
      <c r="Z419" s="5"/>
      <c r="AA419" s="5">
        <v>0</v>
      </c>
      <c r="AB419" s="5"/>
      <c r="AC419" s="5">
        <v>0</v>
      </c>
      <c r="AD419" s="5">
        <v>0</v>
      </c>
      <c r="AE419" s="5">
        <v>1</v>
      </c>
      <c r="AF419" s="5">
        <v>0</v>
      </c>
    </row>
    <row r="420" spans="1:32" x14ac:dyDescent="0.2">
      <c r="A420" s="3" t="str">
        <f>+VLOOKUP(B420,studies!$A$2:$C$102,3)</f>
        <v>Ceronsky et al. (2011)</v>
      </c>
      <c r="B420" s="87">
        <v>65</v>
      </c>
      <c r="C420" s="5">
        <v>2011</v>
      </c>
      <c r="D420" s="5">
        <v>0</v>
      </c>
      <c r="E420" s="5">
        <v>2010</v>
      </c>
      <c r="F420" s="5">
        <v>2010</v>
      </c>
      <c r="G420" s="113">
        <v>1.3528138528138528E-4</v>
      </c>
      <c r="H420" s="7">
        <v>1946.4899905925279</v>
      </c>
      <c r="I420" s="5">
        <v>0</v>
      </c>
      <c r="J420" s="5">
        <v>1</v>
      </c>
      <c r="K420" s="5">
        <v>0</v>
      </c>
      <c r="L420" s="7" t="s">
        <v>238</v>
      </c>
      <c r="M420" s="7" t="s">
        <v>238</v>
      </c>
      <c r="N420" s="7" t="s">
        <v>238</v>
      </c>
      <c r="O420" s="5">
        <v>0</v>
      </c>
      <c r="P420" s="5">
        <v>1</v>
      </c>
      <c r="Q420" s="5">
        <v>1</v>
      </c>
      <c r="R420" s="5">
        <v>1</v>
      </c>
      <c r="S420" s="5">
        <v>1</v>
      </c>
      <c r="T420" s="5">
        <v>0</v>
      </c>
      <c r="U420" s="5">
        <v>0</v>
      </c>
      <c r="V420" s="13"/>
      <c r="W420" s="13">
        <v>0</v>
      </c>
      <c r="X420" s="3"/>
      <c r="Y420" s="5"/>
      <c r="Z420" s="5"/>
      <c r="AA420" s="5">
        <v>0</v>
      </c>
      <c r="AB420" s="5"/>
      <c r="AC420" s="5">
        <v>0</v>
      </c>
      <c r="AD420" s="5">
        <v>0</v>
      </c>
      <c r="AE420" s="5">
        <v>1</v>
      </c>
      <c r="AF420" s="5">
        <v>0</v>
      </c>
    </row>
    <row r="421" spans="1:32" x14ac:dyDescent="0.2">
      <c r="A421" s="3" t="str">
        <f>+VLOOKUP(B421,studies!$A$2:$C$102,3)</f>
        <v>Ceronsky et al. (2011)</v>
      </c>
      <c r="B421" s="87">
        <v>65</v>
      </c>
      <c r="C421" s="5">
        <v>2011</v>
      </c>
      <c r="D421" s="5">
        <v>0</v>
      </c>
      <c r="E421" s="5">
        <v>2010</v>
      </c>
      <c r="F421" s="5">
        <v>2010</v>
      </c>
      <c r="G421" s="113">
        <v>0.13528138528138528</v>
      </c>
      <c r="H421" s="7">
        <v>125.88078981077426</v>
      </c>
      <c r="I421" s="5">
        <v>1</v>
      </c>
      <c r="J421" s="5">
        <v>0</v>
      </c>
      <c r="K421" s="5">
        <v>0</v>
      </c>
      <c r="L421" s="7" t="s">
        <v>238</v>
      </c>
      <c r="M421" s="7" t="s">
        <v>238</v>
      </c>
      <c r="N421" s="7" t="s">
        <v>238</v>
      </c>
      <c r="O421" s="5">
        <v>0</v>
      </c>
      <c r="P421" s="5">
        <v>1</v>
      </c>
      <c r="Q421" s="5">
        <v>1</v>
      </c>
      <c r="R421" s="5">
        <v>1</v>
      </c>
      <c r="S421" s="5">
        <v>1</v>
      </c>
      <c r="T421" s="5">
        <v>0</v>
      </c>
      <c r="U421" s="5">
        <v>0</v>
      </c>
      <c r="V421" s="13"/>
      <c r="W421" s="13">
        <v>1</v>
      </c>
      <c r="X421" s="3"/>
      <c r="Y421" s="5"/>
      <c r="Z421" s="5"/>
      <c r="AA421" s="5">
        <v>0</v>
      </c>
      <c r="AB421" s="5"/>
      <c r="AC421" s="5">
        <v>0</v>
      </c>
      <c r="AD421" s="5">
        <v>0</v>
      </c>
      <c r="AE421" s="5">
        <v>1</v>
      </c>
      <c r="AF421" s="5">
        <v>0</v>
      </c>
    </row>
    <row r="422" spans="1:32" x14ac:dyDescent="0.2">
      <c r="A422" s="3" t="str">
        <f>+VLOOKUP(B422,studies!$A$2:$C$102,3)</f>
        <v>Ceronsky et al. (2011)</v>
      </c>
      <c r="B422" s="87">
        <v>65</v>
      </c>
      <c r="C422" s="5">
        <v>2011</v>
      </c>
      <c r="D422" s="5">
        <v>0</v>
      </c>
      <c r="E422" s="5">
        <v>2010</v>
      </c>
      <c r="F422" s="5">
        <v>2010</v>
      </c>
      <c r="G422" s="113">
        <v>1.3528138528138528E-3</v>
      </c>
      <c r="H422" s="7">
        <v>122.38410120491942</v>
      </c>
      <c r="I422" s="5">
        <v>1</v>
      </c>
      <c r="J422" s="5">
        <v>0</v>
      </c>
      <c r="K422" s="5">
        <v>0</v>
      </c>
      <c r="L422" s="7" t="s">
        <v>238</v>
      </c>
      <c r="M422" s="7" t="s">
        <v>238</v>
      </c>
      <c r="N422" s="7" t="s">
        <v>238</v>
      </c>
      <c r="O422" s="5">
        <v>0</v>
      </c>
      <c r="P422" s="5">
        <v>1</v>
      </c>
      <c r="Q422" s="5">
        <v>1</v>
      </c>
      <c r="R422" s="5">
        <v>1</v>
      </c>
      <c r="S422" s="5">
        <v>1</v>
      </c>
      <c r="T422" s="5">
        <v>0</v>
      </c>
      <c r="U422" s="5">
        <v>0</v>
      </c>
      <c r="V422" s="13"/>
      <c r="W422" s="13">
        <v>1</v>
      </c>
      <c r="X422" s="3"/>
      <c r="Y422" s="5"/>
      <c r="Z422" s="5"/>
      <c r="AA422" s="5">
        <v>0</v>
      </c>
      <c r="AB422" s="5"/>
      <c r="AC422" s="5">
        <v>0</v>
      </c>
      <c r="AD422" s="5">
        <v>0</v>
      </c>
      <c r="AE422" s="5">
        <v>1</v>
      </c>
      <c r="AF422" s="5">
        <v>0</v>
      </c>
    </row>
    <row r="423" spans="1:32" x14ac:dyDescent="0.2">
      <c r="A423" s="3" t="str">
        <f>+VLOOKUP(B423,studies!$A$2:$C$102,3)</f>
        <v>Ceronsky et al. (2011)</v>
      </c>
      <c r="B423" s="87">
        <v>65</v>
      </c>
      <c r="C423" s="5">
        <v>2011</v>
      </c>
      <c r="D423" s="5">
        <v>0</v>
      </c>
      <c r="E423" s="5">
        <v>2010</v>
      </c>
      <c r="F423" s="5">
        <v>2010</v>
      </c>
      <c r="G423" s="113">
        <v>1.3528138528138528E-2</v>
      </c>
      <c r="H423" s="7">
        <v>130.54304128524737</v>
      </c>
      <c r="I423" s="5">
        <v>1</v>
      </c>
      <c r="J423" s="5">
        <v>0</v>
      </c>
      <c r="K423" s="5">
        <v>0</v>
      </c>
      <c r="L423" s="7" t="s">
        <v>238</v>
      </c>
      <c r="M423" s="7" t="s">
        <v>238</v>
      </c>
      <c r="N423" s="7" t="s">
        <v>238</v>
      </c>
      <c r="O423" s="5">
        <v>0</v>
      </c>
      <c r="P423" s="5">
        <v>1</v>
      </c>
      <c r="Q423" s="5">
        <v>1</v>
      </c>
      <c r="R423" s="5">
        <v>1</v>
      </c>
      <c r="S423" s="5">
        <v>1</v>
      </c>
      <c r="T423" s="5">
        <v>0</v>
      </c>
      <c r="U423" s="5">
        <v>0</v>
      </c>
      <c r="V423" s="13"/>
      <c r="W423" s="13">
        <v>1</v>
      </c>
      <c r="X423" s="3"/>
      <c r="Y423" s="5"/>
      <c r="Z423" s="5"/>
      <c r="AA423" s="5">
        <v>0</v>
      </c>
      <c r="AB423" s="5"/>
      <c r="AC423" s="5">
        <v>0</v>
      </c>
      <c r="AD423" s="5">
        <v>0</v>
      </c>
      <c r="AE423" s="5">
        <v>1</v>
      </c>
      <c r="AF423" s="5">
        <v>0</v>
      </c>
    </row>
    <row r="424" spans="1:32" x14ac:dyDescent="0.2">
      <c r="A424" s="3" t="str">
        <f>+VLOOKUP(B424,studies!$A$2:$C$102,3)</f>
        <v>Ceronsky et al. (2011)</v>
      </c>
      <c r="B424" s="87">
        <v>65</v>
      </c>
      <c r="C424" s="5">
        <v>2011</v>
      </c>
      <c r="D424" s="5">
        <v>0</v>
      </c>
      <c r="E424" s="5">
        <v>2010</v>
      </c>
      <c r="F424" s="5">
        <v>2010</v>
      </c>
      <c r="G424" s="113">
        <v>1.3528138528138528E-3</v>
      </c>
      <c r="H424" s="7">
        <v>157.35098726346783</v>
      </c>
      <c r="I424" s="5">
        <v>1</v>
      </c>
      <c r="J424" s="5">
        <v>0</v>
      </c>
      <c r="K424" s="5">
        <v>0</v>
      </c>
      <c r="L424" s="7" t="s">
        <v>238</v>
      </c>
      <c r="M424" s="7" t="s">
        <v>238</v>
      </c>
      <c r="N424" s="7" t="s">
        <v>238</v>
      </c>
      <c r="O424" s="5">
        <v>0</v>
      </c>
      <c r="P424" s="5">
        <v>1</v>
      </c>
      <c r="Q424" s="5">
        <v>1</v>
      </c>
      <c r="R424" s="5">
        <v>1</v>
      </c>
      <c r="S424" s="5">
        <v>1</v>
      </c>
      <c r="T424" s="5">
        <v>0</v>
      </c>
      <c r="U424" s="5">
        <v>0</v>
      </c>
      <c r="V424" s="13"/>
      <c r="W424" s="13">
        <v>1</v>
      </c>
      <c r="X424" s="3"/>
      <c r="Y424" s="5"/>
      <c r="Z424" s="5"/>
      <c r="AA424" s="5">
        <v>0</v>
      </c>
      <c r="AB424" s="5"/>
      <c r="AC424" s="5">
        <v>0</v>
      </c>
      <c r="AD424" s="5">
        <v>0</v>
      </c>
      <c r="AE424" s="5">
        <v>1</v>
      </c>
      <c r="AF424" s="5">
        <v>0</v>
      </c>
    </row>
    <row r="425" spans="1:32" x14ac:dyDescent="0.2">
      <c r="A425" s="3" t="str">
        <f>+VLOOKUP(B425,studies!$A$2:$C$102,3)</f>
        <v>Ceronsky et al. (2011)</v>
      </c>
      <c r="B425" s="87">
        <v>65</v>
      </c>
      <c r="C425" s="5">
        <v>2011</v>
      </c>
      <c r="D425" s="5">
        <v>0</v>
      </c>
      <c r="E425" s="5">
        <v>2010</v>
      </c>
      <c r="F425" s="5">
        <v>2010</v>
      </c>
      <c r="G425" s="113">
        <v>1.3528138528138528E-4</v>
      </c>
      <c r="H425" s="7">
        <v>217.9602564316184</v>
      </c>
      <c r="I425" s="5">
        <v>1</v>
      </c>
      <c r="J425" s="5">
        <v>0</v>
      </c>
      <c r="K425" s="5">
        <v>0</v>
      </c>
      <c r="L425" s="7" t="s">
        <v>238</v>
      </c>
      <c r="M425" s="7" t="s">
        <v>238</v>
      </c>
      <c r="N425" s="7" t="s">
        <v>238</v>
      </c>
      <c r="O425" s="5">
        <v>0</v>
      </c>
      <c r="P425" s="5">
        <v>1</v>
      </c>
      <c r="Q425" s="5">
        <v>1</v>
      </c>
      <c r="R425" s="5">
        <v>1</v>
      </c>
      <c r="S425" s="5">
        <v>1</v>
      </c>
      <c r="T425" s="5">
        <v>0</v>
      </c>
      <c r="U425" s="5">
        <v>0</v>
      </c>
      <c r="V425" s="13"/>
      <c r="W425" s="13">
        <v>1</v>
      </c>
      <c r="X425" s="3"/>
      <c r="Y425" s="5"/>
      <c r="Z425" s="5"/>
      <c r="AA425" s="5">
        <v>0</v>
      </c>
      <c r="AB425" s="5"/>
      <c r="AC425" s="5">
        <v>0</v>
      </c>
      <c r="AD425" s="5">
        <v>0</v>
      </c>
      <c r="AE425" s="5">
        <v>1</v>
      </c>
      <c r="AF425" s="5">
        <v>0</v>
      </c>
    </row>
    <row r="426" spans="1:32" x14ac:dyDescent="0.2">
      <c r="A426" s="3" t="str">
        <f>+VLOOKUP(B426,studies!$A$2:$C$102,3)</f>
        <v>Ceronsky et al. (2011)</v>
      </c>
      <c r="B426" s="87">
        <v>65</v>
      </c>
      <c r="C426" s="5">
        <v>2011</v>
      </c>
      <c r="D426" s="5">
        <v>0</v>
      </c>
      <c r="E426" s="5">
        <v>2010</v>
      </c>
      <c r="F426" s="5">
        <v>2010</v>
      </c>
      <c r="G426" s="113">
        <v>1.3528138528138528E-2</v>
      </c>
      <c r="H426" s="7">
        <v>180.66224463583342</v>
      </c>
      <c r="I426" s="5">
        <v>1</v>
      </c>
      <c r="J426" s="5">
        <v>0</v>
      </c>
      <c r="K426" s="5">
        <v>0</v>
      </c>
      <c r="L426" s="7" t="s">
        <v>238</v>
      </c>
      <c r="M426" s="7" t="s">
        <v>238</v>
      </c>
      <c r="N426" s="7" t="s">
        <v>238</v>
      </c>
      <c r="O426" s="5">
        <v>0</v>
      </c>
      <c r="P426" s="5">
        <v>1</v>
      </c>
      <c r="Q426" s="5">
        <v>1</v>
      </c>
      <c r="R426" s="5">
        <v>1</v>
      </c>
      <c r="S426" s="5">
        <v>1</v>
      </c>
      <c r="T426" s="5">
        <v>0</v>
      </c>
      <c r="U426" s="5">
        <v>0</v>
      </c>
      <c r="V426" s="13"/>
      <c r="W426" s="13">
        <v>1</v>
      </c>
      <c r="X426" s="3"/>
      <c r="Y426" s="5"/>
      <c r="Z426" s="5"/>
      <c r="AA426" s="5">
        <v>0</v>
      </c>
      <c r="AB426" s="5"/>
      <c r="AC426" s="5">
        <v>0</v>
      </c>
      <c r="AD426" s="5">
        <v>0</v>
      </c>
      <c r="AE426" s="5">
        <v>1</v>
      </c>
      <c r="AF426" s="5">
        <v>0</v>
      </c>
    </row>
    <row r="427" spans="1:32" x14ac:dyDescent="0.2">
      <c r="A427" s="3" t="str">
        <f>+VLOOKUP(B427,studies!$A$2:$C$102,3)</f>
        <v>Ceronsky et al. (2011)</v>
      </c>
      <c r="B427" s="87">
        <v>65</v>
      </c>
      <c r="C427" s="5">
        <v>2011</v>
      </c>
      <c r="D427" s="5">
        <v>0</v>
      </c>
      <c r="E427" s="5">
        <v>2010</v>
      </c>
      <c r="F427" s="5">
        <v>2010</v>
      </c>
      <c r="G427" s="113">
        <v>1.3528138528138528E-3</v>
      </c>
      <c r="H427" s="7">
        <v>300.71522010351629</v>
      </c>
      <c r="I427" s="5">
        <v>1</v>
      </c>
      <c r="J427" s="5">
        <v>0</v>
      </c>
      <c r="K427" s="5">
        <v>0</v>
      </c>
      <c r="L427" s="7" t="s">
        <v>238</v>
      </c>
      <c r="M427" s="7" t="s">
        <v>238</v>
      </c>
      <c r="N427" s="7" t="s">
        <v>238</v>
      </c>
      <c r="O427" s="5">
        <v>0</v>
      </c>
      <c r="P427" s="5">
        <v>1</v>
      </c>
      <c r="Q427" s="5">
        <v>1</v>
      </c>
      <c r="R427" s="5">
        <v>1</v>
      </c>
      <c r="S427" s="5">
        <v>1</v>
      </c>
      <c r="T427" s="5">
        <v>0</v>
      </c>
      <c r="U427" s="5">
        <v>0</v>
      </c>
      <c r="V427" s="13"/>
      <c r="W427" s="13">
        <v>1</v>
      </c>
      <c r="X427" s="3"/>
      <c r="Y427" s="5"/>
      <c r="Z427" s="5"/>
      <c r="AA427" s="5">
        <v>0</v>
      </c>
      <c r="AB427" s="5"/>
      <c r="AC427" s="5">
        <v>0</v>
      </c>
      <c r="AD427" s="5">
        <v>0</v>
      </c>
      <c r="AE427" s="5">
        <v>1</v>
      </c>
      <c r="AF427" s="5">
        <v>0</v>
      </c>
    </row>
    <row r="428" spans="1:32" x14ac:dyDescent="0.2">
      <c r="A428" s="3" t="str">
        <f>+VLOOKUP(B428,studies!$A$2:$C$102,3)</f>
        <v>Ceronsky et al. (2011)</v>
      </c>
      <c r="B428" s="87">
        <v>65</v>
      </c>
      <c r="C428" s="5">
        <v>2011</v>
      </c>
      <c r="D428" s="5">
        <v>0</v>
      </c>
      <c r="E428" s="5">
        <v>2010</v>
      </c>
      <c r="F428" s="5">
        <v>2010</v>
      </c>
      <c r="G428" s="113">
        <v>1.3528138528138528E-4</v>
      </c>
      <c r="H428" s="7">
        <v>338.01323189930127</v>
      </c>
      <c r="I428" s="5">
        <v>1</v>
      </c>
      <c r="J428" s="5">
        <v>0</v>
      </c>
      <c r="K428" s="5">
        <v>0</v>
      </c>
      <c r="L428" s="7" t="s">
        <v>238</v>
      </c>
      <c r="M428" s="7" t="s">
        <v>238</v>
      </c>
      <c r="N428" s="7" t="s">
        <v>238</v>
      </c>
      <c r="O428" s="5">
        <v>0</v>
      </c>
      <c r="P428" s="5">
        <v>1</v>
      </c>
      <c r="Q428" s="5">
        <v>1</v>
      </c>
      <c r="R428" s="5">
        <v>1</v>
      </c>
      <c r="S428" s="5">
        <v>1</v>
      </c>
      <c r="T428" s="5">
        <v>0</v>
      </c>
      <c r="U428" s="5">
        <v>0</v>
      </c>
      <c r="V428" s="13"/>
      <c r="W428" s="13">
        <v>1</v>
      </c>
      <c r="X428" s="3"/>
      <c r="Y428" s="5"/>
      <c r="Z428" s="5"/>
      <c r="AA428" s="5">
        <v>0</v>
      </c>
      <c r="AB428" s="5"/>
      <c r="AC428" s="5">
        <v>0</v>
      </c>
      <c r="AD428" s="5">
        <v>0</v>
      </c>
      <c r="AE428" s="5">
        <v>1</v>
      </c>
      <c r="AF428" s="5">
        <v>0</v>
      </c>
    </row>
    <row r="429" spans="1:32" x14ac:dyDescent="0.2">
      <c r="A429" s="3" t="str">
        <f>+VLOOKUP(B429,studies!$A$2:$C$102,3)</f>
        <v>Ceronsky et al. (2011)</v>
      </c>
      <c r="B429" s="87">
        <v>65</v>
      </c>
      <c r="C429" s="5">
        <v>2011</v>
      </c>
      <c r="D429" s="5">
        <v>0</v>
      </c>
      <c r="E429" s="5">
        <v>2010</v>
      </c>
      <c r="F429" s="5">
        <v>2010</v>
      </c>
      <c r="G429" s="113">
        <v>0.13528138528138528</v>
      </c>
      <c r="H429" s="7">
        <v>99.072843832553815</v>
      </c>
      <c r="I429" s="5">
        <v>0</v>
      </c>
      <c r="J429" s="5">
        <v>1</v>
      </c>
      <c r="K429" s="5">
        <v>0</v>
      </c>
      <c r="L429" s="7" t="s">
        <v>238</v>
      </c>
      <c r="M429" s="7" t="s">
        <v>238</v>
      </c>
      <c r="N429" s="7" t="s">
        <v>238</v>
      </c>
      <c r="O429" s="5">
        <v>0</v>
      </c>
      <c r="P429" s="5">
        <v>1</v>
      </c>
      <c r="Q429" s="5">
        <v>1</v>
      </c>
      <c r="R429" s="5">
        <v>1</v>
      </c>
      <c r="S429" s="5">
        <v>1</v>
      </c>
      <c r="T429" s="5">
        <v>0</v>
      </c>
      <c r="U429" s="5">
        <v>0</v>
      </c>
      <c r="V429" s="13"/>
      <c r="W429" s="13">
        <v>1</v>
      </c>
      <c r="X429" s="3"/>
      <c r="Y429" s="5"/>
      <c r="Z429" s="5"/>
      <c r="AA429" s="5">
        <v>0</v>
      </c>
      <c r="AB429" s="5"/>
      <c r="AC429" s="5">
        <v>0</v>
      </c>
      <c r="AD429" s="5">
        <v>0</v>
      </c>
      <c r="AE429" s="5">
        <v>1</v>
      </c>
      <c r="AF429" s="5">
        <v>0</v>
      </c>
    </row>
    <row r="430" spans="1:32" x14ac:dyDescent="0.2">
      <c r="A430" s="3" t="str">
        <f>+VLOOKUP(B430,studies!$A$2:$C$102,3)</f>
        <v>Ceronsky et al. (2011)</v>
      </c>
      <c r="B430" s="87">
        <v>65</v>
      </c>
      <c r="C430" s="5">
        <v>2011</v>
      </c>
      <c r="D430" s="5">
        <v>0</v>
      </c>
      <c r="E430" s="5">
        <v>2010</v>
      </c>
      <c r="F430" s="5">
        <v>2010</v>
      </c>
      <c r="G430" s="113">
        <v>1.3528138528138528E-3</v>
      </c>
      <c r="H430" s="7">
        <v>94.410592358080692</v>
      </c>
      <c r="I430" s="5">
        <v>0</v>
      </c>
      <c r="J430" s="5">
        <v>1</v>
      </c>
      <c r="K430" s="5">
        <v>0</v>
      </c>
      <c r="L430" s="7" t="s">
        <v>238</v>
      </c>
      <c r="M430" s="7" t="s">
        <v>238</v>
      </c>
      <c r="N430" s="7" t="s">
        <v>238</v>
      </c>
      <c r="O430" s="5">
        <v>0</v>
      </c>
      <c r="P430" s="5">
        <v>1</v>
      </c>
      <c r="Q430" s="5">
        <v>1</v>
      </c>
      <c r="R430" s="5">
        <v>1</v>
      </c>
      <c r="S430" s="5">
        <v>1</v>
      </c>
      <c r="T430" s="5">
        <v>0</v>
      </c>
      <c r="U430" s="5">
        <v>0</v>
      </c>
      <c r="V430" s="13"/>
      <c r="W430" s="13">
        <v>1</v>
      </c>
      <c r="X430" s="3"/>
      <c r="Y430" s="5"/>
      <c r="Z430" s="5"/>
      <c r="AA430" s="5">
        <v>0</v>
      </c>
      <c r="AB430" s="5"/>
      <c r="AC430" s="5">
        <v>0</v>
      </c>
      <c r="AD430" s="5">
        <v>0</v>
      </c>
      <c r="AE430" s="5">
        <v>1</v>
      </c>
      <c r="AF430" s="5">
        <v>0</v>
      </c>
    </row>
    <row r="431" spans="1:32" x14ac:dyDescent="0.2">
      <c r="A431" s="3" t="str">
        <f>+VLOOKUP(B431,studies!$A$2:$C$102,3)</f>
        <v>Ceronsky et al. (2011)</v>
      </c>
      <c r="B431" s="87">
        <v>65</v>
      </c>
      <c r="C431" s="5">
        <v>2011</v>
      </c>
      <c r="D431" s="5">
        <v>0</v>
      </c>
      <c r="E431" s="5">
        <v>2010</v>
      </c>
      <c r="F431" s="5">
        <v>2010</v>
      </c>
      <c r="G431" s="113">
        <v>1.3528138528138528E-2</v>
      </c>
      <c r="H431" s="7">
        <v>101.40396956979038</v>
      </c>
      <c r="I431" s="5">
        <v>0</v>
      </c>
      <c r="J431" s="5">
        <v>1</v>
      </c>
      <c r="K431" s="5">
        <v>0</v>
      </c>
      <c r="L431" s="7" t="s">
        <v>238</v>
      </c>
      <c r="M431" s="7" t="s">
        <v>238</v>
      </c>
      <c r="N431" s="7" t="s">
        <v>238</v>
      </c>
      <c r="O431" s="5">
        <v>0</v>
      </c>
      <c r="P431" s="5">
        <v>1</v>
      </c>
      <c r="Q431" s="5">
        <v>1</v>
      </c>
      <c r="R431" s="5">
        <v>1</v>
      </c>
      <c r="S431" s="5">
        <v>1</v>
      </c>
      <c r="T431" s="5">
        <v>0</v>
      </c>
      <c r="U431" s="5">
        <v>0</v>
      </c>
      <c r="V431" s="13"/>
      <c r="W431" s="13">
        <v>1</v>
      </c>
      <c r="X431" s="3"/>
      <c r="Y431" s="5"/>
      <c r="Z431" s="5"/>
      <c r="AA431" s="5">
        <v>0</v>
      </c>
      <c r="AB431" s="5"/>
      <c r="AC431" s="5">
        <v>0</v>
      </c>
      <c r="AD431" s="5">
        <v>0</v>
      </c>
      <c r="AE431" s="5">
        <v>1</v>
      </c>
      <c r="AF431" s="5">
        <v>0</v>
      </c>
    </row>
    <row r="432" spans="1:32" x14ac:dyDescent="0.2">
      <c r="A432" s="3" t="str">
        <f>+VLOOKUP(B432,studies!$A$2:$C$102,3)</f>
        <v>Ceronsky et al. (2011)</v>
      </c>
      <c r="B432" s="87">
        <v>65</v>
      </c>
      <c r="C432" s="5">
        <v>2011</v>
      </c>
      <c r="D432" s="5">
        <v>0</v>
      </c>
      <c r="E432" s="5">
        <v>2010</v>
      </c>
      <c r="F432" s="5">
        <v>2010</v>
      </c>
      <c r="G432" s="113">
        <v>1.3528138528138528E-3</v>
      </c>
      <c r="H432" s="7">
        <v>115.39072399320973</v>
      </c>
      <c r="I432" s="5">
        <v>0</v>
      </c>
      <c r="J432" s="5">
        <v>1</v>
      </c>
      <c r="K432" s="5">
        <v>0</v>
      </c>
      <c r="L432" s="7" t="s">
        <v>238</v>
      </c>
      <c r="M432" s="7" t="s">
        <v>238</v>
      </c>
      <c r="N432" s="7" t="s">
        <v>238</v>
      </c>
      <c r="O432" s="5">
        <v>0</v>
      </c>
      <c r="P432" s="5">
        <v>1</v>
      </c>
      <c r="Q432" s="5">
        <v>1</v>
      </c>
      <c r="R432" s="5">
        <v>1</v>
      </c>
      <c r="S432" s="5">
        <v>1</v>
      </c>
      <c r="T432" s="5">
        <v>0</v>
      </c>
      <c r="U432" s="5">
        <v>0</v>
      </c>
      <c r="V432" s="13"/>
      <c r="W432" s="13">
        <v>1</v>
      </c>
      <c r="X432" s="3"/>
      <c r="Y432" s="5"/>
      <c r="Z432" s="5"/>
      <c r="AA432" s="5">
        <v>0</v>
      </c>
      <c r="AB432" s="5"/>
      <c r="AC432" s="5">
        <v>0</v>
      </c>
      <c r="AD432" s="5">
        <v>0</v>
      </c>
      <c r="AE432" s="5">
        <v>1</v>
      </c>
      <c r="AF432" s="5">
        <v>0</v>
      </c>
    </row>
    <row r="433" spans="1:32" x14ac:dyDescent="0.2">
      <c r="A433" s="3" t="str">
        <f>+VLOOKUP(B433,studies!$A$2:$C$102,3)</f>
        <v>Ceronsky et al. (2011)</v>
      </c>
      <c r="B433" s="87">
        <v>65</v>
      </c>
      <c r="C433" s="5">
        <v>2011</v>
      </c>
      <c r="D433" s="5">
        <v>0</v>
      </c>
      <c r="E433" s="5">
        <v>2010</v>
      </c>
      <c r="F433" s="5">
        <v>2010</v>
      </c>
      <c r="G433" s="113">
        <v>1.3528138528138528E-4</v>
      </c>
      <c r="H433" s="7">
        <v>152.68873578899471</v>
      </c>
      <c r="I433" s="5">
        <v>0</v>
      </c>
      <c r="J433" s="5">
        <v>1</v>
      </c>
      <c r="K433" s="5">
        <v>0</v>
      </c>
      <c r="L433" s="7" t="s">
        <v>238</v>
      </c>
      <c r="M433" s="7" t="s">
        <v>238</v>
      </c>
      <c r="N433" s="7" t="s">
        <v>238</v>
      </c>
      <c r="O433" s="5">
        <v>0</v>
      </c>
      <c r="P433" s="5">
        <v>1</v>
      </c>
      <c r="Q433" s="5">
        <v>1</v>
      </c>
      <c r="R433" s="5">
        <v>1</v>
      </c>
      <c r="S433" s="5">
        <v>1</v>
      </c>
      <c r="T433" s="5">
        <v>0</v>
      </c>
      <c r="U433" s="5">
        <v>0</v>
      </c>
      <c r="V433" s="13"/>
      <c r="W433" s="13">
        <v>1</v>
      </c>
      <c r="X433" s="3"/>
      <c r="Y433" s="5"/>
      <c r="Z433" s="5"/>
      <c r="AA433" s="5">
        <v>0</v>
      </c>
      <c r="AB433" s="5"/>
      <c r="AC433" s="5">
        <v>0</v>
      </c>
      <c r="AD433" s="5">
        <v>0</v>
      </c>
      <c r="AE433" s="5">
        <v>1</v>
      </c>
      <c r="AF433" s="5">
        <v>0</v>
      </c>
    </row>
    <row r="434" spans="1:32" x14ac:dyDescent="0.2">
      <c r="A434" s="3" t="str">
        <f>+VLOOKUP(B434,studies!$A$2:$C$102,3)</f>
        <v>Ceronsky et al. (2011)</v>
      </c>
      <c r="B434" s="87">
        <v>65</v>
      </c>
      <c r="C434" s="5">
        <v>2011</v>
      </c>
      <c r="D434" s="5">
        <v>0</v>
      </c>
      <c r="E434" s="5">
        <v>2010</v>
      </c>
      <c r="F434" s="5">
        <v>2010</v>
      </c>
      <c r="G434" s="113">
        <v>1.3528138528138528E-2</v>
      </c>
      <c r="H434" s="7">
        <v>169.00661594965064</v>
      </c>
      <c r="I434" s="5">
        <v>0</v>
      </c>
      <c r="J434" s="5">
        <v>1</v>
      </c>
      <c r="K434" s="5">
        <v>0</v>
      </c>
      <c r="L434" s="7" t="s">
        <v>238</v>
      </c>
      <c r="M434" s="7" t="s">
        <v>238</v>
      </c>
      <c r="N434" s="7" t="s">
        <v>238</v>
      </c>
      <c r="O434" s="5">
        <v>0</v>
      </c>
      <c r="P434" s="5">
        <v>1</v>
      </c>
      <c r="Q434" s="5">
        <v>1</v>
      </c>
      <c r="R434" s="5">
        <v>1</v>
      </c>
      <c r="S434" s="5">
        <v>1</v>
      </c>
      <c r="T434" s="5">
        <v>0</v>
      </c>
      <c r="U434" s="5">
        <v>0</v>
      </c>
      <c r="V434" s="13"/>
      <c r="W434" s="13">
        <v>1</v>
      </c>
      <c r="X434" s="3"/>
      <c r="Y434" s="5"/>
      <c r="Z434" s="5"/>
      <c r="AA434" s="5">
        <v>0</v>
      </c>
      <c r="AB434" s="5"/>
      <c r="AC434" s="5">
        <v>0</v>
      </c>
      <c r="AD434" s="5">
        <v>0</v>
      </c>
      <c r="AE434" s="5">
        <v>1</v>
      </c>
      <c r="AF434" s="5">
        <v>0</v>
      </c>
    </row>
    <row r="435" spans="1:32" x14ac:dyDescent="0.2">
      <c r="A435" s="3" t="str">
        <f>+VLOOKUP(B435,studies!$A$2:$C$102,3)</f>
        <v>Ceronsky et al. (2011)</v>
      </c>
      <c r="B435" s="87">
        <v>65</v>
      </c>
      <c r="C435" s="5">
        <v>2011</v>
      </c>
      <c r="D435" s="5">
        <v>0</v>
      </c>
      <c r="E435" s="5">
        <v>2010</v>
      </c>
      <c r="F435" s="5">
        <v>2010</v>
      </c>
      <c r="G435" s="113">
        <v>1.3528138528138528E-3</v>
      </c>
      <c r="H435" s="7">
        <v>275.07283699391411</v>
      </c>
      <c r="I435" s="5">
        <v>0</v>
      </c>
      <c r="J435" s="5">
        <v>1</v>
      </c>
      <c r="K435" s="5">
        <v>0</v>
      </c>
      <c r="L435" s="7" t="s">
        <v>238</v>
      </c>
      <c r="M435" s="7" t="s">
        <v>238</v>
      </c>
      <c r="N435" s="7" t="s">
        <v>238</v>
      </c>
      <c r="O435" s="5">
        <v>0</v>
      </c>
      <c r="P435" s="5">
        <v>1</v>
      </c>
      <c r="Q435" s="5">
        <v>1</v>
      </c>
      <c r="R435" s="5">
        <v>1</v>
      </c>
      <c r="S435" s="5">
        <v>1</v>
      </c>
      <c r="T435" s="5">
        <v>0</v>
      </c>
      <c r="U435" s="5">
        <v>0</v>
      </c>
      <c r="V435" s="13"/>
      <c r="W435" s="13">
        <v>1</v>
      </c>
      <c r="X435" s="3"/>
      <c r="Y435" s="5"/>
      <c r="Z435" s="5"/>
      <c r="AA435" s="5">
        <v>0</v>
      </c>
      <c r="AB435" s="5"/>
      <c r="AC435" s="5">
        <v>0</v>
      </c>
      <c r="AD435" s="5">
        <v>0</v>
      </c>
      <c r="AE435" s="5">
        <v>1</v>
      </c>
      <c r="AF435" s="5">
        <v>0</v>
      </c>
    </row>
    <row r="436" spans="1:32" x14ac:dyDescent="0.2">
      <c r="A436" s="3" t="str">
        <f>+VLOOKUP(B436,studies!$A$2:$C$102,3)</f>
        <v>Ceronsky et al. (2011)</v>
      </c>
      <c r="B436" s="87">
        <v>65</v>
      </c>
      <c r="C436" s="5">
        <v>2011</v>
      </c>
      <c r="D436" s="5">
        <v>0</v>
      </c>
      <c r="E436" s="5">
        <v>2010</v>
      </c>
      <c r="F436" s="5">
        <v>2010</v>
      </c>
      <c r="G436" s="113">
        <v>1.3528138528138528E-4</v>
      </c>
      <c r="H436" s="7">
        <v>308.87416018384425</v>
      </c>
      <c r="I436" s="5">
        <v>0</v>
      </c>
      <c r="J436" s="5">
        <v>1</v>
      </c>
      <c r="K436" s="5">
        <v>0</v>
      </c>
      <c r="L436" s="7" t="s">
        <v>238</v>
      </c>
      <c r="M436" s="7" t="s">
        <v>238</v>
      </c>
      <c r="N436" s="7" t="s">
        <v>238</v>
      </c>
      <c r="O436" s="5">
        <v>0</v>
      </c>
      <c r="P436" s="5">
        <v>1</v>
      </c>
      <c r="Q436" s="5">
        <v>1</v>
      </c>
      <c r="R436" s="5">
        <v>1</v>
      </c>
      <c r="S436" s="5">
        <v>1</v>
      </c>
      <c r="T436" s="5">
        <v>0</v>
      </c>
      <c r="U436" s="5">
        <v>0</v>
      </c>
      <c r="V436" s="13"/>
      <c r="W436" s="13">
        <v>1</v>
      </c>
      <c r="X436" s="3"/>
      <c r="Y436" s="5"/>
      <c r="Z436" s="5"/>
      <c r="AA436" s="5">
        <v>0</v>
      </c>
      <c r="AB436" s="5"/>
      <c r="AC436" s="5">
        <v>0</v>
      </c>
      <c r="AD436" s="5">
        <v>0</v>
      </c>
      <c r="AE436" s="5">
        <v>1</v>
      </c>
      <c r="AF436" s="5">
        <v>0</v>
      </c>
    </row>
    <row r="437" spans="1:32" x14ac:dyDescent="0.2">
      <c r="A437" s="3" t="str">
        <f>+VLOOKUP(B437,studies!$A$2:$C$102,3)</f>
        <v>Ceronsky et al. (2011)</v>
      </c>
      <c r="B437" s="87">
        <v>65</v>
      </c>
      <c r="C437" s="5">
        <v>2011</v>
      </c>
      <c r="D437" s="5">
        <v>0</v>
      </c>
      <c r="E437" s="5">
        <v>2010</v>
      </c>
      <c r="F437" s="5">
        <v>2010</v>
      </c>
      <c r="G437" s="113">
        <v>0.13528138528138528</v>
      </c>
      <c r="H437" s="7">
        <v>9.3245029489462414</v>
      </c>
      <c r="I437" s="5">
        <v>1</v>
      </c>
      <c r="J437" s="5">
        <v>0</v>
      </c>
      <c r="K437" s="5">
        <v>0</v>
      </c>
      <c r="L437" s="7" t="s">
        <v>238</v>
      </c>
      <c r="M437" s="7" t="s">
        <v>238</v>
      </c>
      <c r="N437" s="7" t="s">
        <v>238</v>
      </c>
      <c r="O437" s="5">
        <v>0</v>
      </c>
      <c r="P437" s="5">
        <v>1</v>
      </c>
      <c r="Q437" s="5">
        <v>1</v>
      </c>
      <c r="R437" s="5">
        <v>1</v>
      </c>
      <c r="S437" s="5">
        <v>1</v>
      </c>
      <c r="T437" s="5">
        <v>0</v>
      </c>
      <c r="U437" s="5">
        <v>0</v>
      </c>
      <c r="V437" s="13"/>
      <c r="W437" s="13">
        <v>3</v>
      </c>
      <c r="X437" s="3"/>
      <c r="Y437" s="5"/>
      <c r="Z437" s="5"/>
      <c r="AA437" s="5">
        <v>0</v>
      </c>
      <c r="AB437" s="5"/>
      <c r="AC437" s="5">
        <v>0</v>
      </c>
      <c r="AD437" s="5">
        <v>0</v>
      </c>
      <c r="AE437" s="5">
        <v>1</v>
      </c>
      <c r="AF437" s="5">
        <v>0</v>
      </c>
    </row>
    <row r="438" spans="1:32" x14ac:dyDescent="0.2">
      <c r="A438" s="3" t="str">
        <f>+VLOOKUP(B438,studies!$A$2:$C$102,3)</f>
        <v>Ceronsky et al. (2011)</v>
      </c>
      <c r="B438" s="87">
        <v>65</v>
      </c>
      <c r="C438" s="5">
        <v>2011</v>
      </c>
      <c r="D438" s="5">
        <v>0</v>
      </c>
      <c r="E438" s="5">
        <v>2010</v>
      </c>
      <c r="F438" s="5">
        <v>2010</v>
      </c>
      <c r="G438" s="113">
        <v>1.3528138528138528E-3</v>
      </c>
      <c r="H438" s="7">
        <v>9.3245029489462414</v>
      </c>
      <c r="I438" s="5">
        <v>1</v>
      </c>
      <c r="J438" s="5">
        <v>0</v>
      </c>
      <c r="K438" s="5">
        <v>0</v>
      </c>
      <c r="L438" s="7" t="s">
        <v>238</v>
      </c>
      <c r="M438" s="7" t="s">
        <v>238</v>
      </c>
      <c r="N438" s="7" t="s">
        <v>238</v>
      </c>
      <c r="O438" s="5">
        <v>0</v>
      </c>
      <c r="P438" s="5">
        <v>1</v>
      </c>
      <c r="Q438" s="5">
        <v>1</v>
      </c>
      <c r="R438" s="5">
        <v>1</v>
      </c>
      <c r="S438" s="5">
        <v>1</v>
      </c>
      <c r="T438" s="5">
        <v>0</v>
      </c>
      <c r="U438" s="5">
        <v>0</v>
      </c>
      <c r="V438" s="13"/>
      <c r="W438" s="13">
        <v>3</v>
      </c>
      <c r="X438" s="3"/>
      <c r="Y438" s="5"/>
      <c r="Z438" s="5"/>
      <c r="AA438" s="5">
        <v>0</v>
      </c>
      <c r="AB438" s="5"/>
      <c r="AC438" s="5">
        <v>0</v>
      </c>
      <c r="AD438" s="5">
        <v>0</v>
      </c>
      <c r="AE438" s="5">
        <v>1</v>
      </c>
      <c r="AF438" s="5">
        <v>0</v>
      </c>
    </row>
    <row r="439" spans="1:32" x14ac:dyDescent="0.2">
      <c r="A439" s="3" t="str">
        <f>+VLOOKUP(B439,studies!$A$2:$C$102,3)</f>
        <v>Ceronsky et al. (2011)</v>
      </c>
      <c r="B439" s="87">
        <v>65</v>
      </c>
      <c r="C439" s="5">
        <v>2011</v>
      </c>
      <c r="D439" s="5">
        <v>0</v>
      </c>
      <c r="E439" s="5">
        <v>2010</v>
      </c>
      <c r="F439" s="5">
        <v>2010</v>
      </c>
      <c r="G439" s="113">
        <v>1.3528138528138528E-2</v>
      </c>
      <c r="H439" s="7">
        <v>9.3245029489462414</v>
      </c>
      <c r="I439" s="5">
        <v>1</v>
      </c>
      <c r="J439" s="5">
        <v>0</v>
      </c>
      <c r="K439" s="5">
        <v>0</v>
      </c>
      <c r="L439" s="7" t="s">
        <v>238</v>
      </c>
      <c r="M439" s="7" t="s">
        <v>238</v>
      </c>
      <c r="N439" s="7" t="s">
        <v>238</v>
      </c>
      <c r="O439" s="5">
        <v>0</v>
      </c>
      <c r="P439" s="5">
        <v>1</v>
      </c>
      <c r="Q439" s="5">
        <v>1</v>
      </c>
      <c r="R439" s="5">
        <v>1</v>
      </c>
      <c r="S439" s="5">
        <v>1</v>
      </c>
      <c r="T439" s="5">
        <v>0</v>
      </c>
      <c r="U439" s="5">
        <v>0</v>
      </c>
      <c r="V439" s="13"/>
      <c r="W439" s="13">
        <v>3</v>
      </c>
      <c r="X439" s="3"/>
      <c r="Y439" s="5"/>
      <c r="Z439" s="5"/>
      <c r="AA439" s="5">
        <v>0</v>
      </c>
      <c r="AB439" s="5"/>
      <c r="AC439" s="5">
        <v>0</v>
      </c>
      <c r="AD439" s="5">
        <v>0</v>
      </c>
      <c r="AE439" s="5">
        <v>1</v>
      </c>
      <c r="AF439" s="5">
        <v>0</v>
      </c>
    </row>
    <row r="440" spans="1:32" x14ac:dyDescent="0.2">
      <c r="A440" s="3" t="str">
        <f>+VLOOKUP(B440,studies!$A$2:$C$102,3)</f>
        <v>Ceronsky et al. (2011)</v>
      </c>
      <c r="B440" s="87">
        <v>65</v>
      </c>
      <c r="C440" s="5">
        <v>2011</v>
      </c>
      <c r="D440" s="5">
        <v>0</v>
      </c>
      <c r="E440" s="5">
        <v>2010</v>
      </c>
      <c r="F440" s="5">
        <v>2010</v>
      </c>
      <c r="G440" s="113">
        <v>1.3528138528138528E-3</v>
      </c>
      <c r="H440" s="7">
        <v>12.821191554801082</v>
      </c>
      <c r="I440" s="5">
        <v>1</v>
      </c>
      <c r="J440" s="5">
        <v>0</v>
      </c>
      <c r="K440" s="5">
        <v>0</v>
      </c>
      <c r="L440" s="7" t="s">
        <v>238</v>
      </c>
      <c r="M440" s="7" t="s">
        <v>238</v>
      </c>
      <c r="N440" s="7" t="s">
        <v>238</v>
      </c>
      <c r="O440" s="5">
        <v>0</v>
      </c>
      <c r="P440" s="5">
        <v>1</v>
      </c>
      <c r="Q440" s="5">
        <v>1</v>
      </c>
      <c r="R440" s="5">
        <v>1</v>
      </c>
      <c r="S440" s="5">
        <v>1</v>
      </c>
      <c r="T440" s="5">
        <v>0</v>
      </c>
      <c r="U440" s="5">
        <v>0</v>
      </c>
      <c r="V440" s="13"/>
      <c r="W440" s="13">
        <v>3</v>
      </c>
      <c r="X440" s="3"/>
      <c r="Y440" s="5"/>
      <c r="Z440" s="5"/>
      <c r="AA440" s="5">
        <v>0</v>
      </c>
      <c r="AB440" s="5"/>
      <c r="AC440" s="5">
        <v>0</v>
      </c>
      <c r="AD440" s="5">
        <v>0</v>
      </c>
      <c r="AE440" s="5">
        <v>1</v>
      </c>
      <c r="AF440" s="5">
        <v>0</v>
      </c>
    </row>
    <row r="441" spans="1:32" x14ac:dyDescent="0.2">
      <c r="A441" s="3" t="str">
        <f>+VLOOKUP(B441,studies!$A$2:$C$102,3)</f>
        <v>Ceronsky et al. (2011)</v>
      </c>
      <c r="B441" s="87">
        <v>65</v>
      </c>
      <c r="C441" s="5">
        <v>2011</v>
      </c>
      <c r="D441" s="5">
        <v>0</v>
      </c>
      <c r="E441" s="5">
        <v>2010</v>
      </c>
      <c r="F441" s="5">
        <v>2010</v>
      </c>
      <c r="G441" s="113">
        <v>1.3528138528138528E-4</v>
      </c>
      <c r="H441" s="7">
        <v>17.483443029274202</v>
      </c>
      <c r="I441" s="5">
        <v>1</v>
      </c>
      <c r="J441" s="5">
        <v>0</v>
      </c>
      <c r="K441" s="5">
        <v>0</v>
      </c>
      <c r="L441" s="7" t="s">
        <v>238</v>
      </c>
      <c r="M441" s="7" t="s">
        <v>238</v>
      </c>
      <c r="N441" s="7" t="s">
        <v>238</v>
      </c>
      <c r="O441" s="5">
        <v>0</v>
      </c>
      <c r="P441" s="5">
        <v>1</v>
      </c>
      <c r="Q441" s="5">
        <v>1</v>
      </c>
      <c r="R441" s="5">
        <v>1</v>
      </c>
      <c r="S441" s="5">
        <v>1</v>
      </c>
      <c r="T441" s="5">
        <v>0</v>
      </c>
      <c r="U441" s="5">
        <v>0</v>
      </c>
      <c r="V441" s="13"/>
      <c r="W441" s="13">
        <v>3</v>
      </c>
      <c r="X441" s="3"/>
      <c r="Y441" s="5"/>
      <c r="Z441" s="5"/>
      <c r="AA441" s="5">
        <v>0</v>
      </c>
      <c r="AB441" s="5"/>
      <c r="AC441" s="5">
        <v>0</v>
      </c>
      <c r="AD441" s="5">
        <v>0</v>
      </c>
      <c r="AE441" s="5">
        <v>1</v>
      </c>
      <c r="AF441" s="5">
        <v>0</v>
      </c>
    </row>
    <row r="442" spans="1:32" x14ac:dyDescent="0.2">
      <c r="A442" s="3" t="str">
        <f>+VLOOKUP(B442,studies!$A$2:$C$102,3)</f>
        <v>Ceronsky et al. (2011)</v>
      </c>
      <c r="B442" s="87">
        <v>65</v>
      </c>
      <c r="C442" s="5">
        <v>2011</v>
      </c>
      <c r="D442" s="5">
        <v>0</v>
      </c>
      <c r="E442" s="5">
        <v>2010</v>
      </c>
      <c r="F442" s="5">
        <v>2010</v>
      </c>
      <c r="G442" s="113">
        <v>1.3528138528138528E-2</v>
      </c>
      <c r="H442" s="7">
        <v>13.986754423419363</v>
      </c>
      <c r="I442" s="5">
        <v>1</v>
      </c>
      <c r="J442" s="5">
        <v>0</v>
      </c>
      <c r="K442" s="5">
        <v>0</v>
      </c>
      <c r="L442" s="7" t="s">
        <v>238</v>
      </c>
      <c r="M442" s="7" t="s">
        <v>238</v>
      </c>
      <c r="N442" s="7" t="s">
        <v>238</v>
      </c>
      <c r="O442" s="5">
        <v>0</v>
      </c>
      <c r="P442" s="5">
        <v>1</v>
      </c>
      <c r="Q442" s="5">
        <v>1</v>
      </c>
      <c r="R442" s="5">
        <v>1</v>
      </c>
      <c r="S442" s="5">
        <v>1</v>
      </c>
      <c r="T442" s="5">
        <v>0</v>
      </c>
      <c r="U442" s="5">
        <v>0</v>
      </c>
      <c r="V442" s="13"/>
      <c r="W442" s="13">
        <v>3</v>
      </c>
      <c r="X442" s="3"/>
      <c r="Y442" s="5"/>
      <c r="Z442" s="5"/>
      <c r="AA442" s="5">
        <v>0</v>
      </c>
      <c r="AB442" s="5"/>
      <c r="AC442" s="5">
        <v>0</v>
      </c>
      <c r="AD442" s="5">
        <v>0</v>
      </c>
      <c r="AE442" s="5">
        <v>1</v>
      </c>
      <c r="AF442" s="5">
        <v>0</v>
      </c>
    </row>
    <row r="443" spans="1:32" x14ac:dyDescent="0.2">
      <c r="A443" s="3" t="str">
        <f>+VLOOKUP(B443,studies!$A$2:$C$102,3)</f>
        <v>Ceronsky et al. (2011)</v>
      </c>
      <c r="B443" s="87">
        <v>65</v>
      </c>
      <c r="C443" s="5">
        <v>2011</v>
      </c>
      <c r="D443" s="5">
        <v>0</v>
      </c>
      <c r="E443" s="5">
        <v>2010</v>
      </c>
      <c r="F443" s="5">
        <v>2010</v>
      </c>
      <c r="G443" s="113">
        <v>1.3528138528138528E-3</v>
      </c>
      <c r="H443" s="7">
        <v>20.980131635129045</v>
      </c>
      <c r="I443" s="5">
        <v>1</v>
      </c>
      <c r="J443" s="5">
        <v>0</v>
      </c>
      <c r="K443" s="5">
        <v>0</v>
      </c>
      <c r="L443" s="7" t="s">
        <v>238</v>
      </c>
      <c r="M443" s="7" t="s">
        <v>238</v>
      </c>
      <c r="N443" s="7" t="s">
        <v>238</v>
      </c>
      <c r="O443" s="5">
        <v>0</v>
      </c>
      <c r="P443" s="5">
        <v>1</v>
      </c>
      <c r="Q443" s="5">
        <v>1</v>
      </c>
      <c r="R443" s="5">
        <v>1</v>
      </c>
      <c r="S443" s="5">
        <v>1</v>
      </c>
      <c r="T443" s="5">
        <v>0</v>
      </c>
      <c r="U443" s="5">
        <v>0</v>
      </c>
      <c r="V443" s="13"/>
      <c r="W443" s="13">
        <v>3</v>
      </c>
      <c r="X443" s="3"/>
      <c r="Y443" s="5"/>
      <c r="Z443" s="5"/>
      <c r="AA443" s="5">
        <v>0</v>
      </c>
      <c r="AB443" s="5"/>
      <c r="AC443" s="5">
        <v>0</v>
      </c>
      <c r="AD443" s="5">
        <v>0</v>
      </c>
      <c r="AE443" s="5">
        <v>1</v>
      </c>
      <c r="AF443" s="5">
        <v>0</v>
      </c>
    </row>
    <row r="444" spans="1:32" x14ac:dyDescent="0.2">
      <c r="A444" s="3" t="str">
        <f>+VLOOKUP(B444,studies!$A$2:$C$102,3)</f>
        <v>Ceronsky et al. (2011)</v>
      </c>
      <c r="B444" s="87">
        <v>65</v>
      </c>
      <c r="C444" s="5">
        <v>2011</v>
      </c>
      <c r="D444" s="5">
        <v>0</v>
      </c>
      <c r="E444" s="5">
        <v>2010</v>
      </c>
      <c r="F444" s="5">
        <v>2010</v>
      </c>
      <c r="G444" s="113">
        <v>1.3528138528138528E-4</v>
      </c>
      <c r="H444" s="7">
        <v>22.145694503747322</v>
      </c>
      <c r="I444" s="5">
        <v>1</v>
      </c>
      <c r="J444" s="5">
        <v>0</v>
      </c>
      <c r="K444" s="5">
        <v>0</v>
      </c>
      <c r="L444" s="7" t="s">
        <v>238</v>
      </c>
      <c r="M444" s="7" t="s">
        <v>238</v>
      </c>
      <c r="N444" s="7" t="s">
        <v>238</v>
      </c>
      <c r="O444" s="5">
        <v>0</v>
      </c>
      <c r="P444" s="5">
        <v>1</v>
      </c>
      <c r="Q444" s="5">
        <v>1</v>
      </c>
      <c r="R444" s="5">
        <v>1</v>
      </c>
      <c r="S444" s="5">
        <v>1</v>
      </c>
      <c r="T444" s="5">
        <v>0</v>
      </c>
      <c r="U444" s="5">
        <v>0</v>
      </c>
      <c r="V444" s="13"/>
      <c r="W444" s="13">
        <v>3</v>
      </c>
      <c r="X444" s="3"/>
      <c r="Y444" s="5"/>
      <c r="Z444" s="5"/>
      <c r="AA444" s="5">
        <v>0</v>
      </c>
      <c r="AB444" s="5"/>
      <c r="AC444" s="5">
        <v>0</v>
      </c>
      <c r="AD444" s="5">
        <v>0</v>
      </c>
      <c r="AE444" s="5">
        <v>1</v>
      </c>
      <c r="AF444" s="5">
        <v>0</v>
      </c>
    </row>
    <row r="445" spans="1:32" x14ac:dyDescent="0.2">
      <c r="A445" s="3" t="str">
        <f>+VLOOKUP(B445,studies!$A$2:$C$102,3)</f>
        <v>Ceronsky et al. (2011)</v>
      </c>
      <c r="B445" s="87">
        <v>65</v>
      </c>
      <c r="C445" s="5">
        <v>2011</v>
      </c>
      <c r="D445" s="5">
        <v>0</v>
      </c>
      <c r="E445" s="5">
        <v>2010</v>
      </c>
      <c r="F445" s="5">
        <v>2010</v>
      </c>
      <c r="G445" s="113">
        <v>0.13528138528138528</v>
      </c>
      <c r="H445" s="7">
        <v>5.8278143430914007</v>
      </c>
      <c r="I445" s="5">
        <v>0</v>
      </c>
      <c r="J445" s="5">
        <v>1</v>
      </c>
      <c r="K445" s="5">
        <v>0</v>
      </c>
      <c r="L445" s="7" t="s">
        <v>238</v>
      </c>
      <c r="M445" s="7" t="s">
        <v>238</v>
      </c>
      <c r="N445" s="7" t="s">
        <v>238</v>
      </c>
      <c r="O445" s="5">
        <v>0</v>
      </c>
      <c r="P445" s="5">
        <v>1</v>
      </c>
      <c r="Q445" s="5">
        <v>1</v>
      </c>
      <c r="R445" s="5">
        <v>1</v>
      </c>
      <c r="S445" s="5">
        <v>1</v>
      </c>
      <c r="T445" s="5">
        <v>0</v>
      </c>
      <c r="U445" s="5">
        <v>0</v>
      </c>
      <c r="V445" s="13"/>
      <c r="W445" s="13">
        <v>3</v>
      </c>
      <c r="X445" s="3"/>
      <c r="Y445" s="5"/>
      <c r="Z445" s="5"/>
      <c r="AA445" s="5">
        <v>0</v>
      </c>
      <c r="AB445" s="5"/>
      <c r="AC445" s="5">
        <v>0</v>
      </c>
      <c r="AD445" s="5">
        <v>0</v>
      </c>
      <c r="AE445" s="5">
        <v>1</v>
      </c>
      <c r="AF445" s="5">
        <v>0</v>
      </c>
    </row>
    <row r="446" spans="1:32" x14ac:dyDescent="0.2">
      <c r="A446" s="3" t="str">
        <f>+VLOOKUP(B446,studies!$A$2:$C$102,3)</f>
        <v>Ceronsky et al. (2011)</v>
      </c>
      <c r="B446" s="87">
        <v>65</v>
      </c>
      <c r="C446" s="5">
        <v>2011</v>
      </c>
      <c r="D446" s="5">
        <v>0</v>
      </c>
      <c r="E446" s="5">
        <v>2010</v>
      </c>
      <c r="F446" s="5">
        <v>2010</v>
      </c>
      <c r="G446" s="113">
        <v>1.3528138528138528E-3</v>
      </c>
      <c r="H446" s="7">
        <v>4.6622514744731207</v>
      </c>
      <c r="I446" s="5">
        <v>0</v>
      </c>
      <c r="J446" s="5">
        <v>1</v>
      </c>
      <c r="K446" s="5">
        <v>0</v>
      </c>
      <c r="L446" s="7" t="s">
        <v>238</v>
      </c>
      <c r="M446" s="7" t="s">
        <v>238</v>
      </c>
      <c r="N446" s="7" t="s">
        <v>238</v>
      </c>
      <c r="O446" s="5">
        <v>0</v>
      </c>
      <c r="P446" s="5">
        <v>1</v>
      </c>
      <c r="Q446" s="5">
        <v>1</v>
      </c>
      <c r="R446" s="5">
        <v>1</v>
      </c>
      <c r="S446" s="5">
        <v>1</v>
      </c>
      <c r="T446" s="5">
        <v>0</v>
      </c>
      <c r="U446" s="5">
        <v>0</v>
      </c>
      <c r="V446" s="13"/>
      <c r="W446" s="13">
        <v>3</v>
      </c>
      <c r="X446" s="3"/>
      <c r="Y446" s="5"/>
      <c r="Z446" s="5"/>
      <c r="AA446" s="5">
        <v>0</v>
      </c>
      <c r="AB446" s="5"/>
      <c r="AC446" s="5">
        <v>0</v>
      </c>
      <c r="AD446" s="5">
        <v>0</v>
      </c>
      <c r="AE446" s="5">
        <v>1</v>
      </c>
      <c r="AF446" s="5">
        <v>0</v>
      </c>
    </row>
    <row r="447" spans="1:32" x14ac:dyDescent="0.2">
      <c r="A447" s="3" t="str">
        <f>+VLOOKUP(B447,studies!$A$2:$C$102,3)</f>
        <v>Ceronsky et al. (2011)</v>
      </c>
      <c r="B447" s="87">
        <v>65</v>
      </c>
      <c r="C447" s="5">
        <v>2011</v>
      </c>
      <c r="D447" s="5">
        <v>0</v>
      </c>
      <c r="E447" s="5">
        <v>2010</v>
      </c>
      <c r="F447" s="5">
        <v>2010</v>
      </c>
      <c r="G447" s="113">
        <v>1.3528138528138528E-2</v>
      </c>
      <c r="H447" s="7">
        <v>5.8278143430914007</v>
      </c>
      <c r="I447" s="5">
        <v>0</v>
      </c>
      <c r="J447" s="5">
        <v>1</v>
      </c>
      <c r="K447" s="5">
        <v>0</v>
      </c>
      <c r="L447" s="7" t="s">
        <v>238</v>
      </c>
      <c r="M447" s="7" t="s">
        <v>238</v>
      </c>
      <c r="N447" s="7" t="s">
        <v>238</v>
      </c>
      <c r="O447" s="5">
        <v>0</v>
      </c>
      <c r="P447" s="5">
        <v>1</v>
      </c>
      <c r="Q447" s="5">
        <v>1</v>
      </c>
      <c r="R447" s="5">
        <v>1</v>
      </c>
      <c r="S447" s="5">
        <v>1</v>
      </c>
      <c r="T447" s="5">
        <v>0</v>
      </c>
      <c r="U447" s="5">
        <v>0</v>
      </c>
      <c r="V447" s="13"/>
      <c r="W447" s="13">
        <v>3</v>
      </c>
      <c r="X447" s="3"/>
      <c r="Y447" s="5"/>
      <c r="Z447" s="5"/>
      <c r="AA447" s="5">
        <v>0</v>
      </c>
      <c r="AB447" s="5"/>
      <c r="AC447" s="5">
        <v>0</v>
      </c>
      <c r="AD447" s="5">
        <v>0</v>
      </c>
      <c r="AE447" s="5">
        <v>1</v>
      </c>
      <c r="AF447" s="5">
        <v>0</v>
      </c>
    </row>
    <row r="448" spans="1:32" x14ac:dyDescent="0.2">
      <c r="A448" s="3" t="str">
        <f>+VLOOKUP(B448,studies!$A$2:$C$102,3)</f>
        <v>Ceronsky et al. (2011)</v>
      </c>
      <c r="B448" s="87">
        <v>65</v>
      </c>
      <c r="C448" s="5">
        <v>2011</v>
      </c>
      <c r="D448" s="5">
        <v>0</v>
      </c>
      <c r="E448" s="5">
        <v>2010</v>
      </c>
      <c r="F448" s="5">
        <v>2010</v>
      </c>
      <c r="G448" s="113">
        <v>1.3528138528138528E-3</v>
      </c>
      <c r="H448" s="7">
        <v>6.9933772117096815</v>
      </c>
      <c r="I448" s="5">
        <v>0</v>
      </c>
      <c r="J448" s="5">
        <v>1</v>
      </c>
      <c r="K448" s="5">
        <v>0</v>
      </c>
      <c r="L448" s="7" t="s">
        <v>238</v>
      </c>
      <c r="M448" s="7" t="s">
        <v>238</v>
      </c>
      <c r="N448" s="7" t="s">
        <v>238</v>
      </c>
      <c r="O448" s="5">
        <v>0</v>
      </c>
      <c r="P448" s="5">
        <v>1</v>
      </c>
      <c r="Q448" s="5">
        <v>1</v>
      </c>
      <c r="R448" s="5">
        <v>1</v>
      </c>
      <c r="S448" s="5">
        <v>1</v>
      </c>
      <c r="T448" s="5">
        <v>0</v>
      </c>
      <c r="U448" s="5">
        <v>0</v>
      </c>
      <c r="V448" s="13"/>
      <c r="W448" s="13">
        <v>3</v>
      </c>
      <c r="X448" s="3"/>
      <c r="Y448" s="5"/>
      <c r="Z448" s="5"/>
      <c r="AA448" s="5">
        <v>0</v>
      </c>
      <c r="AB448" s="5"/>
      <c r="AC448" s="5">
        <v>0</v>
      </c>
      <c r="AD448" s="5">
        <v>0</v>
      </c>
      <c r="AE448" s="5">
        <v>1</v>
      </c>
      <c r="AF448" s="5">
        <v>0</v>
      </c>
    </row>
    <row r="449" spans="1:32" x14ac:dyDescent="0.2">
      <c r="A449" s="3" t="str">
        <f>+VLOOKUP(B449,studies!$A$2:$C$102,3)</f>
        <v>Ceronsky et al. (2011)</v>
      </c>
      <c r="B449" s="87">
        <v>65</v>
      </c>
      <c r="C449" s="5">
        <v>2011</v>
      </c>
      <c r="D449" s="5">
        <v>0</v>
      </c>
      <c r="E449" s="5">
        <v>2010</v>
      </c>
      <c r="F449" s="5">
        <v>2010</v>
      </c>
      <c r="G449" s="113">
        <v>1.3528138528138528E-4</v>
      </c>
      <c r="H449" s="7">
        <v>11.655628686182801</v>
      </c>
      <c r="I449" s="5">
        <v>0</v>
      </c>
      <c r="J449" s="5">
        <v>1</v>
      </c>
      <c r="K449" s="5">
        <v>0</v>
      </c>
      <c r="L449" s="7" t="s">
        <v>238</v>
      </c>
      <c r="M449" s="7" t="s">
        <v>238</v>
      </c>
      <c r="N449" s="7" t="s">
        <v>238</v>
      </c>
      <c r="O449" s="5">
        <v>0</v>
      </c>
      <c r="P449" s="5">
        <v>1</v>
      </c>
      <c r="Q449" s="5">
        <v>1</v>
      </c>
      <c r="R449" s="5">
        <v>1</v>
      </c>
      <c r="S449" s="5">
        <v>1</v>
      </c>
      <c r="T449" s="5">
        <v>0</v>
      </c>
      <c r="U449" s="5">
        <v>0</v>
      </c>
      <c r="V449" s="13"/>
      <c r="W449" s="13">
        <v>3</v>
      </c>
      <c r="X449" s="3"/>
      <c r="Y449" s="5"/>
      <c r="Z449" s="5"/>
      <c r="AA449" s="5">
        <v>0</v>
      </c>
      <c r="AB449" s="5"/>
      <c r="AC449" s="5">
        <v>0</v>
      </c>
      <c r="AD449" s="5">
        <v>0</v>
      </c>
      <c r="AE449" s="5">
        <v>1</v>
      </c>
      <c r="AF449" s="5">
        <v>0</v>
      </c>
    </row>
    <row r="450" spans="1:32" x14ac:dyDescent="0.2">
      <c r="A450" s="3" t="str">
        <f>+VLOOKUP(B450,studies!$A$2:$C$102,3)</f>
        <v>Ceronsky et al. (2011)</v>
      </c>
      <c r="B450" s="87">
        <v>65</v>
      </c>
      <c r="C450" s="5">
        <v>2011</v>
      </c>
      <c r="D450" s="5">
        <v>0</v>
      </c>
      <c r="E450" s="5">
        <v>2010</v>
      </c>
      <c r="F450" s="5">
        <v>2010</v>
      </c>
      <c r="G450" s="113">
        <v>1.3528138528138528E-2</v>
      </c>
      <c r="H450" s="7">
        <v>10.490065817564522</v>
      </c>
      <c r="I450" s="5">
        <v>0</v>
      </c>
      <c r="J450" s="5">
        <v>1</v>
      </c>
      <c r="K450" s="5">
        <v>0</v>
      </c>
      <c r="L450" s="7" t="s">
        <v>238</v>
      </c>
      <c r="M450" s="7" t="s">
        <v>238</v>
      </c>
      <c r="N450" s="7" t="s">
        <v>238</v>
      </c>
      <c r="O450" s="5">
        <v>0</v>
      </c>
      <c r="P450" s="5">
        <v>1</v>
      </c>
      <c r="Q450" s="5">
        <v>1</v>
      </c>
      <c r="R450" s="5">
        <v>1</v>
      </c>
      <c r="S450" s="5">
        <v>1</v>
      </c>
      <c r="T450" s="5">
        <v>0</v>
      </c>
      <c r="U450" s="5">
        <v>0</v>
      </c>
      <c r="V450" s="13"/>
      <c r="W450" s="13">
        <v>3</v>
      </c>
      <c r="X450" s="3"/>
      <c r="Y450" s="5"/>
      <c r="Z450" s="5"/>
      <c r="AA450" s="5">
        <v>0</v>
      </c>
      <c r="AB450" s="5"/>
      <c r="AC450" s="5">
        <v>0</v>
      </c>
      <c r="AD450" s="5">
        <v>0</v>
      </c>
      <c r="AE450" s="5">
        <v>1</v>
      </c>
      <c r="AF450" s="5">
        <v>0</v>
      </c>
    </row>
    <row r="451" spans="1:32" x14ac:dyDescent="0.2">
      <c r="A451" s="3" t="str">
        <f>+VLOOKUP(B451,studies!$A$2:$C$102,3)</f>
        <v>Ceronsky et al. (2011)</v>
      </c>
      <c r="B451" s="87">
        <v>65</v>
      </c>
      <c r="C451" s="5">
        <v>2011</v>
      </c>
      <c r="D451" s="5">
        <v>0</v>
      </c>
      <c r="E451" s="5">
        <v>2010</v>
      </c>
      <c r="F451" s="5">
        <v>2010</v>
      </c>
      <c r="G451" s="113">
        <v>1.3528138528138528E-3</v>
      </c>
      <c r="H451" s="7">
        <v>16.317880160655921</v>
      </c>
      <c r="I451" s="5">
        <v>0</v>
      </c>
      <c r="J451" s="5">
        <v>1</v>
      </c>
      <c r="K451" s="5">
        <v>0</v>
      </c>
      <c r="L451" s="7" t="s">
        <v>238</v>
      </c>
      <c r="M451" s="7" t="s">
        <v>238</v>
      </c>
      <c r="N451" s="7" t="s">
        <v>238</v>
      </c>
      <c r="O451" s="5">
        <v>0</v>
      </c>
      <c r="P451" s="5">
        <v>1</v>
      </c>
      <c r="Q451" s="5">
        <v>1</v>
      </c>
      <c r="R451" s="5">
        <v>1</v>
      </c>
      <c r="S451" s="5">
        <v>1</v>
      </c>
      <c r="T451" s="5">
        <v>0</v>
      </c>
      <c r="U451" s="5">
        <v>0</v>
      </c>
      <c r="V451" s="13"/>
      <c r="W451" s="13">
        <v>3</v>
      </c>
      <c r="X451" s="3"/>
      <c r="Y451" s="5"/>
      <c r="Z451" s="5"/>
      <c r="AA451" s="5">
        <v>0</v>
      </c>
      <c r="AB451" s="5"/>
      <c r="AC451" s="5">
        <v>0</v>
      </c>
      <c r="AD451" s="5">
        <v>0</v>
      </c>
      <c r="AE451" s="5">
        <v>1</v>
      </c>
      <c r="AF451" s="5">
        <v>0</v>
      </c>
    </row>
    <row r="452" spans="1:32" x14ac:dyDescent="0.2">
      <c r="A452" s="3" t="str">
        <f>+VLOOKUP(B452,studies!$A$2:$C$102,3)</f>
        <v>Ceronsky et al. (2011)</v>
      </c>
      <c r="B452" s="87">
        <v>65</v>
      </c>
      <c r="C452" s="5">
        <v>2011</v>
      </c>
      <c r="D452" s="5">
        <v>0</v>
      </c>
      <c r="E452" s="5">
        <v>2010</v>
      </c>
      <c r="F452" s="5">
        <v>2010</v>
      </c>
      <c r="G452" s="113">
        <v>1.3528138528138528E-4</v>
      </c>
      <c r="H452" s="7">
        <v>17.483443029274202</v>
      </c>
      <c r="I452" s="5">
        <v>0</v>
      </c>
      <c r="J452" s="5">
        <v>1</v>
      </c>
      <c r="K452" s="5">
        <v>0</v>
      </c>
      <c r="L452" s="7" t="s">
        <v>238</v>
      </c>
      <c r="M452" s="7" t="s">
        <v>238</v>
      </c>
      <c r="N452" s="7" t="s">
        <v>238</v>
      </c>
      <c r="O452" s="5">
        <v>0</v>
      </c>
      <c r="P452" s="5">
        <v>1</v>
      </c>
      <c r="Q452" s="5">
        <v>1</v>
      </c>
      <c r="R452" s="5">
        <v>1</v>
      </c>
      <c r="S452" s="5">
        <v>1</v>
      </c>
      <c r="T452" s="5">
        <v>0</v>
      </c>
      <c r="U452" s="5">
        <v>0</v>
      </c>
      <c r="V452" s="13"/>
      <c r="W452" s="13">
        <v>3</v>
      </c>
      <c r="X452" s="3"/>
      <c r="Y452" s="5"/>
      <c r="Z452" s="5"/>
      <c r="AA452" s="5">
        <v>0</v>
      </c>
      <c r="AB452" s="5"/>
      <c r="AC452" s="5">
        <v>0</v>
      </c>
      <c r="AD452" s="5">
        <v>0</v>
      </c>
      <c r="AE452" s="5">
        <v>1</v>
      </c>
      <c r="AF452" s="5">
        <v>0</v>
      </c>
    </row>
    <row r="453" spans="1:32" x14ac:dyDescent="0.2">
      <c r="A453" s="3" t="str">
        <f>+VLOOKUP(B453,studies!$A$2:$C$102,3)</f>
        <v>Dietz (2011)</v>
      </c>
      <c r="B453" s="87">
        <v>66</v>
      </c>
      <c r="C453" s="5">
        <v>2011</v>
      </c>
      <c r="D453" s="5">
        <v>1</v>
      </c>
      <c r="E453" s="5">
        <v>2008</v>
      </c>
      <c r="F453" s="48">
        <v>2000</v>
      </c>
      <c r="G453" s="115">
        <v>0.25</v>
      </c>
      <c r="H453" s="7">
        <v>2614.6574412128552</v>
      </c>
      <c r="I453" s="5">
        <v>1</v>
      </c>
      <c r="J453" s="5">
        <v>0</v>
      </c>
      <c r="K453" s="5">
        <v>0</v>
      </c>
      <c r="L453" s="7" t="s">
        <v>238</v>
      </c>
      <c r="M453" s="7">
        <v>1270.6160996868305</v>
      </c>
      <c r="N453" s="7">
        <v>4251.1576952569931</v>
      </c>
      <c r="O453" s="5">
        <v>0</v>
      </c>
      <c r="P453" s="5">
        <v>1</v>
      </c>
      <c r="Q453" s="5">
        <v>0</v>
      </c>
      <c r="R453" s="5">
        <v>1</v>
      </c>
      <c r="S453" s="5">
        <v>0</v>
      </c>
      <c r="T453" s="5">
        <v>0</v>
      </c>
      <c r="U453" s="5">
        <v>1</v>
      </c>
      <c r="V453" s="13"/>
      <c r="W453" s="13">
        <v>1</v>
      </c>
      <c r="X453" s="3">
        <v>0.1</v>
      </c>
      <c r="Y453" s="5"/>
      <c r="Z453" s="5"/>
      <c r="AA453" s="5">
        <v>0</v>
      </c>
      <c r="AB453" s="5"/>
      <c r="AC453" s="5">
        <v>0</v>
      </c>
      <c r="AD453" s="5">
        <v>0</v>
      </c>
      <c r="AE453" s="5">
        <v>0</v>
      </c>
      <c r="AF453" s="5">
        <v>0</v>
      </c>
    </row>
    <row r="454" spans="1:32" x14ac:dyDescent="0.2">
      <c r="A454" s="3" t="str">
        <f>+VLOOKUP(B454,studies!$A$2:$C$102,3)</f>
        <v>Dietz (2011)</v>
      </c>
      <c r="B454" s="87">
        <v>66</v>
      </c>
      <c r="C454" s="5">
        <v>2011</v>
      </c>
      <c r="D454" s="5">
        <v>1</v>
      </c>
      <c r="E454" s="5">
        <v>2008</v>
      </c>
      <c r="F454" s="48">
        <v>2000</v>
      </c>
      <c r="G454" s="115">
        <v>0.25</v>
      </c>
      <c r="H454" s="7">
        <v>2035.8046839588494</v>
      </c>
      <c r="I454" s="5">
        <v>1</v>
      </c>
      <c r="J454" s="5">
        <v>0</v>
      </c>
      <c r="K454" s="5">
        <v>0</v>
      </c>
      <c r="L454" s="7"/>
      <c r="M454" s="7">
        <v>1024.6652405719685</v>
      </c>
      <c r="N454" s="7">
        <v>3037.1240937758994</v>
      </c>
      <c r="O454" s="5">
        <v>0</v>
      </c>
      <c r="P454" s="5">
        <v>1</v>
      </c>
      <c r="Q454" s="5">
        <v>0</v>
      </c>
      <c r="R454" s="5">
        <v>1</v>
      </c>
      <c r="S454" s="5">
        <v>0</v>
      </c>
      <c r="T454" s="5">
        <v>0</v>
      </c>
      <c r="U454" s="5">
        <v>1</v>
      </c>
      <c r="V454" s="13"/>
      <c r="W454" s="13">
        <v>3</v>
      </c>
      <c r="X454" s="3">
        <v>1.3</v>
      </c>
      <c r="Y454" s="5"/>
      <c r="Z454" s="5"/>
      <c r="AA454" s="5">
        <v>0</v>
      </c>
      <c r="AB454" s="5"/>
      <c r="AC454" s="5">
        <v>0</v>
      </c>
      <c r="AD454" s="5">
        <v>0</v>
      </c>
      <c r="AE454" s="5">
        <v>0</v>
      </c>
      <c r="AF454" s="5">
        <v>0</v>
      </c>
    </row>
    <row r="455" spans="1:32" x14ac:dyDescent="0.2">
      <c r="A455" s="3" t="str">
        <f>+VLOOKUP(B455,studies!$A$2:$C$102,3)</f>
        <v>Hope (2011)</v>
      </c>
      <c r="B455" s="87">
        <v>67</v>
      </c>
      <c r="C455" s="5">
        <v>2011</v>
      </c>
      <c r="D455" s="5">
        <v>1</v>
      </c>
      <c r="E455" s="5">
        <v>2005</v>
      </c>
      <c r="F455" s="5">
        <v>2009</v>
      </c>
      <c r="G455" s="113">
        <v>0.5</v>
      </c>
      <c r="H455" s="7">
        <v>502.20171035306595</v>
      </c>
      <c r="I455" s="5">
        <v>1</v>
      </c>
      <c r="J455" s="5">
        <v>0</v>
      </c>
      <c r="K455" s="5">
        <v>0</v>
      </c>
      <c r="L455" s="7">
        <v>1279.24409416868</v>
      </c>
      <c r="M455" s="7">
        <v>231.12245633852109</v>
      </c>
      <c r="N455" s="7">
        <v>421.55310191080542</v>
      </c>
      <c r="O455" s="5">
        <v>0</v>
      </c>
      <c r="P455" s="5">
        <v>1</v>
      </c>
      <c r="Q455" s="5">
        <v>0</v>
      </c>
      <c r="R455" s="5">
        <v>1</v>
      </c>
      <c r="S455" s="5">
        <v>0</v>
      </c>
      <c r="T455" s="5">
        <v>0</v>
      </c>
      <c r="U455" s="5">
        <v>1</v>
      </c>
      <c r="V455" s="13"/>
      <c r="W455" s="13">
        <v>1</v>
      </c>
      <c r="X455" s="5"/>
      <c r="Y455" s="5"/>
      <c r="Z455" s="5"/>
      <c r="AA455" s="5">
        <v>1</v>
      </c>
      <c r="AB455" s="5"/>
      <c r="AC455" s="5">
        <v>1</v>
      </c>
      <c r="AD455" s="5">
        <v>0</v>
      </c>
      <c r="AE455" s="5">
        <v>0</v>
      </c>
      <c r="AF455" s="5">
        <v>0</v>
      </c>
    </row>
    <row r="456" spans="1:32" x14ac:dyDescent="0.2">
      <c r="A456" s="3" t="str">
        <f>+VLOOKUP(B456,studies!$A$2:$C$102,3)</f>
        <v>Hope (2011)</v>
      </c>
      <c r="B456" s="87">
        <v>67</v>
      </c>
      <c r="C456" s="5">
        <v>2011</v>
      </c>
      <c r="D456" s="5">
        <v>1</v>
      </c>
      <c r="E456" s="5">
        <v>2005</v>
      </c>
      <c r="F456" s="5">
        <v>2009</v>
      </c>
      <c r="G456" s="113">
        <v>0.5</v>
      </c>
      <c r="H456" s="7">
        <v>260.22776977146725</v>
      </c>
      <c r="I456" s="5">
        <v>1</v>
      </c>
      <c r="J456" s="5">
        <v>0</v>
      </c>
      <c r="K456" s="5">
        <v>0</v>
      </c>
      <c r="L456" s="7">
        <v>984.03391859129226</v>
      </c>
      <c r="M456" s="7">
        <v>120.21781724830863</v>
      </c>
      <c r="N456" s="7">
        <v>193.56850883309829</v>
      </c>
      <c r="O456" s="5">
        <v>0</v>
      </c>
      <c r="P456" s="5">
        <v>1</v>
      </c>
      <c r="Q456" s="5">
        <v>0</v>
      </c>
      <c r="R456" s="5">
        <v>1</v>
      </c>
      <c r="S456" s="5">
        <v>0</v>
      </c>
      <c r="T456" s="5">
        <v>0</v>
      </c>
      <c r="U456" s="5">
        <v>1</v>
      </c>
      <c r="V456" s="13"/>
      <c r="W456" s="13">
        <v>1</v>
      </c>
      <c r="X456" s="5"/>
      <c r="Y456" s="5"/>
      <c r="Z456" s="5"/>
      <c r="AA456" s="5">
        <v>1</v>
      </c>
      <c r="AB456" s="5"/>
      <c r="AC456" s="5">
        <v>1</v>
      </c>
      <c r="AD456" s="5">
        <v>0</v>
      </c>
      <c r="AE456" s="5">
        <v>0</v>
      </c>
      <c r="AF456" s="5">
        <v>0</v>
      </c>
    </row>
    <row r="457" spans="1:32" x14ac:dyDescent="0.2">
      <c r="A457" s="3" t="str">
        <f>+VLOOKUP(B457,studies!$A$2:$C$102,3)</f>
        <v>Nordhaus (2011)</v>
      </c>
      <c r="B457" s="87">
        <v>68</v>
      </c>
      <c r="C457" s="5">
        <v>2011</v>
      </c>
      <c r="D457" s="5">
        <v>0</v>
      </c>
      <c r="E457" s="5">
        <v>2005</v>
      </c>
      <c r="F457" s="5">
        <v>2015</v>
      </c>
      <c r="G457" s="113">
        <v>1</v>
      </c>
      <c r="H457" s="7">
        <v>45.229849896978997</v>
      </c>
      <c r="I457" s="5">
        <v>0</v>
      </c>
      <c r="J457" s="5">
        <v>0</v>
      </c>
      <c r="K457" s="5">
        <v>1</v>
      </c>
      <c r="L457" s="7">
        <v>21.606703451920119</v>
      </c>
      <c r="M457" s="7">
        <v>21.606703451920119</v>
      </c>
      <c r="N457" s="7">
        <v>21.606703451920119</v>
      </c>
      <c r="O457" s="5">
        <v>1</v>
      </c>
      <c r="P457" s="5">
        <v>1</v>
      </c>
      <c r="Q457" s="5">
        <v>0</v>
      </c>
      <c r="R457" s="5">
        <v>1</v>
      </c>
      <c r="S457" s="5">
        <v>0</v>
      </c>
      <c r="T457" s="5">
        <v>1</v>
      </c>
      <c r="U457" s="5">
        <v>0</v>
      </c>
      <c r="V457" s="13"/>
      <c r="W457" s="13">
        <v>1.5</v>
      </c>
      <c r="X457" s="3"/>
      <c r="Y457" s="5"/>
      <c r="Z457" s="5"/>
      <c r="AA457" s="5">
        <v>1</v>
      </c>
      <c r="AB457" s="5">
        <v>3</v>
      </c>
      <c r="AC457" s="5">
        <v>0</v>
      </c>
      <c r="AD457" s="5">
        <v>1</v>
      </c>
      <c r="AE457" s="5">
        <v>0</v>
      </c>
      <c r="AF457" s="5">
        <v>0</v>
      </c>
    </row>
    <row r="458" spans="1:32" x14ac:dyDescent="0.2">
      <c r="A458" s="3" t="str">
        <f>+VLOOKUP(B458,studies!$A$2:$C$102,3)</f>
        <v>Pycroft et al. (2011)</v>
      </c>
      <c r="B458" s="87">
        <v>69</v>
      </c>
      <c r="C458" s="5">
        <v>2011</v>
      </c>
      <c r="D458" s="5">
        <v>1</v>
      </c>
      <c r="E458" s="48">
        <v>2005</v>
      </c>
      <c r="F458" s="48">
        <v>2009</v>
      </c>
      <c r="G458" s="115">
        <v>9.0909090909090912E-2</v>
      </c>
      <c r="H458" s="7">
        <v>241.08831005486661</v>
      </c>
      <c r="I458" s="5">
        <v>0</v>
      </c>
      <c r="J458" s="5">
        <v>0</v>
      </c>
      <c r="K458" s="5">
        <v>1</v>
      </c>
      <c r="L458" s="7" t="s">
        <v>238</v>
      </c>
      <c r="M458" s="7">
        <v>95.391043128747711</v>
      </c>
      <c r="N458" s="7">
        <v>456.87289077452857</v>
      </c>
      <c r="O458" s="5">
        <v>0</v>
      </c>
      <c r="P458" s="5">
        <v>1</v>
      </c>
      <c r="Q458" s="5">
        <v>0</v>
      </c>
      <c r="R458" s="5">
        <v>1</v>
      </c>
      <c r="S458" s="5">
        <v>0</v>
      </c>
      <c r="T458" s="5">
        <v>0</v>
      </c>
      <c r="U458" s="5">
        <v>1</v>
      </c>
      <c r="V458" s="13" t="s">
        <v>25</v>
      </c>
      <c r="W458" s="13" t="s">
        <v>25</v>
      </c>
      <c r="X458" s="5"/>
      <c r="Y458" s="5"/>
      <c r="Z458" s="5"/>
      <c r="AA458" s="5">
        <v>1</v>
      </c>
      <c r="AB458" s="5"/>
      <c r="AC458" s="5">
        <v>1</v>
      </c>
      <c r="AD458" s="5">
        <v>0</v>
      </c>
      <c r="AE458" s="5">
        <v>0</v>
      </c>
      <c r="AF458" s="5">
        <v>0</v>
      </c>
    </row>
    <row r="459" spans="1:32" x14ac:dyDescent="0.2">
      <c r="A459" s="3" t="str">
        <f>+VLOOKUP(B459,studies!$A$2:$C$102,3)</f>
        <v>Pycroft et al. (2011)</v>
      </c>
      <c r="B459" s="87">
        <v>69</v>
      </c>
      <c r="C459" s="5">
        <v>2011</v>
      </c>
      <c r="D459" s="5">
        <v>1</v>
      </c>
      <c r="E459" s="48">
        <v>2005</v>
      </c>
      <c r="F459" s="48">
        <v>2009</v>
      </c>
      <c r="G459" s="115">
        <v>9.0909090909090912E-2</v>
      </c>
      <c r="H459" s="7">
        <v>280.44966679851831</v>
      </c>
      <c r="I459" s="5">
        <v>0</v>
      </c>
      <c r="J459" s="5">
        <v>0</v>
      </c>
      <c r="K459" s="5">
        <v>1</v>
      </c>
      <c r="L459" s="7" t="s">
        <v>238</v>
      </c>
      <c r="M459" s="7">
        <v>112.96307738930652</v>
      </c>
      <c r="N459" s="7">
        <v>795.76212294244817</v>
      </c>
      <c r="O459" s="5">
        <v>0</v>
      </c>
      <c r="P459" s="5">
        <v>1</v>
      </c>
      <c r="Q459" s="5">
        <v>0</v>
      </c>
      <c r="R459" s="5">
        <v>1</v>
      </c>
      <c r="S459" s="5">
        <v>0</v>
      </c>
      <c r="T459" s="5">
        <v>0</v>
      </c>
      <c r="U459" s="5">
        <v>1</v>
      </c>
      <c r="V459" s="13" t="s">
        <v>25</v>
      </c>
      <c r="W459" s="13" t="s">
        <v>25</v>
      </c>
      <c r="X459" s="5"/>
      <c r="Y459" s="5"/>
      <c r="Z459" s="5"/>
      <c r="AA459" s="5">
        <v>1</v>
      </c>
      <c r="AB459" s="5"/>
      <c r="AC459" s="5">
        <v>1</v>
      </c>
      <c r="AD459" s="5">
        <v>0</v>
      </c>
      <c r="AE459" s="5">
        <v>0</v>
      </c>
      <c r="AF459" s="5">
        <v>0</v>
      </c>
    </row>
    <row r="460" spans="1:32" x14ac:dyDescent="0.2">
      <c r="A460" s="3" t="str">
        <f>+VLOOKUP(B460,studies!$A$2:$C$102,3)</f>
        <v>Pycroft et al. (2011)</v>
      </c>
      <c r="B460" s="87">
        <v>69</v>
      </c>
      <c r="C460" s="5">
        <v>2011</v>
      </c>
      <c r="D460" s="5">
        <v>1</v>
      </c>
      <c r="E460" s="48">
        <v>2005</v>
      </c>
      <c r="F460" s="48">
        <v>2009</v>
      </c>
      <c r="G460" s="115">
        <v>9.0909090909090912E-2</v>
      </c>
      <c r="H460" s="7">
        <v>280.44966679851831</v>
      </c>
      <c r="I460" s="5">
        <v>0</v>
      </c>
      <c r="J460" s="5">
        <v>0</v>
      </c>
      <c r="K460" s="5">
        <v>1</v>
      </c>
      <c r="L460" s="7" t="s">
        <v>238</v>
      </c>
      <c r="M460" s="7">
        <v>115.47336799795778</v>
      </c>
      <c r="N460" s="7">
        <v>883.62229424524207</v>
      </c>
      <c r="O460" s="5">
        <v>0</v>
      </c>
      <c r="P460" s="5">
        <v>1</v>
      </c>
      <c r="Q460" s="5">
        <v>0</v>
      </c>
      <c r="R460" s="5">
        <v>1</v>
      </c>
      <c r="S460" s="5">
        <v>0</v>
      </c>
      <c r="T460" s="5">
        <v>0</v>
      </c>
      <c r="U460" s="5">
        <v>1</v>
      </c>
      <c r="V460" s="13" t="s">
        <v>25</v>
      </c>
      <c r="W460" s="13" t="s">
        <v>25</v>
      </c>
      <c r="X460" s="5"/>
      <c r="Y460" s="5"/>
      <c r="Z460" s="5"/>
      <c r="AA460" s="5">
        <v>1</v>
      </c>
      <c r="AB460" s="5"/>
      <c r="AC460" s="5">
        <v>1</v>
      </c>
      <c r="AD460" s="5">
        <v>0</v>
      </c>
      <c r="AE460" s="5">
        <v>0</v>
      </c>
      <c r="AF460" s="5">
        <v>0</v>
      </c>
    </row>
    <row r="461" spans="1:32" x14ac:dyDescent="0.2">
      <c r="A461" s="3" t="str">
        <f>+VLOOKUP(B461,studies!$A$2:$C$102,3)</f>
        <v>Pycroft et al. (2011)</v>
      </c>
      <c r="B461" s="87">
        <v>69</v>
      </c>
      <c r="C461" s="5">
        <v>2011</v>
      </c>
      <c r="D461" s="5">
        <v>1</v>
      </c>
      <c r="E461" s="48">
        <v>2005</v>
      </c>
      <c r="F461" s="48">
        <v>2009</v>
      </c>
      <c r="G461" s="115">
        <v>9.0909090909090912E-2</v>
      </c>
      <c r="H461" s="7">
        <v>265.68915801964891</v>
      </c>
      <c r="I461" s="5">
        <v>0</v>
      </c>
      <c r="J461" s="5">
        <v>0</v>
      </c>
      <c r="K461" s="5">
        <v>1</v>
      </c>
      <c r="L461" s="7" t="s">
        <v>238</v>
      </c>
      <c r="M461" s="7">
        <v>105.43220556335275</v>
      </c>
      <c r="N461" s="7">
        <v>1280.2482104121405</v>
      </c>
      <c r="O461" s="5">
        <v>0</v>
      </c>
      <c r="P461" s="5">
        <v>1</v>
      </c>
      <c r="Q461" s="5">
        <v>0</v>
      </c>
      <c r="R461" s="5">
        <v>1</v>
      </c>
      <c r="S461" s="5">
        <v>0</v>
      </c>
      <c r="T461" s="5">
        <v>0</v>
      </c>
      <c r="U461" s="5">
        <v>1</v>
      </c>
      <c r="V461" s="13" t="s">
        <v>25</v>
      </c>
      <c r="W461" s="13" t="s">
        <v>25</v>
      </c>
      <c r="X461" s="5"/>
      <c r="Y461" s="5"/>
      <c r="Z461" s="5"/>
      <c r="AA461" s="5">
        <v>1</v>
      </c>
      <c r="AB461" s="5"/>
      <c r="AC461" s="5">
        <v>1</v>
      </c>
      <c r="AD461" s="5">
        <v>0</v>
      </c>
      <c r="AE461" s="5">
        <v>0</v>
      </c>
      <c r="AF461" s="5">
        <v>0</v>
      </c>
    </row>
    <row r="462" spans="1:32" x14ac:dyDescent="0.2">
      <c r="A462" s="3" t="str">
        <f>+VLOOKUP(B462,studies!$A$2:$C$102,3)</f>
        <v>Pycroft et al. (2011)</v>
      </c>
      <c r="B462" s="87">
        <v>69</v>
      </c>
      <c r="C462" s="5">
        <v>2011</v>
      </c>
      <c r="D462" s="5">
        <v>1</v>
      </c>
      <c r="E462" s="48">
        <v>2005</v>
      </c>
      <c r="F462" s="48">
        <v>2009</v>
      </c>
      <c r="G462" s="115">
        <v>9.0909090909090912E-2</v>
      </c>
      <c r="H462" s="7">
        <v>236.16814046191016</v>
      </c>
      <c r="I462" s="5">
        <v>0</v>
      </c>
      <c r="J462" s="5">
        <v>0</v>
      </c>
      <c r="K462" s="5">
        <v>1</v>
      </c>
      <c r="L462" s="7" t="s">
        <v>238</v>
      </c>
      <c r="M462" s="7">
        <v>92.880752520096451</v>
      </c>
      <c r="N462" s="7">
        <v>446.83172833992353</v>
      </c>
      <c r="O462" s="5">
        <v>0</v>
      </c>
      <c r="P462" s="5">
        <v>1</v>
      </c>
      <c r="Q462" s="5">
        <v>0</v>
      </c>
      <c r="R462" s="5">
        <v>1</v>
      </c>
      <c r="S462" s="5">
        <v>0</v>
      </c>
      <c r="T462" s="5">
        <v>0</v>
      </c>
      <c r="U462" s="5">
        <v>1</v>
      </c>
      <c r="V462" s="13" t="s">
        <v>25</v>
      </c>
      <c r="W462" s="13" t="s">
        <v>25</v>
      </c>
      <c r="X462" s="5"/>
      <c r="Y462" s="5"/>
      <c r="Z462" s="5"/>
      <c r="AA462" s="5">
        <v>1</v>
      </c>
      <c r="AB462" s="5"/>
      <c r="AC462" s="5">
        <v>1</v>
      </c>
      <c r="AD462" s="5">
        <v>0</v>
      </c>
      <c r="AE462" s="5">
        <v>0</v>
      </c>
      <c r="AF462" s="5">
        <v>0</v>
      </c>
    </row>
    <row r="463" spans="1:32" x14ac:dyDescent="0.2">
      <c r="A463" s="3" t="str">
        <f>+VLOOKUP(B463,studies!$A$2:$C$102,3)</f>
        <v>Pycroft et al. (2011)</v>
      </c>
      <c r="B463" s="87">
        <v>69</v>
      </c>
      <c r="C463" s="5">
        <v>2011</v>
      </c>
      <c r="D463" s="5">
        <v>1</v>
      </c>
      <c r="E463" s="48">
        <v>2005</v>
      </c>
      <c r="F463" s="48">
        <v>2009</v>
      </c>
      <c r="G463" s="115">
        <v>9.0909090909090912E-2</v>
      </c>
      <c r="H463" s="7">
        <v>246.00847964782312</v>
      </c>
      <c r="I463" s="5">
        <v>0</v>
      </c>
      <c r="J463" s="5">
        <v>0</v>
      </c>
      <c r="K463" s="5">
        <v>1</v>
      </c>
      <c r="L463" s="7" t="s">
        <v>238</v>
      </c>
      <c r="M463" s="7">
        <v>97.901333737398971</v>
      </c>
      <c r="N463" s="7">
        <v>627.57265216281405</v>
      </c>
      <c r="O463" s="5">
        <v>0</v>
      </c>
      <c r="P463" s="5">
        <v>1</v>
      </c>
      <c r="Q463" s="5">
        <v>0</v>
      </c>
      <c r="R463" s="5">
        <v>1</v>
      </c>
      <c r="S463" s="5">
        <v>0</v>
      </c>
      <c r="T463" s="5">
        <v>0</v>
      </c>
      <c r="U463" s="5">
        <v>1</v>
      </c>
      <c r="V463" s="13" t="s">
        <v>25</v>
      </c>
      <c r="W463" s="13" t="s">
        <v>25</v>
      </c>
      <c r="X463" s="5"/>
      <c r="Y463" s="5"/>
      <c r="Z463" s="5"/>
      <c r="AA463" s="5">
        <v>1</v>
      </c>
      <c r="AB463" s="5"/>
      <c r="AC463" s="5">
        <v>1</v>
      </c>
      <c r="AD463" s="5">
        <v>0</v>
      </c>
      <c r="AE463" s="5">
        <v>0</v>
      </c>
      <c r="AF463" s="5">
        <v>0</v>
      </c>
    </row>
    <row r="464" spans="1:32" x14ac:dyDescent="0.2">
      <c r="A464" s="3" t="str">
        <f>+VLOOKUP(B464,studies!$A$2:$C$102,3)</f>
        <v>Pycroft et al. (2011)</v>
      </c>
      <c r="B464" s="87">
        <v>69</v>
      </c>
      <c r="C464" s="5">
        <v>2011</v>
      </c>
      <c r="D464" s="5">
        <v>1</v>
      </c>
      <c r="E464" s="48">
        <v>2005</v>
      </c>
      <c r="F464" s="48">
        <v>2009</v>
      </c>
      <c r="G464" s="115">
        <v>9.0909090909090912E-2</v>
      </c>
      <c r="H464" s="7">
        <v>246.00847964782312</v>
      </c>
      <c r="I464" s="5">
        <v>0</v>
      </c>
      <c r="J464" s="5">
        <v>0</v>
      </c>
      <c r="K464" s="5">
        <v>1</v>
      </c>
      <c r="L464" s="7" t="s">
        <v>238</v>
      </c>
      <c r="M464" s="7">
        <v>97.901333737398971</v>
      </c>
      <c r="N464" s="7">
        <v>627.57265216281405</v>
      </c>
      <c r="O464" s="5">
        <v>0</v>
      </c>
      <c r="P464" s="5">
        <v>1</v>
      </c>
      <c r="Q464" s="5">
        <v>0</v>
      </c>
      <c r="R464" s="5">
        <v>1</v>
      </c>
      <c r="S464" s="5">
        <v>0</v>
      </c>
      <c r="T464" s="5">
        <v>0</v>
      </c>
      <c r="U464" s="5">
        <v>1</v>
      </c>
      <c r="V464" s="13" t="s">
        <v>25</v>
      </c>
      <c r="W464" s="13" t="s">
        <v>25</v>
      </c>
      <c r="X464" s="5"/>
      <c r="Y464" s="5"/>
      <c r="Z464" s="5"/>
      <c r="AA464" s="5">
        <v>1</v>
      </c>
      <c r="AB464" s="5"/>
      <c r="AC464" s="5">
        <v>1</v>
      </c>
      <c r="AD464" s="5">
        <v>0</v>
      </c>
      <c r="AE464" s="5">
        <v>0</v>
      </c>
      <c r="AF464" s="5">
        <v>0</v>
      </c>
    </row>
    <row r="465" spans="1:32" x14ac:dyDescent="0.2">
      <c r="A465" s="3" t="str">
        <f>+VLOOKUP(B465,studies!$A$2:$C$102,3)</f>
        <v>Pycroft et al. (2011)</v>
      </c>
      <c r="B465" s="87">
        <v>69</v>
      </c>
      <c r="C465" s="5">
        <v>2011</v>
      </c>
      <c r="D465" s="5">
        <v>1</v>
      </c>
      <c r="E465" s="48">
        <v>2005</v>
      </c>
      <c r="F465" s="48">
        <v>2009</v>
      </c>
      <c r="G465" s="115">
        <v>9.0909090909090912E-2</v>
      </c>
      <c r="H465" s="7">
        <v>246.00847964782312</v>
      </c>
      <c r="I465" s="5">
        <v>0</v>
      </c>
      <c r="J465" s="5">
        <v>0</v>
      </c>
      <c r="K465" s="5">
        <v>1</v>
      </c>
      <c r="L465" s="7" t="s">
        <v>238</v>
      </c>
      <c r="M465" s="7">
        <v>97.901333737398971</v>
      </c>
      <c r="N465" s="7">
        <v>773.1695074645869</v>
      </c>
      <c r="O465" s="5">
        <v>0</v>
      </c>
      <c r="P465" s="5">
        <v>1</v>
      </c>
      <c r="Q465" s="5">
        <v>0</v>
      </c>
      <c r="R465" s="5">
        <v>1</v>
      </c>
      <c r="S465" s="5">
        <v>0</v>
      </c>
      <c r="T465" s="5">
        <v>0</v>
      </c>
      <c r="U465" s="5">
        <v>1</v>
      </c>
      <c r="V465" s="13" t="s">
        <v>25</v>
      </c>
      <c r="W465" s="13" t="s">
        <v>25</v>
      </c>
      <c r="X465" s="5"/>
      <c r="Y465" s="5"/>
      <c r="Z465" s="5"/>
      <c r="AA465" s="5">
        <v>1</v>
      </c>
      <c r="AB465" s="5"/>
      <c r="AC465" s="5">
        <v>1</v>
      </c>
      <c r="AD465" s="5">
        <v>0</v>
      </c>
      <c r="AE465" s="5">
        <v>0</v>
      </c>
      <c r="AF465" s="5">
        <v>0</v>
      </c>
    </row>
    <row r="466" spans="1:32" x14ac:dyDescent="0.2">
      <c r="A466" s="3" t="str">
        <f>+VLOOKUP(B466,studies!$A$2:$C$102,3)</f>
        <v>Pycroft et al. (2011)</v>
      </c>
      <c r="B466" s="87">
        <v>69</v>
      </c>
      <c r="C466" s="5">
        <v>2011</v>
      </c>
      <c r="D466" s="5">
        <v>1</v>
      </c>
      <c r="E466" s="48">
        <v>2005</v>
      </c>
      <c r="F466" s="48">
        <v>2009</v>
      </c>
      <c r="G466" s="115">
        <v>9.0909090909090912E-2</v>
      </c>
      <c r="H466" s="7">
        <v>285.36983639147473</v>
      </c>
      <c r="I466" s="5">
        <v>0</v>
      </c>
      <c r="J466" s="5">
        <v>0</v>
      </c>
      <c r="K466" s="5">
        <v>1</v>
      </c>
      <c r="L466" s="7" t="s">
        <v>238</v>
      </c>
      <c r="M466" s="7">
        <v>115.47336799795778</v>
      </c>
      <c r="N466" s="7">
        <v>1081.9352523286911</v>
      </c>
      <c r="O466" s="5">
        <v>0</v>
      </c>
      <c r="P466" s="5">
        <v>1</v>
      </c>
      <c r="Q466" s="5">
        <v>0</v>
      </c>
      <c r="R466" s="5">
        <v>1</v>
      </c>
      <c r="S466" s="5">
        <v>0</v>
      </c>
      <c r="T466" s="5">
        <v>0</v>
      </c>
      <c r="U466" s="5">
        <v>1</v>
      </c>
      <c r="V466" s="13" t="s">
        <v>25</v>
      </c>
      <c r="W466" s="13" t="s">
        <v>25</v>
      </c>
      <c r="X466" s="5"/>
      <c r="Y466" s="5"/>
      <c r="Z466" s="5"/>
      <c r="AA466" s="5">
        <v>1</v>
      </c>
      <c r="AB466" s="5"/>
      <c r="AC466" s="5">
        <v>1</v>
      </c>
      <c r="AD466" s="5">
        <v>0</v>
      </c>
      <c r="AE466" s="5">
        <v>0</v>
      </c>
      <c r="AF466" s="5">
        <v>0</v>
      </c>
    </row>
    <row r="467" spans="1:32" x14ac:dyDescent="0.2">
      <c r="A467" s="3" t="str">
        <f>+VLOOKUP(B467,studies!$A$2:$C$102,3)</f>
        <v>Pycroft et al. (2011)</v>
      </c>
      <c r="B467" s="87">
        <v>69</v>
      </c>
      <c r="C467" s="5">
        <v>2011</v>
      </c>
      <c r="D467" s="5">
        <v>1</v>
      </c>
      <c r="E467" s="48">
        <v>2005</v>
      </c>
      <c r="F467" s="48">
        <v>2009</v>
      </c>
      <c r="G467" s="115">
        <v>9.0909090909090912E-2</v>
      </c>
      <c r="H467" s="7">
        <v>280.44966679851831</v>
      </c>
      <c r="I467" s="5">
        <v>0</v>
      </c>
      <c r="J467" s="5">
        <v>0</v>
      </c>
      <c r="K467" s="5">
        <v>1</v>
      </c>
      <c r="L467" s="7" t="s">
        <v>238</v>
      </c>
      <c r="M467" s="7">
        <v>112.96307738930652</v>
      </c>
      <c r="N467" s="7">
        <v>1240.0835606737205</v>
      </c>
      <c r="O467" s="5">
        <v>0</v>
      </c>
      <c r="P467" s="5">
        <v>1</v>
      </c>
      <c r="Q467" s="5">
        <v>0</v>
      </c>
      <c r="R467" s="5">
        <v>1</v>
      </c>
      <c r="S467" s="5">
        <v>0</v>
      </c>
      <c r="T467" s="5">
        <v>0</v>
      </c>
      <c r="U467" s="5">
        <v>1</v>
      </c>
      <c r="V467" s="13" t="s">
        <v>25</v>
      </c>
      <c r="W467" s="13" t="s">
        <v>25</v>
      </c>
      <c r="X467" s="5"/>
      <c r="Y467" s="5"/>
      <c r="Z467" s="5"/>
      <c r="AA467" s="5">
        <v>1</v>
      </c>
      <c r="AB467" s="5"/>
      <c r="AC467" s="5">
        <v>1</v>
      </c>
      <c r="AD467" s="5">
        <v>0</v>
      </c>
      <c r="AE467" s="5">
        <v>0</v>
      </c>
      <c r="AF467" s="5">
        <v>0</v>
      </c>
    </row>
    <row r="468" spans="1:32" x14ac:dyDescent="0.2">
      <c r="A468" s="3" t="str">
        <f>+VLOOKUP(B468,studies!$A$2:$C$102,3)</f>
        <v>Pycroft et al. (2011)</v>
      </c>
      <c r="B468" s="87">
        <v>69</v>
      </c>
      <c r="C468" s="5">
        <v>2011</v>
      </c>
      <c r="D468" s="5">
        <v>1</v>
      </c>
      <c r="E468" s="48">
        <v>2005</v>
      </c>
      <c r="F468" s="48">
        <v>2009</v>
      </c>
      <c r="G468" s="115">
        <v>9.0909090909090912E-2</v>
      </c>
      <c r="H468" s="7">
        <v>270.6093276126054</v>
      </c>
      <c r="I468" s="5">
        <v>0</v>
      </c>
      <c r="J468" s="5">
        <v>0</v>
      </c>
      <c r="K468" s="5">
        <v>1</v>
      </c>
      <c r="L468" s="7" t="s">
        <v>238</v>
      </c>
      <c r="M468" s="7">
        <v>110.45278678065525</v>
      </c>
      <c r="N468" s="7">
        <v>1968.067837182585</v>
      </c>
      <c r="O468" s="5">
        <v>0</v>
      </c>
      <c r="P468" s="5">
        <v>1</v>
      </c>
      <c r="Q468" s="5">
        <v>0</v>
      </c>
      <c r="R468" s="5">
        <v>1</v>
      </c>
      <c r="S468" s="5">
        <v>0</v>
      </c>
      <c r="T468" s="5">
        <v>0</v>
      </c>
      <c r="U468" s="5">
        <v>1</v>
      </c>
      <c r="V468" s="13" t="s">
        <v>25</v>
      </c>
      <c r="W468" s="13" t="s">
        <v>25</v>
      </c>
      <c r="X468" s="5"/>
      <c r="Y468" s="5"/>
      <c r="Z468" s="5"/>
      <c r="AA468" s="5">
        <v>1</v>
      </c>
      <c r="AB468" s="5"/>
      <c r="AC468" s="5">
        <v>1</v>
      </c>
      <c r="AD468" s="5">
        <v>0</v>
      </c>
      <c r="AE468" s="5">
        <v>0</v>
      </c>
      <c r="AF468" s="5">
        <v>0</v>
      </c>
    </row>
    <row r="469" spans="1:32" x14ac:dyDescent="0.2">
      <c r="A469" s="3" t="str">
        <f>+VLOOKUP(B469,studies!$A$2:$C$102,3)</f>
        <v>Waldhoff et al. (2011)</v>
      </c>
      <c r="B469" s="87">
        <v>70</v>
      </c>
      <c r="C469" s="5">
        <v>2011</v>
      </c>
      <c r="D469" s="5">
        <v>0</v>
      </c>
      <c r="E469" s="5">
        <v>1995</v>
      </c>
      <c r="F469" s="5">
        <v>2015</v>
      </c>
      <c r="G469" s="113">
        <v>0.1</v>
      </c>
      <c r="H469" s="7">
        <v>41.970533683289588</v>
      </c>
      <c r="I469" s="5">
        <v>0</v>
      </c>
      <c r="J469" s="5">
        <v>1</v>
      </c>
      <c r="K469" s="5">
        <v>0</v>
      </c>
      <c r="L469" s="7" t="s">
        <v>238</v>
      </c>
      <c r="M469" s="7" t="s">
        <v>238</v>
      </c>
      <c r="N469" s="7" t="s">
        <v>238</v>
      </c>
      <c r="O469" s="5">
        <v>0</v>
      </c>
      <c r="P469" s="5">
        <v>1</v>
      </c>
      <c r="Q469" s="5">
        <v>1</v>
      </c>
      <c r="R469" s="5">
        <v>1</v>
      </c>
      <c r="S469" s="5">
        <v>1</v>
      </c>
      <c r="T469" s="5">
        <v>0</v>
      </c>
      <c r="U469" s="5">
        <v>0</v>
      </c>
      <c r="V469" s="13"/>
      <c r="W469" s="13">
        <v>1</v>
      </c>
      <c r="X469" s="5"/>
      <c r="Y469" s="5"/>
      <c r="Z469" s="5"/>
      <c r="AA469" s="5">
        <v>0</v>
      </c>
      <c r="AB469" s="5"/>
      <c r="AC469" s="5">
        <v>0</v>
      </c>
      <c r="AD469" s="5">
        <v>0</v>
      </c>
      <c r="AE469" s="5">
        <v>1</v>
      </c>
      <c r="AF469" s="5">
        <v>0</v>
      </c>
    </row>
    <row r="470" spans="1:32" x14ac:dyDescent="0.2">
      <c r="A470" s="3" t="str">
        <f>+VLOOKUP(B470,studies!$A$2:$C$102,3)</f>
        <v>Waldhoff et al. (2011)</v>
      </c>
      <c r="B470" s="87">
        <v>70</v>
      </c>
      <c r="C470" s="5">
        <v>2011</v>
      </c>
      <c r="D470" s="5">
        <v>0</v>
      </c>
      <c r="E470" s="5">
        <v>1995</v>
      </c>
      <c r="F470" s="5">
        <v>2015</v>
      </c>
      <c r="G470" s="113">
        <v>0.05</v>
      </c>
      <c r="H470" s="7">
        <v>73.448433945756776</v>
      </c>
      <c r="I470" s="5">
        <v>0</v>
      </c>
      <c r="J470" s="5">
        <v>1</v>
      </c>
      <c r="K470" s="5">
        <v>0</v>
      </c>
      <c r="L470" s="7" t="s">
        <v>238</v>
      </c>
      <c r="M470" s="7" t="s">
        <v>238</v>
      </c>
      <c r="N470" s="7" t="s">
        <v>238</v>
      </c>
      <c r="O470" s="5">
        <v>0</v>
      </c>
      <c r="P470" s="5">
        <v>1</v>
      </c>
      <c r="Q470" s="5">
        <v>1</v>
      </c>
      <c r="R470" s="5">
        <v>1</v>
      </c>
      <c r="S470" s="5">
        <v>1</v>
      </c>
      <c r="T470" s="5">
        <v>0</v>
      </c>
      <c r="U470" s="5">
        <v>0</v>
      </c>
      <c r="V470" s="13"/>
      <c r="W470" s="13">
        <v>1</v>
      </c>
      <c r="X470" s="5"/>
      <c r="Y470" s="5"/>
      <c r="Z470" s="5"/>
      <c r="AA470" s="5">
        <v>0</v>
      </c>
      <c r="AB470" s="5"/>
      <c r="AC470" s="5">
        <v>0</v>
      </c>
      <c r="AD470" s="5">
        <v>0</v>
      </c>
      <c r="AE470" s="5">
        <v>1</v>
      </c>
      <c r="AF470" s="5">
        <v>0</v>
      </c>
    </row>
    <row r="471" spans="1:32" x14ac:dyDescent="0.2">
      <c r="A471" s="3" t="str">
        <f>+VLOOKUP(B471,studies!$A$2:$C$102,3)</f>
        <v>Waldhoff et al. (2011)</v>
      </c>
      <c r="B471" s="87">
        <v>70</v>
      </c>
      <c r="C471" s="5">
        <v>2011</v>
      </c>
      <c r="D471" s="5">
        <v>0</v>
      </c>
      <c r="E471" s="5">
        <v>1995</v>
      </c>
      <c r="F471" s="5">
        <v>2015</v>
      </c>
      <c r="G471" s="113">
        <v>0.05</v>
      </c>
      <c r="H471" s="7">
        <v>36.724216972878388</v>
      </c>
      <c r="I471" s="5">
        <v>0</v>
      </c>
      <c r="J471" s="5">
        <v>1</v>
      </c>
      <c r="K471" s="5">
        <v>0</v>
      </c>
      <c r="L471" s="7" t="s">
        <v>238</v>
      </c>
      <c r="M471" s="7" t="s">
        <v>238</v>
      </c>
      <c r="N471" s="7" t="s">
        <v>238</v>
      </c>
      <c r="O471" s="5">
        <v>0</v>
      </c>
      <c r="P471" s="5">
        <v>1</v>
      </c>
      <c r="Q471" s="5">
        <v>1</v>
      </c>
      <c r="R471" s="5">
        <v>1</v>
      </c>
      <c r="S471" s="5">
        <v>1</v>
      </c>
      <c r="T471" s="5">
        <v>0</v>
      </c>
      <c r="U471" s="5">
        <v>0</v>
      </c>
      <c r="V471" s="13"/>
      <c r="W471" s="13">
        <v>1</v>
      </c>
      <c r="X471" s="5"/>
      <c r="Y471" s="5"/>
      <c r="Z471" s="5"/>
      <c r="AA471" s="5">
        <v>0</v>
      </c>
      <c r="AB471" s="5"/>
      <c r="AC471" s="5">
        <v>0</v>
      </c>
      <c r="AD471" s="5">
        <v>0</v>
      </c>
      <c r="AE471" s="5">
        <v>1</v>
      </c>
      <c r="AF471" s="5">
        <v>0</v>
      </c>
    </row>
    <row r="472" spans="1:32" x14ac:dyDescent="0.2">
      <c r="A472" s="3" t="str">
        <f>+VLOOKUP(B472,studies!$A$2:$C$102,3)</f>
        <v>Waldhoff et al. (2011)</v>
      </c>
      <c r="B472" s="87">
        <v>70</v>
      </c>
      <c r="C472" s="5">
        <v>2011</v>
      </c>
      <c r="D472" s="5">
        <v>0</v>
      </c>
      <c r="E472" s="5">
        <v>1995</v>
      </c>
      <c r="F472" s="5">
        <v>2015</v>
      </c>
      <c r="G472" s="113">
        <v>0.05</v>
      </c>
      <c r="H472" s="7">
        <v>15.738950131233596</v>
      </c>
      <c r="I472" s="5">
        <v>0</v>
      </c>
      <c r="J472" s="5">
        <v>1</v>
      </c>
      <c r="K472" s="5">
        <v>0</v>
      </c>
      <c r="L472" s="7" t="s">
        <v>238</v>
      </c>
      <c r="M472" s="7" t="s">
        <v>238</v>
      </c>
      <c r="N472" s="7" t="s">
        <v>238</v>
      </c>
      <c r="O472" s="5">
        <v>0</v>
      </c>
      <c r="P472" s="5">
        <v>1</v>
      </c>
      <c r="Q472" s="5">
        <v>1</v>
      </c>
      <c r="R472" s="5">
        <v>1</v>
      </c>
      <c r="S472" s="5">
        <v>1</v>
      </c>
      <c r="T472" s="5">
        <v>0</v>
      </c>
      <c r="U472" s="5">
        <v>0</v>
      </c>
      <c r="V472" s="13"/>
      <c r="W472" s="13">
        <v>1</v>
      </c>
      <c r="X472" s="5"/>
      <c r="Y472" s="5"/>
      <c r="Z472" s="5"/>
      <c r="AA472" s="5">
        <v>0</v>
      </c>
      <c r="AB472" s="5"/>
      <c r="AC472" s="5">
        <v>0</v>
      </c>
      <c r="AD472" s="5">
        <v>0</v>
      </c>
      <c r="AE472" s="5">
        <v>1</v>
      </c>
      <c r="AF472" s="5">
        <v>0</v>
      </c>
    </row>
    <row r="473" spans="1:32" x14ac:dyDescent="0.2">
      <c r="A473" s="3" t="str">
        <f>+VLOOKUP(B473,studies!$A$2:$C$102,3)</f>
        <v>Waldhoff et al. (2011)</v>
      </c>
      <c r="B473" s="87">
        <v>70</v>
      </c>
      <c r="C473" s="5">
        <v>2011</v>
      </c>
      <c r="D473" s="5">
        <v>0</v>
      </c>
      <c r="E473" s="5">
        <v>1995</v>
      </c>
      <c r="F473" s="5">
        <v>2015</v>
      </c>
      <c r="G473" s="113">
        <v>0.05</v>
      </c>
      <c r="H473" s="7">
        <v>94.433700787401577</v>
      </c>
      <c r="I473" s="5">
        <v>0</v>
      </c>
      <c r="J473" s="5">
        <v>1</v>
      </c>
      <c r="K473" s="5">
        <v>0</v>
      </c>
      <c r="L473" s="7" t="s">
        <v>238</v>
      </c>
      <c r="M473" s="7" t="s">
        <v>238</v>
      </c>
      <c r="N473" s="7" t="s">
        <v>238</v>
      </c>
      <c r="O473" s="5">
        <v>0</v>
      </c>
      <c r="P473" s="5">
        <v>1</v>
      </c>
      <c r="Q473" s="5">
        <v>1</v>
      </c>
      <c r="R473" s="5">
        <v>1</v>
      </c>
      <c r="S473" s="5">
        <v>1</v>
      </c>
      <c r="T473" s="5">
        <v>0</v>
      </c>
      <c r="U473" s="5">
        <v>0</v>
      </c>
      <c r="V473" s="13"/>
      <c r="W473" s="13">
        <v>1</v>
      </c>
      <c r="X473" s="5"/>
      <c r="Y473" s="5"/>
      <c r="Z473" s="5"/>
      <c r="AA473" s="5">
        <v>0</v>
      </c>
      <c r="AB473" s="5"/>
      <c r="AC473" s="5">
        <v>0</v>
      </c>
      <c r="AD473" s="5">
        <v>0</v>
      </c>
      <c r="AE473" s="5">
        <v>1</v>
      </c>
      <c r="AF473" s="5">
        <v>0</v>
      </c>
    </row>
    <row r="474" spans="1:32" x14ac:dyDescent="0.2">
      <c r="A474" s="3" t="str">
        <f>+VLOOKUP(B474,studies!$A$2:$C$102,3)</f>
        <v>Waldhoff et al. (2011)</v>
      </c>
      <c r="B474" s="87">
        <v>70</v>
      </c>
      <c r="C474" s="5">
        <v>2011</v>
      </c>
      <c r="D474" s="5">
        <v>0</v>
      </c>
      <c r="E474" s="5">
        <v>1995</v>
      </c>
      <c r="F474" s="5">
        <v>2015</v>
      </c>
      <c r="G474" s="113">
        <v>0.1</v>
      </c>
      <c r="H474" s="7">
        <v>267.56215223097115</v>
      </c>
      <c r="I474" s="5">
        <v>0</v>
      </c>
      <c r="J474" s="5">
        <v>1</v>
      </c>
      <c r="K474" s="5">
        <v>0</v>
      </c>
      <c r="L474" s="7" t="s">
        <v>238</v>
      </c>
      <c r="M474" s="7" t="s">
        <v>238</v>
      </c>
      <c r="N474" s="7" t="s">
        <v>238</v>
      </c>
      <c r="O474" s="5">
        <v>0</v>
      </c>
      <c r="P474" s="5">
        <v>1</v>
      </c>
      <c r="Q474" s="5">
        <v>1</v>
      </c>
      <c r="R474" s="5">
        <v>1</v>
      </c>
      <c r="S474" s="5">
        <v>1</v>
      </c>
      <c r="T474" s="5">
        <v>0</v>
      </c>
      <c r="U474" s="5">
        <v>0</v>
      </c>
      <c r="V474" s="13"/>
      <c r="W474" s="13">
        <v>1</v>
      </c>
      <c r="X474" s="5"/>
      <c r="Y474" s="5"/>
      <c r="Z474" s="5"/>
      <c r="AA474" s="5">
        <v>0</v>
      </c>
      <c r="AB474" s="5"/>
      <c r="AC474" s="5">
        <v>0</v>
      </c>
      <c r="AD474" s="5">
        <v>0</v>
      </c>
      <c r="AE474" s="5">
        <v>1</v>
      </c>
      <c r="AF474" s="5">
        <v>0</v>
      </c>
    </row>
    <row r="475" spans="1:32" x14ac:dyDescent="0.2">
      <c r="A475" s="3" t="str">
        <f>+VLOOKUP(B475,studies!$A$2:$C$102,3)</f>
        <v>Waldhoff et al. (2011)</v>
      </c>
      <c r="B475" s="87">
        <v>70</v>
      </c>
      <c r="C475" s="5">
        <v>2011</v>
      </c>
      <c r="D475" s="5">
        <v>0</v>
      </c>
      <c r="E475" s="5">
        <v>1995</v>
      </c>
      <c r="F475" s="5">
        <v>2015</v>
      </c>
      <c r="G475" s="113">
        <v>0.1</v>
      </c>
      <c r="H475" s="7">
        <v>1.5738950131233593</v>
      </c>
      <c r="I475" s="5">
        <v>0</v>
      </c>
      <c r="J475" s="5">
        <v>1</v>
      </c>
      <c r="K475" s="5">
        <v>0</v>
      </c>
      <c r="L475" s="7" t="s">
        <v>238</v>
      </c>
      <c r="M475" s="7" t="s">
        <v>238</v>
      </c>
      <c r="N475" s="7" t="s">
        <v>238</v>
      </c>
      <c r="O475" s="5">
        <v>0</v>
      </c>
      <c r="P475" s="5">
        <v>1</v>
      </c>
      <c r="Q475" s="5">
        <v>1</v>
      </c>
      <c r="R475" s="5">
        <v>1</v>
      </c>
      <c r="S475" s="5">
        <v>1</v>
      </c>
      <c r="T475" s="5">
        <v>0</v>
      </c>
      <c r="U475" s="5">
        <v>0</v>
      </c>
      <c r="V475" s="13"/>
      <c r="W475" s="13">
        <v>0.1</v>
      </c>
      <c r="X475" s="5"/>
      <c r="Y475" s="5"/>
      <c r="Z475" s="5"/>
      <c r="AA475" s="5">
        <v>0</v>
      </c>
      <c r="AB475" s="5"/>
      <c r="AC475" s="5">
        <v>0</v>
      </c>
      <c r="AD475" s="5">
        <v>0</v>
      </c>
      <c r="AE475" s="5">
        <v>1</v>
      </c>
      <c r="AF475" s="5">
        <v>0</v>
      </c>
    </row>
    <row r="476" spans="1:32" x14ac:dyDescent="0.2">
      <c r="A476" s="3" t="str">
        <f>+VLOOKUP(B476,studies!$A$2:$C$102,3)</f>
        <v>Waldhoff et al. (2011)</v>
      </c>
      <c r="B476" s="87">
        <v>70</v>
      </c>
      <c r="C476" s="5">
        <v>2011</v>
      </c>
      <c r="D476" s="5">
        <v>0</v>
      </c>
      <c r="E476" s="5">
        <v>1995</v>
      </c>
      <c r="F476" s="5">
        <v>2015</v>
      </c>
      <c r="G476" s="113">
        <v>0.1</v>
      </c>
      <c r="H476" s="7">
        <v>131.15791776027996</v>
      </c>
      <c r="I476" s="5">
        <v>0</v>
      </c>
      <c r="J476" s="5">
        <v>1</v>
      </c>
      <c r="K476" s="5">
        <v>0</v>
      </c>
      <c r="L476" s="7" t="s">
        <v>238</v>
      </c>
      <c r="M476" s="7" t="s">
        <v>238</v>
      </c>
      <c r="N476" s="7" t="s">
        <v>238</v>
      </c>
      <c r="O476" s="5">
        <v>0</v>
      </c>
      <c r="P476" s="5">
        <v>1</v>
      </c>
      <c r="Q476" s="5">
        <v>1</v>
      </c>
      <c r="R476" s="5">
        <v>1</v>
      </c>
      <c r="S476" s="5">
        <v>1</v>
      </c>
      <c r="T476" s="5">
        <v>0</v>
      </c>
      <c r="U476" s="5">
        <v>0</v>
      </c>
      <c r="V476" s="13"/>
      <c r="W476" s="13">
        <v>3</v>
      </c>
      <c r="X476" s="5"/>
      <c r="Y476" s="5"/>
      <c r="Z476" s="5"/>
      <c r="AA476" s="5">
        <v>0</v>
      </c>
      <c r="AB476" s="5"/>
      <c r="AC476" s="5">
        <v>0</v>
      </c>
      <c r="AD476" s="5">
        <v>0</v>
      </c>
      <c r="AE476" s="5">
        <v>1</v>
      </c>
      <c r="AF476" s="5">
        <v>0</v>
      </c>
    </row>
    <row r="477" spans="1:32" x14ac:dyDescent="0.2">
      <c r="A477" s="3" t="str">
        <f>+VLOOKUP(B477,studies!$A$2:$C$102,3)</f>
        <v>Waldhoff et al. (2011)</v>
      </c>
      <c r="B477" s="87">
        <v>70</v>
      </c>
      <c r="C477" s="5">
        <v>2011</v>
      </c>
      <c r="D477" s="5">
        <v>0</v>
      </c>
      <c r="E477" s="5">
        <v>1995</v>
      </c>
      <c r="F477" s="5">
        <v>2015</v>
      </c>
      <c r="G477" s="113">
        <v>0.1</v>
      </c>
      <c r="H477" s="7">
        <v>10.492633420822397</v>
      </c>
      <c r="I477" s="5">
        <v>0</v>
      </c>
      <c r="J477" s="5">
        <v>1</v>
      </c>
      <c r="K477" s="5">
        <v>0</v>
      </c>
      <c r="L477" s="7" t="s">
        <v>238</v>
      </c>
      <c r="M477" s="7" t="s">
        <v>238</v>
      </c>
      <c r="N477" s="7" t="s">
        <v>238</v>
      </c>
      <c r="O477" s="5">
        <v>0</v>
      </c>
      <c r="P477" s="5">
        <v>1</v>
      </c>
      <c r="Q477" s="5">
        <v>1</v>
      </c>
      <c r="R477" s="5">
        <v>1</v>
      </c>
      <c r="S477" s="5">
        <v>1</v>
      </c>
      <c r="T477" s="5">
        <v>0</v>
      </c>
      <c r="U477" s="5">
        <v>0</v>
      </c>
      <c r="V477" s="13"/>
      <c r="W477" s="13">
        <v>1</v>
      </c>
      <c r="X477" s="5"/>
      <c r="Y477" s="5"/>
      <c r="Z477" s="5"/>
      <c r="AA477" s="5">
        <v>1</v>
      </c>
      <c r="AB477" s="5"/>
      <c r="AC477" s="5">
        <v>0</v>
      </c>
      <c r="AD477" s="5">
        <v>0</v>
      </c>
      <c r="AE477" s="5">
        <v>1</v>
      </c>
      <c r="AF477" s="5">
        <v>0</v>
      </c>
    </row>
    <row r="478" spans="1:32" x14ac:dyDescent="0.2">
      <c r="A478" s="3" t="str">
        <f>+VLOOKUP(B478,studies!$A$2:$C$102,3)</f>
        <v>Waldhoff et al. (2011)</v>
      </c>
      <c r="B478" s="87">
        <v>70</v>
      </c>
      <c r="C478" s="5">
        <v>2011</v>
      </c>
      <c r="D478" s="5">
        <v>0</v>
      </c>
      <c r="E478" s="5">
        <v>1995</v>
      </c>
      <c r="F478" s="5">
        <v>2015</v>
      </c>
      <c r="G478" s="113">
        <v>0.1</v>
      </c>
      <c r="H478" s="7">
        <v>15.738950131233596</v>
      </c>
      <c r="I478" s="5">
        <v>0</v>
      </c>
      <c r="J478" s="5">
        <v>1</v>
      </c>
      <c r="K478" s="5">
        <v>0</v>
      </c>
      <c r="L478" s="7" t="s">
        <v>238</v>
      </c>
      <c r="M478" s="7" t="s">
        <v>238</v>
      </c>
      <c r="N478" s="7" t="s">
        <v>238</v>
      </c>
      <c r="O478" s="5">
        <v>0</v>
      </c>
      <c r="P478" s="5">
        <v>1</v>
      </c>
      <c r="Q478" s="5">
        <v>1</v>
      </c>
      <c r="R478" s="5">
        <v>1</v>
      </c>
      <c r="S478" s="5">
        <v>1</v>
      </c>
      <c r="T478" s="5">
        <v>0</v>
      </c>
      <c r="U478" s="5">
        <v>0</v>
      </c>
      <c r="V478" s="13"/>
      <c r="W478" s="13">
        <v>1</v>
      </c>
      <c r="X478" s="5"/>
      <c r="Y478" s="5"/>
      <c r="Z478" s="5"/>
      <c r="AA478" s="5">
        <v>0</v>
      </c>
      <c r="AB478" s="5"/>
      <c r="AC478" s="5">
        <v>0</v>
      </c>
      <c r="AD478" s="5">
        <v>0</v>
      </c>
      <c r="AE478" s="5">
        <v>1</v>
      </c>
      <c r="AF478" s="5">
        <v>0</v>
      </c>
    </row>
    <row r="479" spans="1:32" x14ac:dyDescent="0.2">
      <c r="A479" s="3" t="str">
        <f>+VLOOKUP(B479,studies!$A$2:$C$102,3)</f>
        <v>Waldhoff et al. (2011)</v>
      </c>
      <c r="B479" s="87">
        <v>70</v>
      </c>
      <c r="C479" s="5">
        <v>2011</v>
      </c>
      <c r="D479" s="5">
        <v>0</v>
      </c>
      <c r="E479" s="5">
        <v>1995</v>
      </c>
      <c r="F479" s="5">
        <v>2015</v>
      </c>
      <c r="G479" s="113">
        <v>0.1</v>
      </c>
      <c r="H479" s="7">
        <v>41.970533683289588</v>
      </c>
      <c r="I479" s="5">
        <v>0</v>
      </c>
      <c r="J479" s="5">
        <v>1</v>
      </c>
      <c r="K479" s="5">
        <v>0</v>
      </c>
      <c r="L479" s="7" t="s">
        <v>238</v>
      </c>
      <c r="M479" s="7" t="s">
        <v>238</v>
      </c>
      <c r="N479" s="7" t="s">
        <v>238</v>
      </c>
      <c r="O479" s="5">
        <v>0</v>
      </c>
      <c r="P479" s="5">
        <v>1</v>
      </c>
      <c r="Q479" s="5">
        <v>1</v>
      </c>
      <c r="R479" s="5">
        <v>1</v>
      </c>
      <c r="S479" s="5">
        <v>1</v>
      </c>
      <c r="T479" s="5">
        <v>0</v>
      </c>
      <c r="U479" s="5">
        <v>0</v>
      </c>
      <c r="V479" s="13"/>
      <c r="W479" s="13">
        <v>1</v>
      </c>
      <c r="X479" s="5"/>
      <c r="Y479" s="5"/>
      <c r="Z479" s="5"/>
      <c r="AA479" s="5">
        <v>0</v>
      </c>
      <c r="AB479" s="5"/>
      <c r="AC479" s="5">
        <v>0</v>
      </c>
      <c r="AD479" s="5">
        <v>0</v>
      </c>
      <c r="AE479" s="5">
        <v>1</v>
      </c>
      <c r="AF479" s="5">
        <v>0</v>
      </c>
    </row>
    <row r="480" spans="1:32" x14ac:dyDescent="0.2">
      <c r="A480" s="3" t="str">
        <f>+VLOOKUP(B480,studies!$A$2:$C$102,3)</f>
        <v>Waldhoff et al. (2011)</v>
      </c>
      <c r="B480" s="87">
        <v>70</v>
      </c>
      <c r="C480" s="5">
        <v>2011</v>
      </c>
      <c r="D480" s="5">
        <v>0</v>
      </c>
      <c r="E480" s="5">
        <v>1995</v>
      </c>
      <c r="F480" s="5">
        <v>2015</v>
      </c>
      <c r="G480" s="113">
        <v>0.1</v>
      </c>
      <c r="H480" s="7">
        <v>62.955800524934382</v>
      </c>
      <c r="I480" s="5">
        <v>0</v>
      </c>
      <c r="J480" s="5">
        <v>1</v>
      </c>
      <c r="K480" s="5">
        <v>0</v>
      </c>
      <c r="L480" s="7" t="s">
        <v>238</v>
      </c>
      <c r="M480" s="7" t="s">
        <v>238</v>
      </c>
      <c r="N480" s="7" t="s">
        <v>238</v>
      </c>
      <c r="O480" s="5">
        <v>0</v>
      </c>
      <c r="P480" s="5">
        <v>1</v>
      </c>
      <c r="Q480" s="5">
        <v>1</v>
      </c>
      <c r="R480" s="5">
        <v>1</v>
      </c>
      <c r="S480" s="5">
        <v>1</v>
      </c>
      <c r="T480" s="5">
        <v>0</v>
      </c>
      <c r="U480" s="5">
        <v>0</v>
      </c>
      <c r="V480" s="13"/>
      <c r="W480" s="13">
        <v>1</v>
      </c>
      <c r="X480" s="5"/>
      <c r="Y480" s="5"/>
      <c r="Z480" s="5"/>
      <c r="AA480" s="5">
        <v>0</v>
      </c>
      <c r="AB480" s="5"/>
      <c r="AC480" s="5">
        <v>0</v>
      </c>
      <c r="AD480" s="5">
        <v>0</v>
      </c>
      <c r="AE480" s="5">
        <v>1</v>
      </c>
      <c r="AF480" s="5">
        <v>0</v>
      </c>
    </row>
    <row r="481" spans="1:32" x14ac:dyDescent="0.2">
      <c r="A481" s="3" t="str">
        <f>+VLOOKUP(B481,studies!$A$2:$C$102,3)</f>
        <v>Waldhoff et al. (2011)</v>
      </c>
      <c r="B481" s="87">
        <v>70</v>
      </c>
      <c r="C481" s="5">
        <v>2011</v>
      </c>
      <c r="D481" s="5">
        <v>0</v>
      </c>
      <c r="E481" s="5">
        <v>1995</v>
      </c>
      <c r="F481" s="5">
        <v>2015</v>
      </c>
      <c r="G481" s="113">
        <v>0.1</v>
      </c>
      <c r="H481" s="7">
        <v>41.970533683289588</v>
      </c>
      <c r="I481" s="5">
        <v>0</v>
      </c>
      <c r="J481" s="5">
        <v>1</v>
      </c>
      <c r="K481" s="5">
        <v>0</v>
      </c>
      <c r="L481" s="7" t="s">
        <v>238</v>
      </c>
      <c r="M481" s="7" t="s">
        <v>238</v>
      </c>
      <c r="N481" s="7" t="s">
        <v>238</v>
      </c>
      <c r="O481" s="5">
        <v>0</v>
      </c>
      <c r="P481" s="5">
        <v>1</v>
      </c>
      <c r="Q481" s="5">
        <v>1</v>
      </c>
      <c r="R481" s="5">
        <v>1</v>
      </c>
      <c r="S481" s="5">
        <v>1</v>
      </c>
      <c r="T481" s="5">
        <v>0</v>
      </c>
      <c r="U481" s="5">
        <v>0</v>
      </c>
      <c r="V481" s="13"/>
      <c r="W481" s="13">
        <v>1</v>
      </c>
      <c r="X481" s="5"/>
      <c r="Y481" s="5"/>
      <c r="Z481" s="5"/>
      <c r="AA481" s="5">
        <v>0</v>
      </c>
      <c r="AB481" s="5"/>
      <c r="AC481" s="5">
        <v>0</v>
      </c>
      <c r="AD481" s="5">
        <v>0</v>
      </c>
      <c r="AE481" s="5">
        <v>1</v>
      </c>
      <c r="AF481" s="5">
        <v>0</v>
      </c>
    </row>
    <row r="482" spans="1:32" x14ac:dyDescent="0.2">
      <c r="A482" s="3" t="str">
        <f>+VLOOKUP(B482,studies!$A$2:$C$102,3)</f>
        <v>Ackerman &amp; Munitz (2012)</v>
      </c>
      <c r="B482" s="87">
        <v>71</v>
      </c>
      <c r="C482" s="5">
        <v>2012</v>
      </c>
      <c r="D482" s="5">
        <v>1</v>
      </c>
      <c r="E482" s="5">
        <v>2005</v>
      </c>
      <c r="F482" s="5">
        <v>2010</v>
      </c>
      <c r="G482" s="113">
        <v>0.02</v>
      </c>
      <c r="H482" s="7">
        <v>27.914432176465557</v>
      </c>
      <c r="I482" s="5">
        <v>1</v>
      </c>
      <c r="J482" s="5">
        <v>0</v>
      </c>
      <c r="K482" s="5">
        <v>0</v>
      </c>
      <c r="L482" s="7" t="s">
        <v>238</v>
      </c>
      <c r="M482" s="7" t="s">
        <v>238</v>
      </c>
      <c r="N482" s="7" t="s">
        <v>238</v>
      </c>
      <c r="O482" s="5">
        <v>0</v>
      </c>
      <c r="P482" s="5">
        <v>1</v>
      </c>
      <c r="Q482" s="5">
        <v>0</v>
      </c>
      <c r="R482" s="5">
        <v>1</v>
      </c>
      <c r="S482" s="5">
        <v>1</v>
      </c>
      <c r="T482" s="5">
        <v>0</v>
      </c>
      <c r="U482" s="5">
        <v>0</v>
      </c>
      <c r="V482" s="13">
        <v>0</v>
      </c>
      <c r="W482" s="13">
        <v>3</v>
      </c>
      <c r="X482" s="5"/>
      <c r="Y482" s="5"/>
      <c r="Z482" s="5"/>
      <c r="AA482" s="5">
        <v>0</v>
      </c>
      <c r="AB482" s="5"/>
      <c r="AC482" s="5">
        <v>0</v>
      </c>
      <c r="AD482" s="5">
        <v>0</v>
      </c>
      <c r="AE482" s="5">
        <v>0</v>
      </c>
      <c r="AF482" s="5">
        <v>0</v>
      </c>
    </row>
    <row r="483" spans="1:32" x14ac:dyDescent="0.2">
      <c r="A483" s="3" t="str">
        <f>+VLOOKUP(B483,studies!$A$2:$C$102,3)</f>
        <v>Ackerman &amp; Munitz (2012)</v>
      </c>
      <c r="B483" s="87">
        <v>71</v>
      </c>
      <c r="C483" s="5">
        <v>2012</v>
      </c>
      <c r="D483" s="5">
        <v>1</v>
      </c>
      <c r="E483" s="5">
        <v>2005</v>
      </c>
      <c r="F483" s="5">
        <v>2010</v>
      </c>
      <c r="G483" s="113">
        <v>0.49</v>
      </c>
      <c r="H483" s="7">
        <v>77.349221466753278</v>
      </c>
      <c r="I483" s="5">
        <v>1</v>
      </c>
      <c r="J483" s="5">
        <v>0</v>
      </c>
      <c r="K483" s="5">
        <v>0</v>
      </c>
      <c r="L483" s="7" t="s">
        <v>238</v>
      </c>
      <c r="M483" s="7" t="s">
        <v>238</v>
      </c>
      <c r="N483" s="7" t="s">
        <v>238</v>
      </c>
      <c r="O483" s="5">
        <v>0</v>
      </c>
      <c r="P483" s="5">
        <v>1</v>
      </c>
      <c r="Q483" s="5">
        <v>0</v>
      </c>
      <c r="R483" s="5">
        <v>1</v>
      </c>
      <c r="S483" s="5">
        <v>1</v>
      </c>
      <c r="T483" s="5">
        <v>0</v>
      </c>
      <c r="U483" s="5">
        <v>0</v>
      </c>
      <c r="V483" s="13">
        <v>0</v>
      </c>
      <c r="W483" s="13">
        <v>3</v>
      </c>
      <c r="X483" s="5"/>
      <c r="Y483" s="5"/>
      <c r="Z483" s="5"/>
      <c r="AA483" s="5">
        <v>0</v>
      </c>
      <c r="AB483" s="5"/>
      <c r="AC483" s="5">
        <v>0</v>
      </c>
      <c r="AD483" s="5">
        <v>0</v>
      </c>
      <c r="AE483" s="5">
        <v>0</v>
      </c>
      <c r="AF483" s="5">
        <v>0</v>
      </c>
    </row>
    <row r="484" spans="1:32" x14ac:dyDescent="0.2">
      <c r="A484" s="3" t="str">
        <f>+VLOOKUP(B484,studies!$A$2:$C$102,3)</f>
        <v>Ackerman &amp; Munitz (2012)</v>
      </c>
      <c r="B484" s="87">
        <v>71</v>
      </c>
      <c r="C484" s="5">
        <v>2012</v>
      </c>
      <c r="D484" s="5">
        <v>1</v>
      </c>
      <c r="E484" s="5">
        <v>2005</v>
      </c>
      <c r="F484" s="5">
        <v>2010</v>
      </c>
      <c r="G484" s="113">
        <v>0.49</v>
      </c>
      <c r="H484" s="7">
        <v>85.795126586812088</v>
      </c>
      <c r="I484" s="5">
        <v>1</v>
      </c>
      <c r="J484" s="5">
        <v>0</v>
      </c>
      <c r="K484" s="5">
        <v>0</v>
      </c>
      <c r="L484" s="7" t="s">
        <v>238</v>
      </c>
      <c r="M484" s="7" t="s">
        <v>238</v>
      </c>
      <c r="N484" s="7" t="s">
        <v>238</v>
      </c>
      <c r="O484" s="5">
        <v>0</v>
      </c>
      <c r="P484" s="5">
        <v>1</v>
      </c>
      <c r="Q484" s="5">
        <v>0</v>
      </c>
      <c r="R484" s="5">
        <v>1</v>
      </c>
      <c r="S484" s="5">
        <v>1</v>
      </c>
      <c r="T484" s="5">
        <v>0</v>
      </c>
      <c r="U484" s="5">
        <v>0</v>
      </c>
      <c r="V484" s="13">
        <v>0</v>
      </c>
      <c r="W484" s="13">
        <v>3</v>
      </c>
      <c r="X484" s="5"/>
      <c r="Y484" s="5"/>
      <c r="Z484" s="5"/>
      <c r="AA484" s="5">
        <v>0</v>
      </c>
      <c r="AB484" s="5"/>
      <c r="AC484" s="5">
        <v>0</v>
      </c>
      <c r="AD484" s="5">
        <v>0</v>
      </c>
      <c r="AE484" s="5">
        <v>0</v>
      </c>
      <c r="AF484" s="5">
        <v>0</v>
      </c>
    </row>
    <row r="485" spans="1:32" x14ac:dyDescent="0.2">
      <c r="A485" s="3" t="str">
        <f>+VLOOKUP(B485,studies!$A$2:$C$102,3)</f>
        <v>Ackerman &amp; Stanton (2012)</v>
      </c>
      <c r="B485" s="87">
        <v>72</v>
      </c>
      <c r="C485" s="5">
        <v>2012</v>
      </c>
      <c r="D485" s="5">
        <v>1</v>
      </c>
      <c r="E485" s="5">
        <v>2007</v>
      </c>
      <c r="F485" s="5">
        <v>2010</v>
      </c>
      <c r="G485" s="113">
        <v>7.0370370370370361E-2</v>
      </c>
      <c r="H485" s="7">
        <v>530.35894639371531</v>
      </c>
      <c r="I485" s="5">
        <v>1</v>
      </c>
      <c r="J485" s="5">
        <v>0</v>
      </c>
      <c r="K485" s="5">
        <v>0</v>
      </c>
      <c r="L485" s="7" t="s">
        <v>238</v>
      </c>
      <c r="M485" s="7">
        <v>334.79940407074736</v>
      </c>
      <c r="N485" s="7">
        <v>334.79940407074736</v>
      </c>
      <c r="O485" s="5">
        <v>0</v>
      </c>
      <c r="P485" s="5">
        <v>1</v>
      </c>
      <c r="Q485" s="5">
        <v>0</v>
      </c>
      <c r="R485" s="5">
        <v>1</v>
      </c>
      <c r="S485" s="5">
        <v>0</v>
      </c>
      <c r="T485" s="5">
        <v>1</v>
      </c>
      <c r="U485" s="5">
        <v>0</v>
      </c>
      <c r="V485" s="13">
        <v>1.5</v>
      </c>
      <c r="W485" s="13">
        <v>-0.5</v>
      </c>
      <c r="X485" s="5"/>
      <c r="Y485" s="5"/>
      <c r="Z485" s="5"/>
      <c r="AA485" s="5">
        <v>0</v>
      </c>
      <c r="AB485" s="5"/>
      <c r="AC485" s="5">
        <v>0</v>
      </c>
      <c r="AD485" s="5">
        <v>0</v>
      </c>
      <c r="AE485" s="5">
        <v>0</v>
      </c>
      <c r="AF485" s="5">
        <v>0</v>
      </c>
    </row>
    <row r="486" spans="1:32" x14ac:dyDescent="0.2">
      <c r="A486" s="3" t="str">
        <f>+VLOOKUP(B486,studies!$A$2:$C$102,3)</f>
        <v>Ackerman &amp; Stanton (2012)</v>
      </c>
      <c r="B486" s="87">
        <v>72</v>
      </c>
      <c r="C486" s="5">
        <v>2012</v>
      </c>
      <c r="D486" s="5">
        <v>1</v>
      </c>
      <c r="E486" s="5">
        <v>2007</v>
      </c>
      <c r="F486" s="5">
        <v>2010</v>
      </c>
      <c r="G486" s="113">
        <v>3.518518518518518E-2</v>
      </c>
      <c r="H486" s="7">
        <v>125.8478855849494</v>
      </c>
      <c r="I486" s="5">
        <v>1</v>
      </c>
      <c r="J486" s="5">
        <v>0</v>
      </c>
      <c r="K486" s="5">
        <v>0</v>
      </c>
      <c r="L486" s="7" t="s">
        <v>238</v>
      </c>
      <c r="M486" s="7">
        <v>64.208104890280296</v>
      </c>
      <c r="N486" s="7">
        <v>64.208104890280296</v>
      </c>
      <c r="O486" s="5">
        <v>0</v>
      </c>
      <c r="P486" s="5">
        <v>1</v>
      </c>
      <c r="Q486" s="5">
        <v>0</v>
      </c>
      <c r="R486" s="5">
        <v>1</v>
      </c>
      <c r="S486" s="5">
        <v>0</v>
      </c>
      <c r="T486" s="5">
        <v>1</v>
      </c>
      <c r="U486" s="5">
        <v>0</v>
      </c>
      <c r="V486" s="13">
        <v>3</v>
      </c>
      <c r="W486" s="13">
        <v>1</v>
      </c>
      <c r="X486" s="5"/>
      <c r="Y486" s="5"/>
      <c r="Z486" s="5"/>
      <c r="AA486" s="5">
        <v>0</v>
      </c>
      <c r="AB486" s="5"/>
      <c r="AC486" s="5">
        <v>0</v>
      </c>
      <c r="AD486" s="5">
        <v>0</v>
      </c>
      <c r="AE486" s="5">
        <v>0</v>
      </c>
      <c r="AF486" s="5">
        <v>0</v>
      </c>
    </row>
    <row r="487" spans="1:32" x14ac:dyDescent="0.2">
      <c r="A487" s="3" t="str">
        <f>+VLOOKUP(B487,studies!$A$2:$C$102,3)</f>
        <v>Ackerman &amp; Stanton (2012)</v>
      </c>
      <c r="B487" s="87">
        <v>72</v>
      </c>
      <c r="C487" s="5">
        <v>2012</v>
      </c>
      <c r="D487" s="5">
        <v>1</v>
      </c>
      <c r="E487" s="5">
        <v>2007</v>
      </c>
      <c r="F487" s="5">
        <v>2010</v>
      </c>
      <c r="G487" s="113">
        <v>0.14074074074074072</v>
      </c>
      <c r="H487" s="7">
        <v>1083.1907294990287</v>
      </c>
      <c r="I487" s="5">
        <v>1</v>
      </c>
      <c r="J487" s="5">
        <v>0</v>
      </c>
      <c r="K487" s="5">
        <v>0</v>
      </c>
      <c r="L487" s="7" t="s">
        <v>238</v>
      </c>
      <c r="M487" s="7">
        <v>538.88945175770959</v>
      </c>
      <c r="N487" s="7">
        <v>538.88945175770959</v>
      </c>
      <c r="O487" s="5">
        <v>0</v>
      </c>
      <c r="P487" s="5">
        <v>1</v>
      </c>
      <c r="Q487" s="5">
        <v>0</v>
      </c>
      <c r="R487" s="5">
        <v>1</v>
      </c>
      <c r="S487" s="5">
        <v>0</v>
      </c>
      <c r="T487" s="5">
        <v>1</v>
      </c>
      <c r="U487" s="5">
        <v>0</v>
      </c>
      <c r="V487" s="13">
        <v>1.5</v>
      </c>
      <c r="W487" s="13">
        <v>-0.5</v>
      </c>
      <c r="X487" s="5"/>
      <c r="Y487" s="5"/>
      <c r="Z487" s="5"/>
      <c r="AA487" s="5">
        <v>0</v>
      </c>
      <c r="AB487" s="5"/>
      <c r="AC487" s="5">
        <v>0</v>
      </c>
      <c r="AD487" s="5">
        <v>0</v>
      </c>
      <c r="AE487" s="5">
        <v>0</v>
      </c>
      <c r="AF487" s="5">
        <v>0</v>
      </c>
    </row>
    <row r="488" spans="1:32" x14ac:dyDescent="0.2">
      <c r="A488" s="3" t="str">
        <f>+VLOOKUP(B488,studies!$A$2:$C$102,3)</f>
        <v>Ackerman &amp; Stanton (2012)</v>
      </c>
      <c r="B488" s="87">
        <v>72</v>
      </c>
      <c r="C488" s="5">
        <v>2012</v>
      </c>
      <c r="D488" s="5">
        <v>1</v>
      </c>
      <c r="E488" s="5">
        <v>2007</v>
      </c>
      <c r="F488" s="5">
        <v>2010</v>
      </c>
      <c r="G488" s="113">
        <v>7.0370370370370361E-2</v>
      </c>
      <c r="H488" s="7">
        <v>278.66317522381649</v>
      </c>
      <c r="I488" s="5">
        <v>1</v>
      </c>
      <c r="J488" s="5">
        <v>0</v>
      </c>
      <c r="K488" s="5">
        <v>0</v>
      </c>
      <c r="L488" s="7" t="s">
        <v>238</v>
      </c>
      <c r="M488" s="7">
        <v>121.5367699708877</v>
      </c>
      <c r="N488" s="7">
        <v>121.5367699708877</v>
      </c>
      <c r="O488" s="5">
        <v>0</v>
      </c>
      <c r="P488" s="5">
        <v>1</v>
      </c>
      <c r="Q488" s="5">
        <v>0</v>
      </c>
      <c r="R488" s="5">
        <v>1</v>
      </c>
      <c r="S488" s="5">
        <v>0</v>
      </c>
      <c r="T488" s="5">
        <v>1</v>
      </c>
      <c r="U488" s="5">
        <v>0</v>
      </c>
      <c r="V488" s="13">
        <v>3</v>
      </c>
      <c r="W488" s="13">
        <v>1</v>
      </c>
      <c r="X488" s="5"/>
      <c r="Y488" s="5"/>
      <c r="Z488" s="5"/>
      <c r="AA488" s="5">
        <v>0</v>
      </c>
      <c r="AB488" s="5"/>
      <c r="AC488" s="5">
        <v>0</v>
      </c>
      <c r="AD488" s="5">
        <v>0</v>
      </c>
      <c r="AE488" s="5">
        <v>0</v>
      </c>
      <c r="AF488" s="5">
        <v>0</v>
      </c>
    </row>
    <row r="489" spans="1:32" x14ac:dyDescent="0.2">
      <c r="A489" s="3" t="str">
        <f>+VLOOKUP(B489,studies!$A$2:$C$102,3)</f>
        <v>Ackerman &amp; Stanton (2012)</v>
      </c>
      <c r="B489" s="87">
        <v>72</v>
      </c>
      <c r="C489" s="5">
        <v>2012</v>
      </c>
      <c r="D489" s="5">
        <v>1</v>
      </c>
      <c r="E489" s="5">
        <v>2007</v>
      </c>
      <c r="F489" s="5">
        <v>2010</v>
      </c>
      <c r="G489" s="113">
        <v>0.14074074074074072</v>
      </c>
      <c r="H489" s="7">
        <v>1847.2671776933644</v>
      </c>
      <c r="I489" s="5">
        <v>1</v>
      </c>
      <c r="J489" s="5">
        <v>0</v>
      </c>
      <c r="K489" s="5">
        <v>0</v>
      </c>
      <c r="L489" s="7" t="s">
        <v>238</v>
      </c>
      <c r="M489" s="7">
        <v>1093.8309297379894</v>
      </c>
      <c r="N489" s="7">
        <v>1093.8309297379894</v>
      </c>
      <c r="O489" s="5">
        <v>0</v>
      </c>
      <c r="P489" s="5">
        <v>1</v>
      </c>
      <c r="Q489" s="5">
        <v>0</v>
      </c>
      <c r="R489" s="5">
        <v>1</v>
      </c>
      <c r="S489" s="5">
        <v>0</v>
      </c>
      <c r="T489" s="5">
        <v>1</v>
      </c>
      <c r="U489" s="5">
        <v>0</v>
      </c>
      <c r="V489" s="13">
        <v>1.5</v>
      </c>
      <c r="W489" s="13">
        <v>-0.5</v>
      </c>
      <c r="X489" s="5"/>
      <c r="Y489" s="5"/>
      <c r="Z489" s="5"/>
      <c r="AA489" s="5">
        <v>0</v>
      </c>
      <c r="AB489" s="5"/>
      <c r="AC489" s="5">
        <v>0</v>
      </c>
      <c r="AD489" s="5">
        <v>0</v>
      </c>
      <c r="AE489" s="5">
        <v>0</v>
      </c>
      <c r="AF489" s="5">
        <v>0</v>
      </c>
    </row>
    <row r="490" spans="1:32" x14ac:dyDescent="0.2">
      <c r="A490" s="3" t="str">
        <f>+VLOOKUP(B490,studies!$A$2:$C$102,3)</f>
        <v>Ackerman &amp; Stanton (2012)</v>
      </c>
      <c r="B490" s="87">
        <v>72</v>
      </c>
      <c r="C490" s="5">
        <v>2012</v>
      </c>
      <c r="D490" s="5">
        <v>1</v>
      </c>
      <c r="E490" s="5">
        <v>2007</v>
      </c>
      <c r="F490" s="5">
        <v>2010</v>
      </c>
      <c r="G490" s="113">
        <v>7.0370370370370361E-2</v>
      </c>
      <c r="H490" s="7">
        <v>346.08168535861086</v>
      </c>
      <c r="I490" s="5">
        <v>1</v>
      </c>
      <c r="J490" s="5">
        <v>0</v>
      </c>
      <c r="K490" s="5">
        <v>0</v>
      </c>
      <c r="L490" s="7" t="s">
        <v>238</v>
      </c>
      <c r="M490" s="7">
        <v>282.05703219658847</v>
      </c>
      <c r="N490" s="7">
        <v>282.05703219658847</v>
      </c>
      <c r="O490" s="5">
        <v>0</v>
      </c>
      <c r="P490" s="5">
        <v>1</v>
      </c>
      <c r="Q490" s="5">
        <v>0</v>
      </c>
      <c r="R490" s="5">
        <v>1</v>
      </c>
      <c r="S490" s="5">
        <v>0</v>
      </c>
      <c r="T490" s="5">
        <v>1</v>
      </c>
      <c r="U490" s="5">
        <v>0</v>
      </c>
      <c r="V490" s="13">
        <v>3</v>
      </c>
      <c r="W490" s="13">
        <v>1</v>
      </c>
      <c r="X490" s="5"/>
      <c r="Y490" s="5"/>
      <c r="Z490" s="5"/>
      <c r="AA490" s="5">
        <v>0</v>
      </c>
      <c r="AB490" s="5"/>
      <c r="AC490" s="5">
        <v>0</v>
      </c>
      <c r="AD490" s="5">
        <v>0</v>
      </c>
      <c r="AE490" s="5">
        <v>0</v>
      </c>
      <c r="AF490" s="5">
        <v>0</v>
      </c>
    </row>
    <row r="491" spans="1:32" x14ac:dyDescent="0.2">
      <c r="A491" s="3" t="str">
        <f>+VLOOKUP(B491,studies!$A$2:$C$102,3)</f>
        <v>Ackerman &amp; Stanton (2012)</v>
      </c>
      <c r="B491" s="87">
        <v>72</v>
      </c>
      <c r="C491" s="5">
        <v>2012</v>
      </c>
      <c r="D491" s="5">
        <v>1</v>
      </c>
      <c r="E491" s="5">
        <v>2007</v>
      </c>
      <c r="F491" s="5">
        <v>2010</v>
      </c>
      <c r="G491" s="113">
        <v>0.28148148148148144</v>
      </c>
      <c r="H491" s="7">
        <v>2000.0824673322313</v>
      </c>
      <c r="I491" s="5">
        <v>1</v>
      </c>
      <c r="J491" s="5">
        <v>0</v>
      </c>
      <c r="K491" s="5">
        <v>0</v>
      </c>
      <c r="L491" s="7" t="s">
        <v>238</v>
      </c>
      <c r="M491" s="7">
        <v>1025.0365316412606</v>
      </c>
      <c r="N491" s="7">
        <v>1025.0365316412606</v>
      </c>
      <c r="O491" s="5">
        <v>0</v>
      </c>
      <c r="P491" s="5">
        <v>1</v>
      </c>
      <c r="Q491" s="5">
        <v>0</v>
      </c>
      <c r="R491" s="5">
        <v>1</v>
      </c>
      <c r="S491" s="5">
        <v>0</v>
      </c>
      <c r="T491" s="5">
        <v>1</v>
      </c>
      <c r="U491" s="5">
        <v>0</v>
      </c>
      <c r="V491" s="13">
        <v>1.5</v>
      </c>
      <c r="W491" s="13">
        <v>-0.5</v>
      </c>
      <c r="X491" s="5"/>
      <c r="Y491" s="5"/>
      <c r="Z491" s="5"/>
      <c r="AA491" s="5">
        <v>0</v>
      </c>
      <c r="AB491" s="5"/>
      <c r="AC491" s="5">
        <v>0</v>
      </c>
      <c r="AD491" s="5">
        <v>0</v>
      </c>
      <c r="AE491" s="5">
        <v>0</v>
      </c>
      <c r="AF491" s="5">
        <v>0</v>
      </c>
    </row>
    <row r="492" spans="1:32" x14ac:dyDescent="0.2">
      <c r="A492" s="3" t="str">
        <f>+VLOOKUP(B492,studies!$A$2:$C$102,3)</f>
        <v>Ackerman &amp; Stanton (2012)</v>
      </c>
      <c r="B492" s="87">
        <v>72</v>
      </c>
      <c r="C492" s="5">
        <v>2012</v>
      </c>
      <c r="D492" s="5">
        <v>1</v>
      </c>
      <c r="E492" s="5">
        <v>2007</v>
      </c>
      <c r="F492" s="5">
        <v>2010</v>
      </c>
      <c r="G492" s="113">
        <v>0.14074074074074072</v>
      </c>
      <c r="H492" s="7">
        <v>431.47846486268367</v>
      </c>
      <c r="I492" s="5">
        <v>1</v>
      </c>
      <c r="J492" s="5">
        <v>0</v>
      </c>
      <c r="K492" s="5">
        <v>0</v>
      </c>
      <c r="L492" s="7" t="s">
        <v>238</v>
      </c>
      <c r="M492" s="7">
        <v>275.17759238691559</v>
      </c>
      <c r="N492" s="7">
        <v>275.17759238691559</v>
      </c>
      <c r="O492" s="5">
        <v>0</v>
      </c>
      <c r="P492" s="5">
        <v>1</v>
      </c>
      <c r="Q492" s="5">
        <v>0</v>
      </c>
      <c r="R492" s="5">
        <v>1</v>
      </c>
      <c r="S492" s="5">
        <v>0</v>
      </c>
      <c r="T492" s="5">
        <v>1</v>
      </c>
      <c r="U492" s="5">
        <v>0</v>
      </c>
      <c r="V492" s="13">
        <v>3</v>
      </c>
      <c r="W492" s="13">
        <v>1</v>
      </c>
      <c r="X492" s="5"/>
      <c r="Y492" s="5"/>
      <c r="Z492" s="5"/>
      <c r="AA492" s="5">
        <v>0</v>
      </c>
      <c r="AB492" s="5"/>
      <c r="AC492" s="5">
        <v>0</v>
      </c>
      <c r="AD492" s="5">
        <v>0</v>
      </c>
      <c r="AE492" s="5">
        <v>0</v>
      </c>
      <c r="AF492" s="5">
        <v>0</v>
      </c>
    </row>
    <row r="493" spans="1:32" x14ac:dyDescent="0.2">
      <c r="A493" s="3" t="str">
        <f>+VLOOKUP(B493,studies!$A$2:$C$102,3)</f>
        <v>Botzen &amp; van den Bergh (2012)</v>
      </c>
      <c r="B493" s="87">
        <v>73</v>
      </c>
      <c r="C493" s="5">
        <v>2012</v>
      </c>
      <c r="D493" s="5">
        <v>1</v>
      </c>
      <c r="E493" s="48">
        <v>2005</v>
      </c>
      <c r="F493" s="5">
        <v>2015</v>
      </c>
      <c r="G493" s="113">
        <v>0.1</v>
      </c>
      <c r="H493" s="7">
        <v>46.782111623143876</v>
      </c>
      <c r="I493" s="5">
        <v>0</v>
      </c>
      <c r="J493" s="5">
        <v>1</v>
      </c>
      <c r="K493" s="5">
        <v>0</v>
      </c>
      <c r="L493" s="7" t="s">
        <v>238</v>
      </c>
      <c r="M493" s="7" t="s">
        <v>238</v>
      </c>
      <c r="N493" s="7" t="s">
        <v>238</v>
      </c>
      <c r="O493" s="5">
        <v>0</v>
      </c>
      <c r="P493" s="5">
        <v>1</v>
      </c>
      <c r="Q493" s="5">
        <v>0</v>
      </c>
      <c r="R493" s="5">
        <v>1</v>
      </c>
      <c r="S493" s="5">
        <v>0</v>
      </c>
      <c r="T493" s="5">
        <v>1</v>
      </c>
      <c r="U493" s="5">
        <v>0</v>
      </c>
      <c r="V493" s="13" t="s">
        <v>25</v>
      </c>
      <c r="W493" s="13">
        <v>3</v>
      </c>
      <c r="X493" s="5"/>
      <c r="Y493" s="5"/>
      <c r="Z493" s="5"/>
      <c r="AA493" s="5">
        <v>0</v>
      </c>
      <c r="AB493" s="5"/>
      <c r="AC493" s="5">
        <v>0</v>
      </c>
      <c r="AD493" s="5">
        <v>0</v>
      </c>
      <c r="AE493" s="5">
        <v>0</v>
      </c>
      <c r="AF493" s="5">
        <v>1</v>
      </c>
    </row>
    <row r="494" spans="1:32" x14ac:dyDescent="0.2">
      <c r="A494" s="3" t="str">
        <f>+VLOOKUP(B494,studies!$A$2:$C$102,3)</f>
        <v>Botzen &amp; van den Bergh (2012)</v>
      </c>
      <c r="B494" s="87">
        <v>73</v>
      </c>
      <c r="C494" s="5">
        <v>2012</v>
      </c>
      <c r="D494" s="5">
        <v>1</v>
      </c>
      <c r="E494" s="48">
        <v>2005</v>
      </c>
      <c r="F494" s="5">
        <v>2015</v>
      </c>
      <c r="G494" s="113">
        <v>0.9</v>
      </c>
      <c r="H494" s="7">
        <v>47.318040348182279</v>
      </c>
      <c r="I494" s="5">
        <v>0</v>
      </c>
      <c r="J494" s="5">
        <v>1</v>
      </c>
      <c r="K494" s="5">
        <v>0</v>
      </c>
      <c r="L494" s="7" t="s">
        <v>238</v>
      </c>
      <c r="M494" s="7" t="s">
        <v>238</v>
      </c>
      <c r="N494" s="7" t="s">
        <v>238</v>
      </c>
      <c r="O494" s="5">
        <v>0</v>
      </c>
      <c r="P494" s="5">
        <v>1</v>
      </c>
      <c r="Q494" s="5">
        <v>0</v>
      </c>
      <c r="R494" s="5">
        <v>1</v>
      </c>
      <c r="S494" s="5">
        <v>0</v>
      </c>
      <c r="T494" s="5">
        <v>1</v>
      </c>
      <c r="U494" s="5">
        <v>0</v>
      </c>
      <c r="V494" s="13" t="s">
        <v>25</v>
      </c>
      <c r="W494" s="13">
        <v>3</v>
      </c>
      <c r="X494" s="5"/>
      <c r="Y494" s="5"/>
      <c r="Z494" s="5"/>
      <c r="AA494" s="5">
        <v>0</v>
      </c>
      <c r="AB494" s="5"/>
      <c r="AC494" s="5">
        <v>0</v>
      </c>
      <c r="AD494" s="5">
        <v>0</v>
      </c>
      <c r="AE494" s="5">
        <v>0</v>
      </c>
      <c r="AF494" s="5">
        <v>1</v>
      </c>
    </row>
    <row r="495" spans="1:32" x14ac:dyDescent="0.2">
      <c r="A495" s="3" t="str">
        <f>+VLOOKUP(B495,studies!$A$2:$C$102,3)</f>
        <v>Cai et al. (2012)</v>
      </c>
      <c r="B495" s="87">
        <v>74</v>
      </c>
      <c r="C495" s="5">
        <v>2012</v>
      </c>
      <c r="D495" s="5">
        <v>1</v>
      </c>
      <c r="E495" s="48">
        <v>2005</v>
      </c>
      <c r="F495" s="5">
        <v>2015</v>
      </c>
      <c r="G495" s="113">
        <v>0.99</v>
      </c>
      <c r="H495" s="7">
        <v>35.728581669226827</v>
      </c>
      <c r="I495" s="5">
        <v>0</v>
      </c>
      <c r="J495" s="5">
        <v>1</v>
      </c>
      <c r="K495" s="5">
        <v>0</v>
      </c>
      <c r="L495" s="7" t="s">
        <v>238</v>
      </c>
      <c r="M495" s="7" t="s">
        <v>238</v>
      </c>
      <c r="N495" s="7" t="s">
        <v>238</v>
      </c>
      <c r="O495" s="5">
        <v>0</v>
      </c>
      <c r="P495" s="5">
        <v>1</v>
      </c>
      <c r="Q495" s="5">
        <v>0</v>
      </c>
      <c r="R495" s="5">
        <v>1</v>
      </c>
      <c r="S495" s="5">
        <v>0</v>
      </c>
      <c r="T495" s="5">
        <v>1</v>
      </c>
      <c r="U495" s="5">
        <v>0</v>
      </c>
      <c r="V495" s="13"/>
      <c r="W495" s="13">
        <v>3</v>
      </c>
      <c r="X495" s="5"/>
      <c r="Y495" s="5"/>
      <c r="Z495" s="5"/>
      <c r="AA495" s="5">
        <v>0</v>
      </c>
      <c r="AB495" s="5"/>
      <c r="AC495" s="5">
        <v>0</v>
      </c>
      <c r="AD495" s="5">
        <v>0</v>
      </c>
      <c r="AE495" s="5">
        <v>0</v>
      </c>
      <c r="AF495" s="5">
        <v>1</v>
      </c>
    </row>
    <row r="496" spans="1:32" x14ac:dyDescent="0.2">
      <c r="A496" s="3" t="str">
        <f>+VLOOKUP(B496,studies!$A$2:$C$102,3)</f>
        <v>Cai et al. (2012)</v>
      </c>
      <c r="B496" s="87">
        <v>74</v>
      </c>
      <c r="C496" s="5">
        <v>2012</v>
      </c>
      <c r="D496" s="5">
        <v>1</v>
      </c>
      <c r="E496" s="5">
        <v>2005</v>
      </c>
      <c r="F496" s="5">
        <v>2015</v>
      </c>
      <c r="G496" s="113">
        <v>0.01</v>
      </c>
      <c r="H496" s="7">
        <v>45.777245263696869</v>
      </c>
      <c r="I496" s="5">
        <v>0</v>
      </c>
      <c r="J496" s="5">
        <v>1</v>
      </c>
      <c r="K496" s="5">
        <v>0</v>
      </c>
      <c r="L496" s="7" t="s">
        <v>238</v>
      </c>
      <c r="M496" s="7" t="s">
        <v>238</v>
      </c>
      <c r="N496" s="7" t="s">
        <v>238</v>
      </c>
      <c r="O496" s="5">
        <v>0</v>
      </c>
      <c r="P496" s="5">
        <v>1</v>
      </c>
      <c r="Q496" s="5">
        <v>0</v>
      </c>
      <c r="R496" s="5">
        <v>1</v>
      </c>
      <c r="S496" s="5">
        <v>0</v>
      </c>
      <c r="T496" s="5">
        <v>1</v>
      </c>
      <c r="U496" s="5">
        <v>0</v>
      </c>
      <c r="V496" s="13"/>
      <c r="W496" s="13">
        <v>3</v>
      </c>
      <c r="X496" s="5"/>
      <c r="Y496" s="5"/>
      <c r="Z496" s="5"/>
      <c r="AA496" s="5">
        <v>0</v>
      </c>
      <c r="AB496" s="5"/>
      <c r="AC496" s="5">
        <v>0</v>
      </c>
      <c r="AD496" s="5">
        <v>0</v>
      </c>
      <c r="AE496" s="5">
        <v>0</v>
      </c>
      <c r="AF496" s="5">
        <v>1</v>
      </c>
    </row>
    <row r="497" spans="1:32" x14ac:dyDescent="0.2">
      <c r="A497" s="3" t="str">
        <f>+VLOOKUP(B497,studies!$A$2:$C$102,3)</f>
        <v>Espagne et al. (2012)</v>
      </c>
      <c r="B497" s="87">
        <v>75</v>
      </c>
      <c r="C497" s="5">
        <v>2012</v>
      </c>
      <c r="D497" s="5">
        <v>0</v>
      </c>
      <c r="E497" s="5">
        <v>2005</v>
      </c>
      <c r="F497" s="5">
        <v>2010</v>
      </c>
      <c r="G497" s="113">
        <v>0.5</v>
      </c>
      <c r="H497" s="7">
        <v>87.481126478951879</v>
      </c>
      <c r="I497" s="5">
        <v>1</v>
      </c>
      <c r="J497" s="5">
        <v>0</v>
      </c>
      <c r="K497" s="5">
        <v>0</v>
      </c>
      <c r="L497" s="7"/>
      <c r="M497" s="102"/>
      <c r="N497" s="102"/>
      <c r="O497" s="5">
        <v>1</v>
      </c>
      <c r="P497" s="5">
        <v>1</v>
      </c>
      <c r="Q497" s="5">
        <v>1</v>
      </c>
      <c r="R497" s="5">
        <v>0</v>
      </c>
      <c r="S497" s="5">
        <v>0</v>
      </c>
      <c r="T497" s="5">
        <v>0</v>
      </c>
      <c r="U497" s="5">
        <v>0</v>
      </c>
      <c r="V497" s="13">
        <v>4.0999999999999996</v>
      </c>
      <c r="W497" s="13">
        <v>1.5</v>
      </c>
      <c r="X497" s="5">
        <v>2</v>
      </c>
      <c r="Y497" s="3">
        <v>1.3</v>
      </c>
      <c r="Z497" s="5">
        <v>0.5</v>
      </c>
      <c r="AA497" s="5">
        <v>0</v>
      </c>
      <c r="AB497" s="5">
        <v>3</v>
      </c>
      <c r="AC497" s="5">
        <v>0</v>
      </c>
      <c r="AD497" s="5">
        <v>0</v>
      </c>
      <c r="AE497" s="5">
        <v>0</v>
      </c>
      <c r="AF497" s="5">
        <v>1</v>
      </c>
    </row>
    <row r="498" spans="1:32" x14ac:dyDescent="0.2">
      <c r="A498" s="3" t="str">
        <f>+VLOOKUP(B498,studies!$A$2:$C$102,3)</f>
        <v>Espagne et al. (2012)</v>
      </c>
      <c r="B498" s="87">
        <v>75</v>
      </c>
      <c r="C498" s="5">
        <v>2012</v>
      </c>
      <c r="D498" s="5">
        <v>0</v>
      </c>
      <c r="E498" s="5">
        <v>2005</v>
      </c>
      <c r="F498" s="5">
        <v>2010</v>
      </c>
      <c r="G498" s="113">
        <v>0.5</v>
      </c>
      <c r="H498" s="7">
        <v>787.33013831056712</v>
      </c>
      <c r="I498" s="5">
        <v>1</v>
      </c>
      <c r="J498" s="5">
        <v>0</v>
      </c>
      <c r="K498" s="5">
        <v>0</v>
      </c>
      <c r="L498" s="7"/>
      <c r="M498" s="102"/>
      <c r="N498" s="102"/>
      <c r="O498" s="5">
        <v>1</v>
      </c>
      <c r="P498" s="5">
        <v>1</v>
      </c>
      <c r="Q498" s="5">
        <v>1</v>
      </c>
      <c r="R498" s="5">
        <v>0</v>
      </c>
      <c r="S498" s="5">
        <v>0</v>
      </c>
      <c r="T498" s="5">
        <v>0</v>
      </c>
      <c r="U498" s="5">
        <v>0</v>
      </c>
      <c r="V498" s="13">
        <v>1.4</v>
      </c>
      <c r="W498" s="13">
        <v>0.1</v>
      </c>
      <c r="X498" s="5">
        <v>1</v>
      </c>
      <c r="Y498" s="3">
        <v>1.3</v>
      </c>
      <c r="Z498" s="5">
        <v>1</v>
      </c>
      <c r="AA498" s="5">
        <v>0</v>
      </c>
      <c r="AB498" s="5">
        <v>4</v>
      </c>
      <c r="AC498" s="5">
        <v>0</v>
      </c>
      <c r="AD498" s="5">
        <v>0</v>
      </c>
      <c r="AE498" s="5">
        <v>0</v>
      </c>
      <c r="AF498" s="5">
        <v>1</v>
      </c>
    </row>
    <row r="499" spans="1:32" x14ac:dyDescent="0.2">
      <c r="A499" s="3" t="str">
        <f>+VLOOKUP(B499,studies!$A$2:$C$102,3)</f>
        <v>Gerlagh &amp; Liski (2012)</v>
      </c>
      <c r="B499" s="87">
        <v>76</v>
      </c>
      <c r="C499" s="5">
        <v>2012</v>
      </c>
      <c r="D499" s="5">
        <v>0</v>
      </c>
      <c r="E499" s="5">
        <v>2010</v>
      </c>
      <c r="F499" s="5">
        <v>2010</v>
      </c>
      <c r="G499" s="113">
        <v>0.33333333333333331</v>
      </c>
      <c r="H499" s="7">
        <v>46.669137259475939</v>
      </c>
      <c r="I499" s="5">
        <v>1</v>
      </c>
      <c r="J499" s="5">
        <v>0</v>
      </c>
      <c r="K499" s="5">
        <v>0</v>
      </c>
      <c r="L499" s="7"/>
      <c r="M499" s="102"/>
      <c r="N499" s="102"/>
      <c r="O499" s="5">
        <v>0</v>
      </c>
      <c r="P499" s="5">
        <v>1</v>
      </c>
      <c r="Q499" s="5">
        <v>1</v>
      </c>
      <c r="R499" s="5">
        <v>0</v>
      </c>
      <c r="S499" s="5">
        <v>0</v>
      </c>
      <c r="T499" s="5">
        <v>0</v>
      </c>
      <c r="U499" s="5">
        <v>0</v>
      </c>
      <c r="V499" s="13"/>
      <c r="W499" s="13">
        <v>2</v>
      </c>
      <c r="X499" s="5"/>
      <c r="Y499" s="5"/>
      <c r="Z499" s="5"/>
      <c r="AA499" s="5">
        <v>0</v>
      </c>
      <c r="AB499" s="5">
        <v>3</v>
      </c>
      <c r="AC499" s="5">
        <v>0</v>
      </c>
      <c r="AD499" s="5">
        <v>0</v>
      </c>
      <c r="AE499" s="5">
        <v>0</v>
      </c>
      <c r="AF499" s="5">
        <v>1</v>
      </c>
    </row>
    <row r="500" spans="1:32" x14ac:dyDescent="0.2">
      <c r="A500" s="3" t="str">
        <f>+VLOOKUP(B500,studies!$A$2:$C$102,3)</f>
        <v>Gerlagh &amp; Liski (2012)</v>
      </c>
      <c r="B500" s="87">
        <v>76</v>
      </c>
      <c r="C500" s="5">
        <v>2012</v>
      </c>
      <c r="D500" s="5">
        <v>0</v>
      </c>
      <c r="E500" s="5">
        <v>2010</v>
      </c>
      <c r="F500" s="5">
        <v>2010</v>
      </c>
      <c r="G500" s="113">
        <v>0.33333333333333331</v>
      </c>
      <c r="H500" s="7">
        <v>163.34198040816577</v>
      </c>
      <c r="I500" s="5">
        <v>1</v>
      </c>
      <c r="J500" s="5">
        <v>0</v>
      </c>
      <c r="K500" s="5">
        <v>0</v>
      </c>
      <c r="L500" s="7"/>
      <c r="M500" s="102"/>
      <c r="N500" s="102"/>
      <c r="O500" s="5">
        <v>0</v>
      </c>
      <c r="P500" s="5">
        <v>1</v>
      </c>
      <c r="Q500" s="5">
        <v>1</v>
      </c>
      <c r="R500" s="5">
        <v>0</v>
      </c>
      <c r="S500" s="5">
        <v>0</v>
      </c>
      <c r="T500" s="5">
        <v>0</v>
      </c>
      <c r="U500" s="5">
        <v>0</v>
      </c>
      <c r="V500" s="13"/>
      <c r="W500" s="13">
        <v>2</v>
      </c>
      <c r="X500" s="5"/>
      <c r="Y500" s="5"/>
      <c r="Z500" s="5"/>
      <c r="AA500" s="5">
        <v>0</v>
      </c>
      <c r="AB500" s="5">
        <v>3</v>
      </c>
      <c r="AC500" s="5">
        <v>0</v>
      </c>
      <c r="AD500" s="5">
        <v>0</v>
      </c>
      <c r="AE500" s="5">
        <v>0</v>
      </c>
      <c r="AF500" s="5">
        <v>0</v>
      </c>
    </row>
    <row r="501" spans="1:32" x14ac:dyDescent="0.2">
      <c r="A501" s="3" t="str">
        <f>+VLOOKUP(B501,studies!$A$2:$C$102,3)</f>
        <v>Gerlagh &amp; Liski (2012)</v>
      </c>
      <c r="B501" s="87">
        <v>76</v>
      </c>
      <c r="C501" s="5">
        <v>2012</v>
      </c>
      <c r="D501" s="5">
        <v>0</v>
      </c>
      <c r="E501" s="5">
        <v>2010</v>
      </c>
      <c r="F501" s="5">
        <v>2010</v>
      </c>
      <c r="G501" s="113">
        <v>0.33333333333333331</v>
      </c>
      <c r="H501" s="7">
        <v>183.34303923365547</v>
      </c>
      <c r="I501" s="5">
        <v>1</v>
      </c>
      <c r="J501" s="5">
        <v>0</v>
      </c>
      <c r="K501" s="5">
        <v>0</v>
      </c>
      <c r="L501" s="7"/>
      <c r="M501" s="102"/>
      <c r="N501" s="102"/>
      <c r="O501" s="5">
        <v>0</v>
      </c>
      <c r="P501" s="5">
        <v>1</v>
      </c>
      <c r="Q501" s="5">
        <v>1</v>
      </c>
      <c r="R501" s="5">
        <v>0</v>
      </c>
      <c r="S501" s="5">
        <v>0</v>
      </c>
      <c r="T501" s="5">
        <v>0</v>
      </c>
      <c r="U501" s="5">
        <v>0</v>
      </c>
      <c r="V501" s="13"/>
      <c r="W501" s="13">
        <v>2</v>
      </c>
      <c r="X501" s="5"/>
      <c r="Y501" s="5"/>
      <c r="Z501" s="5"/>
      <c r="AA501" s="5">
        <v>0</v>
      </c>
      <c r="AB501" s="5">
        <v>3</v>
      </c>
      <c r="AC501" s="5">
        <v>0</v>
      </c>
      <c r="AD501" s="5">
        <v>0</v>
      </c>
      <c r="AE501" s="5">
        <v>0</v>
      </c>
      <c r="AF501" s="5">
        <v>0</v>
      </c>
    </row>
    <row r="502" spans="1:32" x14ac:dyDescent="0.2">
      <c r="A502" s="3" t="str">
        <f>+VLOOKUP(B502,studies!$A$2:$C$102,3)</f>
        <v>Johnson &amp; Hope (2012)</v>
      </c>
      <c r="B502" s="87">
        <v>77</v>
      </c>
      <c r="C502" s="5">
        <v>2012</v>
      </c>
      <c r="D502" s="5">
        <v>1</v>
      </c>
      <c r="E502" s="5">
        <v>2007</v>
      </c>
      <c r="F502" s="5">
        <v>2010</v>
      </c>
      <c r="G502" s="113">
        <v>0.11627906976744186</v>
      </c>
      <c r="H502" s="7">
        <v>1195.5549130570193</v>
      </c>
      <c r="I502" s="5">
        <v>0</v>
      </c>
      <c r="J502" s="5">
        <v>1</v>
      </c>
      <c r="K502" s="5">
        <v>0</v>
      </c>
      <c r="L502" s="7" t="s">
        <v>238</v>
      </c>
      <c r="M502" s="7">
        <v>1128.2281287863539</v>
      </c>
      <c r="N502" s="7">
        <v>1128.2281287863539</v>
      </c>
      <c r="O502" s="5">
        <v>0</v>
      </c>
      <c r="P502" s="5">
        <v>1</v>
      </c>
      <c r="Q502" s="5">
        <v>0</v>
      </c>
      <c r="R502" s="5">
        <v>1</v>
      </c>
      <c r="S502" s="5">
        <v>1</v>
      </c>
      <c r="T502" s="5">
        <v>1</v>
      </c>
      <c r="U502" s="5">
        <v>1</v>
      </c>
      <c r="V502" s="13">
        <v>1</v>
      </c>
      <c r="W502" s="13" t="s">
        <v>25</v>
      </c>
      <c r="X502" s="5"/>
      <c r="Y502" s="5"/>
      <c r="Z502" s="5"/>
      <c r="AA502" s="5">
        <v>0</v>
      </c>
      <c r="AB502" s="5"/>
      <c r="AC502" s="5">
        <v>0</v>
      </c>
      <c r="AD502" s="5">
        <v>0</v>
      </c>
      <c r="AE502" s="5">
        <v>0</v>
      </c>
      <c r="AF502" s="5">
        <v>0</v>
      </c>
    </row>
    <row r="503" spans="1:32" x14ac:dyDescent="0.2">
      <c r="A503" s="3" t="str">
        <f>+VLOOKUP(B503,studies!$A$2:$C$102,3)</f>
        <v>Johnson &amp; Hope (2012)</v>
      </c>
      <c r="B503" s="87">
        <v>77</v>
      </c>
      <c r="C503" s="5">
        <v>2012</v>
      </c>
      <c r="D503" s="5">
        <v>1</v>
      </c>
      <c r="E503" s="5">
        <v>2007</v>
      </c>
      <c r="F503" s="5">
        <v>2010</v>
      </c>
      <c r="G503" s="113">
        <v>0.11627906976744186</v>
      </c>
      <c r="H503" s="7">
        <v>548.33721576299376</v>
      </c>
      <c r="I503" s="5">
        <v>0</v>
      </c>
      <c r="J503" s="5">
        <v>1</v>
      </c>
      <c r="K503" s="5">
        <v>0</v>
      </c>
      <c r="L503" s="7" t="s">
        <v>238</v>
      </c>
      <c r="M503" s="7">
        <v>538.88945175770971</v>
      </c>
      <c r="N503" s="7">
        <v>538.88945175770971</v>
      </c>
      <c r="O503" s="5">
        <v>0</v>
      </c>
      <c r="P503" s="5">
        <v>1</v>
      </c>
      <c r="Q503" s="5">
        <v>0</v>
      </c>
      <c r="R503" s="5">
        <v>1</v>
      </c>
      <c r="S503" s="5">
        <v>1</v>
      </c>
      <c r="T503" s="5">
        <v>1</v>
      </c>
      <c r="U503" s="5">
        <v>1</v>
      </c>
      <c r="V503" s="13">
        <v>1.5</v>
      </c>
      <c r="W503" s="13" t="s">
        <v>25</v>
      </c>
      <c r="X503" s="5"/>
      <c r="Y503" s="5"/>
      <c r="Z503" s="5"/>
      <c r="AA503" s="5">
        <v>0</v>
      </c>
      <c r="AB503" s="5"/>
      <c r="AC503" s="5">
        <v>0</v>
      </c>
      <c r="AD503" s="5">
        <v>0</v>
      </c>
      <c r="AE503" s="5">
        <v>0</v>
      </c>
      <c r="AF503" s="5">
        <v>0</v>
      </c>
    </row>
    <row r="504" spans="1:32" x14ac:dyDescent="0.2">
      <c r="A504" s="3" t="str">
        <f>+VLOOKUP(B504,studies!$A$2:$C$102,3)</f>
        <v>Johnson &amp; Hope (2012)</v>
      </c>
      <c r="B504" s="87">
        <v>77</v>
      </c>
      <c r="C504" s="5">
        <v>2012</v>
      </c>
      <c r="D504" s="5">
        <v>1</v>
      </c>
      <c r="E504" s="5">
        <v>2007</v>
      </c>
      <c r="F504" s="5">
        <v>2010</v>
      </c>
      <c r="G504" s="113">
        <v>0.11627906976744186</v>
      </c>
      <c r="H504" s="7">
        <v>278.66317522381649</v>
      </c>
      <c r="I504" s="5">
        <v>0</v>
      </c>
      <c r="J504" s="5">
        <v>1</v>
      </c>
      <c r="K504" s="5">
        <v>0</v>
      </c>
      <c r="L504" s="7" t="s">
        <v>238</v>
      </c>
      <c r="M504" s="7">
        <v>286.64332540303707</v>
      </c>
      <c r="N504" s="7">
        <v>286.64332540303707</v>
      </c>
      <c r="O504" s="5">
        <v>0</v>
      </c>
      <c r="P504" s="5">
        <v>1</v>
      </c>
      <c r="Q504" s="5">
        <v>0</v>
      </c>
      <c r="R504" s="5">
        <v>1</v>
      </c>
      <c r="S504" s="5">
        <v>1</v>
      </c>
      <c r="T504" s="5">
        <v>1</v>
      </c>
      <c r="U504" s="5">
        <v>1</v>
      </c>
      <c r="V504" s="13">
        <v>2</v>
      </c>
      <c r="W504" s="13" t="s">
        <v>25</v>
      </c>
      <c r="X504" s="5"/>
      <c r="Y504" s="5"/>
      <c r="Z504" s="5"/>
      <c r="AA504" s="5">
        <v>0</v>
      </c>
      <c r="AB504" s="5"/>
      <c r="AC504" s="5">
        <v>0</v>
      </c>
      <c r="AD504" s="5">
        <v>0</v>
      </c>
      <c r="AE504" s="5">
        <v>0</v>
      </c>
      <c r="AF504" s="5">
        <v>0</v>
      </c>
    </row>
    <row r="505" spans="1:32" x14ac:dyDescent="0.2">
      <c r="A505" s="3" t="str">
        <f>+VLOOKUP(B505,studies!$A$2:$C$102,3)</f>
        <v>Johnson &amp; Hope (2012)</v>
      </c>
      <c r="B505" s="87">
        <v>77</v>
      </c>
      <c r="C505" s="5">
        <v>2012</v>
      </c>
      <c r="D505" s="5">
        <v>1</v>
      </c>
      <c r="E505" s="5">
        <v>2007</v>
      </c>
      <c r="F505" s="5">
        <v>2010</v>
      </c>
      <c r="G505" s="113">
        <v>1.1627906976744186E-2</v>
      </c>
      <c r="H505" s="7">
        <v>157.30985698118673</v>
      </c>
      <c r="I505" s="5">
        <v>0</v>
      </c>
      <c r="J505" s="5">
        <v>1</v>
      </c>
      <c r="K505" s="5">
        <v>0</v>
      </c>
      <c r="L505" s="7" t="s">
        <v>238</v>
      </c>
      <c r="M505" s="7">
        <v>165.10655543214938</v>
      </c>
      <c r="N505" s="7">
        <v>165.10655543214938</v>
      </c>
      <c r="O505" s="5">
        <v>0</v>
      </c>
      <c r="P505" s="5">
        <v>1</v>
      </c>
      <c r="Q505" s="5">
        <v>0</v>
      </c>
      <c r="R505" s="5">
        <v>1</v>
      </c>
      <c r="S505" s="5">
        <v>1</v>
      </c>
      <c r="T505" s="5">
        <v>1</v>
      </c>
      <c r="U505" s="5">
        <v>1</v>
      </c>
      <c r="V505" s="13">
        <v>2.5</v>
      </c>
      <c r="W505" s="13" t="s">
        <v>25</v>
      </c>
      <c r="X505" s="5"/>
      <c r="Y505" s="5"/>
      <c r="Z505" s="5"/>
      <c r="AA505" s="5">
        <v>0</v>
      </c>
      <c r="AB505" s="5"/>
      <c r="AC505" s="5">
        <v>0</v>
      </c>
      <c r="AD505" s="5">
        <v>0</v>
      </c>
      <c r="AE505" s="5">
        <v>0</v>
      </c>
      <c r="AF505" s="5">
        <v>0</v>
      </c>
    </row>
    <row r="506" spans="1:32" x14ac:dyDescent="0.2">
      <c r="A506" s="3" t="str">
        <f>+VLOOKUP(B506,studies!$A$2:$C$102,3)</f>
        <v>Johnson &amp; Hope (2012)</v>
      </c>
      <c r="B506" s="87">
        <v>77</v>
      </c>
      <c r="C506" s="5">
        <v>2012</v>
      </c>
      <c r="D506" s="5">
        <v>1</v>
      </c>
      <c r="E506" s="5">
        <v>2007</v>
      </c>
      <c r="F506" s="5">
        <v>2010</v>
      </c>
      <c r="G506" s="113">
        <v>1.1627906976744186E-2</v>
      </c>
      <c r="H506" s="7">
        <v>94.38591418871205</v>
      </c>
      <c r="I506" s="5">
        <v>0</v>
      </c>
      <c r="J506" s="5">
        <v>1</v>
      </c>
      <c r="K506" s="5">
        <v>0</v>
      </c>
      <c r="L506" s="7" t="s">
        <v>238</v>
      </c>
      <c r="M506" s="7">
        <v>100.89845054186904</v>
      </c>
      <c r="N506" s="7">
        <v>100.89845054186904</v>
      </c>
      <c r="O506" s="5">
        <v>0</v>
      </c>
      <c r="P506" s="5">
        <v>1</v>
      </c>
      <c r="Q506" s="5">
        <v>0</v>
      </c>
      <c r="R506" s="5">
        <v>1</v>
      </c>
      <c r="S506" s="5">
        <v>1</v>
      </c>
      <c r="T506" s="5">
        <v>1</v>
      </c>
      <c r="U506" s="5">
        <v>1</v>
      </c>
      <c r="V506" s="13">
        <v>3</v>
      </c>
      <c r="W506" s="13" t="s">
        <v>25</v>
      </c>
      <c r="X506" s="5"/>
      <c r="Y506" s="5"/>
      <c r="Z506" s="5"/>
      <c r="AA506" s="5">
        <v>0</v>
      </c>
      <c r="AB506" s="5"/>
      <c r="AC506" s="5">
        <v>0</v>
      </c>
      <c r="AD506" s="5">
        <v>0</v>
      </c>
      <c r="AE506" s="5">
        <v>0</v>
      </c>
      <c r="AF506" s="5">
        <v>0</v>
      </c>
    </row>
    <row r="507" spans="1:32" x14ac:dyDescent="0.2">
      <c r="A507" s="3" t="str">
        <f>+VLOOKUP(B507,studies!$A$2:$C$102,3)</f>
        <v>Johnson &amp; Hope (2012)</v>
      </c>
      <c r="B507" s="87">
        <v>77</v>
      </c>
      <c r="C507" s="5">
        <v>2012</v>
      </c>
      <c r="D507" s="5">
        <v>1</v>
      </c>
      <c r="E507" s="5">
        <v>2007</v>
      </c>
      <c r="F507" s="5">
        <v>2010</v>
      </c>
      <c r="G507" s="113">
        <v>1.1627906976744186E-2</v>
      </c>
      <c r="H507" s="7">
        <v>22.472836711598106</v>
      </c>
      <c r="I507" s="5">
        <v>0</v>
      </c>
      <c r="J507" s="5">
        <v>1</v>
      </c>
      <c r="K507" s="5">
        <v>0</v>
      </c>
      <c r="L507" s="7" t="s">
        <v>238</v>
      </c>
      <c r="M507" s="7">
        <v>25.22461263546726</v>
      </c>
      <c r="N507" s="7">
        <v>25.22461263546726</v>
      </c>
      <c r="O507" s="5">
        <v>0</v>
      </c>
      <c r="P507" s="5">
        <v>1</v>
      </c>
      <c r="Q507" s="5">
        <v>0</v>
      </c>
      <c r="R507" s="5">
        <v>1</v>
      </c>
      <c r="S507" s="5">
        <v>1</v>
      </c>
      <c r="T507" s="5">
        <v>1</v>
      </c>
      <c r="U507" s="5">
        <v>1</v>
      </c>
      <c r="V507" s="13">
        <v>5</v>
      </c>
      <c r="W507" s="13" t="s">
        <v>25</v>
      </c>
      <c r="X507" s="5"/>
      <c r="Y507" s="5"/>
      <c r="Z507" s="5"/>
      <c r="AA507" s="5">
        <v>0</v>
      </c>
      <c r="AB507" s="5"/>
      <c r="AC507" s="5">
        <v>0</v>
      </c>
      <c r="AD507" s="5">
        <v>0</v>
      </c>
      <c r="AE507" s="5">
        <v>0</v>
      </c>
      <c r="AF507" s="5">
        <v>0</v>
      </c>
    </row>
    <row r="508" spans="1:32" x14ac:dyDescent="0.2">
      <c r="A508" s="3" t="str">
        <f>+VLOOKUP(B508,studies!$A$2:$C$102,3)</f>
        <v>Johnson &amp; Hope (2012)</v>
      </c>
      <c r="B508" s="87">
        <v>77</v>
      </c>
      <c r="C508" s="5">
        <v>2012</v>
      </c>
      <c r="D508" s="5">
        <v>1</v>
      </c>
      <c r="E508" s="5">
        <v>2007</v>
      </c>
      <c r="F508" s="5">
        <v>2010</v>
      </c>
      <c r="G508" s="113">
        <v>0.11627906976744186</v>
      </c>
      <c r="H508" s="7">
        <v>247.20120382757918</v>
      </c>
      <c r="I508" s="5">
        <v>0</v>
      </c>
      <c r="J508" s="5">
        <v>1</v>
      </c>
      <c r="K508" s="5">
        <v>0</v>
      </c>
      <c r="L508" s="7" t="s">
        <v>238</v>
      </c>
      <c r="M508" s="7">
        <v>231.60780692565396</v>
      </c>
      <c r="N508" s="7">
        <v>231.60780692565396</v>
      </c>
      <c r="O508" s="5">
        <v>0</v>
      </c>
      <c r="P508" s="5">
        <v>1</v>
      </c>
      <c r="Q508" s="5">
        <v>0</v>
      </c>
      <c r="R508" s="5">
        <v>1</v>
      </c>
      <c r="S508" s="5">
        <v>1</v>
      </c>
      <c r="T508" s="5">
        <v>1</v>
      </c>
      <c r="U508" s="5">
        <v>1</v>
      </c>
      <c r="V508" s="13" t="s">
        <v>25</v>
      </c>
      <c r="W508" s="13" t="s">
        <v>25</v>
      </c>
      <c r="X508" s="5"/>
      <c r="Y508" s="5"/>
      <c r="Z508" s="5"/>
      <c r="AA508" s="5">
        <v>0</v>
      </c>
      <c r="AB508" s="5"/>
      <c r="AC508" s="5">
        <v>0</v>
      </c>
      <c r="AD508" s="5">
        <v>0</v>
      </c>
      <c r="AE508" s="5">
        <v>0</v>
      </c>
      <c r="AF508" s="5">
        <v>0</v>
      </c>
    </row>
    <row r="509" spans="1:32" x14ac:dyDescent="0.2">
      <c r="A509" s="3" t="str">
        <f>+VLOOKUP(B509,studies!$A$2:$C$102,3)</f>
        <v>Johnson &amp; Hope (2012)</v>
      </c>
      <c r="B509" s="87">
        <v>77</v>
      </c>
      <c r="C509" s="5">
        <v>2012</v>
      </c>
      <c r="D509" s="5">
        <v>1</v>
      </c>
      <c r="E509" s="5">
        <v>2007</v>
      </c>
      <c r="F509" s="5">
        <v>2010</v>
      </c>
      <c r="G509" s="113">
        <v>0.11627906976744186</v>
      </c>
      <c r="H509" s="7">
        <v>786.54928490593363</v>
      </c>
      <c r="I509" s="5">
        <v>0</v>
      </c>
      <c r="J509" s="5">
        <v>1</v>
      </c>
      <c r="K509" s="5">
        <v>0</v>
      </c>
      <c r="L509" s="7" t="s">
        <v>238</v>
      </c>
      <c r="M509" s="7">
        <v>470.0950536609808</v>
      </c>
      <c r="N509" s="7">
        <v>470.0950536609808</v>
      </c>
      <c r="O509" s="5">
        <v>0</v>
      </c>
      <c r="P509" s="5">
        <v>1</v>
      </c>
      <c r="Q509" s="5">
        <v>0</v>
      </c>
      <c r="R509" s="5">
        <v>1</v>
      </c>
      <c r="S509" s="5">
        <v>1</v>
      </c>
      <c r="T509" s="5">
        <v>1</v>
      </c>
      <c r="U509" s="5">
        <v>1</v>
      </c>
      <c r="V509" s="13" t="s">
        <v>25</v>
      </c>
      <c r="W509" s="13" t="s">
        <v>25</v>
      </c>
      <c r="X509" s="5"/>
      <c r="Y509" s="5"/>
      <c r="Z509" s="5"/>
      <c r="AA509" s="5">
        <v>0</v>
      </c>
      <c r="AB509" s="5"/>
      <c r="AC509" s="5">
        <v>0</v>
      </c>
      <c r="AD509" s="5">
        <v>0</v>
      </c>
      <c r="AE509" s="5">
        <v>0</v>
      </c>
      <c r="AF509" s="5">
        <v>0</v>
      </c>
    </row>
    <row r="510" spans="1:32" x14ac:dyDescent="0.2">
      <c r="A510" s="3" t="str">
        <f>+VLOOKUP(B510,studies!$A$2:$C$102,3)</f>
        <v>Johnson &amp; Hope (2012)</v>
      </c>
      <c r="B510" s="87">
        <v>77</v>
      </c>
      <c r="C510" s="5">
        <v>2012</v>
      </c>
      <c r="D510" s="5">
        <v>1</v>
      </c>
      <c r="E510" s="5">
        <v>2007</v>
      </c>
      <c r="F510" s="5">
        <v>2010</v>
      </c>
      <c r="G510" s="113">
        <v>1.1627906976744186E-2</v>
      </c>
      <c r="H510" s="7">
        <v>62.923942792474698</v>
      </c>
      <c r="I510" s="5">
        <v>0</v>
      </c>
      <c r="J510" s="5">
        <v>1</v>
      </c>
      <c r="K510" s="5">
        <v>0</v>
      </c>
      <c r="L510" s="7" t="s">
        <v>238</v>
      </c>
      <c r="M510" s="7" t="s">
        <v>238</v>
      </c>
      <c r="N510" s="7" t="s">
        <v>238</v>
      </c>
      <c r="O510" s="5">
        <v>0</v>
      </c>
      <c r="P510" s="5">
        <v>1</v>
      </c>
      <c r="Q510" s="5">
        <v>0</v>
      </c>
      <c r="R510" s="5">
        <v>1</v>
      </c>
      <c r="S510" s="5">
        <v>1</v>
      </c>
      <c r="T510" s="5">
        <v>1</v>
      </c>
      <c r="U510" s="5">
        <v>1</v>
      </c>
      <c r="V510" s="13">
        <v>2.5</v>
      </c>
      <c r="W510" s="13" t="s">
        <v>25</v>
      </c>
      <c r="X510" s="5"/>
      <c r="Y510" s="5"/>
      <c r="Z510" s="5"/>
      <c r="AA510" s="5">
        <v>0</v>
      </c>
      <c r="AB510" s="5"/>
      <c r="AC510" s="5">
        <v>0</v>
      </c>
      <c r="AD510" s="5">
        <v>0</v>
      </c>
      <c r="AE510" s="5">
        <v>0</v>
      </c>
      <c r="AF510" s="5">
        <v>0</v>
      </c>
    </row>
    <row r="511" spans="1:32" x14ac:dyDescent="0.2">
      <c r="A511" s="3" t="str">
        <f>+VLOOKUP(B511,studies!$A$2:$C$102,3)</f>
        <v>Johnson &amp; Hope (2012)</v>
      </c>
      <c r="B511" s="87">
        <v>77</v>
      </c>
      <c r="C511" s="5">
        <v>2012</v>
      </c>
      <c r="D511" s="5">
        <v>1</v>
      </c>
      <c r="E511" s="5">
        <v>2007</v>
      </c>
      <c r="F511" s="5">
        <v>2010</v>
      </c>
      <c r="G511" s="113">
        <v>1.1627906976744186E-2</v>
      </c>
      <c r="H511" s="7">
        <v>26.967404053917729</v>
      </c>
      <c r="I511" s="5">
        <v>0</v>
      </c>
      <c r="J511" s="5">
        <v>1</v>
      </c>
      <c r="K511" s="5">
        <v>0</v>
      </c>
      <c r="L511" s="7" t="s">
        <v>238</v>
      </c>
      <c r="M511" s="7" t="s">
        <v>238</v>
      </c>
      <c r="N511" s="7" t="s">
        <v>238</v>
      </c>
      <c r="O511" s="5">
        <v>0</v>
      </c>
      <c r="P511" s="5">
        <v>1</v>
      </c>
      <c r="Q511" s="5">
        <v>0</v>
      </c>
      <c r="R511" s="5">
        <v>1</v>
      </c>
      <c r="S511" s="5">
        <v>1</v>
      </c>
      <c r="T511" s="5">
        <v>1</v>
      </c>
      <c r="U511" s="5">
        <v>1</v>
      </c>
      <c r="V511" s="13">
        <v>3</v>
      </c>
      <c r="W511" s="13" t="s">
        <v>25</v>
      </c>
      <c r="X511" s="5"/>
      <c r="Y511" s="5"/>
      <c r="Z511" s="5"/>
      <c r="AA511" s="5">
        <v>0</v>
      </c>
      <c r="AB511" s="5"/>
      <c r="AC511" s="5">
        <v>0</v>
      </c>
      <c r="AD511" s="5">
        <v>0</v>
      </c>
      <c r="AE511" s="5">
        <v>0</v>
      </c>
      <c r="AF511" s="5">
        <v>0</v>
      </c>
    </row>
    <row r="512" spans="1:32" x14ac:dyDescent="0.2">
      <c r="A512" s="3" t="str">
        <f>+VLOOKUP(B512,studies!$A$2:$C$102,3)</f>
        <v>Johnson &amp; Hope (2012)</v>
      </c>
      <c r="B512" s="87">
        <v>77</v>
      </c>
      <c r="C512" s="5">
        <v>2012</v>
      </c>
      <c r="D512" s="5">
        <v>1</v>
      </c>
      <c r="E512" s="5">
        <v>2007</v>
      </c>
      <c r="F512" s="5">
        <v>2010</v>
      </c>
      <c r="G512" s="113">
        <v>1.1627906976744186E-2</v>
      </c>
      <c r="H512" s="7">
        <v>-6.2923942792474694</v>
      </c>
      <c r="I512" s="5">
        <v>0</v>
      </c>
      <c r="J512" s="5">
        <v>1</v>
      </c>
      <c r="K512" s="5">
        <v>0</v>
      </c>
      <c r="L512" s="7" t="s">
        <v>238</v>
      </c>
      <c r="M512" s="7" t="s">
        <v>238</v>
      </c>
      <c r="N512" s="7" t="s">
        <v>238</v>
      </c>
      <c r="O512" s="5">
        <v>0</v>
      </c>
      <c r="P512" s="5">
        <v>1</v>
      </c>
      <c r="Q512" s="5">
        <v>0</v>
      </c>
      <c r="R512" s="5">
        <v>1</v>
      </c>
      <c r="S512" s="5">
        <v>1</v>
      </c>
      <c r="T512" s="5">
        <v>1</v>
      </c>
      <c r="U512" s="5">
        <v>1</v>
      </c>
      <c r="V512" s="13">
        <v>5</v>
      </c>
      <c r="W512" s="13" t="s">
        <v>25</v>
      </c>
      <c r="X512" s="5"/>
      <c r="Y512" s="5"/>
      <c r="Z512" s="5"/>
      <c r="AA512" s="5">
        <v>0</v>
      </c>
      <c r="AB512" s="5"/>
      <c r="AC512" s="5">
        <v>0</v>
      </c>
      <c r="AD512" s="5">
        <v>0</v>
      </c>
      <c r="AE512" s="5">
        <v>0</v>
      </c>
      <c r="AF512" s="5">
        <v>0</v>
      </c>
    </row>
    <row r="513" spans="1:32" x14ac:dyDescent="0.2">
      <c r="A513" s="3" t="str">
        <f>+VLOOKUP(B513,studies!$A$2:$C$102,3)</f>
        <v>Johnson &amp; Hope (2012)</v>
      </c>
      <c r="B513" s="87">
        <v>77</v>
      </c>
      <c r="C513" s="5">
        <v>2012</v>
      </c>
      <c r="D513" s="5">
        <v>1</v>
      </c>
      <c r="E513" s="5">
        <v>2007</v>
      </c>
      <c r="F513" s="5">
        <v>2010</v>
      </c>
      <c r="G513" s="113">
        <v>0.11627906976744186</v>
      </c>
      <c r="H513" s="7">
        <v>651.71226463634503</v>
      </c>
      <c r="I513" s="5">
        <v>0</v>
      </c>
      <c r="J513" s="5">
        <v>1</v>
      </c>
      <c r="K513" s="5">
        <v>0</v>
      </c>
      <c r="L513" s="7" t="s">
        <v>238</v>
      </c>
      <c r="M513" s="7" t="s">
        <v>238</v>
      </c>
      <c r="N513" s="7" t="s">
        <v>238</v>
      </c>
      <c r="O513" s="5">
        <v>0</v>
      </c>
      <c r="P513" s="5">
        <v>1</v>
      </c>
      <c r="Q513" s="5">
        <v>0</v>
      </c>
      <c r="R513" s="5">
        <v>1</v>
      </c>
      <c r="S513" s="5">
        <v>1</v>
      </c>
      <c r="T513" s="5">
        <v>1</v>
      </c>
      <c r="U513" s="5">
        <v>1</v>
      </c>
      <c r="V513" s="13">
        <v>2.5</v>
      </c>
      <c r="W513" s="13" t="s">
        <v>25</v>
      </c>
      <c r="X513" s="5"/>
      <c r="Y513" s="5"/>
      <c r="Z513" s="5"/>
      <c r="AA513" s="5">
        <v>1</v>
      </c>
      <c r="AB513" s="5"/>
      <c r="AC513" s="5">
        <v>0</v>
      </c>
      <c r="AD513" s="5">
        <v>0</v>
      </c>
      <c r="AE513" s="5">
        <v>0</v>
      </c>
      <c r="AF513" s="5">
        <v>0</v>
      </c>
    </row>
    <row r="514" spans="1:32" x14ac:dyDescent="0.2">
      <c r="A514" s="3" t="str">
        <f>+VLOOKUP(B514,studies!$A$2:$C$102,3)</f>
        <v>Johnson &amp; Hope (2012)</v>
      </c>
      <c r="B514" s="87">
        <v>77</v>
      </c>
      <c r="C514" s="5">
        <v>2012</v>
      </c>
      <c r="D514" s="5">
        <v>1</v>
      </c>
      <c r="E514" s="5">
        <v>2007</v>
      </c>
      <c r="F514" s="5">
        <v>2010</v>
      </c>
      <c r="G514" s="113">
        <v>0.11627906976744186</v>
      </c>
      <c r="H514" s="7">
        <v>314.61971396237345</v>
      </c>
      <c r="I514" s="5">
        <v>0</v>
      </c>
      <c r="J514" s="5">
        <v>1</v>
      </c>
      <c r="K514" s="5">
        <v>0</v>
      </c>
      <c r="L514" s="7" t="s">
        <v>238</v>
      </c>
      <c r="M514" s="7" t="s">
        <v>238</v>
      </c>
      <c r="N514" s="7" t="s">
        <v>238</v>
      </c>
      <c r="O514" s="5">
        <v>0</v>
      </c>
      <c r="P514" s="5">
        <v>1</v>
      </c>
      <c r="Q514" s="5">
        <v>0</v>
      </c>
      <c r="R514" s="5">
        <v>1</v>
      </c>
      <c r="S514" s="5">
        <v>1</v>
      </c>
      <c r="T514" s="5">
        <v>1</v>
      </c>
      <c r="U514" s="5">
        <v>1</v>
      </c>
      <c r="V514" s="13">
        <v>3</v>
      </c>
      <c r="W514" s="13" t="s">
        <v>25</v>
      </c>
      <c r="X514" s="5"/>
      <c r="Y514" s="5"/>
      <c r="Z514" s="5"/>
      <c r="AA514" s="5">
        <v>1</v>
      </c>
      <c r="AB514" s="5"/>
      <c r="AC514" s="5">
        <v>0</v>
      </c>
      <c r="AD514" s="5">
        <v>0</v>
      </c>
      <c r="AE514" s="5">
        <v>0</v>
      </c>
      <c r="AF514" s="5">
        <v>0</v>
      </c>
    </row>
    <row r="515" spans="1:32" x14ac:dyDescent="0.2">
      <c r="A515" s="3" t="str">
        <f>+VLOOKUP(B515,studies!$A$2:$C$102,3)</f>
        <v>Johnson &amp; Hope (2012)</v>
      </c>
      <c r="B515" s="87">
        <v>77</v>
      </c>
      <c r="C515" s="5">
        <v>2012</v>
      </c>
      <c r="D515" s="5">
        <v>1</v>
      </c>
      <c r="E515" s="5">
        <v>2007</v>
      </c>
      <c r="F515" s="5">
        <v>2010</v>
      </c>
      <c r="G515" s="113">
        <v>0.11627906976744186</v>
      </c>
      <c r="H515" s="7">
        <v>4.4945673423196206</v>
      </c>
      <c r="I515" s="5">
        <v>0</v>
      </c>
      <c r="J515" s="5">
        <v>1</v>
      </c>
      <c r="K515" s="5">
        <v>0</v>
      </c>
      <c r="L515" s="7" t="s">
        <v>238</v>
      </c>
      <c r="M515" s="7" t="s">
        <v>238</v>
      </c>
      <c r="N515" s="7" t="s">
        <v>238</v>
      </c>
      <c r="O515" s="5">
        <v>0</v>
      </c>
      <c r="P515" s="5">
        <v>1</v>
      </c>
      <c r="Q515" s="5">
        <v>0</v>
      </c>
      <c r="R515" s="5">
        <v>1</v>
      </c>
      <c r="S515" s="5">
        <v>1</v>
      </c>
      <c r="T515" s="5">
        <v>1</v>
      </c>
      <c r="U515" s="5">
        <v>1</v>
      </c>
      <c r="V515" s="13">
        <v>5</v>
      </c>
      <c r="W515" s="13" t="s">
        <v>25</v>
      </c>
      <c r="X515" s="5"/>
      <c r="Y515" s="5"/>
      <c r="Z515" s="5"/>
      <c r="AA515" s="5">
        <v>1</v>
      </c>
      <c r="AB515" s="5"/>
      <c r="AC515" s="5">
        <v>0</v>
      </c>
      <c r="AD515" s="5">
        <v>0</v>
      </c>
      <c r="AE515" s="5">
        <v>0</v>
      </c>
      <c r="AF515" s="5">
        <v>0</v>
      </c>
    </row>
    <row r="516" spans="1:32" x14ac:dyDescent="0.2">
      <c r="A516" s="3" t="str">
        <f>+VLOOKUP(B516,studies!$A$2:$C$102,3)</f>
        <v>Kopp et al. (2012)</v>
      </c>
      <c r="B516" s="87">
        <v>78</v>
      </c>
      <c r="C516" s="5">
        <v>2012</v>
      </c>
      <c r="D516" s="5">
        <v>1</v>
      </c>
      <c r="E516" s="48">
        <v>2005</v>
      </c>
      <c r="F516" s="5">
        <v>2015</v>
      </c>
      <c r="G516" s="113">
        <v>6.9444444444444441E-3</v>
      </c>
      <c r="H516" s="7">
        <v>495.36189793480105</v>
      </c>
      <c r="I516" s="5">
        <v>0</v>
      </c>
      <c r="J516" s="5">
        <v>0</v>
      </c>
      <c r="K516" s="5">
        <v>1</v>
      </c>
      <c r="L516" s="7" t="s">
        <v>238</v>
      </c>
      <c r="M516" s="7">
        <v>219.31607051422716</v>
      </c>
      <c r="N516" s="7">
        <v>268.05297507294432</v>
      </c>
      <c r="O516" s="5">
        <v>0</v>
      </c>
      <c r="P516" s="5">
        <v>1</v>
      </c>
      <c r="Q516" s="5">
        <v>0</v>
      </c>
      <c r="R516" s="5">
        <v>1</v>
      </c>
      <c r="S516" s="5">
        <v>0</v>
      </c>
      <c r="T516" s="5">
        <v>1</v>
      </c>
      <c r="U516" s="5">
        <v>0</v>
      </c>
      <c r="V516" s="13">
        <v>3</v>
      </c>
      <c r="W516" s="13">
        <v>3</v>
      </c>
      <c r="X516" s="5"/>
      <c r="Y516" s="5"/>
      <c r="Z516" s="5"/>
      <c r="AA516" s="5">
        <v>0</v>
      </c>
      <c r="AB516" s="5"/>
      <c r="AC516" s="5">
        <v>0</v>
      </c>
      <c r="AD516" s="5">
        <v>0</v>
      </c>
      <c r="AE516" s="5">
        <v>0</v>
      </c>
      <c r="AF516" s="5">
        <v>1</v>
      </c>
    </row>
    <row r="517" spans="1:32" x14ac:dyDescent="0.2">
      <c r="A517" s="3" t="str">
        <f>+VLOOKUP(B517,studies!$A$2:$C$102,3)</f>
        <v>Kopp et al. (2012)</v>
      </c>
      <c r="B517" s="87">
        <v>78</v>
      </c>
      <c r="C517" s="5">
        <v>2012</v>
      </c>
      <c r="D517" s="5">
        <v>1</v>
      </c>
      <c r="E517" s="48">
        <v>2005</v>
      </c>
      <c r="F517" s="5">
        <v>2015</v>
      </c>
      <c r="G517" s="113">
        <v>6.9444444444444441E-3</v>
      </c>
      <c r="H517" s="7">
        <v>525.38383114297085</v>
      </c>
      <c r="I517" s="5">
        <v>0</v>
      </c>
      <c r="J517" s="5">
        <v>0</v>
      </c>
      <c r="K517" s="5">
        <v>1</v>
      </c>
      <c r="L517" s="7" t="s">
        <v>238</v>
      </c>
      <c r="M517" s="7">
        <v>145.51447218245548</v>
      </c>
      <c r="N517" s="7">
        <v>306.34625722622212</v>
      </c>
      <c r="O517" s="5">
        <v>0</v>
      </c>
      <c r="P517" s="5">
        <v>1</v>
      </c>
      <c r="Q517" s="5">
        <v>0</v>
      </c>
      <c r="R517" s="5">
        <v>1</v>
      </c>
      <c r="S517" s="5">
        <v>0</v>
      </c>
      <c r="T517" s="5">
        <v>1</v>
      </c>
      <c r="U517" s="5">
        <v>0</v>
      </c>
      <c r="V517" s="13">
        <v>3</v>
      </c>
      <c r="W517" s="13">
        <v>3</v>
      </c>
      <c r="X517" s="5"/>
      <c r="Y517" s="5"/>
      <c r="Z517" s="5"/>
      <c r="AA517" s="5">
        <v>0</v>
      </c>
      <c r="AB517" s="5"/>
      <c r="AC517" s="5">
        <v>0</v>
      </c>
      <c r="AD517" s="5">
        <v>0</v>
      </c>
      <c r="AE517" s="5">
        <v>0</v>
      </c>
      <c r="AF517" s="5">
        <v>1</v>
      </c>
    </row>
    <row r="518" spans="1:32" x14ac:dyDescent="0.2">
      <c r="A518" s="3" t="str">
        <f>+VLOOKUP(B518,studies!$A$2:$C$102,3)</f>
        <v>Kopp et al. (2012)</v>
      </c>
      <c r="B518" s="87">
        <v>78</v>
      </c>
      <c r="C518" s="5">
        <v>2012</v>
      </c>
      <c r="D518" s="5">
        <v>1</v>
      </c>
      <c r="E518" s="48">
        <v>2005</v>
      </c>
      <c r="F518" s="5">
        <v>2015</v>
      </c>
      <c r="G518" s="113">
        <v>6.9444444444444441E-3</v>
      </c>
      <c r="H518" s="7">
        <v>480.35093133071615</v>
      </c>
      <c r="I518" s="5">
        <v>0</v>
      </c>
      <c r="J518" s="5">
        <v>0</v>
      </c>
      <c r="K518" s="5">
        <v>1</v>
      </c>
      <c r="L518" s="7" t="s">
        <v>238</v>
      </c>
      <c r="M518" s="7">
        <v>137.85581575179992</v>
      </c>
      <c r="N518" s="7">
        <v>314.00491365687765</v>
      </c>
      <c r="O518" s="5">
        <v>0</v>
      </c>
      <c r="P518" s="5">
        <v>1</v>
      </c>
      <c r="Q518" s="5">
        <v>0</v>
      </c>
      <c r="R518" s="5">
        <v>1</v>
      </c>
      <c r="S518" s="5">
        <v>0</v>
      </c>
      <c r="T518" s="5">
        <v>1</v>
      </c>
      <c r="U518" s="5">
        <v>0</v>
      </c>
      <c r="V518" s="13">
        <v>3</v>
      </c>
      <c r="W518" s="13">
        <v>3</v>
      </c>
      <c r="X518" s="5"/>
      <c r="Y518" s="5"/>
      <c r="Z518" s="5"/>
      <c r="AA518" s="5">
        <v>0</v>
      </c>
      <c r="AB518" s="5"/>
      <c r="AC518" s="5">
        <v>0</v>
      </c>
      <c r="AD518" s="5">
        <v>0</v>
      </c>
      <c r="AE518" s="5">
        <v>0</v>
      </c>
      <c r="AF518" s="5">
        <v>1</v>
      </c>
    </row>
    <row r="519" spans="1:32" x14ac:dyDescent="0.2">
      <c r="A519" s="3" t="str">
        <f>+VLOOKUP(B519,studies!$A$2:$C$102,3)</f>
        <v>Kopp et al. (2012)</v>
      </c>
      <c r="B519" s="87">
        <v>78</v>
      </c>
      <c r="C519" s="5">
        <v>2012</v>
      </c>
      <c r="D519" s="5">
        <v>1</v>
      </c>
      <c r="E519" s="48">
        <v>2005</v>
      </c>
      <c r="F519" s="5">
        <v>2015</v>
      </c>
      <c r="G519" s="113">
        <v>6.9444444444444441E-3</v>
      </c>
      <c r="H519" s="7">
        <v>690.50446378790446</v>
      </c>
      <c r="I519" s="5">
        <v>0</v>
      </c>
      <c r="J519" s="5">
        <v>0</v>
      </c>
      <c r="K519" s="5">
        <v>1</v>
      </c>
      <c r="L519" s="7" t="s">
        <v>238</v>
      </c>
      <c r="M519" s="7">
        <v>176.14909790507767</v>
      </c>
      <c r="N519" s="7">
        <v>306.34625722622212</v>
      </c>
      <c r="O519" s="5">
        <v>0</v>
      </c>
      <c r="P519" s="5">
        <v>1</v>
      </c>
      <c r="Q519" s="5">
        <v>0</v>
      </c>
      <c r="R519" s="5">
        <v>1</v>
      </c>
      <c r="S519" s="5">
        <v>0</v>
      </c>
      <c r="T519" s="5">
        <v>1</v>
      </c>
      <c r="U519" s="5">
        <v>0</v>
      </c>
      <c r="V519" s="13">
        <v>3</v>
      </c>
      <c r="W519" s="13">
        <v>3</v>
      </c>
      <c r="X519" s="5"/>
      <c r="Y519" s="5"/>
      <c r="Z519" s="5"/>
      <c r="AA519" s="5">
        <v>0</v>
      </c>
      <c r="AB519" s="5"/>
      <c r="AC519" s="5">
        <v>0</v>
      </c>
      <c r="AD519" s="5">
        <v>0</v>
      </c>
      <c r="AE519" s="5">
        <v>0</v>
      </c>
      <c r="AF519" s="5">
        <v>1</v>
      </c>
    </row>
    <row r="520" spans="1:32" x14ac:dyDescent="0.2">
      <c r="A520" s="3" t="str">
        <f>+VLOOKUP(B520,studies!$A$2:$C$102,3)</f>
        <v>Kopp et al. (2012)</v>
      </c>
      <c r="B520" s="87">
        <v>78</v>
      </c>
      <c r="C520" s="5">
        <v>2012</v>
      </c>
      <c r="D520" s="5">
        <v>1</v>
      </c>
      <c r="E520" s="48">
        <v>2005</v>
      </c>
      <c r="F520" s="5">
        <v>2015</v>
      </c>
      <c r="G520" s="113">
        <v>6.9444444444444441E-3</v>
      </c>
      <c r="H520" s="7">
        <v>360.26319849803713</v>
      </c>
      <c r="I520" s="5">
        <v>0</v>
      </c>
      <c r="J520" s="5">
        <v>0</v>
      </c>
      <c r="K520" s="5">
        <v>1</v>
      </c>
      <c r="L520" s="7" t="s">
        <v>238</v>
      </c>
      <c r="M520" s="7">
        <v>91.903877167866611</v>
      </c>
      <c r="N520" s="7">
        <v>168.49044147442211</v>
      </c>
      <c r="O520" s="5">
        <v>0</v>
      </c>
      <c r="P520" s="5">
        <v>1</v>
      </c>
      <c r="Q520" s="5">
        <v>0</v>
      </c>
      <c r="R520" s="5">
        <v>1</v>
      </c>
      <c r="S520" s="5">
        <v>0</v>
      </c>
      <c r="T520" s="5">
        <v>1</v>
      </c>
      <c r="U520" s="5">
        <v>0</v>
      </c>
      <c r="V520" s="13">
        <v>3</v>
      </c>
      <c r="W520" s="13">
        <v>3</v>
      </c>
      <c r="X520" s="5"/>
      <c r="Y520" s="5"/>
      <c r="Z520" s="5"/>
      <c r="AA520" s="5">
        <v>0</v>
      </c>
      <c r="AB520" s="5"/>
      <c r="AC520" s="5">
        <v>0</v>
      </c>
      <c r="AD520" s="5">
        <v>0</v>
      </c>
      <c r="AE520" s="5">
        <v>0</v>
      </c>
      <c r="AF520" s="5">
        <v>1</v>
      </c>
    </row>
    <row r="521" spans="1:32" x14ac:dyDescent="0.2">
      <c r="A521" s="3" t="str">
        <f>+VLOOKUP(B521,studies!$A$2:$C$102,3)</f>
        <v>Kopp et al. (2012)</v>
      </c>
      <c r="B521" s="87">
        <v>78</v>
      </c>
      <c r="C521" s="5">
        <v>2012</v>
      </c>
      <c r="D521" s="5">
        <v>1</v>
      </c>
      <c r="E521" s="48">
        <v>2005</v>
      </c>
      <c r="F521" s="5">
        <v>2015</v>
      </c>
      <c r="G521" s="113">
        <v>6.9444444444444441E-3</v>
      </c>
      <c r="H521" s="7">
        <v>705.51543039198941</v>
      </c>
      <c r="I521" s="5">
        <v>0</v>
      </c>
      <c r="J521" s="5">
        <v>0</v>
      </c>
      <c r="K521" s="5">
        <v>1</v>
      </c>
      <c r="L521" s="7" t="s">
        <v>238</v>
      </c>
      <c r="M521" s="7">
        <v>176.14909790507767</v>
      </c>
      <c r="N521" s="7">
        <v>260.39431864228868</v>
      </c>
      <c r="O521" s="5">
        <v>0</v>
      </c>
      <c r="P521" s="5">
        <v>1</v>
      </c>
      <c r="Q521" s="5">
        <v>0</v>
      </c>
      <c r="R521" s="5">
        <v>1</v>
      </c>
      <c r="S521" s="5">
        <v>0</v>
      </c>
      <c r="T521" s="5">
        <v>1</v>
      </c>
      <c r="U521" s="5">
        <v>0</v>
      </c>
      <c r="V521" s="13">
        <v>3</v>
      </c>
      <c r="W521" s="13">
        <v>3</v>
      </c>
      <c r="X521" s="5"/>
      <c r="Y521" s="5"/>
      <c r="Z521" s="5"/>
      <c r="AA521" s="5">
        <v>0</v>
      </c>
      <c r="AB521" s="5"/>
      <c r="AC521" s="5">
        <v>0</v>
      </c>
      <c r="AD521" s="5">
        <v>0</v>
      </c>
      <c r="AE521" s="5">
        <v>0</v>
      </c>
      <c r="AF521" s="5">
        <v>1</v>
      </c>
    </row>
    <row r="522" spans="1:32" x14ac:dyDescent="0.2">
      <c r="A522" s="3" t="str">
        <f>+VLOOKUP(B522,studies!$A$2:$C$102,3)</f>
        <v>Kopp et al. (2012)</v>
      </c>
      <c r="B522" s="87">
        <v>78</v>
      </c>
      <c r="C522" s="5">
        <v>2012</v>
      </c>
      <c r="D522" s="5">
        <v>1</v>
      </c>
      <c r="E522" s="48">
        <v>2005</v>
      </c>
      <c r="F522" s="5">
        <v>2015</v>
      </c>
      <c r="G522" s="113">
        <v>6.9444444444444441E-3</v>
      </c>
      <c r="H522" s="7">
        <v>405.29609831029177</v>
      </c>
      <c r="I522" s="5">
        <v>0</v>
      </c>
      <c r="J522" s="5">
        <v>0</v>
      </c>
      <c r="K522" s="5">
        <v>1</v>
      </c>
      <c r="L522" s="7" t="s">
        <v>238</v>
      </c>
      <c r="M522" s="7">
        <v>99.562533598522165</v>
      </c>
      <c r="N522" s="7">
        <v>214.44238005835544</v>
      </c>
      <c r="O522" s="5">
        <v>0</v>
      </c>
      <c r="P522" s="5">
        <v>1</v>
      </c>
      <c r="Q522" s="5">
        <v>0</v>
      </c>
      <c r="R522" s="5">
        <v>1</v>
      </c>
      <c r="S522" s="5">
        <v>0</v>
      </c>
      <c r="T522" s="5">
        <v>1</v>
      </c>
      <c r="U522" s="5">
        <v>0</v>
      </c>
      <c r="V522" s="13">
        <v>3</v>
      </c>
      <c r="W522" s="13">
        <v>3</v>
      </c>
      <c r="X522" s="5"/>
      <c r="Y522" s="5"/>
      <c r="Z522" s="5"/>
      <c r="AA522" s="5">
        <v>0</v>
      </c>
      <c r="AB522" s="5"/>
      <c r="AC522" s="5">
        <v>0</v>
      </c>
      <c r="AD522" s="5">
        <v>0</v>
      </c>
      <c r="AE522" s="5">
        <v>0</v>
      </c>
      <c r="AF522" s="5">
        <v>1</v>
      </c>
    </row>
    <row r="523" spans="1:32" x14ac:dyDescent="0.2">
      <c r="A523" s="3" t="str">
        <f>+VLOOKUP(B523,studies!$A$2:$C$102,3)</f>
        <v>Kopp et al. (2012)</v>
      </c>
      <c r="B523" s="87">
        <v>78</v>
      </c>
      <c r="C523" s="5">
        <v>2012</v>
      </c>
      <c r="D523" s="5">
        <v>1</v>
      </c>
      <c r="E523" s="48">
        <v>2005</v>
      </c>
      <c r="F523" s="5">
        <v>2015</v>
      </c>
      <c r="G523" s="113">
        <v>6.9444444444444441E-3</v>
      </c>
      <c r="H523" s="7">
        <v>525.38383114297085</v>
      </c>
      <c r="I523" s="5">
        <v>0</v>
      </c>
      <c r="J523" s="5">
        <v>0</v>
      </c>
      <c r="K523" s="5">
        <v>1</v>
      </c>
      <c r="L523" s="7" t="s">
        <v>238</v>
      </c>
      <c r="M523" s="7">
        <v>145.51447218245548</v>
      </c>
      <c r="N523" s="7">
        <v>283.37028793425543</v>
      </c>
      <c r="O523" s="5">
        <v>0</v>
      </c>
      <c r="P523" s="5">
        <v>1</v>
      </c>
      <c r="Q523" s="5">
        <v>0</v>
      </c>
      <c r="R523" s="5">
        <v>1</v>
      </c>
      <c r="S523" s="5">
        <v>0</v>
      </c>
      <c r="T523" s="5">
        <v>1</v>
      </c>
      <c r="U523" s="5">
        <v>0</v>
      </c>
      <c r="V523" s="13">
        <v>3</v>
      </c>
      <c r="W523" s="13">
        <v>3</v>
      </c>
      <c r="X523" s="5"/>
      <c r="Y523" s="5"/>
      <c r="Z523" s="5"/>
      <c r="AA523" s="5">
        <v>0</v>
      </c>
      <c r="AB523" s="5"/>
      <c r="AC523" s="5">
        <v>0</v>
      </c>
      <c r="AD523" s="5">
        <v>0</v>
      </c>
      <c r="AE523" s="5">
        <v>0</v>
      </c>
      <c r="AF523" s="5">
        <v>1</v>
      </c>
    </row>
    <row r="524" spans="1:32" x14ac:dyDescent="0.2">
      <c r="A524" s="3" t="str">
        <f>+VLOOKUP(B524,studies!$A$2:$C$102,3)</f>
        <v>Kopp et al. (2012)</v>
      </c>
      <c r="B524" s="87">
        <v>78</v>
      </c>
      <c r="C524" s="5">
        <v>2012</v>
      </c>
      <c r="D524" s="5">
        <v>1</v>
      </c>
      <c r="E524" s="48">
        <v>2005</v>
      </c>
      <c r="F524" s="5">
        <v>2015</v>
      </c>
      <c r="G524" s="113">
        <v>6.9444444444444441E-3</v>
      </c>
      <c r="H524" s="7">
        <v>495.36189793480105</v>
      </c>
      <c r="I524" s="5">
        <v>0</v>
      </c>
      <c r="J524" s="5">
        <v>0</v>
      </c>
      <c r="K524" s="5">
        <v>1</v>
      </c>
      <c r="L524" s="7" t="s">
        <v>238</v>
      </c>
      <c r="M524" s="7">
        <v>130.19715932114437</v>
      </c>
      <c r="N524" s="7">
        <v>268.05297507294432</v>
      </c>
      <c r="O524" s="5">
        <v>0</v>
      </c>
      <c r="P524" s="5">
        <v>1</v>
      </c>
      <c r="Q524" s="5">
        <v>0</v>
      </c>
      <c r="R524" s="5">
        <v>1</v>
      </c>
      <c r="S524" s="5">
        <v>0</v>
      </c>
      <c r="T524" s="5">
        <v>1</v>
      </c>
      <c r="U524" s="5">
        <v>0</v>
      </c>
      <c r="V524" s="13">
        <v>3</v>
      </c>
      <c r="W524" s="13">
        <v>3</v>
      </c>
      <c r="X524" s="5"/>
      <c r="Y524" s="5"/>
      <c r="Z524" s="5"/>
      <c r="AA524" s="5">
        <v>0</v>
      </c>
      <c r="AB524" s="5"/>
      <c r="AC524" s="5">
        <v>0</v>
      </c>
      <c r="AD524" s="5">
        <v>0</v>
      </c>
      <c r="AE524" s="5">
        <v>0</v>
      </c>
      <c r="AF524" s="5">
        <v>1</v>
      </c>
    </row>
    <row r="525" spans="1:32" x14ac:dyDescent="0.2">
      <c r="A525" s="3" t="str">
        <f>+VLOOKUP(B525,studies!$A$2:$C$102,3)</f>
        <v>Kopp et al. (2012)</v>
      </c>
      <c r="B525" s="87">
        <v>78</v>
      </c>
      <c r="C525" s="5">
        <v>2012</v>
      </c>
      <c r="D525" s="5">
        <v>1</v>
      </c>
      <c r="E525" s="48">
        <v>2005</v>
      </c>
      <c r="F525" s="5">
        <v>2015</v>
      </c>
      <c r="G525" s="113">
        <v>6.9444444444444441E-3</v>
      </c>
      <c r="H525" s="7">
        <v>675.49349718381961</v>
      </c>
      <c r="I525" s="5">
        <v>0</v>
      </c>
      <c r="J525" s="5">
        <v>0</v>
      </c>
      <c r="K525" s="5">
        <v>1</v>
      </c>
      <c r="L525" s="7" t="s">
        <v>238</v>
      </c>
      <c r="M525" s="7">
        <v>222.10103648901097</v>
      </c>
      <c r="N525" s="7">
        <v>1072.2119002917771</v>
      </c>
      <c r="O525" s="5">
        <v>0</v>
      </c>
      <c r="P525" s="5">
        <v>1</v>
      </c>
      <c r="Q525" s="5">
        <v>0</v>
      </c>
      <c r="R525" s="5">
        <v>1</v>
      </c>
      <c r="S525" s="5">
        <v>0</v>
      </c>
      <c r="T525" s="5">
        <v>1</v>
      </c>
      <c r="U525" s="5">
        <v>0</v>
      </c>
      <c r="V525" s="13">
        <v>3</v>
      </c>
      <c r="W525" s="13">
        <v>3</v>
      </c>
      <c r="X525" s="5"/>
      <c r="Y525" s="5"/>
      <c r="Z525" s="5"/>
      <c r="AA525" s="5">
        <v>0</v>
      </c>
      <c r="AB525" s="5"/>
      <c r="AC525" s="5">
        <v>0</v>
      </c>
      <c r="AD525" s="5">
        <v>0</v>
      </c>
      <c r="AE525" s="5">
        <v>0</v>
      </c>
      <c r="AF525" s="5">
        <v>1</v>
      </c>
    </row>
    <row r="526" spans="1:32" x14ac:dyDescent="0.2">
      <c r="A526" s="3" t="str">
        <f>+VLOOKUP(B526,studies!$A$2:$C$102,3)</f>
        <v>Kopp et al. (2012)</v>
      </c>
      <c r="B526" s="87">
        <v>78</v>
      </c>
      <c r="C526" s="5">
        <v>2012</v>
      </c>
      <c r="D526" s="5">
        <v>1</v>
      </c>
      <c r="E526" s="48">
        <v>2005</v>
      </c>
      <c r="F526" s="5">
        <v>2015</v>
      </c>
      <c r="G526" s="113">
        <v>6.9444444444444441E-3</v>
      </c>
      <c r="H526" s="7">
        <v>225.1644990612732</v>
      </c>
      <c r="I526" s="5">
        <v>0</v>
      </c>
      <c r="J526" s="5">
        <v>0</v>
      </c>
      <c r="K526" s="5">
        <v>1</v>
      </c>
      <c r="L526" s="7" t="s">
        <v>238</v>
      </c>
      <c r="M526" s="7">
        <v>68.927907875899962</v>
      </c>
      <c r="N526" s="7">
        <v>1026.2599617078438</v>
      </c>
      <c r="O526" s="5">
        <v>0</v>
      </c>
      <c r="P526" s="5">
        <v>1</v>
      </c>
      <c r="Q526" s="5">
        <v>0</v>
      </c>
      <c r="R526" s="5">
        <v>1</v>
      </c>
      <c r="S526" s="5">
        <v>0</v>
      </c>
      <c r="T526" s="5">
        <v>1</v>
      </c>
      <c r="U526" s="5">
        <v>0</v>
      </c>
      <c r="V526" s="13">
        <v>3</v>
      </c>
      <c r="W526" s="13">
        <v>3</v>
      </c>
      <c r="X526" s="5"/>
      <c r="Y526" s="5"/>
      <c r="Z526" s="5"/>
      <c r="AA526" s="5">
        <v>0</v>
      </c>
      <c r="AB526" s="5"/>
      <c r="AC526" s="5">
        <v>0</v>
      </c>
      <c r="AD526" s="5">
        <v>0</v>
      </c>
      <c r="AE526" s="5">
        <v>0</v>
      </c>
      <c r="AF526" s="5">
        <v>1</v>
      </c>
    </row>
    <row r="527" spans="1:32" x14ac:dyDescent="0.2">
      <c r="A527" s="3" t="str">
        <f>+VLOOKUP(B527,studies!$A$2:$C$102,3)</f>
        <v>Kopp et al. (2012)</v>
      </c>
      <c r="B527" s="87">
        <v>78</v>
      </c>
      <c r="C527" s="5">
        <v>2012</v>
      </c>
      <c r="D527" s="5">
        <v>1</v>
      </c>
      <c r="E527" s="48">
        <v>2005</v>
      </c>
      <c r="F527" s="5">
        <v>2015</v>
      </c>
      <c r="G527" s="113">
        <v>6.9444444444444441E-3</v>
      </c>
      <c r="H527" s="7">
        <v>165.12063264493366</v>
      </c>
      <c r="I527" s="5">
        <v>0</v>
      </c>
      <c r="J527" s="5">
        <v>0</v>
      </c>
      <c r="K527" s="5">
        <v>1</v>
      </c>
      <c r="L527" s="7" t="s">
        <v>238</v>
      </c>
      <c r="M527" s="7">
        <v>45.951938583933298</v>
      </c>
      <c r="N527" s="7">
        <v>1049.2359309998105</v>
      </c>
      <c r="O527" s="5">
        <v>0</v>
      </c>
      <c r="P527" s="5">
        <v>1</v>
      </c>
      <c r="Q527" s="5">
        <v>0</v>
      </c>
      <c r="R527" s="5">
        <v>1</v>
      </c>
      <c r="S527" s="5">
        <v>0</v>
      </c>
      <c r="T527" s="5">
        <v>1</v>
      </c>
      <c r="U527" s="5">
        <v>0</v>
      </c>
      <c r="V527" s="13">
        <v>3</v>
      </c>
      <c r="W527" s="13">
        <v>3</v>
      </c>
      <c r="X527" s="5"/>
      <c r="Y527" s="5"/>
      <c r="Z527" s="5"/>
      <c r="AA527" s="5">
        <v>0</v>
      </c>
      <c r="AB527" s="5"/>
      <c r="AC527" s="5">
        <v>0</v>
      </c>
      <c r="AD527" s="5">
        <v>0</v>
      </c>
      <c r="AE527" s="5">
        <v>0</v>
      </c>
      <c r="AF527" s="5">
        <v>1</v>
      </c>
    </row>
    <row r="528" spans="1:32" x14ac:dyDescent="0.2">
      <c r="A528" s="3" t="str">
        <f>+VLOOKUP(B528,studies!$A$2:$C$102,3)</f>
        <v>Kopp et al. (2012)</v>
      </c>
      <c r="B528" s="87">
        <v>78</v>
      </c>
      <c r="C528" s="5">
        <v>2012</v>
      </c>
      <c r="D528" s="5">
        <v>1</v>
      </c>
      <c r="E528" s="48">
        <v>2005</v>
      </c>
      <c r="F528" s="5">
        <v>2015</v>
      </c>
      <c r="G528" s="113">
        <v>6.9444444444444441E-3</v>
      </c>
      <c r="H528" s="7">
        <v>300.21933208169759</v>
      </c>
      <c r="I528" s="5">
        <v>0</v>
      </c>
      <c r="J528" s="5">
        <v>0</v>
      </c>
      <c r="K528" s="5">
        <v>1</v>
      </c>
      <c r="L528" s="7" t="s">
        <v>238</v>
      </c>
      <c r="M528" s="7">
        <v>91.903877167866611</v>
      </c>
      <c r="N528" s="7">
        <v>1256.0196546275106</v>
      </c>
      <c r="O528" s="5">
        <v>0</v>
      </c>
      <c r="P528" s="5">
        <v>1</v>
      </c>
      <c r="Q528" s="5">
        <v>0</v>
      </c>
      <c r="R528" s="5">
        <v>1</v>
      </c>
      <c r="S528" s="5">
        <v>0</v>
      </c>
      <c r="T528" s="5">
        <v>1</v>
      </c>
      <c r="U528" s="5">
        <v>0</v>
      </c>
      <c r="V528" s="13">
        <v>3</v>
      </c>
      <c r="W528" s="13">
        <v>3</v>
      </c>
      <c r="X528" s="5"/>
      <c r="Y528" s="5"/>
      <c r="Z528" s="5"/>
      <c r="AA528" s="5">
        <v>0</v>
      </c>
      <c r="AB528" s="5"/>
      <c r="AC528" s="5">
        <v>0</v>
      </c>
      <c r="AD528" s="5">
        <v>0</v>
      </c>
      <c r="AE528" s="5">
        <v>0</v>
      </c>
      <c r="AF528" s="5">
        <v>1</v>
      </c>
    </row>
    <row r="529" spans="1:32" x14ac:dyDescent="0.2">
      <c r="A529" s="3" t="str">
        <f>+VLOOKUP(B529,studies!$A$2:$C$102,3)</f>
        <v>Kopp et al. (2012)</v>
      </c>
      <c r="B529" s="87">
        <v>78</v>
      </c>
      <c r="C529" s="5">
        <v>2012</v>
      </c>
      <c r="D529" s="5">
        <v>1</v>
      </c>
      <c r="E529" s="48">
        <v>2005</v>
      </c>
      <c r="F529" s="5">
        <v>2015</v>
      </c>
      <c r="G529" s="113">
        <v>6.9444444444444441E-3</v>
      </c>
      <c r="H529" s="7">
        <v>120.08773283267904</v>
      </c>
      <c r="I529" s="5">
        <v>0</v>
      </c>
      <c r="J529" s="5">
        <v>0</v>
      </c>
      <c r="K529" s="5">
        <v>1</v>
      </c>
      <c r="L529" s="7" t="s">
        <v>238</v>
      </c>
      <c r="M529" s="7">
        <v>30.634625722622204</v>
      </c>
      <c r="N529" s="7">
        <v>850.11086380276618</v>
      </c>
      <c r="O529" s="5">
        <v>0</v>
      </c>
      <c r="P529" s="5">
        <v>1</v>
      </c>
      <c r="Q529" s="5">
        <v>0</v>
      </c>
      <c r="R529" s="5">
        <v>1</v>
      </c>
      <c r="S529" s="5">
        <v>0</v>
      </c>
      <c r="T529" s="5">
        <v>1</v>
      </c>
      <c r="U529" s="5">
        <v>0</v>
      </c>
      <c r="V529" s="13">
        <v>3</v>
      </c>
      <c r="W529" s="13">
        <v>3</v>
      </c>
      <c r="X529" s="5"/>
      <c r="Y529" s="5"/>
      <c r="Z529" s="5"/>
      <c r="AA529" s="5">
        <v>0</v>
      </c>
      <c r="AB529" s="5"/>
      <c r="AC529" s="5">
        <v>0</v>
      </c>
      <c r="AD529" s="5">
        <v>0</v>
      </c>
      <c r="AE529" s="5">
        <v>0</v>
      </c>
      <c r="AF529" s="5">
        <v>1</v>
      </c>
    </row>
    <row r="530" spans="1:32" x14ac:dyDescent="0.2">
      <c r="A530" s="3" t="str">
        <f>+VLOOKUP(B530,studies!$A$2:$C$102,3)</f>
        <v>Kopp et al. (2012)</v>
      </c>
      <c r="B530" s="87">
        <v>78</v>
      </c>
      <c r="C530" s="5">
        <v>2012</v>
      </c>
      <c r="D530" s="5">
        <v>1</v>
      </c>
      <c r="E530" s="48">
        <v>2005</v>
      </c>
      <c r="F530" s="5">
        <v>2015</v>
      </c>
      <c r="G530" s="113">
        <v>6.9444444444444441E-3</v>
      </c>
      <c r="H530" s="7">
        <v>120.08773283267904</v>
      </c>
      <c r="I530" s="5">
        <v>0</v>
      </c>
      <c r="J530" s="5">
        <v>0</v>
      </c>
      <c r="K530" s="5">
        <v>1</v>
      </c>
      <c r="L530" s="7" t="s">
        <v>238</v>
      </c>
      <c r="M530" s="7">
        <v>53.61059501458886</v>
      </c>
      <c r="N530" s="7">
        <v>1547.0485989924214</v>
      </c>
      <c r="O530" s="5">
        <v>0</v>
      </c>
      <c r="P530" s="5">
        <v>1</v>
      </c>
      <c r="Q530" s="5">
        <v>0</v>
      </c>
      <c r="R530" s="5">
        <v>1</v>
      </c>
      <c r="S530" s="5">
        <v>0</v>
      </c>
      <c r="T530" s="5">
        <v>1</v>
      </c>
      <c r="U530" s="5">
        <v>0</v>
      </c>
      <c r="V530" s="13">
        <v>3</v>
      </c>
      <c r="W530" s="13">
        <v>3</v>
      </c>
      <c r="X530" s="5"/>
      <c r="Y530" s="5"/>
      <c r="Z530" s="5"/>
      <c r="AA530" s="5">
        <v>0</v>
      </c>
      <c r="AB530" s="5"/>
      <c r="AC530" s="5">
        <v>0</v>
      </c>
      <c r="AD530" s="5">
        <v>0</v>
      </c>
      <c r="AE530" s="5">
        <v>0</v>
      </c>
      <c r="AF530" s="5">
        <v>1</v>
      </c>
    </row>
    <row r="531" spans="1:32" x14ac:dyDescent="0.2">
      <c r="A531" s="3" t="str">
        <f>+VLOOKUP(B531,studies!$A$2:$C$102,3)</f>
        <v>Kopp et al. (2012)</v>
      </c>
      <c r="B531" s="87">
        <v>78</v>
      </c>
      <c r="C531" s="5">
        <v>2012</v>
      </c>
      <c r="D531" s="5">
        <v>1</v>
      </c>
      <c r="E531" s="48">
        <v>2005</v>
      </c>
      <c r="F531" s="5">
        <v>2015</v>
      </c>
      <c r="G531" s="113">
        <v>6.9444444444444441E-3</v>
      </c>
      <c r="H531" s="7">
        <v>105.07676622859417</v>
      </c>
      <c r="I531" s="5">
        <v>0</v>
      </c>
      <c r="J531" s="5">
        <v>0</v>
      </c>
      <c r="K531" s="5">
        <v>1</v>
      </c>
      <c r="L531" s="7" t="s">
        <v>238</v>
      </c>
      <c r="M531" s="7">
        <v>45.951938583933305</v>
      </c>
      <c r="N531" s="7">
        <v>1531.7312861311102</v>
      </c>
      <c r="O531" s="5">
        <v>0</v>
      </c>
      <c r="P531" s="5">
        <v>1</v>
      </c>
      <c r="Q531" s="5">
        <v>0</v>
      </c>
      <c r="R531" s="5">
        <v>1</v>
      </c>
      <c r="S531" s="5">
        <v>0</v>
      </c>
      <c r="T531" s="5">
        <v>1</v>
      </c>
      <c r="U531" s="5">
        <v>0</v>
      </c>
      <c r="V531" s="13">
        <v>3</v>
      </c>
      <c r="W531" s="13">
        <v>3</v>
      </c>
      <c r="X531" s="5"/>
      <c r="Y531" s="5"/>
      <c r="Z531" s="5"/>
      <c r="AA531" s="5">
        <v>0</v>
      </c>
      <c r="AB531" s="5"/>
      <c r="AC531" s="5">
        <v>0</v>
      </c>
      <c r="AD531" s="5">
        <v>0</v>
      </c>
      <c r="AE531" s="5">
        <v>0</v>
      </c>
      <c r="AF531" s="5">
        <v>1</v>
      </c>
    </row>
    <row r="532" spans="1:32" x14ac:dyDescent="0.2">
      <c r="A532" s="3" t="str">
        <f>+VLOOKUP(B532,studies!$A$2:$C$102,3)</f>
        <v>Kopp et al. (2012)</v>
      </c>
      <c r="B532" s="87">
        <v>78</v>
      </c>
      <c r="C532" s="5">
        <v>2012</v>
      </c>
      <c r="D532" s="5">
        <v>1</v>
      </c>
      <c r="E532" s="48">
        <v>2005</v>
      </c>
      <c r="F532" s="5">
        <v>2015</v>
      </c>
      <c r="G532" s="113">
        <v>6.9444444444444441E-3</v>
      </c>
      <c r="H532" s="7">
        <v>135.09869943676392</v>
      </c>
      <c r="I532" s="5">
        <v>0</v>
      </c>
      <c r="J532" s="5">
        <v>0</v>
      </c>
      <c r="K532" s="5">
        <v>1</v>
      </c>
      <c r="L532" s="7" t="s">
        <v>238</v>
      </c>
      <c r="M532" s="7">
        <v>61.269251445244407</v>
      </c>
      <c r="N532" s="7">
        <v>1700.2217276055326</v>
      </c>
      <c r="O532" s="5">
        <v>0</v>
      </c>
      <c r="P532" s="5">
        <v>1</v>
      </c>
      <c r="Q532" s="5">
        <v>0</v>
      </c>
      <c r="R532" s="5">
        <v>1</v>
      </c>
      <c r="S532" s="5">
        <v>0</v>
      </c>
      <c r="T532" s="5">
        <v>1</v>
      </c>
      <c r="U532" s="5">
        <v>0</v>
      </c>
      <c r="V532" s="13">
        <v>3</v>
      </c>
      <c r="W532" s="13">
        <v>3</v>
      </c>
      <c r="X532" s="5"/>
      <c r="Y532" s="5"/>
      <c r="Z532" s="5"/>
      <c r="AA532" s="5">
        <v>0</v>
      </c>
      <c r="AB532" s="5"/>
      <c r="AC532" s="5">
        <v>0</v>
      </c>
      <c r="AD532" s="5">
        <v>0</v>
      </c>
      <c r="AE532" s="5">
        <v>0</v>
      </c>
      <c r="AF532" s="5">
        <v>1</v>
      </c>
    </row>
    <row r="533" spans="1:32" x14ac:dyDescent="0.2">
      <c r="A533" s="3" t="str">
        <f>+VLOOKUP(B533,studies!$A$2:$C$102,3)</f>
        <v>Kopp et al. (2012)</v>
      </c>
      <c r="B533" s="87">
        <v>78</v>
      </c>
      <c r="C533" s="5">
        <v>2012</v>
      </c>
      <c r="D533" s="5">
        <v>1</v>
      </c>
      <c r="E533" s="48">
        <v>2005</v>
      </c>
      <c r="F533" s="5">
        <v>2015</v>
      </c>
      <c r="G533" s="113">
        <v>6.9444444444444441E-3</v>
      </c>
      <c r="H533" s="7">
        <v>90.065799624509282</v>
      </c>
      <c r="I533" s="5">
        <v>0</v>
      </c>
      <c r="J533" s="5">
        <v>0</v>
      </c>
      <c r="K533" s="5">
        <v>1</v>
      </c>
      <c r="L533" s="7" t="s">
        <v>238</v>
      </c>
      <c r="M533" s="7">
        <v>38.293282153277758</v>
      </c>
      <c r="N533" s="7">
        <v>1439.8274089632437</v>
      </c>
      <c r="O533" s="5">
        <v>0</v>
      </c>
      <c r="P533" s="5">
        <v>1</v>
      </c>
      <c r="Q533" s="5">
        <v>0</v>
      </c>
      <c r="R533" s="5">
        <v>1</v>
      </c>
      <c r="S533" s="5">
        <v>0</v>
      </c>
      <c r="T533" s="5">
        <v>1</v>
      </c>
      <c r="U533" s="5">
        <v>0</v>
      </c>
      <c r="V533" s="13">
        <v>3</v>
      </c>
      <c r="W533" s="13">
        <v>3</v>
      </c>
      <c r="X533" s="5"/>
      <c r="Y533" s="5"/>
      <c r="Z533" s="5"/>
      <c r="AA533" s="5">
        <v>0</v>
      </c>
      <c r="AB533" s="5"/>
      <c r="AC533" s="5">
        <v>0</v>
      </c>
      <c r="AD533" s="5">
        <v>0</v>
      </c>
      <c r="AE533" s="5">
        <v>0</v>
      </c>
      <c r="AF533" s="5">
        <v>1</v>
      </c>
    </row>
    <row r="534" spans="1:32" x14ac:dyDescent="0.2">
      <c r="A534" s="3" t="str">
        <f>+VLOOKUP(B534,studies!$A$2:$C$102,3)</f>
        <v>Kopp et al. (2012)</v>
      </c>
      <c r="B534" s="87">
        <v>78</v>
      </c>
      <c r="C534" s="5">
        <v>2012</v>
      </c>
      <c r="D534" s="5">
        <v>1</v>
      </c>
      <c r="E534" s="48">
        <v>2005</v>
      </c>
      <c r="F534" s="5">
        <v>2015</v>
      </c>
      <c r="G534" s="113">
        <v>6.9444444444444441E-3</v>
      </c>
      <c r="H534" s="7">
        <v>585.42769755931033</v>
      </c>
      <c r="I534" s="5">
        <v>0</v>
      </c>
      <c r="J534" s="5">
        <v>0</v>
      </c>
      <c r="K534" s="5">
        <v>1</v>
      </c>
      <c r="L534" s="7" t="s">
        <v>238</v>
      </c>
      <c r="M534" s="7">
        <v>160.83178504376656</v>
      </c>
      <c r="N534" s="7">
        <v>413.56744725539983</v>
      </c>
      <c r="O534" s="5">
        <v>0</v>
      </c>
      <c r="P534" s="5">
        <v>1</v>
      </c>
      <c r="Q534" s="5">
        <v>0</v>
      </c>
      <c r="R534" s="5">
        <v>1</v>
      </c>
      <c r="S534" s="5">
        <v>0</v>
      </c>
      <c r="T534" s="5">
        <v>1</v>
      </c>
      <c r="U534" s="5">
        <v>0</v>
      </c>
      <c r="V534" s="13">
        <v>3</v>
      </c>
      <c r="W534" s="13">
        <v>0.95</v>
      </c>
      <c r="X534" s="5"/>
      <c r="Y534" s="5"/>
      <c r="Z534" s="5"/>
      <c r="AA534" s="5">
        <v>0</v>
      </c>
      <c r="AB534" s="5"/>
      <c r="AC534" s="5">
        <v>0</v>
      </c>
      <c r="AD534" s="5">
        <v>0</v>
      </c>
      <c r="AE534" s="5">
        <v>0</v>
      </c>
      <c r="AF534" s="5">
        <v>1</v>
      </c>
    </row>
    <row r="535" spans="1:32" x14ac:dyDescent="0.2">
      <c r="A535" s="3" t="str">
        <f>+VLOOKUP(B535,studies!$A$2:$C$102,3)</f>
        <v>Kopp et al. (2012)</v>
      </c>
      <c r="B535" s="87">
        <v>78</v>
      </c>
      <c r="C535" s="5">
        <v>2012</v>
      </c>
      <c r="D535" s="5">
        <v>1</v>
      </c>
      <c r="E535" s="48">
        <v>2005</v>
      </c>
      <c r="F535" s="5">
        <v>2015</v>
      </c>
      <c r="G535" s="113">
        <v>6.9444444444444441E-3</v>
      </c>
      <c r="H535" s="7">
        <v>615.44963076748013</v>
      </c>
      <c r="I535" s="5">
        <v>0</v>
      </c>
      <c r="J535" s="5">
        <v>0</v>
      </c>
      <c r="K535" s="5">
        <v>1</v>
      </c>
      <c r="L535" s="7" t="s">
        <v>238</v>
      </c>
      <c r="M535" s="7">
        <v>176.14909790507767</v>
      </c>
      <c r="N535" s="7">
        <v>513.12998085392189</v>
      </c>
      <c r="O535" s="5">
        <v>0</v>
      </c>
      <c r="P535" s="5">
        <v>1</v>
      </c>
      <c r="Q535" s="5">
        <v>0</v>
      </c>
      <c r="R535" s="5">
        <v>1</v>
      </c>
      <c r="S535" s="5">
        <v>0</v>
      </c>
      <c r="T535" s="5">
        <v>1</v>
      </c>
      <c r="U535" s="5">
        <v>0</v>
      </c>
      <c r="V535" s="13">
        <v>3</v>
      </c>
      <c r="W535" s="13">
        <v>0.95</v>
      </c>
      <c r="X535" s="5"/>
      <c r="Y535" s="5"/>
      <c r="Z535" s="5"/>
      <c r="AA535" s="5">
        <v>0</v>
      </c>
      <c r="AB535" s="5"/>
      <c r="AC535" s="5">
        <v>0</v>
      </c>
      <c r="AD535" s="5">
        <v>0</v>
      </c>
      <c r="AE535" s="5">
        <v>0</v>
      </c>
      <c r="AF535" s="5">
        <v>1</v>
      </c>
    </row>
    <row r="536" spans="1:32" x14ac:dyDescent="0.2">
      <c r="A536" s="3" t="str">
        <f>+VLOOKUP(B536,studies!$A$2:$C$102,3)</f>
        <v>Kopp et al. (2012)</v>
      </c>
      <c r="B536" s="87">
        <v>78</v>
      </c>
      <c r="C536" s="5">
        <v>2012</v>
      </c>
      <c r="D536" s="5">
        <v>1</v>
      </c>
      <c r="E536" s="48">
        <v>2005</v>
      </c>
      <c r="F536" s="5">
        <v>2015</v>
      </c>
      <c r="G536" s="113">
        <v>6.9444444444444441E-3</v>
      </c>
      <c r="H536" s="7">
        <v>555.40576435114065</v>
      </c>
      <c r="I536" s="5">
        <v>0</v>
      </c>
      <c r="J536" s="5">
        <v>0</v>
      </c>
      <c r="K536" s="5">
        <v>1</v>
      </c>
      <c r="L536" s="7" t="s">
        <v>238</v>
      </c>
      <c r="M536" s="7">
        <v>168.49044147442214</v>
      </c>
      <c r="N536" s="7">
        <v>428.88476011671094</v>
      </c>
      <c r="O536" s="5">
        <v>0</v>
      </c>
      <c r="P536" s="5">
        <v>1</v>
      </c>
      <c r="Q536" s="5">
        <v>0</v>
      </c>
      <c r="R536" s="5">
        <v>1</v>
      </c>
      <c r="S536" s="5">
        <v>0</v>
      </c>
      <c r="T536" s="5">
        <v>1</v>
      </c>
      <c r="U536" s="5">
        <v>0</v>
      </c>
      <c r="V536" s="13">
        <v>3</v>
      </c>
      <c r="W536" s="13">
        <v>0.95</v>
      </c>
      <c r="X536" s="5"/>
      <c r="Y536" s="5"/>
      <c r="Z536" s="5"/>
      <c r="AA536" s="5">
        <v>0</v>
      </c>
      <c r="AB536" s="5"/>
      <c r="AC536" s="5">
        <v>0</v>
      </c>
      <c r="AD536" s="5">
        <v>0</v>
      </c>
      <c r="AE536" s="5">
        <v>0</v>
      </c>
      <c r="AF536" s="5">
        <v>1</v>
      </c>
    </row>
    <row r="537" spans="1:32" x14ac:dyDescent="0.2">
      <c r="A537" s="3" t="str">
        <f>+VLOOKUP(B537,studies!$A$2:$C$102,3)</f>
        <v>Kopp et al. (2012)</v>
      </c>
      <c r="B537" s="87">
        <v>78</v>
      </c>
      <c r="C537" s="5">
        <v>2012</v>
      </c>
      <c r="D537" s="5">
        <v>1</v>
      </c>
      <c r="E537" s="48">
        <v>2005</v>
      </c>
      <c r="F537" s="5">
        <v>2015</v>
      </c>
      <c r="G537" s="113">
        <v>6.9444444444444441E-3</v>
      </c>
      <c r="H537" s="7">
        <v>930.6799294532625</v>
      </c>
      <c r="I537" s="5">
        <v>0</v>
      </c>
      <c r="J537" s="5">
        <v>0</v>
      </c>
      <c r="K537" s="5">
        <v>1</v>
      </c>
      <c r="L537" s="7" t="s">
        <v>238</v>
      </c>
      <c r="M537" s="7">
        <v>252.73566221163316</v>
      </c>
      <c r="N537" s="7">
        <v>574.39923229916644</v>
      </c>
      <c r="O537" s="5">
        <v>0</v>
      </c>
      <c r="P537" s="5">
        <v>1</v>
      </c>
      <c r="Q537" s="5">
        <v>0</v>
      </c>
      <c r="R537" s="5">
        <v>1</v>
      </c>
      <c r="S537" s="5">
        <v>0</v>
      </c>
      <c r="T537" s="5">
        <v>1</v>
      </c>
      <c r="U537" s="5">
        <v>0</v>
      </c>
      <c r="V537" s="13">
        <v>3</v>
      </c>
      <c r="W537" s="13">
        <v>0.95</v>
      </c>
      <c r="X537" s="5"/>
      <c r="Y537" s="5"/>
      <c r="Z537" s="5"/>
      <c r="AA537" s="5">
        <v>0</v>
      </c>
      <c r="AB537" s="5"/>
      <c r="AC537" s="5">
        <v>0</v>
      </c>
      <c r="AD537" s="5">
        <v>0</v>
      </c>
      <c r="AE537" s="5">
        <v>0</v>
      </c>
      <c r="AF537" s="5">
        <v>1</v>
      </c>
    </row>
    <row r="538" spans="1:32" x14ac:dyDescent="0.2">
      <c r="A538" s="3" t="str">
        <f>+VLOOKUP(B538,studies!$A$2:$C$102,3)</f>
        <v>Kopp et al. (2012)</v>
      </c>
      <c r="B538" s="87">
        <v>78</v>
      </c>
      <c r="C538" s="5">
        <v>2012</v>
      </c>
      <c r="D538" s="5">
        <v>1</v>
      </c>
      <c r="E538" s="48">
        <v>2005</v>
      </c>
      <c r="F538" s="5">
        <v>2015</v>
      </c>
      <c r="G538" s="113">
        <v>6.9444444444444441E-3</v>
      </c>
      <c r="H538" s="7">
        <v>585.42769755931033</v>
      </c>
      <c r="I538" s="5">
        <v>0</v>
      </c>
      <c r="J538" s="5">
        <v>0</v>
      </c>
      <c r="K538" s="5">
        <v>1</v>
      </c>
      <c r="L538" s="7" t="s">
        <v>238</v>
      </c>
      <c r="M538" s="7">
        <v>160.83178504376656</v>
      </c>
      <c r="N538" s="7">
        <v>398.25013439408872</v>
      </c>
      <c r="O538" s="5">
        <v>0</v>
      </c>
      <c r="P538" s="5">
        <v>1</v>
      </c>
      <c r="Q538" s="5">
        <v>0</v>
      </c>
      <c r="R538" s="5">
        <v>1</v>
      </c>
      <c r="S538" s="5">
        <v>0</v>
      </c>
      <c r="T538" s="5">
        <v>1</v>
      </c>
      <c r="U538" s="5">
        <v>0</v>
      </c>
      <c r="V538" s="13">
        <v>3</v>
      </c>
      <c r="W538" s="13">
        <v>0.95</v>
      </c>
      <c r="X538" s="5"/>
      <c r="Y538" s="5"/>
      <c r="Z538" s="5"/>
      <c r="AA538" s="5">
        <v>0</v>
      </c>
      <c r="AB538" s="5"/>
      <c r="AC538" s="5">
        <v>0</v>
      </c>
      <c r="AD538" s="5">
        <v>0</v>
      </c>
      <c r="AE538" s="5">
        <v>0</v>
      </c>
      <c r="AF538" s="5">
        <v>1</v>
      </c>
    </row>
    <row r="539" spans="1:32" x14ac:dyDescent="0.2">
      <c r="A539" s="3" t="str">
        <f>+VLOOKUP(B539,studies!$A$2:$C$102,3)</f>
        <v>Kopp et al. (2012)</v>
      </c>
      <c r="B539" s="87">
        <v>78</v>
      </c>
      <c r="C539" s="5">
        <v>2012</v>
      </c>
      <c r="D539" s="5">
        <v>1</v>
      </c>
      <c r="E539" s="48">
        <v>2005</v>
      </c>
      <c r="F539" s="5">
        <v>2015</v>
      </c>
      <c r="G539" s="113">
        <v>6.9444444444444441E-3</v>
      </c>
      <c r="H539" s="7">
        <v>1155.8444285145358</v>
      </c>
      <c r="I539" s="5">
        <v>0</v>
      </c>
      <c r="J539" s="5">
        <v>0</v>
      </c>
      <c r="K539" s="5">
        <v>1</v>
      </c>
      <c r="L539" s="7" t="s">
        <v>238</v>
      </c>
      <c r="M539" s="7">
        <v>314.00491365687765</v>
      </c>
      <c r="N539" s="7">
        <v>643.32714017506623</v>
      </c>
      <c r="O539" s="5">
        <v>0</v>
      </c>
      <c r="P539" s="5">
        <v>1</v>
      </c>
      <c r="Q539" s="5">
        <v>0</v>
      </c>
      <c r="R539" s="5">
        <v>1</v>
      </c>
      <c r="S539" s="5">
        <v>0</v>
      </c>
      <c r="T539" s="5">
        <v>1</v>
      </c>
      <c r="U539" s="5">
        <v>0</v>
      </c>
      <c r="V539" s="13">
        <v>3</v>
      </c>
      <c r="W539" s="13">
        <v>0.95</v>
      </c>
      <c r="X539" s="5"/>
      <c r="Y539" s="5"/>
      <c r="Z539" s="5"/>
      <c r="AA539" s="5">
        <v>0</v>
      </c>
      <c r="AB539" s="5"/>
      <c r="AC539" s="5">
        <v>0</v>
      </c>
      <c r="AD539" s="5">
        <v>0</v>
      </c>
      <c r="AE539" s="5">
        <v>0</v>
      </c>
      <c r="AF539" s="5">
        <v>1</v>
      </c>
    </row>
    <row r="540" spans="1:32" x14ac:dyDescent="0.2">
      <c r="A540" s="3" t="str">
        <f>+VLOOKUP(B540,studies!$A$2:$C$102,3)</f>
        <v>Kopp et al. (2012)</v>
      </c>
      <c r="B540" s="87">
        <v>78</v>
      </c>
      <c r="C540" s="5">
        <v>2012</v>
      </c>
      <c r="D540" s="5">
        <v>1</v>
      </c>
      <c r="E540" s="48">
        <v>2005</v>
      </c>
      <c r="F540" s="5">
        <v>2015</v>
      </c>
      <c r="G540" s="113">
        <v>6.9444444444444441E-3</v>
      </c>
      <c r="H540" s="7">
        <v>450.32899812254641</v>
      </c>
      <c r="I540" s="5">
        <v>0</v>
      </c>
      <c r="J540" s="5">
        <v>0</v>
      </c>
      <c r="K540" s="5">
        <v>1</v>
      </c>
      <c r="L540" s="7" t="s">
        <v>238</v>
      </c>
      <c r="M540" s="7">
        <v>114.87984645983326</v>
      </c>
      <c r="N540" s="7">
        <v>283.37028793425543</v>
      </c>
      <c r="O540" s="5">
        <v>0</v>
      </c>
      <c r="P540" s="5">
        <v>1</v>
      </c>
      <c r="Q540" s="5">
        <v>0</v>
      </c>
      <c r="R540" s="5">
        <v>1</v>
      </c>
      <c r="S540" s="5">
        <v>0</v>
      </c>
      <c r="T540" s="5">
        <v>1</v>
      </c>
      <c r="U540" s="5">
        <v>0</v>
      </c>
      <c r="V540" s="13">
        <v>3</v>
      </c>
      <c r="W540" s="13">
        <v>0.95</v>
      </c>
      <c r="X540" s="5"/>
      <c r="Y540" s="5"/>
      <c r="Z540" s="5"/>
      <c r="AA540" s="5">
        <v>0</v>
      </c>
      <c r="AB540" s="5"/>
      <c r="AC540" s="5">
        <v>0</v>
      </c>
      <c r="AD540" s="5">
        <v>0</v>
      </c>
      <c r="AE540" s="5">
        <v>0</v>
      </c>
      <c r="AF540" s="5">
        <v>1</v>
      </c>
    </row>
    <row r="541" spans="1:32" x14ac:dyDescent="0.2">
      <c r="A541" s="3" t="str">
        <f>+VLOOKUP(B541,studies!$A$2:$C$102,3)</f>
        <v>Kopp et al. (2012)</v>
      </c>
      <c r="B541" s="87">
        <v>78</v>
      </c>
      <c r="C541" s="5">
        <v>2012</v>
      </c>
      <c r="D541" s="5">
        <v>1</v>
      </c>
      <c r="E541" s="48">
        <v>2005</v>
      </c>
      <c r="F541" s="5">
        <v>2015</v>
      </c>
      <c r="G541" s="113">
        <v>6.9444444444444441E-3</v>
      </c>
      <c r="H541" s="7">
        <v>615.44963076748013</v>
      </c>
      <c r="I541" s="5">
        <v>0</v>
      </c>
      <c r="J541" s="5">
        <v>0</v>
      </c>
      <c r="K541" s="5">
        <v>1</v>
      </c>
      <c r="L541" s="7" t="s">
        <v>238</v>
      </c>
      <c r="M541" s="7">
        <v>176.14909790507767</v>
      </c>
      <c r="N541" s="7">
        <v>451.86072940867751</v>
      </c>
      <c r="O541" s="5">
        <v>0</v>
      </c>
      <c r="P541" s="5">
        <v>1</v>
      </c>
      <c r="Q541" s="5">
        <v>0</v>
      </c>
      <c r="R541" s="5">
        <v>1</v>
      </c>
      <c r="S541" s="5">
        <v>0</v>
      </c>
      <c r="T541" s="5">
        <v>1</v>
      </c>
      <c r="U541" s="5">
        <v>0</v>
      </c>
      <c r="V541" s="13">
        <v>3</v>
      </c>
      <c r="W541" s="13">
        <v>0.95</v>
      </c>
      <c r="X541" s="5"/>
      <c r="Y541" s="5"/>
      <c r="Z541" s="5"/>
      <c r="AA541" s="5">
        <v>0</v>
      </c>
      <c r="AB541" s="5"/>
      <c r="AC541" s="5">
        <v>0</v>
      </c>
      <c r="AD541" s="5">
        <v>0</v>
      </c>
      <c r="AE541" s="5">
        <v>0</v>
      </c>
      <c r="AF541" s="5">
        <v>1</v>
      </c>
    </row>
    <row r="542" spans="1:32" x14ac:dyDescent="0.2">
      <c r="A542" s="3" t="str">
        <f>+VLOOKUP(B542,studies!$A$2:$C$102,3)</f>
        <v>Kopp et al. (2012)</v>
      </c>
      <c r="B542" s="87">
        <v>78</v>
      </c>
      <c r="C542" s="5">
        <v>2012</v>
      </c>
      <c r="D542" s="5">
        <v>1</v>
      </c>
      <c r="E542" s="48">
        <v>2005</v>
      </c>
      <c r="F542" s="5">
        <v>2015</v>
      </c>
      <c r="G542" s="113">
        <v>6.9444444444444441E-3</v>
      </c>
      <c r="H542" s="7">
        <v>585.42769755931033</v>
      </c>
      <c r="I542" s="5">
        <v>0</v>
      </c>
      <c r="J542" s="5">
        <v>0</v>
      </c>
      <c r="K542" s="5">
        <v>1</v>
      </c>
      <c r="L542" s="7" t="s">
        <v>238</v>
      </c>
      <c r="M542" s="7">
        <v>160.83178504376656</v>
      </c>
      <c r="N542" s="7">
        <v>413.56744725539983</v>
      </c>
      <c r="O542" s="5">
        <v>0</v>
      </c>
      <c r="P542" s="5">
        <v>1</v>
      </c>
      <c r="Q542" s="5">
        <v>0</v>
      </c>
      <c r="R542" s="5">
        <v>1</v>
      </c>
      <c r="S542" s="5">
        <v>0</v>
      </c>
      <c r="T542" s="5">
        <v>1</v>
      </c>
      <c r="U542" s="5">
        <v>0</v>
      </c>
      <c r="V542" s="13">
        <v>3</v>
      </c>
      <c r="W542" s="13">
        <v>0.95</v>
      </c>
      <c r="X542" s="5"/>
      <c r="Y542" s="5"/>
      <c r="Z542" s="5"/>
      <c r="AA542" s="5">
        <v>0</v>
      </c>
      <c r="AB542" s="5"/>
      <c r="AC542" s="5">
        <v>0</v>
      </c>
      <c r="AD542" s="5">
        <v>0</v>
      </c>
      <c r="AE542" s="5">
        <v>0</v>
      </c>
      <c r="AF542" s="5">
        <v>1</v>
      </c>
    </row>
    <row r="543" spans="1:32" x14ac:dyDescent="0.2">
      <c r="A543" s="3" t="str">
        <f>+VLOOKUP(B543,studies!$A$2:$C$102,3)</f>
        <v>Kopp et al. (2012)</v>
      </c>
      <c r="B543" s="87">
        <v>78</v>
      </c>
      <c r="C543" s="5">
        <v>2012</v>
      </c>
      <c r="D543" s="5">
        <v>1</v>
      </c>
      <c r="E543" s="48">
        <v>2005</v>
      </c>
      <c r="F543" s="5">
        <v>2015</v>
      </c>
      <c r="G543" s="113">
        <v>6.9444444444444441E-3</v>
      </c>
      <c r="H543" s="7">
        <v>855.62509643283818</v>
      </c>
      <c r="I543" s="5">
        <v>0</v>
      </c>
      <c r="J543" s="5">
        <v>0</v>
      </c>
      <c r="K543" s="5">
        <v>1</v>
      </c>
      <c r="L543" s="7" t="s">
        <v>238</v>
      </c>
      <c r="M543" s="7">
        <v>298.68760079556648</v>
      </c>
      <c r="N543" s="7">
        <v>2297.5969291966658</v>
      </c>
      <c r="O543" s="5">
        <v>0</v>
      </c>
      <c r="P543" s="5">
        <v>1</v>
      </c>
      <c r="Q543" s="5">
        <v>0</v>
      </c>
      <c r="R543" s="5">
        <v>1</v>
      </c>
      <c r="S543" s="5">
        <v>0</v>
      </c>
      <c r="T543" s="5">
        <v>1</v>
      </c>
      <c r="U543" s="5">
        <v>0</v>
      </c>
      <c r="V543" s="13">
        <v>3</v>
      </c>
      <c r="W543" s="13">
        <v>0.95</v>
      </c>
      <c r="X543" s="5"/>
      <c r="Y543" s="5"/>
      <c r="Z543" s="5"/>
      <c r="AA543" s="5">
        <v>0</v>
      </c>
      <c r="AB543" s="5"/>
      <c r="AC543" s="5">
        <v>0</v>
      </c>
      <c r="AD543" s="5">
        <v>0</v>
      </c>
      <c r="AE543" s="5">
        <v>0</v>
      </c>
      <c r="AF543" s="5">
        <v>1</v>
      </c>
    </row>
    <row r="544" spans="1:32" x14ac:dyDescent="0.2">
      <c r="A544" s="3" t="str">
        <f>+VLOOKUP(B544,studies!$A$2:$C$102,3)</f>
        <v>Kopp et al. (2012)</v>
      </c>
      <c r="B544" s="87">
        <v>78</v>
      </c>
      <c r="C544" s="5">
        <v>2012</v>
      </c>
      <c r="D544" s="5">
        <v>1</v>
      </c>
      <c r="E544" s="48">
        <v>2005</v>
      </c>
      <c r="F544" s="5">
        <v>2015</v>
      </c>
      <c r="G544" s="113">
        <v>6.9444444444444441E-3</v>
      </c>
      <c r="H544" s="7">
        <v>270.19739887352785</v>
      </c>
      <c r="I544" s="5">
        <v>0</v>
      </c>
      <c r="J544" s="5">
        <v>0</v>
      </c>
      <c r="K544" s="5">
        <v>1</v>
      </c>
      <c r="L544" s="7" t="s">
        <v>238</v>
      </c>
      <c r="M544" s="7">
        <v>84.245220737211056</v>
      </c>
      <c r="N544" s="7">
        <v>1332.606218934066</v>
      </c>
      <c r="O544" s="5">
        <v>0</v>
      </c>
      <c r="P544" s="5">
        <v>1</v>
      </c>
      <c r="Q544" s="5">
        <v>0</v>
      </c>
      <c r="R544" s="5">
        <v>1</v>
      </c>
      <c r="S544" s="5">
        <v>0</v>
      </c>
      <c r="T544" s="5">
        <v>1</v>
      </c>
      <c r="U544" s="5">
        <v>0</v>
      </c>
      <c r="V544" s="13">
        <v>3</v>
      </c>
      <c r="W544" s="13">
        <v>0.95</v>
      </c>
      <c r="X544" s="5"/>
      <c r="Y544" s="5"/>
      <c r="Z544" s="5"/>
      <c r="AA544" s="5">
        <v>0</v>
      </c>
      <c r="AB544" s="5"/>
      <c r="AC544" s="5">
        <v>0</v>
      </c>
      <c r="AD544" s="5">
        <v>0</v>
      </c>
      <c r="AE544" s="5">
        <v>0</v>
      </c>
      <c r="AF544" s="5">
        <v>1</v>
      </c>
    </row>
    <row r="545" spans="1:32" x14ac:dyDescent="0.2">
      <c r="A545" s="3" t="str">
        <f>+VLOOKUP(B545,studies!$A$2:$C$102,3)</f>
        <v>Kopp et al. (2012)</v>
      </c>
      <c r="B545" s="87">
        <v>78</v>
      </c>
      <c r="C545" s="5">
        <v>2012</v>
      </c>
      <c r="D545" s="5">
        <v>1</v>
      </c>
      <c r="E545" s="48">
        <v>2005</v>
      </c>
      <c r="F545" s="5">
        <v>2015</v>
      </c>
      <c r="G545" s="113">
        <v>6.9444444444444441E-3</v>
      </c>
      <c r="H545" s="7">
        <v>195.14256585310346</v>
      </c>
      <c r="I545" s="5">
        <v>0</v>
      </c>
      <c r="J545" s="5">
        <v>0</v>
      </c>
      <c r="K545" s="5">
        <v>1</v>
      </c>
      <c r="L545" s="7" t="s">
        <v>238</v>
      </c>
      <c r="M545" s="7">
        <v>61.269251445244414</v>
      </c>
      <c r="N545" s="7">
        <v>1332.606218934066</v>
      </c>
      <c r="O545" s="5">
        <v>0</v>
      </c>
      <c r="P545" s="5">
        <v>1</v>
      </c>
      <c r="Q545" s="5">
        <v>0</v>
      </c>
      <c r="R545" s="5">
        <v>1</v>
      </c>
      <c r="S545" s="5">
        <v>0</v>
      </c>
      <c r="T545" s="5">
        <v>1</v>
      </c>
      <c r="U545" s="5">
        <v>0</v>
      </c>
      <c r="V545" s="13">
        <v>3</v>
      </c>
      <c r="W545" s="13">
        <v>0.95</v>
      </c>
      <c r="X545" s="5"/>
      <c r="Y545" s="5"/>
      <c r="Z545" s="5"/>
      <c r="AA545" s="5">
        <v>0</v>
      </c>
      <c r="AB545" s="5"/>
      <c r="AC545" s="5">
        <v>0</v>
      </c>
      <c r="AD545" s="5">
        <v>0</v>
      </c>
      <c r="AE545" s="5">
        <v>0</v>
      </c>
      <c r="AF545" s="5">
        <v>1</v>
      </c>
    </row>
    <row r="546" spans="1:32" x14ac:dyDescent="0.2">
      <c r="A546" s="3" t="str">
        <f>+VLOOKUP(B546,studies!$A$2:$C$102,3)</f>
        <v>Kopp et al. (2012)</v>
      </c>
      <c r="B546" s="87">
        <v>78</v>
      </c>
      <c r="C546" s="5">
        <v>2012</v>
      </c>
      <c r="D546" s="5">
        <v>1</v>
      </c>
      <c r="E546" s="48">
        <v>2005</v>
      </c>
      <c r="F546" s="5">
        <v>2015</v>
      </c>
      <c r="G546" s="113">
        <v>6.9444444444444441E-3</v>
      </c>
      <c r="H546" s="7">
        <v>390.28513170620693</v>
      </c>
      <c r="I546" s="5">
        <v>0</v>
      </c>
      <c r="J546" s="5">
        <v>0</v>
      </c>
      <c r="K546" s="5">
        <v>1</v>
      </c>
      <c r="L546" s="7" t="s">
        <v>238</v>
      </c>
      <c r="M546" s="7">
        <v>130.19715932114437</v>
      </c>
      <c r="N546" s="7">
        <v>1799.7842612040545</v>
      </c>
      <c r="O546" s="5">
        <v>0</v>
      </c>
      <c r="P546" s="5">
        <v>1</v>
      </c>
      <c r="Q546" s="5">
        <v>0</v>
      </c>
      <c r="R546" s="5">
        <v>1</v>
      </c>
      <c r="S546" s="5">
        <v>0</v>
      </c>
      <c r="T546" s="5">
        <v>1</v>
      </c>
      <c r="U546" s="5">
        <v>0</v>
      </c>
      <c r="V546" s="13">
        <v>3</v>
      </c>
      <c r="W546" s="13">
        <v>0.95</v>
      </c>
      <c r="X546" s="5"/>
      <c r="Y546" s="5"/>
      <c r="Z546" s="5"/>
      <c r="AA546" s="5">
        <v>0</v>
      </c>
      <c r="AB546" s="5"/>
      <c r="AC546" s="5">
        <v>0</v>
      </c>
      <c r="AD546" s="5">
        <v>0</v>
      </c>
      <c r="AE546" s="5">
        <v>0</v>
      </c>
      <c r="AF546" s="5">
        <v>1</v>
      </c>
    </row>
    <row r="547" spans="1:32" x14ac:dyDescent="0.2">
      <c r="A547" s="3" t="str">
        <f>+VLOOKUP(B547,studies!$A$2:$C$102,3)</f>
        <v>Kopp et al. (2012)</v>
      </c>
      <c r="B547" s="87">
        <v>78</v>
      </c>
      <c r="C547" s="5">
        <v>2012</v>
      </c>
      <c r="D547" s="5">
        <v>1</v>
      </c>
      <c r="E547" s="48">
        <v>2005</v>
      </c>
      <c r="F547" s="5">
        <v>2015</v>
      </c>
      <c r="G547" s="113">
        <v>6.9444444444444441E-3</v>
      </c>
      <c r="H547" s="7">
        <v>210.15353245718833</v>
      </c>
      <c r="I547" s="5">
        <v>0</v>
      </c>
      <c r="J547" s="5">
        <v>0</v>
      </c>
      <c r="K547" s="5">
        <v>1</v>
      </c>
      <c r="L547" s="7" t="s">
        <v>238</v>
      </c>
      <c r="M547" s="7">
        <v>61.269251445244407</v>
      </c>
      <c r="N547" s="7">
        <v>1462.8033782552104</v>
      </c>
      <c r="O547" s="5">
        <v>0</v>
      </c>
      <c r="P547" s="5">
        <v>1</v>
      </c>
      <c r="Q547" s="5">
        <v>0</v>
      </c>
      <c r="R547" s="5">
        <v>1</v>
      </c>
      <c r="S547" s="5">
        <v>0</v>
      </c>
      <c r="T547" s="5">
        <v>1</v>
      </c>
      <c r="U547" s="5">
        <v>0</v>
      </c>
      <c r="V547" s="13">
        <v>3</v>
      </c>
      <c r="W547" s="13">
        <v>0.95</v>
      </c>
      <c r="X547" s="5"/>
      <c r="Y547" s="5"/>
      <c r="Z547" s="5"/>
      <c r="AA547" s="5">
        <v>0</v>
      </c>
      <c r="AB547" s="5"/>
      <c r="AC547" s="5">
        <v>0</v>
      </c>
      <c r="AD547" s="5">
        <v>0</v>
      </c>
      <c r="AE547" s="5">
        <v>0</v>
      </c>
      <c r="AF547" s="5">
        <v>1</v>
      </c>
    </row>
    <row r="548" spans="1:32" x14ac:dyDescent="0.2">
      <c r="A548" s="3" t="str">
        <f>+VLOOKUP(B548,studies!$A$2:$C$102,3)</f>
        <v>Kopp et al. (2012)</v>
      </c>
      <c r="B548" s="87">
        <v>78</v>
      </c>
      <c r="C548" s="5">
        <v>2012</v>
      </c>
      <c r="D548" s="5">
        <v>1</v>
      </c>
      <c r="E548" s="48">
        <v>2005</v>
      </c>
      <c r="F548" s="5">
        <v>2015</v>
      </c>
      <c r="G548" s="113">
        <v>6.9444444444444441E-3</v>
      </c>
      <c r="H548" s="7">
        <v>135.09869943676392</v>
      </c>
      <c r="I548" s="5">
        <v>0</v>
      </c>
      <c r="J548" s="5">
        <v>0</v>
      </c>
      <c r="K548" s="5">
        <v>1</v>
      </c>
      <c r="L548" s="7" t="s">
        <v>238</v>
      </c>
      <c r="M548" s="7">
        <v>61.269251445244407</v>
      </c>
      <c r="N548" s="7">
        <v>2672.8710942987873</v>
      </c>
      <c r="O548" s="5">
        <v>0</v>
      </c>
      <c r="P548" s="5">
        <v>1</v>
      </c>
      <c r="Q548" s="5">
        <v>0</v>
      </c>
      <c r="R548" s="5">
        <v>1</v>
      </c>
      <c r="S548" s="5">
        <v>0</v>
      </c>
      <c r="T548" s="5">
        <v>1</v>
      </c>
      <c r="U548" s="5">
        <v>0</v>
      </c>
      <c r="V548" s="13">
        <v>3</v>
      </c>
      <c r="W548" s="13">
        <v>0.95</v>
      </c>
      <c r="X548" s="5"/>
      <c r="Y548" s="5"/>
      <c r="Z548" s="5"/>
      <c r="AA548" s="5">
        <v>0</v>
      </c>
      <c r="AB548" s="5"/>
      <c r="AC548" s="5">
        <v>0</v>
      </c>
      <c r="AD548" s="5">
        <v>0</v>
      </c>
      <c r="AE548" s="5">
        <v>0</v>
      </c>
      <c r="AF548" s="5">
        <v>1</v>
      </c>
    </row>
    <row r="549" spans="1:32" x14ac:dyDescent="0.2">
      <c r="A549" s="3" t="str">
        <f>+VLOOKUP(B549,studies!$A$2:$C$102,3)</f>
        <v>Kopp et al. (2012)</v>
      </c>
      <c r="B549" s="87">
        <v>78</v>
      </c>
      <c r="C549" s="5">
        <v>2012</v>
      </c>
      <c r="D549" s="5">
        <v>1</v>
      </c>
      <c r="E549" s="48">
        <v>2005</v>
      </c>
      <c r="F549" s="5">
        <v>2015</v>
      </c>
      <c r="G549" s="113">
        <v>6.9444444444444441E-3</v>
      </c>
      <c r="H549" s="7">
        <v>105.07676622859417</v>
      </c>
      <c r="I549" s="5">
        <v>0</v>
      </c>
      <c r="J549" s="5">
        <v>0</v>
      </c>
      <c r="K549" s="5">
        <v>1</v>
      </c>
      <c r="L549" s="7" t="s">
        <v>238</v>
      </c>
      <c r="M549" s="7">
        <v>45.951938583933305</v>
      </c>
      <c r="N549" s="7">
        <v>2374.1834935032211</v>
      </c>
      <c r="O549" s="5">
        <v>0</v>
      </c>
      <c r="P549" s="5">
        <v>1</v>
      </c>
      <c r="Q549" s="5">
        <v>0</v>
      </c>
      <c r="R549" s="5">
        <v>1</v>
      </c>
      <c r="S549" s="5">
        <v>0</v>
      </c>
      <c r="T549" s="5">
        <v>1</v>
      </c>
      <c r="U549" s="5">
        <v>0</v>
      </c>
      <c r="V549" s="13">
        <v>3</v>
      </c>
      <c r="W549" s="13">
        <v>0.95</v>
      </c>
      <c r="X549" s="5"/>
      <c r="Y549" s="5"/>
      <c r="Z549" s="5"/>
      <c r="AA549" s="5">
        <v>0</v>
      </c>
      <c r="AB549" s="5"/>
      <c r="AC549" s="5">
        <v>0</v>
      </c>
      <c r="AD549" s="5">
        <v>0</v>
      </c>
      <c r="AE549" s="5">
        <v>0</v>
      </c>
      <c r="AF549" s="5">
        <v>1</v>
      </c>
    </row>
    <row r="550" spans="1:32" x14ac:dyDescent="0.2">
      <c r="A550" s="3" t="str">
        <f>+VLOOKUP(B550,studies!$A$2:$C$102,3)</f>
        <v>Kopp et al. (2012)</v>
      </c>
      <c r="B550" s="87">
        <v>78</v>
      </c>
      <c r="C550" s="5">
        <v>2012</v>
      </c>
      <c r="D550" s="5">
        <v>1</v>
      </c>
      <c r="E550" s="48">
        <v>2005</v>
      </c>
      <c r="F550" s="5">
        <v>2015</v>
      </c>
      <c r="G550" s="113">
        <v>6.9444444444444441E-3</v>
      </c>
      <c r="H550" s="7">
        <v>150.10966604084879</v>
      </c>
      <c r="I550" s="5">
        <v>0</v>
      </c>
      <c r="J550" s="5">
        <v>0</v>
      </c>
      <c r="K550" s="5">
        <v>1</v>
      </c>
      <c r="L550" s="7" t="s">
        <v>238</v>
      </c>
      <c r="M550" s="7">
        <v>68.927907875899962</v>
      </c>
      <c r="N550" s="7">
        <v>2887.3134743571427</v>
      </c>
      <c r="O550" s="5">
        <v>0</v>
      </c>
      <c r="P550" s="5">
        <v>1</v>
      </c>
      <c r="Q550" s="5">
        <v>0</v>
      </c>
      <c r="R550" s="5">
        <v>1</v>
      </c>
      <c r="S550" s="5">
        <v>0</v>
      </c>
      <c r="T550" s="5">
        <v>1</v>
      </c>
      <c r="U550" s="5">
        <v>0</v>
      </c>
      <c r="V550" s="13">
        <v>3</v>
      </c>
      <c r="W550" s="13">
        <v>0.95</v>
      </c>
      <c r="X550" s="5"/>
      <c r="Y550" s="5"/>
      <c r="Z550" s="5"/>
      <c r="AA550" s="5">
        <v>0</v>
      </c>
      <c r="AB550" s="5"/>
      <c r="AC550" s="5">
        <v>0</v>
      </c>
      <c r="AD550" s="5">
        <v>0</v>
      </c>
      <c r="AE550" s="5">
        <v>0</v>
      </c>
      <c r="AF550" s="5">
        <v>1</v>
      </c>
    </row>
    <row r="551" spans="1:32" x14ac:dyDescent="0.2">
      <c r="A551" s="3" t="str">
        <f>+VLOOKUP(B551,studies!$A$2:$C$102,3)</f>
        <v>Kopp et al. (2012)</v>
      </c>
      <c r="B551" s="87">
        <v>78</v>
      </c>
      <c r="C551" s="5">
        <v>2012</v>
      </c>
      <c r="D551" s="5">
        <v>1</v>
      </c>
      <c r="E551" s="48">
        <v>2005</v>
      </c>
      <c r="F551" s="5">
        <v>2015</v>
      </c>
      <c r="G551" s="113">
        <v>6.9444444444444441E-3</v>
      </c>
      <c r="H551" s="7">
        <v>120.08773283267904</v>
      </c>
      <c r="I551" s="5">
        <v>0</v>
      </c>
      <c r="J551" s="5">
        <v>0</v>
      </c>
      <c r="K551" s="5">
        <v>1</v>
      </c>
      <c r="L551" s="7" t="s">
        <v>238</v>
      </c>
      <c r="M551" s="7">
        <v>53.61059501458886</v>
      </c>
      <c r="N551" s="7">
        <v>2711.1643764520654</v>
      </c>
      <c r="O551" s="5">
        <v>0</v>
      </c>
      <c r="P551" s="5">
        <v>1</v>
      </c>
      <c r="Q551" s="5">
        <v>0</v>
      </c>
      <c r="R551" s="5">
        <v>1</v>
      </c>
      <c r="S551" s="5">
        <v>0</v>
      </c>
      <c r="T551" s="5">
        <v>1</v>
      </c>
      <c r="U551" s="5">
        <v>0</v>
      </c>
      <c r="V551" s="13">
        <v>3</v>
      </c>
      <c r="W551" s="13">
        <v>0.95</v>
      </c>
      <c r="X551" s="5"/>
      <c r="Y551" s="5"/>
      <c r="Z551" s="5"/>
      <c r="AA551" s="5">
        <v>0</v>
      </c>
      <c r="AB551" s="5"/>
      <c r="AC551" s="5">
        <v>0</v>
      </c>
      <c r="AD551" s="5">
        <v>0</v>
      </c>
      <c r="AE551" s="5">
        <v>0</v>
      </c>
      <c r="AF551" s="5">
        <v>1</v>
      </c>
    </row>
    <row r="552" spans="1:32" x14ac:dyDescent="0.2">
      <c r="A552" s="3" t="str">
        <f>+VLOOKUP(B552,studies!$A$2:$C$102,3)</f>
        <v>Kopp et al. (2012)</v>
      </c>
      <c r="B552" s="87">
        <v>78</v>
      </c>
      <c r="C552" s="5">
        <v>2012</v>
      </c>
      <c r="D552" s="5">
        <v>1</v>
      </c>
      <c r="E552" s="48">
        <v>2005</v>
      </c>
      <c r="F552" s="5">
        <v>2015</v>
      </c>
      <c r="G552" s="113">
        <v>6.9444444444444441E-3</v>
      </c>
      <c r="H552" s="7">
        <v>660.48253057973466</v>
      </c>
      <c r="I552" s="5">
        <v>0</v>
      </c>
      <c r="J552" s="5">
        <v>0</v>
      </c>
      <c r="K552" s="5">
        <v>1</v>
      </c>
      <c r="L552" s="7" t="s">
        <v>238</v>
      </c>
      <c r="M552" s="7">
        <v>183.80775433573319</v>
      </c>
      <c r="N552" s="7">
        <v>536.10595014588864</v>
      </c>
      <c r="O552" s="5">
        <v>0</v>
      </c>
      <c r="P552" s="5">
        <v>1</v>
      </c>
      <c r="Q552" s="5">
        <v>0</v>
      </c>
      <c r="R552" s="5">
        <v>1</v>
      </c>
      <c r="S552" s="5">
        <v>0</v>
      </c>
      <c r="T552" s="5">
        <v>1</v>
      </c>
      <c r="U552" s="5">
        <v>0</v>
      </c>
      <c r="V552" s="13">
        <v>3</v>
      </c>
      <c r="W552" s="13">
        <v>0.14000000000000001</v>
      </c>
      <c r="X552" s="5"/>
      <c r="Y552" s="5"/>
      <c r="Z552" s="5"/>
      <c r="AA552" s="5">
        <v>0</v>
      </c>
      <c r="AB552" s="5"/>
      <c r="AC552" s="5">
        <v>0</v>
      </c>
      <c r="AD552" s="5">
        <v>0</v>
      </c>
      <c r="AE552" s="5">
        <v>0</v>
      </c>
      <c r="AF552" s="5">
        <v>1</v>
      </c>
    </row>
    <row r="553" spans="1:32" x14ac:dyDescent="0.2">
      <c r="A553" s="3" t="str">
        <f>+VLOOKUP(B553,studies!$A$2:$C$102,3)</f>
        <v>Kopp et al. (2012)</v>
      </c>
      <c r="B553" s="87">
        <v>78</v>
      </c>
      <c r="C553" s="5">
        <v>2012</v>
      </c>
      <c r="D553" s="5">
        <v>1</v>
      </c>
      <c r="E553" s="48">
        <v>2005</v>
      </c>
      <c r="F553" s="5">
        <v>2015</v>
      </c>
      <c r="G553" s="113">
        <v>6.9444444444444441E-3</v>
      </c>
      <c r="H553" s="7">
        <v>690.50446378790446</v>
      </c>
      <c r="I553" s="5">
        <v>0</v>
      </c>
      <c r="J553" s="5">
        <v>0</v>
      </c>
      <c r="K553" s="5">
        <v>1</v>
      </c>
      <c r="L553" s="7" t="s">
        <v>238</v>
      </c>
      <c r="M553" s="7">
        <v>199.12506719704433</v>
      </c>
      <c r="N553" s="7">
        <v>704.59639162031067</v>
      </c>
      <c r="O553" s="5">
        <v>0</v>
      </c>
      <c r="P553" s="5">
        <v>1</v>
      </c>
      <c r="Q553" s="5">
        <v>0</v>
      </c>
      <c r="R553" s="5">
        <v>1</v>
      </c>
      <c r="S553" s="5">
        <v>0</v>
      </c>
      <c r="T553" s="5">
        <v>1</v>
      </c>
      <c r="U553" s="5">
        <v>0</v>
      </c>
      <c r="V553" s="13">
        <v>3</v>
      </c>
      <c r="W553" s="13">
        <v>0.14000000000000001</v>
      </c>
      <c r="X553" s="5"/>
      <c r="Y553" s="5"/>
      <c r="Z553" s="5"/>
      <c r="AA553" s="5">
        <v>0</v>
      </c>
      <c r="AB553" s="5"/>
      <c r="AC553" s="5">
        <v>0</v>
      </c>
      <c r="AD553" s="5">
        <v>0</v>
      </c>
      <c r="AE553" s="5">
        <v>0</v>
      </c>
      <c r="AF553" s="5">
        <v>1</v>
      </c>
    </row>
    <row r="554" spans="1:32" x14ac:dyDescent="0.2">
      <c r="A554" s="3" t="str">
        <f>+VLOOKUP(B554,studies!$A$2:$C$102,3)</f>
        <v>Kopp et al. (2012)</v>
      </c>
      <c r="B554" s="87">
        <v>78</v>
      </c>
      <c r="C554" s="5">
        <v>2012</v>
      </c>
      <c r="D554" s="5">
        <v>1</v>
      </c>
      <c r="E554" s="48">
        <v>2005</v>
      </c>
      <c r="F554" s="5">
        <v>2015</v>
      </c>
      <c r="G554" s="113">
        <v>6.9444444444444441E-3</v>
      </c>
      <c r="H554" s="7">
        <v>600.43866416339517</v>
      </c>
      <c r="I554" s="5">
        <v>0</v>
      </c>
      <c r="J554" s="5">
        <v>0</v>
      </c>
      <c r="K554" s="5">
        <v>1</v>
      </c>
      <c r="L554" s="7" t="s">
        <v>238</v>
      </c>
      <c r="M554" s="7">
        <v>176.14909790507767</v>
      </c>
      <c r="N554" s="7">
        <v>528.44729371523306</v>
      </c>
      <c r="O554" s="5">
        <v>0</v>
      </c>
      <c r="P554" s="5">
        <v>1</v>
      </c>
      <c r="Q554" s="5">
        <v>0</v>
      </c>
      <c r="R554" s="5">
        <v>1</v>
      </c>
      <c r="S554" s="5">
        <v>0</v>
      </c>
      <c r="T554" s="5">
        <v>1</v>
      </c>
      <c r="U554" s="5">
        <v>0</v>
      </c>
      <c r="V554" s="13">
        <v>3</v>
      </c>
      <c r="W554" s="13">
        <v>0.14000000000000001</v>
      </c>
      <c r="X554" s="5"/>
      <c r="Y554" s="5"/>
      <c r="Z554" s="5"/>
      <c r="AA554" s="5">
        <v>0</v>
      </c>
      <c r="AB554" s="5"/>
      <c r="AC554" s="5">
        <v>0</v>
      </c>
      <c r="AD554" s="5">
        <v>0</v>
      </c>
      <c r="AE554" s="5">
        <v>0</v>
      </c>
      <c r="AF554" s="5">
        <v>1</v>
      </c>
    </row>
    <row r="555" spans="1:32" x14ac:dyDescent="0.2">
      <c r="A555" s="3" t="str">
        <f>+VLOOKUP(B555,studies!$A$2:$C$102,3)</f>
        <v>Kopp et al. (2012)</v>
      </c>
      <c r="B555" s="87">
        <v>78</v>
      </c>
      <c r="C555" s="5">
        <v>2012</v>
      </c>
      <c r="D555" s="5">
        <v>1</v>
      </c>
      <c r="E555" s="48">
        <v>2005</v>
      </c>
      <c r="F555" s="5">
        <v>2015</v>
      </c>
      <c r="G555" s="113">
        <v>6.9444444444444441E-3</v>
      </c>
      <c r="H555" s="7">
        <v>1140.8334619104508</v>
      </c>
      <c r="I555" s="5">
        <v>0</v>
      </c>
      <c r="J555" s="5">
        <v>0</v>
      </c>
      <c r="K555" s="5">
        <v>1</v>
      </c>
      <c r="L555" s="7" t="s">
        <v>238</v>
      </c>
      <c r="M555" s="7">
        <v>329.3222265181887</v>
      </c>
      <c r="N555" s="7">
        <v>903.72145881735491</v>
      </c>
      <c r="O555" s="5">
        <v>0</v>
      </c>
      <c r="P555" s="5">
        <v>1</v>
      </c>
      <c r="Q555" s="5">
        <v>0</v>
      </c>
      <c r="R555" s="5">
        <v>1</v>
      </c>
      <c r="S555" s="5">
        <v>0</v>
      </c>
      <c r="T555" s="5">
        <v>1</v>
      </c>
      <c r="U555" s="5">
        <v>0</v>
      </c>
      <c r="V555" s="13">
        <v>3</v>
      </c>
      <c r="W555" s="13">
        <v>0.14000000000000001</v>
      </c>
      <c r="X555" s="5"/>
      <c r="Y555" s="5"/>
      <c r="Z555" s="5"/>
      <c r="AA555" s="5">
        <v>0</v>
      </c>
      <c r="AB555" s="5"/>
      <c r="AC555" s="5">
        <v>0</v>
      </c>
      <c r="AD555" s="5">
        <v>0</v>
      </c>
      <c r="AE555" s="5">
        <v>0</v>
      </c>
      <c r="AF555" s="5">
        <v>1</v>
      </c>
    </row>
    <row r="556" spans="1:32" x14ac:dyDescent="0.2">
      <c r="A556" s="3" t="str">
        <f>+VLOOKUP(B556,studies!$A$2:$C$102,3)</f>
        <v>Kopp et al. (2012)</v>
      </c>
      <c r="B556" s="87">
        <v>78</v>
      </c>
      <c r="C556" s="5">
        <v>2012</v>
      </c>
      <c r="D556" s="5">
        <v>1</v>
      </c>
      <c r="E556" s="48">
        <v>2005</v>
      </c>
      <c r="F556" s="5">
        <v>2015</v>
      </c>
      <c r="G556" s="113">
        <v>6.9444444444444441E-3</v>
      </c>
      <c r="H556" s="7">
        <v>810.59219662058354</v>
      </c>
      <c r="I556" s="5">
        <v>0</v>
      </c>
      <c r="J556" s="5">
        <v>0</v>
      </c>
      <c r="K556" s="5">
        <v>1</v>
      </c>
      <c r="L556" s="7" t="s">
        <v>238</v>
      </c>
      <c r="M556" s="7">
        <v>229.75969291966652</v>
      </c>
      <c r="N556" s="7">
        <v>704.59639162031067</v>
      </c>
      <c r="O556" s="5">
        <v>0</v>
      </c>
      <c r="P556" s="5">
        <v>1</v>
      </c>
      <c r="Q556" s="5">
        <v>0</v>
      </c>
      <c r="R556" s="5">
        <v>1</v>
      </c>
      <c r="S556" s="5">
        <v>0</v>
      </c>
      <c r="T556" s="5">
        <v>1</v>
      </c>
      <c r="U556" s="5">
        <v>0</v>
      </c>
      <c r="V556" s="13">
        <v>3</v>
      </c>
      <c r="W556" s="13">
        <v>0.14000000000000001</v>
      </c>
      <c r="X556" s="5"/>
      <c r="Y556" s="5"/>
      <c r="Z556" s="5"/>
      <c r="AA556" s="5">
        <v>0</v>
      </c>
      <c r="AB556" s="5"/>
      <c r="AC556" s="5">
        <v>0</v>
      </c>
      <c r="AD556" s="5">
        <v>0</v>
      </c>
      <c r="AE556" s="5">
        <v>0</v>
      </c>
      <c r="AF556" s="5">
        <v>1</v>
      </c>
    </row>
    <row r="557" spans="1:32" x14ac:dyDescent="0.2">
      <c r="A557" s="3" t="str">
        <f>+VLOOKUP(B557,studies!$A$2:$C$102,3)</f>
        <v>Kopp et al. (2012)</v>
      </c>
      <c r="B557" s="87">
        <v>78</v>
      </c>
      <c r="C557" s="5">
        <v>2012</v>
      </c>
      <c r="D557" s="5">
        <v>1</v>
      </c>
      <c r="E557" s="48">
        <v>2005</v>
      </c>
      <c r="F557" s="5">
        <v>2015</v>
      </c>
      <c r="G557" s="113">
        <v>6.9444444444444441E-3</v>
      </c>
      <c r="H557" s="7">
        <v>1666.2172930534218</v>
      </c>
      <c r="I557" s="5">
        <v>0</v>
      </c>
      <c r="J557" s="5">
        <v>0</v>
      </c>
      <c r="K557" s="5">
        <v>1</v>
      </c>
      <c r="L557" s="7" t="s">
        <v>238</v>
      </c>
      <c r="M557" s="7">
        <v>474.83669870064421</v>
      </c>
      <c r="N557" s="7">
        <v>1286.6542803501325</v>
      </c>
      <c r="O557" s="5">
        <v>0</v>
      </c>
      <c r="P557" s="5">
        <v>1</v>
      </c>
      <c r="Q557" s="5">
        <v>0</v>
      </c>
      <c r="R557" s="5">
        <v>1</v>
      </c>
      <c r="S557" s="5">
        <v>0</v>
      </c>
      <c r="T557" s="5">
        <v>1</v>
      </c>
      <c r="U557" s="5">
        <v>0</v>
      </c>
      <c r="V557" s="13">
        <v>3</v>
      </c>
      <c r="W557" s="13">
        <v>0.14000000000000001</v>
      </c>
      <c r="X557" s="5"/>
      <c r="Y557" s="5"/>
      <c r="Z557" s="5"/>
      <c r="AA557" s="5">
        <v>0</v>
      </c>
      <c r="AB557" s="5"/>
      <c r="AC557" s="5">
        <v>0</v>
      </c>
      <c r="AD557" s="5">
        <v>0</v>
      </c>
      <c r="AE557" s="5">
        <v>0</v>
      </c>
      <c r="AF557" s="5">
        <v>1</v>
      </c>
    </row>
    <row r="558" spans="1:32" x14ac:dyDescent="0.2">
      <c r="A558" s="3" t="str">
        <f>+VLOOKUP(B558,studies!$A$2:$C$102,3)</f>
        <v>Kopp et al. (2012)</v>
      </c>
      <c r="B558" s="87">
        <v>78</v>
      </c>
      <c r="C558" s="5">
        <v>2012</v>
      </c>
      <c r="D558" s="5">
        <v>1</v>
      </c>
      <c r="E558" s="48">
        <v>2005</v>
      </c>
      <c r="F558" s="5">
        <v>2015</v>
      </c>
      <c r="G558" s="113">
        <v>6.9444444444444441E-3</v>
      </c>
      <c r="H558" s="7">
        <v>480.35093133071615</v>
      </c>
      <c r="I558" s="5">
        <v>0</v>
      </c>
      <c r="J558" s="5">
        <v>0</v>
      </c>
      <c r="K558" s="5">
        <v>1</v>
      </c>
      <c r="L558" s="7" t="s">
        <v>238</v>
      </c>
      <c r="M558" s="7">
        <v>130.19715932114437</v>
      </c>
      <c r="N558" s="7">
        <v>329.32222651818876</v>
      </c>
      <c r="O558" s="5">
        <v>0</v>
      </c>
      <c r="P558" s="5">
        <v>1</v>
      </c>
      <c r="Q558" s="5">
        <v>0</v>
      </c>
      <c r="R558" s="5">
        <v>1</v>
      </c>
      <c r="S558" s="5">
        <v>0</v>
      </c>
      <c r="T558" s="5">
        <v>1</v>
      </c>
      <c r="U558" s="5">
        <v>0</v>
      </c>
      <c r="V558" s="13">
        <v>3</v>
      </c>
      <c r="W558" s="13">
        <v>0.14000000000000001</v>
      </c>
      <c r="X558" s="5"/>
      <c r="Y558" s="5"/>
      <c r="Z558" s="5"/>
      <c r="AA558" s="5">
        <v>0</v>
      </c>
      <c r="AB558" s="5"/>
      <c r="AC558" s="5">
        <v>0</v>
      </c>
      <c r="AD558" s="5">
        <v>0</v>
      </c>
      <c r="AE558" s="5">
        <v>0</v>
      </c>
      <c r="AF558" s="5">
        <v>1</v>
      </c>
    </row>
    <row r="559" spans="1:32" x14ac:dyDescent="0.2">
      <c r="A559" s="3" t="str">
        <f>+VLOOKUP(B559,studies!$A$2:$C$102,3)</f>
        <v>Kopp et al. (2012)</v>
      </c>
      <c r="B559" s="87">
        <v>78</v>
      </c>
      <c r="C559" s="5">
        <v>2012</v>
      </c>
      <c r="D559" s="5">
        <v>1</v>
      </c>
      <c r="E559" s="48">
        <v>2005</v>
      </c>
      <c r="F559" s="5">
        <v>2015</v>
      </c>
      <c r="G559" s="113">
        <v>6.9444444444444441E-3</v>
      </c>
      <c r="H559" s="7">
        <v>690.50446378790446</v>
      </c>
      <c r="I559" s="5">
        <v>0</v>
      </c>
      <c r="J559" s="5">
        <v>0</v>
      </c>
      <c r="K559" s="5">
        <v>1</v>
      </c>
      <c r="L559" s="7" t="s">
        <v>238</v>
      </c>
      <c r="M559" s="7">
        <v>199.12506719704433</v>
      </c>
      <c r="N559" s="7">
        <v>589.71654516047749</v>
      </c>
      <c r="O559" s="5">
        <v>0</v>
      </c>
      <c r="P559" s="5">
        <v>1</v>
      </c>
      <c r="Q559" s="5">
        <v>0</v>
      </c>
      <c r="R559" s="5">
        <v>1</v>
      </c>
      <c r="S559" s="5">
        <v>0</v>
      </c>
      <c r="T559" s="5">
        <v>1</v>
      </c>
      <c r="U559" s="5">
        <v>0</v>
      </c>
      <c r="V559" s="13">
        <v>3</v>
      </c>
      <c r="W559" s="13">
        <v>0.14000000000000001</v>
      </c>
      <c r="X559" s="5"/>
      <c r="Y559" s="5"/>
      <c r="Z559" s="5"/>
      <c r="AA559" s="5">
        <v>0</v>
      </c>
      <c r="AB559" s="5"/>
      <c r="AC559" s="5">
        <v>0</v>
      </c>
      <c r="AD559" s="5">
        <v>0</v>
      </c>
      <c r="AE559" s="5">
        <v>0</v>
      </c>
      <c r="AF559" s="5">
        <v>1</v>
      </c>
    </row>
    <row r="560" spans="1:32" x14ac:dyDescent="0.2">
      <c r="A560" s="3" t="str">
        <f>+VLOOKUP(B560,studies!$A$2:$C$102,3)</f>
        <v>Kopp et al. (2012)</v>
      </c>
      <c r="B560" s="87">
        <v>78</v>
      </c>
      <c r="C560" s="5">
        <v>2012</v>
      </c>
      <c r="D560" s="5">
        <v>1</v>
      </c>
      <c r="E560" s="48">
        <v>2005</v>
      </c>
      <c r="F560" s="5">
        <v>2015</v>
      </c>
      <c r="G560" s="113">
        <v>6.9444444444444441E-3</v>
      </c>
      <c r="H560" s="7">
        <v>660.48253057973466</v>
      </c>
      <c r="I560" s="5">
        <v>0</v>
      </c>
      <c r="J560" s="5">
        <v>0</v>
      </c>
      <c r="K560" s="5">
        <v>1</v>
      </c>
      <c r="L560" s="7" t="s">
        <v>238</v>
      </c>
      <c r="M560" s="7">
        <v>183.80775433573319</v>
      </c>
      <c r="N560" s="7">
        <v>536.10595014588864</v>
      </c>
      <c r="O560" s="5">
        <v>0</v>
      </c>
      <c r="P560" s="5">
        <v>1</v>
      </c>
      <c r="Q560" s="5">
        <v>0</v>
      </c>
      <c r="R560" s="5">
        <v>1</v>
      </c>
      <c r="S560" s="5">
        <v>0</v>
      </c>
      <c r="T560" s="5">
        <v>1</v>
      </c>
      <c r="U560" s="5">
        <v>0</v>
      </c>
      <c r="V560" s="13">
        <v>3</v>
      </c>
      <c r="W560" s="13">
        <v>0.14000000000000001</v>
      </c>
      <c r="X560" s="5"/>
      <c r="Y560" s="5"/>
      <c r="Z560" s="5"/>
      <c r="AA560" s="5">
        <v>0</v>
      </c>
      <c r="AB560" s="5"/>
      <c r="AC560" s="5">
        <v>0</v>
      </c>
      <c r="AD560" s="5">
        <v>0</v>
      </c>
      <c r="AE560" s="5">
        <v>0</v>
      </c>
      <c r="AF560" s="5">
        <v>1</v>
      </c>
    </row>
    <row r="561" spans="1:32" x14ac:dyDescent="0.2">
      <c r="A561" s="3" t="str">
        <f>+VLOOKUP(B561,studies!$A$2:$C$102,3)</f>
        <v>Kopp et al. (2012)</v>
      </c>
      <c r="B561" s="87">
        <v>78</v>
      </c>
      <c r="C561" s="5">
        <v>2012</v>
      </c>
      <c r="D561" s="5">
        <v>1</v>
      </c>
      <c r="E561" s="48">
        <v>2005</v>
      </c>
      <c r="F561" s="5">
        <v>2015</v>
      </c>
      <c r="G561" s="113">
        <v>6.9444444444444441E-3</v>
      </c>
      <c r="H561" s="7">
        <v>1005.7347624736871</v>
      </c>
      <c r="I561" s="5">
        <v>0</v>
      </c>
      <c r="J561" s="5">
        <v>0</v>
      </c>
      <c r="K561" s="5">
        <v>1</v>
      </c>
      <c r="L561" s="7" t="s">
        <v>238</v>
      </c>
      <c r="M561" s="7">
        <v>367.61550867146644</v>
      </c>
      <c r="N561" s="7">
        <v>3882.9388103423648</v>
      </c>
      <c r="O561" s="5">
        <v>0</v>
      </c>
      <c r="P561" s="5">
        <v>1</v>
      </c>
      <c r="Q561" s="5">
        <v>0</v>
      </c>
      <c r="R561" s="5">
        <v>1</v>
      </c>
      <c r="S561" s="5">
        <v>0</v>
      </c>
      <c r="T561" s="5">
        <v>1</v>
      </c>
      <c r="U561" s="5">
        <v>0</v>
      </c>
      <c r="V561" s="13">
        <v>3</v>
      </c>
      <c r="W561" s="13">
        <v>0.14000000000000001</v>
      </c>
      <c r="X561" s="5"/>
      <c r="Y561" s="5"/>
      <c r="Z561" s="5"/>
      <c r="AA561" s="5">
        <v>0</v>
      </c>
      <c r="AB561" s="5"/>
      <c r="AC561" s="5">
        <v>0</v>
      </c>
      <c r="AD561" s="5">
        <v>0</v>
      </c>
      <c r="AE561" s="5">
        <v>0</v>
      </c>
      <c r="AF561" s="5">
        <v>1</v>
      </c>
    </row>
    <row r="562" spans="1:32" x14ac:dyDescent="0.2">
      <c r="A562" s="3" t="str">
        <f>+VLOOKUP(B562,studies!$A$2:$C$102,3)</f>
        <v>Kopp et al. (2012)</v>
      </c>
      <c r="B562" s="87">
        <v>78</v>
      </c>
      <c r="C562" s="5">
        <v>2012</v>
      </c>
      <c r="D562" s="5">
        <v>1</v>
      </c>
      <c r="E562" s="48">
        <v>2005</v>
      </c>
      <c r="F562" s="5">
        <v>2015</v>
      </c>
      <c r="G562" s="113">
        <v>6.9444444444444441E-3</v>
      </c>
      <c r="H562" s="7">
        <v>300.21933208169759</v>
      </c>
      <c r="I562" s="5">
        <v>0</v>
      </c>
      <c r="J562" s="5">
        <v>0</v>
      </c>
      <c r="K562" s="5">
        <v>1</v>
      </c>
      <c r="L562" s="7" t="s">
        <v>238</v>
      </c>
      <c r="M562" s="7">
        <v>99.56253359852218</v>
      </c>
      <c r="N562" s="7">
        <v>1516.4139732697993</v>
      </c>
      <c r="O562" s="5">
        <v>0</v>
      </c>
      <c r="P562" s="5">
        <v>1</v>
      </c>
      <c r="Q562" s="5">
        <v>0</v>
      </c>
      <c r="R562" s="5">
        <v>1</v>
      </c>
      <c r="S562" s="5">
        <v>0</v>
      </c>
      <c r="T562" s="5">
        <v>1</v>
      </c>
      <c r="U562" s="5">
        <v>0</v>
      </c>
      <c r="V562" s="13">
        <v>3</v>
      </c>
      <c r="W562" s="13">
        <v>0.14000000000000001</v>
      </c>
      <c r="X562" s="5"/>
      <c r="Y562" s="5"/>
      <c r="Z562" s="5"/>
      <c r="AA562" s="5">
        <v>0</v>
      </c>
      <c r="AB562" s="5"/>
      <c r="AC562" s="5">
        <v>0</v>
      </c>
      <c r="AD562" s="5">
        <v>0</v>
      </c>
      <c r="AE562" s="5">
        <v>0</v>
      </c>
      <c r="AF562" s="5">
        <v>1</v>
      </c>
    </row>
    <row r="563" spans="1:32" x14ac:dyDescent="0.2">
      <c r="A563" s="3" t="str">
        <f>+VLOOKUP(B563,studies!$A$2:$C$102,3)</f>
        <v>Kopp et al. (2012)</v>
      </c>
      <c r="B563" s="87">
        <v>78</v>
      </c>
      <c r="C563" s="5">
        <v>2012</v>
      </c>
      <c r="D563" s="5">
        <v>1</v>
      </c>
      <c r="E563" s="48">
        <v>2005</v>
      </c>
      <c r="F563" s="5">
        <v>2015</v>
      </c>
      <c r="G563" s="113">
        <v>6.9444444444444441E-3</v>
      </c>
      <c r="H563" s="7">
        <v>210.15353245718833</v>
      </c>
      <c r="I563" s="5">
        <v>0</v>
      </c>
      <c r="J563" s="5">
        <v>0</v>
      </c>
      <c r="K563" s="5">
        <v>1</v>
      </c>
      <c r="L563" s="7" t="s">
        <v>238</v>
      </c>
      <c r="M563" s="7">
        <v>68.927907875899962</v>
      </c>
      <c r="N563" s="7">
        <v>1501.0966604084881</v>
      </c>
      <c r="O563" s="5">
        <v>0</v>
      </c>
      <c r="P563" s="5">
        <v>1</v>
      </c>
      <c r="Q563" s="5">
        <v>0</v>
      </c>
      <c r="R563" s="5">
        <v>1</v>
      </c>
      <c r="S563" s="5">
        <v>0</v>
      </c>
      <c r="T563" s="5">
        <v>1</v>
      </c>
      <c r="U563" s="5">
        <v>0</v>
      </c>
      <c r="V563" s="13">
        <v>3</v>
      </c>
      <c r="W563" s="13">
        <v>0.14000000000000001</v>
      </c>
      <c r="X563" s="5"/>
      <c r="Y563" s="5"/>
      <c r="Z563" s="5"/>
      <c r="AA563" s="5">
        <v>0</v>
      </c>
      <c r="AB563" s="5"/>
      <c r="AC563" s="5">
        <v>0</v>
      </c>
      <c r="AD563" s="5">
        <v>0</v>
      </c>
      <c r="AE563" s="5">
        <v>0</v>
      </c>
      <c r="AF563" s="5">
        <v>1</v>
      </c>
    </row>
    <row r="564" spans="1:32" x14ac:dyDescent="0.2">
      <c r="A564" s="3" t="str">
        <f>+VLOOKUP(B564,studies!$A$2:$C$102,3)</f>
        <v>Kopp et al. (2012)</v>
      </c>
      <c r="B564" s="87">
        <v>78</v>
      </c>
      <c r="C564" s="5">
        <v>2012</v>
      </c>
      <c r="D564" s="5">
        <v>1</v>
      </c>
      <c r="E564" s="48">
        <v>2005</v>
      </c>
      <c r="F564" s="5">
        <v>2015</v>
      </c>
      <c r="G564" s="113">
        <v>6.9444444444444441E-3</v>
      </c>
      <c r="H564" s="7">
        <v>450.32899812254641</v>
      </c>
      <c r="I564" s="5">
        <v>0</v>
      </c>
      <c r="J564" s="5">
        <v>0</v>
      </c>
      <c r="K564" s="5">
        <v>1</v>
      </c>
      <c r="L564" s="7" t="s">
        <v>238</v>
      </c>
      <c r="M564" s="7">
        <v>153.173128613111</v>
      </c>
      <c r="N564" s="7">
        <v>2129.1064877222434</v>
      </c>
      <c r="O564" s="5">
        <v>0</v>
      </c>
      <c r="P564" s="5">
        <v>1</v>
      </c>
      <c r="Q564" s="5">
        <v>0</v>
      </c>
      <c r="R564" s="5">
        <v>1</v>
      </c>
      <c r="S564" s="5">
        <v>0</v>
      </c>
      <c r="T564" s="5">
        <v>1</v>
      </c>
      <c r="U564" s="5">
        <v>0</v>
      </c>
      <c r="V564" s="13">
        <v>3</v>
      </c>
      <c r="W564" s="13">
        <v>0.14000000000000001</v>
      </c>
      <c r="X564" s="5"/>
      <c r="Y564" s="5"/>
      <c r="Z564" s="5"/>
      <c r="AA564" s="5">
        <v>0</v>
      </c>
      <c r="AB564" s="5"/>
      <c r="AC564" s="5">
        <v>0</v>
      </c>
      <c r="AD564" s="5">
        <v>0</v>
      </c>
      <c r="AE564" s="5">
        <v>0</v>
      </c>
      <c r="AF564" s="5">
        <v>1</v>
      </c>
    </row>
    <row r="565" spans="1:32" x14ac:dyDescent="0.2">
      <c r="A565" s="3" t="str">
        <f>+VLOOKUP(B565,studies!$A$2:$C$102,3)</f>
        <v>Kopp et al. (2012)</v>
      </c>
      <c r="B565" s="87">
        <v>78</v>
      </c>
      <c r="C565" s="5">
        <v>2012</v>
      </c>
      <c r="D565" s="5">
        <v>1</v>
      </c>
      <c r="E565" s="48">
        <v>2005</v>
      </c>
      <c r="F565" s="5">
        <v>2015</v>
      </c>
      <c r="G565" s="113">
        <v>6.9444444444444441E-3</v>
      </c>
      <c r="H565" s="7">
        <v>285.20836547761269</v>
      </c>
      <c r="I565" s="5">
        <v>0</v>
      </c>
      <c r="J565" s="5">
        <v>0</v>
      </c>
      <c r="K565" s="5">
        <v>1</v>
      </c>
      <c r="L565" s="7" t="s">
        <v>238</v>
      </c>
      <c r="M565" s="7">
        <v>91.903877167866611</v>
      </c>
      <c r="N565" s="7">
        <v>1884.0294819412657</v>
      </c>
      <c r="O565" s="5">
        <v>0</v>
      </c>
      <c r="P565" s="5">
        <v>1</v>
      </c>
      <c r="Q565" s="5">
        <v>0</v>
      </c>
      <c r="R565" s="5">
        <v>1</v>
      </c>
      <c r="S565" s="5">
        <v>0</v>
      </c>
      <c r="T565" s="5">
        <v>1</v>
      </c>
      <c r="U565" s="5">
        <v>0</v>
      </c>
      <c r="V565" s="13">
        <v>3</v>
      </c>
      <c r="W565" s="13">
        <v>0.14000000000000001</v>
      </c>
      <c r="X565" s="5"/>
      <c r="Y565" s="5"/>
      <c r="Z565" s="5"/>
      <c r="AA565" s="5">
        <v>0</v>
      </c>
      <c r="AB565" s="5"/>
      <c r="AC565" s="5">
        <v>0</v>
      </c>
      <c r="AD565" s="5">
        <v>0</v>
      </c>
      <c r="AE565" s="5">
        <v>0</v>
      </c>
      <c r="AF565" s="5">
        <v>1</v>
      </c>
    </row>
    <row r="566" spans="1:32" x14ac:dyDescent="0.2">
      <c r="A566" s="3" t="str">
        <f>+VLOOKUP(B566,studies!$A$2:$C$102,3)</f>
        <v>Kopp et al. (2012)</v>
      </c>
      <c r="B566" s="87">
        <v>78</v>
      </c>
      <c r="C566" s="5">
        <v>2012</v>
      </c>
      <c r="D566" s="5">
        <v>1</v>
      </c>
      <c r="E566" s="48">
        <v>2005</v>
      </c>
      <c r="F566" s="5">
        <v>2015</v>
      </c>
      <c r="G566" s="113">
        <v>6.9444444444444441E-3</v>
      </c>
      <c r="H566" s="7">
        <v>150.10966604084879</v>
      </c>
      <c r="I566" s="5">
        <v>0</v>
      </c>
      <c r="J566" s="5">
        <v>0</v>
      </c>
      <c r="K566" s="5">
        <v>1</v>
      </c>
      <c r="L566" s="7" t="s">
        <v>238</v>
      </c>
      <c r="M566" s="7">
        <v>68.927907875899962</v>
      </c>
      <c r="N566" s="7">
        <v>4143.3331289846528</v>
      </c>
      <c r="O566" s="5">
        <v>0</v>
      </c>
      <c r="P566" s="5">
        <v>1</v>
      </c>
      <c r="Q566" s="5">
        <v>0</v>
      </c>
      <c r="R566" s="5">
        <v>1</v>
      </c>
      <c r="S566" s="5">
        <v>0</v>
      </c>
      <c r="T566" s="5">
        <v>1</v>
      </c>
      <c r="U566" s="5">
        <v>0</v>
      </c>
      <c r="V566" s="13">
        <v>3</v>
      </c>
      <c r="W566" s="13">
        <v>0.14000000000000001</v>
      </c>
      <c r="X566" s="5"/>
      <c r="Y566" s="5"/>
      <c r="Z566" s="5"/>
      <c r="AA566" s="5">
        <v>0</v>
      </c>
      <c r="AB566" s="5"/>
      <c r="AC566" s="5">
        <v>0</v>
      </c>
      <c r="AD566" s="5">
        <v>0</v>
      </c>
      <c r="AE566" s="5">
        <v>0</v>
      </c>
      <c r="AF566" s="5">
        <v>1</v>
      </c>
    </row>
    <row r="567" spans="1:32" x14ac:dyDescent="0.2">
      <c r="A567" s="3" t="str">
        <f>+VLOOKUP(B567,studies!$A$2:$C$102,3)</f>
        <v>Kopp et al. (2012)</v>
      </c>
      <c r="B567" s="87">
        <v>78</v>
      </c>
      <c r="C567" s="5">
        <v>2012</v>
      </c>
      <c r="D567" s="5">
        <v>1</v>
      </c>
      <c r="E567" s="48">
        <v>2005</v>
      </c>
      <c r="F567" s="5">
        <v>2015</v>
      </c>
      <c r="G567" s="113">
        <v>6.9444444444444441E-3</v>
      </c>
      <c r="H567" s="7">
        <v>120.08773283267904</v>
      </c>
      <c r="I567" s="5">
        <v>0</v>
      </c>
      <c r="J567" s="5">
        <v>0</v>
      </c>
      <c r="K567" s="5">
        <v>1</v>
      </c>
      <c r="L567" s="7" t="s">
        <v>238</v>
      </c>
      <c r="M567" s="7">
        <v>53.61059501458886</v>
      </c>
      <c r="N567" s="7">
        <v>3163.0251058607423</v>
      </c>
      <c r="O567" s="5">
        <v>0</v>
      </c>
      <c r="P567" s="5">
        <v>1</v>
      </c>
      <c r="Q567" s="5">
        <v>0</v>
      </c>
      <c r="R567" s="5">
        <v>1</v>
      </c>
      <c r="S567" s="5">
        <v>0</v>
      </c>
      <c r="T567" s="5">
        <v>1</v>
      </c>
      <c r="U567" s="5">
        <v>0</v>
      </c>
      <c r="V567" s="13">
        <v>3</v>
      </c>
      <c r="W567" s="13">
        <v>0.14000000000000001</v>
      </c>
      <c r="X567" s="5"/>
      <c r="Y567" s="5"/>
      <c r="Z567" s="5"/>
      <c r="AA567" s="5">
        <v>0</v>
      </c>
      <c r="AB567" s="5"/>
      <c r="AC567" s="5">
        <v>0</v>
      </c>
      <c r="AD567" s="5">
        <v>0</v>
      </c>
      <c r="AE567" s="5">
        <v>0</v>
      </c>
      <c r="AF567" s="5">
        <v>1</v>
      </c>
    </row>
    <row r="568" spans="1:32" x14ac:dyDescent="0.2">
      <c r="A568" s="3" t="str">
        <f>+VLOOKUP(B568,studies!$A$2:$C$102,3)</f>
        <v>Kopp et al. (2012)</v>
      </c>
      <c r="B568" s="87">
        <v>78</v>
      </c>
      <c r="C568" s="5">
        <v>2012</v>
      </c>
      <c r="D568" s="5">
        <v>1</v>
      </c>
      <c r="E568" s="48">
        <v>2005</v>
      </c>
      <c r="F568" s="5">
        <v>2015</v>
      </c>
      <c r="G568" s="113">
        <v>6.9444444444444441E-3</v>
      </c>
      <c r="H568" s="7">
        <v>150.10966604084879</v>
      </c>
      <c r="I568" s="5">
        <v>0</v>
      </c>
      <c r="J568" s="5">
        <v>0</v>
      </c>
      <c r="K568" s="5">
        <v>1</v>
      </c>
      <c r="L568" s="7" t="s">
        <v>238</v>
      </c>
      <c r="M568" s="7">
        <v>68.927907875899962</v>
      </c>
      <c r="N568" s="7">
        <v>4066.7465646780979</v>
      </c>
      <c r="O568" s="5">
        <v>0</v>
      </c>
      <c r="P568" s="5">
        <v>1</v>
      </c>
      <c r="Q568" s="5">
        <v>0</v>
      </c>
      <c r="R568" s="5">
        <v>1</v>
      </c>
      <c r="S568" s="5">
        <v>0</v>
      </c>
      <c r="T568" s="5">
        <v>1</v>
      </c>
      <c r="U568" s="5">
        <v>0</v>
      </c>
      <c r="V568" s="13">
        <v>3</v>
      </c>
      <c r="W568" s="13">
        <v>0.14000000000000001</v>
      </c>
      <c r="X568" s="5"/>
      <c r="Y568" s="5"/>
      <c r="Z568" s="5"/>
      <c r="AA568" s="5">
        <v>0</v>
      </c>
      <c r="AB568" s="5"/>
      <c r="AC568" s="5">
        <v>0</v>
      </c>
      <c r="AD568" s="5">
        <v>0</v>
      </c>
      <c r="AE568" s="5">
        <v>0</v>
      </c>
      <c r="AF568" s="5">
        <v>1</v>
      </c>
    </row>
    <row r="569" spans="1:32" x14ac:dyDescent="0.2">
      <c r="A569" s="3" t="str">
        <f>+VLOOKUP(B569,studies!$A$2:$C$102,3)</f>
        <v>Kopp et al. (2012)</v>
      </c>
      <c r="B569" s="87">
        <v>78</v>
      </c>
      <c r="C569" s="5">
        <v>2012</v>
      </c>
      <c r="D569" s="5">
        <v>1</v>
      </c>
      <c r="E569" s="48">
        <v>2005</v>
      </c>
      <c r="F569" s="5">
        <v>2015</v>
      </c>
      <c r="G569" s="113">
        <v>6.9444444444444441E-3</v>
      </c>
      <c r="H569" s="7">
        <v>150.10966604084879</v>
      </c>
      <c r="I569" s="5">
        <v>0</v>
      </c>
      <c r="J569" s="5">
        <v>0</v>
      </c>
      <c r="K569" s="5">
        <v>1</v>
      </c>
      <c r="L569" s="7" t="s">
        <v>238</v>
      </c>
      <c r="M569" s="7">
        <v>68.927907875899962</v>
      </c>
      <c r="N569" s="7">
        <v>4074.4052211087533</v>
      </c>
      <c r="O569" s="5">
        <v>0</v>
      </c>
      <c r="P569" s="5">
        <v>1</v>
      </c>
      <c r="Q569" s="5">
        <v>0</v>
      </c>
      <c r="R569" s="5">
        <v>1</v>
      </c>
      <c r="S569" s="5">
        <v>0</v>
      </c>
      <c r="T569" s="5">
        <v>1</v>
      </c>
      <c r="U569" s="5">
        <v>0</v>
      </c>
      <c r="V569" s="13">
        <v>3</v>
      </c>
      <c r="W569" s="13">
        <v>0.14000000000000001</v>
      </c>
      <c r="X569" s="5"/>
      <c r="Y569" s="5"/>
      <c r="Z569" s="5"/>
      <c r="AA569" s="5">
        <v>0</v>
      </c>
      <c r="AB569" s="5"/>
      <c r="AC569" s="5">
        <v>0</v>
      </c>
      <c r="AD569" s="5">
        <v>0</v>
      </c>
      <c r="AE569" s="5">
        <v>0</v>
      </c>
      <c r="AF569" s="5">
        <v>1</v>
      </c>
    </row>
    <row r="570" spans="1:32" x14ac:dyDescent="0.2">
      <c r="A570" s="3" t="str">
        <f>+VLOOKUP(B570,studies!$A$2:$C$102,3)</f>
        <v>Kopp et al. (2012)</v>
      </c>
      <c r="B570" s="87">
        <v>78</v>
      </c>
      <c r="C570" s="5">
        <v>2012</v>
      </c>
      <c r="D570" s="5">
        <v>1</v>
      </c>
      <c r="E570" s="48">
        <v>2005</v>
      </c>
      <c r="F570" s="5">
        <v>2015</v>
      </c>
      <c r="G570" s="113">
        <v>6.9444444444444441E-3</v>
      </c>
      <c r="H570" s="7">
        <v>855.62509643283818</v>
      </c>
      <c r="I570" s="5">
        <v>0</v>
      </c>
      <c r="J570" s="5">
        <v>0</v>
      </c>
      <c r="K570" s="5">
        <v>1</v>
      </c>
      <c r="L570" s="7" t="s">
        <v>238</v>
      </c>
      <c r="M570" s="7">
        <v>252.73566221163318</v>
      </c>
      <c r="N570" s="7">
        <v>964.99071026259946</v>
      </c>
      <c r="O570" s="5">
        <v>0</v>
      </c>
      <c r="P570" s="5">
        <v>1</v>
      </c>
      <c r="Q570" s="5">
        <v>0</v>
      </c>
      <c r="R570" s="5">
        <v>1</v>
      </c>
      <c r="S570" s="5">
        <v>0</v>
      </c>
      <c r="T570" s="5">
        <v>1</v>
      </c>
      <c r="U570" s="5">
        <v>0</v>
      </c>
      <c r="V570" s="13">
        <v>3</v>
      </c>
      <c r="W570" s="13">
        <v>-1.1000000000000001</v>
      </c>
      <c r="X570" s="5"/>
      <c r="Y570" s="5"/>
      <c r="Z570" s="5"/>
      <c r="AA570" s="5">
        <v>0</v>
      </c>
      <c r="AB570" s="5"/>
      <c r="AC570" s="5">
        <v>0</v>
      </c>
      <c r="AD570" s="5">
        <v>0</v>
      </c>
      <c r="AE570" s="5">
        <v>0</v>
      </c>
      <c r="AF570" s="5">
        <v>1</v>
      </c>
    </row>
    <row r="571" spans="1:32" x14ac:dyDescent="0.2">
      <c r="A571" s="3" t="str">
        <f>+VLOOKUP(B571,studies!$A$2:$C$102,3)</f>
        <v>Kopp et al. (2012)</v>
      </c>
      <c r="B571" s="87">
        <v>78</v>
      </c>
      <c r="C571" s="5">
        <v>2012</v>
      </c>
      <c r="D571" s="5">
        <v>1</v>
      </c>
      <c r="E571" s="48">
        <v>2005</v>
      </c>
      <c r="F571" s="5">
        <v>2015</v>
      </c>
      <c r="G571" s="113">
        <v>6.9444444444444441E-3</v>
      </c>
      <c r="H571" s="7">
        <v>915.66896284917766</v>
      </c>
      <c r="I571" s="5">
        <v>0</v>
      </c>
      <c r="J571" s="5">
        <v>0</v>
      </c>
      <c r="K571" s="5">
        <v>1</v>
      </c>
      <c r="L571" s="7" t="s">
        <v>238</v>
      </c>
      <c r="M571" s="7">
        <v>283.37028793425537</v>
      </c>
      <c r="N571" s="7">
        <v>1424.5100961019327</v>
      </c>
      <c r="O571" s="5">
        <v>0</v>
      </c>
      <c r="P571" s="5">
        <v>1</v>
      </c>
      <c r="Q571" s="5">
        <v>0</v>
      </c>
      <c r="R571" s="5">
        <v>1</v>
      </c>
      <c r="S571" s="5">
        <v>0</v>
      </c>
      <c r="T571" s="5">
        <v>1</v>
      </c>
      <c r="U571" s="5">
        <v>0</v>
      </c>
      <c r="V571" s="13">
        <v>3</v>
      </c>
      <c r="W571" s="13">
        <v>-1.1000000000000001</v>
      </c>
      <c r="X571" s="5"/>
      <c r="Y571" s="5"/>
      <c r="Z571" s="5"/>
      <c r="AA571" s="5">
        <v>0</v>
      </c>
      <c r="AB571" s="5"/>
      <c r="AC571" s="5">
        <v>0</v>
      </c>
      <c r="AD571" s="5">
        <v>0</v>
      </c>
      <c r="AE571" s="5">
        <v>0</v>
      </c>
      <c r="AF571" s="5">
        <v>1</v>
      </c>
    </row>
    <row r="572" spans="1:32" x14ac:dyDescent="0.2">
      <c r="A572" s="3" t="str">
        <f>+VLOOKUP(B572,studies!$A$2:$C$102,3)</f>
        <v>Kopp et al. (2012)</v>
      </c>
      <c r="B572" s="87">
        <v>78</v>
      </c>
      <c r="C572" s="5">
        <v>2012</v>
      </c>
      <c r="D572" s="5">
        <v>1</v>
      </c>
      <c r="E572" s="48">
        <v>2005</v>
      </c>
      <c r="F572" s="5">
        <v>2015</v>
      </c>
      <c r="G572" s="113">
        <v>6.9444444444444441E-3</v>
      </c>
      <c r="H572" s="7">
        <v>750.54833020424405</v>
      </c>
      <c r="I572" s="5">
        <v>0</v>
      </c>
      <c r="J572" s="5">
        <v>0</v>
      </c>
      <c r="K572" s="5">
        <v>1</v>
      </c>
      <c r="L572" s="7" t="s">
        <v>238</v>
      </c>
      <c r="M572" s="7">
        <v>229.75969291966655</v>
      </c>
      <c r="N572" s="7">
        <v>834.79355094145512</v>
      </c>
      <c r="O572" s="5">
        <v>0</v>
      </c>
      <c r="P572" s="5">
        <v>1</v>
      </c>
      <c r="Q572" s="5">
        <v>0</v>
      </c>
      <c r="R572" s="5">
        <v>1</v>
      </c>
      <c r="S572" s="5">
        <v>0</v>
      </c>
      <c r="T572" s="5">
        <v>1</v>
      </c>
      <c r="U572" s="5">
        <v>0</v>
      </c>
      <c r="V572" s="13">
        <v>3</v>
      </c>
      <c r="W572" s="13">
        <v>-1.1000000000000001</v>
      </c>
      <c r="X572" s="5"/>
      <c r="Y572" s="5"/>
      <c r="Z572" s="5"/>
      <c r="AA572" s="5">
        <v>0</v>
      </c>
      <c r="AB572" s="5"/>
      <c r="AC572" s="5">
        <v>0</v>
      </c>
      <c r="AD572" s="5">
        <v>0</v>
      </c>
      <c r="AE572" s="5">
        <v>0</v>
      </c>
      <c r="AF572" s="5">
        <v>1</v>
      </c>
    </row>
    <row r="573" spans="1:32" x14ac:dyDescent="0.2">
      <c r="A573" s="3" t="str">
        <f>+VLOOKUP(B573,studies!$A$2:$C$102,3)</f>
        <v>Kopp et al. (2012)</v>
      </c>
      <c r="B573" s="87">
        <v>78</v>
      </c>
      <c r="C573" s="5">
        <v>2012</v>
      </c>
      <c r="D573" s="5">
        <v>1</v>
      </c>
      <c r="E573" s="48">
        <v>2005</v>
      </c>
      <c r="F573" s="5">
        <v>2015</v>
      </c>
      <c r="G573" s="113">
        <v>6.9444444444444441E-3</v>
      </c>
      <c r="H573" s="7">
        <v>1921.4037253228646</v>
      </c>
      <c r="I573" s="5">
        <v>0</v>
      </c>
      <c r="J573" s="5">
        <v>0</v>
      </c>
      <c r="K573" s="5">
        <v>1</v>
      </c>
      <c r="L573" s="7" t="s">
        <v>238</v>
      </c>
      <c r="M573" s="7">
        <v>605.03385802178855</v>
      </c>
      <c r="N573" s="7">
        <v>2596.2845299922319</v>
      </c>
      <c r="O573" s="5">
        <v>0</v>
      </c>
      <c r="P573" s="5">
        <v>1</v>
      </c>
      <c r="Q573" s="5">
        <v>0</v>
      </c>
      <c r="R573" s="5">
        <v>1</v>
      </c>
      <c r="S573" s="5">
        <v>0</v>
      </c>
      <c r="T573" s="5">
        <v>1</v>
      </c>
      <c r="U573" s="5">
        <v>0</v>
      </c>
      <c r="V573" s="13">
        <v>3</v>
      </c>
      <c r="W573" s="13">
        <v>-1.1000000000000001</v>
      </c>
      <c r="X573" s="5"/>
      <c r="Y573" s="5"/>
      <c r="Z573" s="5"/>
      <c r="AA573" s="5">
        <v>0</v>
      </c>
      <c r="AB573" s="5"/>
      <c r="AC573" s="5">
        <v>0</v>
      </c>
      <c r="AD573" s="5">
        <v>0</v>
      </c>
      <c r="AE573" s="5">
        <v>0</v>
      </c>
      <c r="AF573" s="5">
        <v>1</v>
      </c>
    </row>
    <row r="574" spans="1:32" x14ac:dyDescent="0.2">
      <c r="A574" s="3" t="str">
        <f>+VLOOKUP(B574,studies!$A$2:$C$102,3)</f>
        <v>Kopp et al. (2012)</v>
      </c>
      <c r="B574" s="87">
        <v>78</v>
      </c>
      <c r="C574" s="5">
        <v>2012</v>
      </c>
      <c r="D574" s="5">
        <v>1</v>
      </c>
      <c r="E574" s="48">
        <v>2005</v>
      </c>
      <c r="F574" s="5">
        <v>2015</v>
      </c>
      <c r="G574" s="113">
        <v>6.9444444444444441E-3</v>
      </c>
      <c r="H574" s="7">
        <v>1921.4037253228646</v>
      </c>
      <c r="I574" s="5">
        <v>0</v>
      </c>
      <c r="J574" s="5">
        <v>0</v>
      </c>
      <c r="K574" s="5">
        <v>1</v>
      </c>
      <c r="L574" s="7" t="s">
        <v>238</v>
      </c>
      <c r="M574" s="7">
        <v>605.03385802178855</v>
      </c>
      <c r="N574" s="7">
        <v>2596.2845299922319</v>
      </c>
      <c r="O574" s="5">
        <v>0</v>
      </c>
      <c r="P574" s="5">
        <v>1</v>
      </c>
      <c r="Q574" s="5">
        <v>0</v>
      </c>
      <c r="R574" s="5">
        <v>1</v>
      </c>
      <c r="S574" s="5">
        <v>0</v>
      </c>
      <c r="T574" s="5">
        <v>1</v>
      </c>
      <c r="U574" s="5">
        <v>0</v>
      </c>
      <c r="V574" s="13">
        <v>3</v>
      </c>
      <c r="W574" s="13">
        <v>-1.1000000000000001</v>
      </c>
      <c r="X574" s="5"/>
      <c r="Y574" s="5"/>
      <c r="Z574" s="5"/>
      <c r="AA574" s="5">
        <v>0</v>
      </c>
      <c r="AB574" s="5"/>
      <c r="AC574" s="5">
        <v>0</v>
      </c>
      <c r="AD574" s="5">
        <v>0</v>
      </c>
      <c r="AE574" s="5">
        <v>0</v>
      </c>
      <c r="AF574" s="5">
        <v>1</v>
      </c>
    </row>
    <row r="575" spans="1:32" x14ac:dyDescent="0.2">
      <c r="A575" s="3" t="str">
        <f>+VLOOKUP(B575,studies!$A$2:$C$102,3)</f>
        <v>Kopp et al. (2012)</v>
      </c>
      <c r="B575" s="87">
        <v>78</v>
      </c>
      <c r="C575" s="5">
        <v>2012</v>
      </c>
      <c r="D575" s="5">
        <v>1</v>
      </c>
      <c r="E575" s="48">
        <v>2005</v>
      </c>
      <c r="F575" s="5">
        <v>2015</v>
      </c>
      <c r="G575" s="113">
        <v>6.9444444444444441E-3</v>
      </c>
      <c r="H575" s="7">
        <v>4143.0267827274265</v>
      </c>
      <c r="I575" s="5">
        <v>0</v>
      </c>
      <c r="J575" s="5">
        <v>0</v>
      </c>
      <c r="K575" s="5">
        <v>1</v>
      </c>
      <c r="L575" s="7" t="s">
        <v>238</v>
      </c>
      <c r="M575" s="7">
        <v>1370.8995010873437</v>
      </c>
      <c r="N575" s="7">
        <v>6708.9830332542633</v>
      </c>
      <c r="O575" s="5">
        <v>0</v>
      </c>
      <c r="P575" s="5">
        <v>1</v>
      </c>
      <c r="Q575" s="5">
        <v>0</v>
      </c>
      <c r="R575" s="5">
        <v>1</v>
      </c>
      <c r="S575" s="5">
        <v>0</v>
      </c>
      <c r="T575" s="5">
        <v>1</v>
      </c>
      <c r="U575" s="5">
        <v>0</v>
      </c>
      <c r="V575" s="13">
        <v>3</v>
      </c>
      <c r="W575" s="13">
        <v>-1.1000000000000001</v>
      </c>
      <c r="X575" s="5"/>
      <c r="Y575" s="5"/>
      <c r="Z575" s="5"/>
      <c r="AA575" s="5">
        <v>0</v>
      </c>
      <c r="AB575" s="5"/>
      <c r="AC575" s="5">
        <v>0</v>
      </c>
      <c r="AD575" s="5">
        <v>0</v>
      </c>
      <c r="AE575" s="5">
        <v>0</v>
      </c>
      <c r="AF575" s="5">
        <v>1</v>
      </c>
    </row>
    <row r="576" spans="1:32" x14ac:dyDescent="0.2">
      <c r="A576" s="3" t="str">
        <f>+VLOOKUP(B576,studies!$A$2:$C$102,3)</f>
        <v>Kopp et al. (2012)</v>
      </c>
      <c r="B576" s="87">
        <v>78</v>
      </c>
      <c r="C576" s="5">
        <v>2012</v>
      </c>
      <c r="D576" s="5">
        <v>1</v>
      </c>
      <c r="E576" s="48">
        <v>2005</v>
      </c>
      <c r="F576" s="5">
        <v>2015</v>
      </c>
      <c r="G576" s="113">
        <v>6.9444444444444441E-3</v>
      </c>
      <c r="H576" s="7">
        <v>540.39479774705569</v>
      </c>
      <c r="I576" s="5">
        <v>0</v>
      </c>
      <c r="J576" s="5">
        <v>0</v>
      </c>
      <c r="K576" s="5">
        <v>1</v>
      </c>
      <c r="L576" s="7" t="s">
        <v>238</v>
      </c>
      <c r="M576" s="7">
        <v>145.51447218245548</v>
      </c>
      <c r="N576" s="7">
        <v>467.17804226998857</v>
      </c>
      <c r="O576" s="5">
        <v>0</v>
      </c>
      <c r="P576" s="5">
        <v>1</v>
      </c>
      <c r="Q576" s="5">
        <v>0</v>
      </c>
      <c r="R576" s="5">
        <v>1</v>
      </c>
      <c r="S576" s="5">
        <v>0</v>
      </c>
      <c r="T576" s="5">
        <v>1</v>
      </c>
      <c r="U576" s="5">
        <v>0</v>
      </c>
      <c r="V576" s="13">
        <v>3</v>
      </c>
      <c r="W576" s="13">
        <v>-1.1000000000000001</v>
      </c>
      <c r="X576" s="5"/>
      <c r="Y576" s="5"/>
      <c r="Z576" s="5"/>
      <c r="AA576" s="5">
        <v>0</v>
      </c>
      <c r="AB576" s="5"/>
      <c r="AC576" s="5">
        <v>0</v>
      </c>
      <c r="AD576" s="5">
        <v>0</v>
      </c>
      <c r="AE576" s="5">
        <v>0</v>
      </c>
      <c r="AF576" s="5">
        <v>1</v>
      </c>
    </row>
    <row r="577" spans="1:32" x14ac:dyDescent="0.2">
      <c r="A577" s="3" t="str">
        <f>+VLOOKUP(B577,studies!$A$2:$C$102,3)</f>
        <v>Kopp et al. (2012)</v>
      </c>
      <c r="B577" s="87">
        <v>78</v>
      </c>
      <c r="C577" s="5">
        <v>2012</v>
      </c>
      <c r="D577" s="5">
        <v>1</v>
      </c>
      <c r="E577" s="48">
        <v>2005</v>
      </c>
      <c r="F577" s="5">
        <v>2015</v>
      </c>
      <c r="G577" s="113">
        <v>6.9444444444444441E-3</v>
      </c>
      <c r="H577" s="7">
        <v>900.65799624509282</v>
      </c>
      <c r="I577" s="5">
        <v>0</v>
      </c>
      <c r="J577" s="5">
        <v>0</v>
      </c>
      <c r="K577" s="5">
        <v>1</v>
      </c>
      <c r="L577" s="7" t="s">
        <v>238</v>
      </c>
      <c r="M577" s="7">
        <v>275.71163150359985</v>
      </c>
      <c r="N577" s="7">
        <v>1018.6013052771883</v>
      </c>
      <c r="O577" s="5">
        <v>0</v>
      </c>
      <c r="P577" s="5">
        <v>1</v>
      </c>
      <c r="Q577" s="5">
        <v>0</v>
      </c>
      <c r="R577" s="5">
        <v>1</v>
      </c>
      <c r="S577" s="5">
        <v>0</v>
      </c>
      <c r="T577" s="5">
        <v>1</v>
      </c>
      <c r="U577" s="5">
        <v>0</v>
      </c>
      <c r="V577" s="13">
        <v>3</v>
      </c>
      <c r="W577" s="13">
        <v>-1.1000000000000001</v>
      </c>
      <c r="X577" s="5"/>
      <c r="Y577" s="5"/>
      <c r="Z577" s="5"/>
      <c r="AA577" s="5">
        <v>0</v>
      </c>
      <c r="AB577" s="5"/>
      <c r="AC577" s="5">
        <v>0</v>
      </c>
      <c r="AD577" s="5">
        <v>0</v>
      </c>
      <c r="AE577" s="5">
        <v>0</v>
      </c>
      <c r="AF577" s="5">
        <v>1</v>
      </c>
    </row>
    <row r="578" spans="1:32" x14ac:dyDescent="0.2">
      <c r="A578" s="3" t="str">
        <f>+VLOOKUP(B578,studies!$A$2:$C$102,3)</f>
        <v>Kopp et al. (2012)</v>
      </c>
      <c r="B578" s="87">
        <v>78</v>
      </c>
      <c r="C578" s="5">
        <v>2012</v>
      </c>
      <c r="D578" s="5">
        <v>1</v>
      </c>
      <c r="E578" s="48">
        <v>2005</v>
      </c>
      <c r="F578" s="5">
        <v>2015</v>
      </c>
      <c r="G578" s="113">
        <v>6.9444444444444441E-3</v>
      </c>
      <c r="H578" s="7">
        <v>855.62509643283818</v>
      </c>
      <c r="I578" s="5">
        <v>0</v>
      </c>
      <c r="J578" s="5">
        <v>0</v>
      </c>
      <c r="K578" s="5">
        <v>1</v>
      </c>
      <c r="L578" s="7" t="s">
        <v>238</v>
      </c>
      <c r="M578" s="7">
        <v>252.73566221163318</v>
      </c>
      <c r="N578" s="7">
        <v>964.99071026259946</v>
      </c>
      <c r="O578" s="5">
        <v>0</v>
      </c>
      <c r="P578" s="5">
        <v>1</v>
      </c>
      <c r="Q578" s="5">
        <v>0</v>
      </c>
      <c r="R578" s="5">
        <v>1</v>
      </c>
      <c r="S578" s="5">
        <v>0</v>
      </c>
      <c r="T578" s="5">
        <v>1</v>
      </c>
      <c r="U578" s="5">
        <v>0</v>
      </c>
      <c r="V578" s="13">
        <v>3</v>
      </c>
      <c r="W578" s="13">
        <v>-1.1000000000000001</v>
      </c>
      <c r="X578" s="5"/>
      <c r="Y578" s="5"/>
      <c r="Z578" s="5"/>
      <c r="AA578" s="5">
        <v>0</v>
      </c>
      <c r="AB578" s="5"/>
      <c r="AC578" s="5">
        <v>0</v>
      </c>
      <c r="AD578" s="5">
        <v>0</v>
      </c>
      <c r="AE578" s="5">
        <v>0</v>
      </c>
      <c r="AF578" s="5">
        <v>1</v>
      </c>
    </row>
    <row r="579" spans="1:32" x14ac:dyDescent="0.2">
      <c r="A579" s="3" t="str">
        <f>+VLOOKUP(B579,studies!$A$2:$C$102,3)</f>
        <v>Kopp et al. (2012)</v>
      </c>
      <c r="B579" s="87">
        <v>78</v>
      </c>
      <c r="C579" s="5">
        <v>2012</v>
      </c>
      <c r="D579" s="5">
        <v>1</v>
      </c>
      <c r="E579" s="48">
        <v>2005</v>
      </c>
      <c r="F579" s="5">
        <v>2015</v>
      </c>
      <c r="G579" s="113">
        <v>6.9444444444444441E-3</v>
      </c>
      <c r="H579" s="7">
        <v>1411.0308607839788</v>
      </c>
      <c r="I579" s="5">
        <v>0</v>
      </c>
      <c r="J579" s="5">
        <v>0</v>
      </c>
      <c r="K579" s="5">
        <v>1</v>
      </c>
      <c r="L579" s="7" t="s">
        <v>238</v>
      </c>
      <c r="M579" s="7">
        <v>543.76460657654411</v>
      </c>
      <c r="N579" s="7">
        <v>14015.341268099659</v>
      </c>
      <c r="O579" s="5">
        <v>0</v>
      </c>
      <c r="P579" s="5">
        <v>1</v>
      </c>
      <c r="Q579" s="5">
        <v>0</v>
      </c>
      <c r="R579" s="5">
        <v>1</v>
      </c>
      <c r="S579" s="5">
        <v>0</v>
      </c>
      <c r="T579" s="5">
        <v>1</v>
      </c>
      <c r="U579" s="5">
        <v>0</v>
      </c>
      <c r="V579" s="13">
        <v>3</v>
      </c>
      <c r="W579" s="13">
        <v>-1.1000000000000001</v>
      </c>
      <c r="X579" s="5"/>
      <c r="Y579" s="5"/>
      <c r="Z579" s="5"/>
      <c r="AA579" s="5">
        <v>0</v>
      </c>
      <c r="AB579" s="5"/>
      <c r="AC579" s="5">
        <v>0</v>
      </c>
      <c r="AD579" s="5">
        <v>0</v>
      </c>
      <c r="AE579" s="5">
        <v>0</v>
      </c>
      <c r="AF579" s="5">
        <v>1</v>
      </c>
    </row>
    <row r="580" spans="1:32" x14ac:dyDescent="0.2">
      <c r="A580" s="3" t="str">
        <f>+VLOOKUP(B580,studies!$A$2:$C$102,3)</f>
        <v>Kopp et al. (2012)</v>
      </c>
      <c r="B580" s="87">
        <v>78</v>
      </c>
      <c r="C580" s="5">
        <v>2012</v>
      </c>
      <c r="D580" s="5">
        <v>1</v>
      </c>
      <c r="E580" s="48">
        <v>2005</v>
      </c>
      <c r="F580" s="5">
        <v>2015</v>
      </c>
      <c r="G580" s="113">
        <v>6.9444444444444441E-3</v>
      </c>
      <c r="H580" s="7">
        <v>390.28513170620693</v>
      </c>
      <c r="I580" s="5">
        <v>0</v>
      </c>
      <c r="J580" s="5">
        <v>0</v>
      </c>
      <c r="K580" s="5">
        <v>1</v>
      </c>
      <c r="L580" s="7" t="s">
        <v>238</v>
      </c>
      <c r="M580" s="7">
        <v>137.85581575179995</v>
      </c>
      <c r="N580" s="7">
        <v>1929.9814205251989</v>
      </c>
      <c r="O580" s="5">
        <v>0</v>
      </c>
      <c r="P580" s="5">
        <v>1</v>
      </c>
      <c r="Q580" s="5">
        <v>0</v>
      </c>
      <c r="R580" s="5">
        <v>1</v>
      </c>
      <c r="S580" s="5">
        <v>0</v>
      </c>
      <c r="T580" s="5">
        <v>1</v>
      </c>
      <c r="U580" s="5">
        <v>0</v>
      </c>
      <c r="V580" s="13">
        <v>3</v>
      </c>
      <c r="W580" s="13">
        <v>-1.1000000000000001</v>
      </c>
      <c r="X580" s="5"/>
      <c r="Y580" s="5"/>
      <c r="Z580" s="5"/>
      <c r="AA580" s="5">
        <v>0</v>
      </c>
      <c r="AB580" s="5"/>
      <c r="AC580" s="5">
        <v>0</v>
      </c>
      <c r="AD580" s="5">
        <v>0</v>
      </c>
      <c r="AE580" s="5">
        <v>0</v>
      </c>
      <c r="AF580" s="5">
        <v>1</v>
      </c>
    </row>
    <row r="581" spans="1:32" x14ac:dyDescent="0.2">
      <c r="A581" s="3" t="str">
        <f>+VLOOKUP(B581,studies!$A$2:$C$102,3)</f>
        <v>Kopp et al. (2012)</v>
      </c>
      <c r="B581" s="87">
        <v>78</v>
      </c>
      <c r="C581" s="5">
        <v>2012</v>
      </c>
      <c r="D581" s="5">
        <v>1</v>
      </c>
      <c r="E581" s="48">
        <v>2005</v>
      </c>
      <c r="F581" s="5">
        <v>2015</v>
      </c>
      <c r="G581" s="113">
        <v>6.9444444444444441E-3</v>
      </c>
      <c r="H581" s="7">
        <v>240.17546566535808</v>
      </c>
      <c r="I581" s="5">
        <v>0</v>
      </c>
      <c r="J581" s="5">
        <v>0</v>
      </c>
      <c r="K581" s="5">
        <v>1</v>
      </c>
      <c r="L581" s="7" t="s">
        <v>238</v>
      </c>
      <c r="M581" s="7">
        <v>76.586564306555516</v>
      </c>
      <c r="N581" s="7">
        <v>1807.4429176347101</v>
      </c>
      <c r="O581" s="5">
        <v>0</v>
      </c>
      <c r="P581" s="5">
        <v>1</v>
      </c>
      <c r="Q581" s="5">
        <v>0</v>
      </c>
      <c r="R581" s="5">
        <v>1</v>
      </c>
      <c r="S581" s="5">
        <v>0</v>
      </c>
      <c r="T581" s="5">
        <v>1</v>
      </c>
      <c r="U581" s="5">
        <v>0</v>
      </c>
      <c r="V581" s="13">
        <v>3</v>
      </c>
      <c r="W581" s="13">
        <v>-1.1000000000000001</v>
      </c>
      <c r="X581" s="5"/>
      <c r="Y581" s="5"/>
      <c r="Z581" s="5"/>
      <c r="AA581" s="5">
        <v>0</v>
      </c>
      <c r="AB581" s="5"/>
      <c r="AC581" s="5">
        <v>0</v>
      </c>
      <c r="AD581" s="5">
        <v>0</v>
      </c>
      <c r="AE581" s="5">
        <v>0</v>
      </c>
      <c r="AF581" s="5">
        <v>1</v>
      </c>
    </row>
    <row r="582" spans="1:32" x14ac:dyDescent="0.2">
      <c r="A582" s="3" t="str">
        <f>+VLOOKUP(B582,studies!$A$2:$C$102,3)</f>
        <v>Kopp et al. (2012)</v>
      </c>
      <c r="B582" s="87">
        <v>78</v>
      </c>
      <c r="C582" s="5">
        <v>2012</v>
      </c>
      <c r="D582" s="5">
        <v>1</v>
      </c>
      <c r="E582" s="48">
        <v>2005</v>
      </c>
      <c r="F582" s="5">
        <v>2015</v>
      </c>
      <c r="G582" s="113">
        <v>6.9444444444444441E-3</v>
      </c>
      <c r="H582" s="7">
        <v>630.46059737156497</v>
      </c>
      <c r="I582" s="5">
        <v>0</v>
      </c>
      <c r="J582" s="5">
        <v>0</v>
      </c>
      <c r="K582" s="5">
        <v>1</v>
      </c>
      <c r="L582" s="7" t="s">
        <v>238</v>
      </c>
      <c r="M582" s="7">
        <v>222.10103648901099</v>
      </c>
      <c r="N582" s="7">
        <v>6670.6897511009847</v>
      </c>
      <c r="O582" s="5">
        <v>0</v>
      </c>
      <c r="P582" s="5">
        <v>1</v>
      </c>
      <c r="Q582" s="5">
        <v>0</v>
      </c>
      <c r="R582" s="5">
        <v>1</v>
      </c>
      <c r="S582" s="5">
        <v>0</v>
      </c>
      <c r="T582" s="5">
        <v>1</v>
      </c>
      <c r="U582" s="5">
        <v>0</v>
      </c>
      <c r="V582" s="13">
        <v>3</v>
      </c>
      <c r="W582" s="13">
        <v>-1.1000000000000001</v>
      </c>
      <c r="X582" s="5"/>
      <c r="Y582" s="5"/>
      <c r="Z582" s="5"/>
      <c r="AA582" s="5">
        <v>0</v>
      </c>
      <c r="AB582" s="5"/>
      <c r="AC582" s="5">
        <v>0</v>
      </c>
      <c r="AD582" s="5">
        <v>0</v>
      </c>
      <c r="AE582" s="5">
        <v>0</v>
      </c>
      <c r="AF582" s="5">
        <v>1</v>
      </c>
    </row>
    <row r="583" spans="1:32" x14ac:dyDescent="0.2">
      <c r="A583" s="3" t="str">
        <f>+VLOOKUP(B583,studies!$A$2:$C$102,3)</f>
        <v>Kopp et al. (2012)</v>
      </c>
      <c r="B583" s="87">
        <v>78</v>
      </c>
      <c r="C583" s="5">
        <v>2012</v>
      </c>
      <c r="D583" s="5">
        <v>1</v>
      </c>
      <c r="E583" s="48">
        <v>2005</v>
      </c>
      <c r="F583" s="5">
        <v>2015</v>
      </c>
      <c r="G583" s="113">
        <v>6.9444444444444441E-3</v>
      </c>
      <c r="H583" s="7">
        <v>630.46059737156497</v>
      </c>
      <c r="I583" s="5">
        <v>0</v>
      </c>
      <c r="J583" s="5">
        <v>0</v>
      </c>
      <c r="K583" s="5">
        <v>1</v>
      </c>
      <c r="L583" s="7" t="s">
        <v>238</v>
      </c>
      <c r="M583" s="7">
        <v>222.10103648901099</v>
      </c>
      <c r="N583" s="7">
        <v>6670.6897511009847</v>
      </c>
      <c r="O583" s="5">
        <v>0</v>
      </c>
      <c r="P583" s="5">
        <v>1</v>
      </c>
      <c r="Q583" s="5">
        <v>0</v>
      </c>
      <c r="R583" s="5">
        <v>1</v>
      </c>
      <c r="S583" s="5">
        <v>0</v>
      </c>
      <c r="T583" s="5">
        <v>1</v>
      </c>
      <c r="U583" s="5">
        <v>0</v>
      </c>
      <c r="V583" s="13">
        <v>3</v>
      </c>
      <c r="W583" s="13">
        <v>-1.1000000000000001</v>
      </c>
      <c r="X583" s="5"/>
      <c r="Y583" s="5"/>
      <c r="Z583" s="5"/>
      <c r="AA583" s="5">
        <v>0</v>
      </c>
      <c r="AB583" s="5"/>
      <c r="AC583" s="5">
        <v>0</v>
      </c>
      <c r="AD583" s="5">
        <v>0</v>
      </c>
      <c r="AE583" s="5">
        <v>0</v>
      </c>
      <c r="AF583" s="5">
        <v>1</v>
      </c>
    </row>
    <row r="584" spans="1:32" x14ac:dyDescent="0.2">
      <c r="A584" s="3" t="str">
        <f>+VLOOKUP(B584,studies!$A$2:$C$102,3)</f>
        <v>Kopp et al. (2012)</v>
      </c>
      <c r="B584" s="87">
        <v>78</v>
      </c>
      <c r="C584" s="5">
        <v>2012</v>
      </c>
      <c r="D584" s="5">
        <v>1</v>
      </c>
      <c r="E584" s="48">
        <v>2005</v>
      </c>
      <c r="F584" s="5">
        <v>2015</v>
      </c>
      <c r="G584" s="113">
        <v>6.9444444444444441E-3</v>
      </c>
      <c r="H584" s="7">
        <v>195.14256585310346</v>
      </c>
      <c r="I584" s="5">
        <v>0</v>
      </c>
      <c r="J584" s="5">
        <v>0</v>
      </c>
      <c r="K584" s="5">
        <v>1</v>
      </c>
      <c r="L584" s="7" t="s">
        <v>238</v>
      </c>
      <c r="M584" s="7">
        <v>91.903877167866611</v>
      </c>
      <c r="N584" s="7">
        <v>13471.576661523113</v>
      </c>
      <c r="O584" s="5">
        <v>0</v>
      </c>
      <c r="P584" s="5">
        <v>1</v>
      </c>
      <c r="Q584" s="5">
        <v>0</v>
      </c>
      <c r="R584" s="5">
        <v>1</v>
      </c>
      <c r="S584" s="5">
        <v>0</v>
      </c>
      <c r="T584" s="5">
        <v>1</v>
      </c>
      <c r="U584" s="5">
        <v>0</v>
      </c>
      <c r="V584" s="13">
        <v>3</v>
      </c>
      <c r="W584" s="13">
        <v>-1.1000000000000001</v>
      </c>
      <c r="X584" s="5"/>
      <c r="Y584" s="5"/>
      <c r="Z584" s="5"/>
      <c r="AA584" s="5">
        <v>0</v>
      </c>
      <c r="AB584" s="5"/>
      <c r="AC584" s="5">
        <v>0</v>
      </c>
      <c r="AD584" s="5">
        <v>0</v>
      </c>
      <c r="AE584" s="5">
        <v>0</v>
      </c>
      <c r="AF584" s="5">
        <v>1</v>
      </c>
    </row>
    <row r="585" spans="1:32" x14ac:dyDescent="0.2">
      <c r="A585" s="3" t="str">
        <f>+VLOOKUP(B585,studies!$A$2:$C$102,3)</f>
        <v>Kopp et al. (2012)</v>
      </c>
      <c r="B585" s="87">
        <v>78</v>
      </c>
      <c r="C585" s="5">
        <v>2012</v>
      </c>
      <c r="D585" s="5">
        <v>1</v>
      </c>
      <c r="E585" s="48">
        <v>2005</v>
      </c>
      <c r="F585" s="5">
        <v>2015</v>
      </c>
      <c r="G585" s="113">
        <v>6.9444444444444441E-3</v>
      </c>
      <c r="H585" s="7">
        <v>135.09869943676392</v>
      </c>
      <c r="I585" s="5">
        <v>0</v>
      </c>
      <c r="J585" s="5">
        <v>0</v>
      </c>
      <c r="K585" s="5">
        <v>1</v>
      </c>
      <c r="L585" s="7" t="s">
        <v>238</v>
      </c>
      <c r="M585" s="7">
        <v>61.269251445244407</v>
      </c>
      <c r="N585" s="7">
        <v>6747.276315407541</v>
      </c>
      <c r="O585" s="5">
        <v>0</v>
      </c>
      <c r="P585" s="5">
        <v>1</v>
      </c>
      <c r="Q585" s="5">
        <v>0</v>
      </c>
      <c r="R585" s="5">
        <v>1</v>
      </c>
      <c r="S585" s="5">
        <v>0</v>
      </c>
      <c r="T585" s="5">
        <v>1</v>
      </c>
      <c r="U585" s="5">
        <v>0</v>
      </c>
      <c r="V585" s="13">
        <v>3</v>
      </c>
      <c r="W585" s="13">
        <v>-1.1000000000000001</v>
      </c>
      <c r="X585" s="5"/>
      <c r="Y585" s="5"/>
      <c r="Z585" s="5"/>
      <c r="AA585" s="5">
        <v>0</v>
      </c>
      <c r="AB585" s="5"/>
      <c r="AC585" s="5">
        <v>0</v>
      </c>
      <c r="AD585" s="5">
        <v>0</v>
      </c>
      <c r="AE585" s="5">
        <v>0</v>
      </c>
      <c r="AF585" s="5">
        <v>1</v>
      </c>
    </row>
    <row r="586" spans="1:32" x14ac:dyDescent="0.2">
      <c r="A586" s="3" t="str">
        <f>+VLOOKUP(B586,studies!$A$2:$C$102,3)</f>
        <v>Kopp et al. (2012)</v>
      </c>
      <c r="B586" s="87">
        <v>78</v>
      </c>
      <c r="C586" s="5">
        <v>2012</v>
      </c>
      <c r="D586" s="5">
        <v>1</v>
      </c>
      <c r="E586" s="48">
        <v>2005</v>
      </c>
      <c r="F586" s="5">
        <v>2015</v>
      </c>
      <c r="G586" s="113">
        <v>6.9444444444444441E-3</v>
      </c>
      <c r="H586" s="7">
        <v>180.13159924901856</v>
      </c>
      <c r="I586" s="5">
        <v>0</v>
      </c>
      <c r="J586" s="5">
        <v>0</v>
      </c>
      <c r="K586" s="5">
        <v>1</v>
      </c>
      <c r="L586" s="7" t="s">
        <v>238</v>
      </c>
      <c r="M586" s="7">
        <v>84.245220737211056</v>
      </c>
      <c r="N586" s="7">
        <v>10247.282304217128</v>
      </c>
      <c r="O586" s="5">
        <v>0</v>
      </c>
      <c r="P586" s="5">
        <v>1</v>
      </c>
      <c r="Q586" s="5">
        <v>0</v>
      </c>
      <c r="R586" s="5">
        <v>1</v>
      </c>
      <c r="S586" s="5">
        <v>0</v>
      </c>
      <c r="T586" s="5">
        <v>1</v>
      </c>
      <c r="U586" s="5">
        <v>0</v>
      </c>
      <c r="V586" s="13">
        <v>3</v>
      </c>
      <c r="W586" s="13">
        <v>-1.1000000000000001</v>
      </c>
      <c r="X586" s="5"/>
      <c r="Y586" s="5"/>
      <c r="Z586" s="5"/>
      <c r="AA586" s="5">
        <v>0</v>
      </c>
      <c r="AB586" s="5"/>
      <c r="AC586" s="5">
        <v>0</v>
      </c>
      <c r="AD586" s="5">
        <v>0</v>
      </c>
      <c r="AE586" s="5">
        <v>0</v>
      </c>
      <c r="AF586" s="5">
        <v>1</v>
      </c>
    </row>
    <row r="587" spans="1:32" x14ac:dyDescent="0.2">
      <c r="A587" s="3" t="str">
        <f>+VLOOKUP(B587,studies!$A$2:$C$102,3)</f>
        <v>Kopp et al. (2012)</v>
      </c>
      <c r="B587" s="87">
        <v>78</v>
      </c>
      <c r="C587" s="5">
        <v>2012</v>
      </c>
      <c r="D587" s="5">
        <v>1</v>
      </c>
      <c r="E587" s="48">
        <v>2005</v>
      </c>
      <c r="F587" s="5">
        <v>2015</v>
      </c>
      <c r="G587" s="113">
        <v>6.9444444444444441E-3</v>
      </c>
      <c r="H587" s="7">
        <v>225.1644990612732</v>
      </c>
      <c r="I587" s="5">
        <v>0</v>
      </c>
      <c r="J587" s="5">
        <v>0</v>
      </c>
      <c r="K587" s="5">
        <v>1</v>
      </c>
      <c r="L587" s="7" t="s">
        <v>238</v>
      </c>
      <c r="M587" s="7">
        <v>99.562533598522165</v>
      </c>
      <c r="N587" s="7">
        <v>12904.836085654602</v>
      </c>
      <c r="O587" s="5">
        <v>0</v>
      </c>
      <c r="P587" s="5">
        <v>1</v>
      </c>
      <c r="Q587" s="5">
        <v>0</v>
      </c>
      <c r="R587" s="5">
        <v>1</v>
      </c>
      <c r="S587" s="5">
        <v>0</v>
      </c>
      <c r="T587" s="5">
        <v>1</v>
      </c>
      <c r="U587" s="5">
        <v>0</v>
      </c>
      <c r="V587" s="13">
        <v>3</v>
      </c>
      <c r="W587" s="13">
        <v>-1.1000000000000001</v>
      </c>
      <c r="X587" s="5"/>
      <c r="Y587" s="5"/>
      <c r="Z587" s="5"/>
      <c r="AA587" s="5">
        <v>0</v>
      </c>
      <c r="AB587" s="5"/>
      <c r="AC587" s="5">
        <v>0</v>
      </c>
      <c r="AD587" s="5">
        <v>0</v>
      </c>
      <c r="AE587" s="5">
        <v>0</v>
      </c>
      <c r="AF587" s="5">
        <v>1</v>
      </c>
    </row>
    <row r="588" spans="1:32" x14ac:dyDescent="0.2">
      <c r="A588" s="3" t="str">
        <f>+VLOOKUP(B588,studies!$A$2:$C$102,3)</f>
        <v>Kopp et al. (2012)</v>
      </c>
      <c r="B588" s="87">
        <v>78</v>
      </c>
      <c r="C588" s="5">
        <v>2012</v>
      </c>
      <c r="D588" s="5">
        <v>1</v>
      </c>
      <c r="E588" s="48">
        <v>2005</v>
      </c>
      <c r="F588" s="5">
        <v>2015</v>
      </c>
      <c r="G588" s="113">
        <v>6.9444444444444441E-3</v>
      </c>
      <c r="H588" s="7">
        <v>450.32899812254641</v>
      </c>
      <c r="I588" s="5">
        <v>0</v>
      </c>
      <c r="J588" s="5">
        <v>0</v>
      </c>
      <c r="K588" s="5">
        <v>1</v>
      </c>
      <c r="L588" s="7" t="s">
        <v>238</v>
      </c>
      <c r="M588" s="7">
        <v>122.5385028904888</v>
      </c>
      <c r="N588" s="7">
        <v>298.68760079556648</v>
      </c>
      <c r="O588" s="5">
        <v>0</v>
      </c>
      <c r="P588" s="5">
        <v>1</v>
      </c>
      <c r="Q588" s="5">
        <v>0</v>
      </c>
      <c r="R588" s="5">
        <v>1</v>
      </c>
      <c r="S588" s="5">
        <v>0</v>
      </c>
      <c r="T588" s="5">
        <v>1</v>
      </c>
      <c r="U588" s="5">
        <v>0</v>
      </c>
      <c r="V588" s="13">
        <v>3</v>
      </c>
      <c r="W588" s="13">
        <v>3</v>
      </c>
      <c r="X588" s="5"/>
      <c r="Y588" s="5"/>
      <c r="Z588" s="5"/>
      <c r="AA588" s="5">
        <v>0</v>
      </c>
      <c r="AB588" s="5"/>
      <c r="AC588" s="5">
        <v>0</v>
      </c>
      <c r="AD588" s="5">
        <v>0</v>
      </c>
      <c r="AE588" s="5">
        <v>0</v>
      </c>
      <c r="AF588" s="5">
        <v>1</v>
      </c>
    </row>
    <row r="589" spans="1:32" x14ac:dyDescent="0.2">
      <c r="A589" s="3" t="str">
        <f>+VLOOKUP(B589,studies!$A$2:$C$102,3)</f>
        <v>Kopp et al. (2012)</v>
      </c>
      <c r="B589" s="87">
        <v>78</v>
      </c>
      <c r="C589" s="5">
        <v>2012</v>
      </c>
      <c r="D589" s="5">
        <v>1</v>
      </c>
      <c r="E589" s="48">
        <v>2005</v>
      </c>
      <c r="F589" s="5">
        <v>2015</v>
      </c>
      <c r="G589" s="113">
        <v>6.9444444444444441E-3</v>
      </c>
      <c r="H589" s="7">
        <v>465.33996472663125</v>
      </c>
      <c r="I589" s="5">
        <v>0</v>
      </c>
      <c r="J589" s="5">
        <v>0</v>
      </c>
      <c r="K589" s="5">
        <v>1</v>
      </c>
      <c r="L589" s="7" t="s">
        <v>238</v>
      </c>
      <c r="M589" s="7">
        <v>130.19715932114437</v>
      </c>
      <c r="N589" s="7">
        <v>306.34625722622206</v>
      </c>
      <c r="O589" s="5">
        <v>0</v>
      </c>
      <c r="P589" s="5">
        <v>1</v>
      </c>
      <c r="Q589" s="5">
        <v>0</v>
      </c>
      <c r="R589" s="5">
        <v>1</v>
      </c>
      <c r="S589" s="5">
        <v>0</v>
      </c>
      <c r="T589" s="5">
        <v>1</v>
      </c>
      <c r="U589" s="5">
        <v>0</v>
      </c>
      <c r="V589" s="13">
        <v>3</v>
      </c>
      <c r="W589" s="13">
        <v>3</v>
      </c>
      <c r="X589" s="5"/>
      <c r="Y589" s="5"/>
      <c r="Z589" s="5"/>
      <c r="AA589" s="5">
        <v>0</v>
      </c>
      <c r="AB589" s="5"/>
      <c r="AC589" s="5">
        <v>0</v>
      </c>
      <c r="AD589" s="5">
        <v>0</v>
      </c>
      <c r="AE589" s="5">
        <v>0</v>
      </c>
      <c r="AF589" s="5">
        <v>1</v>
      </c>
    </row>
    <row r="590" spans="1:32" x14ac:dyDescent="0.2">
      <c r="A590" s="3" t="str">
        <f>+VLOOKUP(B590,studies!$A$2:$C$102,3)</f>
        <v>Kopp et al. (2012)</v>
      </c>
      <c r="B590" s="87">
        <v>78</v>
      </c>
      <c r="C590" s="5">
        <v>2012</v>
      </c>
      <c r="D590" s="5">
        <v>1</v>
      </c>
      <c r="E590" s="48">
        <v>2005</v>
      </c>
      <c r="F590" s="5">
        <v>2015</v>
      </c>
      <c r="G590" s="113">
        <v>6.9444444444444441E-3</v>
      </c>
      <c r="H590" s="7">
        <v>420.30706491437667</v>
      </c>
      <c r="I590" s="5">
        <v>0</v>
      </c>
      <c r="J590" s="5">
        <v>0</v>
      </c>
      <c r="K590" s="5">
        <v>1</v>
      </c>
      <c r="L590" s="7" t="s">
        <v>238</v>
      </c>
      <c r="M590" s="7">
        <v>122.53850289048881</v>
      </c>
      <c r="N590" s="7">
        <v>314.00491365687765</v>
      </c>
      <c r="O590" s="5">
        <v>0</v>
      </c>
      <c r="P590" s="5">
        <v>1</v>
      </c>
      <c r="Q590" s="5">
        <v>0</v>
      </c>
      <c r="R590" s="5">
        <v>1</v>
      </c>
      <c r="S590" s="5">
        <v>0</v>
      </c>
      <c r="T590" s="5">
        <v>1</v>
      </c>
      <c r="U590" s="5">
        <v>0</v>
      </c>
      <c r="V590" s="13">
        <v>3</v>
      </c>
      <c r="W590" s="13">
        <v>3</v>
      </c>
      <c r="X590" s="5"/>
      <c r="Y590" s="5"/>
      <c r="Z590" s="5"/>
      <c r="AA590" s="5">
        <v>0</v>
      </c>
      <c r="AB590" s="5"/>
      <c r="AC590" s="5">
        <v>0</v>
      </c>
      <c r="AD590" s="5">
        <v>0</v>
      </c>
      <c r="AE590" s="5">
        <v>0</v>
      </c>
      <c r="AF590" s="5">
        <v>1</v>
      </c>
    </row>
    <row r="591" spans="1:32" x14ac:dyDescent="0.2">
      <c r="A591" s="3" t="str">
        <f>+VLOOKUP(B591,studies!$A$2:$C$102,3)</f>
        <v>Kopp et al. (2012)</v>
      </c>
      <c r="B591" s="87">
        <v>78</v>
      </c>
      <c r="C591" s="5">
        <v>2012</v>
      </c>
      <c r="D591" s="5">
        <v>1</v>
      </c>
      <c r="E591" s="48">
        <v>2005</v>
      </c>
      <c r="F591" s="5">
        <v>2015</v>
      </c>
      <c r="G591" s="113">
        <v>6.9444444444444441E-3</v>
      </c>
      <c r="H591" s="7">
        <v>690.50446378790446</v>
      </c>
      <c r="I591" s="5">
        <v>0</v>
      </c>
      <c r="J591" s="5">
        <v>0</v>
      </c>
      <c r="K591" s="5">
        <v>1</v>
      </c>
      <c r="L591" s="7" t="s">
        <v>238</v>
      </c>
      <c r="M591" s="7">
        <v>191.46641076638878</v>
      </c>
      <c r="N591" s="7">
        <v>451.86072940867751</v>
      </c>
      <c r="O591" s="5">
        <v>0</v>
      </c>
      <c r="P591" s="5">
        <v>1</v>
      </c>
      <c r="Q591" s="5">
        <v>0</v>
      </c>
      <c r="R591" s="5">
        <v>1</v>
      </c>
      <c r="S591" s="5">
        <v>0</v>
      </c>
      <c r="T591" s="5">
        <v>1</v>
      </c>
      <c r="U591" s="5">
        <v>0</v>
      </c>
      <c r="V591" s="13">
        <v>3</v>
      </c>
      <c r="W591" s="13">
        <v>3</v>
      </c>
      <c r="X591" s="5"/>
      <c r="Y591" s="5"/>
      <c r="Z591" s="5"/>
      <c r="AA591" s="5">
        <v>0</v>
      </c>
      <c r="AB591" s="5"/>
      <c r="AC591" s="5">
        <v>0</v>
      </c>
      <c r="AD591" s="5">
        <v>0</v>
      </c>
      <c r="AE591" s="5">
        <v>0</v>
      </c>
      <c r="AF591" s="5">
        <v>1</v>
      </c>
    </row>
    <row r="592" spans="1:32" x14ac:dyDescent="0.2">
      <c r="A592" s="3" t="str">
        <f>+VLOOKUP(B592,studies!$A$2:$C$102,3)</f>
        <v>Kopp et al. (2012)</v>
      </c>
      <c r="B592" s="87">
        <v>78</v>
      </c>
      <c r="C592" s="5">
        <v>2012</v>
      </c>
      <c r="D592" s="5">
        <v>1</v>
      </c>
      <c r="E592" s="48">
        <v>2005</v>
      </c>
      <c r="F592" s="5">
        <v>2015</v>
      </c>
      <c r="G592" s="113">
        <v>6.9444444444444441E-3</v>
      </c>
      <c r="H592" s="7">
        <v>330.24126528986733</v>
      </c>
      <c r="I592" s="5">
        <v>0</v>
      </c>
      <c r="J592" s="5">
        <v>0</v>
      </c>
      <c r="K592" s="5">
        <v>1</v>
      </c>
      <c r="L592" s="7" t="s">
        <v>238</v>
      </c>
      <c r="M592" s="7">
        <v>84.245220737211056</v>
      </c>
      <c r="N592" s="7">
        <v>168.49044147442211</v>
      </c>
      <c r="O592" s="5">
        <v>0</v>
      </c>
      <c r="P592" s="5">
        <v>1</v>
      </c>
      <c r="Q592" s="5">
        <v>0</v>
      </c>
      <c r="R592" s="5">
        <v>1</v>
      </c>
      <c r="S592" s="5">
        <v>0</v>
      </c>
      <c r="T592" s="5">
        <v>1</v>
      </c>
      <c r="U592" s="5">
        <v>0</v>
      </c>
      <c r="V592" s="13">
        <v>3</v>
      </c>
      <c r="W592" s="13">
        <v>3</v>
      </c>
      <c r="X592" s="5"/>
      <c r="Y592" s="5"/>
      <c r="Z592" s="5"/>
      <c r="AA592" s="5">
        <v>0</v>
      </c>
      <c r="AB592" s="5"/>
      <c r="AC592" s="5">
        <v>0</v>
      </c>
      <c r="AD592" s="5">
        <v>0</v>
      </c>
      <c r="AE592" s="5">
        <v>0</v>
      </c>
      <c r="AF592" s="5">
        <v>1</v>
      </c>
    </row>
    <row r="593" spans="1:32" x14ac:dyDescent="0.2">
      <c r="A593" s="3" t="str">
        <f>+VLOOKUP(B593,studies!$A$2:$C$102,3)</f>
        <v>Kopp et al. (2012)</v>
      </c>
      <c r="B593" s="87">
        <v>78</v>
      </c>
      <c r="C593" s="5">
        <v>2012</v>
      </c>
      <c r="D593" s="5">
        <v>1</v>
      </c>
      <c r="E593" s="48">
        <v>2005</v>
      </c>
      <c r="F593" s="5">
        <v>2015</v>
      </c>
      <c r="G593" s="113">
        <v>6.9444444444444441E-3</v>
      </c>
      <c r="H593" s="7">
        <v>870.63606303692313</v>
      </c>
      <c r="I593" s="5">
        <v>0</v>
      </c>
      <c r="J593" s="5">
        <v>0</v>
      </c>
      <c r="K593" s="5">
        <v>1</v>
      </c>
      <c r="L593" s="7" t="s">
        <v>238</v>
      </c>
      <c r="M593" s="7">
        <v>245.07700578097763</v>
      </c>
      <c r="N593" s="7">
        <v>497.81266799261084</v>
      </c>
      <c r="O593" s="5">
        <v>0</v>
      </c>
      <c r="P593" s="5">
        <v>1</v>
      </c>
      <c r="Q593" s="5">
        <v>0</v>
      </c>
      <c r="R593" s="5">
        <v>1</v>
      </c>
      <c r="S593" s="5">
        <v>0</v>
      </c>
      <c r="T593" s="5">
        <v>1</v>
      </c>
      <c r="U593" s="5">
        <v>0</v>
      </c>
      <c r="V593" s="13">
        <v>3</v>
      </c>
      <c r="W593" s="13">
        <v>3</v>
      </c>
      <c r="X593" s="5"/>
      <c r="Y593" s="5"/>
      <c r="Z593" s="5"/>
      <c r="AA593" s="5">
        <v>0</v>
      </c>
      <c r="AB593" s="5"/>
      <c r="AC593" s="5">
        <v>0</v>
      </c>
      <c r="AD593" s="5">
        <v>0</v>
      </c>
      <c r="AE593" s="5">
        <v>0</v>
      </c>
      <c r="AF593" s="5">
        <v>1</v>
      </c>
    </row>
    <row r="594" spans="1:32" x14ac:dyDescent="0.2">
      <c r="A594" s="3" t="str">
        <f>+VLOOKUP(B594,studies!$A$2:$C$102,3)</f>
        <v>Kopp et al. (2012)</v>
      </c>
      <c r="B594" s="87">
        <v>78</v>
      </c>
      <c r="C594" s="5">
        <v>2012</v>
      </c>
      <c r="D594" s="5">
        <v>1</v>
      </c>
      <c r="E594" s="48">
        <v>2005</v>
      </c>
      <c r="F594" s="5">
        <v>2015</v>
      </c>
      <c r="G594" s="113">
        <v>6.9444444444444441E-3</v>
      </c>
      <c r="H594" s="7">
        <v>360.26319849803713</v>
      </c>
      <c r="I594" s="5">
        <v>0</v>
      </c>
      <c r="J594" s="5">
        <v>0</v>
      </c>
      <c r="K594" s="5">
        <v>1</v>
      </c>
      <c r="L594" s="7" t="s">
        <v>238</v>
      </c>
      <c r="M594" s="7">
        <v>91.903877167866611</v>
      </c>
      <c r="N594" s="7">
        <v>206.78372362769991</v>
      </c>
      <c r="O594" s="5">
        <v>0</v>
      </c>
      <c r="P594" s="5">
        <v>1</v>
      </c>
      <c r="Q594" s="5">
        <v>0</v>
      </c>
      <c r="R594" s="5">
        <v>1</v>
      </c>
      <c r="S594" s="5">
        <v>0</v>
      </c>
      <c r="T594" s="5">
        <v>1</v>
      </c>
      <c r="U594" s="5">
        <v>0</v>
      </c>
      <c r="V594" s="13">
        <v>3</v>
      </c>
      <c r="W594" s="13">
        <v>3</v>
      </c>
      <c r="X594" s="5"/>
      <c r="Y594" s="5"/>
      <c r="Z594" s="5"/>
      <c r="AA594" s="5">
        <v>0</v>
      </c>
      <c r="AB594" s="5"/>
      <c r="AC594" s="5">
        <v>0</v>
      </c>
      <c r="AD594" s="5">
        <v>0</v>
      </c>
      <c r="AE594" s="5">
        <v>0</v>
      </c>
      <c r="AF594" s="5">
        <v>1</v>
      </c>
    </row>
    <row r="595" spans="1:32" x14ac:dyDescent="0.2">
      <c r="A595" s="3" t="str">
        <f>+VLOOKUP(B595,studies!$A$2:$C$102,3)</f>
        <v>Kopp et al. (2012)</v>
      </c>
      <c r="B595" s="87">
        <v>78</v>
      </c>
      <c r="C595" s="5">
        <v>2012</v>
      </c>
      <c r="D595" s="5">
        <v>1</v>
      </c>
      <c r="E595" s="48">
        <v>2005</v>
      </c>
      <c r="F595" s="5">
        <v>2015</v>
      </c>
      <c r="G595" s="113">
        <v>6.9444444444444441E-3</v>
      </c>
      <c r="H595" s="7">
        <v>450.32899812254641</v>
      </c>
      <c r="I595" s="5">
        <v>0</v>
      </c>
      <c r="J595" s="5">
        <v>0</v>
      </c>
      <c r="K595" s="5">
        <v>1</v>
      </c>
      <c r="L595" s="7" t="s">
        <v>238</v>
      </c>
      <c r="M595" s="7">
        <v>122.5385028904888</v>
      </c>
      <c r="N595" s="7">
        <v>306.34625722622206</v>
      </c>
      <c r="O595" s="5">
        <v>0</v>
      </c>
      <c r="P595" s="5">
        <v>1</v>
      </c>
      <c r="Q595" s="5">
        <v>0</v>
      </c>
      <c r="R595" s="5">
        <v>1</v>
      </c>
      <c r="S595" s="5">
        <v>0</v>
      </c>
      <c r="T595" s="5">
        <v>1</v>
      </c>
      <c r="U595" s="5">
        <v>0</v>
      </c>
      <c r="V595" s="13">
        <v>3</v>
      </c>
      <c r="W595" s="13">
        <v>3</v>
      </c>
      <c r="X595" s="5"/>
      <c r="Y595" s="5"/>
      <c r="Z595" s="5"/>
      <c r="AA595" s="5">
        <v>0</v>
      </c>
      <c r="AB595" s="5"/>
      <c r="AC595" s="5">
        <v>0</v>
      </c>
      <c r="AD595" s="5">
        <v>0</v>
      </c>
      <c r="AE595" s="5">
        <v>0</v>
      </c>
      <c r="AF595" s="5">
        <v>1</v>
      </c>
    </row>
    <row r="596" spans="1:32" x14ac:dyDescent="0.2">
      <c r="A596" s="3" t="str">
        <f>+VLOOKUP(B596,studies!$A$2:$C$102,3)</f>
        <v>Kopp et al. (2012)</v>
      </c>
      <c r="B596" s="87">
        <v>78</v>
      </c>
      <c r="C596" s="5">
        <v>2012</v>
      </c>
      <c r="D596" s="5">
        <v>1</v>
      </c>
      <c r="E596" s="48">
        <v>2005</v>
      </c>
      <c r="F596" s="5">
        <v>2015</v>
      </c>
      <c r="G596" s="113">
        <v>6.9444444444444441E-3</v>
      </c>
      <c r="H596" s="7">
        <v>450.32899812254641</v>
      </c>
      <c r="I596" s="5">
        <v>0</v>
      </c>
      <c r="J596" s="5">
        <v>0</v>
      </c>
      <c r="K596" s="5">
        <v>1</v>
      </c>
      <c r="L596" s="7" t="s">
        <v>238</v>
      </c>
      <c r="M596" s="7">
        <v>122.5385028904888</v>
      </c>
      <c r="N596" s="7">
        <v>298.68760079556648</v>
      </c>
      <c r="O596" s="5">
        <v>0</v>
      </c>
      <c r="P596" s="5">
        <v>1</v>
      </c>
      <c r="Q596" s="5">
        <v>0</v>
      </c>
      <c r="R596" s="5">
        <v>1</v>
      </c>
      <c r="S596" s="5">
        <v>0</v>
      </c>
      <c r="T596" s="5">
        <v>1</v>
      </c>
      <c r="U596" s="5">
        <v>0</v>
      </c>
      <c r="V596" s="13">
        <v>3</v>
      </c>
      <c r="W596" s="13">
        <v>3</v>
      </c>
      <c r="X596" s="5"/>
      <c r="Y596" s="5"/>
      <c r="Z596" s="5"/>
      <c r="AA596" s="5">
        <v>0</v>
      </c>
      <c r="AB596" s="5"/>
      <c r="AC596" s="5">
        <v>0</v>
      </c>
      <c r="AD596" s="5">
        <v>0</v>
      </c>
      <c r="AE596" s="5">
        <v>0</v>
      </c>
      <c r="AF596" s="5">
        <v>1</v>
      </c>
    </row>
    <row r="597" spans="1:32" x14ac:dyDescent="0.2">
      <c r="A597" s="3" t="str">
        <f>+VLOOKUP(B597,studies!$A$2:$C$102,3)</f>
        <v>Kopp et al. (2012)</v>
      </c>
      <c r="B597" s="87">
        <v>78</v>
      </c>
      <c r="C597" s="5">
        <v>2012</v>
      </c>
      <c r="D597" s="5">
        <v>1</v>
      </c>
      <c r="E597" s="48">
        <v>2005</v>
      </c>
      <c r="F597" s="5">
        <v>2015</v>
      </c>
      <c r="G597" s="113">
        <v>6.9444444444444441E-3</v>
      </c>
      <c r="H597" s="7">
        <v>510.37286453888595</v>
      </c>
      <c r="I597" s="5">
        <v>0</v>
      </c>
      <c r="J597" s="5">
        <v>0</v>
      </c>
      <c r="K597" s="5">
        <v>1</v>
      </c>
      <c r="L597" s="7" t="s">
        <v>238</v>
      </c>
      <c r="M597" s="7">
        <v>160.83178504376659</v>
      </c>
      <c r="N597" s="7">
        <v>873.08683309473281</v>
      </c>
      <c r="O597" s="5">
        <v>0</v>
      </c>
      <c r="P597" s="5">
        <v>1</v>
      </c>
      <c r="Q597" s="5">
        <v>0</v>
      </c>
      <c r="R597" s="5">
        <v>1</v>
      </c>
      <c r="S597" s="5">
        <v>0</v>
      </c>
      <c r="T597" s="5">
        <v>1</v>
      </c>
      <c r="U597" s="5">
        <v>0</v>
      </c>
      <c r="V597" s="13">
        <v>3</v>
      </c>
      <c r="W597" s="13">
        <v>3</v>
      </c>
      <c r="X597" s="5"/>
      <c r="Y597" s="5"/>
      <c r="Z597" s="5"/>
      <c r="AA597" s="5">
        <v>0</v>
      </c>
      <c r="AB597" s="5"/>
      <c r="AC597" s="5">
        <v>0</v>
      </c>
      <c r="AD597" s="5">
        <v>0</v>
      </c>
      <c r="AE597" s="5">
        <v>0</v>
      </c>
      <c r="AF597" s="5">
        <v>1</v>
      </c>
    </row>
    <row r="598" spans="1:32" x14ac:dyDescent="0.2">
      <c r="A598" s="3" t="str">
        <f>+VLOOKUP(B598,studies!$A$2:$C$102,3)</f>
        <v>Kopp et al. (2012)</v>
      </c>
      <c r="B598" s="87">
        <v>78</v>
      </c>
      <c r="C598" s="5">
        <v>2012</v>
      </c>
      <c r="D598" s="5">
        <v>1</v>
      </c>
      <c r="E598" s="48">
        <v>2005</v>
      </c>
      <c r="F598" s="5">
        <v>2015</v>
      </c>
      <c r="G598" s="113">
        <v>6.9444444444444441E-3</v>
      </c>
      <c r="H598" s="7">
        <v>165.12063264493366</v>
      </c>
      <c r="I598" s="5">
        <v>0</v>
      </c>
      <c r="J598" s="5">
        <v>0</v>
      </c>
      <c r="K598" s="5">
        <v>1</v>
      </c>
      <c r="L598" s="7" t="s">
        <v>238</v>
      </c>
      <c r="M598" s="7">
        <v>45.951938583933298</v>
      </c>
      <c r="N598" s="7">
        <v>781.18295592686616</v>
      </c>
      <c r="O598" s="5">
        <v>0</v>
      </c>
      <c r="P598" s="5">
        <v>1</v>
      </c>
      <c r="Q598" s="5">
        <v>0</v>
      </c>
      <c r="R598" s="5">
        <v>1</v>
      </c>
      <c r="S598" s="5">
        <v>0</v>
      </c>
      <c r="T598" s="5">
        <v>1</v>
      </c>
      <c r="U598" s="5">
        <v>0</v>
      </c>
      <c r="V598" s="13">
        <v>3</v>
      </c>
      <c r="W598" s="13">
        <v>3</v>
      </c>
      <c r="X598" s="5"/>
      <c r="Y598" s="5"/>
      <c r="Z598" s="5"/>
      <c r="AA598" s="5">
        <v>0</v>
      </c>
      <c r="AB598" s="5"/>
      <c r="AC598" s="5">
        <v>0</v>
      </c>
      <c r="AD598" s="5">
        <v>0</v>
      </c>
      <c r="AE598" s="5">
        <v>0</v>
      </c>
      <c r="AF598" s="5">
        <v>1</v>
      </c>
    </row>
    <row r="599" spans="1:32" x14ac:dyDescent="0.2">
      <c r="A599" s="3" t="str">
        <f>+VLOOKUP(B599,studies!$A$2:$C$102,3)</f>
        <v>Kopp et al. (2012)</v>
      </c>
      <c r="B599" s="87">
        <v>78</v>
      </c>
      <c r="C599" s="5">
        <v>2012</v>
      </c>
      <c r="D599" s="5">
        <v>1</v>
      </c>
      <c r="E599" s="48">
        <v>2005</v>
      </c>
      <c r="F599" s="5">
        <v>2015</v>
      </c>
      <c r="G599" s="113">
        <v>6.9444444444444441E-3</v>
      </c>
      <c r="H599" s="7">
        <v>135.09869943676392</v>
      </c>
      <c r="I599" s="5">
        <v>0</v>
      </c>
      <c r="J599" s="5">
        <v>0</v>
      </c>
      <c r="K599" s="5">
        <v>1</v>
      </c>
      <c r="L599" s="7" t="s">
        <v>238</v>
      </c>
      <c r="M599" s="7">
        <v>38.293282153277758</v>
      </c>
      <c r="N599" s="7">
        <v>781.18295592686627</v>
      </c>
      <c r="O599" s="5">
        <v>0</v>
      </c>
      <c r="P599" s="5">
        <v>1</v>
      </c>
      <c r="Q599" s="5">
        <v>0</v>
      </c>
      <c r="R599" s="5">
        <v>1</v>
      </c>
      <c r="S599" s="5">
        <v>0</v>
      </c>
      <c r="T599" s="5">
        <v>1</v>
      </c>
      <c r="U599" s="5">
        <v>0</v>
      </c>
      <c r="V599" s="13">
        <v>3</v>
      </c>
      <c r="W599" s="13">
        <v>3</v>
      </c>
      <c r="X599" s="5"/>
      <c r="Y599" s="5"/>
      <c r="Z599" s="5"/>
      <c r="AA599" s="5">
        <v>0</v>
      </c>
      <c r="AB599" s="5"/>
      <c r="AC599" s="5">
        <v>0</v>
      </c>
      <c r="AD599" s="5">
        <v>0</v>
      </c>
      <c r="AE599" s="5">
        <v>0</v>
      </c>
      <c r="AF599" s="5">
        <v>1</v>
      </c>
    </row>
    <row r="600" spans="1:32" x14ac:dyDescent="0.2">
      <c r="A600" s="3" t="str">
        <f>+VLOOKUP(B600,studies!$A$2:$C$102,3)</f>
        <v>Kopp et al. (2012)</v>
      </c>
      <c r="B600" s="87">
        <v>78</v>
      </c>
      <c r="C600" s="5">
        <v>2012</v>
      </c>
      <c r="D600" s="5">
        <v>1</v>
      </c>
      <c r="E600" s="48">
        <v>2005</v>
      </c>
      <c r="F600" s="5">
        <v>2015</v>
      </c>
      <c r="G600" s="113">
        <v>6.9444444444444441E-3</v>
      </c>
      <c r="H600" s="7">
        <v>225.1644990612732</v>
      </c>
      <c r="I600" s="5">
        <v>0</v>
      </c>
      <c r="J600" s="5">
        <v>0</v>
      </c>
      <c r="K600" s="5">
        <v>1</v>
      </c>
      <c r="L600" s="7" t="s">
        <v>238</v>
      </c>
      <c r="M600" s="7">
        <v>61.2692514452444</v>
      </c>
      <c r="N600" s="7">
        <v>1424.5100961019327</v>
      </c>
      <c r="O600" s="5">
        <v>0</v>
      </c>
      <c r="P600" s="5">
        <v>1</v>
      </c>
      <c r="Q600" s="5">
        <v>0</v>
      </c>
      <c r="R600" s="5">
        <v>1</v>
      </c>
      <c r="S600" s="5">
        <v>0</v>
      </c>
      <c r="T600" s="5">
        <v>1</v>
      </c>
      <c r="U600" s="5">
        <v>0</v>
      </c>
      <c r="V600" s="13">
        <v>3</v>
      </c>
      <c r="W600" s="13">
        <v>3</v>
      </c>
      <c r="X600" s="5"/>
      <c r="Y600" s="5"/>
      <c r="Z600" s="5"/>
      <c r="AA600" s="5">
        <v>0</v>
      </c>
      <c r="AB600" s="5"/>
      <c r="AC600" s="5">
        <v>0</v>
      </c>
      <c r="AD600" s="5">
        <v>0</v>
      </c>
      <c r="AE600" s="5">
        <v>0</v>
      </c>
      <c r="AF600" s="5">
        <v>1</v>
      </c>
    </row>
    <row r="601" spans="1:32" x14ac:dyDescent="0.2">
      <c r="A601" s="3" t="str">
        <f>+VLOOKUP(B601,studies!$A$2:$C$102,3)</f>
        <v>Kopp et al. (2012)</v>
      </c>
      <c r="B601" s="87">
        <v>78</v>
      </c>
      <c r="C601" s="5">
        <v>2012</v>
      </c>
      <c r="D601" s="5">
        <v>1</v>
      </c>
      <c r="E601" s="48">
        <v>2005</v>
      </c>
      <c r="F601" s="5">
        <v>2015</v>
      </c>
      <c r="G601" s="113">
        <v>6.9444444444444441E-3</v>
      </c>
      <c r="H601" s="7">
        <v>105.07676622859417</v>
      </c>
      <c r="I601" s="5">
        <v>0</v>
      </c>
      <c r="J601" s="5">
        <v>0</v>
      </c>
      <c r="K601" s="5">
        <v>1</v>
      </c>
      <c r="L601" s="7" t="s">
        <v>238</v>
      </c>
      <c r="M601" s="7">
        <v>30.634625722622204</v>
      </c>
      <c r="N601" s="7">
        <v>490.15401156195526</v>
      </c>
      <c r="O601" s="5">
        <v>0</v>
      </c>
      <c r="P601" s="5">
        <v>1</v>
      </c>
      <c r="Q601" s="5">
        <v>0</v>
      </c>
      <c r="R601" s="5">
        <v>1</v>
      </c>
      <c r="S601" s="5">
        <v>0</v>
      </c>
      <c r="T601" s="5">
        <v>1</v>
      </c>
      <c r="U601" s="5">
        <v>0</v>
      </c>
      <c r="V601" s="13">
        <v>3</v>
      </c>
      <c r="W601" s="13">
        <v>3</v>
      </c>
      <c r="X601" s="5"/>
      <c r="Y601" s="5"/>
      <c r="Z601" s="5"/>
      <c r="AA601" s="5">
        <v>0</v>
      </c>
      <c r="AB601" s="5"/>
      <c r="AC601" s="5">
        <v>0</v>
      </c>
      <c r="AD601" s="5">
        <v>0</v>
      </c>
      <c r="AE601" s="5">
        <v>0</v>
      </c>
      <c r="AF601" s="5">
        <v>1</v>
      </c>
    </row>
    <row r="602" spans="1:32" x14ac:dyDescent="0.2">
      <c r="A602" s="3" t="str">
        <f>+VLOOKUP(B602,studies!$A$2:$C$102,3)</f>
        <v>Kopp et al. (2012)</v>
      </c>
      <c r="B602" s="87">
        <v>78</v>
      </c>
      <c r="C602" s="5">
        <v>2012</v>
      </c>
      <c r="D602" s="5">
        <v>1</v>
      </c>
      <c r="E602" s="48">
        <v>2005</v>
      </c>
      <c r="F602" s="5">
        <v>2015</v>
      </c>
      <c r="G602" s="113">
        <v>6.9444444444444441E-3</v>
      </c>
      <c r="H602" s="7">
        <v>90.065799624509282</v>
      </c>
      <c r="I602" s="5">
        <v>0</v>
      </c>
      <c r="J602" s="5">
        <v>0</v>
      </c>
      <c r="K602" s="5">
        <v>1</v>
      </c>
      <c r="L602" s="7" t="s">
        <v>238</v>
      </c>
      <c r="M602" s="7">
        <v>38.293282153277758</v>
      </c>
      <c r="N602" s="7">
        <v>1646.6111325909435</v>
      </c>
      <c r="O602" s="5">
        <v>0</v>
      </c>
      <c r="P602" s="5">
        <v>1</v>
      </c>
      <c r="Q602" s="5">
        <v>0</v>
      </c>
      <c r="R602" s="5">
        <v>1</v>
      </c>
      <c r="S602" s="5">
        <v>0</v>
      </c>
      <c r="T602" s="5">
        <v>1</v>
      </c>
      <c r="U602" s="5">
        <v>0</v>
      </c>
      <c r="V602" s="13">
        <v>3</v>
      </c>
      <c r="W602" s="13">
        <v>3</v>
      </c>
      <c r="X602" s="5"/>
      <c r="Y602" s="5"/>
      <c r="Z602" s="5"/>
      <c r="AA602" s="5">
        <v>0</v>
      </c>
      <c r="AB602" s="5"/>
      <c r="AC602" s="5">
        <v>0</v>
      </c>
      <c r="AD602" s="5">
        <v>0</v>
      </c>
      <c r="AE602" s="5">
        <v>0</v>
      </c>
      <c r="AF602" s="5">
        <v>1</v>
      </c>
    </row>
    <row r="603" spans="1:32" x14ac:dyDescent="0.2">
      <c r="A603" s="3" t="str">
        <f>+VLOOKUP(B603,studies!$A$2:$C$102,3)</f>
        <v>Kopp et al. (2012)</v>
      </c>
      <c r="B603" s="87">
        <v>78</v>
      </c>
      <c r="C603" s="5">
        <v>2012</v>
      </c>
      <c r="D603" s="5">
        <v>1</v>
      </c>
      <c r="E603" s="48">
        <v>2005</v>
      </c>
      <c r="F603" s="5">
        <v>2015</v>
      </c>
      <c r="G603" s="113">
        <v>6.9444444444444441E-3</v>
      </c>
      <c r="H603" s="7">
        <v>75.054833020424397</v>
      </c>
      <c r="I603" s="5">
        <v>0</v>
      </c>
      <c r="J603" s="5">
        <v>0</v>
      </c>
      <c r="K603" s="5">
        <v>1</v>
      </c>
      <c r="L603" s="7" t="s">
        <v>238</v>
      </c>
      <c r="M603" s="7">
        <v>30.634625722622204</v>
      </c>
      <c r="N603" s="7">
        <v>1524.0726297004549</v>
      </c>
      <c r="O603" s="5">
        <v>0</v>
      </c>
      <c r="P603" s="5">
        <v>1</v>
      </c>
      <c r="Q603" s="5">
        <v>0</v>
      </c>
      <c r="R603" s="5">
        <v>1</v>
      </c>
      <c r="S603" s="5">
        <v>0</v>
      </c>
      <c r="T603" s="5">
        <v>1</v>
      </c>
      <c r="U603" s="5">
        <v>0</v>
      </c>
      <c r="V603" s="13">
        <v>3</v>
      </c>
      <c r="W603" s="13">
        <v>3</v>
      </c>
      <c r="X603" s="5"/>
      <c r="Y603" s="5"/>
      <c r="Z603" s="5"/>
      <c r="AA603" s="5">
        <v>0</v>
      </c>
      <c r="AB603" s="5"/>
      <c r="AC603" s="5">
        <v>0</v>
      </c>
      <c r="AD603" s="5">
        <v>0</v>
      </c>
      <c r="AE603" s="5">
        <v>0</v>
      </c>
      <c r="AF603" s="5">
        <v>1</v>
      </c>
    </row>
    <row r="604" spans="1:32" x14ac:dyDescent="0.2">
      <c r="A604" s="3" t="str">
        <f>+VLOOKUP(B604,studies!$A$2:$C$102,3)</f>
        <v>Kopp et al. (2012)</v>
      </c>
      <c r="B604" s="87">
        <v>78</v>
      </c>
      <c r="C604" s="5">
        <v>2012</v>
      </c>
      <c r="D604" s="5">
        <v>1</v>
      </c>
      <c r="E604" s="48">
        <v>2005</v>
      </c>
      <c r="F604" s="5">
        <v>2015</v>
      </c>
      <c r="G604" s="113">
        <v>6.9444444444444441E-3</v>
      </c>
      <c r="H604" s="7">
        <v>105.07676622859417</v>
      </c>
      <c r="I604" s="5">
        <v>0</v>
      </c>
      <c r="J604" s="5">
        <v>0</v>
      </c>
      <c r="K604" s="5">
        <v>1</v>
      </c>
      <c r="L604" s="7" t="s">
        <v>238</v>
      </c>
      <c r="M604" s="7">
        <v>45.951938583933305</v>
      </c>
      <c r="N604" s="7">
        <v>1853.3948562186431</v>
      </c>
      <c r="O604" s="5">
        <v>0</v>
      </c>
      <c r="P604" s="5">
        <v>1</v>
      </c>
      <c r="Q604" s="5">
        <v>0</v>
      </c>
      <c r="R604" s="5">
        <v>1</v>
      </c>
      <c r="S604" s="5">
        <v>0</v>
      </c>
      <c r="T604" s="5">
        <v>1</v>
      </c>
      <c r="U604" s="5">
        <v>0</v>
      </c>
      <c r="V604" s="13">
        <v>3</v>
      </c>
      <c r="W604" s="13">
        <v>3</v>
      </c>
      <c r="X604" s="5"/>
      <c r="Y604" s="5"/>
      <c r="Z604" s="5"/>
      <c r="AA604" s="5">
        <v>0</v>
      </c>
      <c r="AB604" s="5"/>
      <c r="AC604" s="5">
        <v>0</v>
      </c>
      <c r="AD604" s="5">
        <v>0</v>
      </c>
      <c r="AE604" s="5">
        <v>0</v>
      </c>
      <c r="AF604" s="5">
        <v>1</v>
      </c>
    </row>
    <row r="605" spans="1:32" x14ac:dyDescent="0.2">
      <c r="A605" s="3" t="str">
        <f>+VLOOKUP(B605,studies!$A$2:$C$102,3)</f>
        <v>Kopp et al. (2012)</v>
      </c>
      <c r="B605" s="87">
        <v>78</v>
      </c>
      <c r="C605" s="5">
        <v>2012</v>
      </c>
      <c r="D605" s="5">
        <v>1</v>
      </c>
      <c r="E605" s="48">
        <v>2005</v>
      </c>
      <c r="F605" s="5">
        <v>2015</v>
      </c>
      <c r="G605" s="113">
        <v>6.9444444444444441E-3</v>
      </c>
      <c r="H605" s="7">
        <v>75.054833020424397</v>
      </c>
      <c r="I605" s="5">
        <v>0</v>
      </c>
      <c r="J605" s="5">
        <v>0</v>
      </c>
      <c r="K605" s="5">
        <v>1</v>
      </c>
      <c r="L605" s="7" t="s">
        <v>238</v>
      </c>
      <c r="M605" s="7">
        <v>30.634625722622204</v>
      </c>
      <c r="N605" s="7">
        <v>1393.8754703793104</v>
      </c>
      <c r="O605" s="5">
        <v>0</v>
      </c>
      <c r="P605" s="5">
        <v>1</v>
      </c>
      <c r="Q605" s="5">
        <v>0</v>
      </c>
      <c r="R605" s="5">
        <v>1</v>
      </c>
      <c r="S605" s="5">
        <v>0</v>
      </c>
      <c r="T605" s="5">
        <v>1</v>
      </c>
      <c r="U605" s="5">
        <v>0</v>
      </c>
      <c r="V605" s="13">
        <v>3</v>
      </c>
      <c r="W605" s="13">
        <v>3</v>
      </c>
      <c r="X605" s="5"/>
      <c r="Y605" s="5"/>
      <c r="Z605" s="5"/>
      <c r="AA605" s="5">
        <v>0</v>
      </c>
      <c r="AB605" s="5"/>
      <c r="AC605" s="5">
        <v>0</v>
      </c>
      <c r="AD605" s="5">
        <v>0</v>
      </c>
      <c r="AE605" s="5">
        <v>0</v>
      </c>
      <c r="AF605" s="5">
        <v>1</v>
      </c>
    </row>
    <row r="606" spans="1:32" x14ac:dyDescent="0.2">
      <c r="A606" s="3" t="str">
        <f>+VLOOKUP(B606,studies!$A$2:$C$102,3)</f>
        <v>Kopp et al. (2012)</v>
      </c>
      <c r="B606" s="87">
        <v>78</v>
      </c>
      <c r="C606" s="5">
        <v>2012</v>
      </c>
      <c r="D606" s="5">
        <v>1</v>
      </c>
      <c r="E606" s="48">
        <v>2005</v>
      </c>
      <c r="F606" s="5">
        <v>2015</v>
      </c>
      <c r="G606" s="113">
        <v>6.9444444444444441E-3</v>
      </c>
      <c r="H606" s="7">
        <v>525.38383114297085</v>
      </c>
      <c r="I606" s="5">
        <v>0</v>
      </c>
      <c r="J606" s="5">
        <v>0</v>
      </c>
      <c r="K606" s="5">
        <v>1</v>
      </c>
      <c r="L606" s="7" t="s">
        <v>238</v>
      </c>
      <c r="M606" s="7">
        <v>145.51447218245548</v>
      </c>
      <c r="N606" s="7">
        <v>405.90879082474419</v>
      </c>
      <c r="O606" s="5">
        <v>0</v>
      </c>
      <c r="P606" s="5">
        <v>1</v>
      </c>
      <c r="Q606" s="5">
        <v>0</v>
      </c>
      <c r="R606" s="5">
        <v>1</v>
      </c>
      <c r="S606" s="5">
        <v>0</v>
      </c>
      <c r="T606" s="5">
        <v>1</v>
      </c>
      <c r="U606" s="5">
        <v>0</v>
      </c>
      <c r="V606" s="13">
        <v>3</v>
      </c>
      <c r="W606" s="13">
        <v>0.95</v>
      </c>
      <c r="X606" s="5"/>
      <c r="Y606" s="5"/>
      <c r="Z606" s="5"/>
      <c r="AA606" s="5">
        <v>0</v>
      </c>
      <c r="AB606" s="5"/>
      <c r="AC606" s="5">
        <v>0</v>
      </c>
      <c r="AD606" s="5">
        <v>0</v>
      </c>
      <c r="AE606" s="5">
        <v>0</v>
      </c>
      <c r="AF606" s="5">
        <v>1</v>
      </c>
    </row>
    <row r="607" spans="1:32" x14ac:dyDescent="0.2">
      <c r="A607" s="3" t="str">
        <f>+VLOOKUP(B607,studies!$A$2:$C$102,3)</f>
        <v>Kopp et al. (2012)</v>
      </c>
      <c r="B607" s="87">
        <v>78</v>
      </c>
      <c r="C607" s="5">
        <v>2012</v>
      </c>
      <c r="D607" s="5">
        <v>1</v>
      </c>
      <c r="E607" s="48">
        <v>2005</v>
      </c>
      <c r="F607" s="5">
        <v>2015</v>
      </c>
      <c r="G607" s="113">
        <v>6.9444444444444441E-3</v>
      </c>
      <c r="H607" s="7">
        <v>540.39479774705569</v>
      </c>
      <c r="I607" s="5">
        <v>0</v>
      </c>
      <c r="J607" s="5">
        <v>0</v>
      </c>
      <c r="K607" s="5">
        <v>1</v>
      </c>
      <c r="L607" s="7" t="s">
        <v>238</v>
      </c>
      <c r="M607" s="7">
        <v>153.17312861311103</v>
      </c>
      <c r="N607" s="7">
        <v>428.88476011671082</v>
      </c>
      <c r="O607" s="5">
        <v>0</v>
      </c>
      <c r="P607" s="5">
        <v>1</v>
      </c>
      <c r="Q607" s="5">
        <v>0</v>
      </c>
      <c r="R607" s="5">
        <v>1</v>
      </c>
      <c r="S607" s="5">
        <v>0</v>
      </c>
      <c r="T607" s="5">
        <v>1</v>
      </c>
      <c r="U607" s="5">
        <v>0</v>
      </c>
      <c r="V607" s="13">
        <v>3</v>
      </c>
      <c r="W607" s="13">
        <v>0.95</v>
      </c>
      <c r="X607" s="5"/>
      <c r="Y607" s="5"/>
      <c r="Z607" s="5"/>
      <c r="AA607" s="5">
        <v>0</v>
      </c>
      <c r="AB607" s="5"/>
      <c r="AC607" s="5">
        <v>0</v>
      </c>
      <c r="AD607" s="5">
        <v>0</v>
      </c>
      <c r="AE607" s="5">
        <v>0</v>
      </c>
      <c r="AF607" s="5">
        <v>1</v>
      </c>
    </row>
    <row r="608" spans="1:32" x14ac:dyDescent="0.2">
      <c r="A608" s="3" t="str">
        <f>+VLOOKUP(B608,studies!$A$2:$C$102,3)</f>
        <v>Kopp et al. (2012)</v>
      </c>
      <c r="B608" s="87">
        <v>78</v>
      </c>
      <c r="C608" s="5">
        <v>2012</v>
      </c>
      <c r="D608" s="5">
        <v>1</v>
      </c>
      <c r="E608" s="48">
        <v>2005</v>
      </c>
      <c r="F608" s="5">
        <v>2015</v>
      </c>
      <c r="G608" s="113">
        <v>6.9444444444444441E-3</v>
      </c>
      <c r="H608" s="7">
        <v>480.35093133071615</v>
      </c>
      <c r="I608" s="5">
        <v>0</v>
      </c>
      <c r="J608" s="5">
        <v>0</v>
      </c>
      <c r="K608" s="5">
        <v>1</v>
      </c>
      <c r="L608" s="7" t="s">
        <v>238</v>
      </c>
      <c r="M608" s="7">
        <v>145.51447218245548</v>
      </c>
      <c r="N608" s="7">
        <v>398.25013439408872</v>
      </c>
      <c r="O608" s="5">
        <v>0</v>
      </c>
      <c r="P608" s="5">
        <v>1</v>
      </c>
      <c r="Q608" s="5">
        <v>0</v>
      </c>
      <c r="R608" s="5">
        <v>1</v>
      </c>
      <c r="S608" s="5">
        <v>0</v>
      </c>
      <c r="T608" s="5">
        <v>1</v>
      </c>
      <c r="U608" s="5">
        <v>0</v>
      </c>
      <c r="V608" s="13">
        <v>3</v>
      </c>
      <c r="W608" s="13">
        <v>0.95</v>
      </c>
      <c r="X608" s="5"/>
      <c r="Y608" s="5"/>
      <c r="Z608" s="5"/>
      <c r="AA608" s="5">
        <v>0</v>
      </c>
      <c r="AB608" s="5"/>
      <c r="AC608" s="5">
        <v>0</v>
      </c>
      <c r="AD608" s="5">
        <v>0</v>
      </c>
      <c r="AE608" s="5">
        <v>0</v>
      </c>
      <c r="AF608" s="5">
        <v>1</v>
      </c>
    </row>
    <row r="609" spans="1:32" x14ac:dyDescent="0.2">
      <c r="A609" s="3" t="str">
        <f>+VLOOKUP(B609,studies!$A$2:$C$102,3)</f>
        <v>Kopp et al. (2012)</v>
      </c>
      <c r="B609" s="87">
        <v>78</v>
      </c>
      <c r="C609" s="5">
        <v>2012</v>
      </c>
      <c r="D609" s="5">
        <v>1</v>
      </c>
      <c r="E609" s="48">
        <v>2005</v>
      </c>
      <c r="F609" s="5">
        <v>2015</v>
      </c>
      <c r="G609" s="113">
        <v>6.9444444444444441E-3</v>
      </c>
      <c r="H609" s="7">
        <v>915.66896284917766</v>
      </c>
      <c r="I609" s="5">
        <v>0</v>
      </c>
      <c r="J609" s="5">
        <v>0</v>
      </c>
      <c r="K609" s="5">
        <v>1</v>
      </c>
      <c r="L609" s="7" t="s">
        <v>238</v>
      </c>
      <c r="M609" s="7">
        <v>268.05297507294426</v>
      </c>
      <c r="N609" s="7">
        <v>750.54833020424417</v>
      </c>
      <c r="O609" s="5">
        <v>0</v>
      </c>
      <c r="P609" s="5">
        <v>1</v>
      </c>
      <c r="Q609" s="5">
        <v>0</v>
      </c>
      <c r="R609" s="5">
        <v>1</v>
      </c>
      <c r="S609" s="5">
        <v>0</v>
      </c>
      <c r="T609" s="5">
        <v>1</v>
      </c>
      <c r="U609" s="5">
        <v>0</v>
      </c>
      <c r="V609" s="13">
        <v>3</v>
      </c>
      <c r="W609" s="13">
        <v>0.95</v>
      </c>
      <c r="X609" s="5"/>
      <c r="Y609" s="5"/>
      <c r="Z609" s="5"/>
      <c r="AA609" s="5">
        <v>0</v>
      </c>
      <c r="AB609" s="5"/>
      <c r="AC609" s="5">
        <v>0</v>
      </c>
      <c r="AD609" s="5">
        <v>0</v>
      </c>
      <c r="AE609" s="5">
        <v>0</v>
      </c>
      <c r="AF609" s="5">
        <v>1</v>
      </c>
    </row>
    <row r="610" spans="1:32" x14ac:dyDescent="0.2">
      <c r="A610" s="3" t="str">
        <f>+VLOOKUP(B610,studies!$A$2:$C$102,3)</f>
        <v>Kopp et al. (2012)</v>
      </c>
      <c r="B610" s="87">
        <v>78</v>
      </c>
      <c r="C610" s="5">
        <v>2012</v>
      </c>
      <c r="D610" s="5">
        <v>1</v>
      </c>
      <c r="E610" s="48">
        <v>2005</v>
      </c>
      <c r="F610" s="5">
        <v>2015</v>
      </c>
      <c r="G610" s="113">
        <v>6.9444444444444441E-3</v>
      </c>
      <c r="H610" s="7">
        <v>525.38383114297085</v>
      </c>
      <c r="I610" s="5">
        <v>0</v>
      </c>
      <c r="J610" s="5">
        <v>0</v>
      </c>
      <c r="K610" s="5">
        <v>1</v>
      </c>
      <c r="L610" s="7" t="s">
        <v>238</v>
      </c>
      <c r="M610" s="7">
        <v>145.51447218245548</v>
      </c>
      <c r="N610" s="7">
        <v>382.93282153277761</v>
      </c>
      <c r="O610" s="5">
        <v>0</v>
      </c>
      <c r="P610" s="5">
        <v>1</v>
      </c>
      <c r="Q610" s="5">
        <v>0</v>
      </c>
      <c r="R610" s="5">
        <v>1</v>
      </c>
      <c r="S610" s="5">
        <v>0</v>
      </c>
      <c r="T610" s="5">
        <v>1</v>
      </c>
      <c r="U610" s="5">
        <v>0</v>
      </c>
      <c r="V610" s="13">
        <v>3</v>
      </c>
      <c r="W610" s="13">
        <v>0.95</v>
      </c>
      <c r="X610" s="5"/>
      <c r="Y610" s="5"/>
      <c r="Z610" s="5"/>
      <c r="AA610" s="5">
        <v>0</v>
      </c>
      <c r="AB610" s="5"/>
      <c r="AC610" s="5">
        <v>0</v>
      </c>
      <c r="AD610" s="5">
        <v>0</v>
      </c>
      <c r="AE610" s="5">
        <v>0</v>
      </c>
      <c r="AF610" s="5">
        <v>1</v>
      </c>
    </row>
    <row r="611" spans="1:32" x14ac:dyDescent="0.2">
      <c r="A611" s="3" t="str">
        <f>+VLOOKUP(B611,studies!$A$2:$C$102,3)</f>
        <v>Kopp et al. (2012)</v>
      </c>
      <c r="B611" s="87">
        <v>78</v>
      </c>
      <c r="C611" s="5">
        <v>2012</v>
      </c>
      <c r="D611" s="5">
        <v>1</v>
      </c>
      <c r="E611" s="48">
        <v>2005</v>
      </c>
      <c r="F611" s="5">
        <v>2015</v>
      </c>
      <c r="G611" s="113">
        <v>6.9444444444444441E-3</v>
      </c>
      <c r="H611" s="7">
        <v>1365.9979609717241</v>
      </c>
      <c r="I611" s="5">
        <v>0</v>
      </c>
      <c r="J611" s="5">
        <v>0</v>
      </c>
      <c r="K611" s="5">
        <v>1</v>
      </c>
      <c r="L611" s="7" t="s">
        <v>238</v>
      </c>
      <c r="M611" s="7">
        <v>413.56744725539983</v>
      </c>
      <c r="N611" s="7">
        <v>1095.1878695837438</v>
      </c>
      <c r="O611" s="5">
        <v>0</v>
      </c>
      <c r="P611" s="5">
        <v>1</v>
      </c>
      <c r="Q611" s="5">
        <v>0</v>
      </c>
      <c r="R611" s="5">
        <v>1</v>
      </c>
      <c r="S611" s="5">
        <v>0</v>
      </c>
      <c r="T611" s="5">
        <v>1</v>
      </c>
      <c r="U611" s="5">
        <v>0</v>
      </c>
      <c r="V611" s="13">
        <v>3</v>
      </c>
      <c r="W611" s="13">
        <v>0.95</v>
      </c>
      <c r="X611" s="5"/>
      <c r="Y611" s="5"/>
      <c r="Z611" s="5"/>
      <c r="AA611" s="5">
        <v>0</v>
      </c>
      <c r="AB611" s="5"/>
      <c r="AC611" s="5">
        <v>0</v>
      </c>
      <c r="AD611" s="5">
        <v>0</v>
      </c>
      <c r="AE611" s="5">
        <v>0</v>
      </c>
      <c r="AF611" s="5">
        <v>1</v>
      </c>
    </row>
    <row r="612" spans="1:32" x14ac:dyDescent="0.2">
      <c r="A612" s="3" t="str">
        <f>+VLOOKUP(B612,studies!$A$2:$C$102,3)</f>
        <v>Kopp et al. (2012)</v>
      </c>
      <c r="B612" s="87">
        <v>78</v>
      </c>
      <c r="C612" s="5">
        <v>2012</v>
      </c>
      <c r="D612" s="5">
        <v>1</v>
      </c>
      <c r="E612" s="48">
        <v>2005</v>
      </c>
      <c r="F612" s="5">
        <v>2015</v>
      </c>
      <c r="G612" s="113">
        <v>6.9444444444444441E-3</v>
      </c>
      <c r="H612" s="7">
        <v>390.28513170620693</v>
      </c>
      <c r="I612" s="5">
        <v>0</v>
      </c>
      <c r="J612" s="5">
        <v>0</v>
      </c>
      <c r="K612" s="5">
        <v>1</v>
      </c>
      <c r="L612" s="7" t="s">
        <v>238</v>
      </c>
      <c r="M612" s="7">
        <v>99.56253359852218</v>
      </c>
      <c r="N612" s="7">
        <v>252.73566221163318</v>
      </c>
      <c r="O612" s="5">
        <v>0</v>
      </c>
      <c r="P612" s="5">
        <v>1</v>
      </c>
      <c r="Q612" s="5">
        <v>0</v>
      </c>
      <c r="R612" s="5">
        <v>1</v>
      </c>
      <c r="S612" s="5">
        <v>0</v>
      </c>
      <c r="T612" s="5">
        <v>1</v>
      </c>
      <c r="U612" s="5">
        <v>0</v>
      </c>
      <c r="V612" s="13">
        <v>3</v>
      </c>
      <c r="W612" s="13">
        <v>0.95</v>
      </c>
      <c r="X612" s="5"/>
      <c r="Y612" s="5"/>
      <c r="Z612" s="5"/>
      <c r="AA612" s="5">
        <v>0</v>
      </c>
      <c r="AB612" s="5"/>
      <c r="AC612" s="5">
        <v>0</v>
      </c>
      <c r="AD612" s="5">
        <v>0</v>
      </c>
      <c r="AE612" s="5">
        <v>0</v>
      </c>
      <c r="AF612" s="5">
        <v>1</v>
      </c>
    </row>
    <row r="613" spans="1:32" x14ac:dyDescent="0.2">
      <c r="A613" s="3" t="str">
        <f>+VLOOKUP(B613,studies!$A$2:$C$102,3)</f>
        <v>Kopp et al. (2012)</v>
      </c>
      <c r="B613" s="87">
        <v>78</v>
      </c>
      <c r="C613" s="5">
        <v>2012</v>
      </c>
      <c r="D613" s="5">
        <v>1</v>
      </c>
      <c r="E613" s="48">
        <v>2005</v>
      </c>
      <c r="F613" s="5">
        <v>2015</v>
      </c>
      <c r="G613" s="113">
        <v>6.9444444444444441E-3</v>
      </c>
      <c r="H613" s="7">
        <v>525.38383114297085</v>
      </c>
      <c r="I613" s="5">
        <v>0</v>
      </c>
      <c r="J613" s="5">
        <v>0</v>
      </c>
      <c r="K613" s="5">
        <v>1</v>
      </c>
      <c r="L613" s="7" t="s">
        <v>238</v>
      </c>
      <c r="M613" s="7">
        <v>145.51447218245548</v>
      </c>
      <c r="N613" s="7">
        <v>428.88476011671094</v>
      </c>
      <c r="O613" s="5">
        <v>0</v>
      </c>
      <c r="P613" s="5">
        <v>1</v>
      </c>
      <c r="Q613" s="5">
        <v>0</v>
      </c>
      <c r="R613" s="5">
        <v>1</v>
      </c>
      <c r="S613" s="5">
        <v>0</v>
      </c>
      <c r="T613" s="5">
        <v>1</v>
      </c>
      <c r="U613" s="5">
        <v>0</v>
      </c>
      <c r="V613" s="13">
        <v>3</v>
      </c>
      <c r="W613" s="13">
        <v>0.95</v>
      </c>
      <c r="X613" s="5"/>
      <c r="Y613" s="5"/>
      <c r="Z613" s="5"/>
      <c r="AA613" s="5">
        <v>0</v>
      </c>
      <c r="AB613" s="5"/>
      <c r="AC613" s="5">
        <v>0</v>
      </c>
      <c r="AD613" s="5">
        <v>0</v>
      </c>
      <c r="AE613" s="5">
        <v>0</v>
      </c>
      <c r="AF613" s="5">
        <v>1</v>
      </c>
    </row>
    <row r="614" spans="1:32" x14ac:dyDescent="0.2">
      <c r="A614" s="3" t="str">
        <f>+VLOOKUP(B614,studies!$A$2:$C$102,3)</f>
        <v>Kopp et al. (2012)</v>
      </c>
      <c r="B614" s="87">
        <v>78</v>
      </c>
      <c r="C614" s="5">
        <v>2012</v>
      </c>
      <c r="D614" s="5">
        <v>1</v>
      </c>
      <c r="E614" s="48">
        <v>2005</v>
      </c>
      <c r="F614" s="5">
        <v>2015</v>
      </c>
      <c r="G614" s="113">
        <v>6.9444444444444441E-3</v>
      </c>
      <c r="H614" s="7">
        <v>525.38383114297085</v>
      </c>
      <c r="I614" s="5">
        <v>0</v>
      </c>
      <c r="J614" s="5">
        <v>0</v>
      </c>
      <c r="K614" s="5">
        <v>1</v>
      </c>
      <c r="L614" s="7" t="s">
        <v>238</v>
      </c>
      <c r="M614" s="7">
        <v>145.51447218245548</v>
      </c>
      <c r="N614" s="7">
        <v>405.90879082474419</v>
      </c>
      <c r="O614" s="5">
        <v>0</v>
      </c>
      <c r="P614" s="5">
        <v>1</v>
      </c>
      <c r="Q614" s="5">
        <v>0</v>
      </c>
      <c r="R614" s="5">
        <v>1</v>
      </c>
      <c r="S614" s="5">
        <v>0</v>
      </c>
      <c r="T614" s="5">
        <v>1</v>
      </c>
      <c r="U614" s="5">
        <v>0</v>
      </c>
      <c r="V614" s="13">
        <v>3</v>
      </c>
      <c r="W614" s="13">
        <v>0.95</v>
      </c>
      <c r="X614" s="5"/>
      <c r="Y614" s="5"/>
      <c r="Z614" s="5"/>
      <c r="AA614" s="5">
        <v>0</v>
      </c>
      <c r="AB614" s="5"/>
      <c r="AC614" s="5">
        <v>0</v>
      </c>
      <c r="AD614" s="5">
        <v>0</v>
      </c>
      <c r="AE614" s="5">
        <v>0</v>
      </c>
      <c r="AF614" s="5">
        <v>1</v>
      </c>
    </row>
    <row r="615" spans="1:32" x14ac:dyDescent="0.2">
      <c r="A615" s="3" t="str">
        <f>+VLOOKUP(B615,studies!$A$2:$C$102,3)</f>
        <v>Kopp et al. (2012)</v>
      </c>
      <c r="B615" s="87">
        <v>78</v>
      </c>
      <c r="C615" s="5">
        <v>2012</v>
      </c>
      <c r="D615" s="5">
        <v>1</v>
      </c>
      <c r="E615" s="48">
        <v>2005</v>
      </c>
      <c r="F615" s="5">
        <v>2015</v>
      </c>
      <c r="G615" s="113">
        <v>6.9444444444444441E-3</v>
      </c>
      <c r="H615" s="7">
        <v>585.42769755931033</v>
      </c>
      <c r="I615" s="5">
        <v>0</v>
      </c>
      <c r="J615" s="5">
        <v>0</v>
      </c>
      <c r="K615" s="5">
        <v>1</v>
      </c>
      <c r="L615" s="7" t="s">
        <v>238</v>
      </c>
      <c r="M615" s="7">
        <v>191.4664107663888</v>
      </c>
      <c r="N615" s="7">
        <v>1263.6783110581659</v>
      </c>
      <c r="O615" s="5">
        <v>0</v>
      </c>
      <c r="P615" s="5">
        <v>1</v>
      </c>
      <c r="Q615" s="5">
        <v>0</v>
      </c>
      <c r="R615" s="5">
        <v>1</v>
      </c>
      <c r="S615" s="5">
        <v>0</v>
      </c>
      <c r="T615" s="5">
        <v>1</v>
      </c>
      <c r="U615" s="5">
        <v>0</v>
      </c>
      <c r="V615" s="13">
        <v>3</v>
      </c>
      <c r="W615" s="13">
        <v>0.95</v>
      </c>
      <c r="X615" s="5"/>
      <c r="Y615" s="5"/>
      <c r="Z615" s="5"/>
      <c r="AA615" s="5">
        <v>0</v>
      </c>
      <c r="AB615" s="5"/>
      <c r="AC615" s="5">
        <v>0</v>
      </c>
      <c r="AD615" s="5">
        <v>0</v>
      </c>
      <c r="AE615" s="5">
        <v>0</v>
      </c>
      <c r="AF615" s="5">
        <v>1</v>
      </c>
    </row>
    <row r="616" spans="1:32" x14ac:dyDescent="0.2">
      <c r="A616" s="3" t="str">
        <f>+VLOOKUP(B616,studies!$A$2:$C$102,3)</f>
        <v>Kopp et al. (2012)</v>
      </c>
      <c r="B616" s="87">
        <v>78</v>
      </c>
      <c r="C616" s="5">
        <v>2012</v>
      </c>
      <c r="D616" s="5">
        <v>1</v>
      </c>
      <c r="E616" s="48">
        <v>2005</v>
      </c>
      <c r="F616" s="5">
        <v>2015</v>
      </c>
      <c r="G616" s="113">
        <v>6.9444444444444441E-3</v>
      </c>
      <c r="H616" s="7">
        <v>195.14256585310346</v>
      </c>
      <c r="I616" s="5">
        <v>0</v>
      </c>
      <c r="J616" s="5">
        <v>0</v>
      </c>
      <c r="K616" s="5">
        <v>1</v>
      </c>
      <c r="L616" s="7" t="s">
        <v>238</v>
      </c>
      <c r="M616" s="7">
        <v>53.610595014588867</v>
      </c>
      <c r="N616" s="7">
        <v>1248.3609981968548</v>
      </c>
      <c r="O616" s="5">
        <v>0</v>
      </c>
      <c r="P616" s="5">
        <v>1</v>
      </c>
      <c r="Q616" s="5">
        <v>0</v>
      </c>
      <c r="R616" s="5">
        <v>1</v>
      </c>
      <c r="S616" s="5">
        <v>0</v>
      </c>
      <c r="T616" s="5">
        <v>1</v>
      </c>
      <c r="U616" s="5">
        <v>0</v>
      </c>
      <c r="V616" s="13">
        <v>3</v>
      </c>
      <c r="W616" s="13">
        <v>0.95</v>
      </c>
      <c r="X616" s="5"/>
      <c r="Y616" s="5"/>
      <c r="Z616" s="5"/>
      <c r="AA616" s="5">
        <v>0</v>
      </c>
      <c r="AB616" s="5"/>
      <c r="AC616" s="5">
        <v>0</v>
      </c>
      <c r="AD616" s="5">
        <v>0</v>
      </c>
      <c r="AE616" s="5">
        <v>0</v>
      </c>
      <c r="AF616" s="5">
        <v>1</v>
      </c>
    </row>
    <row r="617" spans="1:32" x14ac:dyDescent="0.2">
      <c r="A617" s="3" t="str">
        <f>+VLOOKUP(B617,studies!$A$2:$C$102,3)</f>
        <v>Kopp et al. (2012)</v>
      </c>
      <c r="B617" s="87">
        <v>78</v>
      </c>
      <c r="C617" s="5">
        <v>2012</v>
      </c>
      <c r="D617" s="5">
        <v>1</v>
      </c>
      <c r="E617" s="48">
        <v>2005</v>
      </c>
      <c r="F617" s="5">
        <v>2015</v>
      </c>
      <c r="G617" s="113">
        <v>6.9444444444444441E-3</v>
      </c>
      <c r="H617" s="7">
        <v>135.09869943676392</v>
      </c>
      <c r="I617" s="5">
        <v>0</v>
      </c>
      <c r="J617" s="5">
        <v>0</v>
      </c>
      <c r="K617" s="5">
        <v>1</v>
      </c>
      <c r="L617" s="7" t="s">
        <v>238</v>
      </c>
      <c r="M617" s="7">
        <v>38.293282153277758</v>
      </c>
      <c r="N617" s="7">
        <v>1263.6783110581659</v>
      </c>
      <c r="O617" s="5">
        <v>0</v>
      </c>
      <c r="P617" s="5">
        <v>1</v>
      </c>
      <c r="Q617" s="5">
        <v>0</v>
      </c>
      <c r="R617" s="5">
        <v>1</v>
      </c>
      <c r="S617" s="5">
        <v>0</v>
      </c>
      <c r="T617" s="5">
        <v>1</v>
      </c>
      <c r="U617" s="5">
        <v>0</v>
      </c>
      <c r="V617" s="13">
        <v>3</v>
      </c>
      <c r="W617" s="13">
        <v>0.95</v>
      </c>
      <c r="X617" s="5"/>
      <c r="Y617" s="5"/>
      <c r="Z617" s="5"/>
      <c r="AA617" s="5">
        <v>0</v>
      </c>
      <c r="AB617" s="5"/>
      <c r="AC617" s="5">
        <v>0</v>
      </c>
      <c r="AD617" s="5">
        <v>0</v>
      </c>
      <c r="AE617" s="5">
        <v>0</v>
      </c>
      <c r="AF617" s="5">
        <v>1</v>
      </c>
    </row>
    <row r="618" spans="1:32" x14ac:dyDescent="0.2">
      <c r="A618" s="3" t="str">
        <f>+VLOOKUP(B618,studies!$A$2:$C$102,3)</f>
        <v>Kopp et al. (2012)</v>
      </c>
      <c r="B618" s="87">
        <v>78</v>
      </c>
      <c r="C618" s="5">
        <v>2012</v>
      </c>
      <c r="D618" s="5">
        <v>1</v>
      </c>
      <c r="E618" s="48">
        <v>2005</v>
      </c>
      <c r="F618" s="5">
        <v>2015</v>
      </c>
      <c r="G618" s="113">
        <v>6.9444444444444441E-3</v>
      </c>
      <c r="H618" s="7">
        <v>270.19739887352785</v>
      </c>
      <c r="I618" s="5">
        <v>0</v>
      </c>
      <c r="J618" s="5">
        <v>0</v>
      </c>
      <c r="K618" s="5">
        <v>1</v>
      </c>
      <c r="L618" s="7" t="s">
        <v>238</v>
      </c>
      <c r="M618" s="7">
        <v>76.586564306555516</v>
      </c>
      <c r="N618" s="7">
        <v>2067.8372362769987</v>
      </c>
      <c r="O618" s="5">
        <v>0</v>
      </c>
      <c r="P618" s="5">
        <v>1</v>
      </c>
      <c r="Q618" s="5">
        <v>0</v>
      </c>
      <c r="R618" s="5">
        <v>1</v>
      </c>
      <c r="S618" s="5">
        <v>0</v>
      </c>
      <c r="T618" s="5">
        <v>1</v>
      </c>
      <c r="U618" s="5">
        <v>0</v>
      </c>
      <c r="V618" s="13">
        <v>3</v>
      </c>
      <c r="W618" s="13">
        <v>0.95</v>
      </c>
      <c r="X618" s="5"/>
      <c r="Y618" s="5"/>
      <c r="Z618" s="5"/>
      <c r="AA618" s="5">
        <v>0</v>
      </c>
      <c r="AB618" s="5"/>
      <c r="AC618" s="5">
        <v>0</v>
      </c>
      <c r="AD618" s="5">
        <v>0</v>
      </c>
      <c r="AE618" s="5">
        <v>0</v>
      </c>
      <c r="AF618" s="5">
        <v>1</v>
      </c>
    </row>
    <row r="619" spans="1:32" x14ac:dyDescent="0.2">
      <c r="A619" s="3" t="str">
        <f>+VLOOKUP(B619,studies!$A$2:$C$102,3)</f>
        <v>Kopp et al. (2012)</v>
      </c>
      <c r="B619" s="87">
        <v>78</v>
      </c>
      <c r="C619" s="5">
        <v>2012</v>
      </c>
      <c r="D619" s="5">
        <v>1</v>
      </c>
      <c r="E619" s="48">
        <v>2005</v>
      </c>
      <c r="F619" s="5">
        <v>2015</v>
      </c>
      <c r="G619" s="113">
        <v>6.9444444444444441E-3</v>
      </c>
      <c r="H619" s="7">
        <v>150.10966604084879</v>
      </c>
      <c r="I619" s="5">
        <v>0</v>
      </c>
      <c r="J619" s="5">
        <v>0</v>
      </c>
      <c r="K619" s="5">
        <v>1</v>
      </c>
      <c r="L619" s="7" t="s">
        <v>238</v>
      </c>
      <c r="M619" s="7">
        <v>38.293282153277758</v>
      </c>
      <c r="N619" s="7">
        <v>1194.7504031822659</v>
      </c>
      <c r="O619" s="5">
        <v>0</v>
      </c>
      <c r="P619" s="5">
        <v>1</v>
      </c>
      <c r="Q619" s="5">
        <v>0</v>
      </c>
      <c r="R619" s="5">
        <v>1</v>
      </c>
      <c r="S619" s="5">
        <v>0</v>
      </c>
      <c r="T619" s="5">
        <v>1</v>
      </c>
      <c r="U619" s="5">
        <v>0</v>
      </c>
      <c r="V619" s="13">
        <v>3</v>
      </c>
      <c r="W619" s="13">
        <v>0.95</v>
      </c>
      <c r="X619" s="5"/>
      <c r="Y619" s="5"/>
      <c r="Z619" s="5"/>
      <c r="AA619" s="5">
        <v>0</v>
      </c>
      <c r="AB619" s="5"/>
      <c r="AC619" s="5">
        <v>0</v>
      </c>
      <c r="AD619" s="5">
        <v>0</v>
      </c>
      <c r="AE619" s="5">
        <v>0</v>
      </c>
      <c r="AF619" s="5">
        <v>1</v>
      </c>
    </row>
    <row r="620" spans="1:32" x14ac:dyDescent="0.2">
      <c r="A620" s="3" t="str">
        <f>+VLOOKUP(B620,studies!$A$2:$C$102,3)</f>
        <v>Kopp et al. (2012)</v>
      </c>
      <c r="B620" s="87">
        <v>78</v>
      </c>
      <c r="C620" s="5">
        <v>2012</v>
      </c>
      <c r="D620" s="5">
        <v>1</v>
      </c>
      <c r="E620" s="48">
        <v>2005</v>
      </c>
      <c r="F620" s="5">
        <v>2015</v>
      </c>
      <c r="G620" s="113">
        <v>6.9444444444444441E-3</v>
      </c>
      <c r="H620" s="7">
        <v>105.07676622859417</v>
      </c>
      <c r="I620" s="5">
        <v>0</v>
      </c>
      <c r="J620" s="5">
        <v>0</v>
      </c>
      <c r="K620" s="5">
        <v>1</v>
      </c>
      <c r="L620" s="7" t="s">
        <v>238</v>
      </c>
      <c r="M620" s="7">
        <v>45.951938583933305</v>
      </c>
      <c r="N620" s="7">
        <v>2389.5008063645319</v>
      </c>
      <c r="O620" s="5">
        <v>0</v>
      </c>
      <c r="P620" s="5">
        <v>1</v>
      </c>
      <c r="Q620" s="5">
        <v>0</v>
      </c>
      <c r="R620" s="5">
        <v>1</v>
      </c>
      <c r="S620" s="5">
        <v>0</v>
      </c>
      <c r="T620" s="5">
        <v>1</v>
      </c>
      <c r="U620" s="5">
        <v>0</v>
      </c>
      <c r="V620" s="13">
        <v>3</v>
      </c>
      <c r="W620" s="13">
        <v>0.95</v>
      </c>
      <c r="X620" s="5"/>
      <c r="Y620" s="5"/>
      <c r="Z620" s="5"/>
      <c r="AA620" s="5">
        <v>0</v>
      </c>
      <c r="AB620" s="5"/>
      <c r="AC620" s="5">
        <v>0</v>
      </c>
      <c r="AD620" s="5">
        <v>0</v>
      </c>
      <c r="AE620" s="5">
        <v>0</v>
      </c>
      <c r="AF620" s="5">
        <v>1</v>
      </c>
    </row>
    <row r="621" spans="1:32" x14ac:dyDescent="0.2">
      <c r="A621" s="3" t="str">
        <f>+VLOOKUP(B621,studies!$A$2:$C$102,3)</f>
        <v>Kopp et al. (2012)</v>
      </c>
      <c r="B621" s="87">
        <v>78</v>
      </c>
      <c r="C621" s="5">
        <v>2012</v>
      </c>
      <c r="D621" s="5">
        <v>1</v>
      </c>
      <c r="E621" s="48">
        <v>2005</v>
      </c>
      <c r="F621" s="5">
        <v>2015</v>
      </c>
      <c r="G621" s="113">
        <v>6.9444444444444441E-3</v>
      </c>
      <c r="H621" s="7">
        <v>90.065799624509282</v>
      </c>
      <c r="I621" s="5">
        <v>0</v>
      </c>
      <c r="J621" s="5">
        <v>0</v>
      </c>
      <c r="K621" s="5">
        <v>1</v>
      </c>
      <c r="L621" s="7" t="s">
        <v>238</v>
      </c>
      <c r="M621" s="7">
        <v>38.293282153277758</v>
      </c>
      <c r="N621" s="7">
        <v>2167.3997698755211</v>
      </c>
      <c r="O621" s="5">
        <v>0</v>
      </c>
      <c r="P621" s="5">
        <v>1</v>
      </c>
      <c r="Q621" s="5">
        <v>0</v>
      </c>
      <c r="R621" s="5">
        <v>1</v>
      </c>
      <c r="S621" s="5">
        <v>0</v>
      </c>
      <c r="T621" s="5">
        <v>1</v>
      </c>
      <c r="U621" s="5">
        <v>0</v>
      </c>
      <c r="V621" s="13">
        <v>3</v>
      </c>
      <c r="W621" s="13">
        <v>0.95</v>
      </c>
      <c r="X621" s="5"/>
      <c r="Y621" s="5"/>
      <c r="Z621" s="5"/>
      <c r="AA621" s="5">
        <v>0</v>
      </c>
      <c r="AB621" s="5"/>
      <c r="AC621" s="5">
        <v>0</v>
      </c>
      <c r="AD621" s="5">
        <v>0</v>
      </c>
      <c r="AE621" s="5">
        <v>0</v>
      </c>
      <c r="AF621" s="5">
        <v>1</v>
      </c>
    </row>
    <row r="622" spans="1:32" x14ac:dyDescent="0.2">
      <c r="A622" s="3" t="str">
        <f>+VLOOKUP(B622,studies!$A$2:$C$102,3)</f>
        <v>Kopp et al. (2012)</v>
      </c>
      <c r="B622" s="87">
        <v>78</v>
      </c>
      <c r="C622" s="5">
        <v>2012</v>
      </c>
      <c r="D622" s="5">
        <v>1</v>
      </c>
      <c r="E622" s="48">
        <v>2005</v>
      </c>
      <c r="F622" s="5">
        <v>2015</v>
      </c>
      <c r="G622" s="113">
        <v>6.9444444444444441E-3</v>
      </c>
      <c r="H622" s="7">
        <v>105.07676622859417</v>
      </c>
      <c r="I622" s="5">
        <v>0</v>
      </c>
      <c r="J622" s="5">
        <v>0</v>
      </c>
      <c r="K622" s="5">
        <v>1</v>
      </c>
      <c r="L622" s="7" t="s">
        <v>238</v>
      </c>
      <c r="M622" s="7">
        <v>45.951938583933305</v>
      </c>
      <c r="N622" s="7">
        <v>2780.0922843279645</v>
      </c>
      <c r="O622" s="5">
        <v>0</v>
      </c>
      <c r="P622" s="5">
        <v>1</v>
      </c>
      <c r="Q622" s="5">
        <v>0</v>
      </c>
      <c r="R622" s="5">
        <v>1</v>
      </c>
      <c r="S622" s="5">
        <v>0</v>
      </c>
      <c r="T622" s="5">
        <v>1</v>
      </c>
      <c r="U622" s="5">
        <v>0</v>
      </c>
      <c r="V622" s="13">
        <v>3</v>
      </c>
      <c r="W622" s="13">
        <v>0.95</v>
      </c>
      <c r="X622" s="5"/>
      <c r="Y622" s="5"/>
      <c r="Z622" s="5"/>
      <c r="AA622" s="5">
        <v>0</v>
      </c>
      <c r="AB622" s="5"/>
      <c r="AC622" s="5">
        <v>0</v>
      </c>
      <c r="AD622" s="5">
        <v>0</v>
      </c>
      <c r="AE622" s="5">
        <v>0</v>
      </c>
      <c r="AF622" s="5">
        <v>1</v>
      </c>
    </row>
    <row r="623" spans="1:32" x14ac:dyDescent="0.2">
      <c r="A623" s="3" t="str">
        <f>+VLOOKUP(B623,studies!$A$2:$C$102,3)</f>
        <v>Kopp et al. (2012)</v>
      </c>
      <c r="B623" s="87">
        <v>78</v>
      </c>
      <c r="C623" s="5">
        <v>2012</v>
      </c>
      <c r="D623" s="5">
        <v>1</v>
      </c>
      <c r="E623" s="48">
        <v>2005</v>
      </c>
      <c r="F623" s="5">
        <v>2015</v>
      </c>
      <c r="G623" s="113">
        <v>6.9444444444444441E-3</v>
      </c>
      <c r="H623" s="7">
        <v>90.065799624509282</v>
      </c>
      <c r="I623" s="5">
        <v>0</v>
      </c>
      <c r="J623" s="5">
        <v>0</v>
      </c>
      <c r="K623" s="5">
        <v>1</v>
      </c>
      <c r="L623" s="7" t="s">
        <v>238</v>
      </c>
      <c r="M623" s="7">
        <v>38.293282153277758</v>
      </c>
      <c r="N623" s="7">
        <v>2496.7219963937096</v>
      </c>
      <c r="O623" s="5">
        <v>0</v>
      </c>
      <c r="P623" s="5">
        <v>1</v>
      </c>
      <c r="Q623" s="5">
        <v>0</v>
      </c>
      <c r="R623" s="5">
        <v>1</v>
      </c>
      <c r="S623" s="5">
        <v>0</v>
      </c>
      <c r="T623" s="5">
        <v>1</v>
      </c>
      <c r="U623" s="5">
        <v>0</v>
      </c>
      <c r="V623" s="13">
        <v>3</v>
      </c>
      <c r="W623" s="13">
        <v>0.95</v>
      </c>
      <c r="X623" s="5"/>
      <c r="Y623" s="5"/>
      <c r="Z623" s="5"/>
      <c r="AA623" s="5">
        <v>0</v>
      </c>
      <c r="AB623" s="5"/>
      <c r="AC623" s="5">
        <v>0</v>
      </c>
      <c r="AD623" s="5">
        <v>0</v>
      </c>
      <c r="AE623" s="5">
        <v>0</v>
      </c>
      <c r="AF623" s="5">
        <v>1</v>
      </c>
    </row>
    <row r="624" spans="1:32" x14ac:dyDescent="0.2">
      <c r="A624" s="3" t="str">
        <f>+VLOOKUP(B624,studies!$A$2:$C$102,3)</f>
        <v>Kopp et al. (2012)</v>
      </c>
      <c r="B624" s="87">
        <v>78</v>
      </c>
      <c r="C624" s="5">
        <v>2012</v>
      </c>
      <c r="D624" s="5">
        <v>1</v>
      </c>
      <c r="E624" s="48">
        <v>2005</v>
      </c>
      <c r="F624" s="5">
        <v>2015</v>
      </c>
      <c r="G624" s="113">
        <v>6.9444444444444441E-3</v>
      </c>
      <c r="H624" s="7">
        <v>585.42769755931033</v>
      </c>
      <c r="I624" s="5">
        <v>0</v>
      </c>
      <c r="J624" s="5">
        <v>0</v>
      </c>
      <c r="K624" s="5">
        <v>1</v>
      </c>
      <c r="L624" s="7" t="s">
        <v>238</v>
      </c>
      <c r="M624" s="7">
        <v>168.49044147442211</v>
      </c>
      <c r="N624" s="7">
        <v>482.49535513129979</v>
      </c>
      <c r="O624" s="5">
        <v>0</v>
      </c>
      <c r="P624" s="5">
        <v>1</v>
      </c>
      <c r="Q624" s="5">
        <v>0</v>
      </c>
      <c r="R624" s="5">
        <v>1</v>
      </c>
      <c r="S624" s="5">
        <v>0</v>
      </c>
      <c r="T624" s="5">
        <v>1</v>
      </c>
      <c r="U624" s="5">
        <v>0</v>
      </c>
      <c r="V624" s="13">
        <v>3</v>
      </c>
      <c r="W624" s="13">
        <v>0.14000000000000001</v>
      </c>
      <c r="X624" s="5"/>
      <c r="Y624" s="5"/>
      <c r="Z624" s="5"/>
      <c r="AA624" s="5">
        <v>0</v>
      </c>
      <c r="AB624" s="5"/>
      <c r="AC624" s="5">
        <v>0</v>
      </c>
      <c r="AD624" s="5">
        <v>0</v>
      </c>
      <c r="AE624" s="5">
        <v>0</v>
      </c>
      <c r="AF624" s="5">
        <v>1</v>
      </c>
    </row>
    <row r="625" spans="1:32" x14ac:dyDescent="0.2">
      <c r="A625" s="3" t="str">
        <f>+VLOOKUP(B625,studies!$A$2:$C$102,3)</f>
        <v>Kopp et al. (2012)</v>
      </c>
      <c r="B625" s="87">
        <v>78</v>
      </c>
      <c r="C625" s="5">
        <v>2012</v>
      </c>
      <c r="D625" s="5">
        <v>1</v>
      </c>
      <c r="E625" s="48">
        <v>2005</v>
      </c>
      <c r="F625" s="5">
        <v>2015</v>
      </c>
      <c r="G625" s="113">
        <v>6.9444444444444441E-3</v>
      </c>
      <c r="H625" s="7">
        <v>585.42769755931033</v>
      </c>
      <c r="I625" s="5">
        <v>0</v>
      </c>
      <c r="J625" s="5">
        <v>0</v>
      </c>
      <c r="K625" s="5">
        <v>1</v>
      </c>
      <c r="L625" s="7" t="s">
        <v>238</v>
      </c>
      <c r="M625" s="7">
        <v>168.49044147442211</v>
      </c>
      <c r="N625" s="7">
        <v>520.78863728457748</v>
      </c>
      <c r="O625" s="5">
        <v>0</v>
      </c>
      <c r="P625" s="5">
        <v>1</v>
      </c>
      <c r="Q625" s="5">
        <v>0</v>
      </c>
      <c r="R625" s="5">
        <v>1</v>
      </c>
      <c r="S625" s="5">
        <v>0</v>
      </c>
      <c r="T625" s="5">
        <v>1</v>
      </c>
      <c r="U625" s="5">
        <v>0</v>
      </c>
      <c r="V625" s="13">
        <v>3</v>
      </c>
      <c r="W625" s="13">
        <v>0.14000000000000001</v>
      </c>
      <c r="X625" s="5"/>
      <c r="Y625" s="5"/>
      <c r="Z625" s="5"/>
      <c r="AA625" s="5">
        <v>0</v>
      </c>
      <c r="AB625" s="5"/>
      <c r="AC625" s="5">
        <v>0</v>
      </c>
      <c r="AD625" s="5">
        <v>0</v>
      </c>
      <c r="AE625" s="5">
        <v>0</v>
      </c>
      <c r="AF625" s="5">
        <v>1</v>
      </c>
    </row>
    <row r="626" spans="1:32" x14ac:dyDescent="0.2">
      <c r="A626" s="3" t="str">
        <f>+VLOOKUP(B626,studies!$A$2:$C$102,3)</f>
        <v>Kopp et al. (2012)</v>
      </c>
      <c r="B626" s="87">
        <v>78</v>
      </c>
      <c r="C626" s="5">
        <v>2012</v>
      </c>
      <c r="D626" s="5">
        <v>1</v>
      </c>
      <c r="E626" s="48">
        <v>2005</v>
      </c>
      <c r="F626" s="5">
        <v>2015</v>
      </c>
      <c r="G626" s="113">
        <v>6.9444444444444441E-3</v>
      </c>
      <c r="H626" s="7">
        <v>525.38383114297085</v>
      </c>
      <c r="I626" s="5">
        <v>0</v>
      </c>
      <c r="J626" s="5">
        <v>0</v>
      </c>
      <c r="K626" s="5">
        <v>1</v>
      </c>
      <c r="L626" s="7" t="s">
        <v>238</v>
      </c>
      <c r="M626" s="7">
        <v>160.83178504376656</v>
      </c>
      <c r="N626" s="7">
        <v>459.51938583933315</v>
      </c>
      <c r="O626" s="5">
        <v>0</v>
      </c>
      <c r="P626" s="5">
        <v>1</v>
      </c>
      <c r="Q626" s="5">
        <v>0</v>
      </c>
      <c r="R626" s="5">
        <v>1</v>
      </c>
      <c r="S626" s="5">
        <v>0</v>
      </c>
      <c r="T626" s="5">
        <v>1</v>
      </c>
      <c r="U626" s="5">
        <v>0</v>
      </c>
      <c r="V626" s="13">
        <v>3</v>
      </c>
      <c r="W626" s="13">
        <v>0.14000000000000001</v>
      </c>
      <c r="X626" s="5"/>
      <c r="Y626" s="5"/>
      <c r="Z626" s="5"/>
      <c r="AA626" s="5">
        <v>0</v>
      </c>
      <c r="AB626" s="5"/>
      <c r="AC626" s="5">
        <v>0</v>
      </c>
      <c r="AD626" s="5">
        <v>0</v>
      </c>
      <c r="AE626" s="5">
        <v>0</v>
      </c>
      <c r="AF626" s="5">
        <v>1</v>
      </c>
    </row>
    <row r="627" spans="1:32" x14ac:dyDescent="0.2">
      <c r="A627" s="3" t="str">
        <f>+VLOOKUP(B627,studies!$A$2:$C$102,3)</f>
        <v>Kopp et al. (2012)</v>
      </c>
      <c r="B627" s="87">
        <v>78</v>
      </c>
      <c r="C627" s="5">
        <v>2012</v>
      </c>
      <c r="D627" s="5">
        <v>1</v>
      </c>
      <c r="E627" s="48">
        <v>2005</v>
      </c>
      <c r="F627" s="5">
        <v>2015</v>
      </c>
      <c r="G627" s="113">
        <v>6.9444444444444441E-3</v>
      </c>
      <c r="H627" s="7">
        <v>1080.7895954941114</v>
      </c>
      <c r="I627" s="5">
        <v>0</v>
      </c>
      <c r="J627" s="5">
        <v>0</v>
      </c>
      <c r="K627" s="5">
        <v>1</v>
      </c>
      <c r="L627" s="7" t="s">
        <v>238</v>
      </c>
      <c r="M627" s="7">
        <v>321.66357008753317</v>
      </c>
      <c r="N627" s="7">
        <v>1041.577274569155</v>
      </c>
      <c r="O627" s="5">
        <v>0</v>
      </c>
      <c r="P627" s="5">
        <v>1</v>
      </c>
      <c r="Q627" s="5">
        <v>0</v>
      </c>
      <c r="R627" s="5">
        <v>1</v>
      </c>
      <c r="S627" s="5">
        <v>0</v>
      </c>
      <c r="T627" s="5">
        <v>1</v>
      </c>
      <c r="U627" s="5">
        <v>0</v>
      </c>
      <c r="V627" s="13">
        <v>3</v>
      </c>
      <c r="W627" s="13">
        <v>0.14000000000000001</v>
      </c>
      <c r="X627" s="5"/>
      <c r="Y627" s="5"/>
      <c r="Z627" s="5"/>
      <c r="AA627" s="5">
        <v>0</v>
      </c>
      <c r="AB627" s="5"/>
      <c r="AC627" s="5">
        <v>0</v>
      </c>
      <c r="AD627" s="5">
        <v>0</v>
      </c>
      <c r="AE627" s="5">
        <v>0</v>
      </c>
      <c r="AF627" s="5">
        <v>1</v>
      </c>
    </row>
    <row r="628" spans="1:32" x14ac:dyDescent="0.2">
      <c r="A628" s="3" t="str">
        <f>+VLOOKUP(B628,studies!$A$2:$C$102,3)</f>
        <v>Kopp et al. (2012)</v>
      </c>
      <c r="B628" s="87">
        <v>78</v>
      </c>
      <c r="C628" s="5">
        <v>2012</v>
      </c>
      <c r="D628" s="5">
        <v>1</v>
      </c>
      <c r="E628" s="48">
        <v>2005</v>
      </c>
      <c r="F628" s="5">
        <v>2015</v>
      </c>
      <c r="G628" s="113">
        <v>6.9444444444444441E-3</v>
      </c>
      <c r="H628" s="7">
        <v>720.52639699607425</v>
      </c>
      <c r="I628" s="5">
        <v>0</v>
      </c>
      <c r="J628" s="5">
        <v>0</v>
      </c>
      <c r="K628" s="5">
        <v>1</v>
      </c>
      <c r="L628" s="7" t="s">
        <v>238</v>
      </c>
      <c r="M628" s="7">
        <v>206.78372362769989</v>
      </c>
      <c r="N628" s="7">
        <v>643.32714017506635</v>
      </c>
      <c r="O628" s="5">
        <v>0</v>
      </c>
      <c r="P628" s="5">
        <v>1</v>
      </c>
      <c r="Q628" s="5">
        <v>0</v>
      </c>
      <c r="R628" s="5">
        <v>1</v>
      </c>
      <c r="S628" s="5">
        <v>0</v>
      </c>
      <c r="T628" s="5">
        <v>1</v>
      </c>
      <c r="U628" s="5">
        <v>0</v>
      </c>
      <c r="V628" s="13">
        <v>3</v>
      </c>
      <c r="W628" s="13">
        <v>0.14000000000000001</v>
      </c>
      <c r="X628" s="5"/>
      <c r="Y628" s="5"/>
      <c r="Z628" s="5"/>
      <c r="AA628" s="5">
        <v>0</v>
      </c>
      <c r="AB628" s="5"/>
      <c r="AC628" s="5">
        <v>0</v>
      </c>
      <c r="AD628" s="5">
        <v>0</v>
      </c>
      <c r="AE628" s="5">
        <v>0</v>
      </c>
      <c r="AF628" s="5">
        <v>1</v>
      </c>
    </row>
    <row r="629" spans="1:32" x14ac:dyDescent="0.2">
      <c r="A629" s="3" t="str">
        <f>+VLOOKUP(B629,studies!$A$2:$C$102,3)</f>
        <v>Kopp et al. (2012)</v>
      </c>
      <c r="B629" s="87">
        <v>78</v>
      </c>
      <c r="C629" s="5">
        <v>2012</v>
      </c>
      <c r="D629" s="5">
        <v>1</v>
      </c>
      <c r="E629" s="48">
        <v>2005</v>
      </c>
      <c r="F629" s="5">
        <v>2015</v>
      </c>
      <c r="G629" s="113">
        <v>6.9444444444444441E-3</v>
      </c>
      <c r="H629" s="7">
        <v>1831.3379256983553</v>
      </c>
      <c r="I629" s="5">
        <v>0</v>
      </c>
      <c r="J629" s="5">
        <v>0</v>
      </c>
      <c r="K629" s="5">
        <v>1</v>
      </c>
      <c r="L629" s="7" t="s">
        <v>238</v>
      </c>
      <c r="M629" s="7">
        <v>566.74057586851075</v>
      </c>
      <c r="N629" s="7">
        <v>1807.4429176347101</v>
      </c>
      <c r="O629" s="5">
        <v>0</v>
      </c>
      <c r="P629" s="5">
        <v>1</v>
      </c>
      <c r="Q629" s="5">
        <v>0</v>
      </c>
      <c r="R629" s="5">
        <v>1</v>
      </c>
      <c r="S629" s="5">
        <v>0</v>
      </c>
      <c r="T629" s="5">
        <v>1</v>
      </c>
      <c r="U629" s="5">
        <v>0</v>
      </c>
      <c r="V629" s="13">
        <v>3</v>
      </c>
      <c r="W629" s="13">
        <v>0.14000000000000001</v>
      </c>
      <c r="X629" s="5"/>
      <c r="Y629" s="5"/>
      <c r="Z629" s="5"/>
      <c r="AA629" s="5">
        <v>0</v>
      </c>
      <c r="AB629" s="5"/>
      <c r="AC629" s="5">
        <v>0</v>
      </c>
      <c r="AD629" s="5">
        <v>0</v>
      </c>
      <c r="AE629" s="5">
        <v>0</v>
      </c>
      <c r="AF629" s="5">
        <v>1</v>
      </c>
    </row>
    <row r="630" spans="1:32" x14ac:dyDescent="0.2">
      <c r="A630" s="3" t="str">
        <f>+VLOOKUP(B630,studies!$A$2:$C$102,3)</f>
        <v>Kopp et al. (2012)</v>
      </c>
      <c r="B630" s="87">
        <v>78</v>
      </c>
      <c r="C630" s="5">
        <v>2012</v>
      </c>
      <c r="D630" s="5">
        <v>1</v>
      </c>
      <c r="E630" s="48">
        <v>2005</v>
      </c>
      <c r="F630" s="5">
        <v>2015</v>
      </c>
      <c r="G630" s="113">
        <v>6.9444444444444441E-3</v>
      </c>
      <c r="H630" s="7">
        <v>420.30706491437667</v>
      </c>
      <c r="I630" s="5">
        <v>0</v>
      </c>
      <c r="J630" s="5">
        <v>0</v>
      </c>
      <c r="K630" s="5">
        <v>1</v>
      </c>
      <c r="L630" s="7" t="s">
        <v>238</v>
      </c>
      <c r="M630" s="7">
        <v>114.87984645983326</v>
      </c>
      <c r="N630" s="7">
        <v>283.37028793425543</v>
      </c>
      <c r="O630" s="5">
        <v>0</v>
      </c>
      <c r="P630" s="5">
        <v>1</v>
      </c>
      <c r="Q630" s="5">
        <v>0</v>
      </c>
      <c r="R630" s="5">
        <v>1</v>
      </c>
      <c r="S630" s="5">
        <v>0</v>
      </c>
      <c r="T630" s="5">
        <v>1</v>
      </c>
      <c r="U630" s="5">
        <v>0</v>
      </c>
      <c r="V630" s="13">
        <v>3</v>
      </c>
      <c r="W630" s="13">
        <v>0.14000000000000001</v>
      </c>
      <c r="X630" s="5"/>
      <c r="Y630" s="5"/>
      <c r="Z630" s="5"/>
      <c r="AA630" s="5">
        <v>0</v>
      </c>
      <c r="AB630" s="5"/>
      <c r="AC630" s="5">
        <v>0</v>
      </c>
      <c r="AD630" s="5">
        <v>0</v>
      </c>
      <c r="AE630" s="5">
        <v>0</v>
      </c>
      <c r="AF630" s="5">
        <v>1</v>
      </c>
    </row>
    <row r="631" spans="1:32" x14ac:dyDescent="0.2">
      <c r="A631" s="3" t="str">
        <f>+VLOOKUP(B631,studies!$A$2:$C$102,3)</f>
        <v>Kopp et al. (2012)</v>
      </c>
      <c r="B631" s="87">
        <v>78</v>
      </c>
      <c r="C631" s="5">
        <v>2012</v>
      </c>
      <c r="D631" s="5">
        <v>1</v>
      </c>
      <c r="E631" s="48">
        <v>2005</v>
      </c>
      <c r="F631" s="5">
        <v>2015</v>
      </c>
      <c r="G631" s="113">
        <v>6.9444444444444441E-3</v>
      </c>
      <c r="H631" s="7">
        <v>585.42769755931033</v>
      </c>
      <c r="I631" s="5">
        <v>0</v>
      </c>
      <c r="J631" s="5">
        <v>0</v>
      </c>
      <c r="K631" s="5">
        <v>1</v>
      </c>
      <c r="L631" s="7" t="s">
        <v>238</v>
      </c>
      <c r="M631" s="7">
        <v>168.49044147442211</v>
      </c>
      <c r="N631" s="7">
        <v>536.10595014588864</v>
      </c>
      <c r="O631" s="5">
        <v>0</v>
      </c>
      <c r="P631" s="5">
        <v>1</v>
      </c>
      <c r="Q631" s="5">
        <v>0</v>
      </c>
      <c r="R631" s="5">
        <v>1</v>
      </c>
      <c r="S631" s="5">
        <v>0</v>
      </c>
      <c r="T631" s="5">
        <v>1</v>
      </c>
      <c r="U631" s="5">
        <v>0</v>
      </c>
      <c r="V631" s="13">
        <v>3</v>
      </c>
      <c r="W631" s="13">
        <v>0.14000000000000001</v>
      </c>
      <c r="X631" s="5"/>
      <c r="Y631" s="5"/>
      <c r="Z631" s="5"/>
      <c r="AA631" s="5">
        <v>0</v>
      </c>
      <c r="AB631" s="5"/>
      <c r="AC631" s="5">
        <v>0</v>
      </c>
      <c r="AD631" s="5">
        <v>0</v>
      </c>
      <c r="AE631" s="5">
        <v>0</v>
      </c>
      <c r="AF631" s="5">
        <v>1</v>
      </c>
    </row>
    <row r="632" spans="1:32" x14ac:dyDescent="0.2">
      <c r="A632" s="3" t="str">
        <f>+VLOOKUP(B632,studies!$A$2:$C$102,3)</f>
        <v>Kopp et al. (2012)</v>
      </c>
      <c r="B632" s="87">
        <v>78</v>
      </c>
      <c r="C632" s="5">
        <v>2012</v>
      </c>
      <c r="D632" s="5">
        <v>1</v>
      </c>
      <c r="E632" s="48">
        <v>2005</v>
      </c>
      <c r="F632" s="5">
        <v>2015</v>
      </c>
      <c r="G632" s="113">
        <v>6.9444444444444441E-3</v>
      </c>
      <c r="H632" s="7">
        <v>585.42769755931033</v>
      </c>
      <c r="I632" s="5">
        <v>0</v>
      </c>
      <c r="J632" s="5">
        <v>0</v>
      </c>
      <c r="K632" s="5">
        <v>1</v>
      </c>
      <c r="L632" s="7" t="s">
        <v>238</v>
      </c>
      <c r="M632" s="7">
        <v>168.49044147442211</v>
      </c>
      <c r="N632" s="7">
        <v>482.49535513129979</v>
      </c>
      <c r="O632" s="5">
        <v>0</v>
      </c>
      <c r="P632" s="5">
        <v>1</v>
      </c>
      <c r="Q632" s="5">
        <v>0</v>
      </c>
      <c r="R632" s="5">
        <v>1</v>
      </c>
      <c r="S632" s="5">
        <v>0</v>
      </c>
      <c r="T632" s="5">
        <v>1</v>
      </c>
      <c r="U632" s="5">
        <v>0</v>
      </c>
      <c r="V632" s="13">
        <v>3</v>
      </c>
      <c r="W632" s="13">
        <v>0.14000000000000001</v>
      </c>
      <c r="X632" s="5"/>
      <c r="Y632" s="5"/>
      <c r="Z632" s="5"/>
      <c r="AA632" s="5">
        <v>0</v>
      </c>
      <c r="AB632" s="5"/>
      <c r="AC632" s="5">
        <v>0</v>
      </c>
      <c r="AD632" s="5">
        <v>0</v>
      </c>
      <c r="AE632" s="5">
        <v>0</v>
      </c>
      <c r="AF632" s="5">
        <v>1</v>
      </c>
    </row>
    <row r="633" spans="1:32" x14ac:dyDescent="0.2">
      <c r="A633" s="3" t="str">
        <f>+VLOOKUP(B633,studies!$A$2:$C$102,3)</f>
        <v>Kopp et al. (2012)</v>
      </c>
      <c r="B633" s="87">
        <v>78</v>
      </c>
      <c r="C633" s="5">
        <v>2012</v>
      </c>
      <c r="D633" s="5">
        <v>1</v>
      </c>
      <c r="E633" s="48">
        <v>2005</v>
      </c>
      <c r="F633" s="5">
        <v>2015</v>
      </c>
      <c r="G633" s="113">
        <v>6.9444444444444441E-3</v>
      </c>
      <c r="H633" s="7">
        <v>660.48253057973466</v>
      </c>
      <c r="I633" s="5">
        <v>0</v>
      </c>
      <c r="J633" s="5">
        <v>0</v>
      </c>
      <c r="K633" s="5">
        <v>1</v>
      </c>
      <c r="L633" s="7" t="s">
        <v>238</v>
      </c>
      <c r="M633" s="7">
        <v>214.44238005835541</v>
      </c>
      <c r="N633" s="7">
        <v>1539.3899425617658</v>
      </c>
      <c r="O633" s="5">
        <v>0</v>
      </c>
      <c r="P633" s="5">
        <v>1</v>
      </c>
      <c r="Q633" s="5">
        <v>0</v>
      </c>
      <c r="R633" s="5">
        <v>1</v>
      </c>
      <c r="S633" s="5">
        <v>0</v>
      </c>
      <c r="T633" s="5">
        <v>1</v>
      </c>
      <c r="U633" s="5">
        <v>0</v>
      </c>
      <c r="V633" s="13">
        <v>3</v>
      </c>
      <c r="W633" s="13">
        <v>0.14000000000000001</v>
      </c>
      <c r="X633" s="5"/>
      <c r="Y633" s="5"/>
      <c r="Z633" s="5"/>
      <c r="AA633" s="5">
        <v>0</v>
      </c>
      <c r="AB633" s="5"/>
      <c r="AC633" s="5">
        <v>0</v>
      </c>
      <c r="AD633" s="5">
        <v>0</v>
      </c>
      <c r="AE633" s="5">
        <v>0</v>
      </c>
      <c r="AF633" s="5">
        <v>1</v>
      </c>
    </row>
    <row r="634" spans="1:32" x14ac:dyDescent="0.2">
      <c r="A634" s="3" t="str">
        <f>+VLOOKUP(B634,studies!$A$2:$C$102,3)</f>
        <v>Kopp et al. (2012)</v>
      </c>
      <c r="B634" s="87">
        <v>78</v>
      </c>
      <c r="C634" s="5">
        <v>2012</v>
      </c>
      <c r="D634" s="5">
        <v>1</v>
      </c>
      <c r="E634" s="48">
        <v>2005</v>
      </c>
      <c r="F634" s="5">
        <v>2015</v>
      </c>
      <c r="G634" s="113">
        <v>6.9444444444444441E-3</v>
      </c>
      <c r="H634" s="7">
        <v>210.15353245718833</v>
      </c>
      <c r="I634" s="5">
        <v>0</v>
      </c>
      <c r="J634" s="5">
        <v>0</v>
      </c>
      <c r="K634" s="5">
        <v>1</v>
      </c>
      <c r="L634" s="7" t="s">
        <v>238</v>
      </c>
      <c r="M634" s="7">
        <v>61.269251445244407</v>
      </c>
      <c r="N634" s="7">
        <v>1462.8033782552104</v>
      </c>
      <c r="O634" s="5">
        <v>0</v>
      </c>
      <c r="P634" s="5">
        <v>1</v>
      </c>
      <c r="Q634" s="5">
        <v>0</v>
      </c>
      <c r="R634" s="5">
        <v>1</v>
      </c>
      <c r="S634" s="5">
        <v>0</v>
      </c>
      <c r="T634" s="5">
        <v>1</v>
      </c>
      <c r="U634" s="5">
        <v>0</v>
      </c>
      <c r="V634" s="13">
        <v>3</v>
      </c>
      <c r="W634" s="13">
        <v>0.14000000000000001</v>
      </c>
      <c r="X634" s="5"/>
      <c r="Y634" s="5"/>
      <c r="Z634" s="5"/>
      <c r="AA634" s="5">
        <v>0</v>
      </c>
      <c r="AB634" s="5"/>
      <c r="AC634" s="5">
        <v>0</v>
      </c>
      <c r="AD634" s="5">
        <v>0</v>
      </c>
      <c r="AE634" s="5">
        <v>0</v>
      </c>
      <c r="AF634" s="5">
        <v>1</v>
      </c>
    </row>
    <row r="635" spans="1:32" x14ac:dyDescent="0.2">
      <c r="A635" s="3" t="str">
        <f>+VLOOKUP(B635,studies!$A$2:$C$102,3)</f>
        <v>Kopp et al. (2012)</v>
      </c>
      <c r="B635" s="87">
        <v>78</v>
      </c>
      <c r="C635" s="5">
        <v>2012</v>
      </c>
      <c r="D635" s="5">
        <v>1</v>
      </c>
      <c r="E635" s="48">
        <v>2005</v>
      </c>
      <c r="F635" s="5">
        <v>2015</v>
      </c>
      <c r="G635" s="113">
        <v>6.9444444444444441E-3</v>
      </c>
      <c r="H635" s="7">
        <v>150.10966604084879</v>
      </c>
      <c r="I635" s="5">
        <v>0</v>
      </c>
      <c r="J635" s="5">
        <v>0</v>
      </c>
      <c r="K635" s="5">
        <v>1</v>
      </c>
      <c r="L635" s="7" t="s">
        <v>238</v>
      </c>
      <c r="M635" s="7">
        <v>38.293282153277758</v>
      </c>
      <c r="N635" s="7">
        <v>1470.4620346858658</v>
      </c>
      <c r="O635" s="5">
        <v>0</v>
      </c>
      <c r="P635" s="5">
        <v>1</v>
      </c>
      <c r="Q635" s="5">
        <v>0</v>
      </c>
      <c r="R635" s="5">
        <v>1</v>
      </c>
      <c r="S635" s="5">
        <v>0</v>
      </c>
      <c r="T635" s="5">
        <v>1</v>
      </c>
      <c r="U635" s="5">
        <v>0</v>
      </c>
      <c r="V635" s="13">
        <v>3</v>
      </c>
      <c r="W635" s="13">
        <v>0.14000000000000001</v>
      </c>
      <c r="X635" s="5"/>
      <c r="Y635" s="5"/>
      <c r="Z635" s="5"/>
      <c r="AA635" s="5">
        <v>0</v>
      </c>
      <c r="AB635" s="5"/>
      <c r="AC635" s="5">
        <v>0</v>
      </c>
      <c r="AD635" s="5">
        <v>0</v>
      </c>
      <c r="AE635" s="5">
        <v>0</v>
      </c>
      <c r="AF635" s="5">
        <v>1</v>
      </c>
    </row>
    <row r="636" spans="1:32" x14ac:dyDescent="0.2">
      <c r="A636" s="3" t="str">
        <f>+VLOOKUP(B636,studies!$A$2:$C$102,3)</f>
        <v>Kopp et al. (2012)</v>
      </c>
      <c r="B636" s="87">
        <v>78</v>
      </c>
      <c r="C636" s="5">
        <v>2012</v>
      </c>
      <c r="D636" s="5">
        <v>1</v>
      </c>
      <c r="E636" s="48">
        <v>2005</v>
      </c>
      <c r="F636" s="5">
        <v>2015</v>
      </c>
      <c r="G636" s="113">
        <v>6.9444444444444441E-3</v>
      </c>
      <c r="H636" s="7">
        <v>300.21933208169759</v>
      </c>
      <c r="I636" s="5">
        <v>0</v>
      </c>
      <c r="J636" s="5">
        <v>0</v>
      </c>
      <c r="K636" s="5">
        <v>1</v>
      </c>
      <c r="L636" s="7" t="s">
        <v>238</v>
      </c>
      <c r="M636" s="7">
        <v>84.245220737211056</v>
      </c>
      <c r="N636" s="7">
        <v>2481.4046835323988</v>
      </c>
      <c r="O636" s="5">
        <v>0</v>
      </c>
      <c r="P636" s="5">
        <v>1</v>
      </c>
      <c r="Q636" s="5">
        <v>0</v>
      </c>
      <c r="R636" s="5">
        <v>1</v>
      </c>
      <c r="S636" s="5">
        <v>0</v>
      </c>
      <c r="T636" s="5">
        <v>1</v>
      </c>
      <c r="U636" s="5">
        <v>0</v>
      </c>
      <c r="V636" s="13">
        <v>3</v>
      </c>
      <c r="W636" s="13">
        <v>0.14000000000000001</v>
      </c>
      <c r="X636" s="5"/>
      <c r="Y636" s="5"/>
      <c r="Z636" s="5"/>
      <c r="AA636" s="5">
        <v>0</v>
      </c>
      <c r="AB636" s="5"/>
      <c r="AC636" s="5">
        <v>0</v>
      </c>
      <c r="AD636" s="5">
        <v>0</v>
      </c>
      <c r="AE636" s="5">
        <v>0</v>
      </c>
      <c r="AF636" s="5">
        <v>1</v>
      </c>
    </row>
    <row r="637" spans="1:32" x14ac:dyDescent="0.2">
      <c r="A637" s="3" t="str">
        <f>+VLOOKUP(B637,studies!$A$2:$C$102,3)</f>
        <v>Kopp et al. (2012)</v>
      </c>
      <c r="B637" s="87">
        <v>78</v>
      </c>
      <c r="C637" s="5">
        <v>2012</v>
      </c>
      <c r="D637" s="5">
        <v>1</v>
      </c>
      <c r="E637" s="48">
        <v>2005</v>
      </c>
      <c r="F637" s="5">
        <v>2015</v>
      </c>
      <c r="G637" s="113">
        <v>6.9444444444444441E-3</v>
      </c>
      <c r="H637" s="7">
        <v>195.14256585310346</v>
      </c>
      <c r="I637" s="5">
        <v>0</v>
      </c>
      <c r="J637" s="5">
        <v>0</v>
      </c>
      <c r="K637" s="5">
        <v>1</v>
      </c>
      <c r="L637" s="7" t="s">
        <v>238</v>
      </c>
      <c r="M637" s="7">
        <v>53.610595014588867</v>
      </c>
      <c r="N637" s="7">
        <v>2083.1545491383099</v>
      </c>
      <c r="O637" s="5">
        <v>0</v>
      </c>
      <c r="P637" s="5">
        <v>1</v>
      </c>
      <c r="Q637" s="5">
        <v>0</v>
      </c>
      <c r="R637" s="5">
        <v>1</v>
      </c>
      <c r="S637" s="5">
        <v>0</v>
      </c>
      <c r="T637" s="5">
        <v>1</v>
      </c>
      <c r="U637" s="5">
        <v>0</v>
      </c>
      <c r="V637" s="13">
        <v>3</v>
      </c>
      <c r="W637" s="13">
        <v>0.14000000000000001</v>
      </c>
      <c r="X637" s="5"/>
      <c r="Y637" s="5"/>
      <c r="Z637" s="5"/>
      <c r="AA637" s="5">
        <v>0</v>
      </c>
      <c r="AB637" s="5"/>
      <c r="AC637" s="5">
        <v>0</v>
      </c>
      <c r="AD637" s="5">
        <v>0</v>
      </c>
      <c r="AE637" s="5">
        <v>0</v>
      </c>
      <c r="AF637" s="5">
        <v>1</v>
      </c>
    </row>
    <row r="638" spans="1:32" x14ac:dyDescent="0.2">
      <c r="A638" s="3" t="str">
        <f>+VLOOKUP(B638,studies!$A$2:$C$102,3)</f>
        <v>Kopp et al. (2012)</v>
      </c>
      <c r="B638" s="87">
        <v>78</v>
      </c>
      <c r="C638" s="5">
        <v>2012</v>
      </c>
      <c r="D638" s="5">
        <v>1</v>
      </c>
      <c r="E638" s="48">
        <v>2005</v>
      </c>
      <c r="F638" s="5">
        <v>2015</v>
      </c>
      <c r="G638" s="113">
        <v>6.9444444444444441E-3</v>
      </c>
      <c r="H638" s="7">
        <v>120.08773283267904</v>
      </c>
      <c r="I638" s="5">
        <v>0</v>
      </c>
      <c r="J638" s="5">
        <v>0</v>
      </c>
      <c r="K638" s="5">
        <v>1</v>
      </c>
      <c r="L638" s="7" t="s">
        <v>238</v>
      </c>
      <c r="M638" s="7">
        <v>53.61059501458886</v>
      </c>
      <c r="N638" s="7">
        <v>2818.3855664812427</v>
      </c>
      <c r="O638" s="5">
        <v>0</v>
      </c>
      <c r="P638" s="5">
        <v>1</v>
      </c>
      <c r="Q638" s="5">
        <v>0</v>
      </c>
      <c r="R638" s="5">
        <v>1</v>
      </c>
      <c r="S638" s="5">
        <v>0</v>
      </c>
      <c r="T638" s="5">
        <v>1</v>
      </c>
      <c r="U638" s="5">
        <v>0</v>
      </c>
      <c r="V638" s="13">
        <v>3</v>
      </c>
      <c r="W638" s="13">
        <v>0.14000000000000001</v>
      </c>
      <c r="X638" s="5"/>
      <c r="Y638" s="5"/>
      <c r="Z638" s="5"/>
      <c r="AA638" s="5">
        <v>0</v>
      </c>
      <c r="AB638" s="5"/>
      <c r="AC638" s="5">
        <v>0</v>
      </c>
      <c r="AD638" s="5">
        <v>0</v>
      </c>
      <c r="AE638" s="5">
        <v>0</v>
      </c>
      <c r="AF638" s="5">
        <v>1</v>
      </c>
    </row>
    <row r="639" spans="1:32" x14ac:dyDescent="0.2">
      <c r="A639" s="3" t="str">
        <f>+VLOOKUP(B639,studies!$A$2:$C$102,3)</f>
        <v>Kopp et al. (2012)</v>
      </c>
      <c r="B639" s="87">
        <v>78</v>
      </c>
      <c r="C639" s="5">
        <v>2012</v>
      </c>
      <c r="D639" s="5">
        <v>1</v>
      </c>
      <c r="E639" s="48">
        <v>2005</v>
      </c>
      <c r="F639" s="5">
        <v>2015</v>
      </c>
      <c r="G639" s="113">
        <v>6.9444444444444441E-3</v>
      </c>
      <c r="H639" s="7">
        <v>90.065799624509282</v>
      </c>
      <c r="I639" s="5">
        <v>0</v>
      </c>
      <c r="J639" s="5">
        <v>0</v>
      </c>
      <c r="K639" s="5">
        <v>1</v>
      </c>
      <c r="L639" s="7" t="s">
        <v>238</v>
      </c>
      <c r="M639" s="7">
        <v>38.293282153277758</v>
      </c>
      <c r="N639" s="7">
        <v>2626.9191557148538</v>
      </c>
      <c r="O639" s="5">
        <v>0</v>
      </c>
      <c r="P639" s="5">
        <v>1</v>
      </c>
      <c r="Q639" s="5">
        <v>0</v>
      </c>
      <c r="R639" s="5">
        <v>1</v>
      </c>
      <c r="S639" s="5">
        <v>0</v>
      </c>
      <c r="T639" s="5">
        <v>1</v>
      </c>
      <c r="U639" s="5">
        <v>0</v>
      </c>
      <c r="V639" s="13">
        <v>3</v>
      </c>
      <c r="W639" s="13">
        <v>0.14000000000000001</v>
      </c>
      <c r="X639" s="5"/>
      <c r="Y639" s="5"/>
      <c r="Z639" s="5"/>
      <c r="AA639" s="5">
        <v>0</v>
      </c>
      <c r="AB639" s="5"/>
      <c r="AC639" s="5">
        <v>0</v>
      </c>
      <c r="AD639" s="5">
        <v>0</v>
      </c>
      <c r="AE639" s="5">
        <v>0</v>
      </c>
      <c r="AF639" s="5">
        <v>1</v>
      </c>
    </row>
    <row r="640" spans="1:32" x14ac:dyDescent="0.2">
      <c r="A640" s="3" t="str">
        <f>+VLOOKUP(B640,studies!$A$2:$C$102,3)</f>
        <v>Kopp et al. (2012)</v>
      </c>
      <c r="B640" s="87">
        <v>78</v>
      </c>
      <c r="C640" s="5">
        <v>2012</v>
      </c>
      <c r="D640" s="5">
        <v>1</v>
      </c>
      <c r="E640" s="48">
        <v>2005</v>
      </c>
      <c r="F640" s="5">
        <v>2015</v>
      </c>
      <c r="G640" s="113">
        <v>6.9444444444444441E-3</v>
      </c>
      <c r="H640" s="7">
        <v>120.08773283267904</v>
      </c>
      <c r="I640" s="5">
        <v>0</v>
      </c>
      <c r="J640" s="5">
        <v>0</v>
      </c>
      <c r="K640" s="5">
        <v>1</v>
      </c>
      <c r="L640" s="7" t="s">
        <v>238</v>
      </c>
      <c r="M640" s="7">
        <v>53.61059501458886</v>
      </c>
      <c r="N640" s="7">
        <v>3500.0059888095871</v>
      </c>
      <c r="O640" s="5">
        <v>0</v>
      </c>
      <c r="P640" s="5">
        <v>1</v>
      </c>
      <c r="Q640" s="5">
        <v>0</v>
      </c>
      <c r="R640" s="5">
        <v>1</v>
      </c>
      <c r="S640" s="5">
        <v>0</v>
      </c>
      <c r="T640" s="5">
        <v>1</v>
      </c>
      <c r="U640" s="5">
        <v>0</v>
      </c>
      <c r="V640" s="13">
        <v>3</v>
      </c>
      <c r="W640" s="13">
        <v>0.14000000000000001</v>
      </c>
      <c r="X640" s="5"/>
      <c r="Y640" s="5"/>
      <c r="Z640" s="5"/>
      <c r="AA640" s="5">
        <v>0</v>
      </c>
      <c r="AB640" s="5"/>
      <c r="AC640" s="5">
        <v>0</v>
      </c>
      <c r="AD640" s="5">
        <v>0</v>
      </c>
      <c r="AE640" s="5">
        <v>0</v>
      </c>
      <c r="AF640" s="5">
        <v>1</v>
      </c>
    </row>
    <row r="641" spans="1:32" x14ac:dyDescent="0.2">
      <c r="A641" s="3" t="str">
        <f>+VLOOKUP(B641,studies!$A$2:$C$102,3)</f>
        <v>Kopp et al. (2012)</v>
      </c>
      <c r="B641" s="87">
        <v>78</v>
      </c>
      <c r="C641" s="5">
        <v>2012</v>
      </c>
      <c r="D641" s="5">
        <v>1</v>
      </c>
      <c r="E641" s="48">
        <v>2005</v>
      </c>
      <c r="F641" s="5">
        <v>2015</v>
      </c>
      <c r="G641" s="113">
        <v>6.9444444444444441E-3</v>
      </c>
      <c r="H641" s="7">
        <v>120.08773283267904</v>
      </c>
      <c r="I641" s="5">
        <v>0</v>
      </c>
      <c r="J641" s="5">
        <v>0</v>
      </c>
      <c r="K641" s="5">
        <v>1</v>
      </c>
      <c r="L641" s="7" t="s">
        <v>238</v>
      </c>
      <c r="M641" s="7">
        <v>53.61059501458886</v>
      </c>
      <c r="N641" s="7">
        <v>3392.7847987804093</v>
      </c>
      <c r="O641" s="5">
        <v>0</v>
      </c>
      <c r="P641" s="5">
        <v>1</v>
      </c>
      <c r="Q641" s="5">
        <v>0</v>
      </c>
      <c r="R641" s="5">
        <v>1</v>
      </c>
      <c r="S641" s="5">
        <v>0</v>
      </c>
      <c r="T641" s="5">
        <v>1</v>
      </c>
      <c r="U641" s="5">
        <v>0</v>
      </c>
      <c r="V641" s="13">
        <v>3</v>
      </c>
      <c r="W641" s="13">
        <v>0.14000000000000001</v>
      </c>
      <c r="X641" s="5"/>
      <c r="Y641" s="5"/>
      <c r="Z641" s="5"/>
      <c r="AA641" s="5">
        <v>0</v>
      </c>
      <c r="AB641" s="5"/>
      <c r="AC641" s="5">
        <v>0</v>
      </c>
      <c r="AD641" s="5">
        <v>0</v>
      </c>
      <c r="AE641" s="5">
        <v>0</v>
      </c>
      <c r="AF641" s="5">
        <v>1</v>
      </c>
    </row>
    <row r="642" spans="1:32" x14ac:dyDescent="0.2">
      <c r="A642" s="3" t="str">
        <f>+VLOOKUP(B642,studies!$A$2:$C$102,3)</f>
        <v>Kopp et al. (2012)</v>
      </c>
      <c r="B642" s="87">
        <v>78</v>
      </c>
      <c r="C642" s="5">
        <v>2012</v>
      </c>
      <c r="D642" s="5">
        <v>1</v>
      </c>
      <c r="E642" s="48">
        <v>2005</v>
      </c>
      <c r="F642" s="5">
        <v>2015</v>
      </c>
      <c r="G642" s="113">
        <v>6.9444444444444441E-3</v>
      </c>
      <c r="H642" s="7">
        <v>720.52639699607425</v>
      </c>
      <c r="I642" s="5">
        <v>0</v>
      </c>
      <c r="J642" s="5">
        <v>0</v>
      </c>
      <c r="K642" s="5">
        <v>1</v>
      </c>
      <c r="L642" s="7" t="s">
        <v>238</v>
      </c>
      <c r="M642" s="7">
        <v>206.78372362769989</v>
      </c>
      <c r="N642" s="7">
        <v>735.23101734293289</v>
      </c>
      <c r="O642" s="5">
        <v>0</v>
      </c>
      <c r="P642" s="5">
        <v>1</v>
      </c>
      <c r="Q642" s="5">
        <v>0</v>
      </c>
      <c r="R642" s="5">
        <v>1</v>
      </c>
      <c r="S642" s="5">
        <v>0</v>
      </c>
      <c r="T642" s="5">
        <v>1</v>
      </c>
      <c r="U642" s="5">
        <v>0</v>
      </c>
      <c r="V642" s="13">
        <v>3</v>
      </c>
      <c r="W642" s="13">
        <v>-1.1000000000000001</v>
      </c>
      <c r="X642" s="5"/>
      <c r="Y642" s="5"/>
      <c r="Z642" s="5"/>
      <c r="AA642" s="5">
        <v>0</v>
      </c>
      <c r="AB642" s="5"/>
      <c r="AC642" s="5">
        <v>0</v>
      </c>
      <c r="AD642" s="5">
        <v>0</v>
      </c>
      <c r="AE642" s="5">
        <v>0</v>
      </c>
      <c r="AF642" s="5">
        <v>1</v>
      </c>
    </row>
    <row r="643" spans="1:32" x14ac:dyDescent="0.2">
      <c r="A643" s="3" t="str">
        <f>+VLOOKUP(B643,studies!$A$2:$C$102,3)</f>
        <v>Kopp et al. (2012)</v>
      </c>
      <c r="B643" s="87">
        <v>78</v>
      </c>
      <c r="C643" s="5">
        <v>2012</v>
      </c>
      <c r="D643" s="5">
        <v>1</v>
      </c>
      <c r="E643" s="48">
        <v>2005</v>
      </c>
      <c r="F643" s="5">
        <v>2015</v>
      </c>
      <c r="G643" s="113">
        <v>6.9444444444444441E-3</v>
      </c>
      <c r="H643" s="7">
        <v>735.53736360015921</v>
      </c>
      <c r="I643" s="5">
        <v>0</v>
      </c>
      <c r="J643" s="5">
        <v>0</v>
      </c>
      <c r="K643" s="5">
        <v>1</v>
      </c>
      <c r="L643" s="7" t="s">
        <v>238</v>
      </c>
      <c r="M643" s="7">
        <v>214.44238005835544</v>
      </c>
      <c r="N643" s="7">
        <v>788.84161235752163</v>
      </c>
      <c r="O643" s="5">
        <v>0</v>
      </c>
      <c r="P643" s="5">
        <v>1</v>
      </c>
      <c r="Q643" s="5">
        <v>0</v>
      </c>
      <c r="R643" s="5">
        <v>1</v>
      </c>
      <c r="S643" s="5">
        <v>0</v>
      </c>
      <c r="T643" s="5">
        <v>1</v>
      </c>
      <c r="U643" s="5">
        <v>0</v>
      </c>
      <c r="V643" s="13">
        <v>3</v>
      </c>
      <c r="W643" s="13">
        <v>-1.1000000000000001</v>
      </c>
      <c r="X643" s="5"/>
      <c r="Y643" s="5"/>
      <c r="Z643" s="5"/>
      <c r="AA643" s="5">
        <v>0</v>
      </c>
      <c r="AB643" s="5"/>
      <c r="AC643" s="5">
        <v>0</v>
      </c>
      <c r="AD643" s="5">
        <v>0</v>
      </c>
      <c r="AE643" s="5">
        <v>0</v>
      </c>
      <c r="AF643" s="5">
        <v>1</v>
      </c>
    </row>
    <row r="644" spans="1:32" x14ac:dyDescent="0.2">
      <c r="A644" s="3" t="str">
        <f>+VLOOKUP(B644,studies!$A$2:$C$102,3)</f>
        <v>Kopp et al. (2012)</v>
      </c>
      <c r="B644" s="87">
        <v>78</v>
      </c>
      <c r="C644" s="5">
        <v>2012</v>
      </c>
      <c r="D644" s="5">
        <v>1</v>
      </c>
      <c r="E644" s="48">
        <v>2005</v>
      </c>
      <c r="F644" s="5">
        <v>2015</v>
      </c>
      <c r="G644" s="113">
        <v>6.9444444444444441E-3</v>
      </c>
      <c r="H644" s="7">
        <v>630.46059737156497</v>
      </c>
      <c r="I644" s="5">
        <v>0</v>
      </c>
      <c r="J644" s="5">
        <v>0</v>
      </c>
      <c r="K644" s="5">
        <v>1</v>
      </c>
      <c r="L644" s="7" t="s">
        <v>238</v>
      </c>
      <c r="M644" s="7">
        <v>191.4664107663888</v>
      </c>
      <c r="N644" s="7">
        <v>650.98579660572193</v>
      </c>
      <c r="O644" s="5">
        <v>0</v>
      </c>
      <c r="P644" s="5">
        <v>1</v>
      </c>
      <c r="Q644" s="5">
        <v>0</v>
      </c>
      <c r="R644" s="5">
        <v>1</v>
      </c>
      <c r="S644" s="5">
        <v>0</v>
      </c>
      <c r="T644" s="5">
        <v>1</v>
      </c>
      <c r="U644" s="5">
        <v>0</v>
      </c>
      <c r="V644" s="13">
        <v>3</v>
      </c>
      <c r="W644" s="13">
        <v>-1.1000000000000001</v>
      </c>
      <c r="X644" s="5"/>
      <c r="Y644" s="5"/>
      <c r="Z644" s="5"/>
      <c r="AA644" s="5">
        <v>0</v>
      </c>
      <c r="AB644" s="5"/>
      <c r="AC644" s="5">
        <v>0</v>
      </c>
      <c r="AD644" s="5">
        <v>0</v>
      </c>
      <c r="AE644" s="5">
        <v>0</v>
      </c>
      <c r="AF644" s="5">
        <v>1</v>
      </c>
    </row>
    <row r="645" spans="1:32" x14ac:dyDescent="0.2">
      <c r="A645" s="3" t="str">
        <f>+VLOOKUP(B645,studies!$A$2:$C$102,3)</f>
        <v>Kopp et al. (2012)</v>
      </c>
      <c r="B645" s="87">
        <v>78</v>
      </c>
      <c r="C645" s="5">
        <v>2012</v>
      </c>
      <c r="D645" s="5">
        <v>1</v>
      </c>
      <c r="E645" s="48">
        <v>2005</v>
      </c>
      <c r="F645" s="5">
        <v>2015</v>
      </c>
      <c r="G645" s="113">
        <v>6.9444444444444441E-3</v>
      </c>
      <c r="H645" s="7">
        <v>1621.1843932411671</v>
      </c>
      <c r="I645" s="5">
        <v>0</v>
      </c>
      <c r="J645" s="5">
        <v>0</v>
      </c>
      <c r="K645" s="5">
        <v>1</v>
      </c>
      <c r="L645" s="7" t="s">
        <v>238</v>
      </c>
      <c r="M645" s="7">
        <v>497.81266799261078</v>
      </c>
      <c r="N645" s="7">
        <v>2060.1785798463434</v>
      </c>
      <c r="O645" s="5">
        <v>0</v>
      </c>
      <c r="P645" s="5">
        <v>1</v>
      </c>
      <c r="Q645" s="5">
        <v>0</v>
      </c>
      <c r="R645" s="5">
        <v>1</v>
      </c>
      <c r="S645" s="5">
        <v>0</v>
      </c>
      <c r="T645" s="5">
        <v>1</v>
      </c>
      <c r="U645" s="5">
        <v>0</v>
      </c>
      <c r="V645" s="13">
        <v>3</v>
      </c>
      <c r="W645" s="13">
        <v>-1.1000000000000001</v>
      </c>
      <c r="X645" s="5"/>
      <c r="Y645" s="5"/>
      <c r="Z645" s="5"/>
      <c r="AA645" s="5">
        <v>0</v>
      </c>
      <c r="AB645" s="5"/>
      <c r="AC645" s="5">
        <v>0</v>
      </c>
      <c r="AD645" s="5">
        <v>0</v>
      </c>
      <c r="AE645" s="5">
        <v>0</v>
      </c>
      <c r="AF645" s="5">
        <v>1</v>
      </c>
    </row>
    <row r="646" spans="1:32" x14ac:dyDescent="0.2">
      <c r="A646" s="3" t="str">
        <f>+VLOOKUP(B646,studies!$A$2:$C$102,3)</f>
        <v>Kopp et al. (2012)</v>
      </c>
      <c r="B646" s="87">
        <v>78</v>
      </c>
      <c r="C646" s="5">
        <v>2012</v>
      </c>
      <c r="D646" s="5">
        <v>1</v>
      </c>
      <c r="E646" s="48">
        <v>2005</v>
      </c>
      <c r="F646" s="5">
        <v>2015</v>
      </c>
      <c r="G646" s="113">
        <v>6.9444444444444441E-3</v>
      </c>
      <c r="H646" s="7">
        <v>1621.1843932411671</v>
      </c>
      <c r="I646" s="5">
        <v>0</v>
      </c>
      <c r="J646" s="5">
        <v>0</v>
      </c>
      <c r="K646" s="5">
        <v>1</v>
      </c>
      <c r="L646" s="7" t="s">
        <v>238</v>
      </c>
      <c r="M646" s="7">
        <v>497.81266799261078</v>
      </c>
      <c r="N646" s="7">
        <v>2060.1785798463434</v>
      </c>
      <c r="O646" s="5">
        <v>0</v>
      </c>
      <c r="P646" s="5">
        <v>1</v>
      </c>
      <c r="Q646" s="5">
        <v>0</v>
      </c>
      <c r="R646" s="5">
        <v>1</v>
      </c>
      <c r="S646" s="5">
        <v>0</v>
      </c>
      <c r="T646" s="5">
        <v>1</v>
      </c>
      <c r="U646" s="5">
        <v>0</v>
      </c>
      <c r="V646" s="13">
        <v>3</v>
      </c>
      <c r="W646" s="13">
        <v>-1.1000000000000001</v>
      </c>
      <c r="X646" s="5"/>
      <c r="Y646" s="5"/>
      <c r="Z646" s="5"/>
      <c r="AA646" s="5">
        <v>0</v>
      </c>
      <c r="AB646" s="5"/>
      <c r="AC646" s="5">
        <v>0</v>
      </c>
      <c r="AD646" s="5">
        <v>0</v>
      </c>
      <c r="AE646" s="5">
        <v>0</v>
      </c>
      <c r="AF646" s="5">
        <v>1</v>
      </c>
    </row>
    <row r="647" spans="1:32" x14ac:dyDescent="0.2">
      <c r="A647" s="3" t="str">
        <f>+VLOOKUP(B647,studies!$A$2:$C$102,3)</f>
        <v>Kopp et al. (2012)</v>
      </c>
      <c r="B647" s="87">
        <v>78</v>
      </c>
      <c r="C647" s="5">
        <v>2012</v>
      </c>
      <c r="D647" s="5">
        <v>1</v>
      </c>
      <c r="E647" s="48">
        <v>2005</v>
      </c>
      <c r="F647" s="5">
        <v>2015</v>
      </c>
      <c r="G647" s="113">
        <v>6.9444444444444441E-3</v>
      </c>
      <c r="H647" s="7">
        <v>3422.5003857313527</v>
      </c>
      <c r="I647" s="5">
        <v>0</v>
      </c>
      <c r="J647" s="5">
        <v>0</v>
      </c>
      <c r="K647" s="5">
        <v>1</v>
      </c>
      <c r="L647" s="7" t="s">
        <v>238</v>
      </c>
      <c r="M647" s="7">
        <v>1110.505182445055</v>
      </c>
      <c r="N647" s="7">
        <v>5070.0305570939754</v>
      </c>
      <c r="O647" s="5">
        <v>0</v>
      </c>
      <c r="P647" s="5">
        <v>1</v>
      </c>
      <c r="Q647" s="5">
        <v>0</v>
      </c>
      <c r="R647" s="5">
        <v>1</v>
      </c>
      <c r="S647" s="5">
        <v>0</v>
      </c>
      <c r="T647" s="5">
        <v>1</v>
      </c>
      <c r="U647" s="5">
        <v>0</v>
      </c>
      <c r="V647" s="13">
        <v>3</v>
      </c>
      <c r="W647" s="13">
        <v>-1.1000000000000001</v>
      </c>
      <c r="X647" s="5"/>
      <c r="Y647" s="5"/>
      <c r="Z647" s="5"/>
      <c r="AA647" s="5">
        <v>0</v>
      </c>
      <c r="AB647" s="5"/>
      <c r="AC647" s="5">
        <v>0</v>
      </c>
      <c r="AD647" s="5">
        <v>0</v>
      </c>
      <c r="AE647" s="5">
        <v>0</v>
      </c>
      <c r="AF647" s="5">
        <v>1</v>
      </c>
    </row>
    <row r="648" spans="1:32" x14ac:dyDescent="0.2">
      <c r="A648" s="3" t="str">
        <f>+VLOOKUP(B648,studies!$A$2:$C$102,3)</f>
        <v>Kopp et al. (2012)</v>
      </c>
      <c r="B648" s="87">
        <v>78</v>
      </c>
      <c r="C648" s="5">
        <v>2012</v>
      </c>
      <c r="D648" s="5">
        <v>1</v>
      </c>
      <c r="E648" s="48">
        <v>2005</v>
      </c>
      <c r="F648" s="5">
        <v>2015</v>
      </c>
      <c r="G648" s="113">
        <v>6.9444444444444441E-3</v>
      </c>
      <c r="H648" s="7">
        <v>480.35093133071615</v>
      </c>
      <c r="I648" s="5">
        <v>0</v>
      </c>
      <c r="J648" s="5">
        <v>0</v>
      </c>
      <c r="K648" s="5">
        <v>1</v>
      </c>
      <c r="L648" s="7" t="s">
        <v>238</v>
      </c>
      <c r="M648" s="7">
        <v>130.19715932114437</v>
      </c>
      <c r="N648" s="7">
        <v>359.95685224081097</v>
      </c>
      <c r="O648" s="5">
        <v>0</v>
      </c>
      <c r="P648" s="5">
        <v>1</v>
      </c>
      <c r="Q648" s="5">
        <v>0</v>
      </c>
      <c r="R648" s="5">
        <v>1</v>
      </c>
      <c r="S648" s="5">
        <v>0</v>
      </c>
      <c r="T648" s="5">
        <v>1</v>
      </c>
      <c r="U648" s="5">
        <v>0</v>
      </c>
      <c r="V648" s="13">
        <v>3</v>
      </c>
      <c r="W648" s="13">
        <v>-1.1000000000000001</v>
      </c>
      <c r="X648" s="5"/>
      <c r="Y648" s="5"/>
      <c r="Z648" s="5"/>
      <c r="AA648" s="5">
        <v>0</v>
      </c>
      <c r="AB648" s="5"/>
      <c r="AC648" s="5">
        <v>0</v>
      </c>
      <c r="AD648" s="5">
        <v>0</v>
      </c>
      <c r="AE648" s="5">
        <v>0</v>
      </c>
      <c r="AF648" s="5">
        <v>1</v>
      </c>
    </row>
    <row r="649" spans="1:32" x14ac:dyDescent="0.2">
      <c r="A649" s="3" t="str">
        <f>+VLOOKUP(B649,studies!$A$2:$C$102,3)</f>
        <v>Kopp et al. (2012)</v>
      </c>
      <c r="B649" s="87">
        <v>78</v>
      </c>
      <c r="C649" s="5">
        <v>2012</v>
      </c>
      <c r="D649" s="5">
        <v>1</v>
      </c>
      <c r="E649" s="48">
        <v>2005</v>
      </c>
      <c r="F649" s="5">
        <v>2015</v>
      </c>
      <c r="G649" s="113">
        <v>6.9444444444444441E-3</v>
      </c>
      <c r="H649" s="7">
        <v>720.52639699607425</v>
      </c>
      <c r="I649" s="5">
        <v>0</v>
      </c>
      <c r="J649" s="5">
        <v>0</v>
      </c>
      <c r="K649" s="5">
        <v>1</v>
      </c>
      <c r="L649" s="7" t="s">
        <v>238</v>
      </c>
      <c r="M649" s="7">
        <v>206.78372362769989</v>
      </c>
      <c r="N649" s="7">
        <v>934.35608453997725</v>
      </c>
      <c r="O649" s="5">
        <v>0</v>
      </c>
      <c r="P649" s="5">
        <v>1</v>
      </c>
      <c r="Q649" s="5">
        <v>0</v>
      </c>
      <c r="R649" s="5">
        <v>1</v>
      </c>
      <c r="S649" s="5">
        <v>0</v>
      </c>
      <c r="T649" s="5">
        <v>1</v>
      </c>
      <c r="U649" s="5">
        <v>0</v>
      </c>
      <c r="V649" s="13">
        <v>3</v>
      </c>
      <c r="W649" s="13">
        <v>-1.1000000000000001</v>
      </c>
      <c r="X649" s="5"/>
      <c r="Y649" s="5"/>
      <c r="Z649" s="5"/>
      <c r="AA649" s="5">
        <v>0</v>
      </c>
      <c r="AB649" s="5"/>
      <c r="AC649" s="5">
        <v>0</v>
      </c>
      <c r="AD649" s="5">
        <v>0</v>
      </c>
      <c r="AE649" s="5">
        <v>0</v>
      </c>
      <c r="AF649" s="5">
        <v>1</v>
      </c>
    </row>
    <row r="650" spans="1:32" x14ac:dyDescent="0.2">
      <c r="A650" s="3" t="str">
        <f>+VLOOKUP(B650,studies!$A$2:$C$102,3)</f>
        <v>Kopp et al. (2012)</v>
      </c>
      <c r="B650" s="87">
        <v>78</v>
      </c>
      <c r="C650" s="5">
        <v>2012</v>
      </c>
      <c r="D650" s="5">
        <v>1</v>
      </c>
      <c r="E650" s="48">
        <v>2005</v>
      </c>
      <c r="F650" s="5">
        <v>2015</v>
      </c>
      <c r="G650" s="113">
        <v>6.9444444444444441E-3</v>
      </c>
      <c r="H650" s="7">
        <v>720.52639699607425</v>
      </c>
      <c r="I650" s="5">
        <v>0</v>
      </c>
      <c r="J650" s="5">
        <v>0</v>
      </c>
      <c r="K650" s="5">
        <v>1</v>
      </c>
      <c r="L650" s="7" t="s">
        <v>238</v>
      </c>
      <c r="M650" s="7">
        <v>206.78372362769989</v>
      </c>
      <c r="N650" s="7">
        <v>735.23101734293289</v>
      </c>
      <c r="O650" s="5">
        <v>0</v>
      </c>
      <c r="P650" s="5">
        <v>1</v>
      </c>
      <c r="Q650" s="5">
        <v>0</v>
      </c>
      <c r="R650" s="5">
        <v>1</v>
      </c>
      <c r="S650" s="5">
        <v>0</v>
      </c>
      <c r="T650" s="5">
        <v>1</v>
      </c>
      <c r="U650" s="5">
        <v>0</v>
      </c>
      <c r="V650" s="13">
        <v>3</v>
      </c>
      <c r="W650" s="13">
        <v>-1.1000000000000001</v>
      </c>
      <c r="X650" s="5"/>
      <c r="Y650" s="5"/>
      <c r="Z650" s="5"/>
      <c r="AA650" s="5">
        <v>0</v>
      </c>
      <c r="AB650" s="5"/>
      <c r="AC650" s="5">
        <v>0</v>
      </c>
      <c r="AD650" s="5">
        <v>0</v>
      </c>
      <c r="AE650" s="5">
        <v>0</v>
      </c>
      <c r="AF650" s="5">
        <v>1</v>
      </c>
    </row>
    <row r="651" spans="1:32" x14ac:dyDescent="0.2">
      <c r="A651" s="3" t="str">
        <f>+VLOOKUP(B651,studies!$A$2:$C$102,3)</f>
        <v>Kopp et al. (2012)</v>
      </c>
      <c r="B651" s="87">
        <v>78</v>
      </c>
      <c r="C651" s="5">
        <v>2012</v>
      </c>
      <c r="D651" s="5">
        <v>1</v>
      </c>
      <c r="E651" s="48">
        <v>2005</v>
      </c>
      <c r="F651" s="5">
        <v>2015</v>
      </c>
      <c r="G651" s="113">
        <v>6.9444444444444441E-3</v>
      </c>
      <c r="H651" s="7">
        <v>825.60316322466838</v>
      </c>
      <c r="I651" s="5">
        <v>0</v>
      </c>
      <c r="J651" s="5">
        <v>0</v>
      </c>
      <c r="K651" s="5">
        <v>1</v>
      </c>
      <c r="L651" s="7" t="s">
        <v>238</v>
      </c>
      <c r="M651" s="7">
        <v>275.71163150359985</v>
      </c>
      <c r="N651" s="7">
        <v>2404.818119225843</v>
      </c>
      <c r="O651" s="5">
        <v>0</v>
      </c>
      <c r="P651" s="5">
        <v>1</v>
      </c>
      <c r="Q651" s="5">
        <v>0</v>
      </c>
      <c r="R651" s="5">
        <v>1</v>
      </c>
      <c r="S651" s="5">
        <v>0</v>
      </c>
      <c r="T651" s="5">
        <v>1</v>
      </c>
      <c r="U651" s="5">
        <v>0</v>
      </c>
      <c r="V651" s="13">
        <v>3</v>
      </c>
      <c r="W651" s="13">
        <v>-1.1000000000000001</v>
      </c>
      <c r="X651" s="5"/>
      <c r="Y651" s="5"/>
      <c r="Z651" s="5"/>
      <c r="AA651" s="5">
        <v>0</v>
      </c>
      <c r="AB651" s="5"/>
      <c r="AC651" s="5">
        <v>0</v>
      </c>
      <c r="AD651" s="5">
        <v>0</v>
      </c>
      <c r="AE651" s="5">
        <v>0</v>
      </c>
      <c r="AF651" s="5">
        <v>1</v>
      </c>
    </row>
    <row r="652" spans="1:32" x14ac:dyDescent="0.2">
      <c r="A652" s="3" t="str">
        <f>+VLOOKUP(B652,studies!$A$2:$C$102,3)</f>
        <v>Kopp et al. (2012)</v>
      </c>
      <c r="B652" s="87">
        <v>78</v>
      </c>
      <c r="C652" s="5">
        <v>2012</v>
      </c>
      <c r="D652" s="5">
        <v>1</v>
      </c>
      <c r="E652" s="48">
        <v>2005</v>
      </c>
      <c r="F652" s="5">
        <v>2015</v>
      </c>
      <c r="G652" s="113">
        <v>6.9444444444444441E-3</v>
      </c>
      <c r="H652" s="7">
        <v>255.18643226944297</v>
      </c>
      <c r="I652" s="5">
        <v>0</v>
      </c>
      <c r="J652" s="5">
        <v>0</v>
      </c>
      <c r="K652" s="5">
        <v>1</v>
      </c>
      <c r="L652" s="7" t="s">
        <v>238</v>
      </c>
      <c r="M652" s="7">
        <v>76.58656430655553</v>
      </c>
      <c r="N652" s="7">
        <v>1998.9093284010987</v>
      </c>
      <c r="O652" s="5">
        <v>0</v>
      </c>
      <c r="P652" s="5">
        <v>1</v>
      </c>
      <c r="Q652" s="5">
        <v>0</v>
      </c>
      <c r="R652" s="5">
        <v>1</v>
      </c>
      <c r="S652" s="5">
        <v>0</v>
      </c>
      <c r="T652" s="5">
        <v>1</v>
      </c>
      <c r="U652" s="5">
        <v>0</v>
      </c>
      <c r="V652" s="13">
        <v>3</v>
      </c>
      <c r="W652" s="13">
        <v>-1.1000000000000001</v>
      </c>
      <c r="X652" s="5"/>
      <c r="Y652" s="5"/>
      <c r="Z652" s="5"/>
      <c r="AA652" s="5">
        <v>0</v>
      </c>
      <c r="AB652" s="5"/>
      <c r="AC652" s="5">
        <v>0</v>
      </c>
      <c r="AD652" s="5">
        <v>0</v>
      </c>
      <c r="AE652" s="5">
        <v>0</v>
      </c>
      <c r="AF652" s="5">
        <v>1</v>
      </c>
    </row>
    <row r="653" spans="1:32" x14ac:dyDescent="0.2">
      <c r="A653" s="3" t="str">
        <f>+VLOOKUP(B653,studies!$A$2:$C$102,3)</f>
        <v>Kopp et al. (2012)</v>
      </c>
      <c r="B653" s="87">
        <v>78</v>
      </c>
      <c r="C653" s="5">
        <v>2012</v>
      </c>
      <c r="D653" s="5">
        <v>1</v>
      </c>
      <c r="E653" s="48">
        <v>2005</v>
      </c>
      <c r="F653" s="5">
        <v>2015</v>
      </c>
      <c r="G653" s="113">
        <v>6.9444444444444441E-3</v>
      </c>
      <c r="H653" s="7">
        <v>165.12063264493366</v>
      </c>
      <c r="I653" s="5">
        <v>0</v>
      </c>
      <c r="J653" s="5">
        <v>0</v>
      </c>
      <c r="K653" s="5">
        <v>1</v>
      </c>
      <c r="L653" s="7" t="s">
        <v>238</v>
      </c>
      <c r="M653" s="7">
        <v>45.951938583933298</v>
      </c>
      <c r="N653" s="7">
        <v>2014.2266412624101</v>
      </c>
      <c r="O653" s="5">
        <v>0</v>
      </c>
      <c r="P653" s="5">
        <v>1</v>
      </c>
      <c r="Q653" s="5">
        <v>0</v>
      </c>
      <c r="R653" s="5">
        <v>1</v>
      </c>
      <c r="S653" s="5">
        <v>0</v>
      </c>
      <c r="T653" s="5">
        <v>1</v>
      </c>
      <c r="U653" s="5">
        <v>0</v>
      </c>
      <c r="V653" s="13">
        <v>3</v>
      </c>
      <c r="W653" s="13">
        <v>-1.1000000000000001</v>
      </c>
      <c r="X653" s="5"/>
      <c r="Y653" s="5"/>
      <c r="Z653" s="5"/>
      <c r="AA653" s="5">
        <v>0</v>
      </c>
      <c r="AB653" s="5"/>
      <c r="AC653" s="5">
        <v>0</v>
      </c>
      <c r="AD653" s="5">
        <v>0</v>
      </c>
      <c r="AE653" s="5">
        <v>0</v>
      </c>
      <c r="AF653" s="5">
        <v>1</v>
      </c>
    </row>
    <row r="654" spans="1:32" x14ac:dyDescent="0.2">
      <c r="A654" s="3" t="str">
        <f>+VLOOKUP(B654,studies!$A$2:$C$102,3)</f>
        <v>Kopp et al. (2012)</v>
      </c>
      <c r="B654" s="87">
        <v>78</v>
      </c>
      <c r="C654" s="5">
        <v>2012</v>
      </c>
      <c r="D654" s="5">
        <v>1</v>
      </c>
      <c r="E654" s="48">
        <v>2005</v>
      </c>
      <c r="F654" s="5">
        <v>2015</v>
      </c>
      <c r="G654" s="113">
        <v>6.9444444444444441E-3</v>
      </c>
      <c r="H654" s="7">
        <v>390.28513170620693</v>
      </c>
      <c r="I654" s="5">
        <v>0</v>
      </c>
      <c r="J654" s="5">
        <v>0</v>
      </c>
      <c r="K654" s="5">
        <v>1</v>
      </c>
      <c r="L654" s="7" t="s">
        <v>238</v>
      </c>
      <c r="M654" s="7">
        <v>114.87984645983329</v>
      </c>
      <c r="N654" s="7">
        <v>3637.8618045613871</v>
      </c>
      <c r="O654" s="5">
        <v>0</v>
      </c>
      <c r="P654" s="5">
        <v>1</v>
      </c>
      <c r="Q654" s="5">
        <v>0</v>
      </c>
      <c r="R654" s="5">
        <v>1</v>
      </c>
      <c r="S654" s="5">
        <v>0</v>
      </c>
      <c r="T654" s="5">
        <v>1</v>
      </c>
      <c r="U654" s="5">
        <v>0</v>
      </c>
      <c r="V654" s="13">
        <v>3</v>
      </c>
      <c r="W654" s="13">
        <v>-1.1000000000000001</v>
      </c>
      <c r="X654" s="5"/>
      <c r="Y654" s="5"/>
      <c r="Z654" s="5"/>
      <c r="AA654" s="5">
        <v>0</v>
      </c>
      <c r="AB654" s="5"/>
      <c r="AC654" s="5">
        <v>0</v>
      </c>
      <c r="AD654" s="5">
        <v>0</v>
      </c>
      <c r="AE654" s="5">
        <v>0</v>
      </c>
      <c r="AF654" s="5">
        <v>1</v>
      </c>
    </row>
    <row r="655" spans="1:32" x14ac:dyDescent="0.2">
      <c r="A655" s="3" t="str">
        <f>+VLOOKUP(B655,studies!$A$2:$C$102,3)</f>
        <v>Kopp et al. (2012)</v>
      </c>
      <c r="B655" s="87">
        <v>78</v>
      </c>
      <c r="C655" s="5">
        <v>2012</v>
      </c>
      <c r="D655" s="5">
        <v>1</v>
      </c>
      <c r="E655" s="48">
        <v>2005</v>
      </c>
      <c r="F655" s="5">
        <v>2015</v>
      </c>
      <c r="G655" s="113">
        <v>6.9444444444444441E-3</v>
      </c>
      <c r="H655" s="7">
        <v>390.28513170620693</v>
      </c>
      <c r="I655" s="5">
        <v>0</v>
      </c>
      <c r="J655" s="5">
        <v>0</v>
      </c>
      <c r="K655" s="5">
        <v>1</v>
      </c>
      <c r="L655" s="7" t="s">
        <v>238</v>
      </c>
      <c r="M655" s="7">
        <v>114.87984645983329</v>
      </c>
      <c r="N655" s="7">
        <v>3637.8618045613871</v>
      </c>
      <c r="O655" s="5">
        <v>0</v>
      </c>
      <c r="P655" s="5">
        <v>1</v>
      </c>
      <c r="Q655" s="5">
        <v>0</v>
      </c>
      <c r="R655" s="5">
        <v>1</v>
      </c>
      <c r="S655" s="5">
        <v>0</v>
      </c>
      <c r="T655" s="5">
        <v>1</v>
      </c>
      <c r="U655" s="5">
        <v>0</v>
      </c>
      <c r="V655" s="13">
        <v>3</v>
      </c>
      <c r="W655" s="13">
        <v>-1.1000000000000001</v>
      </c>
      <c r="X655" s="5"/>
      <c r="Y655" s="5"/>
      <c r="Z655" s="5"/>
      <c r="AA655" s="5">
        <v>0</v>
      </c>
      <c r="AB655" s="5"/>
      <c r="AC655" s="5">
        <v>0</v>
      </c>
      <c r="AD655" s="5">
        <v>0</v>
      </c>
      <c r="AE655" s="5">
        <v>0</v>
      </c>
      <c r="AF655" s="5">
        <v>1</v>
      </c>
    </row>
    <row r="656" spans="1:32" x14ac:dyDescent="0.2">
      <c r="A656" s="3" t="str">
        <f>+VLOOKUP(B656,studies!$A$2:$C$102,3)</f>
        <v>Kopp et al. (2012)</v>
      </c>
      <c r="B656" s="87">
        <v>78</v>
      </c>
      <c r="C656" s="5">
        <v>2012</v>
      </c>
      <c r="D656" s="5">
        <v>1</v>
      </c>
      <c r="E656" s="48">
        <v>2005</v>
      </c>
      <c r="F656" s="5">
        <v>2015</v>
      </c>
      <c r="G656" s="113">
        <v>6.9444444444444441E-3</v>
      </c>
      <c r="H656" s="7">
        <v>150.10966604084879</v>
      </c>
      <c r="I656" s="5">
        <v>0</v>
      </c>
      <c r="J656" s="5">
        <v>0</v>
      </c>
      <c r="K656" s="5">
        <v>1</v>
      </c>
      <c r="L656" s="7" t="s">
        <v>238</v>
      </c>
      <c r="M656" s="7">
        <v>61.269251445244407</v>
      </c>
      <c r="N656" s="7">
        <v>4143.3331289846528</v>
      </c>
      <c r="O656" s="5">
        <v>0</v>
      </c>
      <c r="P656" s="5">
        <v>1</v>
      </c>
      <c r="Q656" s="5">
        <v>0</v>
      </c>
      <c r="R656" s="5">
        <v>1</v>
      </c>
      <c r="S656" s="5">
        <v>0</v>
      </c>
      <c r="T656" s="5">
        <v>1</v>
      </c>
      <c r="U656" s="5">
        <v>0</v>
      </c>
      <c r="V656" s="13">
        <v>3</v>
      </c>
      <c r="W656" s="13">
        <v>-1.1000000000000001</v>
      </c>
      <c r="X656" s="5"/>
      <c r="Y656" s="5"/>
      <c r="Z656" s="5"/>
      <c r="AA656" s="5">
        <v>0</v>
      </c>
      <c r="AB656" s="5"/>
      <c r="AC656" s="5">
        <v>0</v>
      </c>
      <c r="AD656" s="5">
        <v>0</v>
      </c>
      <c r="AE656" s="5">
        <v>0</v>
      </c>
      <c r="AF656" s="5">
        <v>1</v>
      </c>
    </row>
    <row r="657" spans="1:32" x14ac:dyDescent="0.2">
      <c r="A657" s="3" t="str">
        <f>+VLOOKUP(B657,studies!$A$2:$C$102,3)</f>
        <v>Kopp et al. (2012)</v>
      </c>
      <c r="B657" s="87">
        <v>78</v>
      </c>
      <c r="C657" s="5">
        <v>2012</v>
      </c>
      <c r="D657" s="5">
        <v>1</v>
      </c>
      <c r="E657" s="48">
        <v>2005</v>
      </c>
      <c r="F657" s="5">
        <v>2015</v>
      </c>
      <c r="G657" s="113">
        <v>6.9444444444444441E-3</v>
      </c>
      <c r="H657" s="7">
        <v>105.07676622859417</v>
      </c>
      <c r="I657" s="5">
        <v>0</v>
      </c>
      <c r="J657" s="5">
        <v>0</v>
      </c>
      <c r="K657" s="5">
        <v>1</v>
      </c>
      <c r="L657" s="7" t="s">
        <v>238</v>
      </c>
      <c r="M657" s="7">
        <v>45.951938583933305</v>
      </c>
      <c r="N657" s="7">
        <v>3691.4723995759755</v>
      </c>
      <c r="O657" s="5">
        <v>0</v>
      </c>
      <c r="P657" s="5">
        <v>1</v>
      </c>
      <c r="Q657" s="5">
        <v>0</v>
      </c>
      <c r="R657" s="5">
        <v>1</v>
      </c>
      <c r="S657" s="5">
        <v>0</v>
      </c>
      <c r="T657" s="5">
        <v>1</v>
      </c>
      <c r="U657" s="5">
        <v>0</v>
      </c>
      <c r="V657" s="13">
        <v>3</v>
      </c>
      <c r="W657" s="13">
        <v>-1.1000000000000001</v>
      </c>
      <c r="X657" s="5"/>
      <c r="Y657" s="5"/>
      <c r="Z657" s="5"/>
      <c r="AA657" s="5">
        <v>0</v>
      </c>
      <c r="AB657" s="5"/>
      <c r="AC657" s="5">
        <v>0</v>
      </c>
      <c r="AD657" s="5">
        <v>0</v>
      </c>
      <c r="AE657" s="5">
        <v>0</v>
      </c>
      <c r="AF657" s="5">
        <v>1</v>
      </c>
    </row>
    <row r="658" spans="1:32" x14ac:dyDescent="0.2">
      <c r="A658" s="3" t="str">
        <f>+VLOOKUP(B658,studies!$A$2:$C$102,3)</f>
        <v>Kopp et al. (2012)</v>
      </c>
      <c r="B658" s="87">
        <v>78</v>
      </c>
      <c r="C658" s="5">
        <v>2012</v>
      </c>
      <c r="D658" s="5">
        <v>1</v>
      </c>
      <c r="E658" s="48">
        <v>2005</v>
      </c>
      <c r="F658" s="5">
        <v>2015</v>
      </c>
      <c r="G658" s="113">
        <v>6.9444444444444441E-3</v>
      </c>
      <c r="H658" s="7">
        <v>135.09869943676392</v>
      </c>
      <c r="I658" s="5">
        <v>0</v>
      </c>
      <c r="J658" s="5">
        <v>0</v>
      </c>
      <c r="K658" s="5">
        <v>1</v>
      </c>
      <c r="L658" s="7" t="s">
        <v>238</v>
      </c>
      <c r="M658" s="7">
        <v>53.61059501458886</v>
      </c>
      <c r="N658" s="7">
        <v>4855.58817703562</v>
      </c>
      <c r="O658" s="5">
        <v>0</v>
      </c>
      <c r="P658" s="5">
        <v>1</v>
      </c>
      <c r="Q658" s="5">
        <v>0</v>
      </c>
      <c r="R658" s="5">
        <v>1</v>
      </c>
      <c r="S658" s="5">
        <v>0</v>
      </c>
      <c r="T658" s="5">
        <v>1</v>
      </c>
      <c r="U658" s="5">
        <v>0</v>
      </c>
      <c r="V658" s="13">
        <v>3</v>
      </c>
      <c r="W658" s="13">
        <v>-1.1000000000000001</v>
      </c>
      <c r="X658" s="5"/>
      <c r="Y658" s="5"/>
      <c r="Z658" s="5"/>
      <c r="AA658" s="5">
        <v>0</v>
      </c>
      <c r="AB658" s="5"/>
      <c r="AC658" s="5">
        <v>0</v>
      </c>
      <c r="AD658" s="5">
        <v>0</v>
      </c>
      <c r="AE658" s="5">
        <v>0</v>
      </c>
      <c r="AF658" s="5">
        <v>1</v>
      </c>
    </row>
    <row r="659" spans="1:32" x14ac:dyDescent="0.2">
      <c r="A659" s="3" t="str">
        <f>+VLOOKUP(B659,studies!$A$2:$C$102,3)</f>
        <v>Kopp et al. (2012)</v>
      </c>
      <c r="B659" s="87">
        <v>78</v>
      </c>
      <c r="C659" s="5">
        <v>2012</v>
      </c>
      <c r="D659" s="5">
        <v>1</v>
      </c>
      <c r="E659" s="48">
        <v>2005</v>
      </c>
      <c r="F659" s="5">
        <v>2015</v>
      </c>
      <c r="G659" s="113">
        <v>6.9444444444444441E-3</v>
      </c>
      <c r="H659" s="7">
        <v>180.13159924901856</v>
      </c>
      <c r="I659" s="5">
        <v>0</v>
      </c>
      <c r="J659" s="5">
        <v>0</v>
      </c>
      <c r="K659" s="5">
        <v>1</v>
      </c>
      <c r="L659" s="7" t="s">
        <v>238</v>
      </c>
      <c r="M659" s="7">
        <v>76.586564306555516</v>
      </c>
      <c r="N659" s="7">
        <v>5705.6990408383863</v>
      </c>
      <c r="O659" s="5">
        <v>0</v>
      </c>
      <c r="P659" s="5">
        <v>1</v>
      </c>
      <c r="Q659" s="5">
        <v>0</v>
      </c>
      <c r="R659" s="5">
        <v>1</v>
      </c>
      <c r="S659" s="5">
        <v>0</v>
      </c>
      <c r="T659" s="5">
        <v>1</v>
      </c>
      <c r="U659" s="5">
        <v>0</v>
      </c>
      <c r="V659" s="13">
        <v>3</v>
      </c>
      <c r="W659" s="13">
        <v>-1.1000000000000001</v>
      </c>
      <c r="X659" s="5"/>
      <c r="Y659" s="5"/>
      <c r="Z659" s="5"/>
      <c r="AA659" s="5">
        <v>0</v>
      </c>
      <c r="AB659" s="5"/>
      <c r="AC659" s="5">
        <v>0</v>
      </c>
      <c r="AD659" s="5">
        <v>0</v>
      </c>
      <c r="AE659" s="5">
        <v>0</v>
      </c>
      <c r="AF659" s="5">
        <v>1</v>
      </c>
    </row>
    <row r="660" spans="1:32" x14ac:dyDescent="0.2">
      <c r="A660" s="3" t="str">
        <f>+VLOOKUP(B660,studies!$A$2:$C$102,3)</f>
        <v>Marten &amp; Newbold (2012)</v>
      </c>
      <c r="B660" s="87">
        <v>79</v>
      </c>
      <c r="C660" s="5">
        <v>2012</v>
      </c>
      <c r="D660" s="5">
        <v>1</v>
      </c>
      <c r="E660" s="48">
        <v>2007</v>
      </c>
      <c r="F660" s="5">
        <v>2015</v>
      </c>
      <c r="G660" s="113">
        <v>2.2222222222222223E-2</v>
      </c>
      <c r="H660" s="7">
        <v>42.417480941311133</v>
      </c>
      <c r="I660" s="5">
        <v>1</v>
      </c>
      <c r="J660" s="5">
        <v>0</v>
      </c>
      <c r="K660" s="5">
        <v>0</v>
      </c>
      <c r="L660" s="7" t="s">
        <v>238</v>
      </c>
      <c r="M660" s="7" t="s">
        <v>238</v>
      </c>
      <c r="N660" s="7" t="s">
        <v>238</v>
      </c>
      <c r="O660" s="5">
        <v>0</v>
      </c>
      <c r="P660" s="5">
        <v>1</v>
      </c>
      <c r="Q660" s="5">
        <v>0</v>
      </c>
      <c r="R660" s="5">
        <v>1</v>
      </c>
      <c r="S660" s="5">
        <v>0</v>
      </c>
      <c r="T660" s="5">
        <v>1</v>
      </c>
      <c r="U660" s="5">
        <v>0</v>
      </c>
      <c r="V660" s="13">
        <v>2.5</v>
      </c>
      <c r="W660" s="13" t="s">
        <v>25</v>
      </c>
      <c r="X660" s="5"/>
      <c r="Y660" s="5"/>
      <c r="Z660" s="5"/>
      <c r="AA660" s="5">
        <v>0</v>
      </c>
      <c r="AB660" s="5"/>
      <c r="AC660" s="5">
        <v>0</v>
      </c>
      <c r="AD660" s="5">
        <v>0</v>
      </c>
      <c r="AE660" s="5">
        <v>0</v>
      </c>
      <c r="AF660" s="5">
        <v>0</v>
      </c>
    </row>
    <row r="661" spans="1:32" x14ac:dyDescent="0.2">
      <c r="A661" s="3" t="str">
        <f>+VLOOKUP(B661,studies!$A$2:$C$102,3)</f>
        <v>Marten &amp; Newbold (2012)</v>
      </c>
      <c r="B661" s="87">
        <v>79</v>
      </c>
      <c r="C661" s="5">
        <v>2012</v>
      </c>
      <c r="D661" s="5">
        <v>1</v>
      </c>
      <c r="E661" s="48">
        <v>2007</v>
      </c>
      <c r="F661" s="5">
        <v>2015</v>
      </c>
      <c r="G661" s="113">
        <v>2.2222222222222223E-2</v>
      </c>
      <c r="H661" s="7">
        <v>142.67698134804652</v>
      </c>
      <c r="I661" s="5">
        <v>1</v>
      </c>
      <c r="J661" s="5">
        <v>0</v>
      </c>
      <c r="K661" s="5">
        <v>0</v>
      </c>
      <c r="L661" s="7" t="s">
        <v>238</v>
      </c>
      <c r="M661" s="7">
        <v>90.501118891480161</v>
      </c>
      <c r="N661" s="7">
        <v>90.501118891480161</v>
      </c>
      <c r="O661" s="5">
        <v>0</v>
      </c>
      <c r="P661" s="5">
        <v>1</v>
      </c>
      <c r="Q661" s="5">
        <v>0</v>
      </c>
      <c r="R661" s="5">
        <v>1</v>
      </c>
      <c r="S661" s="5">
        <v>0</v>
      </c>
      <c r="T661" s="5">
        <v>1</v>
      </c>
      <c r="U661" s="5">
        <v>0</v>
      </c>
      <c r="V661" s="13">
        <v>3</v>
      </c>
      <c r="W661" s="13" t="s">
        <v>25</v>
      </c>
      <c r="X661" s="5"/>
      <c r="Y661" s="5"/>
      <c r="Z661" s="5"/>
      <c r="AA661" s="5">
        <v>0</v>
      </c>
      <c r="AB661" s="5"/>
      <c r="AC661" s="5">
        <v>0</v>
      </c>
      <c r="AD661" s="5">
        <v>0</v>
      </c>
      <c r="AE661" s="5">
        <v>0</v>
      </c>
      <c r="AF661" s="5">
        <v>0</v>
      </c>
    </row>
    <row r="662" spans="1:32" x14ac:dyDescent="0.2">
      <c r="A662" s="3" t="str">
        <f>+VLOOKUP(B662,studies!$A$2:$C$102,3)</f>
        <v>Marten &amp; Newbold (2012)</v>
      </c>
      <c r="B662" s="87">
        <v>79</v>
      </c>
      <c r="C662" s="5">
        <v>2012</v>
      </c>
      <c r="D662" s="5">
        <v>1</v>
      </c>
      <c r="E662" s="48">
        <v>2007</v>
      </c>
      <c r="F662" s="5">
        <v>2015</v>
      </c>
      <c r="G662" s="113">
        <v>2.2222222222222223E-2</v>
      </c>
      <c r="H662" s="7">
        <v>223.65580859964052</v>
      </c>
      <c r="I662" s="5">
        <v>1</v>
      </c>
      <c r="J662" s="5">
        <v>0</v>
      </c>
      <c r="K662" s="5">
        <v>0</v>
      </c>
      <c r="L662" s="7" t="s">
        <v>238</v>
      </c>
      <c r="M662" s="7" t="s">
        <v>238</v>
      </c>
      <c r="N662" s="7" t="s">
        <v>238</v>
      </c>
      <c r="O662" s="5">
        <v>0</v>
      </c>
      <c r="P662" s="5">
        <v>1</v>
      </c>
      <c r="Q662" s="5">
        <v>0</v>
      </c>
      <c r="R662" s="5">
        <v>1</v>
      </c>
      <c r="S662" s="5">
        <v>0</v>
      </c>
      <c r="T662" s="5">
        <v>1</v>
      </c>
      <c r="U662" s="5">
        <v>0</v>
      </c>
      <c r="V662" s="13">
        <v>5</v>
      </c>
      <c r="W662" s="13" t="s">
        <v>25</v>
      </c>
      <c r="X662" s="5"/>
      <c r="Y662" s="5"/>
      <c r="Z662" s="5"/>
      <c r="AA662" s="5">
        <v>0</v>
      </c>
      <c r="AB662" s="5"/>
      <c r="AC662" s="5">
        <v>0</v>
      </c>
      <c r="AD662" s="5">
        <v>0</v>
      </c>
      <c r="AE662" s="5">
        <v>0</v>
      </c>
      <c r="AF662" s="5">
        <v>0</v>
      </c>
    </row>
    <row r="663" spans="1:32" x14ac:dyDescent="0.2">
      <c r="A663" s="3" t="str">
        <f>+VLOOKUP(B663,studies!$A$2:$C$102,3)</f>
        <v>Perrissin-Fabert et al. (2012)</v>
      </c>
      <c r="B663" s="87">
        <v>80</v>
      </c>
      <c r="C663" s="5">
        <v>2012</v>
      </c>
      <c r="D663" s="5">
        <v>0</v>
      </c>
      <c r="E663" s="48">
        <v>2010</v>
      </c>
      <c r="F663" s="5">
        <v>2020</v>
      </c>
      <c r="G663" s="113">
        <v>1</v>
      </c>
      <c r="H663" s="7">
        <v>51.277085325751017</v>
      </c>
      <c r="I663" s="5">
        <v>0</v>
      </c>
      <c r="J663" s="5">
        <v>0</v>
      </c>
      <c r="K663" s="5">
        <v>1</v>
      </c>
      <c r="L663" s="7" t="s">
        <v>238</v>
      </c>
      <c r="M663" s="7">
        <v>21.327684444525723</v>
      </c>
      <c r="N663" s="7">
        <v>55.506665926137593</v>
      </c>
      <c r="O663" s="5">
        <v>0</v>
      </c>
      <c r="P663" s="5">
        <v>1</v>
      </c>
      <c r="Q663" s="5">
        <v>0</v>
      </c>
      <c r="R663" s="5">
        <v>1</v>
      </c>
      <c r="S663" s="5">
        <v>0</v>
      </c>
      <c r="T663" s="5">
        <v>1</v>
      </c>
      <c r="U663" s="5">
        <v>0</v>
      </c>
      <c r="V663" s="13"/>
      <c r="W663" s="13">
        <v>0</v>
      </c>
      <c r="X663" s="5"/>
      <c r="Y663" s="5"/>
      <c r="Z663" s="5"/>
      <c r="AA663" s="5">
        <v>0</v>
      </c>
      <c r="AB663" s="5"/>
      <c r="AC663" s="5">
        <v>0</v>
      </c>
      <c r="AD663" s="5">
        <v>0</v>
      </c>
      <c r="AE663" s="5">
        <v>0</v>
      </c>
      <c r="AF663" s="5">
        <v>0</v>
      </c>
    </row>
    <row r="664" spans="1:32" x14ac:dyDescent="0.2">
      <c r="A664" s="3" t="str">
        <f>+VLOOKUP(B664,studies!$A$2:$C$102,3)</f>
        <v>Tol (2012)</v>
      </c>
      <c r="B664" s="87">
        <v>81</v>
      </c>
      <c r="C664" s="5">
        <v>2012</v>
      </c>
      <c r="D664" s="5">
        <v>1</v>
      </c>
      <c r="E664" s="5">
        <v>1990</v>
      </c>
      <c r="F664" s="5">
        <v>2015</v>
      </c>
      <c r="G664" s="113">
        <v>1</v>
      </c>
      <c r="H664" s="7">
        <v>48.3827390971691</v>
      </c>
      <c r="I664" s="5">
        <v>1</v>
      </c>
      <c r="J664" s="5">
        <v>0</v>
      </c>
      <c r="K664" s="5">
        <v>0</v>
      </c>
      <c r="L664" s="7" t="s">
        <v>238</v>
      </c>
      <c r="M664" s="7">
        <v>23.833861624221232</v>
      </c>
      <c r="N664" s="7">
        <v>30.643536373998728</v>
      </c>
      <c r="O664" s="5">
        <v>1</v>
      </c>
      <c r="P664" s="5">
        <v>1</v>
      </c>
      <c r="Q664" s="5">
        <v>0</v>
      </c>
      <c r="R664" s="5">
        <v>1</v>
      </c>
      <c r="S664" s="5">
        <v>0</v>
      </c>
      <c r="T664" s="5">
        <v>1</v>
      </c>
      <c r="U664" s="5">
        <v>0</v>
      </c>
      <c r="V664" s="13"/>
      <c r="W664" s="13">
        <v>3</v>
      </c>
      <c r="X664" s="5"/>
      <c r="Y664" s="5"/>
      <c r="Z664" s="5"/>
      <c r="AA664" s="5">
        <v>0</v>
      </c>
      <c r="AB664" s="5"/>
      <c r="AC664" s="5">
        <v>0</v>
      </c>
      <c r="AD664" s="5">
        <v>0</v>
      </c>
      <c r="AE664" s="5">
        <v>1</v>
      </c>
      <c r="AF664" s="5">
        <v>0</v>
      </c>
    </row>
    <row r="665" spans="1:32" x14ac:dyDescent="0.2">
      <c r="A665" s="3" t="str">
        <f>+VLOOKUP(B665,studies!$A$2:$C$102,3)</f>
        <v>Anthoff &amp; Tol (2013)</v>
      </c>
      <c r="B665" s="87">
        <v>82</v>
      </c>
      <c r="C665" s="5">
        <v>2013</v>
      </c>
      <c r="D665" s="5">
        <v>1</v>
      </c>
      <c r="E665" s="5">
        <v>1995</v>
      </c>
      <c r="F665" s="5">
        <v>2015</v>
      </c>
      <c r="G665" s="113">
        <v>9.0909090909090912E-2</v>
      </c>
      <c r="H665" s="7">
        <v>535.18153700787411</v>
      </c>
      <c r="I665" s="5">
        <v>1</v>
      </c>
      <c r="J665" s="5">
        <v>0</v>
      </c>
      <c r="K665" s="5">
        <v>0</v>
      </c>
      <c r="L665" s="7" t="s">
        <v>238</v>
      </c>
      <c r="M665" s="7" t="s">
        <v>238</v>
      </c>
      <c r="N665" s="7" t="s">
        <v>238</v>
      </c>
      <c r="O665" s="5">
        <v>0</v>
      </c>
      <c r="P665" s="5">
        <v>1</v>
      </c>
      <c r="Q665" s="5">
        <v>1</v>
      </c>
      <c r="R665" s="5">
        <v>1</v>
      </c>
      <c r="S665" s="5">
        <v>1</v>
      </c>
      <c r="T665" s="5">
        <v>0</v>
      </c>
      <c r="U665" s="5">
        <v>0</v>
      </c>
      <c r="V665" s="13"/>
      <c r="W665" s="13">
        <v>0.1</v>
      </c>
      <c r="X665" s="3">
        <v>1</v>
      </c>
      <c r="Y665" s="5"/>
      <c r="Z665" s="5"/>
      <c r="AA665" s="5">
        <v>0</v>
      </c>
      <c r="AB665" s="5"/>
      <c r="AC665" s="5">
        <v>0</v>
      </c>
      <c r="AD665" s="5">
        <v>0</v>
      </c>
      <c r="AE665" s="5">
        <v>1</v>
      </c>
      <c r="AF665" s="5">
        <v>0</v>
      </c>
    </row>
    <row r="666" spans="1:32" x14ac:dyDescent="0.2">
      <c r="A666" s="3" t="str">
        <f>+VLOOKUP(B666,studies!$A$2:$C$102,3)</f>
        <v>Anthoff &amp; Tol (2013)</v>
      </c>
      <c r="B666" s="87">
        <v>82</v>
      </c>
      <c r="C666" s="5">
        <v>2013</v>
      </c>
      <c r="D666" s="5">
        <v>1</v>
      </c>
      <c r="E666" s="5">
        <v>1995</v>
      </c>
      <c r="F666" s="5">
        <v>2015</v>
      </c>
      <c r="G666" s="113">
        <v>9.0909090909090912E-2</v>
      </c>
      <c r="H666" s="7">
        <v>209.68574015748032</v>
      </c>
      <c r="I666" s="5">
        <v>1</v>
      </c>
      <c r="J666" s="5">
        <v>0</v>
      </c>
      <c r="K666" s="5">
        <v>0</v>
      </c>
      <c r="L666" s="7" t="s">
        <v>238</v>
      </c>
      <c r="M666" s="7" t="s">
        <v>238</v>
      </c>
      <c r="N666" s="7" t="s">
        <v>238</v>
      </c>
      <c r="O666" s="5">
        <v>0</v>
      </c>
      <c r="P666" s="5">
        <v>1</v>
      </c>
      <c r="Q666" s="5">
        <v>1</v>
      </c>
      <c r="R666" s="5">
        <v>1</v>
      </c>
      <c r="S666" s="5">
        <v>1</v>
      </c>
      <c r="T666" s="5">
        <v>0</v>
      </c>
      <c r="U666" s="5">
        <v>0</v>
      </c>
      <c r="V666" s="13"/>
      <c r="W666" s="13">
        <v>0.1</v>
      </c>
      <c r="X666" s="3">
        <v>1.5</v>
      </c>
      <c r="Y666" s="5"/>
      <c r="Z666" s="5"/>
      <c r="AA666" s="5">
        <v>0</v>
      </c>
      <c r="AB666" s="5"/>
      <c r="AC666" s="5">
        <v>0</v>
      </c>
      <c r="AD666" s="5">
        <v>0</v>
      </c>
      <c r="AE666" s="5">
        <v>1</v>
      </c>
      <c r="AF666" s="5">
        <v>0</v>
      </c>
    </row>
    <row r="667" spans="1:32" x14ac:dyDescent="0.2">
      <c r="A667" s="3" t="str">
        <f>+VLOOKUP(B667,studies!$A$2:$C$102,3)</f>
        <v>Anthoff &amp; Tol (2013)</v>
      </c>
      <c r="B667" s="87">
        <v>82</v>
      </c>
      <c r="C667" s="5">
        <v>2013</v>
      </c>
      <c r="D667" s="5">
        <v>1</v>
      </c>
      <c r="E667" s="5">
        <v>1995</v>
      </c>
      <c r="F667" s="5">
        <v>2015</v>
      </c>
      <c r="G667" s="113">
        <v>9.0909090909090912E-2</v>
      </c>
      <c r="H667" s="7">
        <v>88.810603149606308</v>
      </c>
      <c r="I667" s="5">
        <v>1</v>
      </c>
      <c r="J667" s="5">
        <v>0</v>
      </c>
      <c r="K667" s="5">
        <v>0</v>
      </c>
      <c r="L667" s="7" t="s">
        <v>238</v>
      </c>
      <c r="M667" s="7" t="s">
        <v>238</v>
      </c>
      <c r="N667" s="7" t="s">
        <v>238</v>
      </c>
      <c r="O667" s="5">
        <v>0</v>
      </c>
      <c r="P667" s="5">
        <v>1</v>
      </c>
      <c r="Q667" s="5">
        <v>1</v>
      </c>
      <c r="R667" s="5">
        <v>1</v>
      </c>
      <c r="S667" s="5">
        <v>1</v>
      </c>
      <c r="T667" s="5">
        <v>0</v>
      </c>
      <c r="U667" s="5">
        <v>0</v>
      </c>
      <c r="V667" s="13"/>
      <c r="W667" s="13">
        <v>0.1</v>
      </c>
      <c r="X667" s="3">
        <v>2</v>
      </c>
      <c r="Y667" s="5"/>
      <c r="Z667" s="5"/>
      <c r="AA667" s="5">
        <v>0</v>
      </c>
      <c r="AB667" s="5"/>
      <c r="AC667" s="5">
        <v>0</v>
      </c>
      <c r="AD667" s="5">
        <v>0</v>
      </c>
      <c r="AE667" s="5">
        <v>1</v>
      </c>
      <c r="AF667" s="5">
        <v>0</v>
      </c>
    </row>
    <row r="668" spans="1:32" x14ac:dyDescent="0.2">
      <c r="A668" s="3" t="str">
        <f>+VLOOKUP(B668,studies!$A$2:$C$102,3)</f>
        <v>Anthoff &amp; Tol (2013)</v>
      </c>
      <c r="B668" s="87">
        <v>82</v>
      </c>
      <c r="C668" s="5">
        <v>2013</v>
      </c>
      <c r="D668" s="5">
        <v>1</v>
      </c>
      <c r="E668" s="5">
        <v>1995</v>
      </c>
      <c r="F668" s="5">
        <v>2015</v>
      </c>
      <c r="G668" s="113">
        <v>9.0909090909090912E-2</v>
      </c>
      <c r="H668" s="7">
        <v>147.60273595800524</v>
      </c>
      <c r="I668" s="5">
        <v>1</v>
      </c>
      <c r="J668" s="5">
        <v>0</v>
      </c>
      <c r="K668" s="5">
        <v>0</v>
      </c>
      <c r="L668" s="7" t="s">
        <v>238</v>
      </c>
      <c r="M668" s="7" t="s">
        <v>238</v>
      </c>
      <c r="N668" s="7" t="s">
        <v>238</v>
      </c>
      <c r="O668" s="5">
        <v>0</v>
      </c>
      <c r="P668" s="5">
        <v>1</v>
      </c>
      <c r="Q668" s="5">
        <v>1</v>
      </c>
      <c r="R668" s="5">
        <v>1</v>
      </c>
      <c r="S668" s="5">
        <v>1</v>
      </c>
      <c r="T668" s="5">
        <v>0</v>
      </c>
      <c r="U668" s="5">
        <v>0</v>
      </c>
      <c r="V668" s="13"/>
      <c r="W668" s="13">
        <v>1</v>
      </c>
      <c r="X668" s="3">
        <v>1</v>
      </c>
      <c r="Y668" s="5"/>
      <c r="Z668" s="5"/>
      <c r="AA668" s="5">
        <v>0</v>
      </c>
      <c r="AB668" s="5"/>
      <c r="AC668" s="5">
        <v>0</v>
      </c>
      <c r="AD668" s="5">
        <v>0</v>
      </c>
      <c r="AE668" s="5">
        <v>1</v>
      </c>
      <c r="AF668" s="5">
        <v>0</v>
      </c>
    </row>
    <row r="669" spans="1:32" x14ac:dyDescent="0.2">
      <c r="A669" s="3" t="str">
        <f>+VLOOKUP(B669,studies!$A$2:$C$102,3)</f>
        <v>Anthoff &amp; Tol (2013)</v>
      </c>
      <c r="B669" s="87">
        <v>82</v>
      </c>
      <c r="C669" s="5">
        <v>2013</v>
      </c>
      <c r="D669" s="5">
        <v>1</v>
      </c>
      <c r="E669" s="5">
        <v>1995</v>
      </c>
      <c r="F669" s="5">
        <v>2015</v>
      </c>
      <c r="G669" s="113">
        <v>9.0909090909090912E-2</v>
      </c>
      <c r="H669" s="7">
        <v>64.558311811023614</v>
      </c>
      <c r="I669" s="5">
        <v>1</v>
      </c>
      <c r="J669" s="5">
        <v>0</v>
      </c>
      <c r="K669" s="5">
        <v>0</v>
      </c>
      <c r="L669" s="7" t="s">
        <v>238</v>
      </c>
      <c r="M669" s="7" t="s">
        <v>238</v>
      </c>
      <c r="N669" s="7" t="s">
        <v>238</v>
      </c>
      <c r="O669" s="5">
        <v>0</v>
      </c>
      <c r="P669" s="5">
        <v>1</v>
      </c>
      <c r="Q669" s="5">
        <v>1</v>
      </c>
      <c r="R669" s="5">
        <v>1</v>
      </c>
      <c r="S669" s="5">
        <v>1</v>
      </c>
      <c r="T669" s="5">
        <v>0</v>
      </c>
      <c r="U669" s="5">
        <v>0</v>
      </c>
      <c r="V669" s="13"/>
      <c r="W669" s="13">
        <v>1</v>
      </c>
      <c r="X669" s="3">
        <v>1.5</v>
      </c>
      <c r="Y669" s="5"/>
      <c r="Z669" s="5"/>
      <c r="AA669" s="5">
        <v>0</v>
      </c>
      <c r="AB669" s="5"/>
      <c r="AC669" s="5">
        <v>0</v>
      </c>
      <c r="AD669" s="5">
        <v>0</v>
      </c>
      <c r="AE669" s="5">
        <v>1</v>
      </c>
      <c r="AF669" s="5">
        <v>0</v>
      </c>
    </row>
    <row r="670" spans="1:32" x14ac:dyDescent="0.2">
      <c r="A670" s="3" t="str">
        <f>+VLOOKUP(B670,studies!$A$2:$C$102,3)</f>
        <v>Anthoff &amp; Tol (2013)</v>
      </c>
      <c r="B670" s="87">
        <v>82</v>
      </c>
      <c r="C670" s="5">
        <v>2013</v>
      </c>
      <c r="D670" s="5">
        <v>1</v>
      </c>
      <c r="E670" s="5">
        <v>1995</v>
      </c>
      <c r="F670" s="5">
        <v>2015</v>
      </c>
      <c r="G670" s="113">
        <v>9.0909090909090912E-2</v>
      </c>
      <c r="H670" s="7">
        <v>73.543821522309713</v>
      </c>
      <c r="I670" s="5">
        <v>1</v>
      </c>
      <c r="J670" s="5">
        <v>0</v>
      </c>
      <c r="K670" s="5">
        <v>0</v>
      </c>
      <c r="L670" s="7" t="s">
        <v>238</v>
      </c>
      <c r="M670" s="7" t="s">
        <v>238</v>
      </c>
      <c r="N670" s="7" t="s">
        <v>238</v>
      </c>
      <c r="O670" s="5">
        <v>0</v>
      </c>
      <c r="P670" s="5">
        <v>1</v>
      </c>
      <c r="Q670" s="5">
        <v>1</v>
      </c>
      <c r="R670" s="5">
        <v>1</v>
      </c>
      <c r="S670" s="5">
        <v>1</v>
      </c>
      <c r="T670" s="5">
        <v>0</v>
      </c>
      <c r="U670" s="5">
        <v>0</v>
      </c>
      <c r="V670" s="13"/>
      <c r="W670" s="13">
        <v>1</v>
      </c>
      <c r="X670" s="3">
        <v>1.5</v>
      </c>
      <c r="Y670" s="5"/>
      <c r="Z670" s="5"/>
      <c r="AA670" s="5">
        <v>0</v>
      </c>
      <c r="AB670" s="5"/>
      <c r="AC670" s="5">
        <v>0</v>
      </c>
      <c r="AD670" s="5">
        <v>0</v>
      </c>
      <c r="AE670" s="5">
        <v>1</v>
      </c>
      <c r="AF670" s="5">
        <v>0</v>
      </c>
    </row>
    <row r="671" spans="1:32" x14ac:dyDescent="0.2">
      <c r="A671" s="3" t="str">
        <f>+VLOOKUP(B671,studies!$A$2:$C$102,3)</f>
        <v>Anthoff &amp; Tol (2013)</v>
      </c>
      <c r="B671" s="87">
        <v>82</v>
      </c>
      <c r="C671" s="5">
        <v>2013</v>
      </c>
      <c r="D671" s="5">
        <v>1</v>
      </c>
      <c r="E671" s="5">
        <v>1995</v>
      </c>
      <c r="F671" s="5">
        <v>2015</v>
      </c>
      <c r="G671" s="113">
        <v>9.0909090909090912E-2</v>
      </c>
      <c r="H671" s="7">
        <v>470.63753333333335</v>
      </c>
      <c r="I671" s="5">
        <v>1</v>
      </c>
      <c r="J671" s="5">
        <v>0</v>
      </c>
      <c r="K671" s="5">
        <v>0</v>
      </c>
      <c r="L671" s="7" t="s">
        <v>238</v>
      </c>
      <c r="M671" s="7" t="s">
        <v>238</v>
      </c>
      <c r="N671" s="7" t="s">
        <v>238</v>
      </c>
      <c r="O671" s="5">
        <v>0</v>
      </c>
      <c r="P671" s="5">
        <v>1</v>
      </c>
      <c r="Q671" s="5">
        <v>1</v>
      </c>
      <c r="R671" s="5">
        <v>1</v>
      </c>
      <c r="S671" s="5">
        <v>1</v>
      </c>
      <c r="T671" s="5">
        <v>0</v>
      </c>
      <c r="U671" s="5">
        <v>0</v>
      </c>
      <c r="V671" s="13"/>
      <c r="W671" s="13">
        <v>1</v>
      </c>
      <c r="X671" s="3">
        <v>1.5</v>
      </c>
      <c r="Y671" s="5"/>
      <c r="Z671" s="5"/>
      <c r="AA671" s="5">
        <v>1</v>
      </c>
      <c r="AB671" s="5"/>
      <c r="AC671" s="5">
        <v>0</v>
      </c>
      <c r="AD671" s="5">
        <v>0</v>
      </c>
      <c r="AE671" s="5">
        <v>1</v>
      </c>
      <c r="AF671" s="5">
        <v>0</v>
      </c>
    </row>
    <row r="672" spans="1:32" x14ac:dyDescent="0.2">
      <c r="A672" s="3" t="str">
        <f>+VLOOKUP(B672,studies!$A$2:$C$102,3)</f>
        <v>Anthoff &amp; Tol (2013)</v>
      </c>
      <c r="B672" s="87">
        <v>82</v>
      </c>
      <c r="C672" s="5">
        <v>2013</v>
      </c>
      <c r="D672" s="5">
        <v>1</v>
      </c>
      <c r="E672" s="5">
        <v>1995</v>
      </c>
      <c r="F672" s="5">
        <v>2015</v>
      </c>
      <c r="G672" s="113">
        <v>9.0909090909090912E-2</v>
      </c>
      <c r="H672" s="7">
        <v>28.988284514435698</v>
      </c>
      <c r="I672" s="5">
        <v>1</v>
      </c>
      <c r="J672" s="5">
        <v>0</v>
      </c>
      <c r="K672" s="5">
        <v>0</v>
      </c>
      <c r="L672" s="7" t="s">
        <v>238</v>
      </c>
      <c r="M672" s="7" t="s">
        <v>238</v>
      </c>
      <c r="N672" s="7" t="s">
        <v>238</v>
      </c>
      <c r="O672" s="5">
        <v>0</v>
      </c>
      <c r="P672" s="5">
        <v>1</v>
      </c>
      <c r="Q672" s="5">
        <v>1</v>
      </c>
      <c r="R672" s="5">
        <v>1</v>
      </c>
      <c r="S672" s="5">
        <v>1</v>
      </c>
      <c r="T672" s="5">
        <v>0</v>
      </c>
      <c r="U672" s="5">
        <v>0</v>
      </c>
      <c r="V672" s="13"/>
      <c r="W672" s="13">
        <v>1</v>
      </c>
      <c r="X672" s="3">
        <v>2</v>
      </c>
      <c r="Y672" s="5"/>
      <c r="Z672" s="5"/>
      <c r="AA672" s="5">
        <v>0</v>
      </c>
      <c r="AB672" s="5"/>
      <c r="AC672" s="5">
        <v>0</v>
      </c>
      <c r="AD672" s="5">
        <v>0</v>
      </c>
      <c r="AE672" s="5">
        <v>1</v>
      </c>
      <c r="AF672" s="5">
        <v>0</v>
      </c>
    </row>
    <row r="673" spans="1:32" x14ac:dyDescent="0.2">
      <c r="A673" s="3" t="str">
        <f>+VLOOKUP(B673,studies!$A$2:$C$102,3)</f>
        <v>Anthoff &amp; Tol (2013)</v>
      </c>
      <c r="B673" s="87">
        <v>82</v>
      </c>
      <c r="C673" s="5">
        <v>2013</v>
      </c>
      <c r="D673" s="5">
        <v>1</v>
      </c>
      <c r="E673" s="5">
        <v>1995</v>
      </c>
      <c r="F673" s="5">
        <v>2015</v>
      </c>
      <c r="G673" s="113">
        <v>9.0909090909090912E-2</v>
      </c>
      <c r="H673" s="7">
        <v>14.336752755905511</v>
      </c>
      <c r="I673" s="5">
        <v>1</v>
      </c>
      <c r="J673" s="5">
        <v>0</v>
      </c>
      <c r="K673" s="5">
        <v>0</v>
      </c>
      <c r="L673" s="7" t="s">
        <v>238</v>
      </c>
      <c r="M673" s="7" t="s">
        <v>238</v>
      </c>
      <c r="N673" s="7" t="s">
        <v>238</v>
      </c>
      <c r="O673" s="5">
        <v>0</v>
      </c>
      <c r="P673" s="5">
        <v>1</v>
      </c>
      <c r="Q673" s="5">
        <v>1</v>
      </c>
      <c r="R673" s="5">
        <v>1</v>
      </c>
      <c r="S673" s="5">
        <v>1</v>
      </c>
      <c r="T673" s="5">
        <v>0</v>
      </c>
      <c r="U673" s="5">
        <v>0</v>
      </c>
      <c r="V673" s="13"/>
      <c r="W673" s="13">
        <v>3</v>
      </c>
      <c r="X673" s="3">
        <v>1</v>
      </c>
      <c r="Y673" s="5"/>
      <c r="Z673" s="5"/>
      <c r="AA673" s="5">
        <v>0</v>
      </c>
      <c r="AB673" s="5"/>
      <c r="AC673" s="5">
        <v>0</v>
      </c>
      <c r="AD673" s="5">
        <v>0</v>
      </c>
      <c r="AE673" s="5">
        <v>1</v>
      </c>
      <c r="AF673" s="5">
        <v>0</v>
      </c>
    </row>
    <row r="674" spans="1:32" x14ac:dyDescent="0.2">
      <c r="A674" s="3" t="str">
        <f>+VLOOKUP(B674,studies!$A$2:$C$102,3)</f>
        <v>Anthoff &amp; Tol (2013)</v>
      </c>
      <c r="B674" s="87">
        <v>82</v>
      </c>
      <c r="C674" s="5">
        <v>2013</v>
      </c>
      <c r="D674" s="5">
        <v>1</v>
      </c>
      <c r="E674" s="5">
        <v>1995</v>
      </c>
      <c r="F674" s="5">
        <v>2015</v>
      </c>
      <c r="G674" s="113">
        <v>9.0909090909090912E-2</v>
      </c>
      <c r="H674" s="7">
        <v>5.5372488188976376</v>
      </c>
      <c r="I674" s="5">
        <v>1</v>
      </c>
      <c r="J674" s="5">
        <v>0</v>
      </c>
      <c r="K674" s="5">
        <v>0</v>
      </c>
      <c r="L674" s="7" t="s">
        <v>238</v>
      </c>
      <c r="M674" s="7" t="s">
        <v>238</v>
      </c>
      <c r="N674" s="7" t="s">
        <v>238</v>
      </c>
      <c r="O674" s="5">
        <v>0</v>
      </c>
      <c r="P674" s="5">
        <v>1</v>
      </c>
      <c r="Q674" s="5">
        <v>1</v>
      </c>
      <c r="R674" s="5">
        <v>1</v>
      </c>
      <c r="S674" s="5">
        <v>1</v>
      </c>
      <c r="T674" s="5">
        <v>0</v>
      </c>
      <c r="U674" s="5">
        <v>0</v>
      </c>
      <c r="V674" s="13"/>
      <c r="W674" s="13">
        <v>3</v>
      </c>
      <c r="X674" s="3">
        <v>1.5</v>
      </c>
      <c r="Y674" s="5"/>
      <c r="Z674" s="5"/>
      <c r="AA674" s="5">
        <v>0</v>
      </c>
      <c r="AB674" s="5"/>
      <c r="AC674" s="5">
        <v>0</v>
      </c>
      <c r="AD674" s="5">
        <v>0</v>
      </c>
      <c r="AE674" s="5">
        <v>1</v>
      </c>
      <c r="AF674" s="5">
        <v>0</v>
      </c>
    </row>
    <row r="675" spans="1:32" x14ac:dyDescent="0.2">
      <c r="A675" s="3" t="str">
        <f>+VLOOKUP(B675,studies!$A$2:$C$102,3)</f>
        <v>Anthoff &amp; Tol (2013)</v>
      </c>
      <c r="B675" s="87">
        <v>82</v>
      </c>
      <c r="C675" s="5">
        <v>2013</v>
      </c>
      <c r="D675" s="5">
        <v>1</v>
      </c>
      <c r="E675" s="5">
        <v>1995</v>
      </c>
      <c r="F675" s="5">
        <v>2015</v>
      </c>
      <c r="G675" s="113">
        <v>9.0909090909090912E-2</v>
      </c>
      <c r="H675" s="7">
        <v>1.0158776902887139</v>
      </c>
      <c r="I675" s="5">
        <v>1</v>
      </c>
      <c r="J675" s="5">
        <v>0</v>
      </c>
      <c r="K675" s="5">
        <v>0</v>
      </c>
      <c r="L675" s="7" t="s">
        <v>238</v>
      </c>
      <c r="M675" s="7" t="s">
        <v>238</v>
      </c>
      <c r="N675" s="7" t="s">
        <v>238</v>
      </c>
      <c r="O675" s="5">
        <v>0</v>
      </c>
      <c r="P675" s="5">
        <v>1</v>
      </c>
      <c r="Q675" s="5">
        <v>1</v>
      </c>
      <c r="R675" s="5">
        <v>1</v>
      </c>
      <c r="S675" s="5">
        <v>1</v>
      </c>
      <c r="T675" s="5">
        <v>0</v>
      </c>
      <c r="U675" s="5">
        <v>0</v>
      </c>
      <c r="V675" s="13"/>
      <c r="W675" s="13">
        <v>3</v>
      </c>
      <c r="X675" s="3">
        <v>2</v>
      </c>
      <c r="Y675" s="5"/>
      <c r="Z675" s="5"/>
      <c r="AA675" s="5">
        <v>0</v>
      </c>
      <c r="AB675" s="5"/>
      <c r="AC675" s="5">
        <v>0</v>
      </c>
      <c r="AD675" s="5">
        <v>0</v>
      </c>
      <c r="AE675" s="5">
        <v>1</v>
      </c>
      <c r="AF675" s="5">
        <v>0</v>
      </c>
    </row>
    <row r="676" spans="1:32" x14ac:dyDescent="0.2">
      <c r="A676" s="3" t="str">
        <f>+VLOOKUP(B676,studies!$A$2:$C$102,3)</f>
        <v>van den Bijgaart et al. (2013)</v>
      </c>
      <c r="B676" s="87">
        <v>83</v>
      </c>
      <c r="C676" s="5">
        <v>2013</v>
      </c>
      <c r="D676" s="5">
        <v>0</v>
      </c>
      <c r="E676" s="5">
        <v>2010</v>
      </c>
      <c r="F676" s="5">
        <v>2015</v>
      </c>
      <c r="G676" s="113">
        <v>0.25</v>
      </c>
      <c r="H676" s="7">
        <v>233.59893758300134</v>
      </c>
      <c r="I676" s="5">
        <v>0</v>
      </c>
      <c r="J676" s="5">
        <v>0</v>
      </c>
      <c r="K676" s="5">
        <v>1</v>
      </c>
      <c r="L676" s="7">
        <v>2046.0485651214128</v>
      </c>
      <c r="M676" s="7">
        <v>2046.0485651214128</v>
      </c>
      <c r="N676" s="7">
        <v>2046.0485651214128</v>
      </c>
      <c r="O676" s="5">
        <v>1</v>
      </c>
      <c r="P676" s="5">
        <v>1</v>
      </c>
      <c r="Q676" s="5">
        <v>1</v>
      </c>
      <c r="R676" s="5">
        <v>0</v>
      </c>
      <c r="S676" s="5">
        <v>0</v>
      </c>
      <c r="T676" s="5">
        <v>0</v>
      </c>
      <c r="U676" s="5">
        <v>0</v>
      </c>
      <c r="V676" s="13">
        <v>0.1</v>
      </c>
      <c r="W676" s="13">
        <v>2</v>
      </c>
      <c r="X676" s="5"/>
      <c r="Y676" s="5"/>
      <c r="Z676" s="5"/>
      <c r="AA676" s="5">
        <v>0</v>
      </c>
      <c r="AB676" s="5">
        <v>3</v>
      </c>
      <c r="AC676" s="5">
        <v>0</v>
      </c>
      <c r="AD676" s="5">
        <v>0</v>
      </c>
      <c r="AE676" s="5">
        <v>0</v>
      </c>
      <c r="AF676" s="5">
        <v>1</v>
      </c>
    </row>
    <row r="677" spans="1:32" x14ac:dyDescent="0.2">
      <c r="A677" s="3" t="str">
        <f>+VLOOKUP(B677,studies!$A$2:$C$102,3)</f>
        <v>van den Bijgaart et al. (2013)</v>
      </c>
      <c r="B677" s="87">
        <v>83</v>
      </c>
      <c r="C677" s="5">
        <v>2013</v>
      </c>
      <c r="D677" s="5">
        <v>0</v>
      </c>
      <c r="E677" s="5">
        <v>2010</v>
      </c>
      <c r="F677" s="5">
        <v>2015</v>
      </c>
      <c r="G677" s="113">
        <v>0.25</v>
      </c>
      <c r="H677" s="7">
        <v>38.778220451527226</v>
      </c>
      <c r="I677" s="5">
        <v>0</v>
      </c>
      <c r="J677" s="5">
        <v>0</v>
      </c>
      <c r="K677" s="5">
        <v>1</v>
      </c>
      <c r="L677" s="7">
        <v>284.10596026490066</v>
      </c>
      <c r="M677" s="7">
        <v>284.10596026490066</v>
      </c>
      <c r="N677" s="7">
        <v>284.10596026490066</v>
      </c>
      <c r="O677" s="5">
        <v>1</v>
      </c>
      <c r="P677" s="5">
        <v>1</v>
      </c>
      <c r="Q677" s="5">
        <v>1</v>
      </c>
      <c r="R677" s="5">
        <v>0</v>
      </c>
      <c r="S677" s="5">
        <v>0</v>
      </c>
      <c r="T677" s="5">
        <v>0</v>
      </c>
      <c r="U677" s="5">
        <v>0</v>
      </c>
      <c r="V677" s="13">
        <v>1</v>
      </c>
      <c r="W677" s="13">
        <v>2</v>
      </c>
      <c r="X677" s="5"/>
      <c r="Y677" s="5"/>
      <c r="Z677" s="5"/>
      <c r="AA677" s="5">
        <v>0</v>
      </c>
      <c r="AB677" s="5">
        <v>3</v>
      </c>
      <c r="AC677" s="5">
        <v>0</v>
      </c>
      <c r="AD677" s="5">
        <v>0</v>
      </c>
      <c r="AE677" s="5">
        <v>0</v>
      </c>
      <c r="AF677" s="5">
        <v>1</v>
      </c>
    </row>
    <row r="678" spans="1:32" x14ac:dyDescent="0.2">
      <c r="A678" s="3" t="str">
        <f>+VLOOKUP(B678,studies!$A$2:$C$102,3)</f>
        <v>van den Bijgaart et al. (2013)</v>
      </c>
      <c r="B678" s="87">
        <v>83</v>
      </c>
      <c r="C678" s="5">
        <v>2013</v>
      </c>
      <c r="D678" s="5">
        <v>0</v>
      </c>
      <c r="E678" s="5">
        <v>2010</v>
      </c>
      <c r="F678" s="5">
        <v>2015</v>
      </c>
      <c r="G678" s="113">
        <v>0.25</v>
      </c>
      <c r="H678" s="7">
        <v>18.193891102257634</v>
      </c>
      <c r="I678" s="5">
        <v>0</v>
      </c>
      <c r="J678" s="5">
        <v>0</v>
      </c>
      <c r="K678" s="5">
        <v>1</v>
      </c>
      <c r="L678" s="7">
        <v>123.841059602649</v>
      </c>
      <c r="M678" s="7">
        <v>123.841059602649</v>
      </c>
      <c r="N678" s="7">
        <v>123.841059602649</v>
      </c>
      <c r="O678" s="5">
        <v>1</v>
      </c>
      <c r="P678" s="5">
        <v>1</v>
      </c>
      <c r="Q678" s="5">
        <v>1</v>
      </c>
      <c r="R678" s="5">
        <v>0</v>
      </c>
      <c r="S678" s="5">
        <v>0</v>
      </c>
      <c r="T678" s="5">
        <v>0</v>
      </c>
      <c r="U678" s="5">
        <v>0</v>
      </c>
      <c r="V678" s="13">
        <v>2</v>
      </c>
      <c r="W678" s="13">
        <v>2</v>
      </c>
      <c r="X678" s="5"/>
      <c r="Y678" s="5"/>
      <c r="Z678" s="5"/>
      <c r="AA678" s="5">
        <v>0</v>
      </c>
      <c r="AB678" s="5">
        <v>3</v>
      </c>
      <c r="AC678" s="5">
        <v>0</v>
      </c>
      <c r="AD678" s="5">
        <v>0</v>
      </c>
      <c r="AE678" s="5">
        <v>0</v>
      </c>
      <c r="AF678" s="5">
        <v>1</v>
      </c>
    </row>
    <row r="679" spans="1:32" x14ac:dyDescent="0.2">
      <c r="A679" s="3" t="str">
        <f>+VLOOKUP(B679,studies!$A$2:$C$102,3)</f>
        <v>van den Bijgaart et al. (2013)</v>
      </c>
      <c r="B679" s="87">
        <v>83</v>
      </c>
      <c r="C679" s="5">
        <v>2013</v>
      </c>
      <c r="D679" s="5">
        <v>0</v>
      </c>
      <c r="E679" s="5">
        <v>2010</v>
      </c>
      <c r="F679" s="5">
        <v>2015</v>
      </c>
      <c r="G679" s="113">
        <v>0.25</v>
      </c>
      <c r="H679" s="7">
        <v>10.889774236387781</v>
      </c>
      <c r="I679" s="5">
        <v>0</v>
      </c>
      <c r="J679" s="5">
        <v>0</v>
      </c>
      <c r="K679" s="5">
        <v>1</v>
      </c>
      <c r="L679" s="7">
        <v>71.390728476821181</v>
      </c>
      <c r="M679" s="7">
        <v>71.390728476821181</v>
      </c>
      <c r="N679" s="7">
        <v>71.390728476821181</v>
      </c>
      <c r="O679" s="5">
        <v>1</v>
      </c>
      <c r="P679" s="5">
        <v>1</v>
      </c>
      <c r="Q679" s="5">
        <v>1</v>
      </c>
      <c r="R679" s="5">
        <v>0</v>
      </c>
      <c r="S679" s="5">
        <v>0</v>
      </c>
      <c r="T679" s="5">
        <v>0</v>
      </c>
      <c r="U679" s="5">
        <v>0</v>
      </c>
      <c r="V679" s="13">
        <v>3</v>
      </c>
      <c r="W679" s="13">
        <v>2</v>
      </c>
      <c r="X679" s="5"/>
      <c r="Y679" s="5"/>
      <c r="Z679" s="5"/>
      <c r="AA679" s="5">
        <v>0</v>
      </c>
      <c r="AB679" s="5">
        <v>3</v>
      </c>
      <c r="AC679" s="5">
        <v>0</v>
      </c>
      <c r="AD679" s="5">
        <v>0</v>
      </c>
      <c r="AE679" s="5">
        <v>0</v>
      </c>
      <c r="AF679" s="5">
        <v>1</v>
      </c>
    </row>
    <row r="680" spans="1:32" x14ac:dyDescent="0.2">
      <c r="A680" s="3" t="str">
        <f>+VLOOKUP(B680,studies!$A$2:$C$102,3)</f>
        <v>Cai et al. (2013)</v>
      </c>
      <c r="B680" s="87">
        <v>84</v>
      </c>
      <c r="C680" s="5">
        <v>2013</v>
      </c>
      <c r="D680" s="5">
        <v>0</v>
      </c>
      <c r="E680" s="48">
        <v>2005</v>
      </c>
      <c r="F680" s="5">
        <v>2015</v>
      </c>
      <c r="G680" s="113">
        <v>0.33333333333333331</v>
      </c>
      <c r="H680" s="7">
        <v>171.94379928315411</v>
      </c>
      <c r="I680" s="5">
        <v>0</v>
      </c>
      <c r="J680" s="5">
        <v>1</v>
      </c>
      <c r="K680" s="5">
        <v>0</v>
      </c>
      <c r="L680" s="7"/>
      <c r="M680" s="102"/>
      <c r="N680" s="102"/>
      <c r="O680" s="5">
        <v>0</v>
      </c>
      <c r="P680" s="5">
        <v>1</v>
      </c>
      <c r="Q680" s="5">
        <v>1</v>
      </c>
      <c r="R680" s="5">
        <v>1</v>
      </c>
      <c r="S680" s="5">
        <v>0</v>
      </c>
      <c r="T680" s="5">
        <v>1</v>
      </c>
      <c r="U680" s="5">
        <v>0</v>
      </c>
      <c r="V680" s="13"/>
      <c r="W680" s="13"/>
      <c r="X680" s="3">
        <v>10</v>
      </c>
      <c r="Y680" s="3"/>
      <c r="Z680" s="3">
        <v>0.5</v>
      </c>
      <c r="AA680" s="5">
        <v>0</v>
      </c>
      <c r="AB680" s="5">
        <v>3</v>
      </c>
      <c r="AC680" s="5">
        <v>0</v>
      </c>
      <c r="AD680" s="5">
        <v>0</v>
      </c>
      <c r="AE680" s="5">
        <v>0</v>
      </c>
      <c r="AF680" s="5">
        <v>1</v>
      </c>
    </row>
    <row r="681" spans="1:32" x14ac:dyDescent="0.2">
      <c r="A681" s="3" t="str">
        <f>+VLOOKUP(B681,studies!$A$2:$C$102,3)</f>
        <v>Cai et al. (2013)</v>
      </c>
      <c r="B681" s="87">
        <v>84</v>
      </c>
      <c r="C681" s="5">
        <v>2013</v>
      </c>
      <c r="D681" s="5">
        <v>0</v>
      </c>
      <c r="E681" s="48">
        <v>2005</v>
      </c>
      <c r="F681" s="5">
        <v>2015</v>
      </c>
      <c r="G681" s="113">
        <v>0.33333333333333331</v>
      </c>
      <c r="H681" s="7">
        <v>286.57299880525682</v>
      </c>
      <c r="I681" s="5">
        <v>0</v>
      </c>
      <c r="J681" s="5">
        <v>1</v>
      </c>
      <c r="K681" s="5">
        <v>0</v>
      </c>
      <c r="L681" s="7"/>
      <c r="M681" s="102"/>
      <c r="N681" s="102"/>
      <c r="O681" s="5">
        <v>0</v>
      </c>
      <c r="P681" s="5">
        <v>1</v>
      </c>
      <c r="Q681" s="5">
        <v>1</v>
      </c>
      <c r="R681" s="5">
        <v>1</v>
      </c>
      <c r="S681" s="5">
        <v>0</v>
      </c>
      <c r="T681" s="5">
        <v>1</v>
      </c>
      <c r="U681" s="5">
        <v>0</v>
      </c>
      <c r="V681" s="13"/>
      <c r="W681" s="13"/>
      <c r="X681" s="3">
        <v>10</v>
      </c>
      <c r="Y681" s="5"/>
      <c r="Z681" s="3">
        <v>0.83333333333333337</v>
      </c>
      <c r="AA681" s="5">
        <v>0</v>
      </c>
      <c r="AB681" s="5">
        <v>3</v>
      </c>
      <c r="AC681" s="5">
        <v>0</v>
      </c>
      <c r="AD681" s="5">
        <v>0</v>
      </c>
      <c r="AE681" s="5">
        <v>0</v>
      </c>
      <c r="AF681" s="5">
        <v>1</v>
      </c>
    </row>
    <row r="682" spans="1:32" x14ac:dyDescent="0.2">
      <c r="A682" s="3" t="str">
        <f>+VLOOKUP(B682,studies!$A$2:$C$102,3)</f>
        <v>Cai et al. (2013)</v>
      </c>
      <c r="B682" s="87">
        <v>84</v>
      </c>
      <c r="C682" s="5">
        <v>2013</v>
      </c>
      <c r="D682" s="5">
        <v>0</v>
      </c>
      <c r="E682" s="48">
        <v>2005</v>
      </c>
      <c r="F682" s="5">
        <v>2015</v>
      </c>
      <c r="G682" s="113">
        <v>0.33333333333333331</v>
      </c>
      <c r="H682" s="7">
        <v>552.6764976958525</v>
      </c>
      <c r="I682" s="5">
        <v>0</v>
      </c>
      <c r="J682" s="5">
        <v>1</v>
      </c>
      <c r="K682" s="5">
        <v>0</v>
      </c>
      <c r="L682" s="7"/>
      <c r="M682" s="102"/>
      <c r="N682" s="102"/>
      <c r="O682" s="5">
        <v>0</v>
      </c>
      <c r="P682" s="5">
        <v>1</v>
      </c>
      <c r="Q682" s="5">
        <v>1</v>
      </c>
      <c r="R682" s="5">
        <v>1</v>
      </c>
      <c r="S682" s="5">
        <v>0</v>
      </c>
      <c r="T682" s="5">
        <v>1</v>
      </c>
      <c r="U682" s="5">
        <v>0</v>
      </c>
      <c r="V682" s="13"/>
      <c r="W682" s="13"/>
      <c r="X682" s="3">
        <v>10</v>
      </c>
      <c r="Y682" s="5"/>
      <c r="Z682" s="3">
        <v>2</v>
      </c>
      <c r="AA682" s="5">
        <v>0</v>
      </c>
      <c r="AB682" s="5">
        <v>3</v>
      </c>
      <c r="AC682" s="5">
        <v>0</v>
      </c>
      <c r="AD682" s="5">
        <v>0</v>
      </c>
      <c r="AE682" s="5">
        <v>0</v>
      </c>
      <c r="AF682" s="5">
        <v>1</v>
      </c>
    </row>
    <row r="683" spans="1:32" x14ac:dyDescent="0.2">
      <c r="A683" s="3" t="str">
        <f>+VLOOKUP(B683,studies!$A$2:$C$102,3)</f>
        <v>Dennig (2013)</v>
      </c>
      <c r="B683" s="87">
        <v>85</v>
      </c>
      <c r="C683" s="5">
        <v>2013</v>
      </c>
      <c r="D683" s="5">
        <v>0</v>
      </c>
      <c r="E683" s="5">
        <v>2005</v>
      </c>
      <c r="F683" s="5">
        <v>2015</v>
      </c>
      <c r="G683" s="113">
        <v>1</v>
      </c>
      <c r="H683" s="7">
        <v>126.16655401945724</v>
      </c>
      <c r="I683" s="5">
        <v>0</v>
      </c>
      <c r="J683" s="5">
        <v>1</v>
      </c>
      <c r="K683" s="5">
        <v>0</v>
      </c>
      <c r="L683" s="7"/>
      <c r="M683" s="102"/>
      <c r="N683" s="102"/>
      <c r="O683" s="5">
        <v>1</v>
      </c>
      <c r="P683" s="5">
        <v>1</v>
      </c>
      <c r="Q683" s="5">
        <v>0</v>
      </c>
      <c r="R683" s="5">
        <v>0</v>
      </c>
      <c r="S683" s="5">
        <v>0</v>
      </c>
      <c r="T683" s="5">
        <v>1</v>
      </c>
      <c r="U683" s="5">
        <v>0</v>
      </c>
      <c r="V683" s="13"/>
      <c r="W683" s="13">
        <v>0.1</v>
      </c>
      <c r="X683" s="5">
        <v>1.5</v>
      </c>
      <c r="Y683" s="5"/>
      <c r="Z683" s="3">
        <v>0.66666666666666663</v>
      </c>
      <c r="AA683" s="5">
        <v>1</v>
      </c>
      <c r="AB683" s="5"/>
      <c r="AC683" s="5">
        <v>0</v>
      </c>
      <c r="AD683" s="5">
        <v>0</v>
      </c>
      <c r="AE683" s="5">
        <v>0</v>
      </c>
      <c r="AF683" s="5">
        <v>1</v>
      </c>
    </row>
    <row r="684" spans="1:32" x14ac:dyDescent="0.2">
      <c r="A684" s="3" t="str">
        <f>+VLOOKUP(B684,studies!$A$2:$C$102,3)</f>
        <v>Foley et al. (2013)</v>
      </c>
      <c r="B684" s="87">
        <v>86</v>
      </c>
      <c r="C684" s="5">
        <v>2013</v>
      </c>
      <c r="D684" s="5">
        <v>1</v>
      </c>
      <c r="E684" s="48">
        <v>2009</v>
      </c>
      <c r="F684" s="48">
        <v>2009</v>
      </c>
      <c r="G684" s="115">
        <v>1</v>
      </c>
      <c r="H684" s="7">
        <v>246.34446124790517</v>
      </c>
      <c r="I684" s="5">
        <v>0</v>
      </c>
      <c r="J684" s="5">
        <v>1</v>
      </c>
      <c r="K684" s="5">
        <v>0</v>
      </c>
      <c r="L684" s="7"/>
      <c r="M684" s="102"/>
      <c r="N684" s="102"/>
      <c r="O684" s="5">
        <v>1</v>
      </c>
      <c r="P684" s="5">
        <v>1</v>
      </c>
      <c r="Q684" s="5">
        <v>1</v>
      </c>
      <c r="R684" s="5">
        <v>0</v>
      </c>
      <c r="S684" s="5">
        <v>0</v>
      </c>
      <c r="T684" s="5">
        <v>0</v>
      </c>
      <c r="U684" s="5">
        <v>0</v>
      </c>
      <c r="V684" s="13">
        <v>2</v>
      </c>
      <c r="W684" s="13">
        <v>1</v>
      </c>
      <c r="X684" s="5">
        <v>2</v>
      </c>
      <c r="Y684" s="5"/>
      <c r="Z684" s="5"/>
      <c r="AA684" s="5">
        <v>0</v>
      </c>
      <c r="AB684" s="5"/>
      <c r="AC684" s="5">
        <v>0</v>
      </c>
      <c r="AD684" s="5">
        <v>0</v>
      </c>
      <c r="AE684" s="5">
        <v>0</v>
      </c>
      <c r="AF684" s="5">
        <v>1</v>
      </c>
    </row>
    <row r="685" spans="1:32" x14ac:dyDescent="0.2">
      <c r="A685" s="3" t="str">
        <f>+VLOOKUP(B685,studies!$A$2:$C$102,3)</f>
        <v>Greenstone et al. (2013)</v>
      </c>
      <c r="B685" s="87">
        <v>87</v>
      </c>
      <c r="C685" s="5">
        <v>2013</v>
      </c>
      <c r="D685" s="5">
        <v>1</v>
      </c>
      <c r="E685" s="5">
        <v>2007</v>
      </c>
      <c r="F685" s="5">
        <v>2010</v>
      </c>
      <c r="G685" s="113">
        <v>2.1276595744680851E-2</v>
      </c>
      <c r="H685" s="7">
        <v>48.541327297051907</v>
      </c>
      <c r="I685" s="5">
        <v>1</v>
      </c>
      <c r="J685" s="5">
        <v>0</v>
      </c>
      <c r="K685" s="5">
        <v>0</v>
      </c>
      <c r="L685" s="7" t="s">
        <v>238</v>
      </c>
      <c r="M685" s="7" t="s">
        <v>238</v>
      </c>
      <c r="N685" s="7" t="s">
        <v>238</v>
      </c>
      <c r="O685" s="5">
        <v>0</v>
      </c>
      <c r="P685" s="5">
        <v>1</v>
      </c>
      <c r="Q685" s="5">
        <v>1</v>
      </c>
      <c r="R685" s="5">
        <v>1</v>
      </c>
      <c r="S685" s="5">
        <v>1</v>
      </c>
      <c r="T685" s="5">
        <v>1</v>
      </c>
      <c r="U685" s="5">
        <v>1</v>
      </c>
      <c r="V685" s="13">
        <v>5</v>
      </c>
      <c r="W685" s="13" t="s">
        <v>25</v>
      </c>
      <c r="X685" s="3"/>
      <c r="Y685" s="41"/>
      <c r="Z685" s="41"/>
      <c r="AA685" s="5">
        <v>0</v>
      </c>
      <c r="AB685" s="5"/>
      <c r="AC685" s="5">
        <v>0</v>
      </c>
      <c r="AD685" s="5">
        <v>0</v>
      </c>
      <c r="AE685" s="5">
        <v>0</v>
      </c>
      <c r="AF685" s="5">
        <v>0</v>
      </c>
    </row>
    <row r="686" spans="1:32" x14ac:dyDescent="0.2">
      <c r="A686" s="3" t="str">
        <f>+VLOOKUP(B686,studies!$A$2:$C$102,3)</f>
        <v>Greenstone et al. (2013)</v>
      </c>
      <c r="B686" s="87">
        <v>87</v>
      </c>
      <c r="C686" s="5">
        <v>2013</v>
      </c>
      <c r="D686" s="5">
        <v>1</v>
      </c>
      <c r="E686" s="5">
        <v>2007</v>
      </c>
      <c r="F686" s="5">
        <v>2010</v>
      </c>
      <c r="G686" s="113">
        <v>2.1276595744680851E-2</v>
      </c>
      <c r="H686" s="7">
        <v>33.709255067397159</v>
      </c>
      <c r="I686" s="5">
        <v>1</v>
      </c>
      <c r="J686" s="5">
        <v>0</v>
      </c>
      <c r="K686" s="5">
        <v>0</v>
      </c>
      <c r="L686" s="7" t="s">
        <v>238</v>
      </c>
      <c r="M686" s="7" t="s">
        <v>238</v>
      </c>
      <c r="N686" s="7" t="s">
        <v>238</v>
      </c>
      <c r="O686" s="5">
        <v>0</v>
      </c>
      <c r="P686" s="5">
        <v>1</v>
      </c>
      <c r="Q686" s="5">
        <v>1</v>
      </c>
      <c r="R686" s="5">
        <v>1</v>
      </c>
      <c r="S686" s="5">
        <v>1</v>
      </c>
      <c r="T686" s="5">
        <v>1</v>
      </c>
      <c r="U686" s="5">
        <v>1</v>
      </c>
      <c r="V686" s="13">
        <v>5</v>
      </c>
      <c r="W686" s="13" t="s">
        <v>25</v>
      </c>
      <c r="X686" s="5"/>
      <c r="Y686" s="5"/>
      <c r="Z686" s="44"/>
      <c r="AA686" s="5">
        <v>0</v>
      </c>
      <c r="AB686" s="5"/>
      <c r="AC686" s="5">
        <v>0</v>
      </c>
      <c r="AD686" s="5">
        <v>0</v>
      </c>
      <c r="AE686" s="5">
        <v>0</v>
      </c>
      <c r="AF686" s="5">
        <v>0</v>
      </c>
    </row>
    <row r="687" spans="1:32" x14ac:dyDescent="0.2">
      <c r="A687" s="3" t="str">
        <f>+VLOOKUP(B687,studies!$A$2:$C$102,3)</f>
        <v>Greenstone et al. (2013)</v>
      </c>
      <c r="B687" s="87">
        <v>87</v>
      </c>
      <c r="C687" s="5">
        <v>2013</v>
      </c>
      <c r="D687" s="5">
        <v>1</v>
      </c>
      <c r="E687" s="5">
        <v>2007</v>
      </c>
      <c r="F687" s="5">
        <v>2010</v>
      </c>
      <c r="G687" s="113">
        <v>2.1276595744680851E-2</v>
      </c>
      <c r="H687" s="7">
        <v>44.046759954732295</v>
      </c>
      <c r="I687" s="5">
        <v>1</v>
      </c>
      <c r="J687" s="5">
        <v>0</v>
      </c>
      <c r="K687" s="5">
        <v>0</v>
      </c>
      <c r="L687" s="7" t="s">
        <v>238</v>
      </c>
      <c r="M687" s="7" t="s">
        <v>238</v>
      </c>
      <c r="N687" s="7" t="s">
        <v>238</v>
      </c>
      <c r="O687" s="5">
        <v>0</v>
      </c>
      <c r="P687" s="5">
        <v>1</v>
      </c>
      <c r="Q687" s="5">
        <v>1</v>
      </c>
      <c r="R687" s="5">
        <v>1</v>
      </c>
      <c r="S687" s="5">
        <v>1</v>
      </c>
      <c r="T687" s="5">
        <v>1</v>
      </c>
      <c r="U687" s="5">
        <v>1</v>
      </c>
      <c r="V687" s="13">
        <v>5</v>
      </c>
      <c r="W687" s="13" t="s">
        <v>25</v>
      </c>
      <c r="X687" s="5"/>
      <c r="Y687" s="5"/>
      <c r="Z687" s="3"/>
      <c r="AA687" s="5">
        <v>0</v>
      </c>
      <c r="AB687" s="5"/>
      <c r="AC687" s="5">
        <v>0</v>
      </c>
      <c r="AD687" s="5">
        <v>0</v>
      </c>
      <c r="AE687" s="5">
        <v>0</v>
      </c>
      <c r="AF687" s="5">
        <v>0</v>
      </c>
    </row>
    <row r="688" spans="1:32" x14ac:dyDescent="0.2">
      <c r="A688" s="3" t="str">
        <f>+VLOOKUP(B688,studies!$A$2:$C$102,3)</f>
        <v>Greenstone et al. (2013)</v>
      </c>
      <c r="B688" s="87">
        <v>87</v>
      </c>
      <c r="C688" s="5">
        <v>2013</v>
      </c>
      <c r="D688" s="5">
        <v>1</v>
      </c>
      <c r="E688" s="5">
        <v>2007</v>
      </c>
      <c r="F688" s="5">
        <v>2010</v>
      </c>
      <c r="G688" s="113">
        <v>2.1276595744680851E-2</v>
      </c>
      <c r="H688" s="7">
        <v>38.653279143948737</v>
      </c>
      <c r="I688" s="5">
        <v>1</v>
      </c>
      <c r="J688" s="5">
        <v>0</v>
      </c>
      <c r="K688" s="5">
        <v>0</v>
      </c>
      <c r="L688" s="7" t="s">
        <v>238</v>
      </c>
      <c r="M688" s="7" t="s">
        <v>238</v>
      </c>
      <c r="N688" s="7" t="s">
        <v>238</v>
      </c>
      <c r="O688" s="5">
        <v>0</v>
      </c>
      <c r="P688" s="5">
        <v>1</v>
      </c>
      <c r="Q688" s="5">
        <v>1</v>
      </c>
      <c r="R688" s="5">
        <v>1</v>
      </c>
      <c r="S688" s="5">
        <v>1</v>
      </c>
      <c r="T688" s="5">
        <v>1</v>
      </c>
      <c r="U688" s="5">
        <v>1</v>
      </c>
      <c r="V688" s="13">
        <v>5</v>
      </c>
      <c r="W688" s="13" t="s">
        <v>25</v>
      </c>
      <c r="X688" s="5"/>
      <c r="Y688" s="5"/>
      <c r="Z688" s="3"/>
      <c r="AA688" s="5">
        <v>0</v>
      </c>
      <c r="AB688" s="5"/>
      <c r="AC688" s="5">
        <v>0</v>
      </c>
      <c r="AD688" s="5">
        <v>0</v>
      </c>
      <c r="AE688" s="5">
        <v>0</v>
      </c>
      <c r="AF688" s="5">
        <v>0</v>
      </c>
    </row>
    <row r="689" spans="1:32" x14ac:dyDescent="0.2">
      <c r="A689" s="3" t="str">
        <f>+VLOOKUP(B689,studies!$A$2:$C$102,3)</f>
        <v>Greenstone et al. (2013)</v>
      </c>
      <c r="B689" s="87">
        <v>87</v>
      </c>
      <c r="C689" s="5">
        <v>2013</v>
      </c>
      <c r="D689" s="5">
        <v>1</v>
      </c>
      <c r="E689" s="5">
        <v>2007</v>
      </c>
      <c r="F689" s="5">
        <v>2010</v>
      </c>
      <c r="G689" s="113">
        <v>2.1276595744680851E-2</v>
      </c>
      <c r="H689" s="7">
        <v>36.855452207020889</v>
      </c>
      <c r="I689" s="5">
        <v>1</v>
      </c>
      <c r="J689" s="5">
        <v>0</v>
      </c>
      <c r="K689" s="5">
        <v>0</v>
      </c>
      <c r="L689" s="7" t="s">
        <v>238</v>
      </c>
      <c r="M689" s="7" t="s">
        <v>238</v>
      </c>
      <c r="N689" s="7" t="s">
        <v>238</v>
      </c>
      <c r="O689" s="5">
        <v>0</v>
      </c>
      <c r="P689" s="5">
        <v>1</v>
      </c>
      <c r="Q689" s="5">
        <v>1</v>
      </c>
      <c r="R689" s="5">
        <v>1</v>
      </c>
      <c r="S689" s="5">
        <v>1</v>
      </c>
      <c r="T689" s="5">
        <v>1</v>
      </c>
      <c r="U689" s="5">
        <v>1</v>
      </c>
      <c r="V689" s="13">
        <v>5</v>
      </c>
      <c r="W689" s="13" t="s">
        <v>25</v>
      </c>
      <c r="X689" s="5"/>
      <c r="Y689" s="5"/>
      <c r="Z689" s="5"/>
      <c r="AA689" s="5">
        <v>0</v>
      </c>
      <c r="AB689" s="5"/>
      <c r="AC689" s="5">
        <v>0</v>
      </c>
      <c r="AD689" s="5">
        <v>0</v>
      </c>
      <c r="AE689" s="5">
        <v>0</v>
      </c>
      <c r="AF689" s="5">
        <v>0</v>
      </c>
    </row>
    <row r="690" spans="1:32" x14ac:dyDescent="0.2">
      <c r="A690" s="3" t="str">
        <f>+VLOOKUP(B690,studies!$A$2:$C$102,3)</f>
        <v>Greenstone et al. (2013)</v>
      </c>
      <c r="B690" s="87">
        <v>87</v>
      </c>
      <c r="C690" s="5">
        <v>2013</v>
      </c>
      <c r="D690" s="5">
        <v>1</v>
      </c>
      <c r="E690" s="5">
        <v>2007</v>
      </c>
      <c r="F690" s="5">
        <v>2010</v>
      </c>
      <c r="G690" s="113">
        <v>2.1276595744680851E-2</v>
      </c>
      <c r="H690" s="7">
        <v>37.304908941252862</v>
      </c>
      <c r="I690" s="5">
        <v>1</v>
      </c>
      <c r="J690" s="5">
        <v>0</v>
      </c>
      <c r="K690" s="5">
        <v>0</v>
      </c>
      <c r="L690" s="7" t="s">
        <v>238</v>
      </c>
      <c r="M690" s="7" t="s">
        <v>238</v>
      </c>
      <c r="N690" s="7" t="s">
        <v>238</v>
      </c>
      <c r="O690" s="5">
        <v>0</v>
      </c>
      <c r="P690" s="5">
        <v>1</v>
      </c>
      <c r="Q690" s="5">
        <v>1</v>
      </c>
      <c r="R690" s="5">
        <v>1</v>
      </c>
      <c r="S690" s="5">
        <v>1</v>
      </c>
      <c r="T690" s="5">
        <v>1</v>
      </c>
      <c r="U690" s="5">
        <v>1</v>
      </c>
      <c r="V690" s="13">
        <v>5</v>
      </c>
      <c r="W690" s="13" t="s">
        <v>25</v>
      </c>
      <c r="X690" s="5"/>
      <c r="Y690" s="5"/>
      <c r="Z690" s="5"/>
      <c r="AA690" s="5">
        <v>0</v>
      </c>
      <c r="AB690" s="5"/>
      <c r="AC690" s="5">
        <v>0</v>
      </c>
      <c r="AD690" s="5">
        <v>0</v>
      </c>
      <c r="AE690" s="5">
        <v>0</v>
      </c>
      <c r="AF690" s="5">
        <v>0</v>
      </c>
    </row>
    <row r="691" spans="1:32" x14ac:dyDescent="0.2">
      <c r="A691" s="3" t="str">
        <f>+VLOOKUP(B691,studies!$A$2:$C$102,3)</f>
        <v>Greenstone et al. (2013)</v>
      </c>
      <c r="B691" s="87">
        <v>87</v>
      </c>
      <c r="C691" s="5">
        <v>2013</v>
      </c>
      <c r="D691" s="5">
        <v>1</v>
      </c>
      <c r="E691" s="5">
        <v>2007</v>
      </c>
      <c r="F691" s="5">
        <v>2010</v>
      </c>
      <c r="G691" s="113">
        <v>2.1276595744680851E-2</v>
      </c>
      <c r="H691" s="7">
        <v>23.37175018006203</v>
      </c>
      <c r="I691" s="5">
        <v>1</v>
      </c>
      <c r="J691" s="5">
        <v>0</v>
      </c>
      <c r="K691" s="5">
        <v>0</v>
      </c>
      <c r="L691" s="7" t="s">
        <v>238</v>
      </c>
      <c r="M691" s="7" t="s">
        <v>238</v>
      </c>
      <c r="N691" s="7" t="s">
        <v>238</v>
      </c>
      <c r="O691" s="5">
        <v>0</v>
      </c>
      <c r="P691" s="5">
        <v>1</v>
      </c>
      <c r="Q691" s="5">
        <v>1</v>
      </c>
      <c r="R691" s="5">
        <v>1</v>
      </c>
      <c r="S691" s="5">
        <v>1</v>
      </c>
      <c r="T691" s="5">
        <v>1</v>
      </c>
      <c r="U691" s="5">
        <v>1</v>
      </c>
      <c r="V691" s="13">
        <v>5</v>
      </c>
      <c r="W691" s="13" t="s">
        <v>25</v>
      </c>
      <c r="X691" s="5"/>
      <c r="Y691" s="5"/>
      <c r="Z691" s="5"/>
      <c r="AA691" s="5">
        <v>0</v>
      </c>
      <c r="AB691" s="5"/>
      <c r="AC691" s="5">
        <v>0</v>
      </c>
      <c r="AD691" s="5">
        <v>0</v>
      </c>
      <c r="AE691" s="5">
        <v>0</v>
      </c>
      <c r="AF691" s="5">
        <v>0</v>
      </c>
    </row>
    <row r="692" spans="1:32" x14ac:dyDescent="0.2">
      <c r="A692" s="3" t="str">
        <f>+VLOOKUP(B692,studies!$A$2:$C$102,3)</f>
        <v>Greenstone et al. (2013)</v>
      </c>
      <c r="B692" s="87">
        <v>87</v>
      </c>
      <c r="C692" s="5">
        <v>2013</v>
      </c>
      <c r="D692" s="5">
        <v>1</v>
      </c>
      <c r="E692" s="5">
        <v>2007</v>
      </c>
      <c r="F692" s="5">
        <v>2010</v>
      </c>
      <c r="G692" s="113">
        <v>2.1276595744680851E-2</v>
      </c>
      <c r="H692" s="7">
        <v>32.360884864701269</v>
      </c>
      <c r="I692" s="5">
        <v>1</v>
      </c>
      <c r="J692" s="5">
        <v>0</v>
      </c>
      <c r="K692" s="5">
        <v>0</v>
      </c>
      <c r="L692" s="7" t="s">
        <v>238</v>
      </c>
      <c r="M692" s="7" t="s">
        <v>238</v>
      </c>
      <c r="N692" s="7" t="s">
        <v>238</v>
      </c>
      <c r="O692" s="5">
        <v>0</v>
      </c>
      <c r="P692" s="5">
        <v>1</v>
      </c>
      <c r="Q692" s="5">
        <v>1</v>
      </c>
      <c r="R692" s="5">
        <v>1</v>
      </c>
      <c r="S692" s="5">
        <v>1</v>
      </c>
      <c r="T692" s="5">
        <v>1</v>
      </c>
      <c r="U692" s="5">
        <v>1</v>
      </c>
      <c r="V692" s="13">
        <v>5</v>
      </c>
      <c r="W692" s="13" t="s">
        <v>25</v>
      </c>
      <c r="X692" s="5"/>
      <c r="Y692" s="5"/>
      <c r="Z692" s="5"/>
      <c r="AA692" s="5">
        <v>0</v>
      </c>
      <c r="AB692" s="5"/>
      <c r="AC692" s="5">
        <v>0</v>
      </c>
      <c r="AD692" s="5">
        <v>0</v>
      </c>
      <c r="AE692" s="5">
        <v>0</v>
      </c>
      <c r="AF692" s="5">
        <v>0</v>
      </c>
    </row>
    <row r="693" spans="1:32" x14ac:dyDescent="0.2">
      <c r="A693" s="3" t="str">
        <f>+VLOOKUP(B693,studies!$A$2:$C$102,3)</f>
        <v>Greenstone et al. (2013)</v>
      </c>
      <c r="B693" s="87">
        <v>87</v>
      </c>
      <c r="C693" s="5">
        <v>2013</v>
      </c>
      <c r="D693" s="5">
        <v>1</v>
      </c>
      <c r="E693" s="5">
        <v>2007</v>
      </c>
      <c r="F693" s="5">
        <v>2010</v>
      </c>
      <c r="G693" s="113">
        <v>2.1276595744680851E-2</v>
      </c>
      <c r="H693" s="7">
        <v>28.765230990845577</v>
      </c>
      <c r="I693" s="5">
        <v>1</v>
      </c>
      <c r="J693" s="5">
        <v>0</v>
      </c>
      <c r="K693" s="5">
        <v>0</v>
      </c>
      <c r="L693" s="7" t="s">
        <v>238</v>
      </c>
      <c r="M693" s="7" t="s">
        <v>238</v>
      </c>
      <c r="N693" s="7" t="s">
        <v>238</v>
      </c>
      <c r="O693" s="5">
        <v>0</v>
      </c>
      <c r="P693" s="5">
        <v>1</v>
      </c>
      <c r="Q693" s="5">
        <v>1</v>
      </c>
      <c r="R693" s="5">
        <v>1</v>
      </c>
      <c r="S693" s="5">
        <v>1</v>
      </c>
      <c r="T693" s="5">
        <v>1</v>
      </c>
      <c r="U693" s="5">
        <v>1</v>
      </c>
      <c r="V693" s="13">
        <v>5</v>
      </c>
      <c r="W693" s="13" t="s">
        <v>25</v>
      </c>
      <c r="X693" s="5"/>
      <c r="Y693" s="5"/>
      <c r="Z693" s="5"/>
      <c r="AA693" s="5">
        <v>0</v>
      </c>
      <c r="AB693" s="5"/>
      <c r="AC693" s="5">
        <v>0</v>
      </c>
      <c r="AD693" s="5">
        <v>0</v>
      </c>
      <c r="AE693" s="5">
        <v>0</v>
      </c>
      <c r="AF693" s="5">
        <v>0</v>
      </c>
    </row>
    <row r="694" spans="1:32" x14ac:dyDescent="0.2">
      <c r="A694" s="3" t="str">
        <f>+VLOOKUP(B694,studies!$A$2:$C$102,3)</f>
        <v>Greenstone et al. (2013)</v>
      </c>
      <c r="B694" s="87">
        <v>87</v>
      </c>
      <c r="C694" s="5">
        <v>2013</v>
      </c>
      <c r="D694" s="5">
        <v>1</v>
      </c>
      <c r="E694" s="5">
        <v>2007</v>
      </c>
      <c r="F694" s="5">
        <v>2010</v>
      </c>
      <c r="G694" s="113">
        <v>2.1276595744680851E-2</v>
      </c>
      <c r="H694" s="7">
        <v>24.720120382757916</v>
      </c>
      <c r="I694" s="5">
        <v>1</v>
      </c>
      <c r="J694" s="5">
        <v>0</v>
      </c>
      <c r="K694" s="5">
        <v>0</v>
      </c>
      <c r="L694" s="7" t="s">
        <v>238</v>
      </c>
      <c r="M694" s="7" t="s">
        <v>238</v>
      </c>
      <c r="N694" s="7" t="s">
        <v>238</v>
      </c>
      <c r="O694" s="5">
        <v>0</v>
      </c>
      <c r="P694" s="5">
        <v>1</v>
      </c>
      <c r="Q694" s="5">
        <v>1</v>
      </c>
      <c r="R694" s="5">
        <v>1</v>
      </c>
      <c r="S694" s="5">
        <v>1</v>
      </c>
      <c r="T694" s="5">
        <v>1</v>
      </c>
      <c r="U694" s="5">
        <v>1</v>
      </c>
      <c r="V694" s="13">
        <v>5</v>
      </c>
      <c r="W694" s="13" t="s">
        <v>25</v>
      </c>
      <c r="X694" s="5"/>
      <c r="Y694" s="5"/>
      <c r="Z694" s="5"/>
      <c r="AA694" s="5">
        <v>0</v>
      </c>
      <c r="AB694" s="5"/>
      <c r="AC694" s="5">
        <v>0</v>
      </c>
      <c r="AD694" s="5">
        <v>0</v>
      </c>
      <c r="AE694" s="5">
        <v>0</v>
      </c>
      <c r="AF694" s="5">
        <v>0</v>
      </c>
    </row>
    <row r="695" spans="1:32" x14ac:dyDescent="0.2">
      <c r="A695" s="3" t="str">
        <f>+VLOOKUP(B695,studies!$A$2:$C$102,3)</f>
        <v>Greenstone et al. (2013)</v>
      </c>
      <c r="B695" s="87">
        <v>87</v>
      </c>
      <c r="C695" s="5">
        <v>2013</v>
      </c>
      <c r="D695" s="5">
        <v>1</v>
      </c>
      <c r="E695" s="5">
        <v>2007</v>
      </c>
      <c r="F695" s="5">
        <v>2010</v>
      </c>
      <c r="G695" s="113">
        <v>2.1276595744680851E-2</v>
      </c>
      <c r="H695" s="7">
        <v>-5.8429375450155074</v>
      </c>
      <c r="I695" s="5">
        <v>1</v>
      </c>
      <c r="J695" s="5">
        <v>0</v>
      </c>
      <c r="K695" s="5">
        <v>0</v>
      </c>
      <c r="L695" s="7" t="s">
        <v>238</v>
      </c>
      <c r="M695" s="7" t="s">
        <v>238</v>
      </c>
      <c r="N695" s="7" t="s">
        <v>238</v>
      </c>
      <c r="O695" s="5">
        <v>0</v>
      </c>
      <c r="P695" s="5">
        <v>1</v>
      </c>
      <c r="Q695" s="5">
        <v>1</v>
      </c>
      <c r="R695" s="5">
        <v>1</v>
      </c>
      <c r="S695" s="5">
        <v>1</v>
      </c>
      <c r="T695" s="5">
        <v>1</v>
      </c>
      <c r="U695" s="5">
        <v>1</v>
      </c>
      <c r="V695" s="13">
        <v>5</v>
      </c>
      <c r="W695" s="13" t="s">
        <v>25</v>
      </c>
      <c r="X695" s="5"/>
      <c r="Y695" s="5"/>
      <c r="Z695" s="5"/>
      <c r="AA695" s="5">
        <v>0</v>
      </c>
      <c r="AB695" s="5"/>
      <c r="AC695" s="5">
        <v>0</v>
      </c>
      <c r="AD695" s="5">
        <v>0</v>
      </c>
      <c r="AE695" s="5">
        <v>0</v>
      </c>
      <c r="AF695" s="5">
        <v>0</v>
      </c>
    </row>
    <row r="696" spans="1:32" x14ac:dyDescent="0.2">
      <c r="A696" s="3" t="str">
        <f>+VLOOKUP(B696,studies!$A$2:$C$102,3)</f>
        <v>Greenstone et al. (2013)</v>
      </c>
      <c r="B696" s="87">
        <v>87</v>
      </c>
      <c r="C696" s="5">
        <v>2013</v>
      </c>
      <c r="D696" s="5">
        <v>1</v>
      </c>
      <c r="E696" s="5">
        <v>2007</v>
      </c>
      <c r="F696" s="5">
        <v>2010</v>
      </c>
      <c r="G696" s="113">
        <v>2.1276595744680851E-2</v>
      </c>
      <c r="H696" s="7">
        <v>-1.3483702026958861</v>
      </c>
      <c r="I696" s="5">
        <v>1</v>
      </c>
      <c r="J696" s="5">
        <v>0</v>
      </c>
      <c r="K696" s="5">
        <v>0</v>
      </c>
      <c r="L696" s="7" t="s">
        <v>238</v>
      </c>
      <c r="M696" s="7" t="s">
        <v>238</v>
      </c>
      <c r="N696" s="7" t="s">
        <v>238</v>
      </c>
      <c r="O696" s="5">
        <v>0</v>
      </c>
      <c r="P696" s="5">
        <v>1</v>
      </c>
      <c r="Q696" s="5">
        <v>1</v>
      </c>
      <c r="R696" s="5">
        <v>1</v>
      </c>
      <c r="S696" s="5">
        <v>1</v>
      </c>
      <c r="T696" s="5">
        <v>1</v>
      </c>
      <c r="U696" s="5">
        <v>1</v>
      </c>
      <c r="V696" s="13">
        <v>5</v>
      </c>
      <c r="W696" s="13" t="s">
        <v>25</v>
      </c>
      <c r="X696" s="5"/>
      <c r="Y696" s="5"/>
      <c r="Z696" s="5"/>
      <c r="AA696" s="5">
        <v>0</v>
      </c>
      <c r="AB696" s="5"/>
      <c r="AC696" s="5">
        <v>0</v>
      </c>
      <c r="AD696" s="5">
        <v>0</v>
      </c>
      <c r="AE696" s="5">
        <v>0</v>
      </c>
      <c r="AF696" s="5">
        <v>0</v>
      </c>
    </row>
    <row r="697" spans="1:32" x14ac:dyDescent="0.2">
      <c r="A697" s="3" t="str">
        <f>+VLOOKUP(B697,studies!$A$2:$C$102,3)</f>
        <v>Greenstone et al. (2013)</v>
      </c>
      <c r="B697" s="87">
        <v>87</v>
      </c>
      <c r="C697" s="5">
        <v>2013</v>
      </c>
      <c r="D697" s="5">
        <v>1</v>
      </c>
      <c r="E697" s="5">
        <v>2007</v>
      </c>
      <c r="F697" s="5">
        <v>2010</v>
      </c>
      <c r="G697" s="113">
        <v>2.1276595744680851E-2</v>
      </c>
      <c r="H697" s="7">
        <v>-8.5396779504072793</v>
      </c>
      <c r="I697" s="5">
        <v>1</v>
      </c>
      <c r="J697" s="5">
        <v>0</v>
      </c>
      <c r="K697" s="5">
        <v>0</v>
      </c>
      <c r="L697" s="7" t="s">
        <v>238</v>
      </c>
      <c r="M697" s="7" t="s">
        <v>238</v>
      </c>
      <c r="N697" s="7" t="s">
        <v>238</v>
      </c>
      <c r="O697" s="5">
        <v>0</v>
      </c>
      <c r="P697" s="5">
        <v>1</v>
      </c>
      <c r="Q697" s="5">
        <v>1</v>
      </c>
      <c r="R697" s="5">
        <v>1</v>
      </c>
      <c r="S697" s="5">
        <v>1</v>
      </c>
      <c r="T697" s="5">
        <v>1</v>
      </c>
      <c r="U697" s="5">
        <v>1</v>
      </c>
      <c r="V697" s="13">
        <v>5</v>
      </c>
      <c r="W697" s="13" t="s">
        <v>25</v>
      </c>
      <c r="X697" s="5"/>
      <c r="Y697" s="5"/>
      <c r="Z697" s="5"/>
      <c r="AA697" s="5">
        <v>0</v>
      </c>
      <c r="AB697" s="5"/>
      <c r="AC697" s="5">
        <v>0</v>
      </c>
      <c r="AD697" s="5">
        <v>0</v>
      </c>
      <c r="AE697" s="5">
        <v>0</v>
      </c>
      <c r="AF697" s="5">
        <v>0</v>
      </c>
    </row>
    <row r="698" spans="1:32" x14ac:dyDescent="0.2">
      <c r="A698" s="3" t="str">
        <f>+VLOOKUP(B698,studies!$A$2:$C$102,3)</f>
        <v>Greenstone et al. (2013)</v>
      </c>
      <c r="B698" s="87">
        <v>87</v>
      </c>
      <c r="C698" s="5">
        <v>2013</v>
      </c>
      <c r="D698" s="5">
        <v>1</v>
      </c>
      <c r="E698" s="5">
        <v>2007</v>
      </c>
      <c r="F698" s="5">
        <v>2010</v>
      </c>
      <c r="G698" s="113">
        <v>2.1276595744680851E-2</v>
      </c>
      <c r="H698" s="7">
        <v>-2.6967404053917723</v>
      </c>
      <c r="I698" s="5">
        <v>1</v>
      </c>
      <c r="J698" s="5">
        <v>0</v>
      </c>
      <c r="K698" s="5">
        <v>0</v>
      </c>
      <c r="L698" s="7" t="s">
        <v>238</v>
      </c>
      <c r="M698" s="7" t="s">
        <v>238</v>
      </c>
      <c r="N698" s="7" t="s">
        <v>238</v>
      </c>
      <c r="O698" s="5">
        <v>0</v>
      </c>
      <c r="P698" s="5">
        <v>1</v>
      </c>
      <c r="Q698" s="5">
        <v>1</v>
      </c>
      <c r="R698" s="5">
        <v>1</v>
      </c>
      <c r="S698" s="5">
        <v>1</v>
      </c>
      <c r="T698" s="5">
        <v>1</v>
      </c>
      <c r="U698" s="5">
        <v>1</v>
      </c>
      <c r="V698" s="13">
        <v>5</v>
      </c>
      <c r="W698" s="13" t="s">
        <v>25</v>
      </c>
      <c r="X698" s="5"/>
      <c r="Y698" s="5"/>
      <c r="Z698" s="5"/>
      <c r="AA698" s="5">
        <v>0</v>
      </c>
      <c r="AB698" s="5"/>
      <c r="AC698" s="5">
        <v>0</v>
      </c>
      <c r="AD698" s="5">
        <v>0</v>
      </c>
      <c r="AE698" s="5">
        <v>0</v>
      </c>
      <c r="AF698" s="5">
        <v>0</v>
      </c>
    </row>
    <row r="699" spans="1:32" x14ac:dyDescent="0.2">
      <c r="A699" s="3" t="str">
        <f>+VLOOKUP(B699,studies!$A$2:$C$102,3)</f>
        <v>Greenstone et al. (2013)</v>
      </c>
      <c r="B699" s="87">
        <v>87</v>
      </c>
      <c r="C699" s="5">
        <v>2013</v>
      </c>
      <c r="D699" s="5">
        <v>1</v>
      </c>
      <c r="E699" s="5">
        <v>2007</v>
      </c>
      <c r="F699" s="5">
        <v>2010</v>
      </c>
      <c r="G699" s="113">
        <v>2.1276595744680851E-2</v>
      </c>
      <c r="H699" s="7">
        <v>-12.135331824262977</v>
      </c>
      <c r="I699" s="5">
        <v>1</v>
      </c>
      <c r="J699" s="5">
        <v>0</v>
      </c>
      <c r="K699" s="5">
        <v>0</v>
      </c>
      <c r="L699" s="7" t="s">
        <v>238</v>
      </c>
      <c r="M699" s="7" t="s">
        <v>238</v>
      </c>
      <c r="N699" s="7" t="s">
        <v>238</v>
      </c>
      <c r="O699" s="5">
        <v>0</v>
      </c>
      <c r="P699" s="5">
        <v>1</v>
      </c>
      <c r="Q699" s="5">
        <v>1</v>
      </c>
      <c r="R699" s="5">
        <v>1</v>
      </c>
      <c r="S699" s="5">
        <v>1</v>
      </c>
      <c r="T699" s="5">
        <v>1</v>
      </c>
      <c r="U699" s="5">
        <v>1</v>
      </c>
      <c r="V699" s="13">
        <v>5</v>
      </c>
      <c r="W699" s="13" t="s">
        <v>25</v>
      </c>
      <c r="X699" s="5"/>
      <c r="Y699" s="5"/>
      <c r="Z699" s="5"/>
      <c r="AA699" s="5">
        <v>0</v>
      </c>
      <c r="AB699" s="5"/>
      <c r="AC699" s="5">
        <v>0</v>
      </c>
      <c r="AD699" s="5">
        <v>0</v>
      </c>
      <c r="AE699" s="5">
        <v>0</v>
      </c>
      <c r="AF699" s="5">
        <v>0</v>
      </c>
    </row>
    <row r="700" spans="1:32" x14ac:dyDescent="0.2">
      <c r="A700" s="3" t="str">
        <f>+VLOOKUP(B700,studies!$A$2:$C$102,3)</f>
        <v>Greenstone et al. (2013)</v>
      </c>
      <c r="B700" s="87">
        <v>87</v>
      </c>
      <c r="C700" s="5">
        <v>2013</v>
      </c>
      <c r="D700" s="5">
        <v>1</v>
      </c>
      <c r="E700" s="5">
        <v>2007</v>
      </c>
      <c r="F700" s="5">
        <v>2010</v>
      </c>
      <c r="G700" s="113">
        <v>2.1276595744680851E-2</v>
      </c>
      <c r="H700" s="7">
        <v>160.90551085504242</v>
      </c>
      <c r="I700" s="5">
        <v>1</v>
      </c>
      <c r="J700" s="5">
        <v>0</v>
      </c>
      <c r="K700" s="5">
        <v>0</v>
      </c>
      <c r="L700" s="7" t="s">
        <v>238</v>
      </c>
      <c r="M700" s="7">
        <v>80.260131112850374</v>
      </c>
      <c r="N700" s="7">
        <v>80.260131112850374</v>
      </c>
      <c r="O700" s="5">
        <v>0</v>
      </c>
      <c r="P700" s="5">
        <v>1</v>
      </c>
      <c r="Q700" s="5">
        <v>1</v>
      </c>
      <c r="R700" s="5">
        <v>1</v>
      </c>
      <c r="S700" s="5">
        <v>1</v>
      </c>
      <c r="T700" s="5">
        <v>1</v>
      </c>
      <c r="U700" s="5">
        <v>1</v>
      </c>
      <c r="V700" s="13">
        <v>3</v>
      </c>
      <c r="W700" s="13" t="s">
        <v>25</v>
      </c>
      <c r="X700" s="5"/>
      <c r="Y700" s="5"/>
      <c r="Z700" s="5"/>
      <c r="AA700" s="5">
        <v>0</v>
      </c>
      <c r="AB700" s="5"/>
      <c r="AC700" s="5">
        <v>0</v>
      </c>
      <c r="AD700" s="5">
        <v>0</v>
      </c>
      <c r="AE700" s="5">
        <v>0</v>
      </c>
      <c r="AF700" s="5">
        <v>0</v>
      </c>
    </row>
    <row r="701" spans="1:32" x14ac:dyDescent="0.2">
      <c r="A701" s="3" t="str">
        <f>+VLOOKUP(B701,studies!$A$2:$C$102,3)</f>
        <v>Greenstone et al. (2013)</v>
      </c>
      <c r="B701" s="87">
        <v>87</v>
      </c>
      <c r="C701" s="5">
        <v>2013</v>
      </c>
      <c r="D701" s="5">
        <v>1</v>
      </c>
      <c r="E701" s="5">
        <v>2007</v>
      </c>
      <c r="F701" s="5">
        <v>2010</v>
      </c>
      <c r="G701" s="113">
        <v>2.1276595744680851E-2</v>
      </c>
      <c r="H701" s="7">
        <v>98.880481531031663</v>
      </c>
      <c r="I701" s="5">
        <v>1</v>
      </c>
      <c r="J701" s="5">
        <v>0</v>
      </c>
      <c r="K701" s="5">
        <v>0</v>
      </c>
      <c r="L701" s="7" t="s">
        <v>238</v>
      </c>
      <c r="M701" s="7">
        <v>46.092246724808376</v>
      </c>
      <c r="N701" s="7">
        <v>46.092246724808376</v>
      </c>
      <c r="O701" s="5">
        <v>0</v>
      </c>
      <c r="P701" s="5">
        <v>1</v>
      </c>
      <c r="Q701" s="5">
        <v>1</v>
      </c>
      <c r="R701" s="5">
        <v>1</v>
      </c>
      <c r="S701" s="5">
        <v>1</v>
      </c>
      <c r="T701" s="5">
        <v>1</v>
      </c>
      <c r="U701" s="5">
        <v>1</v>
      </c>
      <c r="V701" s="13">
        <v>3</v>
      </c>
      <c r="W701" s="13" t="s">
        <v>25</v>
      </c>
      <c r="X701" s="5"/>
      <c r="Y701" s="5"/>
      <c r="Z701" s="5"/>
      <c r="AA701" s="5">
        <v>0</v>
      </c>
      <c r="AB701" s="5"/>
      <c r="AC701" s="5">
        <v>0</v>
      </c>
      <c r="AD701" s="5">
        <v>0</v>
      </c>
      <c r="AE701" s="5">
        <v>0</v>
      </c>
      <c r="AF701" s="5">
        <v>0</v>
      </c>
    </row>
    <row r="702" spans="1:32" x14ac:dyDescent="0.2">
      <c r="A702" s="3" t="str">
        <f>+VLOOKUP(B702,studies!$A$2:$C$102,3)</f>
        <v>Greenstone et al. (2013)</v>
      </c>
      <c r="B702" s="87">
        <v>87</v>
      </c>
      <c r="C702" s="5">
        <v>2013</v>
      </c>
      <c r="D702" s="5">
        <v>1</v>
      </c>
      <c r="E702" s="5">
        <v>2007</v>
      </c>
      <c r="F702" s="5">
        <v>2010</v>
      </c>
      <c r="G702" s="113">
        <v>2.1276595744680851E-2</v>
      </c>
      <c r="H702" s="7">
        <v>133.93810680112472</v>
      </c>
      <c r="I702" s="5">
        <v>1</v>
      </c>
      <c r="J702" s="5">
        <v>0</v>
      </c>
      <c r="K702" s="5">
        <v>0</v>
      </c>
      <c r="L702" s="7" t="s">
        <v>238</v>
      </c>
      <c r="M702" s="7">
        <v>66.042622172859751</v>
      </c>
      <c r="N702" s="7">
        <v>66.042622172859751</v>
      </c>
      <c r="O702" s="5">
        <v>0</v>
      </c>
      <c r="P702" s="5">
        <v>1</v>
      </c>
      <c r="Q702" s="5">
        <v>1</v>
      </c>
      <c r="R702" s="5">
        <v>1</v>
      </c>
      <c r="S702" s="5">
        <v>1</v>
      </c>
      <c r="T702" s="5">
        <v>1</v>
      </c>
      <c r="U702" s="5">
        <v>1</v>
      </c>
      <c r="V702" s="13">
        <v>3</v>
      </c>
      <c r="W702" s="13" t="s">
        <v>25</v>
      </c>
      <c r="X702" s="5"/>
      <c r="Y702" s="5"/>
      <c r="Z702" s="5"/>
      <c r="AA702" s="5">
        <v>0</v>
      </c>
      <c r="AB702" s="5"/>
      <c r="AC702" s="5">
        <v>0</v>
      </c>
      <c r="AD702" s="5">
        <v>0</v>
      </c>
      <c r="AE702" s="5">
        <v>0</v>
      </c>
      <c r="AF702" s="5">
        <v>0</v>
      </c>
    </row>
    <row r="703" spans="1:32" x14ac:dyDescent="0.2">
      <c r="A703" s="3" t="str">
        <f>+VLOOKUP(B703,studies!$A$2:$C$102,3)</f>
        <v>Greenstone et al. (2013)</v>
      </c>
      <c r="B703" s="87">
        <v>87</v>
      </c>
      <c r="C703" s="5">
        <v>2013</v>
      </c>
      <c r="D703" s="5">
        <v>1</v>
      </c>
      <c r="E703" s="5">
        <v>2007</v>
      </c>
      <c r="F703" s="5">
        <v>2010</v>
      </c>
      <c r="G703" s="113">
        <v>2.1276595744680851E-2</v>
      </c>
      <c r="H703" s="7">
        <v>129.44353945880508</v>
      </c>
      <c r="I703" s="5">
        <v>1</v>
      </c>
      <c r="J703" s="5">
        <v>0</v>
      </c>
      <c r="K703" s="5">
        <v>0</v>
      </c>
      <c r="L703" s="7" t="s">
        <v>238</v>
      </c>
      <c r="M703" s="7">
        <v>66.730566153827027</v>
      </c>
      <c r="N703" s="7">
        <v>66.730566153827027</v>
      </c>
      <c r="O703" s="5">
        <v>0</v>
      </c>
      <c r="P703" s="5">
        <v>1</v>
      </c>
      <c r="Q703" s="5">
        <v>1</v>
      </c>
      <c r="R703" s="5">
        <v>1</v>
      </c>
      <c r="S703" s="5">
        <v>1</v>
      </c>
      <c r="T703" s="5">
        <v>1</v>
      </c>
      <c r="U703" s="5">
        <v>1</v>
      </c>
      <c r="V703" s="13">
        <v>3</v>
      </c>
      <c r="W703" s="13" t="s">
        <v>25</v>
      </c>
      <c r="X703" s="5"/>
      <c r="Y703" s="5"/>
      <c r="Z703" s="5"/>
      <c r="AA703" s="5">
        <v>0</v>
      </c>
      <c r="AB703" s="5"/>
      <c r="AC703" s="5">
        <v>0</v>
      </c>
      <c r="AD703" s="5">
        <v>0</v>
      </c>
      <c r="AE703" s="5">
        <v>0</v>
      </c>
      <c r="AF703" s="5">
        <v>0</v>
      </c>
    </row>
    <row r="704" spans="1:32" x14ac:dyDescent="0.2">
      <c r="A704" s="3" t="str">
        <f>+VLOOKUP(B704,studies!$A$2:$C$102,3)</f>
        <v>Greenstone et al. (2013)</v>
      </c>
      <c r="B704" s="87">
        <v>87</v>
      </c>
      <c r="C704" s="5">
        <v>2013</v>
      </c>
      <c r="D704" s="5">
        <v>1</v>
      </c>
      <c r="E704" s="5">
        <v>2007</v>
      </c>
      <c r="F704" s="5">
        <v>2010</v>
      </c>
      <c r="G704" s="113">
        <v>2.1276595744680851E-2</v>
      </c>
      <c r="H704" s="7">
        <v>111.91472682375857</v>
      </c>
      <c r="I704" s="5">
        <v>1</v>
      </c>
      <c r="J704" s="5">
        <v>0</v>
      </c>
      <c r="K704" s="5">
        <v>0</v>
      </c>
      <c r="L704" s="7" t="s">
        <v>238</v>
      </c>
      <c r="M704" s="7">
        <v>59.392497023509272</v>
      </c>
      <c r="N704" s="7">
        <v>59.392497023509272</v>
      </c>
      <c r="O704" s="5">
        <v>0</v>
      </c>
      <c r="P704" s="5">
        <v>1</v>
      </c>
      <c r="Q704" s="5">
        <v>1</v>
      </c>
      <c r="R704" s="5">
        <v>1</v>
      </c>
      <c r="S704" s="5">
        <v>1</v>
      </c>
      <c r="T704" s="5">
        <v>1</v>
      </c>
      <c r="U704" s="5">
        <v>1</v>
      </c>
      <c r="V704" s="13">
        <v>3</v>
      </c>
      <c r="W704" s="13" t="s">
        <v>25</v>
      </c>
      <c r="X704" s="5"/>
      <c r="Y704" s="5"/>
      <c r="Z704" s="5"/>
      <c r="AA704" s="5">
        <v>0</v>
      </c>
      <c r="AB704" s="5"/>
      <c r="AC704" s="5">
        <v>0</v>
      </c>
      <c r="AD704" s="5">
        <v>0</v>
      </c>
      <c r="AE704" s="5">
        <v>0</v>
      </c>
      <c r="AF704" s="5">
        <v>0</v>
      </c>
    </row>
    <row r="705" spans="1:32" x14ac:dyDescent="0.2">
      <c r="A705" s="3" t="str">
        <f>+VLOOKUP(B705,studies!$A$2:$C$102,3)</f>
        <v>Greenstone et al. (2013)</v>
      </c>
      <c r="B705" s="87">
        <v>87</v>
      </c>
      <c r="C705" s="5">
        <v>2013</v>
      </c>
      <c r="D705" s="5">
        <v>1</v>
      </c>
      <c r="E705" s="5">
        <v>2007</v>
      </c>
      <c r="F705" s="5">
        <v>2010</v>
      </c>
      <c r="G705" s="113">
        <v>2.1276595744680851E-2</v>
      </c>
      <c r="H705" s="7">
        <v>177.53541002162501</v>
      </c>
      <c r="I705" s="5">
        <v>1</v>
      </c>
      <c r="J705" s="5">
        <v>0</v>
      </c>
      <c r="K705" s="5">
        <v>0</v>
      </c>
      <c r="L705" s="7" t="s">
        <v>238</v>
      </c>
      <c r="M705" s="7">
        <v>235.96478547178012</v>
      </c>
      <c r="N705" s="7">
        <v>235.96478547178012</v>
      </c>
      <c r="O705" s="5">
        <v>0</v>
      </c>
      <c r="P705" s="5">
        <v>1</v>
      </c>
      <c r="Q705" s="5">
        <v>1</v>
      </c>
      <c r="R705" s="5">
        <v>1</v>
      </c>
      <c r="S705" s="5">
        <v>1</v>
      </c>
      <c r="T705" s="5">
        <v>1</v>
      </c>
      <c r="U705" s="5">
        <v>1</v>
      </c>
      <c r="V705" s="13">
        <v>3</v>
      </c>
      <c r="W705" s="13" t="s">
        <v>25</v>
      </c>
      <c r="X705" s="5"/>
      <c r="Y705" s="5"/>
      <c r="Z705" s="5"/>
      <c r="AA705" s="5">
        <v>0</v>
      </c>
      <c r="AB705" s="5"/>
      <c r="AC705" s="5">
        <v>0</v>
      </c>
      <c r="AD705" s="5">
        <v>0</v>
      </c>
      <c r="AE705" s="5">
        <v>0</v>
      </c>
      <c r="AF705" s="5">
        <v>0</v>
      </c>
    </row>
    <row r="706" spans="1:32" x14ac:dyDescent="0.2">
      <c r="A706" s="3" t="str">
        <f>+VLOOKUP(B706,studies!$A$2:$C$102,3)</f>
        <v>Greenstone et al. (2013)</v>
      </c>
      <c r="B706" s="87">
        <v>87</v>
      </c>
      <c r="C706" s="5">
        <v>2013</v>
      </c>
      <c r="D706" s="5">
        <v>1</v>
      </c>
      <c r="E706" s="5">
        <v>2007</v>
      </c>
      <c r="F706" s="5">
        <v>2010</v>
      </c>
      <c r="G706" s="113">
        <v>2.1276595744680851E-2</v>
      </c>
      <c r="H706" s="7">
        <v>100.22885173372755</v>
      </c>
      <c r="I706" s="5">
        <v>1</v>
      </c>
      <c r="J706" s="5">
        <v>0</v>
      </c>
      <c r="K706" s="5">
        <v>0</v>
      </c>
      <c r="L706" s="7" t="s">
        <v>238</v>
      </c>
      <c r="M706" s="7">
        <v>137.81811085378024</v>
      </c>
      <c r="N706" s="7">
        <v>137.81811085378024</v>
      </c>
      <c r="O706" s="5">
        <v>0</v>
      </c>
      <c r="P706" s="5">
        <v>1</v>
      </c>
      <c r="Q706" s="5">
        <v>1</v>
      </c>
      <c r="R706" s="5">
        <v>1</v>
      </c>
      <c r="S706" s="5">
        <v>1</v>
      </c>
      <c r="T706" s="5">
        <v>1</v>
      </c>
      <c r="U706" s="5">
        <v>1</v>
      </c>
      <c r="V706" s="13">
        <v>3</v>
      </c>
      <c r="W706" s="13" t="s">
        <v>25</v>
      </c>
      <c r="X706" s="5"/>
      <c r="Y706" s="5"/>
      <c r="Z706" s="5"/>
      <c r="AA706" s="5">
        <v>0</v>
      </c>
      <c r="AB706" s="5"/>
      <c r="AC706" s="5">
        <v>0</v>
      </c>
      <c r="AD706" s="5">
        <v>0</v>
      </c>
      <c r="AE706" s="5">
        <v>0</v>
      </c>
      <c r="AF706" s="5">
        <v>0</v>
      </c>
    </row>
    <row r="707" spans="1:32" x14ac:dyDescent="0.2">
      <c r="A707" s="3" t="str">
        <f>+VLOOKUP(B707,studies!$A$2:$C$102,3)</f>
        <v>Greenstone et al. (2013)</v>
      </c>
      <c r="B707" s="87">
        <v>87</v>
      </c>
      <c r="C707" s="5">
        <v>2013</v>
      </c>
      <c r="D707" s="5">
        <v>1</v>
      </c>
      <c r="E707" s="5">
        <v>2007</v>
      </c>
      <c r="F707" s="5">
        <v>2010</v>
      </c>
      <c r="G707" s="113">
        <v>2.1276595744680851E-2</v>
      </c>
      <c r="H707" s="7">
        <v>136.18539047228452</v>
      </c>
      <c r="I707" s="5">
        <v>1</v>
      </c>
      <c r="J707" s="5">
        <v>0</v>
      </c>
      <c r="K707" s="5">
        <v>0</v>
      </c>
      <c r="L707" s="7" t="s">
        <v>238</v>
      </c>
      <c r="M707" s="7">
        <v>195.60540525503251</v>
      </c>
      <c r="N707" s="7">
        <v>195.60540525503251</v>
      </c>
      <c r="O707" s="5">
        <v>0</v>
      </c>
      <c r="P707" s="5">
        <v>1</v>
      </c>
      <c r="Q707" s="5">
        <v>1</v>
      </c>
      <c r="R707" s="5">
        <v>1</v>
      </c>
      <c r="S707" s="5">
        <v>1</v>
      </c>
      <c r="T707" s="5">
        <v>1</v>
      </c>
      <c r="U707" s="5">
        <v>1</v>
      </c>
      <c r="V707" s="13">
        <v>3</v>
      </c>
      <c r="W707" s="13" t="s">
        <v>25</v>
      </c>
      <c r="X707" s="5"/>
      <c r="Y707" s="5"/>
      <c r="Z707" s="5"/>
      <c r="AA707" s="5">
        <v>0</v>
      </c>
      <c r="AB707" s="5"/>
      <c r="AC707" s="5">
        <v>0</v>
      </c>
      <c r="AD707" s="5">
        <v>0</v>
      </c>
      <c r="AE707" s="5">
        <v>0</v>
      </c>
      <c r="AF707" s="5">
        <v>0</v>
      </c>
    </row>
    <row r="708" spans="1:32" x14ac:dyDescent="0.2">
      <c r="A708" s="3" t="str">
        <f>+VLOOKUP(B708,studies!$A$2:$C$102,3)</f>
        <v>Greenstone et al. (2013)</v>
      </c>
      <c r="B708" s="87">
        <v>87</v>
      </c>
      <c r="C708" s="5">
        <v>2013</v>
      </c>
      <c r="D708" s="5">
        <v>1</v>
      </c>
      <c r="E708" s="5">
        <v>2007</v>
      </c>
      <c r="F708" s="5">
        <v>2010</v>
      </c>
      <c r="G708" s="113">
        <v>2.1276595744680851E-2</v>
      </c>
      <c r="H708" s="7">
        <v>142.92724148576394</v>
      </c>
      <c r="I708" s="5">
        <v>1</v>
      </c>
      <c r="J708" s="5">
        <v>0</v>
      </c>
      <c r="K708" s="5">
        <v>0</v>
      </c>
      <c r="L708" s="7" t="s">
        <v>238</v>
      </c>
      <c r="M708" s="7">
        <v>191.70705602955118</v>
      </c>
      <c r="N708" s="7">
        <v>191.70705602955118</v>
      </c>
      <c r="O708" s="5">
        <v>0</v>
      </c>
      <c r="P708" s="5">
        <v>1</v>
      </c>
      <c r="Q708" s="5">
        <v>1</v>
      </c>
      <c r="R708" s="5">
        <v>1</v>
      </c>
      <c r="S708" s="5">
        <v>1</v>
      </c>
      <c r="T708" s="5">
        <v>1</v>
      </c>
      <c r="U708" s="5">
        <v>1</v>
      </c>
      <c r="V708" s="13">
        <v>3</v>
      </c>
      <c r="W708" s="13" t="s">
        <v>25</v>
      </c>
      <c r="X708" s="5"/>
      <c r="Y708" s="5"/>
      <c r="Z708" s="5"/>
      <c r="AA708" s="5">
        <v>0</v>
      </c>
      <c r="AB708" s="5"/>
      <c r="AC708" s="5">
        <v>0</v>
      </c>
      <c r="AD708" s="5">
        <v>0</v>
      </c>
      <c r="AE708" s="5">
        <v>0</v>
      </c>
      <c r="AF708" s="5">
        <v>0</v>
      </c>
    </row>
    <row r="709" spans="1:32" x14ac:dyDescent="0.2">
      <c r="A709" s="3" t="str">
        <f>+VLOOKUP(B709,studies!$A$2:$C$102,3)</f>
        <v>Greenstone et al. (2013)</v>
      </c>
      <c r="B709" s="87">
        <v>87</v>
      </c>
      <c r="C709" s="5">
        <v>2013</v>
      </c>
      <c r="D709" s="5">
        <v>1</v>
      </c>
      <c r="E709" s="5">
        <v>2007</v>
      </c>
      <c r="F709" s="5">
        <v>2010</v>
      </c>
      <c r="G709" s="113">
        <v>2.1276595744680851E-2</v>
      </c>
      <c r="H709" s="7">
        <v>114.16201049491836</v>
      </c>
      <c r="I709" s="5">
        <v>1</v>
      </c>
      <c r="J709" s="5">
        <v>0</v>
      </c>
      <c r="K709" s="5">
        <v>0</v>
      </c>
      <c r="L709" s="7" t="s">
        <v>238</v>
      </c>
      <c r="M709" s="7">
        <v>181.84652563568673</v>
      </c>
      <c r="N709" s="7">
        <v>181.84652563568673</v>
      </c>
      <c r="O709" s="5">
        <v>0</v>
      </c>
      <c r="P709" s="5">
        <v>1</v>
      </c>
      <c r="Q709" s="5">
        <v>1</v>
      </c>
      <c r="R709" s="5">
        <v>1</v>
      </c>
      <c r="S709" s="5">
        <v>1</v>
      </c>
      <c r="T709" s="5">
        <v>1</v>
      </c>
      <c r="U709" s="5">
        <v>1</v>
      </c>
      <c r="V709" s="13">
        <v>3</v>
      </c>
      <c r="W709" s="13" t="s">
        <v>25</v>
      </c>
      <c r="X709" s="5"/>
      <c r="Y709" s="5"/>
      <c r="Z709" s="5"/>
      <c r="AA709" s="5">
        <v>0</v>
      </c>
      <c r="AB709" s="5"/>
      <c r="AC709" s="5">
        <v>0</v>
      </c>
      <c r="AD709" s="5">
        <v>0</v>
      </c>
      <c r="AE709" s="5">
        <v>0</v>
      </c>
      <c r="AF709" s="5">
        <v>0</v>
      </c>
    </row>
    <row r="710" spans="1:32" x14ac:dyDescent="0.2">
      <c r="A710" s="3" t="str">
        <f>+VLOOKUP(B710,studies!$A$2:$C$102,3)</f>
        <v>Greenstone et al. (2013)</v>
      </c>
      <c r="B710" s="87">
        <v>87</v>
      </c>
      <c r="C710" s="5">
        <v>2013</v>
      </c>
      <c r="D710" s="5">
        <v>1</v>
      </c>
      <c r="E710" s="5">
        <v>2007</v>
      </c>
      <c r="F710" s="5">
        <v>2010</v>
      </c>
      <c r="G710" s="113">
        <v>2.1276595744680851E-2</v>
      </c>
      <c r="H710" s="7">
        <v>36.855452207020889</v>
      </c>
      <c r="I710" s="5">
        <v>1</v>
      </c>
      <c r="J710" s="5">
        <v>0</v>
      </c>
      <c r="K710" s="5">
        <v>0</v>
      </c>
      <c r="L710" s="7" t="s">
        <v>238</v>
      </c>
      <c r="M710" s="7">
        <v>72.234118001565335</v>
      </c>
      <c r="N710" s="7">
        <v>72.234118001565335</v>
      </c>
      <c r="O710" s="5">
        <v>0</v>
      </c>
      <c r="P710" s="5">
        <v>1</v>
      </c>
      <c r="Q710" s="5">
        <v>1</v>
      </c>
      <c r="R710" s="5">
        <v>1</v>
      </c>
      <c r="S710" s="5">
        <v>1</v>
      </c>
      <c r="T710" s="5">
        <v>1</v>
      </c>
      <c r="U710" s="5">
        <v>1</v>
      </c>
      <c r="V710" s="13">
        <v>3</v>
      </c>
      <c r="W710" s="13" t="s">
        <v>25</v>
      </c>
      <c r="X710" s="5"/>
      <c r="Y710" s="5"/>
      <c r="Z710" s="5"/>
      <c r="AA710" s="5">
        <v>0</v>
      </c>
      <c r="AB710" s="5"/>
      <c r="AC710" s="5">
        <v>0</v>
      </c>
      <c r="AD710" s="5">
        <v>0</v>
      </c>
      <c r="AE710" s="5">
        <v>0</v>
      </c>
      <c r="AF710" s="5">
        <v>0</v>
      </c>
    </row>
    <row r="711" spans="1:32" x14ac:dyDescent="0.2">
      <c r="A711" s="3" t="str">
        <f>+VLOOKUP(B711,studies!$A$2:$C$102,3)</f>
        <v>Greenstone et al. (2013)</v>
      </c>
      <c r="B711" s="87">
        <v>87</v>
      </c>
      <c r="C711" s="5">
        <v>2013</v>
      </c>
      <c r="D711" s="5">
        <v>1</v>
      </c>
      <c r="E711" s="5">
        <v>2007</v>
      </c>
      <c r="F711" s="5">
        <v>2010</v>
      </c>
      <c r="G711" s="113">
        <v>2.1276595744680851E-2</v>
      </c>
      <c r="H711" s="7">
        <v>35.956538738556965</v>
      </c>
      <c r="I711" s="5">
        <v>1</v>
      </c>
      <c r="J711" s="5">
        <v>0</v>
      </c>
      <c r="K711" s="5">
        <v>0</v>
      </c>
      <c r="L711" s="7" t="s">
        <v>238</v>
      </c>
      <c r="M711" s="7">
        <v>76.361781887369062</v>
      </c>
      <c r="N711" s="7">
        <v>76.361781887369062</v>
      </c>
      <c r="O711" s="5">
        <v>0</v>
      </c>
      <c r="P711" s="5">
        <v>1</v>
      </c>
      <c r="Q711" s="5">
        <v>1</v>
      </c>
      <c r="R711" s="5">
        <v>1</v>
      </c>
      <c r="S711" s="5">
        <v>1</v>
      </c>
      <c r="T711" s="5">
        <v>1</v>
      </c>
      <c r="U711" s="5">
        <v>1</v>
      </c>
      <c r="V711" s="13">
        <v>3</v>
      </c>
      <c r="W711" s="13" t="s">
        <v>25</v>
      </c>
      <c r="X711" s="5"/>
      <c r="Y711" s="5"/>
      <c r="Z711" s="5"/>
      <c r="AA711" s="5">
        <v>0</v>
      </c>
      <c r="AB711" s="5"/>
      <c r="AC711" s="5">
        <v>0</v>
      </c>
      <c r="AD711" s="5">
        <v>0</v>
      </c>
      <c r="AE711" s="5">
        <v>0</v>
      </c>
      <c r="AF711" s="5">
        <v>0</v>
      </c>
    </row>
    <row r="712" spans="1:32" x14ac:dyDescent="0.2">
      <c r="A712" s="3" t="str">
        <f>+VLOOKUP(B712,studies!$A$2:$C$102,3)</f>
        <v>Greenstone et al. (2013)</v>
      </c>
      <c r="B712" s="87">
        <v>87</v>
      </c>
      <c r="C712" s="5">
        <v>2013</v>
      </c>
      <c r="D712" s="5">
        <v>1</v>
      </c>
      <c r="E712" s="5">
        <v>2007</v>
      </c>
      <c r="F712" s="5">
        <v>2010</v>
      </c>
      <c r="G712" s="113">
        <v>2.1276595744680851E-2</v>
      </c>
      <c r="H712" s="7">
        <v>16.180442432350635</v>
      </c>
      <c r="I712" s="5">
        <v>1</v>
      </c>
      <c r="J712" s="5">
        <v>0</v>
      </c>
      <c r="K712" s="5">
        <v>0</v>
      </c>
      <c r="L712" s="7" t="s">
        <v>238</v>
      </c>
      <c r="M712" s="7">
        <v>65.354678191892447</v>
      </c>
      <c r="N712" s="7">
        <v>65.354678191892447</v>
      </c>
      <c r="O712" s="5">
        <v>0</v>
      </c>
      <c r="P712" s="5">
        <v>1</v>
      </c>
      <c r="Q712" s="5">
        <v>1</v>
      </c>
      <c r="R712" s="5">
        <v>1</v>
      </c>
      <c r="S712" s="5">
        <v>1</v>
      </c>
      <c r="T712" s="5">
        <v>1</v>
      </c>
      <c r="U712" s="5">
        <v>1</v>
      </c>
      <c r="V712" s="13">
        <v>3</v>
      </c>
      <c r="W712" s="13" t="s">
        <v>25</v>
      </c>
      <c r="X712" s="5"/>
      <c r="Y712" s="5"/>
      <c r="Z712" s="5"/>
      <c r="AA712" s="5">
        <v>0</v>
      </c>
      <c r="AB712" s="5"/>
      <c r="AC712" s="5">
        <v>0</v>
      </c>
      <c r="AD712" s="5">
        <v>0</v>
      </c>
      <c r="AE712" s="5">
        <v>0</v>
      </c>
      <c r="AF712" s="5">
        <v>0</v>
      </c>
    </row>
    <row r="713" spans="1:32" x14ac:dyDescent="0.2">
      <c r="A713" s="3" t="str">
        <f>+VLOOKUP(B713,studies!$A$2:$C$102,3)</f>
        <v>Greenstone et al. (2013)</v>
      </c>
      <c r="B713" s="87">
        <v>87</v>
      </c>
      <c r="C713" s="5">
        <v>2013</v>
      </c>
      <c r="D713" s="5">
        <v>1</v>
      </c>
      <c r="E713" s="5">
        <v>2007</v>
      </c>
      <c r="F713" s="5">
        <v>2010</v>
      </c>
      <c r="G713" s="113">
        <v>2.1276595744680851E-2</v>
      </c>
      <c r="H713" s="7">
        <v>45.844586891660136</v>
      </c>
      <c r="I713" s="5">
        <v>1</v>
      </c>
      <c r="J713" s="5">
        <v>0</v>
      </c>
      <c r="K713" s="5">
        <v>0</v>
      </c>
      <c r="L713" s="7" t="s">
        <v>238</v>
      </c>
      <c r="M713" s="7">
        <v>74.297949944467206</v>
      </c>
      <c r="N713" s="7">
        <v>74.297949944467206</v>
      </c>
      <c r="O713" s="5">
        <v>0</v>
      </c>
      <c r="P713" s="5">
        <v>1</v>
      </c>
      <c r="Q713" s="5">
        <v>1</v>
      </c>
      <c r="R713" s="5">
        <v>1</v>
      </c>
      <c r="S713" s="5">
        <v>1</v>
      </c>
      <c r="T713" s="5">
        <v>1</v>
      </c>
      <c r="U713" s="5">
        <v>1</v>
      </c>
      <c r="V713" s="13">
        <v>3</v>
      </c>
      <c r="W713" s="13" t="s">
        <v>25</v>
      </c>
      <c r="X713" s="5"/>
      <c r="Y713" s="5"/>
      <c r="Z713" s="5"/>
      <c r="AA713" s="5">
        <v>0</v>
      </c>
      <c r="AB713" s="5"/>
      <c r="AC713" s="5">
        <v>0</v>
      </c>
      <c r="AD713" s="5">
        <v>0</v>
      </c>
      <c r="AE713" s="5">
        <v>0</v>
      </c>
      <c r="AF713" s="5">
        <v>0</v>
      </c>
    </row>
    <row r="714" spans="1:32" x14ac:dyDescent="0.2">
      <c r="A714" s="3" t="str">
        <f>+VLOOKUP(B714,studies!$A$2:$C$102,3)</f>
        <v>Greenstone et al. (2013)</v>
      </c>
      <c r="B714" s="87">
        <v>87</v>
      </c>
      <c r="C714" s="5">
        <v>2013</v>
      </c>
      <c r="D714" s="5">
        <v>1</v>
      </c>
      <c r="E714" s="5">
        <v>2007</v>
      </c>
      <c r="F714" s="5">
        <v>2010</v>
      </c>
      <c r="G714" s="113">
        <v>2.1276595744680851E-2</v>
      </c>
      <c r="H714" s="7">
        <v>-0.89891346846392428</v>
      </c>
      <c r="I714" s="5">
        <v>1</v>
      </c>
      <c r="J714" s="5">
        <v>0</v>
      </c>
      <c r="K714" s="5">
        <v>0</v>
      </c>
      <c r="L714" s="7" t="s">
        <v>238</v>
      </c>
      <c r="M714" s="7">
        <v>44.945673423196212</v>
      </c>
      <c r="N714" s="7">
        <v>44.945673423196212</v>
      </c>
      <c r="O714" s="5">
        <v>0</v>
      </c>
      <c r="P714" s="5">
        <v>1</v>
      </c>
      <c r="Q714" s="5">
        <v>1</v>
      </c>
      <c r="R714" s="5">
        <v>1</v>
      </c>
      <c r="S714" s="5">
        <v>1</v>
      </c>
      <c r="T714" s="5">
        <v>1</v>
      </c>
      <c r="U714" s="5">
        <v>1</v>
      </c>
      <c r="V714" s="13">
        <v>3</v>
      </c>
      <c r="W714" s="13" t="s">
        <v>25</v>
      </c>
      <c r="X714" s="5"/>
      <c r="Y714" s="5"/>
      <c r="Z714" s="5"/>
      <c r="AA714" s="5">
        <v>0</v>
      </c>
      <c r="AB714" s="5"/>
      <c r="AC714" s="5">
        <v>0</v>
      </c>
      <c r="AD714" s="5">
        <v>0</v>
      </c>
      <c r="AE714" s="5">
        <v>0</v>
      </c>
      <c r="AF714" s="5">
        <v>0</v>
      </c>
    </row>
    <row r="715" spans="1:32" x14ac:dyDescent="0.2">
      <c r="A715" s="3" t="str">
        <f>+VLOOKUP(B715,studies!$A$2:$C$102,3)</f>
        <v>Greenstone et al. (2013)</v>
      </c>
      <c r="B715" s="87">
        <v>87</v>
      </c>
      <c r="C715" s="5">
        <v>2013</v>
      </c>
      <c r="D715" s="5">
        <v>1</v>
      </c>
      <c r="E715" s="5">
        <v>2007</v>
      </c>
      <c r="F715" s="5">
        <v>2010</v>
      </c>
      <c r="G715" s="113">
        <v>2.1276595744680851E-2</v>
      </c>
      <c r="H715" s="7">
        <v>243.60554995372351</v>
      </c>
      <c r="I715" s="5">
        <v>1</v>
      </c>
      <c r="J715" s="5">
        <v>0</v>
      </c>
      <c r="K715" s="5">
        <v>0</v>
      </c>
      <c r="L715" s="7" t="s">
        <v>238</v>
      </c>
      <c r="M715" s="7"/>
      <c r="N715" s="7"/>
      <c r="O715" s="5">
        <v>0</v>
      </c>
      <c r="P715" s="5">
        <v>1</v>
      </c>
      <c r="Q715" s="5">
        <v>1</v>
      </c>
      <c r="R715" s="5">
        <v>1</v>
      </c>
      <c r="S715" s="5">
        <v>1</v>
      </c>
      <c r="T715" s="5">
        <v>1</v>
      </c>
      <c r="U715" s="5">
        <v>1</v>
      </c>
      <c r="V715" s="13">
        <v>2.5</v>
      </c>
      <c r="W715" s="13" t="s">
        <v>25</v>
      </c>
      <c r="X715" s="5"/>
      <c r="Y715" s="5"/>
      <c r="Z715" s="5"/>
      <c r="AA715" s="5">
        <v>0</v>
      </c>
      <c r="AB715" s="5"/>
      <c r="AC715" s="5">
        <v>0</v>
      </c>
      <c r="AD715" s="5">
        <v>0</v>
      </c>
      <c r="AE715" s="5">
        <v>0</v>
      </c>
      <c r="AF715" s="5">
        <v>0</v>
      </c>
    </row>
    <row r="716" spans="1:32" x14ac:dyDescent="0.2">
      <c r="A716" s="3" t="str">
        <f>+VLOOKUP(B716,studies!$A$2:$C$102,3)</f>
        <v>Greenstone et al. (2013)</v>
      </c>
      <c r="B716" s="87">
        <v>87</v>
      </c>
      <c r="C716" s="5">
        <v>2013</v>
      </c>
      <c r="D716" s="5">
        <v>1</v>
      </c>
      <c r="E716" s="5">
        <v>2007</v>
      </c>
      <c r="F716" s="5">
        <v>2010</v>
      </c>
      <c r="G716" s="113">
        <v>2.1276595744680851E-2</v>
      </c>
      <c r="H716" s="7">
        <v>142.02832801730003</v>
      </c>
      <c r="I716" s="5">
        <v>1</v>
      </c>
      <c r="J716" s="5">
        <v>0</v>
      </c>
      <c r="K716" s="5">
        <v>0</v>
      </c>
      <c r="L716" s="7" t="s">
        <v>238</v>
      </c>
      <c r="M716" s="7" t="s">
        <v>238</v>
      </c>
      <c r="N716" s="7" t="s">
        <v>238</v>
      </c>
      <c r="O716" s="5">
        <v>0</v>
      </c>
      <c r="P716" s="5">
        <v>1</v>
      </c>
      <c r="Q716" s="5">
        <v>1</v>
      </c>
      <c r="R716" s="5">
        <v>1</v>
      </c>
      <c r="S716" s="5">
        <v>1</v>
      </c>
      <c r="T716" s="5">
        <v>1</v>
      </c>
      <c r="U716" s="5">
        <v>1</v>
      </c>
      <c r="V716" s="13">
        <v>2.5</v>
      </c>
      <c r="W716" s="13" t="s">
        <v>25</v>
      </c>
      <c r="X716" s="5"/>
      <c r="Y716" s="5"/>
      <c r="Z716" s="5"/>
      <c r="AA716" s="5">
        <v>0</v>
      </c>
      <c r="AB716" s="5"/>
      <c r="AC716" s="5">
        <v>0</v>
      </c>
      <c r="AD716" s="5">
        <v>0</v>
      </c>
      <c r="AE716" s="5">
        <v>0</v>
      </c>
      <c r="AF716" s="5">
        <v>0</v>
      </c>
    </row>
    <row r="717" spans="1:32" x14ac:dyDescent="0.2">
      <c r="A717" s="3" t="str">
        <f>+VLOOKUP(B717,studies!$A$2:$C$102,3)</f>
        <v>Greenstone et al. (2013)</v>
      </c>
      <c r="B717" s="87">
        <v>87</v>
      </c>
      <c r="C717" s="5">
        <v>2013</v>
      </c>
      <c r="D717" s="5">
        <v>1</v>
      </c>
      <c r="E717" s="5">
        <v>2007</v>
      </c>
      <c r="F717" s="5">
        <v>2010</v>
      </c>
      <c r="G717" s="113">
        <v>2.1276595744680851E-2</v>
      </c>
      <c r="H717" s="7">
        <v>195.51367939090352</v>
      </c>
      <c r="I717" s="5">
        <v>1</v>
      </c>
      <c r="J717" s="5">
        <v>0</v>
      </c>
      <c r="K717" s="5">
        <v>0</v>
      </c>
      <c r="L717" s="7" t="s">
        <v>238</v>
      </c>
      <c r="M717" s="7" t="s">
        <v>238</v>
      </c>
      <c r="N717" s="7" t="s">
        <v>238</v>
      </c>
      <c r="O717" s="5">
        <v>0</v>
      </c>
      <c r="P717" s="5">
        <v>1</v>
      </c>
      <c r="Q717" s="5">
        <v>1</v>
      </c>
      <c r="R717" s="5">
        <v>1</v>
      </c>
      <c r="S717" s="5">
        <v>1</v>
      </c>
      <c r="T717" s="5">
        <v>1</v>
      </c>
      <c r="U717" s="5">
        <v>1</v>
      </c>
      <c r="V717" s="13">
        <v>2.5</v>
      </c>
      <c r="W717" s="13" t="s">
        <v>25</v>
      </c>
      <c r="X717" s="5"/>
      <c r="Y717" s="5"/>
      <c r="Z717" s="5"/>
      <c r="AA717" s="5">
        <v>0</v>
      </c>
      <c r="AB717" s="5"/>
      <c r="AC717" s="5">
        <v>0</v>
      </c>
      <c r="AD717" s="5">
        <v>0</v>
      </c>
      <c r="AE717" s="5">
        <v>0</v>
      </c>
      <c r="AF717" s="5">
        <v>0</v>
      </c>
    </row>
    <row r="718" spans="1:32" x14ac:dyDescent="0.2">
      <c r="A718" s="3" t="str">
        <f>+VLOOKUP(B718,studies!$A$2:$C$102,3)</f>
        <v>Greenstone et al. (2013)</v>
      </c>
      <c r="B718" s="87">
        <v>87</v>
      </c>
      <c r="C718" s="5">
        <v>2013</v>
      </c>
      <c r="D718" s="5">
        <v>1</v>
      </c>
      <c r="E718" s="5">
        <v>2007</v>
      </c>
      <c r="F718" s="5">
        <v>2010</v>
      </c>
      <c r="G718" s="113">
        <v>2.1276595744680851E-2</v>
      </c>
      <c r="H718" s="7">
        <v>199.55878999899119</v>
      </c>
      <c r="I718" s="5">
        <v>1</v>
      </c>
      <c r="J718" s="5">
        <v>0</v>
      </c>
      <c r="K718" s="5">
        <v>0</v>
      </c>
      <c r="L718" s="7" t="s">
        <v>238</v>
      </c>
      <c r="M718" s="7" t="s">
        <v>238</v>
      </c>
      <c r="N718" s="7" t="s">
        <v>238</v>
      </c>
      <c r="O718" s="5">
        <v>0</v>
      </c>
      <c r="P718" s="5">
        <v>1</v>
      </c>
      <c r="Q718" s="5">
        <v>1</v>
      </c>
      <c r="R718" s="5">
        <v>1</v>
      </c>
      <c r="S718" s="5">
        <v>1</v>
      </c>
      <c r="T718" s="5">
        <v>1</v>
      </c>
      <c r="U718" s="5">
        <v>1</v>
      </c>
      <c r="V718" s="13">
        <v>2.5</v>
      </c>
      <c r="W718" s="13" t="s">
        <v>25</v>
      </c>
      <c r="X718" s="5"/>
      <c r="Y718" s="5"/>
      <c r="Z718" s="5"/>
      <c r="AA718" s="5">
        <v>0</v>
      </c>
      <c r="AB718" s="5"/>
      <c r="AC718" s="5">
        <v>0</v>
      </c>
      <c r="AD718" s="5">
        <v>0</v>
      </c>
      <c r="AE718" s="5">
        <v>0</v>
      </c>
      <c r="AF718" s="5">
        <v>0</v>
      </c>
    </row>
    <row r="719" spans="1:32" x14ac:dyDescent="0.2">
      <c r="A719" s="3" t="str">
        <f>+VLOOKUP(B719,studies!$A$2:$C$102,3)</f>
        <v>Greenstone et al. (2013)</v>
      </c>
      <c r="B719" s="87">
        <v>87</v>
      </c>
      <c r="C719" s="5">
        <v>2013</v>
      </c>
      <c r="D719" s="5">
        <v>1</v>
      </c>
      <c r="E719" s="5">
        <v>2007</v>
      </c>
      <c r="F719" s="5">
        <v>2010</v>
      </c>
      <c r="G719" s="113">
        <v>2.1276595744680851E-2</v>
      </c>
      <c r="H719" s="7">
        <v>168.09681860275384</v>
      </c>
      <c r="I719" s="5">
        <v>1</v>
      </c>
      <c r="J719" s="5">
        <v>0</v>
      </c>
      <c r="K719" s="5">
        <v>0</v>
      </c>
      <c r="L719" s="7" t="s">
        <v>238</v>
      </c>
      <c r="M719" s="7" t="s">
        <v>238</v>
      </c>
      <c r="N719" s="7" t="s">
        <v>238</v>
      </c>
      <c r="O719" s="5">
        <v>0</v>
      </c>
      <c r="P719" s="5">
        <v>1</v>
      </c>
      <c r="Q719" s="5">
        <v>1</v>
      </c>
      <c r="R719" s="5">
        <v>1</v>
      </c>
      <c r="S719" s="5">
        <v>1</v>
      </c>
      <c r="T719" s="5">
        <v>1</v>
      </c>
      <c r="U719" s="5">
        <v>1</v>
      </c>
      <c r="V719" s="13">
        <v>2.5</v>
      </c>
      <c r="W719" s="13" t="s">
        <v>25</v>
      </c>
      <c r="X719" s="5"/>
      <c r="Y719" s="5"/>
      <c r="Z719" s="5"/>
      <c r="AA719" s="5">
        <v>0</v>
      </c>
      <c r="AB719" s="5"/>
      <c r="AC719" s="5">
        <v>0</v>
      </c>
      <c r="AD719" s="5">
        <v>0</v>
      </c>
      <c r="AE719" s="5">
        <v>0</v>
      </c>
      <c r="AF719" s="5">
        <v>0</v>
      </c>
    </row>
    <row r="720" spans="1:32" x14ac:dyDescent="0.2">
      <c r="A720" s="3" t="str">
        <f>+VLOOKUP(B720,studies!$A$2:$C$102,3)</f>
        <v>Greenstone et al. (2013)</v>
      </c>
      <c r="B720" s="87">
        <v>87</v>
      </c>
      <c r="C720" s="5">
        <v>2013</v>
      </c>
      <c r="D720" s="5">
        <v>1</v>
      </c>
      <c r="E720" s="5">
        <v>2007</v>
      </c>
      <c r="F720" s="5">
        <v>2010</v>
      </c>
      <c r="G720" s="113">
        <v>2.1276595744680851E-2</v>
      </c>
      <c r="H720" s="7">
        <v>294.39416092193522</v>
      </c>
      <c r="I720" s="5">
        <v>1</v>
      </c>
      <c r="J720" s="5">
        <v>0</v>
      </c>
      <c r="K720" s="5">
        <v>0</v>
      </c>
      <c r="L720" s="7" t="s">
        <v>238</v>
      </c>
      <c r="M720" s="7" t="s">
        <v>238</v>
      </c>
      <c r="N720" s="7" t="s">
        <v>238</v>
      </c>
      <c r="O720" s="5">
        <v>0</v>
      </c>
      <c r="P720" s="5">
        <v>1</v>
      </c>
      <c r="Q720" s="5">
        <v>1</v>
      </c>
      <c r="R720" s="5">
        <v>1</v>
      </c>
      <c r="S720" s="5">
        <v>1</v>
      </c>
      <c r="T720" s="5">
        <v>1</v>
      </c>
      <c r="U720" s="5">
        <v>1</v>
      </c>
      <c r="V720" s="13">
        <v>2.5</v>
      </c>
      <c r="W720" s="13" t="s">
        <v>25</v>
      </c>
      <c r="X720" s="5"/>
      <c r="Y720" s="5"/>
      <c r="Z720" s="5"/>
      <c r="AA720" s="5">
        <v>0</v>
      </c>
      <c r="AB720" s="5"/>
      <c r="AC720" s="5">
        <v>0</v>
      </c>
      <c r="AD720" s="5">
        <v>0</v>
      </c>
      <c r="AE720" s="5">
        <v>0</v>
      </c>
      <c r="AF720" s="5">
        <v>0</v>
      </c>
    </row>
    <row r="721" spans="1:32" x14ac:dyDescent="0.2">
      <c r="A721" s="3" t="str">
        <f>+VLOOKUP(B721,studies!$A$2:$C$102,3)</f>
        <v>Greenstone et al. (2013)</v>
      </c>
      <c r="B721" s="87">
        <v>87</v>
      </c>
      <c r="C721" s="5">
        <v>2013</v>
      </c>
      <c r="D721" s="5">
        <v>1</v>
      </c>
      <c r="E721" s="5">
        <v>2007</v>
      </c>
      <c r="F721" s="5">
        <v>2010</v>
      </c>
      <c r="G721" s="113">
        <v>2.1276595744680851E-2</v>
      </c>
      <c r="H721" s="7">
        <v>155.51203004425886</v>
      </c>
      <c r="I721" s="5">
        <v>1</v>
      </c>
      <c r="J721" s="5">
        <v>0</v>
      </c>
      <c r="K721" s="5">
        <v>0</v>
      </c>
      <c r="L721" s="7" t="s">
        <v>238</v>
      </c>
      <c r="M721" s="7" t="s">
        <v>238</v>
      </c>
      <c r="N721" s="7" t="s">
        <v>238</v>
      </c>
      <c r="O721" s="5">
        <v>0</v>
      </c>
      <c r="P721" s="5">
        <v>1</v>
      </c>
      <c r="Q721" s="5">
        <v>1</v>
      </c>
      <c r="R721" s="5">
        <v>1</v>
      </c>
      <c r="S721" s="5">
        <v>1</v>
      </c>
      <c r="T721" s="5">
        <v>1</v>
      </c>
      <c r="U721" s="5">
        <v>1</v>
      </c>
      <c r="V721" s="13">
        <v>2.5</v>
      </c>
      <c r="W721" s="13" t="s">
        <v>25</v>
      </c>
      <c r="X721" s="5"/>
      <c r="Y721" s="5"/>
      <c r="Z721" s="5"/>
      <c r="AA721" s="5">
        <v>0</v>
      </c>
      <c r="AB721" s="5"/>
      <c r="AC721" s="5">
        <v>0</v>
      </c>
      <c r="AD721" s="5">
        <v>0</v>
      </c>
      <c r="AE721" s="5">
        <v>0</v>
      </c>
      <c r="AF721" s="5">
        <v>0</v>
      </c>
    </row>
    <row r="722" spans="1:32" x14ac:dyDescent="0.2">
      <c r="A722" s="3" t="str">
        <f>+VLOOKUP(B722,studies!$A$2:$C$102,3)</f>
        <v>Greenstone et al. (2013)</v>
      </c>
      <c r="B722" s="87">
        <v>87</v>
      </c>
      <c r="C722" s="5">
        <v>2013</v>
      </c>
      <c r="D722" s="5">
        <v>1</v>
      </c>
      <c r="E722" s="5">
        <v>2007</v>
      </c>
      <c r="F722" s="5">
        <v>2010</v>
      </c>
      <c r="G722" s="113">
        <v>2.1276595744680851E-2</v>
      </c>
      <c r="H722" s="7">
        <v>221.13271324212539</v>
      </c>
      <c r="I722" s="5">
        <v>1</v>
      </c>
      <c r="J722" s="5">
        <v>0</v>
      </c>
      <c r="K722" s="5">
        <v>0</v>
      </c>
      <c r="L722" s="7" t="s">
        <v>238</v>
      </c>
      <c r="M722" s="7" t="s">
        <v>238</v>
      </c>
      <c r="N722" s="7" t="s">
        <v>238</v>
      </c>
      <c r="O722" s="5">
        <v>0</v>
      </c>
      <c r="P722" s="5">
        <v>1</v>
      </c>
      <c r="Q722" s="5">
        <v>1</v>
      </c>
      <c r="R722" s="5">
        <v>1</v>
      </c>
      <c r="S722" s="5">
        <v>1</v>
      </c>
      <c r="T722" s="5">
        <v>1</v>
      </c>
      <c r="U722" s="5">
        <v>1</v>
      </c>
      <c r="V722" s="13">
        <v>2.5</v>
      </c>
      <c r="W722" s="13" t="s">
        <v>25</v>
      </c>
      <c r="X722" s="5"/>
      <c r="Y722" s="5"/>
      <c r="Z722" s="5"/>
      <c r="AA722" s="5">
        <v>0</v>
      </c>
      <c r="AB722" s="5"/>
      <c r="AC722" s="5">
        <v>0</v>
      </c>
      <c r="AD722" s="5">
        <v>0</v>
      </c>
      <c r="AE722" s="5">
        <v>0</v>
      </c>
      <c r="AF722" s="5">
        <v>0</v>
      </c>
    </row>
    <row r="723" spans="1:32" x14ac:dyDescent="0.2">
      <c r="A723" s="3" t="str">
        <f>+VLOOKUP(B723,studies!$A$2:$C$102,3)</f>
        <v>Greenstone et al. (2013)</v>
      </c>
      <c r="B723" s="87">
        <v>87</v>
      </c>
      <c r="C723" s="5">
        <v>2013</v>
      </c>
      <c r="D723" s="5">
        <v>1</v>
      </c>
      <c r="E723" s="5">
        <v>2007</v>
      </c>
      <c r="F723" s="5">
        <v>2010</v>
      </c>
      <c r="G723" s="113">
        <v>2.1276595744680851E-2</v>
      </c>
      <c r="H723" s="7">
        <v>245.85283362488329</v>
      </c>
      <c r="I723" s="5">
        <v>1</v>
      </c>
      <c r="J723" s="5">
        <v>0</v>
      </c>
      <c r="K723" s="5">
        <v>0</v>
      </c>
      <c r="L723" s="7" t="s">
        <v>238</v>
      </c>
      <c r="M723" s="7" t="s">
        <v>238</v>
      </c>
      <c r="N723" s="7" t="s">
        <v>238</v>
      </c>
      <c r="O723" s="5">
        <v>0</v>
      </c>
      <c r="P723" s="5">
        <v>1</v>
      </c>
      <c r="Q723" s="5">
        <v>1</v>
      </c>
      <c r="R723" s="5">
        <v>1</v>
      </c>
      <c r="S723" s="5">
        <v>1</v>
      </c>
      <c r="T723" s="5">
        <v>1</v>
      </c>
      <c r="U723" s="5">
        <v>1</v>
      </c>
      <c r="V723" s="13">
        <v>2.5</v>
      </c>
      <c r="W723" s="13" t="s">
        <v>25</v>
      </c>
      <c r="X723" s="5"/>
      <c r="Y723" s="5"/>
      <c r="Z723" s="5"/>
      <c r="AA723" s="5">
        <v>0</v>
      </c>
      <c r="AB723" s="5"/>
      <c r="AC723" s="5">
        <v>0</v>
      </c>
      <c r="AD723" s="5">
        <v>0</v>
      </c>
      <c r="AE723" s="5">
        <v>0</v>
      </c>
      <c r="AF723" s="5">
        <v>0</v>
      </c>
    </row>
    <row r="724" spans="1:32" x14ac:dyDescent="0.2">
      <c r="A724" s="3" t="str">
        <f>+VLOOKUP(B724,studies!$A$2:$C$102,3)</f>
        <v>Greenstone et al. (2013)</v>
      </c>
      <c r="B724" s="87">
        <v>87</v>
      </c>
      <c r="C724" s="5">
        <v>2013</v>
      </c>
      <c r="D724" s="5">
        <v>1</v>
      </c>
      <c r="E724" s="5">
        <v>2007</v>
      </c>
      <c r="F724" s="5">
        <v>2010</v>
      </c>
      <c r="G724" s="113">
        <v>2.1276595744680851E-2</v>
      </c>
      <c r="H724" s="7">
        <v>192.81693898551174</v>
      </c>
      <c r="I724" s="5">
        <v>1</v>
      </c>
      <c r="J724" s="5">
        <v>0</v>
      </c>
      <c r="K724" s="5">
        <v>0</v>
      </c>
      <c r="L724" s="7" t="s">
        <v>238</v>
      </c>
      <c r="M724" s="7" t="s">
        <v>238</v>
      </c>
      <c r="N724" s="7" t="s">
        <v>238</v>
      </c>
      <c r="O724" s="5">
        <v>0</v>
      </c>
      <c r="P724" s="5">
        <v>1</v>
      </c>
      <c r="Q724" s="5">
        <v>1</v>
      </c>
      <c r="R724" s="5">
        <v>1</v>
      </c>
      <c r="S724" s="5">
        <v>1</v>
      </c>
      <c r="T724" s="5">
        <v>1</v>
      </c>
      <c r="U724" s="5">
        <v>1</v>
      </c>
      <c r="V724" s="13">
        <v>2.5</v>
      </c>
      <c r="W724" s="13" t="s">
        <v>25</v>
      </c>
      <c r="X724" s="5"/>
      <c r="Y724" s="5"/>
      <c r="Z724" s="5"/>
      <c r="AA724" s="5">
        <v>0</v>
      </c>
      <c r="AB724" s="5"/>
      <c r="AC724" s="5">
        <v>0</v>
      </c>
      <c r="AD724" s="5">
        <v>0</v>
      </c>
      <c r="AE724" s="5">
        <v>0</v>
      </c>
      <c r="AF724" s="5">
        <v>0</v>
      </c>
    </row>
    <row r="725" spans="1:32" x14ac:dyDescent="0.2">
      <c r="A725" s="3" t="str">
        <f>+VLOOKUP(B725,studies!$A$2:$C$102,3)</f>
        <v>Greenstone et al. (2013)</v>
      </c>
      <c r="B725" s="87">
        <v>87</v>
      </c>
      <c r="C725" s="5">
        <v>2013</v>
      </c>
      <c r="D725" s="5">
        <v>1</v>
      </c>
      <c r="E725" s="5">
        <v>2007</v>
      </c>
      <c r="F725" s="5">
        <v>2010</v>
      </c>
      <c r="G725" s="113">
        <v>2.1276595744680851E-2</v>
      </c>
      <c r="H725" s="7">
        <v>86.7451497067687</v>
      </c>
      <c r="I725" s="5">
        <v>1</v>
      </c>
      <c r="J725" s="5">
        <v>0</v>
      </c>
      <c r="K725" s="5">
        <v>0</v>
      </c>
      <c r="L725" s="7" t="s">
        <v>238</v>
      </c>
      <c r="M725" s="7" t="s">
        <v>238</v>
      </c>
      <c r="N725" s="7" t="s">
        <v>238</v>
      </c>
      <c r="O725" s="5">
        <v>0</v>
      </c>
      <c r="P725" s="5">
        <v>1</v>
      </c>
      <c r="Q725" s="5">
        <v>1</v>
      </c>
      <c r="R725" s="5">
        <v>1</v>
      </c>
      <c r="S725" s="5">
        <v>1</v>
      </c>
      <c r="T725" s="5">
        <v>1</v>
      </c>
      <c r="U725" s="5">
        <v>1</v>
      </c>
      <c r="V725" s="13">
        <v>2.5</v>
      </c>
      <c r="W725" s="13" t="s">
        <v>25</v>
      </c>
      <c r="X725" s="5"/>
      <c r="Y725" s="5"/>
      <c r="Z725" s="5"/>
      <c r="AA725" s="5">
        <v>0</v>
      </c>
      <c r="AB725" s="5"/>
      <c r="AC725" s="5">
        <v>0</v>
      </c>
      <c r="AD725" s="5">
        <v>0</v>
      </c>
      <c r="AE725" s="5">
        <v>0</v>
      </c>
      <c r="AF725" s="5">
        <v>0</v>
      </c>
    </row>
    <row r="726" spans="1:32" x14ac:dyDescent="0.2">
      <c r="A726" s="3" t="str">
        <f>+VLOOKUP(B726,studies!$A$2:$C$102,3)</f>
        <v>Greenstone et al. (2013)</v>
      </c>
      <c r="B726" s="87">
        <v>87</v>
      </c>
      <c r="C726" s="5">
        <v>2013</v>
      </c>
      <c r="D726" s="5">
        <v>1</v>
      </c>
      <c r="E726" s="5">
        <v>2007</v>
      </c>
      <c r="F726" s="5">
        <v>2010</v>
      </c>
      <c r="G726" s="113">
        <v>2.1276595744680851E-2</v>
      </c>
      <c r="H726" s="7">
        <v>66.519596666330386</v>
      </c>
      <c r="I726" s="5">
        <v>1</v>
      </c>
      <c r="J726" s="5">
        <v>0</v>
      </c>
      <c r="K726" s="5">
        <v>0</v>
      </c>
      <c r="L726" s="7" t="s">
        <v>238</v>
      </c>
      <c r="M726" s="7" t="s">
        <v>238</v>
      </c>
      <c r="N726" s="7" t="s">
        <v>238</v>
      </c>
      <c r="O726" s="5">
        <v>0</v>
      </c>
      <c r="P726" s="5">
        <v>1</v>
      </c>
      <c r="Q726" s="5">
        <v>1</v>
      </c>
      <c r="R726" s="5">
        <v>1</v>
      </c>
      <c r="S726" s="5">
        <v>1</v>
      </c>
      <c r="T726" s="5">
        <v>1</v>
      </c>
      <c r="U726" s="5">
        <v>1</v>
      </c>
      <c r="V726" s="13">
        <v>2.5</v>
      </c>
      <c r="W726" s="13" t="s">
        <v>25</v>
      </c>
      <c r="X726" s="5"/>
      <c r="Y726" s="5"/>
      <c r="Z726" s="5"/>
      <c r="AA726" s="5">
        <v>0</v>
      </c>
      <c r="AB726" s="5"/>
      <c r="AC726" s="5">
        <v>0</v>
      </c>
      <c r="AD726" s="5">
        <v>0</v>
      </c>
      <c r="AE726" s="5">
        <v>0</v>
      </c>
      <c r="AF726" s="5">
        <v>0</v>
      </c>
    </row>
    <row r="727" spans="1:32" x14ac:dyDescent="0.2">
      <c r="A727" s="3" t="str">
        <f>+VLOOKUP(B727,studies!$A$2:$C$102,3)</f>
        <v>Greenstone et al. (2013)</v>
      </c>
      <c r="B727" s="87">
        <v>87</v>
      </c>
      <c r="C727" s="5">
        <v>2013</v>
      </c>
      <c r="D727" s="5">
        <v>1</v>
      </c>
      <c r="E727" s="5">
        <v>2007</v>
      </c>
      <c r="F727" s="5">
        <v>2010</v>
      </c>
      <c r="G727" s="113">
        <v>2.1276595744680851E-2</v>
      </c>
      <c r="H727" s="7">
        <v>39.552192612412668</v>
      </c>
      <c r="I727" s="5">
        <v>1</v>
      </c>
      <c r="J727" s="5">
        <v>0</v>
      </c>
      <c r="K727" s="5">
        <v>0</v>
      </c>
      <c r="L727" s="7" t="s">
        <v>238</v>
      </c>
      <c r="M727" s="7" t="s">
        <v>238</v>
      </c>
      <c r="N727" s="7" t="s">
        <v>238</v>
      </c>
      <c r="O727" s="5">
        <v>0</v>
      </c>
      <c r="P727" s="5">
        <v>1</v>
      </c>
      <c r="Q727" s="5">
        <v>1</v>
      </c>
      <c r="R727" s="5">
        <v>1</v>
      </c>
      <c r="S727" s="5">
        <v>1</v>
      </c>
      <c r="T727" s="5">
        <v>1</v>
      </c>
      <c r="U727" s="5">
        <v>1</v>
      </c>
      <c r="V727" s="13">
        <v>2.5</v>
      </c>
      <c r="W727" s="13" t="s">
        <v>25</v>
      </c>
      <c r="X727" s="5"/>
      <c r="Y727" s="5"/>
      <c r="Z727" s="5"/>
      <c r="AA727" s="5">
        <v>0</v>
      </c>
      <c r="AB727" s="5"/>
      <c r="AC727" s="5">
        <v>0</v>
      </c>
      <c r="AD727" s="5">
        <v>0</v>
      </c>
      <c r="AE727" s="5">
        <v>0</v>
      </c>
      <c r="AF727" s="5">
        <v>0</v>
      </c>
    </row>
    <row r="728" spans="1:32" x14ac:dyDescent="0.2">
      <c r="A728" s="3" t="str">
        <f>+VLOOKUP(B728,studies!$A$2:$C$102,3)</f>
        <v>Greenstone et al. (2013)</v>
      </c>
      <c r="B728" s="87">
        <v>87</v>
      </c>
      <c r="C728" s="5">
        <v>2013</v>
      </c>
      <c r="D728" s="5">
        <v>1</v>
      </c>
      <c r="E728" s="5">
        <v>2007</v>
      </c>
      <c r="F728" s="5">
        <v>2010</v>
      </c>
      <c r="G728" s="113">
        <v>2.1276595744680851E-2</v>
      </c>
      <c r="H728" s="7">
        <v>99.779394999495594</v>
      </c>
      <c r="I728" s="5">
        <v>1</v>
      </c>
      <c r="J728" s="5">
        <v>0</v>
      </c>
      <c r="K728" s="5">
        <v>0</v>
      </c>
      <c r="L728" s="7" t="s">
        <v>238</v>
      </c>
      <c r="M728" s="7" t="s">
        <v>238</v>
      </c>
      <c r="N728" s="7" t="s">
        <v>238</v>
      </c>
      <c r="O728" s="5">
        <v>0</v>
      </c>
      <c r="P728" s="5">
        <v>1</v>
      </c>
      <c r="Q728" s="5">
        <v>1</v>
      </c>
      <c r="R728" s="5">
        <v>1</v>
      </c>
      <c r="S728" s="5">
        <v>1</v>
      </c>
      <c r="T728" s="5">
        <v>1</v>
      </c>
      <c r="U728" s="5">
        <v>1</v>
      </c>
      <c r="V728" s="13">
        <v>2.5</v>
      </c>
      <c r="W728" s="13" t="s">
        <v>25</v>
      </c>
      <c r="X728" s="5"/>
      <c r="Y728" s="5"/>
      <c r="Z728" s="5"/>
      <c r="AA728" s="5">
        <v>0</v>
      </c>
      <c r="AB728" s="5"/>
      <c r="AC728" s="5">
        <v>0</v>
      </c>
      <c r="AD728" s="5">
        <v>0</v>
      </c>
      <c r="AE728" s="5">
        <v>0</v>
      </c>
      <c r="AF728" s="5">
        <v>0</v>
      </c>
    </row>
    <row r="729" spans="1:32" x14ac:dyDescent="0.2">
      <c r="A729" s="3" t="str">
        <f>+VLOOKUP(B729,studies!$A$2:$C$102,3)</f>
        <v>Greenstone et al. (2013)</v>
      </c>
      <c r="B729" s="87">
        <v>87</v>
      </c>
      <c r="C729" s="5">
        <v>2013</v>
      </c>
      <c r="D729" s="5">
        <v>1</v>
      </c>
      <c r="E729" s="5">
        <v>2007</v>
      </c>
      <c r="F729" s="5">
        <v>2015</v>
      </c>
      <c r="G729" s="113">
        <v>2.1276595744680851E-2</v>
      </c>
      <c r="H729" s="7">
        <v>21.979967396861223</v>
      </c>
      <c r="I729" s="5">
        <v>1</v>
      </c>
      <c r="J729" s="5">
        <v>0</v>
      </c>
      <c r="K729" s="5">
        <v>0</v>
      </c>
      <c r="L729" s="7" t="s">
        <v>238</v>
      </c>
      <c r="M729" s="7" t="s">
        <v>238</v>
      </c>
      <c r="N729" s="7" t="s">
        <v>238</v>
      </c>
      <c r="O729" s="5">
        <v>0</v>
      </c>
      <c r="P729" s="5">
        <v>1</v>
      </c>
      <c r="Q729" s="5">
        <v>1</v>
      </c>
      <c r="R729" s="5">
        <v>1</v>
      </c>
      <c r="S729" s="5">
        <v>1</v>
      </c>
      <c r="T729" s="5">
        <v>1</v>
      </c>
      <c r="U729" s="5">
        <v>1</v>
      </c>
      <c r="V729" s="13">
        <v>5</v>
      </c>
      <c r="W729" s="13" t="s">
        <v>25</v>
      </c>
      <c r="X729" s="5"/>
      <c r="Y729" s="5"/>
      <c r="Z729" s="5"/>
      <c r="AA729" s="5">
        <v>0</v>
      </c>
      <c r="AB729" s="5"/>
      <c r="AC729" s="5">
        <v>0</v>
      </c>
      <c r="AD729" s="5">
        <v>0</v>
      </c>
      <c r="AE729" s="5">
        <v>0</v>
      </c>
      <c r="AF729" s="5">
        <v>0</v>
      </c>
    </row>
    <row r="730" spans="1:32" x14ac:dyDescent="0.2">
      <c r="A730" s="3" t="str">
        <f>+VLOOKUP(B730,studies!$A$2:$C$102,3)</f>
        <v>Greenstone et al. (2013)</v>
      </c>
      <c r="B730" s="87">
        <v>87</v>
      </c>
      <c r="C730" s="5">
        <v>2013</v>
      </c>
      <c r="D730" s="5">
        <v>1</v>
      </c>
      <c r="E730" s="5">
        <v>2007</v>
      </c>
      <c r="F730" s="5">
        <v>2015</v>
      </c>
      <c r="G730" s="113">
        <v>2.1276595744680851E-2</v>
      </c>
      <c r="H730" s="7">
        <v>91.77600421847319</v>
      </c>
      <c r="I730" s="5">
        <v>1</v>
      </c>
      <c r="J730" s="5">
        <v>0</v>
      </c>
      <c r="K730" s="5">
        <v>0</v>
      </c>
      <c r="L730" s="7" t="s">
        <v>238</v>
      </c>
      <c r="M730" s="7">
        <v>96.40336577570713</v>
      </c>
      <c r="N730" s="7">
        <v>96.40336577570713</v>
      </c>
      <c r="O730" s="5">
        <v>0</v>
      </c>
      <c r="P730" s="5">
        <v>1</v>
      </c>
      <c r="Q730" s="5">
        <v>1</v>
      </c>
      <c r="R730" s="5">
        <v>1</v>
      </c>
      <c r="S730" s="5">
        <v>1</v>
      </c>
      <c r="T730" s="5">
        <v>1</v>
      </c>
      <c r="U730" s="5">
        <v>1</v>
      </c>
      <c r="V730" s="13">
        <v>3</v>
      </c>
      <c r="W730" s="13" t="s">
        <v>25</v>
      </c>
      <c r="X730" s="5"/>
      <c r="Y730" s="5"/>
      <c r="Z730" s="5"/>
      <c r="AA730" s="5">
        <v>0</v>
      </c>
      <c r="AB730" s="5"/>
      <c r="AC730" s="5">
        <v>0</v>
      </c>
      <c r="AD730" s="5">
        <v>0</v>
      </c>
      <c r="AE730" s="5">
        <v>0</v>
      </c>
      <c r="AF730" s="5">
        <v>0</v>
      </c>
    </row>
    <row r="731" spans="1:32" x14ac:dyDescent="0.2">
      <c r="A731" s="3" t="str">
        <f>+VLOOKUP(B731,studies!$A$2:$C$102,3)</f>
        <v>Greenstone et al. (2013)</v>
      </c>
      <c r="B731" s="87">
        <v>87</v>
      </c>
      <c r="C731" s="5">
        <v>2013</v>
      </c>
      <c r="D731" s="5">
        <v>1</v>
      </c>
      <c r="E731" s="5">
        <v>2007</v>
      </c>
      <c r="F731" s="5">
        <v>2015</v>
      </c>
      <c r="G731" s="113">
        <v>2.1276595744680851E-2</v>
      </c>
      <c r="H731" s="7">
        <v>148.07556983148612</v>
      </c>
      <c r="I731" s="5">
        <v>1</v>
      </c>
      <c r="J731" s="5">
        <v>0</v>
      </c>
      <c r="K731" s="5">
        <v>0</v>
      </c>
      <c r="L731" s="7" t="s">
        <v>238</v>
      </c>
      <c r="M731" s="7" t="s">
        <v>238</v>
      </c>
      <c r="N731" s="7" t="s">
        <v>238</v>
      </c>
      <c r="O731" s="5">
        <v>0</v>
      </c>
      <c r="P731" s="5">
        <v>1</v>
      </c>
      <c r="Q731" s="5">
        <v>1</v>
      </c>
      <c r="R731" s="5">
        <v>1</v>
      </c>
      <c r="S731" s="5">
        <v>1</v>
      </c>
      <c r="T731" s="5">
        <v>1</v>
      </c>
      <c r="U731" s="5">
        <v>1</v>
      </c>
      <c r="V731" s="13">
        <v>2.5</v>
      </c>
      <c r="W731" s="13" t="s">
        <v>25</v>
      </c>
      <c r="X731" s="5"/>
      <c r="Y731" s="5"/>
      <c r="Z731" s="5"/>
      <c r="AA731" s="5">
        <v>0</v>
      </c>
      <c r="AB731" s="5"/>
      <c r="AC731" s="5">
        <v>0</v>
      </c>
      <c r="AD731" s="5">
        <v>0</v>
      </c>
      <c r="AE731" s="5">
        <v>0</v>
      </c>
      <c r="AF731" s="5">
        <v>0</v>
      </c>
    </row>
    <row r="732" spans="1:32" x14ac:dyDescent="0.2">
      <c r="A732" s="3" t="str">
        <f>+VLOOKUP(B732,studies!$A$2:$C$102,3)</f>
        <v>Hwang et al. (2013)</v>
      </c>
      <c r="B732" s="87">
        <v>88</v>
      </c>
      <c r="C732" s="5">
        <v>2013</v>
      </c>
      <c r="D732" s="5">
        <v>1</v>
      </c>
      <c r="E732" s="5">
        <v>2005</v>
      </c>
      <c r="F732" s="5">
        <v>2005</v>
      </c>
      <c r="G732" s="113">
        <v>8.3333333333333329E-2</v>
      </c>
      <c r="H732" s="7">
        <v>48.538593034519891</v>
      </c>
      <c r="I732" s="5">
        <v>0</v>
      </c>
      <c r="J732" s="5">
        <v>1</v>
      </c>
      <c r="K732" s="5">
        <v>0</v>
      </c>
      <c r="L732" s="7"/>
      <c r="M732" s="102"/>
      <c r="N732" s="102"/>
      <c r="O732" s="5">
        <v>1</v>
      </c>
      <c r="P732" s="5">
        <v>1</v>
      </c>
      <c r="Q732" s="5">
        <v>0</v>
      </c>
      <c r="R732" s="5">
        <v>1</v>
      </c>
      <c r="S732" s="5">
        <v>0</v>
      </c>
      <c r="T732" s="5">
        <v>1</v>
      </c>
      <c r="U732" s="5">
        <v>0</v>
      </c>
      <c r="V732" s="13"/>
      <c r="W732" s="13"/>
      <c r="X732" s="3"/>
      <c r="Y732" s="3">
        <v>0</v>
      </c>
      <c r="Z732" s="3"/>
      <c r="AA732" s="5">
        <v>0</v>
      </c>
      <c r="AB732" s="5"/>
      <c r="AC732" s="5">
        <v>0</v>
      </c>
      <c r="AD732" s="5">
        <v>0</v>
      </c>
      <c r="AE732" s="5">
        <v>1</v>
      </c>
      <c r="AF732" s="5">
        <v>0</v>
      </c>
    </row>
    <row r="733" spans="1:32" x14ac:dyDescent="0.2">
      <c r="A733" s="3" t="str">
        <f>+VLOOKUP(B733,studies!$A$2:$C$102,3)</f>
        <v>Hwang et al. (2013)</v>
      </c>
      <c r="B733" s="87">
        <v>88</v>
      </c>
      <c r="C733" s="5">
        <v>2013</v>
      </c>
      <c r="D733" s="5">
        <v>1</v>
      </c>
      <c r="E733" s="5">
        <v>2005</v>
      </c>
      <c r="F733" s="5">
        <v>2005</v>
      </c>
      <c r="G733" s="113">
        <v>8.3333333333333329E-2</v>
      </c>
      <c r="H733" s="7">
        <v>51.572255099177383</v>
      </c>
      <c r="I733" s="5">
        <v>0</v>
      </c>
      <c r="J733" s="5">
        <v>1</v>
      </c>
      <c r="K733" s="5">
        <v>0</v>
      </c>
      <c r="L733" s="7"/>
      <c r="M733" s="102"/>
      <c r="N733" s="102"/>
      <c r="O733" s="5">
        <v>1</v>
      </c>
      <c r="P733" s="5">
        <v>1</v>
      </c>
      <c r="Q733" s="5">
        <v>0</v>
      </c>
      <c r="R733" s="5">
        <v>1</v>
      </c>
      <c r="S733" s="5">
        <v>0</v>
      </c>
      <c r="T733" s="5">
        <v>1</v>
      </c>
      <c r="U733" s="5">
        <v>0</v>
      </c>
      <c r="V733" s="13"/>
      <c r="W733" s="13"/>
      <c r="X733" s="3"/>
      <c r="Y733" s="3">
        <v>4</v>
      </c>
      <c r="Z733" s="3"/>
      <c r="AA733" s="5">
        <v>0</v>
      </c>
      <c r="AB733" s="5"/>
      <c r="AC733" s="5">
        <v>0</v>
      </c>
      <c r="AD733" s="5">
        <v>0</v>
      </c>
      <c r="AE733" s="5">
        <v>1</v>
      </c>
      <c r="AF733" s="5">
        <v>0</v>
      </c>
    </row>
    <row r="734" spans="1:32" x14ac:dyDescent="0.2">
      <c r="A734" s="3" t="str">
        <f>+VLOOKUP(B734,studies!$A$2:$C$102,3)</f>
        <v>Hwang et al. (2013)</v>
      </c>
      <c r="B734" s="87">
        <v>88</v>
      </c>
      <c r="C734" s="5">
        <v>2013</v>
      </c>
      <c r="D734" s="5">
        <v>1</v>
      </c>
      <c r="E734" s="5">
        <v>2005</v>
      </c>
      <c r="F734" s="5">
        <v>2005</v>
      </c>
      <c r="G734" s="113">
        <v>8.3333333333333329E-2</v>
      </c>
      <c r="H734" s="7">
        <v>63.706903357807356</v>
      </c>
      <c r="I734" s="5">
        <v>0</v>
      </c>
      <c r="J734" s="5">
        <v>1</v>
      </c>
      <c r="K734" s="5">
        <v>0</v>
      </c>
      <c r="L734" s="7"/>
      <c r="M734" s="102"/>
      <c r="N734" s="102"/>
      <c r="O734" s="5">
        <v>1</v>
      </c>
      <c r="P734" s="5">
        <v>1</v>
      </c>
      <c r="Q734" s="5">
        <v>0</v>
      </c>
      <c r="R734" s="5">
        <v>1</v>
      </c>
      <c r="S734" s="5">
        <v>0</v>
      </c>
      <c r="T734" s="5">
        <v>1</v>
      </c>
      <c r="U734" s="5">
        <v>0</v>
      </c>
      <c r="V734" s="13"/>
      <c r="W734" s="13"/>
      <c r="X734" s="3"/>
      <c r="Y734" s="3">
        <v>0.2</v>
      </c>
      <c r="Z734" s="3"/>
      <c r="AA734" s="5">
        <v>0</v>
      </c>
      <c r="AB734" s="5"/>
      <c r="AC734" s="5">
        <v>0</v>
      </c>
      <c r="AD734" s="5">
        <v>0</v>
      </c>
      <c r="AE734" s="5">
        <v>1</v>
      </c>
      <c r="AF734" s="5">
        <v>0</v>
      </c>
    </row>
    <row r="735" spans="1:32" x14ac:dyDescent="0.2">
      <c r="A735" s="3" t="str">
        <f>+VLOOKUP(B735,studies!$A$2:$C$102,3)</f>
        <v>Hwang et al. (2013)</v>
      </c>
      <c r="B735" s="87">
        <v>88</v>
      </c>
      <c r="C735" s="5">
        <v>2013</v>
      </c>
      <c r="D735" s="5">
        <v>1</v>
      </c>
      <c r="E735" s="5">
        <v>2005</v>
      </c>
      <c r="F735" s="5">
        <v>2005</v>
      </c>
      <c r="G735" s="113">
        <v>8.3333333333333329E-2</v>
      </c>
      <c r="H735" s="7">
        <v>81.908875745752312</v>
      </c>
      <c r="I735" s="5">
        <v>0</v>
      </c>
      <c r="J735" s="5">
        <v>1</v>
      </c>
      <c r="K735" s="5">
        <v>0</v>
      </c>
      <c r="L735" s="7"/>
      <c r="M735" s="102"/>
      <c r="N735" s="102"/>
      <c r="O735" s="5">
        <v>1</v>
      </c>
      <c r="P735" s="5">
        <v>1</v>
      </c>
      <c r="Q735" s="5">
        <v>0</v>
      </c>
      <c r="R735" s="5">
        <v>1</v>
      </c>
      <c r="S735" s="5">
        <v>0</v>
      </c>
      <c r="T735" s="5">
        <v>1</v>
      </c>
      <c r="U735" s="5">
        <v>0</v>
      </c>
      <c r="V735" s="13"/>
      <c r="W735" s="13"/>
      <c r="X735" s="3"/>
      <c r="Y735" s="3">
        <v>2.2000000000000002</v>
      </c>
      <c r="Z735" s="3"/>
      <c r="AA735" s="5">
        <v>0</v>
      </c>
      <c r="AB735" s="5"/>
      <c r="AC735" s="5">
        <v>0</v>
      </c>
      <c r="AD735" s="5">
        <v>0</v>
      </c>
      <c r="AE735" s="5">
        <v>1</v>
      </c>
      <c r="AF735" s="5">
        <v>0</v>
      </c>
    </row>
    <row r="736" spans="1:32" x14ac:dyDescent="0.2">
      <c r="A736" s="3" t="str">
        <f>+VLOOKUP(B736,studies!$A$2:$C$102,3)</f>
        <v>Hwang et al. (2013)</v>
      </c>
      <c r="B736" s="87">
        <v>88</v>
      </c>
      <c r="C736" s="5">
        <v>2013</v>
      </c>
      <c r="D736" s="5">
        <v>1</v>
      </c>
      <c r="E736" s="5">
        <v>2005</v>
      </c>
      <c r="F736" s="5">
        <v>2005</v>
      </c>
      <c r="G736" s="113">
        <v>8.3333333333333329E-2</v>
      </c>
      <c r="H736" s="7">
        <v>479.3186062158839</v>
      </c>
      <c r="I736" s="5">
        <v>0</v>
      </c>
      <c r="J736" s="5">
        <v>1</v>
      </c>
      <c r="K736" s="5">
        <v>0</v>
      </c>
      <c r="L736" s="7"/>
      <c r="M736" s="102"/>
      <c r="N736" s="102"/>
      <c r="O736" s="5">
        <v>1</v>
      </c>
      <c r="P736" s="5">
        <v>1</v>
      </c>
      <c r="Q736" s="5">
        <v>0</v>
      </c>
      <c r="R736" s="5">
        <v>1</v>
      </c>
      <c r="S736" s="5">
        <v>0</v>
      </c>
      <c r="T736" s="5">
        <v>1</v>
      </c>
      <c r="U736" s="5">
        <v>0</v>
      </c>
      <c r="V736" s="13"/>
      <c r="W736" s="13">
        <v>0</v>
      </c>
      <c r="X736" s="5"/>
      <c r="Y736" s="5"/>
      <c r="Z736" s="5"/>
      <c r="AA736" s="5">
        <v>0</v>
      </c>
      <c r="AB736" s="5"/>
      <c r="AC736" s="5">
        <v>0</v>
      </c>
      <c r="AD736" s="5">
        <v>0</v>
      </c>
      <c r="AE736" s="5">
        <v>1</v>
      </c>
      <c r="AF736" s="5">
        <v>0</v>
      </c>
    </row>
    <row r="737" spans="1:32" x14ac:dyDescent="0.2">
      <c r="A737" s="3" t="str">
        <f>+VLOOKUP(B737,studies!$A$2:$C$102,3)</f>
        <v>Hwang et al. (2013)</v>
      </c>
      <c r="B737" s="87">
        <v>88</v>
      </c>
      <c r="C737" s="5">
        <v>2013</v>
      </c>
      <c r="D737" s="5">
        <v>1</v>
      </c>
      <c r="E737" s="5">
        <v>2005</v>
      </c>
      <c r="F737" s="5">
        <v>2005</v>
      </c>
      <c r="G737" s="113">
        <v>8.3333333333333329E-2</v>
      </c>
      <c r="H737" s="7">
        <v>215.39000659068202</v>
      </c>
      <c r="I737" s="5">
        <v>0</v>
      </c>
      <c r="J737" s="5">
        <v>1</v>
      </c>
      <c r="K737" s="5">
        <v>0</v>
      </c>
      <c r="L737" s="7"/>
      <c r="M737" s="102"/>
      <c r="N737" s="102"/>
      <c r="O737" s="5">
        <v>1</v>
      </c>
      <c r="P737" s="5">
        <v>1</v>
      </c>
      <c r="Q737" s="5">
        <v>0</v>
      </c>
      <c r="R737" s="5">
        <v>1</v>
      </c>
      <c r="S737" s="5">
        <v>0</v>
      </c>
      <c r="T737" s="5">
        <v>1</v>
      </c>
      <c r="U737" s="5">
        <v>0</v>
      </c>
      <c r="V737" s="13"/>
      <c r="W737" s="13">
        <v>1</v>
      </c>
      <c r="X737" s="5"/>
      <c r="Y737" s="5"/>
      <c r="Z737" s="5"/>
      <c r="AA737" s="5">
        <v>0</v>
      </c>
      <c r="AB737" s="5"/>
      <c r="AC737" s="5">
        <v>0</v>
      </c>
      <c r="AD737" s="5">
        <v>0</v>
      </c>
      <c r="AE737" s="5">
        <v>1</v>
      </c>
      <c r="AF737" s="5">
        <v>0</v>
      </c>
    </row>
    <row r="738" spans="1:32" x14ac:dyDescent="0.2">
      <c r="A738" s="3" t="str">
        <f>+VLOOKUP(B738,studies!$A$2:$C$102,3)</f>
        <v>Hwang et al. (2013)</v>
      </c>
      <c r="B738" s="87">
        <v>88</v>
      </c>
      <c r="C738" s="5">
        <v>2013</v>
      </c>
      <c r="D738" s="5">
        <v>1</v>
      </c>
      <c r="E738" s="5">
        <v>2005</v>
      </c>
      <c r="F738" s="5">
        <v>2005</v>
      </c>
      <c r="G738" s="113">
        <v>8.3333333333333329E-2</v>
      </c>
      <c r="H738" s="7">
        <v>122.86331361862848</v>
      </c>
      <c r="I738" s="5">
        <v>0</v>
      </c>
      <c r="J738" s="5">
        <v>1</v>
      </c>
      <c r="K738" s="5">
        <v>0</v>
      </c>
      <c r="L738" s="7"/>
      <c r="M738" s="102"/>
      <c r="N738" s="102"/>
      <c r="O738" s="5">
        <v>1</v>
      </c>
      <c r="P738" s="5">
        <v>1</v>
      </c>
      <c r="Q738" s="5">
        <v>0</v>
      </c>
      <c r="R738" s="5">
        <v>1</v>
      </c>
      <c r="S738" s="5">
        <v>0</v>
      </c>
      <c r="T738" s="5">
        <v>1</v>
      </c>
      <c r="U738" s="5">
        <v>0</v>
      </c>
      <c r="V738" s="13"/>
      <c r="W738" s="13">
        <v>2</v>
      </c>
      <c r="X738" s="5"/>
      <c r="Y738" s="5"/>
      <c r="Z738" s="5"/>
      <c r="AA738" s="5">
        <v>0</v>
      </c>
      <c r="AB738" s="5"/>
      <c r="AC738" s="5">
        <v>0</v>
      </c>
      <c r="AD738" s="5">
        <v>0</v>
      </c>
      <c r="AE738" s="5">
        <v>1</v>
      </c>
      <c r="AF738" s="5">
        <v>0</v>
      </c>
    </row>
    <row r="739" spans="1:32" x14ac:dyDescent="0.2">
      <c r="A739" s="3" t="str">
        <f>+VLOOKUP(B739,studies!$A$2:$C$102,3)</f>
        <v>Hwang et al. (2013)</v>
      </c>
      <c r="B739" s="87">
        <v>88</v>
      </c>
      <c r="C739" s="5">
        <v>2013</v>
      </c>
      <c r="D739" s="5">
        <v>1</v>
      </c>
      <c r="E739" s="5">
        <v>2005</v>
      </c>
      <c r="F739" s="5">
        <v>2005</v>
      </c>
      <c r="G739" s="113">
        <v>8.3333333333333329E-2</v>
      </c>
      <c r="H739" s="7">
        <v>78.87521368109482</v>
      </c>
      <c r="I739" s="5">
        <v>0</v>
      </c>
      <c r="J739" s="5">
        <v>1</v>
      </c>
      <c r="K739" s="5">
        <v>0</v>
      </c>
      <c r="L739" s="7"/>
      <c r="M739" s="102"/>
      <c r="N739" s="102"/>
      <c r="O739" s="5">
        <v>1</v>
      </c>
      <c r="P739" s="5">
        <v>1</v>
      </c>
      <c r="Q739" s="5">
        <v>0</v>
      </c>
      <c r="R739" s="5">
        <v>1</v>
      </c>
      <c r="S739" s="5">
        <v>0</v>
      </c>
      <c r="T739" s="5">
        <v>1</v>
      </c>
      <c r="U739" s="5">
        <v>0</v>
      </c>
      <c r="V739" s="13"/>
      <c r="W739" s="13">
        <v>3</v>
      </c>
      <c r="X739" s="5"/>
      <c r="Y739" s="5"/>
      <c r="Z739" s="5"/>
      <c r="AA739" s="5">
        <v>0</v>
      </c>
      <c r="AB739" s="5"/>
      <c r="AC739" s="5">
        <v>0</v>
      </c>
      <c r="AD739" s="5">
        <v>0</v>
      </c>
      <c r="AE739" s="5">
        <v>1</v>
      </c>
      <c r="AF739" s="5">
        <v>0</v>
      </c>
    </row>
    <row r="740" spans="1:32" x14ac:dyDescent="0.2">
      <c r="A740" s="3" t="str">
        <f>+VLOOKUP(B740,studies!$A$2:$C$102,3)</f>
        <v>Hwang et al. (2013)</v>
      </c>
      <c r="B740" s="87">
        <v>88</v>
      </c>
      <c r="C740" s="5">
        <v>2013</v>
      </c>
      <c r="D740" s="5">
        <v>1</v>
      </c>
      <c r="E740" s="5">
        <v>2005</v>
      </c>
      <c r="F740" s="5">
        <v>2005</v>
      </c>
      <c r="G740" s="113">
        <v>8.3333333333333329E-2</v>
      </c>
      <c r="H740" s="7">
        <v>109.21183432766976</v>
      </c>
      <c r="I740" s="5">
        <v>0</v>
      </c>
      <c r="J740" s="5">
        <v>1</v>
      </c>
      <c r="K740" s="5">
        <v>0</v>
      </c>
      <c r="L740" s="7"/>
      <c r="M740" s="102"/>
      <c r="N740" s="102"/>
      <c r="O740" s="5">
        <v>1</v>
      </c>
      <c r="P740" s="5">
        <v>1</v>
      </c>
      <c r="Q740" s="5">
        <v>0</v>
      </c>
      <c r="R740" s="5">
        <v>1</v>
      </c>
      <c r="S740" s="5">
        <v>0</v>
      </c>
      <c r="T740" s="5">
        <v>1</v>
      </c>
      <c r="U740" s="5">
        <v>0</v>
      </c>
      <c r="V740" s="13"/>
      <c r="W740" s="13"/>
      <c r="X740" s="3">
        <v>1</v>
      </c>
      <c r="Y740" s="5"/>
      <c r="Z740" s="5"/>
      <c r="AA740" s="5">
        <v>0</v>
      </c>
      <c r="AB740" s="5"/>
      <c r="AC740" s="5">
        <v>0</v>
      </c>
      <c r="AD740" s="5">
        <v>0</v>
      </c>
      <c r="AE740" s="5">
        <v>1</v>
      </c>
      <c r="AF740" s="5">
        <v>0</v>
      </c>
    </row>
    <row r="741" spans="1:32" x14ac:dyDescent="0.2">
      <c r="A741" s="3" t="str">
        <f>+VLOOKUP(B741,studies!$A$2:$C$102,3)</f>
        <v>Hwang et al. (2013)</v>
      </c>
      <c r="B741" s="87">
        <v>88</v>
      </c>
      <c r="C741" s="5">
        <v>2013</v>
      </c>
      <c r="D741" s="5">
        <v>1</v>
      </c>
      <c r="E741" s="5">
        <v>2005</v>
      </c>
      <c r="F741" s="5">
        <v>2005</v>
      </c>
      <c r="G741" s="113">
        <v>8.3333333333333329E-2</v>
      </c>
      <c r="H741" s="7">
        <v>48.538593034519891</v>
      </c>
      <c r="I741" s="5">
        <v>0</v>
      </c>
      <c r="J741" s="5">
        <v>1</v>
      </c>
      <c r="K741" s="5">
        <v>0</v>
      </c>
      <c r="L741" s="7"/>
      <c r="M741" s="102"/>
      <c r="N741" s="102"/>
      <c r="O741" s="5">
        <v>1</v>
      </c>
      <c r="P741" s="5">
        <v>1</v>
      </c>
      <c r="Q741" s="5">
        <v>0</v>
      </c>
      <c r="R741" s="5">
        <v>1</v>
      </c>
      <c r="S741" s="5">
        <v>0</v>
      </c>
      <c r="T741" s="5">
        <v>1</v>
      </c>
      <c r="U741" s="5">
        <v>0</v>
      </c>
      <c r="V741" s="13"/>
      <c r="W741" s="13"/>
      <c r="X741" s="3">
        <v>2</v>
      </c>
      <c r="Y741" s="5"/>
      <c r="Z741" s="5"/>
      <c r="AA741" s="5">
        <v>0</v>
      </c>
      <c r="AB741" s="5"/>
      <c r="AC741" s="5">
        <v>0</v>
      </c>
      <c r="AD741" s="5">
        <v>0</v>
      </c>
      <c r="AE741" s="5">
        <v>1</v>
      </c>
      <c r="AF741" s="5">
        <v>0</v>
      </c>
    </row>
    <row r="742" spans="1:32" x14ac:dyDescent="0.2">
      <c r="A742" s="3" t="str">
        <f>+VLOOKUP(B742,studies!$A$2:$C$102,3)</f>
        <v>Hwang et al. (2013)</v>
      </c>
      <c r="B742" s="87">
        <v>88</v>
      </c>
      <c r="C742" s="5">
        <v>2013</v>
      </c>
      <c r="D742" s="5">
        <v>1</v>
      </c>
      <c r="E742" s="5">
        <v>2005</v>
      </c>
      <c r="F742" s="5">
        <v>2005</v>
      </c>
      <c r="G742" s="113">
        <v>8.3333333333333329E-2</v>
      </c>
      <c r="H742" s="7">
        <v>28.819789614246183</v>
      </c>
      <c r="I742" s="5">
        <v>0</v>
      </c>
      <c r="J742" s="5">
        <v>1</v>
      </c>
      <c r="K742" s="5">
        <v>0</v>
      </c>
      <c r="L742" s="7"/>
      <c r="M742" s="102"/>
      <c r="N742" s="102"/>
      <c r="O742" s="5">
        <v>1</v>
      </c>
      <c r="P742" s="5">
        <v>1</v>
      </c>
      <c r="Q742" s="5">
        <v>0</v>
      </c>
      <c r="R742" s="5">
        <v>1</v>
      </c>
      <c r="S742" s="5">
        <v>0</v>
      </c>
      <c r="T742" s="5">
        <v>1</v>
      </c>
      <c r="U742" s="5">
        <v>0</v>
      </c>
      <c r="V742" s="13"/>
      <c r="W742" s="13"/>
      <c r="X742" s="3">
        <v>3</v>
      </c>
      <c r="Y742" s="5"/>
      <c r="Z742" s="5"/>
      <c r="AA742" s="5">
        <v>0</v>
      </c>
      <c r="AB742" s="5"/>
      <c r="AC742" s="5">
        <v>0</v>
      </c>
      <c r="AD742" s="5">
        <v>0</v>
      </c>
      <c r="AE742" s="5">
        <v>1</v>
      </c>
      <c r="AF742" s="5">
        <v>0</v>
      </c>
    </row>
    <row r="743" spans="1:32" x14ac:dyDescent="0.2">
      <c r="A743" s="3" t="str">
        <f>+VLOOKUP(B743,studies!$A$2:$C$102,3)</f>
        <v>Hwang et al. (2013)</v>
      </c>
      <c r="B743" s="87">
        <v>88</v>
      </c>
      <c r="C743" s="5">
        <v>2013</v>
      </c>
      <c r="D743" s="5">
        <v>1</v>
      </c>
      <c r="E743" s="5">
        <v>2005</v>
      </c>
      <c r="F743" s="5">
        <v>2005</v>
      </c>
      <c r="G743" s="113">
        <v>8.3333333333333329E-2</v>
      </c>
      <c r="H743" s="7">
        <v>21.235634452602451</v>
      </c>
      <c r="I743" s="5">
        <v>0</v>
      </c>
      <c r="J743" s="5">
        <v>1</v>
      </c>
      <c r="K743" s="5">
        <v>0</v>
      </c>
      <c r="L743" s="7"/>
      <c r="M743" s="102"/>
      <c r="N743" s="102"/>
      <c r="O743" s="5">
        <v>1</v>
      </c>
      <c r="P743" s="5">
        <v>1</v>
      </c>
      <c r="Q743" s="5">
        <v>0</v>
      </c>
      <c r="R743" s="5">
        <v>1</v>
      </c>
      <c r="S743" s="5">
        <v>0</v>
      </c>
      <c r="T743" s="5">
        <v>1</v>
      </c>
      <c r="U743" s="5">
        <v>0</v>
      </c>
      <c r="V743" s="13"/>
      <c r="W743" s="13"/>
      <c r="X743" s="3">
        <v>4</v>
      </c>
      <c r="Y743" s="5"/>
      <c r="Z743" s="5"/>
      <c r="AA743" s="5">
        <v>0</v>
      </c>
      <c r="AB743" s="5"/>
      <c r="AC743" s="5">
        <v>0</v>
      </c>
      <c r="AD743" s="5">
        <v>0</v>
      </c>
      <c r="AE743" s="5">
        <v>1</v>
      </c>
      <c r="AF743" s="5">
        <v>0</v>
      </c>
    </row>
    <row r="744" spans="1:32" x14ac:dyDescent="0.2">
      <c r="A744" s="3" t="str">
        <f>+VLOOKUP(B744,studies!$A$2:$C$102,3)</f>
        <v>Jensen &amp; Traeger (2014b)</v>
      </c>
      <c r="B744" s="87">
        <v>89</v>
      </c>
      <c r="C744" s="5">
        <v>2013</v>
      </c>
      <c r="D744" s="5">
        <v>0</v>
      </c>
      <c r="E744" s="5">
        <v>2005</v>
      </c>
      <c r="F744" s="5">
        <v>2014</v>
      </c>
      <c r="G744" s="113">
        <v>1</v>
      </c>
      <c r="H744" s="7">
        <v>46.011974134695237</v>
      </c>
      <c r="I744" s="5">
        <v>0</v>
      </c>
      <c r="J744" s="5">
        <v>1</v>
      </c>
      <c r="K744" s="5">
        <v>0</v>
      </c>
      <c r="L744" s="7"/>
      <c r="M744" s="102"/>
      <c r="N744" s="102"/>
      <c r="O744" s="5">
        <v>1</v>
      </c>
      <c r="P744" s="5">
        <v>1</v>
      </c>
      <c r="Q744" s="5">
        <v>1</v>
      </c>
      <c r="R744" s="5">
        <v>1</v>
      </c>
      <c r="S744" s="5">
        <v>0</v>
      </c>
      <c r="T744" s="5">
        <v>1</v>
      </c>
      <c r="U744" s="5">
        <v>0</v>
      </c>
      <c r="V744" s="13"/>
      <c r="W744" s="13">
        <v>1.5</v>
      </c>
      <c r="X744" s="5">
        <v>2</v>
      </c>
      <c r="Y744" s="5"/>
      <c r="Z744" s="5"/>
      <c r="AA744" s="5">
        <v>0</v>
      </c>
      <c r="AB744" s="5">
        <v>3</v>
      </c>
      <c r="AC744" s="5">
        <v>0</v>
      </c>
      <c r="AD744" s="5">
        <v>0</v>
      </c>
      <c r="AE744" s="5">
        <v>0</v>
      </c>
      <c r="AF744" s="5">
        <v>1</v>
      </c>
    </row>
    <row r="745" spans="1:32" x14ac:dyDescent="0.2">
      <c r="A745" s="3" t="str">
        <f>+VLOOKUP(B745,studies!$A$2:$C$102,3)</f>
        <v>Lintunen &amp; Vilmi (2013)</v>
      </c>
      <c r="B745" s="87">
        <v>90</v>
      </c>
      <c r="C745" s="5">
        <v>2013</v>
      </c>
      <c r="D745" s="5">
        <v>0</v>
      </c>
      <c r="E745" s="5">
        <v>2010</v>
      </c>
      <c r="F745" s="5">
        <v>2013</v>
      </c>
      <c r="G745" s="113">
        <v>1</v>
      </c>
      <c r="H745" s="7">
        <v>116.56197575383956</v>
      </c>
      <c r="I745" s="5">
        <v>0</v>
      </c>
      <c r="J745" s="5">
        <v>1</v>
      </c>
      <c r="K745" s="5">
        <v>0</v>
      </c>
      <c r="L745" s="7"/>
      <c r="M745" s="102"/>
      <c r="N745" s="102"/>
      <c r="O745" s="5">
        <v>1</v>
      </c>
      <c r="P745" s="5">
        <v>1</v>
      </c>
      <c r="Q745" s="5">
        <v>1</v>
      </c>
      <c r="R745" s="5">
        <v>0</v>
      </c>
      <c r="S745" s="5">
        <v>0</v>
      </c>
      <c r="T745" s="5">
        <v>0</v>
      </c>
      <c r="U745" s="5">
        <v>0</v>
      </c>
      <c r="V745" s="13"/>
      <c r="W745" s="13">
        <v>0.995</v>
      </c>
      <c r="X745" s="5"/>
      <c r="Y745" s="5"/>
      <c r="Z745" s="3">
        <v>1</v>
      </c>
      <c r="AA745" s="5">
        <v>0</v>
      </c>
      <c r="AB745" s="5">
        <v>3</v>
      </c>
      <c r="AC745" s="5">
        <v>0</v>
      </c>
      <c r="AD745" s="5">
        <v>0</v>
      </c>
      <c r="AE745" s="5">
        <v>0</v>
      </c>
      <c r="AF745" s="5">
        <v>1</v>
      </c>
    </row>
    <row r="746" spans="1:32" x14ac:dyDescent="0.2">
      <c r="A746" s="3" t="str">
        <f>+VLOOKUP(B746,studies!$A$2:$C$102,3)</f>
        <v>Moyer et al. (2013)</v>
      </c>
      <c r="B746" s="87">
        <v>91</v>
      </c>
      <c r="C746" s="5">
        <v>2013</v>
      </c>
      <c r="D746" s="5">
        <v>0</v>
      </c>
      <c r="E746" s="5">
        <v>2007</v>
      </c>
      <c r="F746" s="5">
        <v>2010</v>
      </c>
      <c r="G746" s="113">
        <v>0.5</v>
      </c>
      <c r="H746" s="7">
        <v>71.91307747711393</v>
      </c>
      <c r="I746" s="5">
        <v>0</v>
      </c>
      <c r="J746" s="5">
        <v>1</v>
      </c>
      <c r="K746" s="5">
        <v>0</v>
      </c>
      <c r="L746" s="7"/>
      <c r="M746" s="102"/>
      <c r="N746" s="102"/>
      <c r="O746" s="5">
        <v>0</v>
      </c>
      <c r="P746" s="5">
        <v>1</v>
      </c>
      <c r="Q746" s="5">
        <v>0</v>
      </c>
      <c r="R746" s="5">
        <v>1</v>
      </c>
      <c r="S746" s="5">
        <v>0</v>
      </c>
      <c r="T746" s="5">
        <v>1</v>
      </c>
      <c r="U746" s="5">
        <v>0</v>
      </c>
      <c r="V746" s="13"/>
      <c r="W746" s="13">
        <v>1</v>
      </c>
      <c r="X746" s="5">
        <v>2</v>
      </c>
      <c r="Y746" s="5"/>
      <c r="Z746" s="3"/>
      <c r="AA746" s="5">
        <v>0</v>
      </c>
      <c r="AB746" s="5"/>
      <c r="AC746" s="5">
        <v>0</v>
      </c>
      <c r="AD746" s="5">
        <v>0</v>
      </c>
      <c r="AE746" s="5">
        <v>0</v>
      </c>
      <c r="AF746" s="5">
        <v>0</v>
      </c>
    </row>
    <row r="747" spans="1:32" x14ac:dyDescent="0.2">
      <c r="A747" s="3" t="str">
        <f>+VLOOKUP(B747,studies!$A$2:$C$102,3)</f>
        <v>Moyer et al. (2013)</v>
      </c>
      <c r="B747" s="87">
        <v>91</v>
      </c>
      <c r="C747" s="5">
        <v>2013</v>
      </c>
      <c r="D747" s="5">
        <v>0</v>
      </c>
      <c r="E747" s="5">
        <v>2007</v>
      </c>
      <c r="F747" s="5">
        <v>2010</v>
      </c>
      <c r="G747" s="113">
        <v>0.5</v>
      </c>
      <c r="H747" s="7">
        <v>943.85914188712047</v>
      </c>
      <c r="I747" s="5">
        <v>0</v>
      </c>
      <c r="J747" s="5">
        <v>1</v>
      </c>
      <c r="K747" s="5">
        <v>0</v>
      </c>
      <c r="L747" s="7"/>
      <c r="M747" s="102"/>
      <c r="N747" s="102"/>
      <c r="O747" s="5">
        <v>0</v>
      </c>
      <c r="P747" s="5">
        <v>1</v>
      </c>
      <c r="Q747" s="5">
        <v>0</v>
      </c>
      <c r="R747" s="5">
        <v>1</v>
      </c>
      <c r="S747" s="5">
        <v>0</v>
      </c>
      <c r="T747" s="5">
        <v>1</v>
      </c>
      <c r="U747" s="5">
        <v>0</v>
      </c>
      <c r="V747" s="13"/>
      <c r="W747" s="13">
        <v>0.1</v>
      </c>
      <c r="X747" s="5">
        <v>1</v>
      </c>
      <c r="Y747" s="5"/>
      <c r="Z747" s="3"/>
      <c r="AA747" s="5">
        <v>0</v>
      </c>
      <c r="AB747" s="5"/>
      <c r="AC747" s="5">
        <v>0</v>
      </c>
      <c r="AD747" s="5">
        <v>0</v>
      </c>
      <c r="AE747" s="5">
        <v>0</v>
      </c>
      <c r="AF747" s="5">
        <v>0</v>
      </c>
    </row>
    <row r="748" spans="1:32" x14ac:dyDescent="0.2">
      <c r="A748" s="3" t="str">
        <f>+VLOOKUP(B748,studies!$A$2:$C$102,3)</f>
        <v>Newbold et al. (2013)</v>
      </c>
      <c r="B748" s="87">
        <v>92</v>
      </c>
      <c r="C748" s="5">
        <v>2013</v>
      </c>
      <c r="D748" s="5">
        <v>1</v>
      </c>
      <c r="E748" s="5">
        <v>2005</v>
      </c>
      <c r="F748" s="5">
        <v>2015</v>
      </c>
      <c r="G748" s="113">
        <v>0.33333333333333331</v>
      </c>
      <c r="H748" s="7">
        <v>61.408499743983612</v>
      </c>
      <c r="I748" s="5">
        <v>0</v>
      </c>
      <c r="J748" s="5">
        <v>0</v>
      </c>
      <c r="K748" s="5">
        <v>1</v>
      </c>
      <c r="L748" s="7"/>
      <c r="M748" s="102"/>
      <c r="N748" s="102"/>
      <c r="O748" s="5">
        <v>1</v>
      </c>
      <c r="P748" s="5">
        <v>1</v>
      </c>
      <c r="Q748" s="5">
        <v>1</v>
      </c>
      <c r="R748" s="5">
        <v>1</v>
      </c>
      <c r="S748" s="5">
        <v>0</v>
      </c>
      <c r="T748" s="5">
        <v>0</v>
      </c>
      <c r="U748" s="5">
        <v>0</v>
      </c>
      <c r="V748" s="13">
        <v>4.7</v>
      </c>
      <c r="W748" s="13">
        <v>1.34</v>
      </c>
      <c r="X748" s="3">
        <v>1.71</v>
      </c>
      <c r="Y748" s="5"/>
      <c r="Z748" s="5"/>
      <c r="AA748" s="5">
        <v>0</v>
      </c>
      <c r="AB748" s="5"/>
      <c r="AC748" s="5">
        <v>0</v>
      </c>
      <c r="AD748" s="5">
        <v>0</v>
      </c>
      <c r="AE748" s="5">
        <v>0</v>
      </c>
      <c r="AF748" s="5">
        <v>0</v>
      </c>
    </row>
    <row r="749" spans="1:32" x14ac:dyDescent="0.2">
      <c r="A749" s="3" t="str">
        <f>+VLOOKUP(B749,studies!$A$2:$C$102,3)</f>
        <v>Newbold et al. (2013)</v>
      </c>
      <c r="B749" s="87">
        <v>92</v>
      </c>
      <c r="C749" s="5">
        <v>2013</v>
      </c>
      <c r="D749" s="5">
        <v>1</v>
      </c>
      <c r="E749" s="5">
        <v>2005</v>
      </c>
      <c r="F749" s="5">
        <v>2015</v>
      </c>
      <c r="G749" s="113">
        <v>0.33333333333333331</v>
      </c>
      <c r="H749" s="7">
        <v>17.417683563748078</v>
      </c>
      <c r="I749" s="5">
        <v>0</v>
      </c>
      <c r="J749" s="5">
        <v>0</v>
      </c>
      <c r="K749" s="5">
        <v>1</v>
      </c>
      <c r="L749" s="7"/>
      <c r="M749" s="102"/>
      <c r="N749" s="102"/>
      <c r="O749" s="5">
        <v>1</v>
      </c>
      <c r="P749" s="5">
        <v>1</v>
      </c>
      <c r="Q749" s="5">
        <v>1</v>
      </c>
      <c r="R749" s="5">
        <v>1</v>
      </c>
      <c r="S749" s="5">
        <v>0</v>
      </c>
      <c r="T749" s="5">
        <v>0</v>
      </c>
      <c r="U749" s="5">
        <v>0</v>
      </c>
      <c r="V749" s="13">
        <v>2.8000000000000003</v>
      </c>
      <c r="W749" s="13">
        <v>1.34</v>
      </c>
      <c r="X749" s="3">
        <v>1.71</v>
      </c>
      <c r="Y749" s="5"/>
      <c r="Z749" s="5"/>
      <c r="AA749" s="5">
        <v>0</v>
      </c>
      <c r="AB749" s="5"/>
      <c r="AC749" s="5">
        <v>0</v>
      </c>
      <c r="AD749" s="5">
        <v>0</v>
      </c>
      <c r="AE749" s="5">
        <v>0</v>
      </c>
      <c r="AF749" s="5">
        <v>0</v>
      </c>
    </row>
    <row r="750" spans="1:32" x14ac:dyDescent="0.2">
      <c r="A750" s="3" t="str">
        <f>+VLOOKUP(B750,studies!$A$2:$C$102,3)</f>
        <v>Newbold et al. (2013)</v>
      </c>
      <c r="B750" s="87">
        <v>92</v>
      </c>
      <c r="C750" s="5">
        <v>2013</v>
      </c>
      <c r="D750" s="5">
        <v>1</v>
      </c>
      <c r="E750" s="5">
        <v>2005</v>
      </c>
      <c r="F750" s="5">
        <v>2005</v>
      </c>
      <c r="G750" s="113">
        <v>0.33333333333333331</v>
      </c>
      <c r="H750" s="7">
        <v>61.178851637259505</v>
      </c>
      <c r="I750" s="5">
        <v>0</v>
      </c>
      <c r="J750" s="5">
        <v>0</v>
      </c>
      <c r="K750" s="5">
        <v>1</v>
      </c>
      <c r="L750" s="7"/>
      <c r="M750" s="7">
        <v>136.20523555605084</v>
      </c>
      <c r="N750" s="7">
        <v>136.20523555605084</v>
      </c>
      <c r="O750" s="5">
        <v>1</v>
      </c>
      <c r="P750" s="5">
        <v>1</v>
      </c>
      <c r="Q750" s="5">
        <v>1</v>
      </c>
      <c r="R750" s="5">
        <v>1</v>
      </c>
      <c r="S750" s="5">
        <v>0</v>
      </c>
      <c r="T750" s="5">
        <v>0</v>
      </c>
      <c r="U750" s="5">
        <v>0</v>
      </c>
      <c r="V750" s="13"/>
      <c r="W750" s="13">
        <v>1.34</v>
      </c>
      <c r="X750" s="3">
        <v>1.71</v>
      </c>
      <c r="Y750" s="5"/>
      <c r="Z750" s="5"/>
      <c r="AA750" s="5">
        <v>0</v>
      </c>
      <c r="AB750" s="5"/>
      <c r="AC750" s="5">
        <v>0</v>
      </c>
      <c r="AD750" s="5">
        <v>0</v>
      </c>
      <c r="AE750" s="5">
        <v>0</v>
      </c>
      <c r="AF750" s="5">
        <v>0</v>
      </c>
    </row>
    <row r="751" spans="1:32" x14ac:dyDescent="0.2">
      <c r="A751" s="3" t="str">
        <f>+VLOOKUP(B751,studies!$A$2:$C$102,3)</f>
        <v>Nordhaus &amp; Sztorc (2014)</v>
      </c>
      <c r="B751" s="87">
        <v>93</v>
      </c>
      <c r="C751" s="5">
        <v>2014</v>
      </c>
      <c r="D751" s="5">
        <v>0</v>
      </c>
      <c r="E751" s="5">
        <v>2005</v>
      </c>
      <c r="F751" s="5">
        <v>2015</v>
      </c>
      <c r="G751" s="113">
        <v>1</v>
      </c>
      <c r="H751" s="7">
        <v>80.158561665813252</v>
      </c>
      <c r="I751" s="5">
        <v>0</v>
      </c>
      <c r="J751" s="5">
        <v>1</v>
      </c>
      <c r="K751" s="5">
        <v>0</v>
      </c>
      <c r="L751" s="7"/>
      <c r="M751" s="102"/>
      <c r="N751" s="102"/>
      <c r="O751" s="5">
        <v>1</v>
      </c>
      <c r="P751" s="5">
        <v>1</v>
      </c>
      <c r="Q751" s="5">
        <v>0</v>
      </c>
      <c r="R751" s="5">
        <v>1</v>
      </c>
      <c r="S751" s="5">
        <v>0</v>
      </c>
      <c r="T751" s="5">
        <v>1</v>
      </c>
      <c r="U751" s="5">
        <v>0</v>
      </c>
      <c r="V751" s="13">
        <v>5.16</v>
      </c>
      <c r="W751" s="13"/>
      <c r="X751" s="5"/>
      <c r="Y751" s="5"/>
      <c r="Z751" s="3"/>
      <c r="AA751" s="5">
        <v>1</v>
      </c>
      <c r="AB751" s="5">
        <v>3.2</v>
      </c>
      <c r="AC751" s="5">
        <v>0</v>
      </c>
      <c r="AD751" s="5">
        <v>1</v>
      </c>
      <c r="AE751" s="5">
        <v>0</v>
      </c>
      <c r="AF751" s="5">
        <v>1</v>
      </c>
    </row>
    <row r="752" spans="1:32" x14ac:dyDescent="0.2">
      <c r="A752" s="3" t="str">
        <f>+VLOOKUP(B752,studies!$A$2:$C$102,3)</f>
        <v>Tol (2013)</v>
      </c>
      <c r="B752" s="87">
        <v>94</v>
      </c>
      <c r="C752" s="5">
        <v>2013</v>
      </c>
      <c r="D752" s="5">
        <v>1</v>
      </c>
      <c r="E752" s="5">
        <v>2010</v>
      </c>
      <c r="F752" s="48">
        <v>2013</v>
      </c>
      <c r="G752" s="115">
        <v>7.1428571428571425E-2</v>
      </c>
      <c r="H752" s="7">
        <v>0.10631983194330152</v>
      </c>
      <c r="I752" s="5">
        <v>0</v>
      </c>
      <c r="J752" s="5">
        <v>1</v>
      </c>
      <c r="K752" s="5">
        <v>0</v>
      </c>
      <c r="L752" s="7"/>
      <c r="M752" s="102"/>
      <c r="N752" s="102"/>
      <c r="O752" s="5">
        <v>0</v>
      </c>
      <c r="P752" s="5">
        <v>1</v>
      </c>
      <c r="Q752" s="5">
        <v>0</v>
      </c>
      <c r="R752" s="5">
        <v>0</v>
      </c>
      <c r="S752" s="5">
        <v>0</v>
      </c>
      <c r="T752" s="5">
        <v>0</v>
      </c>
      <c r="U752" s="5">
        <v>0</v>
      </c>
      <c r="V752" s="13" t="s">
        <v>25</v>
      </c>
      <c r="W752" s="13" t="s">
        <v>25</v>
      </c>
      <c r="X752" s="3">
        <v>1.5</v>
      </c>
      <c r="Y752" s="5"/>
      <c r="Z752" s="5"/>
      <c r="AA752" s="5">
        <v>1</v>
      </c>
      <c r="AB752" s="5">
        <v>3</v>
      </c>
      <c r="AC752" s="5">
        <v>0</v>
      </c>
      <c r="AD752" s="5">
        <v>0</v>
      </c>
      <c r="AE752" s="5">
        <v>1</v>
      </c>
      <c r="AF752" s="5">
        <v>1</v>
      </c>
    </row>
    <row r="753" spans="1:32" x14ac:dyDescent="0.2">
      <c r="A753" s="3" t="str">
        <f>+VLOOKUP(B753,studies!$A$2:$C$102,3)</f>
        <v>Tol (2013)</v>
      </c>
      <c r="B753" s="87">
        <v>94</v>
      </c>
      <c r="C753" s="5">
        <v>2013</v>
      </c>
      <c r="D753" s="5">
        <v>1</v>
      </c>
      <c r="E753" s="5">
        <v>2010</v>
      </c>
      <c r="F753" s="48">
        <v>2013</v>
      </c>
      <c r="G753" s="115">
        <v>7.1428571428571425E-2</v>
      </c>
      <c r="H753" s="7">
        <v>0</v>
      </c>
      <c r="I753" s="5">
        <v>0</v>
      </c>
      <c r="J753" s="5">
        <v>1</v>
      </c>
      <c r="K753" s="5">
        <v>0</v>
      </c>
      <c r="L753" s="7"/>
      <c r="M753" s="102"/>
      <c r="N753" s="102"/>
      <c r="O753" s="5">
        <v>0</v>
      </c>
      <c r="P753" s="5">
        <v>1</v>
      </c>
      <c r="Q753" s="5">
        <v>0</v>
      </c>
      <c r="R753" s="5">
        <v>0</v>
      </c>
      <c r="S753" s="5">
        <v>0</v>
      </c>
      <c r="T753" s="5">
        <v>0</v>
      </c>
      <c r="U753" s="5">
        <v>0</v>
      </c>
      <c r="V753" s="13"/>
      <c r="W753" s="13"/>
      <c r="X753" s="3">
        <v>1</v>
      </c>
      <c r="Y753" s="5"/>
      <c r="Z753" s="5"/>
      <c r="AA753" s="5">
        <v>1</v>
      </c>
      <c r="AB753" s="5">
        <v>3</v>
      </c>
      <c r="AC753" s="5">
        <v>0</v>
      </c>
      <c r="AD753" s="5">
        <v>0</v>
      </c>
      <c r="AE753" s="5">
        <v>1</v>
      </c>
      <c r="AF753" s="5">
        <v>1</v>
      </c>
    </row>
    <row r="754" spans="1:32" x14ac:dyDescent="0.2">
      <c r="A754" s="3" t="str">
        <f>+VLOOKUP(B754,studies!$A$2:$C$102,3)</f>
        <v>Tol (2013)</v>
      </c>
      <c r="B754" s="87">
        <v>94</v>
      </c>
      <c r="C754" s="5">
        <v>2013</v>
      </c>
      <c r="D754" s="5">
        <v>1</v>
      </c>
      <c r="E754" s="5">
        <v>2010</v>
      </c>
      <c r="F754" s="48">
        <v>2013</v>
      </c>
      <c r="G754" s="115">
        <v>7.1428571428571425E-2</v>
      </c>
      <c r="H754" s="7">
        <v>0.74423882360311067</v>
      </c>
      <c r="I754" s="5">
        <v>0</v>
      </c>
      <c r="J754" s="5">
        <v>1</v>
      </c>
      <c r="K754" s="5">
        <v>0</v>
      </c>
      <c r="L754" s="7"/>
      <c r="M754" s="102"/>
      <c r="N754" s="102"/>
      <c r="O754" s="5">
        <v>0</v>
      </c>
      <c r="P754" s="5">
        <v>1</v>
      </c>
      <c r="Q754" s="5">
        <v>0</v>
      </c>
      <c r="R754" s="5">
        <v>0</v>
      </c>
      <c r="S754" s="5">
        <v>0</v>
      </c>
      <c r="T754" s="5">
        <v>0</v>
      </c>
      <c r="U754" s="5">
        <v>0</v>
      </c>
      <c r="V754" s="13"/>
      <c r="W754" s="13"/>
      <c r="X754" s="3">
        <v>2</v>
      </c>
      <c r="Y754" s="5"/>
      <c r="Z754" s="5"/>
      <c r="AA754" s="5">
        <v>1</v>
      </c>
      <c r="AB754" s="5">
        <v>3</v>
      </c>
      <c r="AC754" s="5">
        <v>0</v>
      </c>
      <c r="AD754" s="5">
        <v>0</v>
      </c>
      <c r="AE754" s="5">
        <v>1</v>
      </c>
      <c r="AF754" s="5">
        <v>1</v>
      </c>
    </row>
    <row r="755" spans="1:32" x14ac:dyDescent="0.2">
      <c r="A755" s="3" t="str">
        <f>+VLOOKUP(B755,studies!$A$2:$C$102,3)</f>
        <v>Tol (2013)</v>
      </c>
      <c r="B755" s="87">
        <v>94</v>
      </c>
      <c r="C755" s="5">
        <v>2013</v>
      </c>
      <c r="D755" s="5">
        <v>1</v>
      </c>
      <c r="E755" s="5">
        <v>2010</v>
      </c>
      <c r="F755" s="48">
        <v>2013</v>
      </c>
      <c r="G755" s="115">
        <v>7.1428571428571425E-2</v>
      </c>
      <c r="H755" s="7">
        <v>-0.53159915971650762</v>
      </c>
      <c r="I755" s="5">
        <v>0</v>
      </c>
      <c r="J755" s="5">
        <v>1</v>
      </c>
      <c r="K755" s="5">
        <v>0</v>
      </c>
      <c r="L755" s="7"/>
      <c r="M755" s="102"/>
      <c r="N755" s="102"/>
      <c r="O755" s="5">
        <v>0</v>
      </c>
      <c r="P755" s="5">
        <v>1</v>
      </c>
      <c r="Q755" s="5">
        <v>0</v>
      </c>
      <c r="R755" s="5">
        <v>0</v>
      </c>
      <c r="S755" s="5">
        <v>0</v>
      </c>
      <c r="T755" s="5">
        <v>0</v>
      </c>
      <c r="U755" s="5">
        <v>0</v>
      </c>
      <c r="V755" s="13"/>
      <c r="W755" s="13"/>
      <c r="X755" s="3">
        <v>1.5</v>
      </c>
      <c r="Y755" s="5"/>
      <c r="Z755" s="5"/>
      <c r="AA755" s="5">
        <v>1</v>
      </c>
      <c r="AB755" s="5">
        <v>3</v>
      </c>
      <c r="AC755" s="5">
        <v>0</v>
      </c>
      <c r="AD755" s="5">
        <v>0</v>
      </c>
      <c r="AE755" s="5">
        <v>1</v>
      </c>
      <c r="AF755" s="5">
        <v>1</v>
      </c>
    </row>
    <row r="756" spans="1:32" x14ac:dyDescent="0.2">
      <c r="A756" s="3" t="str">
        <f>+VLOOKUP(B756,studies!$A$2:$C$102,3)</f>
        <v>Tol (2013)</v>
      </c>
      <c r="B756" s="87">
        <v>94</v>
      </c>
      <c r="C756" s="5">
        <v>2013</v>
      </c>
      <c r="D756" s="5">
        <v>1</v>
      </c>
      <c r="E756" s="5">
        <v>2010</v>
      </c>
      <c r="F756" s="48">
        <v>2013</v>
      </c>
      <c r="G756" s="115">
        <v>7.1428571428571425E-2</v>
      </c>
      <c r="H756" s="7">
        <v>0.4252793277732061</v>
      </c>
      <c r="I756" s="5">
        <v>0</v>
      </c>
      <c r="J756" s="5">
        <v>1</v>
      </c>
      <c r="K756" s="5">
        <v>0</v>
      </c>
      <c r="L756" s="7"/>
      <c r="M756" s="102"/>
      <c r="N756" s="102"/>
      <c r="O756" s="5">
        <v>0</v>
      </c>
      <c r="P756" s="5">
        <v>1</v>
      </c>
      <c r="Q756" s="5">
        <v>0</v>
      </c>
      <c r="R756" s="5">
        <v>0</v>
      </c>
      <c r="S756" s="5">
        <v>0</v>
      </c>
      <c r="T756" s="5">
        <v>0</v>
      </c>
      <c r="U756" s="5">
        <v>0</v>
      </c>
      <c r="V756" s="13"/>
      <c r="W756" s="13"/>
      <c r="X756" s="3">
        <v>1.5</v>
      </c>
      <c r="Y756" s="5"/>
      <c r="Z756" s="5"/>
      <c r="AA756" s="5">
        <v>1</v>
      </c>
      <c r="AB756" s="5">
        <v>3</v>
      </c>
      <c r="AC756" s="5">
        <v>0</v>
      </c>
      <c r="AD756" s="5">
        <v>0</v>
      </c>
      <c r="AE756" s="5">
        <v>1</v>
      </c>
      <c r="AF756" s="5">
        <v>1</v>
      </c>
    </row>
    <row r="757" spans="1:32" x14ac:dyDescent="0.2">
      <c r="A757" s="3" t="str">
        <f>+VLOOKUP(B757,studies!$A$2:$C$102,3)</f>
        <v>Tol (2013)</v>
      </c>
      <c r="B757" s="87">
        <v>94</v>
      </c>
      <c r="C757" s="5">
        <v>2013</v>
      </c>
      <c r="D757" s="5">
        <v>1</v>
      </c>
      <c r="E757" s="5">
        <v>2010</v>
      </c>
      <c r="F757" s="48">
        <v>2013</v>
      </c>
      <c r="G757" s="115">
        <v>7.1428571428571425E-2</v>
      </c>
      <c r="H757" s="7">
        <v>-0.21263966388660305</v>
      </c>
      <c r="I757" s="5">
        <v>0</v>
      </c>
      <c r="J757" s="5">
        <v>1</v>
      </c>
      <c r="K757" s="5">
        <v>0</v>
      </c>
      <c r="L757" s="7"/>
      <c r="M757" s="102"/>
      <c r="N757" s="102"/>
      <c r="O757" s="5">
        <v>0</v>
      </c>
      <c r="P757" s="5">
        <v>1</v>
      </c>
      <c r="Q757" s="5">
        <v>0</v>
      </c>
      <c r="R757" s="5">
        <v>0</v>
      </c>
      <c r="S757" s="5">
        <v>0</v>
      </c>
      <c r="T757" s="5">
        <v>0</v>
      </c>
      <c r="U757" s="5">
        <v>0</v>
      </c>
      <c r="V757" s="13"/>
      <c r="W757" s="13"/>
      <c r="X757" s="3">
        <v>1.5</v>
      </c>
      <c r="Y757" s="5"/>
      <c r="Z757" s="5"/>
      <c r="AA757" s="5">
        <v>1</v>
      </c>
      <c r="AB757" s="5">
        <v>1.5</v>
      </c>
      <c r="AC757" s="5">
        <v>0</v>
      </c>
      <c r="AD757" s="5">
        <v>0</v>
      </c>
      <c r="AE757" s="5">
        <v>1</v>
      </c>
      <c r="AF757" s="5">
        <v>1</v>
      </c>
    </row>
    <row r="758" spans="1:32" x14ac:dyDescent="0.2">
      <c r="A758" s="3" t="str">
        <f>+VLOOKUP(B758,studies!$A$2:$C$102,3)</f>
        <v>Tol (2013)</v>
      </c>
      <c r="B758" s="87">
        <v>94</v>
      </c>
      <c r="C758" s="5">
        <v>2013</v>
      </c>
      <c r="D758" s="5">
        <v>1</v>
      </c>
      <c r="E758" s="5">
        <v>2010</v>
      </c>
      <c r="F758" s="48">
        <v>2013</v>
      </c>
      <c r="G758" s="115">
        <v>7.1428571428571425E-2</v>
      </c>
      <c r="H758" s="7">
        <v>1.0631983194330152</v>
      </c>
      <c r="I758" s="5">
        <v>0</v>
      </c>
      <c r="J758" s="5">
        <v>1</v>
      </c>
      <c r="K758" s="5">
        <v>0</v>
      </c>
      <c r="L758" s="7"/>
      <c r="M758" s="102"/>
      <c r="N758" s="102"/>
      <c r="O758" s="5">
        <v>0</v>
      </c>
      <c r="P758" s="5">
        <v>1</v>
      </c>
      <c r="Q758" s="5">
        <v>0</v>
      </c>
      <c r="R758" s="5">
        <v>0</v>
      </c>
      <c r="S758" s="5">
        <v>0</v>
      </c>
      <c r="T758" s="5">
        <v>0</v>
      </c>
      <c r="U758" s="5">
        <v>0</v>
      </c>
      <c r="V758" s="13"/>
      <c r="W758" s="13"/>
      <c r="X758" s="3">
        <v>1.5</v>
      </c>
      <c r="Y758" s="5"/>
      <c r="Z758" s="5"/>
      <c r="AA758" s="5">
        <v>1</v>
      </c>
      <c r="AB758" s="5">
        <v>4.5</v>
      </c>
      <c r="AC758" s="5">
        <v>0</v>
      </c>
      <c r="AD758" s="5">
        <v>0</v>
      </c>
      <c r="AE758" s="5">
        <v>1</v>
      </c>
      <c r="AF758" s="5">
        <v>1</v>
      </c>
    </row>
    <row r="759" spans="1:32" x14ac:dyDescent="0.2">
      <c r="A759" s="3" t="str">
        <f>+VLOOKUP(B759,studies!$A$2:$C$102,3)</f>
        <v>Tol (2013)</v>
      </c>
      <c r="B759" s="87">
        <v>94</v>
      </c>
      <c r="C759" s="5">
        <v>2013</v>
      </c>
      <c r="D759" s="5">
        <v>1</v>
      </c>
      <c r="E759" s="5">
        <v>2010</v>
      </c>
      <c r="F759" s="48">
        <v>2013</v>
      </c>
      <c r="G759" s="115">
        <v>7.1428571428571425E-2</v>
      </c>
      <c r="H759" s="7">
        <v>21.370286220603607</v>
      </c>
      <c r="I759" s="5">
        <v>0</v>
      </c>
      <c r="J759" s="5">
        <v>1</v>
      </c>
      <c r="K759" s="5">
        <v>0</v>
      </c>
      <c r="L759" s="7"/>
      <c r="M759" s="102"/>
      <c r="N759" s="102"/>
      <c r="O759" s="5">
        <v>0</v>
      </c>
      <c r="P759" s="5">
        <v>1</v>
      </c>
      <c r="Q759" s="5">
        <v>0</v>
      </c>
      <c r="R759" s="5">
        <v>0</v>
      </c>
      <c r="S759" s="5">
        <v>0</v>
      </c>
      <c r="T759" s="5">
        <v>0</v>
      </c>
      <c r="U759" s="5">
        <v>0</v>
      </c>
      <c r="V759" s="13"/>
      <c r="W759" s="13"/>
      <c r="X759" s="3">
        <v>1.5</v>
      </c>
      <c r="Y759" s="5"/>
      <c r="Z759" s="5"/>
      <c r="AA759" s="5">
        <v>1</v>
      </c>
      <c r="AB759" s="5">
        <v>3</v>
      </c>
      <c r="AC759" s="5">
        <v>0</v>
      </c>
      <c r="AD759" s="5">
        <v>0</v>
      </c>
      <c r="AE759" s="5">
        <v>1</v>
      </c>
      <c r="AF759" s="5">
        <v>1</v>
      </c>
    </row>
    <row r="760" spans="1:32" x14ac:dyDescent="0.2">
      <c r="A760" s="3" t="str">
        <f>+VLOOKUP(B760,studies!$A$2:$C$102,3)</f>
        <v>Tol (2013)</v>
      </c>
      <c r="B760" s="87">
        <v>94</v>
      </c>
      <c r="C760" s="5">
        <v>2013</v>
      </c>
      <c r="D760" s="5">
        <v>1</v>
      </c>
      <c r="E760" s="5">
        <v>2010</v>
      </c>
      <c r="F760" s="48">
        <v>2013</v>
      </c>
      <c r="G760" s="115">
        <v>7.1428571428571425E-2</v>
      </c>
      <c r="H760" s="7">
        <v>4.7843924374485685</v>
      </c>
      <c r="I760" s="5">
        <v>0</v>
      </c>
      <c r="J760" s="5">
        <v>1</v>
      </c>
      <c r="K760" s="5">
        <v>0</v>
      </c>
      <c r="L760" s="7"/>
      <c r="M760" s="102"/>
      <c r="N760" s="102"/>
      <c r="O760" s="5">
        <v>0</v>
      </c>
      <c r="P760" s="5">
        <v>1</v>
      </c>
      <c r="Q760" s="5">
        <v>0</v>
      </c>
      <c r="R760" s="5">
        <v>0</v>
      </c>
      <c r="S760" s="5">
        <v>0</v>
      </c>
      <c r="T760" s="5">
        <v>0</v>
      </c>
      <c r="U760" s="5">
        <v>0</v>
      </c>
      <c r="V760" s="13"/>
      <c r="W760" s="13"/>
      <c r="X760" s="3">
        <v>1</v>
      </c>
      <c r="Y760" s="5"/>
      <c r="Z760" s="5"/>
      <c r="AA760" s="5">
        <v>1</v>
      </c>
      <c r="AB760" s="5">
        <v>3</v>
      </c>
      <c r="AC760" s="5">
        <v>0</v>
      </c>
      <c r="AD760" s="5">
        <v>0</v>
      </c>
      <c r="AE760" s="5">
        <v>1</v>
      </c>
      <c r="AF760" s="5">
        <v>1</v>
      </c>
    </row>
    <row r="761" spans="1:32" x14ac:dyDescent="0.2">
      <c r="A761" s="3" t="str">
        <f>+VLOOKUP(B761,studies!$A$2:$C$102,3)</f>
        <v>Tol (2013)</v>
      </c>
      <c r="B761" s="87">
        <v>94</v>
      </c>
      <c r="C761" s="5">
        <v>2013</v>
      </c>
      <c r="D761" s="5">
        <v>1</v>
      </c>
      <c r="E761" s="5">
        <v>2010</v>
      </c>
      <c r="F761" s="48">
        <v>2013</v>
      </c>
      <c r="G761" s="115">
        <v>7.1428571428571425E-2</v>
      </c>
      <c r="H761" s="7">
        <v>95.794168580914672</v>
      </c>
      <c r="I761" s="5">
        <v>0</v>
      </c>
      <c r="J761" s="5">
        <v>1</v>
      </c>
      <c r="K761" s="5">
        <v>0</v>
      </c>
      <c r="L761" s="7"/>
      <c r="M761" s="102"/>
      <c r="N761" s="102"/>
      <c r="O761" s="5">
        <v>0</v>
      </c>
      <c r="P761" s="5">
        <v>1</v>
      </c>
      <c r="Q761" s="5">
        <v>0</v>
      </c>
      <c r="R761" s="5">
        <v>0</v>
      </c>
      <c r="S761" s="5">
        <v>0</v>
      </c>
      <c r="T761" s="5">
        <v>0</v>
      </c>
      <c r="U761" s="5">
        <v>0</v>
      </c>
      <c r="V761" s="13"/>
      <c r="W761" s="13"/>
      <c r="X761" s="3">
        <v>2</v>
      </c>
      <c r="Y761" s="5"/>
      <c r="Z761" s="5"/>
      <c r="AA761" s="5">
        <v>1</v>
      </c>
      <c r="AB761" s="5">
        <v>3</v>
      </c>
      <c r="AC761" s="5">
        <v>0</v>
      </c>
      <c r="AD761" s="5">
        <v>0</v>
      </c>
      <c r="AE761" s="5">
        <v>1</v>
      </c>
      <c r="AF761" s="5">
        <v>1</v>
      </c>
    </row>
    <row r="762" spans="1:32" x14ac:dyDescent="0.2">
      <c r="A762" s="3" t="str">
        <f>+VLOOKUP(B762,studies!$A$2:$C$102,3)</f>
        <v>Tol (2013)</v>
      </c>
      <c r="B762" s="87">
        <v>94</v>
      </c>
      <c r="C762" s="5">
        <v>2013</v>
      </c>
      <c r="D762" s="5">
        <v>1</v>
      </c>
      <c r="E762" s="5">
        <v>2010</v>
      </c>
      <c r="F762" s="48">
        <v>2013</v>
      </c>
      <c r="G762" s="115">
        <v>7.1428571428571425E-2</v>
      </c>
      <c r="H762" s="7">
        <v>1.2758379833196183</v>
      </c>
      <c r="I762" s="5">
        <v>0</v>
      </c>
      <c r="J762" s="5">
        <v>1</v>
      </c>
      <c r="K762" s="5">
        <v>0</v>
      </c>
      <c r="L762" s="7"/>
      <c r="M762" s="102"/>
      <c r="N762" s="102"/>
      <c r="O762" s="5">
        <v>0</v>
      </c>
      <c r="P762" s="5">
        <v>1</v>
      </c>
      <c r="Q762" s="5">
        <v>0</v>
      </c>
      <c r="R762" s="5">
        <v>0</v>
      </c>
      <c r="S762" s="5">
        <v>0</v>
      </c>
      <c r="T762" s="5">
        <v>0</v>
      </c>
      <c r="U762" s="5">
        <v>0</v>
      </c>
      <c r="V762" s="13"/>
      <c r="W762" s="13"/>
      <c r="X762" s="3">
        <v>1.5</v>
      </c>
      <c r="Y762" s="5"/>
      <c r="Z762" s="5"/>
      <c r="AA762" s="5">
        <v>1</v>
      </c>
      <c r="AB762" s="5">
        <v>3</v>
      </c>
      <c r="AC762" s="5">
        <v>0</v>
      </c>
      <c r="AD762" s="5">
        <v>0</v>
      </c>
      <c r="AE762" s="5">
        <v>1</v>
      </c>
      <c r="AF762" s="5">
        <v>1</v>
      </c>
    </row>
    <row r="763" spans="1:32" x14ac:dyDescent="0.2">
      <c r="A763" s="3" t="str">
        <f>+VLOOKUP(B763,studies!$A$2:$C$102,3)</f>
        <v>Tol (2013)</v>
      </c>
      <c r="B763" s="87">
        <v>94</v>
      </c>
      <c r="C763" s="5">
        <v>2013</v>
      </c>
      <c r="D763" s="5">
        <v>1</v>
      </c>
      <c r="E763" s="5">
        <v>2010</v>
      </c>
      <c r="F763" s="48">
        <v>2013</v>
      </c>
      <c r="G763" s="115">
        <v>7.1428571428571425E-2</v>
      </c>
      <c r="H763" s="7">
        <v>202.9645591797626</v>
      </c>
      <c r="I763" s="5">
        <v>0</v>
      </c>
      <c r="J763" s="5">
        <v>1</v>
      </c>
      <c r="K763" s="5">
        <v>0</v>
      </c>
      <c r="L763" s="7"/>
      <c r="M763" s="102"/>
      <c r="N763" s="102"/>
      <c r="O763" s="5">
        <v>0</v>
      </c>
      <c r="P763" s="5">
        <v>1</v>
      </c>
      <c r="Q763" s="5">
        <v>0</v>
      </c>
      <c r="R763" s="5">
        <v>0</v>
      </c>
      <c r="S763" s="5">
        <v>0</v>
      </c>
      <c r="T763" s="5">
        <v>0</v>
      </c>
      <c r="U763" s="5">
        <v>0</v>
      </c>
      <c r="V763" s="13"/>
      <c r="W763" s="13"/>
      <c r="X763" s="3">
        <v>1.5</v>
      </c>
      <c r="Y763" s="5"/>
      <c r="Z763" s="5"/>
      <c r="AA763" s="5">
        <v>1</v>
      </c>
      <c r="AB763" s="5">
        <v>3</v>
      </c>
      <c r="AC763" s="5">
        <v>0</v>
      </c>
      <c r="AD763" s="5">
        <v>0</v>
      </c>
      <c r="AE763" s="5">
        <v>1</v>
      </c>
      <c r="AF763" s="5">
        <v>1</v>
      </c>
    </row>
    <row r="764" spans="1:32" x14ac:dyDescent="0.2">
      <c r="A764" s="3" t="str">
        <f>+VLOOKUP(B764,studies!$A$2:$C$102,3)</f>
        <v>Tol (2013)</v>
      </c>
      <c r="B764" s="87">
        <v>94</v>
      </c>
      <c r="C764" s="5">
        <v>2013</v>
      </c>
      <c r="D764" s="5">
        <v>1</v>
      </c>
      <c r="E764" s="5">
        <v>2010</v>
      </c>
      <c r="F764" s="48">
        <v>2013</v>
      </c>
      <c r="G764" s="115">
        <v>7.1428571428571425E-2</v>
      </c>
      <c r="H764" s="7">
        <v>0.21263966388660305</v>
      </c>
      <c r="I764" s="5">
        <v>0</v>
      </c>
      <c r="J764" s="5">
        <v>1</v>
      </c>
      <c r="K764" s="5">
        <v>0</v>
      </c>
      <c r="L764" s="7"/>
      <c r="M764" s="102"/>
      <c r="N764" s="102"/>
      <c r="O764" s="5">
        <v>0</v>
      </c>
      <c r="P764" s="5">
        <v>1</v>
      </c>
      <c r="Q764" s="5">
        <v>0</v>
      </c>
      <c r="R764" s="5">
        <v>0</v>
      </c>
      <c r="S764" s="5">
        <v>0</v>
      </c>
      <c r="T764" s="5">
        <v>0</v>
      </c>
      <c r="U764" s="5">
        <v>0</v>
      </c>
      <c r="V764" s="13"/>
      <c r="W764" s="13"/>
      <c r="X764" s="3">
        <v>1.5</v>
      </c>
      <c r="Y764" s="5"/>
      <c r="Z764" s="5"/>
      <c r="AA764" s="5">
        <v>1</v>
      </c>
      <c r="AB764" s="5">
        <v>1.5</v>
      </c>
      <c r="AC764" s="5">
        <v>0</v>
      </c>
      <c r="AD764" s="5">
        <v>0</v>
      </c>
      <c r="AE764" s="5">
        <v>1</v>
      </c>
      <c r="AF764" s="5">
        <v>1</v>
      </c>
    </row>
    <row r="765" spans="1:32" x14ac:dyDescent="0.2">
      <c r="A765" s="3" t="str">
        <f>+VLOOKUP(B765,studies!$A$2:$C$102,3)</f>
        <v>Tol (2013)</v>
      </c>
      <c r="B765" s="87">
        <v>94</v>
      </c>
      <c r="C765" s="5">
        <v>2013</v>
      </c>
      <c r="D765" s="5">
        <v>1</v>
      </c>
      <c r="E765" s="5">
        <v>2010</v>
      </c>
      <c r="F765" s="48">
        <v>2013</v>
      </c>
      <c r="G765" s="115">
        <v>7.1428571428571425E-2</v>
      </c>
      <c r="H765" s="7">
        <v>249.95792489870189</v>
      </c>
      <c r="I765" s="5">
        <v>0</v>
      </c>
      <c r="J765" s="5">
        <v>1</v>
      </c>
      <c r="K765" s="5">
        <v>0</v>
      </c>
      <c r="L765" s="7"/>
      <c r="M765" s="102"/>
      <c r="N765" s="102"/>
      <c r="O765" s="5">
        <v>0</v>
      </c>
      <c r="P765" s="5">
        <v>1</v>
      </c>
      <c r="Q765" s="5">
        <v>0</v>
      </c>
      <c r="R765" s="5">
        <v>0</v>
      </c>
      <c r="S765" s="5">
        <v>0</v>
      </c>
      <c r="T765" s="5">
        <v>0</v>
      </c>
      <c r="U765" s="5">
        <v>0</v>
      </c>
      <c r="V765" s="13"/>
      <c r="W765" s="13"/>
      <c r="X765" s="3">
        <v>1.5</v>
      </c>
      <c r="Y765" s="5"/>
      <c r="Z765" s="5"/>
      <c r="AA765" s="5">
        <v>1</v>
      </c>
      <c r="AB765" s="5">
        <v>4.5</v>
      </c>
      <c r="AC765" s="5">
        <v>0</v>
      </c>
      <c r="AD765" s="5">
        <v>0</v>
      </c>
      <c r="AE765" s="5">
        <v>1</v>
      </c>
      <c r="AF765" s="5">
        <v>1</v>
      </c>
    </row>
    <row r="766" spans="1:32" x14ac:dyDescent="0.2">
      <c r="A766" s="3" t="str">
        <f>+VLOOKUP(B766,studies!$A$2:$C$102,3)</f>
        <v>Weitzman (2013)</v>
      </c>
      <c r="B766" s="87">
        <v>95</v>
      </c>
      <c r="C766" s="5">
        <v>2013</v>
      </c>
      <c r="D766" s="5">
        <v>1</v>
      </c>
      <c r="E766" s="5">
        <v>2007</v>
      </c>
      <c r="F766" s="5">
        <v>2010</v>
      </c>
      <c r="G766" s="113">
        <v>7.1428571428571425E-2</v>
      </c>
      <c r="H766" s="7">
        <v>4.4945673423196206</v>
      </c>
      <c r="I766" s="5">
        <v>0</v>
      </c>
      <c r="J766" s="5">
        <v>1</v>
      </c>
      <c r="K766" s="5">
        <v>0</v>
      </c>
      <c r="L766" s="7" t="s">
        <v>238</v>
      </c>
      <c r="M766" s="7" t="s">
        <v>238</v>
      </c>
      <c r="N766" s="7" t="s">
        <v>238</v>
      </c>
      <c r="O766" s="5">
        <v>0</v>
      </c>
      <c r="P766" s="5">
        <v>1</v>
      </c>
      <c r="Q766" s="5">
        <v>1</v>
      </c>
      <c r="R766" s="5">
        <v>1</v>
      </c>
      <c r="S766" s="5">
        <v>1</v>
      </c>
      <c r="T766" s="5">
        <v>1</v>
      </c>
      <c r="U766" s="5">
        <v>1</v>
      </c>
      <c r="V766" s="13">
        <v>7.0000000000000009</v>
      </c>
      <c r="W766" s="13"/>
      <c r="X766" s="5"/>
      <c r="Y766" s="5" t="s">
        <v>25</v>
      </c>
      <c r="Z766" s="5"/>
      <c r="AA766" s="5">
        <v>0</v>
      </c>
      <c r="AB766" s="5"/>
      <c r="AC766" s="5">
        <v>0</v>
      </c>
      <c r="AD766" s="5">
        <v>0</v>
      </c>
      <c r="AE766" s="5">
        <v>0</v>
      </c>
      <c r="AF766" s="5">
        <v>0</v>
      </c>
    </row>
    <row r="767" spans="1:32" x14ac:dyDescent="0.2">
      <c r="A767" s="3" t="str">
        <f>+VLOOKUP(B767,studies!$A$2:$C$102,3)</f>
        <v>Weitzman (2013)</v>
      </c>
      <c r="B767" s="87">
        <v>95</v>
      </c>
      <c r="C767" s="5">
        <v>2013</v>
      </c>
      <c r="D767" s="5">
        <v>1</v>
      </c>
      <c r="E767" s="5">
        <v>2007</v>
      </c>
      <c r="F767" s="5">
        <v>2010</v>
      </c>
      <c r="G767" s="113">
        <v>7.1428571428571425E-2</v>
      </c>
      <c r="H767" s="7">
        <v>22.472836711598106</v>
      </c>
      <c r="I767" s="5">
        <v>0</v>
      </c>
      <c r="J767" s="5">
        <v>1</v>
      </c>
      <c r="K767" s="5">
        <v>0</v>
      </c>
      <c r="L767" s="7" t="s">
        <v>238</v>
      </c>
      <c r="M767" s="7" t="s">
        <v>238</v>
      </c>
      <c r="N767" s="7" t="s">
        <v>238</v>
      </c>
      <c r="O767" s="5">
        <v>0</v>
      </c>
      <c r="P767" s="5">
        <v>1</v>
      </c>
      <c r="Q767" s="5">
        <v>1</v>
      </c>
      <c r="R767" s="5">
        <v>1</v>
      </c>
      <c r="S767" s="5">
        <v>1</v>
      </c>
      <c r="T767" s="5">
        <v>1</v>
      </c>
      <c r="U767" s="5">
        <v>1</v>
      </c>
      <c r="V767" s="13">
        <v>5</v>
      </c>
      <c r="W767" s="13"/>
      <c r="X767" s="5"/>
      <c r="Y767" s="5" t="s">
        <v>25</v>
      </c>
      <c r="Z767" s="5"/>
      <c r="AA767" s="5">
        <v>0</v>
      </c>
      <c r="AB767" s="5"/>
      <c r="AC767" s="5">
        <v>0</v>
      </c>
      <c r="AD767" s="5">
        <v>0</v>
      </c>
      <c r="AE767" s="5">
        <v>0</v>
      </c>
      <c r="AF767" s="5">
        <v>0</v>
      </c>
    </row>
    <row r="768" spans="1:32" x14ac:dyDescent="0.2">
      <c r="A768" s="3" t="str">
        <f>+VLOOKUP(B768,studies!$A$2:$C$102,3)</f>
        <v>Weitzman (2013)</v>
      </c>
      <c r="B768" s="87">
        <v>95</v>
      </c>
      <c r="C768" s="5">
        <v>2013</v>
      </c>
      <c r="D768" s="5">
        <v>1</v>
      </c>
      <c r="E768" s="5">
        <v>2007</v>
      </c>
      <c r="F768" s="5">
        <v>2010</v>
      </c>
      <c r="G768" s="113">
        <v>7.1428571428571425E-2</v>
      </c>
      <c r="H768" s="7">
        <v>94.38591418871205</v>
      </c>
      <c r="I768" s="5">
        <v>0</v>
      </c>
      <c r="J768" s="5">
        <v>1</v>
      </c>
      <c r="K768" s="5">
        <v>0</v>
      </c>
      <c r="L768" s="7" t="s">
        <v>238</v>
      </c>
      <c r="M768" s="7" t="s">
        <v>238</v>
      </c>
      <c r="N768" s="7" t="s">
        <v>238</v>
      </c>
      <c r="O768" s="5">
        <v>0</v>
      </c>
      <c r="P768" s="5">
        <v>1</v>
      </c>
      <c r="Q768" s="5">
        <v>1</v>
      </c>
      <c r="R768" s="5">
        <v>1</v>
      </c>
      <c r="S768" s="5">
        <v>1</v>
      </c>
      <c r="T768" s="5">
        <v>1</v>
      </c>
      <c r="U768" s="5">
        <v>1</v>
      </c>
      <c r="V768" s="13">
        <v>3</v>
      </c>
      <c r="W768" s="13"/>
      <c r="X768" s="5"/>
      <c r="Y768" s="5" t="s">
        <v>25</v>
      </c>
      <c r="Z768" s="5"/>
      <c r="AA768" s="5">
        <v>0</v>
      </c>
      <c r="AB768" s="5"/>
      <c r="AC768" s="5">
        <v>0</v>
      </c>
      <c r="AD768" s="5">
        <v>0</v>
      </c>
      <c r="AE768" s="5">
        <v>0</v>
      </c>
      <c r="AF768" s="5">
        <v>0</v>
      </c>
    </row>
    <row r="769" spans="1:32" x14ac:dyDescent="0.2">
      <c r="A769" s="3" t="str">
        <f>+VLOOKUP(B769,studies!$A$2:$C$102,3)</f>
        <v>Weitzman (2013)</v>
      </c>
      <c r="B769" s="87">
        <v>95</v>
      </c>
      <c r="C769" s="5">
        <v>2013</v>
      </c>
      <c r="D769" s="5">
        <v>1</v>
      </c>
      <c r="E769" s="5">
        <v>2007</v>
      </c>
      <c r="F769" s="5">
        <v>2010</v>
      </c>
      <c r="G769" s="113">
        <v>7.1428571428571425E-2</v>
      </c>
      <c r="H769" s="7">
        <v>157.30985698118673</v>
      </c>
      <c r="I769" s="5">
        <v>0</v>
      </c>
      <c r="J769" s="5">
        <v>1</v>
      </c>
      <c r="K769" s="5">
        <v>0</v>
      </c>
      <c r="L769" s="7" t="s">
        <v>238</v>
      </c>
      <c r="M769" s="7" t="s">
        <v>238</v>
      </c>
      <c r="N769" s="7" t="s">
        <v>238</v>
      </c>
      <c r="O769" s="5">
        <v>0</v>
      </c>
      <c r="P769" s="5">
        <v>1</v>
      </c>
      <c r="Q769" s="5">
        <v>1</v>
      </c>
      <c r="R769" s="5">
        <v>1</v>
      </c>
      <c r="S769" s="5">
        <v>1</v>
      </c>
      <c r="T769" s="5">
        <v>1</v>
      </c>
      <c r="U769" s="5">
        <v>1</v>
      </c>
      <c r="V769" s="13">
        <v>2.5</v>
      </c>
      <c r="W769" s="13"/>
      <c r="X769" s="5"/>
      <c r="Y769" s="5" t="s">
        <v>25</v>
      </c>
      <c r="Z769" s="5"/>
      <c r="AA769" s="5">
        <v>0</v>
      </c>
      <c r="AB769" s="5"/>
      <c r="AC769" s="5">
        <v>0</v>
      </c>
      <c r="AD769" s="5">
        <v>0</v>
      </c>
      <c r="AE769" s="5">
        <v>0</v>
      </c>
      <c r="AF769" s="5">
        <v>0</v>
      </c>
    </row>
    <row r="770" spans="1:32" x14ac:dyDescent="0.2">
      <c r="A770" s="3" t="str">
        <f>+VLOOKUP(B770,studies!$A$2:$C$102,3)</f>
        <v>Weitzman (2013)</v>
      </c>
      <c r="B770" s="87">
        <v>95</v>
      </c>
      <c r="C770" s="5">
        <v>2013</v>
      </c>
      <c r="D770" s="5">
        <v>1</v>
      </c>
      <c r="E770" s="5">
        <v>2007</v>
      </c>
      <c r="F770" s="5">
        <v>2010</v>
      </c>
      <c r="G770" s="113">
        <v>7.1428571428571425E-2</v>
      </c>
      <c r="H770" s="7">
        <v>278.66317522381649</v>
      </c>
      <c r="I770" s="5">
        <v>0</v>
      </c>
      <c r="J770" s="5">
        <v>1</v>
      </c>
      <c r="K770" s="5">
        <v>0</v>
      </c>
      <c r="L770" s="7" t="s">
        <v>238</v>
      </c>
      <c r="M770" s="7" t="s">
        <v>238</v>
      </c>
      <c r="N770" s="7" t="s">
        <v>238</v>
      </c>
      <c r="O770" s="5">
        <v>0</v>
      </c>
      <c r="P770" s="5">
        <v>1</v>
      </c>
      <c r="Q770" s="5">
        <v>1</v>
      </c>
      <c r="R770" s="5">
        <v>1</v>
      </c>
      <c r="S770" s="5">
        <v>1</v>
      </c>
      <c r="T770" s="5">
        <v>1</v>
      </c>
      <c r="U770" s="5">
        <v>1</v>
      </c>
      <c r="V770" s="13">
        <v>2</v>
      </c>
      <c r="W770" s="13"/>
      <c r="X770" s="5"/>
      <c r="Y770" s="5" t="s">
        <v>25</v>
      </c>
      <c r="Z770" s="5"/>
      <c r="AA770" s="5">
        <v>0</v>
      </c>
      <c r="AB770" s="5"/>
      <c r="AC770" s="5">
        <v>0</v>
      </c>
      <c r="AD770" s="5">
        <v>0</v>
      </c>
      <c r="AE770" s="5">
        <v>0</v>
      </c>
      <c r="AF770" s="5">
        <v>0</v>
      </c>
    </row>
    <row r="771" spans="1:32" x14ac:dyDescent="0.2">
      <c r="A771" s="3" t="str">
        <f>+VLOOKUP(B771,studies!$A$2:$C$102,3)</f>
        <v>Weitzman (2013)</v>
      </c>
      <c r="B771" s="87">
        <v>95</v>
      </c>
      <c r="C771" s="5">
        <v>2013</v>
      </c>
      <c r="D771" s="5">
        <v>1</v>
      </c>
      <c r="E771" s="5">
        <v>2007</v>
      </c>
      <c r="F771" s="5">
        <v>2010</v>
      </c>
      <c r="G771" s="113">
        <v>7.1428571428571425E-2</v>
      </c>
      <c r="H771" s="7">
        <v>548.33721576299376</v>
      </c>
      <c r="I771" s="5">
        <v>0</v>
      </c>
      <c r="J771" s="5">
        <v>1</v>
      </c>
      <c r="K771" s="5">
        <v>0</v>
      </c>
      <c r="L771" s="7" t="s">
        <v>238</v>
      </c>
      <c r="M771" s="7" t="s">
        <v>238</v>
      </c>
      <c r="N771" s="7" t="s">
        <v>238</v>
      </c>
      <c r="O771" s="5">
        <v>0</v>
      </c>
      <c r="P771" s="5">
        <v>1</v>
      </c>
      <c r="Q771" s="5">
        <v>1</v>
      </c>
      <c r="R771" s="5">
        <v>1</v>
      </c>
      <c r="S771" s="5">
        <v>1</v>
      </c>
      <c r="T771" s="5">
        <v>1</v>
      </c>
      <c r="U771" s="5">
        <v>1</v>
      </c>
      <c r="V771" s="13">
        <v>1.5</v>
      </c>
      <c r="W771" s="13"/>
      <c r="X771" s="5"/>
      <c r="Y771" s="5" t="s">
        <v>25</v>
      </c>
      <c r="Z771" s="5"/>
      <c r="AA771" s="5">
        <v>0</v>
      </c>
      <c r="AB771" s="5"/>
      <c r="AC771" s="5">
        <v>0</v>
      </c>
      <c r="AD771" s="5">
        <v>0</v>
      </c>
      <c r="AE771" s="5">
        <v>0</v>
      </c>
      <c r="AF771" s="5">
        <v>0</v>
      </c>
    </row>
    <row r="772" spans="1:32" x14ac:dyDescent="0.2">
      <c r="A772" s="3" t="str">
        <f>+VLOOKUP(B772,studies!$A$2:$C$102,3)</f>
        <v>Weitzman (2013)</v>
      </c>
      <c r="B772" s="87">
        <v>95</v>
      </c>
      <c r="C772" s="5">
        <v>2013</v>
      </c>
      <c r="D772" s="5">
        <v>1</v>
      </c>
      <c r="E772" s="5">
        <v>2007</v>
      </c>
      <c r="F772" s="5">
        <v>2010</v>
      </c>
      <c r="G772" s="113">
        <v>7.1428571428571425E-2</v>
      </c>
      <c r="H772" s="7">
        <v>1195.5549130570193</v>
      </c>
      <c r="I772" s="5">
        <v>0</v>
      </c>
      <c r="J772" s="5">
        <v>1</v>
      </c>
      <c r="K772" s="5">
        <v>0</v>
      </c>
      <c r="L772" s="7" t="s">
        <v>238</v>
      </c>
      <c r="M772" s="7" t="s">
        <v>238</v>
      </c>
      <c r="N772" s="7" t="s">
        <v>238</v>
      </c>
      <c r="O772" s="5">
        <v>0</v>
      </c>
      <c r="P772" s="5">
        <v>1</v>
      </c>
      <c r="Q772" s="5">
        <v>1</v>
      </c>
      <c r="R772" s="5">
        <v>1</v>
      </c>
      <c r="S772" s="5">
        <v>1</v>
      </c>
      <c r="T772" s="5">
        <v>1</v>
      </c>
      <c r="U772" s="5">
        <v>1</v>
      </c>
      <c r="V772" s="13">
        <v>1</v>
      </c>
      <c r="W772" s="13"/>
      <c r="X772" s="5"/>
      <c r="Y772" s="5" t="s">
        <v>25</v>
      </c>
      <c r="Z772" s="5"/>
      <c r="AA772" s="5">
        <v>0</v>
      </c>
      <c r="AB772" s="5"/>
      <c r="AC772" s="5">
        <v>0</v>
      </c>
      <c r="AD772" s="5">
        <v>0</v>
      </c>
      <c r="AE772" s="5">
        <v>0</v>
      </c>
      <c r="AF772" s="5">
        <v>0</v>
      </c>
    </row>
    <row r="773" spans="1:32" x14ac:dyDescent="0.2">
      <c r="A773" s="3" t="str">
        <f>+VLOOKUP(B773,studies!$A$2:$C$102,3)</f>
        <v>Weitzman (2013)</v>
      </c>
      <c r="B773" s="87">
        <v>95</v>
      </c>
      <c r="C773" s="5">
        <v>2013</v>
      </c>
      <c r="D773" s="5">
        <v>1</v>
      </c>
      <c r="E773" s="5">
        <v>2007</v>
      </c>
      <c r="F773" s="5">
        <v>2010</v>
      </c>
      <c r="G773" s="113">
        <v>7.1428571428571425E-2</v>
      </c>
      <c r="H773" s="7">
        <v>1195.5549130570193</v>
      </c>
      <c r="I773" s="5">
        <v>0</v>
      </c>
      <c r="J773" s="5">
        <v>1</v>
      </c>
      <c r="K773" s="5">
        <v>0</v>
      </c>
      <c r="L773" s="7" t="s">
        <v>238</v>
      </c>
      <c r="M773" s="7" t="s">
        <v>238</v>
      </c>
      <c r="N773" s="7" t="s">
        <v>238</v>
      </c>
      <c r="O773" s="5">
        <v>0</v>
      </c>
      <c r="P773" s="5">
        <v>1</v>
      </c>
      <c r="Q773" s="5">
        <v>1</v>
      </c>
      <c r="R773" s="5">
        <v>1</v>
      </c>
      <c r="S773" s="5">
        <v>1</v>
      </c>
      <c r="T773" s="5">
        <v>1</v>
      </c>
      <c r="U773" s="5">
        <v>1</v>
      </c>
      <c r="V773" s="13">
        <v>1</v>
      </c>
      <c r="W773" s="13"/>
      <c r="X773" s="5"/>
      <c r="Y773" s="5" t="s">
        <v>25</v>
      </c>
      <c r="Z773" s="5"/>
      <c r="AA773" s="5">
        <v>0</v>
      </c>
      <c r="AB773" s="5"/>
      <c r="AC773" s="5">
        <v>0</v>
      </c>
      <c r="AD773" s="5">
        <v>0</v>
      </c>
      <c r="AE773" s="5">
        <v>0</v>
      </c>
      <c r="AF773" s="5">
        <v>0</v>
      </c>
    </row>
    <row r="774" spans="1:32" x14ac:dyDescent="0.2">
      <c r="A774" s="3" t="str">
        <f>+VLOOKUP(B774,studies!$A$2:$C$102,3)</f>
        <v>Weitzman (2013)</v>
      </c>
      <c r="B774" s="87">
        <v>95</v>
      </c>
      <c r="C774" s="5">
        <v>2013</v>
      </c>
      <c r="D774" s="5">
        <v>1</v>
      </c>
      <c r="E774" s="5">
        <v>2007</v>
      </c>
      <c r="F774" s="5">
        <v>2010</v>
      </c>
      <c r="G774" s="113">
        <v>7.1428571428571425E-2</v>
      </c>
      <c r="H774" s="7">
        <v>1024.7613540488737</v>
      </c>
      <c r="I774" s="5">
        <v>0</v>
      </c>
      <c r="J774" s="5">
        <v>1</v>
      </c>
      <c r="K774" s="5">
        <v>0</v>
      </c>
      <c r="L774" s="7" t="s">
        <v>238</v>
      </c>
      <c r="M774" s="7" t="s">
        <v>238</v>
      </c>
      <c r="N774" s="7" t="s">
        <v>238</v>
      </c>
      <c r="O774" s="5">
        <v>0</v>
      </c>
      <c r="P774" s="5">
        <v>1</v>
      </c>
      <c r="Q774" s="5">
        <v>1</v>
      </c>
      <c r="R774" s="5">
        <v>1</v>
      </c>
      <c r="S774" s="5">
        <v>1</v>
      </c>
      <c r="T774" s="5">
        <v>1</v>
      </c>
      <c r="U774" s="5">
        <v>1</v>
      </c>
      <c r="V774" s="13">
        <v>1</v>
      </c>
      <c r="W774" s="13"/>
      <c r="X774" s="5"/>
      <c r="Y774" s="5" t="s">
        <v>25</v>
      </c>
      <c r="Z774" s="5"/>
      <c r="AA774" s="5">
        <v>0</v>
      </c>
      <c r="AB774" s="5"/>
      <c r="AC774" s="5">
        <v>0</v>
      </c>
      <c r="AD774" s="5">
        <v>0</v>
      </c>
      <c r="AE774" s="5">
        <v>0</v>
      </c>
      <c r="AF774" s="5">
        <v>0</v>
      </c>
    </row>
    <row r="775" spans="1:32" x14ac:dyDescent="0.2">
      <c r="A775" s="3" t="str">
        <f>+VLOOKUP(B775,studies!$A$2:$C$102,3)</f>
        <v>Weitzman (2013)</v>
      </c>
      <c r="B775" s="87">
        <v>95</v>
      </c>
      <c r="C775" s="5">
        <v>2013</v>
      </c>
      <c r="D775" s="5">
        <v>1</v>
      </c>
      <c r="E775" s="5">
        <v>2007</v>
      </c>
      <c r="F775" s="5">
        <v>2010</v>
      </c>
      <c r="G775" s="113">
        <v>7.1428571428571425E-2</v>
      </c>
      <c r="H775" s="7">
        <v>822.50582364449076</v>
      </c>
      <c r="I775" s="5">
        <v>0</v>
      </c>
      <c r="J775" s="5">
        <v>1</v>
      </c>
      <c r="K775" s="5">
        <v>0</v>
      </c>
      <c r="L775" s="7" t="s">
        <v>238</v>
      </c>
      <c r="M775" s="7" t="s">
        <v>238</v>
      </c>
      <c r="N775" s="7" t="s">
        <v>238</v>
      </c>
      <c r="O775" s="5">
        <v>0</v>
      </c>
      <c r="P775" s="5">
        <v>1</v>
      </c>
      <c r="Q775" s="5">
        <v>1</v>
      </c>
      <c r="R775" s="5">
        <v>1</v>
      </c>
      <c r="S775" s="5">
        <v>1</v>
      </c>
      <c r="T775" s="5">
        <v>1</v>
      </c>
      <c r="U775" s="5">
        <v>1</v>
      </c>
      <c r="V775" s="13">
        <v>1</v>
      </c>
      <c r="W775" s="13"/>
      <c r="X775" s="5"/>
      <c r="Y775" s="5" t="s">
        <v>25</v>
      </c>
      <c r="Z775" s="5"/>
      <c r="AA775" s="5">
        <v>0</v>
      </c>
      <c r="AB775" s="5"/>
      <c r="AC775" s="5">
        <v>0</v>
      </c>
      <c r="AD775" s="5">
        <v>0</v>
      </c>
      <c r="AE775" s="5">
        <v>0</v>
      </c>
      <c r="AF775" s="5">
        <v>0</v>
      </c>
    </row>
    <row r="776" spans="1:32" x14ac:dyDescent="0.2">
      <c r="A776" s="3" t="str">
        <f>+VLOOKUP(B776,studies!$A$2:$C$102,3)</f>
        <v>Weitzman (2013)</v>
      </c>
      <c r="B776" s="87">
        <v>95</v>
      </c>
      <c r="C776" s="5">
        <v>2013</v>
      </c>
      <c r="D776" s="5">
        <v>1</v>
      </c>
      <c r="E776" s="5">
        <v>2007</v>
      </c>
      <c r="F776" s="5">
        <v>2010</v>
      </c>
      <c r="G776" s="113">
        <v>7.1428571428571425E-2</v>
      </c>
      <c r="H776" s="7">
        <v>629.23942792474691</v>
      </c>
      <c r="I776" s="5">
        <v>0</v>
      </c>
      <c r="J776" s="5">
        <v>1</v>
      </c>
      <c r="K776" s="5">
        <v>0</v>
      </c>
      <c r="L776" s="7" t="s">
        <v>238</v>
      </c>
      <c r="M776" s="7" t="s">
        <v>238</v>
      </c>
      <c r="N776" s="7" t="s">
        <v>238</v>
      </c>
      <c r="O776" s="5">
        <v>0</v>
      </c>
      <c r="P776" s="5">
        <v>1</v>
      </c>
      <c r="Q776" s="5">
        <v>1</v>
      </c>
      <c r="R776" s="5">
        <v>1</v>
      </c>
      <c r="S776" s="5">
        <v>1</v>
      </c>
      <c r="T776" s="5">
        <v>1</v>
      </c>
      <c r="U776" s="5">
        <v>1</v>
      </c>
      <c r="V776" s="13">
        <v>1</v>
      </c>
      <c r="W776" s="13"/>
      <c r="X776" s="5"/>
      <c r="Y776" s="5" t="s">
        <v>25</v>
      </c>
      <c r="Z776" s="5"/>
      <c r="AA776" s="5">
        <v>0</v>
      </c>
      <c r="AB776" s="5"/>
      <c r="AC776" s="5">
        <v>0</v>
      </c>
      <c r="AD776" s="5">
        <v>0</v>
      </c>
      <c r="AE776" s="5">
        <v>0</v>
      </c>
      <c r="AF776" s="5">
        <v>0</v>
      </c>
    </row>
    <row r="777" spans="1:32" x14ac:dyDescent="0.2">
      <c r="A777" s="3" t="str">
        <f>+VLOOKUP(B777,studies!$A$2:$C$102,3)</f>
        <v>Weitzman (2013)</v>
      </c>
      <c r="B777" s="87">
        <v>95</v>
      </c>
      <c r="C777" s="5">
        <v>2013</v>
      </c>
      <c r="D777" s="5">
        <v>1</v>
      </c>
      <c r="E777" s="5">
        <v>2007</v>
      </c>
      <c r="F777" s="5">
        <v>2010</v>
      </c>
      <c r="G777" s="113">
        <v>7.1428571428571425E-2</v>
      </c>
      <c r="H777" s="7">
        <v>413.50019549340516</v>
      </c>
      <c r="I777" s="5">
        <v>0</v>
      </c>
      <c r="J777" s="5">
        <v>1</v>
      </c>
      <c r="K777" s="5">
        <v>0</v>
      </c>
      <c r="L777" s="7" t="s">
        <v>238</v>
      </c>
      <c r="M777" s="7" t="s">
        <v>238</v>
      </c>
      <c r="N777" s="7" t="s">
        <v>238</v>
      </c>
      <c r="O777" s="5">
        <v>0</v>
      </c>
      <c r="P777" s="5">
        <v>1</v>
      </c>
      <c r="Q777" s="5">
        <v>1</v>
      </c>
      <c r="R777" s="5">
        <v>1</v>
      </c>
      <c r="S777" s="5">
        <v>1</v>
      </c>
      <c r="T777" s="5">
        <v>1</v>
      </c>
      <c r="U777" s="5">
        <v>1</v>
      </c>
      <c r="V777" s="13">
        <v>1</v>
      </c>
      <c r="W777" s="13"/>
      <c r="X777" s="5"/>
      <c r="Y777" s="5" t="s">
        <v>25</v>
      </c>
      <c r="Z777" s="5"/>
      <c r="AA777" s="5">
        <v>0</v>
      </c>
      <c r="AB777" s="5"/>
      <c r="AC777" s="5">
        <v>0</v>
      </c>
      <c r="AD777" s="5">
        <v>0</v>
      </c>
      <c r="AE777" s="5">
        <v>0</v>
      </c>
      <c r="AF777" s="5">
        <v>0</v>
      </c>
    </row>
    <row r="778" spans="1:32" x14ac:dyDescent="0.2">
      <c r="A778" s="3" t="str">
        <f>+VLOOKUP(B778,studies!$A$2:$C$102,3)</f>
        <v>Weitzman (2013)</v>
      </c>
      <c r="B778" s="87">
        <v>95</v>
      </c>
      <c r="C778" s="5">
        <v>2013</v>
      </c>
      <c r="D778" s="5">
        <v>1</v>
      </c>
      <c r="E778" s="5">
        <v>2007</v>
      </c>
      <c r="F778" s="5">
        <v>2010</v>
      </c>
      <c r="G778" s="113">
        <v>7.1428571428571425E-2</v>
      </c>
      <c r="H778" s="7">
        <v>202.25553040438294</v>
      </c>
      <c r="I778" s="5">
        <v>0</v>
      </c>
      <c r="J778" s="5">
        <v>1</v>
      </c>
      <c r="K778" s="5">
        <v>0</v>
      </c>
      <c r="L778" s="7" t="s">
        <v>238</v>
      </c>
      <c r="M778" s="7" t="s">
        <v>238</v>
      </c>
      <c r="N778" s="7" t="s">
        <v>238</v>
      </c>
      <c r="O778" s="5">
        <v>0</v>
      </c>
      <c r="P778" s="5">
        <v>1</v>
      </c>
      <c r="Q778" s="5">
        <v>1</v>
      </c>
      <c r="R778" s="5">
        <v>1</v>
      </c>
      <c r="S778" s="5">
        <v>1</v>
      </c>
      <c r="T778" s="5">
        <v>1</v>
      </c>
      <c r="U778" s="5">
        <v>1</v>
      </c>
      <c r="V778" s="13">
        <v>1</v>
      </c>
      <c r="W778" s="13"/>
      <c r="X778" s="5"/>
      <c r="Y778" s="5" t="s">
        <v>25</v>
      </c>
      <c r="Z778" s="5"/>
      <c r="AA778" s="5">
        <v>0</v>
      </c>
      <c r="AB778" s="5"/>
      <c r="AC778" s="5">
        <v>0</v>
      </c>
      <c r="AD778" s="5">
        <v>0</v>
      </c>
      <c r="AE778" s="5">
        <v>0</v>
      </c>
      <c r="AF778" s="5">
        <v>0</v>
      </c>
    </row>
    <row r="779" spans="1:32" x14ac:dyDescent="0.2">
      <c r="A779" s="3" t="str">
        <f>+VLOOKUP(B779,studies!$A$2:$C$102,3)</f>
        <v>Weitzman (2013)</v>
      </c>
      <c r="B779" s="87">
        <v>95</v>
      </c>
      <c r="C779" s="5">
        <v>2013</v>
      </c>
      <c r="D779" s="5">
        <v>1</v>
      </c>
      <c r="E779" s="5">
        <v>2007</v>
      </c>
      <c r="F779" s="5">
        <v>2010</v>
      </c>
      <c r="G779" s="113">
        <v>7.1428571428571425E-2</v>
      </c>
      <c r="H779" s="7">
        <v>4.4945673423196206</v>
      </c>
      <c r="I779" s="5">
        <v>0</v>
      </c>
      <c r="J779" s="5">
        <v>1</v>
      </c>
      <c r="K779" s="5">
        <v>0</v>
      </c>
      <c r="L779" s="7" t="s">
        <v>238</v>
      </c>
      <c r="M779" s="7" t="s">
        <v>238</v>
      </c>
      <c r="N779" s="7" t="s">
        <v>238</v>
      </c>
      <c r="O779" s="5">
        <v>0</v>
      </c>
      <c r="P779" s="5">
        <v>1</v>
      </c>
      <c r="Q779" s="5">
        <v>1</v>
      </c>
      <c r="R779" s="5">
        <v>1</v>
      </c>
      <c r="S779" s="5">
        <v>1</v>
      </c>
      <c r="T779" s="5">
        <v>1</v>
      </c>
      <c r="U779" s="5">
        <v>1</v>
      </c>
      <c r="V779" s="13">
        <v>1</v>
      </c>
      <c r="W779" s="13"/>
      <c r="X779" s="5"/>
      <c r="Y779" s="5" t="s">
        <v>25</v>
      </c>
      <c r="Z779" s="5"/>
      <c r="AA779" s="5">
        <v>0</v>
      </c>
      <c r="AB779" s="5"/>
      <c r="AC779" s="5">
        <v>0</v>
      </c>
      <c r="AD779" s="5">
        <v>0</v>
      </c>
      <c r="AE779" s="5">
        <v>0</v>
      </c>
      <c r="AF779" s="5">
        <v>0</v>
      </c>
    </row>
    <row r="780" spans="1:32" x14ac:dyDescent="0.2">
      <c r="A780" s="3" t="str">
        <f>+VLOOKUP(B780,studies!$A$2:$C$102,3)</f>
        <v>Golosov et al. (2014)</v>
      </c>
      <c r="B780" s="87">
        <v>96</v>
      </c>
      <c r="C780" s="5">
        <v>2014</v>
      </c>
      <c r="D780" s="5">
        <v>1</v>
      </c>
      <c r="E780" s="48">
        <v>2013</v>
      </c>
      <c r="F780" s="48">
        <v>2013</v>
      </c>
      <c r="G780" s="115">
        <v>1.5714285714285714</v>
      </c>
      <c r="H780" s="7">
        <v>58.644843130964617</v>
      </c>
      <c r="I780" s="5">
        <v>1</v>
      </c>
      <c r="J780" s="5">
        <v>0</v>
      </c>
      <c r="K780" s="5">
        <v>0</v>
      </c>
      <c r="L780" s="7"/>
      <c r="M780" s="102"/>
      <c r="N780" s="102"/>
      <c r="O780" s="5">
        <v>1</v>
      </c>
      <c r="P780" s="5">
        <v>1</v>
      </c>
      <c r="Q780" s="5">
        <v>0</v>
      </c>
      <c r="R780" s="5">
        <v>0</v>
      </c>
      <c r="S780" s="5">
        <v>0</v>
      </c>
      <c r="T780" s="5">
        <v>0</v>
      </c>
      <c r="U780" s="5">
        <v>0</v>
      </c>
      <c r="V780" s="13"/>
      <c r="W780" s="13">
        <v>0.1</v>
      </c>
      <c r="X780" s="5"/>
      <c r="Y780" s="5"/>
      <c r="Z780" s="3">
        <v>0.5</v>
      </c>
      <c r="AA780" s="5">
        <v>0</v>
      </c>
      <c r="AB780" s="5"/>
      <c r="AC780" s="5">
        <v>0</v>
      </c>
      <c r="AD780" s="5">
        <v>0</v>
      </c>
      <c r="AE780" s="5">
        <v>0</v>
      </c>
      <c r="AF780" s="5">
        <v>1</v>
      </c>
    </row>
    <row r="781" spans="1:32" x14ac:dyDescent="0.2">
      <c r="A781" s="3" t="str">
        <f>+VLOOKUP(B781,studies!$A$2:$C$102,3)</f>
        <v>Golosov et al. (2014)</v>
      </c>
      <c r="B781" s="87">
        <v>96</v>
      </c>
      <c r="C781" s="5">
        <v>2014</v>
      </c>
      <c r="D781" s="5">
        <v>1</v>
      </c>
      <c r="E781" s="48">
        <v>2013</v>
      </c>
      <c r="F781" s="48">
        <v>2013</v>
      </c>
      <c r="G781" s="115">
        <v>1.5714285714285714</v>
      </c>
      <c r="H781" s="7">
        <v>511.2098803683383</v>
      </c>
      <c r="I781" s="5">
        <v>1</v>
      </c>
      <c r="J781" s="5">
        <v>0</v>
      </c>
      <c r="K781" s="5">
        <v>0</v>
      </c>
      <c r="L781" s="7"/>
      <c r="M781" s="102"/>
      <c r="N781" s="102"/>
      <c r="O781" s="5">
        <v>1</v>
      </c>
      <c r="P781" s="5">
        <v>1</v>
      </c>
      <c r="Q781" s="5">
        <v>0</v>
      </c>
      <c r="R781" s="5">
        <v>0</v>
      </c>
      <c r="S781" s="5">
        <v>0</v>
      </c>
      <c r="T781" s="5">
        <v>0</v>
      </c>
      <c r="U781" s="5">
        <v>0</v>
      </c>
      <c r="V781" s="13"/>
      <c r="W781" s="13">
        <v>2.7</v>
      </c>
      <c r="X781" s="5"/>
      <c r="Y781" s="5"/>
      <c r="Z781" s="3">
        <v>0.5</v>
      </c>
      <c r="AA781" s="5">
        <v>0</v>
      </c>
      <c r="AB781" s="5"/>
      <c r="AC781" s="5">
        <v>0</v>
      </c>
      <c r="AD781" s="5">
        <v>0</v>
      </c>
      <c r="AE781" s="5">
        <v>0</v>
      </c>
      <c r="AF781" s="5">
        <v>1</v>
      </c>
    </row>
    <row r="782" spans="1:32" x14ac:dyDescent="0.2">
      <c r="A782" s="3" t="str">
        <f>+VLOOKUP(B782,studies!$A$2:$C$102,3)</f>
        <v>Golosov et al. (2014)</v>
      </c>
      <c r="B782" s="87">
        <v>96</v>
      </c>
      <c r="C782" s="5">
        <v>2014</v>
      </c>
      <c r="D782" s="5">
        <v>1</v>
      </c>
      <c r="E782" s="48">
        <v>2013</v>
      </c>
      <c r="F782" s="48">
        <v>2013</v>
      </c>
      <c r="G782" s="115">
        <v>1.5714285714285714</v>
      </c>
      <c r="H782" s="7">
        <v>26.075826559110805</v>
      </c>
      <c r="I782" s="5">
        <v>1</v>
      </c>
      <c r="J782" s="5">
        <v>0</v>
      </c>
      <c r="K782" s="5">
        <v>0</v>
      </c>
      <c r="L782" s="7"/>
      <c r="M782" s="102"/>
      <c r="N782" s="102"/>
      <c r="O782" s="5">
        <v>1</v>
      </c>
      <c r="P782" s="5">
        <v>1</v>
      </c>
      <c r="Q782" s="5">
        <v>0</v>
      </c>
      <c r="R782" s="5">
        <v>0</v>
      </c>
      <c r="S782" s="5">
        <v>0</v>
      </c>
      <c r="T782" s="5">
        <v>0</v>
      </c>
      <c r="U782" s="5">
        <v>0</v>
      </c>
      <c r="V782" s="13"/>
      <c r="W782" s="13">
        <v>0.1</v>
      </c>
      <c r="X782" s="5"/>
      <c r="Y782" s="5"/>
      <c r="Z782" s="3">
        <v>0.5</v>
      </c>
      <c r="AA782" s="5">
        <v>0</v>
      </c>
      <c r="AB782" s="5"/>
      <c r="AC782" s="5">
        <v>0</v>
      </c>
      <c r="AD782" s="5">
        <v>0</v>
      </c>
      <c r="AE782" s="5">
        <v>0</v>
      </c>
      <c r="AF782" s="5">
        <v>1</v>
      </c>
    </row>
    <row r="783" spans="1:32" x14ac:dyDescent="0.2">
      <c r="A783" s="3" t="str">
        <f>+VLOOKUP(B783,studies!$A$2:$C$102,3)</f>
        <v>Golosov et al. (2014)</v>
      </c>
      <c r="B783" s="87">
        <v>96</v>
      </c>
      <c r="C783" s="5">
        <v>2014</v>
      </c>
      <c r="D783" s="5">
        <v>1</v>
      </c>
      <c r="E783" s="48">
        <v>2013</v>
      </c>
      <c r="F783" s="48">
        <v>2013</v>
      </c>
      <c r="G783" s="115">
        <v>1.5714285714285714</v>
      </c>
      <c r="H783" s="7">
        <v>503.99522479862389</v>
      </c>
      <c r="I783" s="5">
        <v>1</v>
      </c>
      <c r="J783" s="5">
        <v>0</v>
      </c>
      <c r="K783" s="5">
        <v>0</v>
      </c>
      <c r="L783" s="7"/>
      <c r="M783" s="102"/>
      <c r="N783" s="102"/>
      <c r="O783" s="5">
        <v>1</v>
      </c>
      <c r="P783" s="5">
        <v>1</v>
      </c>
      <c r="Q783" s="5">
        <v>0</v>
      </c>
      <c r="R783" s="5">
        <v>0</v>
      </c>
      <c r="S783" s="5">
        <v>0</v>
      </c>
      <c r="T783" s="5">
        <v>0</v>
      </c>
      <c r="U783" s="5">
        <v>0</v>
      </c>
      <c r="V783" s="13"/>
      <c r="W783" s="13">
        <v>2.7</v>
      </c>
      <c r="X783" s="5"/>
      <c r="Y783" s="5"/>
      <c r="Z783" s="3">
        <v>0.5</v>
      </c>
      <c r="AA783" s="5">
        <v>0</v>
      </c>
      <c r="AB783" s="5"/>
      <c r="AC783" s="5">
        <v>0</v>
      </c>
      <c r="AD783" s="5">
        <v>0</v>
      </c>
      <c r="AE783" s="5">
        <v>0</v>
      </c>
      <c r="AF783" s="5">
        <v>1</v>
      </c>
    </row>
    <row r="784" spans="1:32" x14ac:dyDescent="0.2">
      <c r="A784" s="3" t="str">
        <f>+VLOOKUP(B784,studies!$A$2:$C$102,3)</f>
        <v>Golosov et al. (2014)</v>
      </c>
      <c r="B784" s="87">
        <v>96</v>
      </c>
      <c r="C784" s="5">
        <v>2014</v>
      </c>
      <c r="D784" s="5">
        <v>1</v>
      </c>
      <c r="E784" s="48">
        <v>2013</v>
      </c>
      <c r="F784" s="48">
        <v>2013</v>
      </c>
      <c r="G784" s="115">
        <v>1.5714285714285714</v>
      </c>
      <c r="H784" s="7">
        <v>227.7769829866991</v>
      </c>
      <c r="I784" s="5">
        <v>1</v>
      </c>
      <c r="J784" s="5">
        <v>0</v>
      </c>
      <c r="K784" s="5">
        <v>0</v>
      </c>
      <c r="L784" s="7"/>
      <c r="M784" s="102"/>
      <c r="N784" s="102"/>
      <c r="O784" s="5">
        <v>1</v>
      </c>
      <c r="P784" s="5">
        <v>1</v>
      </c>
      <c r="Q784" s="5">
        <v>0</v>
      </c>
      <c r="R784" s="5">
        <v>0</v>
      </c>
      <c r="S784" s="5">
        <v>0</v>
      </c>
      <c r="T784" s="5">
        <v>0</v>
      </c>
      <c r="U784" s="5">
        <v>0</v>
      </c>
      <c r="V784" s="13"/>
      <c r="W784" s="13">
        <v>0.1</v>
      </c>
      <c r="X784" s="5"/>
      <c r="Y784" s="5"/>
      <c r="Z784" s="3">
        <v>0.5</v>
      </c>
      <c r="AA784" s="5">
        <v>0</v>
      </c>
      <c r="AB784" s="5"/>
      <c r="AC784" s="5">
        <v>0</v>
      </c>
      <c r="AD784" s="5">
        <v>0</v>
      </c>
      <c r="AE784" s="5">
        <v>0</v>
      </c>
      <c r="AF784" s="5">
        <v>1</v>
      </c>
    </row>
    <row r="785" spans="1:32" x14ac:dyDescent="0.2">
      <c r="A785" s="3" t="str">
        <f>+VLOOKUP(B785,studies!$A$2:$C$102,3)</f>
        <v>Golosov et al. (2014)</v>
      </c>
      <c r="B785" s="87">
        <v>96</v>
      </c>
      <c r="C785" s="5">
        <v>2014</v>
      </c>
      <c r="D785" s="5">
        <v>1</v>
      </c>
      <c r="E785" s="48">
        <v>2013</v>
      </c>
      <c r="F785" s="48">
        <v>2013</v>
      </c>
      <c r="G785" s="115">
        <v>1.5714285714285714</v>
      </c>
      <c r="H785" s="7">
        <v>4393.7252419561009</v>
      </c>
      <c r="I785" s="5">
        <v>1</v>
      </c>
      <c r="J785" s="5">
        <v>0</v>
      </c>
      <c r="K785" s="5">
        <v>0</v>
      </c>
      <c r="L785" s="7"/>
      <c r="M785" s="102"/>
      <c r="N785" s="102"/>
      <c r="O785" s="5">
        <v>1</v>
      </c>
      <c r="P785" s="5">
        <v>1</v>
      </c>
      <c r="Q785" s="5">
        <v>0</v>
      </c>
      <c r="R785" s="5">
        <v>0</v>
      </c>
      <c r="S785" s="5">
        <v>0</v>
      </c>
      <c r="T785" s="5">
        <v>0</v>
      </c>
      <c r="U785" s="5">
        <v>0</v>
      </c>
      <c r="V785" s="13"/>
      <c r="W785" s="13">
        <v>2.7</v>
      </c>
      <c r="X785" s="5"/>
      <c r="Y785" s="5"/>
      <c r="Z785" s="3">
        <v>0.5</v>
      </c>
      <c r="AA785" s="5">
        <v>0</v>
      </c>
      <c r="AB785" s="5"/>
      <c r="AC785" s="5">
        <v>0</v>
      </c>
      <c r="AD785" s="5">
        <v>0</v>
      </c>
      <c r="AE785" s="5">
        <v>0</v>
      </c>
      <c r="AF785" s="5">
        <v>1</v>
      </c>
    </row>
    <row r="786" spans="1:32" x14ac:dyDescent="0.2">
      <c r="A786" s="3" t="str">
        <f>+VLOOKUP(B786,studies!$A$2:$C$102,3)</f>
        <v>Golosov et al. (2014)</v>
      </c>
      <c r="B786" s="87">
        <v>96</v>
      </c>
      <c r="C786" s="5">
        <v>2014</v>
      </c>
      <c r="D786" s="5">
        <v>1</v>
      </c>
      <c r="E786" s="48">
        <v>2013</v>
      </c>
      <c r="F786" s="48">
        <v>2013</v>
      </c>
      <c r="G786" s="115">
        <v>1.5714285714285714</v>
      </c>
      <c r="H786" s="7">
        <v>32.981282604408925</v>
      </c>
      <c r="I786" s="5">
        <v>1</v>
      </c>
      <c r="J786" s="5">
        <v>0</v>
      </c>
      <c r="K786" s="5">
        <v>0</v>
      </c>
      <c r="L786" s="7"/>
      <c r="M786" s="102"/>
      <c r="N786" s="102"/>
      <c r="O786" s="5">
        <v>1</v>
      </c>
      <c r="P786" s="5">
        <v>1</v>
      </c>
      <c r="Q786" s="5">
        <v>0</v>
      </c>
      <c r="R786" s="5">
        <v>0</v>
      </c>
      <c r="S786" s="5">
        <v>0</v>
      </c>
      <c r="T786" s="5">
        <v>0</v>
      </c>
      <c r="U786" s="5">
        <v>0</v>
      </c>
      <c r="V786" s="13"/>
      <c r="W786" s="13">
        <v>3</v>
      </c>
      <c r="X786" s="5"/>
      <c r="Y786" s="3">
        <v>1.5</v>
      </c>
      <c r="Z786" s="3">
        <v>0.5</v>
      </c>
      <c r="AA786" s="5">
        <v>0</v>
      </c>
      <c r="AB786" s="5"/>
      <c r="AC786" s="5">
        <v>0</v>
      </c>
      <c r="AD786" s="5">
        <v>0</v>
      </c>
      <c r="AE786" s="5">
        <v>0</v>
      </c>
      <c r="AF786" s="5">
        <v>1</v>
      </c>
    </row>
    <row r="787" spans="1:32" x14ac:dyDescent="0.2">
      <c r="A787" s="3" t="str">
        <f>+VLOOKUP(B787,studies!$A$2:$C$102,3)</f>
        <v>Howarth et al. (2014)</v>
      </c>
      <c r="B787" s="87">
        <v>97</v>
      </c>
      <c r="C787" s="5">
        <v>2014</v>
      </c>
      <c r="D787" s="5">
        <v>1</v>
      </c>
      <c r="E787" s="5">
        <v>2005</v>
      </c>
      <c r="F787" s="5">
        <v>2010</v>
      </c>
      <c r="G787" s="113">
        <v>0.5</v>
      </c>
      <c r="H787" s="7">
        <v>47.716978079428308</v>
      </c>
      <c r="I787" s="5">
        <v>0</v>
      </c>
      <c r="J787" s="5">
        <v>1</v>
      </c>
      <c r="K787" s="5">
        <v>0</v>
      </c>
      <c r="L787" s="7"/>
      <c r="M787" s="102"/>
      <c r="N787" s="102"/>
      <c r="O787" s="5">
        <v>0</v>
      </c>
      <c r="P787" s="5">
        <v>1</v>
      </c>
      <c r="Q787" s="5">
        <v>0</v>
      </c>
      <c r="R787" s="5">
        <v>1</v>
      </c>
      <c r="S787" s="5">
        <v>0</v>
      </c>
      <c r="T787" s="5">
        <v>1</v>
      </c>
      <c r="U787" s="5">
        <v>0</v>
      </c>
      <c r="V787" s="13"/>
      <c r="W787" s="13"/>
      <c r="X787" s="3">
        <v>2</v>
      </c>
      <c r="Y787" s="5"/>
      <c r="Z787" s="5"/>
      <c r="AA787" s="5">
        <v>0</v>
      </c>
      <c r="AB787" s="5"/>
      <c r="AC787" s="5">
        <v>0</v>
      </c>
      <c r="AD787" s="5">
        <v>0</v>
      </c>
      <c r="AE787" s="5">
        <v>0</v>
      </c>
      <c r="AF787" s="5">
        <v>0</v>
      </c>
    </row>
    <row r="788" spans="1:32" x14ac:dyDescent="0.2">
      <c r="A788" s="3" t="str">
        <f>+VLOOKUP(B788,studies!$A$2:$C$102,3)</f>
        <v>Howarth et al. (2014)</v>
      </c>
      <c r="B788" s="87">
        <v>97</v>
      </c>
      <c r="C788" s="5">
        <v>2014</v>
      </c>
      <c r="D788" s="5">
        <v>1</v>
      </c>
      <c r="E788" s="5">
        <v>2005</v>
      </c>
      <c r="F788" s="5">
        <v>2010</v>
      </c>
      <c r="G788" s="113">
        <v>0.5</v>
      </c>
      <c r="H788" s="7">
        <v>209.95470354948455</v>
      </c>
      <c r="I788" s="5">
        <v>0</v>
      </c>
      <c r="J788" s="5">
        <v>1</v>
      </c>
      <c r="K788" s="5">
        <v>0</v>
      </c>
      <c r="L788" s="7"/>
      <c r="M788" s="102"/>
      <c r="N788" s="102"/>
      <c r="O788" s="5">
        <v>0</v>
      </c>
      <c r="P788" s="5">
        <v>1</v>
      </c>
      <c r="Q788" s="5">
        <v>0</v>
      </c>
      <c r="R788" s="5">
        <v>1</v>
      </c>
      <c r="S788" s="5">
        <v>0</v>
      </c>
      <c r="T788" s="5">
        <v>1</v>
      </c>
      <c r="U788" s="5">
        <v>0</v>
      </c>
      <c r="V788" s="13"/>
      <c r="W788" s="13"/>
      <c r="X788" s="3">
        <v>3.5</v>
      </c>
      <c r="Y788" s="5"/>
      <c r="Z788" s="5"/>
      <c r="AA788" s="5">
        <v>0</v>
      </c>
      <c r="AB788" s="5"/>
      <c r="AC788" s="5">
        <v>0</v>
      </c>
      <c r="AD788" s="5">
        <v>0</v>
      </c>
      <c r="AE788" s="5">
        <v>0</v>
      </c>
      <c r="AF788" s="5">
        <v>0</v>
      </c>
    </row>
    <row r="789" spans="1:32" x14ac:dyDescent="0.2">
      <c r="A789" s="3" t="str">
        <f>+VLOOKUP(B789,studies!$A$2:$C$102,3)</f>
        <v>Jensen &amp; Traeger (2014a)</v>
      </c>
      <c r="B789" s="87">
        <v>98</v>
      </c>
      <c r="C789" s="5">
        <v>2014</v>
      </c>
      <c r="D789" s="5">
        <v>1</v>
      </c>
      <c r="E789" s="48">
        <v>2012</v>
      </c>
      <c r="F789" s="5">
        <v>2012</v>
      </c>
      <c r="G789" s="113">
        <v>0.16666666666666666</v>
      </c>
      <c r="H789" s="7">
        <v>37.195700971125198</v>
      </c>
      <c r="I789" s="5">
        <v>0</v>
      </c>
      <c r="J789" s="5">
        <v>1</v>
      </c>
      <c r="K789" s="5">
        <v>0</v>
      </c>
      <c r="L789" s="7"/>
      <c r="M789" s="102"/>
      <c r="N789" s="102"/>
      <c r="O789" s="5">
        <v>0</v>
      </c>
      <c r="P789" s="5">
        <v>1</v>
      </c>
      <c r="Q789" s="5">
        <v>0</v>
      </c>
      <c r="R789" s="5">
        <v>0</v>
      </c>
      <c r="S789" s="5">
        <v>0</v>
      </c>
      <c r="T789" s="5">
        <v>1</v>
      </c>
      <c r="U789" s="5">
        <v>0</v>
      </c>
      <c r="V789" s="13"/>
      <c r="W789" s="13"/>
      <c r="X789" s="5">
        <v>2</v>
      </c>
      <c r="Y789" s="5"/>
      <c r="Z789" s="3">
        <v>0.5</v>
      </c>
      <c r="AA789" s="5">
        <v>0</v>
      </c>
      <c r="AB789" s="5">
        <v>3</v>
      </c>
      <c r="AC789" s="5">
        <v>0</v>
      </c>
      <c r="AD789" s="5">
        <v>0</v>
      </c>
      <c r="AE789" s="5">
        <v>0</v>
      </c>
      <c r="AF789" s="5">
        <v>0</v>
      </c>
    </row>
    <row r="790" spans="1:32" x14ac:dyDescent="0.2">
      <c r="A790" s="3" t="str">
        <f>+VLOOKUP(B790,studies!$A$2:$C$102,3)</f>
        <v>Jensen &amp; Traeger (2014a)</v>
      </c>
      <c r="B790" s="87">
        <v>98</v>
      </c>
      <c r="C790" s="5">
        <v>2014</v>
      </c>
      <c r="D790" s="5">
        <v>1</v>
      </c>
      <c r="E790" s="48">
        <v>2012</v>
      </c>
      <c r="F790" s="5">
        <v>2012</v>
      </c>
      <c r="G790" s="113">
        <v>0.16666666666666666</v>
      </c>
      <c r="H790" s="7">
        <v>45.697575478810961</v>
      </c>
      <c r="I790" s="5">
        <v>0</v>
      </c>
      <c r="J790" s="5">
        <v>1</v>
      </c>
      <c r="K790" s="5">
        <v>0</v>
      </c>
      <c r="L790" s="7"/>
      <c r="M790" s="102"/>
      <c r="N790" s="102"/>
      <c r="O790" s="5">
        <v>0</v>
      </c>
      <c r="P790" s="5">
        <v>1</v>
      </c>
      <c r="Q790" s="5">
        <v>0</v>
      </c>
      <c r="R790" s="5">
        <v>0</v>
      </c>
      <c r="S790" s="5">
        <v>0</v>
      </c>
      <c r="T790" s="5">
        <v>1</v>
      </c>
      <c r="U790" s="5">
        <v>0</v>
      </c>
      <c r="V790" s="13"/>
      <c r="W790" s="13"/>
      <c r="X790" s="5">
        <v>10</v>
      </c>
      <c r="Y790" s="5"/>
      <c r="Z790" s="3">
        <v>0.5</v>
      </c>
      <c r="AA790" s="5">
        <v>0</v>
      </c>
      <c r="AB790" s="5">
        <v>3</v>
      </c>
      <c r="AC790" s="5">
        <v>0</v>
      </c>
      <c r="AD790" s="5">
        <v>0</v>
      </c>
      <c r="AE790" s="5">
        <v>0</v>
      </c>
      <c r="AF790" s="5">
        <v>0</v>
      </c>
    </row>
    <row r="791" spans="1:32" x14ac:dyDescent="0.2">
      <c r="A791" s="3" t="str">
        <f>+VLOOKUP(B791,studies!$A$2:$C$102,3)</f>
        <v>Jensen &amp; Traeger (2014a)</v>
      </c>
      <c r="B791" s="87">
        <v>98</v>
      </c>
      <c r="C791" s="5">
        <v>2014</v>
      </c>
      <c r="D791" s="5">
        <v>1</v>
      </c>
      <c r="E791" s="48">
        <v>2012</v>
      </c>
      <c r="F791" s="5">
        <v>2012</v>
      </c>
      <c r="G791" s="113">
        <v>0.16666666666666666</v>
      </c>
      <c r="H791" s="7">
        <v>47.823044105732407</v>
      </c>
      <c r="I791" s="5">
        <v>0</v>
      </c>
      <c r="J791" s="5">
        <v>1</v>
      </c>
      <c r="K791" s="5">
        <v>0</v>
      </c>
      <c r="L791" s="7"/>
      <c r="M791" s="102"/>
      <c r="N791" s="102"/>
      <c r="O791" s="5">
        <v>0</v>
      </c>
      <c r="P791" s="5">
        <v>1</v>
      </c>
      <c r="Q791" s="5">
        <v>0</v>
      </c>
      <c r="R791" s="5">
        <v>0</v>
      </c>
      <c r="S791" s="5">
        <v>0</v>
      </c>
      <c r="T791" s="5">
        <v>1</v>
      </c>
      <c r="U791" s="5">
        <v>0</v>
      </c>
      <c r="V791" s="13"/>
      <c r="W791" s="13"/>
      <c r="X791" s="5">
        <v>10</v>
      </c>
      <c r="Y791" s="5"/>
      <c r="Z791" s="3">
        <v>0.5</v>
      </c>
      <c r="AA791" s="5">
        <v>0</v>
      </c>
      <c r="AB791" s="5">
        <v>3</v>
      </c>
      <c r="AC791" s="5">
        <v>0</v>
      </c>
      <c r="AD791" s="5">
        <v>0</v>
      </c>
      <c r="AE791" s="5">
        <v>0</v>
      </c>
      <c r="AF791" s="5">
        <v>0</v>
      </c>
    </row>
    <row r="792" spans="1:32" x14ac:dyDescent="0.2">
      <c r="A792" s="3" t="str">
        <f>+VLOOKUP(B792,studies!$A$2:$C$102,3)</f>
        <v>Jensen &amp; Traeger (2014a)</v>
      </c>
      <c r="B792" s="87">
        <v>98</v>
      </c>
      <c r="C792" s="5">
        <v>2014</v>
      </c>
      <c r="D792" s="5">
        <v>1</v>
      </c>
      <c r="E792" s="48">
        <v>2012</v>
      </c>
      <c r="F792" s="5">
        <v>2012</v>
      </c>
      <c r="G792" s="113">
        <v>0.16666666666666666</v>
      </c>
      <c r="H792" s="7">
        <v>90.332416644161199</v>
      </c>
      <c r="I792" s="5">
        <v>0</v>
      </c>
      <c r="J792" s="5">
        <v>1</v>
      </c>
      <c r="K792" s="5">
        <v>0</v>
      </c>
      <c r="L792" s="7"/>
      <c r="M792" s="102"/>
      <c r="N792" s="102"/>
      <c r="O792" s="5">
        <v>0</v>
      </c>
      <c r="P792" s="5">
        <v>1</v>
      </c>
      <c r="Q792" s="5">
        <v>0</v>
      </c>
      <c r="R792" s="5">
        <v>0</v>
      </c>
      <c r="S792" s="5">
        <v>0</v>
      </c>
      <c r="T792" s="5">
        <v>1</v>
      </c>
      <c r="U792" s="5">
        <v>0</v>
      </c>
      <c r="V792" s="13"/>
      <c r="W792" s="13"/>
      <c r="X792" s="5">
        <v>2</v>
      </c>
      <c r="Y792" s="5"/>
      <c r="Z792" s="3">
        <v>1.5</v>
      </c>
      <c r="AA792" s="5">
        <v>0</v>
      </c>
      <c r="AB792" s="5">
        <v>3</v>
      </c>
      <c r="AC792" s="5">
        <v>0</v>
      </c>
      <c r="AD792" s="5">
        <v>0</v>
      </c>
      <c r="AE792" s="5">
        <v>0</v>
      </c>
      <c r="AF792" s="5">
        <v>0</v>
      </c>
    </row>
    <row r="793" spans="1:32" x14ac:dyDescent="0.2">
      <c r="A793" s="3" t="str">
        <f>+VLOOKUP(B793,studies!$A$2:$C$102,3)</f>
        <v>Jensen &amp; Traeger (2014a)</v>
      </c>
      <c r="B793" s="87">
        <v>98</v>
      </c>
      <c r="C793" s="5">
        <v>2014</v>
      </c>
      <c r="D793" s="5">
        <v>1</v>
      </c>
      <c r="E793" s="48">
        <v>2012</v>
      </c>
      <c r="F793" s="5">
        <v>2012</v>
      </c>
      <c r="G793" s="113">
        <v>0.16666666666666666</v>
      </c>
      <c r="H793" s="7">
        <v>75.45413625571112</v>
      </c>
      <c r="I793" s="5">
        <v>0</v>
      </c>
      <c r="J793" s="5">
        <v>1</v>
      </c>
      <c r="K793" s="5">
        <v>0</v>
      </c>
      <c r="L793" s="7"/>
      <c r="M793" s="102"/>
      <c r="N793" s="102"/>
      <c r="O793" s="5">
        <v>0</v>
      </c>
      <c r="P793" s="5">
        <v>1</v>
      </c>
      <c r="Q793" s="5">
        <v>0</v>
      </c>
      <c r="R793" s="5">
        <v>0</v>
      </c>
      <c r="S793" s="5">
        <v>0</v>
      </c>
      <c r="T793" s="5">
        <v>1</v>
      </c>
      <c r="U793" s="5">
        <v>0</v>
      </c>
      <c r="V793" s="13"/>
      <c r="W793" s="13"/>
      <c r="X793" s="5">
        <v>10</v>
      </c>
      <c r="Y793" s="5"/>
      <c r="Z793" s="3">
        <v>1.5</v>
      </c>
      <c r="AA793" s="5">
        <v>0</v>
      </c>
      <c r="AB793" s="5">
        <v>3</v>
      </c>
      <c r="AC793" s="5">
        <v>0</v>
      </c>
      <c r="AD793" s="5">
        <v>0</v>
      </c>
      <c r="AE793" s="5">
        <v>0</v>
      </c>
      <c r="AF793" s="5">
        <v>0</v>
      </c>
    </row>
    <row r="794" spans="1:32" x14ac:dyDescent="0.2">
      <c r="A794" s="3" t="str">
        <f>+VLOOKUP(B794,studies!$A$2:$C$102,3)</f>
        <v>Jensen &amp; Traeger (2014a)</v>
      </c>
      <c r="B794" s="87">
        <v>98</v>
      </c>
      <c r="C794" s="5">
        <v>2014</v>
      </c>
      <c r="D794" s="5">
        <v>1</v>
      </c>
      <c r="E794" s="48">
        <v>2012</v>
      </c>
      <c r="F794" s="5">
        <v>2012</v>
      </c>
      <c r="G794" s="113">
        <v>0.16666666666666666</v>
      </c>
      <c r="H794" s="7">
        <v>59.513121553800325</v>
      </c>
      <c r="I794" s="5">
        <v>0</v>
      </c>
      <c r="J794" s="5">
        <v>1</v>
      </c>
      <c r="K794" s="5">
        <v>0</v>
      </c>
      <c r="L794" s="7"/>
      <c r="M794" s="102"/>
      <c r="N794" s="102"/>
      <c r="O794" s="5">
        <v>0</v>
      </c>
      <c r="P794" s="5">
        <v>1</v>
      </c>
      <c r="Q794" s="5">
        <v>0</v>
      </c>
      <c r="R794" s="5">
        <v>0</v>
      </c>
      <c r="S794" s="5">
        <v>0</v>
      </c>
      <c r="T794" s="5">
        <v>1</v>
      </c>
      <c r="U794" s="5">
        <v>0</v>
      </c>
      <c r="V794" s="13"/>
      <c r="W794" s="13"/>
      <c r="X794" s="5">
        <v>10</v>
      </c>
      <c r="Y794" s="5"/>
      <c r="Z794" s="3">
        <v>1.5</v>
      </c>
      <c r="AA794" s="5">
        <v>0</v>
      </c>
      <c r="AB794" s="5">
        <v>3</v>
      </c>
      <c r="AC794" s="5">
        <v>0</v>
      </c>
      <c r="AD794" s="5">
        <v>0</v>
      </c>
      <c r="AE794" s="5">
        <v>0</v>
      </c>
      <c r="AF794" s="5">
        <v>0</v>
      </c>
    </row>
    <row r="795" spans="1:32" x14ac:dyDescent="0.2">
      <c r="A795" s="3" t="str">
        <f>+VLOOKUP(B795,studies!$A$2:$C$102,3)</f>
        <v>Lemoine &amp; Traeger (2014)</v>
      </c>
      <c r="B795" s="87">
        <v>99</v>
      </c>
      <c r="C795" s="5">
        <v>2014</v>
      </c>
      <c r="D795" s="5">
        <v>1</v>
      </c>
      <c r="E795" s="48">
        <v>2005</v>
      </c>
      <c r="F795" s="5">
        <v>2015</v>
      </c>
      <c r="G795" s="113">
        <v>0.2</v>
      </c>
      <c r="H795" s="7">
        <v>40.938999829322405</v>
      </c>
      <c r="I795" s="5">
        <v>0</v>
      </c>
      <c r="J795" s="5">
        <v>1</v>
      </c>
      <c r="K795" s="5">
        <v>0</v>
      </c>
      <c r="L795" s="7"/>
      <c r="M795" s="102"/>
      <c r="N795" s="102"/>
      <c r="O795" s="5">
        <v>1</v>
      </c>
      <c r="P795" s="5">
        <v>1</v>
      </c>
      <c r="Q795" s="5">
        <v>1</v>
      </c>
      <c r="R795" s="5">
        <v>0</v>
      </c>
      <c r="S795" s="5">
        <v>0</v>
      </c>
      <c r="T795" s="5">
        <v>1</v>
      </c>
      <c r="U795" s="5">
        <v>0</v>
      </c>
      <c r="V795" s="13"/>
      <c r="W795" s="13"/>
      <c r="X795" s="3">
        <v>2</v>
      </c>
      <c r="Y795" s="3"/>
      <c r="Z795" s="3">
        <v>0.5</v>
      </c>
      <c r="AA795" s="5">
        <v>0</v>
      </c>
      <c r="AB795" s="5">
        <v>3</v>
      </c>
      <c r="AC795" s="5">
        <v>0</v>
      </c>
      <c r="AD795" s="5">
        <v>0</v>
      </c>
      <c r="AE795" s="5">
        <v>0</v>
      </c>
      <c r="AF795" s="5">
        <v>1</v>
      </c>
    </row>
    <row r="796" spans="1:32" x14ac:dyDescent="0.2">
      <c r="A796" s="3" t="str">
        <f>+VLOOKUP(B796,studies!$A$2:$C$102,3)</f>
        <v>Lemoine &amp; Traeger (2014)</v>
      </c>
      <c r="B796" s="87">
        <v>99</v>
      </c>
      <c r="C796" s="5">
        <v>2014</v>
      </c>
      <c r="D796" s="5">
        <v>1</v>
      </c>
      <c r="E796" s="48">
        <v>2005</v>
      </c>
      <c r="F796" s="5">
        <v>2015</v>
      </c>
      <c r="G796" s="113">
        <v>0.2</v>
      </c>
      <c r="H796" s="7">
        <v>49.126799795186884</v>
      </c>
      <c r="I796" s="5">
        <v>0</v>
      </c>
      <c r="J796" s="5">
        <v>1</v>
      </c>
      <c r="K796" s="5">
        <v>0</v>
      </c>
      <c r="L796" s="7"/>
      <c r="M796" s="102"/>
      <c r="N796" s="102"/>
      <c r="O796" s="5">
        <v>1</v>
      </c>
      <c r="P796" s="5">
        <v>1</v>
      </c>
      <c r="Q796" s="5">
        <v>1</v>
      </c>
      <c r="R796" s="5">
        <v>0</v>
      </c>
      <c r="S796" s="5">
        <v>0</v>
      </c>
      <c r="T796" s="5">
        <v>1</v>
      </c>
      <c r="U796" s="5">
        <v>0</v>
      </c>
      <c r="V796" s="13"/>
      <c r="W796" s="13"/>
      <c r="X796" s="3">
        <v>2</v>
      </c>
      <c r="Y796" s="3"/>
      <c r="Z796" s="3">
        <v>0.5</v>
      </c>
      <c r="AA796" s="5">
        <v>0</v>
      </c>
      <c r="AB796" s="5">
        <v>3</v>
      </c>
      <c r="AC796" s="5">
        <v>0</v>
      </c>
      <c r="AD796" s="5">
        <v>0</v>
      </c>
      <c r="AE796" s="5">
        <v>0</v>
      </c>
      <c r="AF796" s="5">
        <v>1</v>
      </c>
    </row>
    <row r="797" spans="1:32" x14ac:dyDescent="0.2">
      <c r="A797" s="3" t="str">
        <f>+VLOOKUP(B797,studies!$A$2:$C$102,3)</f>
        <v>Lemoine &amp; Traeger (2014)</v>
      </c>
      <c r="B797" s="87">
        <v>99</v>
      </c>
      <c r="C797" s="5">
        <v>2014</v>
      </c>
      <c r="D797" s="5">
        <v>1</v>
      </c>
      <c r="E797" s="48">
        <v>2005</v>
      </c>
      <c r="F797" s="5">
        <v>2015</v>
      </c>
      <c r="G797" s="113">
        <v>0.2</v>
      </c>
      <c r="H797" s="7">
        <v>49.126799795186884</v>
      </c>
      <c r="I797" s="5">
        <v>0</v>
      </c>
      <c r="J797" s="5">
        <v>1</v>
      </c>
      <c r="K797" s="5">
        <v>0</v>
      </c>
      <c r="L797" s="7"/>
      <c r="M797" s="102"/>
      <c r="N797" s="102"/>
      <c r="O797" s="5">
        <v>1</v>
      </c>
      <c r="P797" s="5">
        <v>1</v>
      </c>
      <c r="Q797" s="5">
        <v>1</v>
      </c>
      <c r="R797" s="5">
        <v>0</v>
      </c>
      <c r="S797" s="5">
        <v>0</v>
      </c>
      <c r="T797" s="5">
        <v>1</v>
      </c>
      <c r="U797" s="5">
        <v>0</v>
      </c>
      <c r="V797" s="13"/>
      <c r="W797" s="13"/>
      <c r="X797" s="3">
        <v>2</v>
      </c>
      <c r="Y797" s="3"/>
      <c r="Z797" s="3">
        <v>0.5</v>
      </c>
      <c r="AA797" s="5">
        <v>0</v>
      </c>
      <c r="AB797" s="5">
        <v>3</v>
      </c>
      <c r="AC797" s="5">
        <v>0</v>
      </c>
      <c r="AD797" s="5">
        <v>0</v>
      </c>
      <c r="AE797" s="5">
        <v>0</v>
      </c>
      <c r="AF797" s="5">
        <v>1</v>
      </c>
    </row>
    <row r="798" spans="1:32" x14ac:dyDescent="0.2">
      <c r="A798" s="3" t="str">
        <f>+VLOOKUP(B798,studies!$A$2:$C$102,3)</f>
        <v>Lemoine &amp; Traeger (2014)</v>
      </c>
      <c r="B798" s="87">
        <v>99</v>
      </c>
      <c r="C798" s="5">
        <v>2014</v>
      </c>
      <c r="D798" s="5">
        <v>1</v>
      </c>
      <c r="E798" s="48">
        <v>2005</v>
      </c>
      <c r="F798" s="5">
        <v>2015</v>
      </c>
      <c r="G798" s="113">
        <v>0.2</v>
      </c>
      <c r="H798" s="7">
        <v>61.408499743983612</v>
      </c>
      <c r="I798" s="5">
        <v>0</v>
      </c>
      <c r="J798" s="5">
        <v>1</v>
      </c>
      <c r="K798" s="5">
        <v>0</v>
      </c>
      <c r="L798" s="7"/>
      <c r="M798" s="102"/>
      <c r="N798" s="102"/>
      <c r="O798" s="5">
        <v>1</v>
      </c>
      <c r="P798" s="5">
        <v>1</v>
      </c>
      <c r="Q798" s="5">
        <v>1</v>
      </c>
      <c r="R798" s="5">
        <v>0</v>
      </c>
      <c r="S798" s="5">
        <v>0</v>
      </c>
      <c r="T798" s="5">
        <v>1</v>
      </c>
      <c r="U798" s="5">
        <v>0</v>
      </c>
      <c r="V798" s="13"/>
      <c r="W798" s="13"/>
      <c r="X798" s="3">
        <v>2</v>
      </c>
      <c r="Y798" s="3"/>
      <c r="Z798" s="3">
        <v>0.5</v>
      </c>
      <c r="AA798" s="5">
        <v>0</v>
      </c>
      <c r="AB798" s="5">
        <v>3</v>
      </c>
      <c r="AC798" s="5">
        <v>0</v>
      </c>
      <c r="AD798" s="5">
        <v>0</v>
      </c>
      <c r="AE798" s="5">
        <v>0</v>
      </c>
      <c r="AF798" s="5">
        <v>1</v>
      </c>
    </row>
    <row r="799" spans="1:32" x14ac:dyDescent="0.2">
      <c r="A799" s="3" t="str">
        <f>+VLOOKUP(B799,studies!$A$2:$C$102,3)</f>
        <v>Lemoine &amp; Traeger (2014)</v>
      </c>
      <c r="B799" s="87">
        <v>99</v>
      </c>
      <c r="C799" s="5">
        <v>2014</v>
      </c>
      <c r="D799" s="5">
        <v>1</v>
      </c>
      <c r="E799" s="48">
        <v>2005</v>
      </c>
      <c r="F799" s="5">
        <v>2015</v>
      </c>
      <c r="G799" s="113">
        <v>0.2</v>
      </c>
      <c r="H799" s="7">
        <v>57.314599761051362</v>
      </c>
      <c r="I799" s="5">
        <v>0</v>
      </c>
      <c r="J799" s="5">
        <v>1</v>
      </c>
      <c r="K799" s="5">
        <v>0</v>
      </c>
      <c r="L799" s="7"/>
      <c r="M799" s="102"/>
      <c r="N799" s="102"/>
      <c r="O799" s="5">
        <v>1</v>
      </c>
      <c r="P799" s="5">
        <v>1</v>
      </c>
      <c r="Q799" s="5">
        <v>1</v>
      </c>
      <c r="R799" s="5">
        <v>0</v>
      </c>
      <c r="S799" s="5">
        <v>0</v>
      </c>
      <c r="T799" s="5">
        <v>1</v>
      </c>
      <c r="U799" s="5">
        <v>0</v>
      </c>
      <c r="V799" s="13"/>
      <c r="W799" s="13"/>
      <c r="X799" s="3">
        <v>2</v>
      </c>
      <c r="Y799" s="3"/>
      <c r="Z799" s="3">
        <v>0.5</v>
      </c>
      <c r="AA799" s="5">
        <v>0</v>
      </c>
      <c r="AB799" s="5">
        <v>3</v>
      </c>
      <c r="AC799" s="5">
        <v>0</v>
      </c>
      <c r="AD799" s="5">
        <v>0</v>
      </c>
      <c r="AE799" s="5">
        <v>0</v>
      </c>
      <c r="AF799" s="5">
        <v>1</v>
      </c>
    </row>
    <row r="800" spans="1:32" x14ac:dyDescent="0.2">
      <c r="A800" s="3" t="str">
        <f>+VLOOKUP(B800,studies!$A$2:$C$102,3)</f>
        <v>Newbold &amp; Marten (2014)</v>
      </c>
      <c r="B800" s="87">
        <v>100</v>
      </c>
      <c r="C800" s="5">
        <v>2014</v>
      </c>
      <c r="D800" s="5">
        <v>1</v>
      </c>
      <c r="E800" s="5">
        <v>2005</v>
      </c>
      <c r="F800" s="5">
        <v>2015</v>
      </c>
      <c r="G800" s="113">
        <v>1</v>
      </c>
      <c r="H800" s="7">
        <v>49.126799795186884</v>
      </c>
      <c r="I800" s="5">
        <v>0</v>
      </c>
      <c r="J800" s="5">
        <v>1</v>
      </c>
      <c r="K800" s="5">
        <v>0</v>
      </c>
      <c r="L800" s="7"/>
      <c r="M800" s="102"/>
      <c r="N800" s="102"/>
      <c r="O800" s="5">
        <v>1</v>
      </c>
      <c r="P800" s="5">
        <v>1</v>
      </c>
      <c r="Q800" s="5">
        <v>1</v>
      </c>
      <c r="R800" s="5">
        <v>1</v>
      </c>
      <c r="S800" s="5">
        <v>0</v>
      </c>
      <c r="T800" s="5">
        <v>0</v>
      </c>
      <c r="U800" s="5">
        <v>0</v>
      </c>
      <c r="V800" s="13"/>
      <c r="W800" s="13"/>
      <c r="X800" s="5"/>
      <c r="Y800" s="5"/>
      <c r="Z800" s="5"/>
      <c r="AA800" s="5">
        <v>0</v>
      </c>
      <c r="AB800" s="5"/>
      <c r="AC800" s="5">
        <v>0</v>
      </c>
      <c r="AD800" s="5">
        <v>0</v>
      </c>
      <c r="AE800" s="5">
        <v>0</v>
      </c>
      <c r="AF800" s="5">
        <v>0</v>
      </c>
    </row>
    <row r="801" spans="1:32" x14ac:dyDescent="0.2">
      <c r="A801" s="3" t="str">
        <f>+VLOOKUP(B801,studies!$A$2:$C$102,3)</f>
        <v>Pycroft et al. (2014)</v>
      </c>
      <c r="B801" s="87">
        <v>101</v>
      </c>
      <c r="C801" s="5">
        <v>2014</v>
      </c>
      <c r="D801" s="5">
        <v>1</v>
      </c>
      <c r="E801" s="5">
        <v>2005</v>
      </c>
      <c r="F801" s="5">
        <v>2009</v>
      </c>
      <c r="G801" s="113">
        <v>0.125</v>
      </c>
      <c r="H801" s="7">
        <v>236.16814046191016</v>
      </c>
      <c r="I801" s="5">
        <v>1</v>
      </c>
      <c r="J801" s="5">
        <v>0</v>
      </c>
      <c r="K801" s="5">
        <v>0</v>
      </c>
      <c r="L801" s="7"/>
      <c r="M801" s="7">
        <v>92.880752520096493</v>
      </c>
      <c r="N801" s="7">
        <v>446.83172833992353</v>
      </c>
      <c r="O801" s="5">
        <v>0</v>
      </c>
      <c r="P801" s="5">
        <v>1</v>
      </c>
      <c r="Q801" s="5">
        <v>0</v>
      </c>
      <c r="R801" s="5">
        <v>1</v>
      </c>
      <c r="S801" s="5">
        <v>0</v>
      </c>
      <c r="T801" s="5">
        <v>0</v>
      </c>
      <c r="U801" s="5">
        <v>1</v>
      </c>
      <c r="V801" s="13" t="s">
        <v>25</v>
      </c>
      <c r="W801" s="13" t="s">
        <v>25</v>
      </c>
      <c r="X801" s="5"/>
      <c r="Y801" s="5"/>
      <c r="Z801" s="5"/>
      <c r="AA801" s="5">
        <v>1</v>
      </c>
      <c r="AB801" s="5"/>
      <c r="AC801" s="5">
        <v>1</v>
      </c>
      <c r="AD801" s="5">
        <v>0</v>
      </c>
      <c r="AE801" s="5">
        <v>0</v>
      </c>
      <c r="AF801" s="5">
        <v>0</v>
      </c>
    </row>
    <row r="802" spans="1:32" x14ac:dyDescent="0.2">
      <c r="A802" s="3" t="str">
        <f>+VLOOKUP(B802,studies!$A$2:$C$102,3)</f>
        <v>Pycroft et al. (2014)</v>
      </c>
      <c r="B802" s="87">
        <v>101</v>
      </c>
      <c r="C802" s="5">
        <v>2014</v>
      </c>
      <c r="D802" s="5">
        <v>1</v>
      </c>
      <c r="E802" s="5">
        <v>2005</v>
      </c>
      <c r="F802" s="5">
        <v>2009</v>
      </c>
      <c r="G802" s="113">
        <v>0.125</v>
      </c>
      <c r="H802" s="7">
        <v>285.36983639147473</v>
      </c>
      <c r="I802" s="5">
        <v>1</v>
      </c>
      <c r="J802" s="5">
        <v>0</v>
      </c>
      <c r="K802" s="5">
        <v>0</v>
      </c>
      <c r="L802" s="7"/>
      <c r="M802" s="7">
        <v>115.47336799795778</v>
      </c>
      <c r="N802" s="7">
        <v>1081.9352523286911</v>
      </c>
      <c r="O802" s="5">
        <v>0</v>
      </c>
      <c r="P802" s="5">
        <v>1</v>
      </c>
      <c r="Q802" s="5">
        <v>0</v>
      </c>
      <c r="R802" s="5">
        <v>1</v>
      </c>
      <c r="S802" s="5">
        <v>0</v>
      </c>
      <c r="T802" s="5">
        <v>0</v>
      </c>
      <c r="U802" s="5">
        <v>1</v>
      </c>
      <c r="V802" s="13" t="s">
        <v>25</v>
      </c>
      <c r="W802" s="13" t="s">
        <v>25</v>
      </c>
      <c r="X802" s="5"/>
      <c r="Y802" s="5"/>
      <c r="Z802" s="5"/>
      <c r="AA802" s="5">
        <v>1</v>
      </c>
      <c r="AB802" s="5"/>
      <c r="AC802" s="5">
        <v>1</v>
      </c>
      <c r="AD802" s="5">
        <v>0</v>
      </c>
      <c r="AE802" s="5">
        <v>0</v>
      </c>
      <c r="AF802" s="5">
        <v>0</v>
      </c>
    </row>
    <row r="803" spans="1:32" x14ac:dyDescent="0.2">
      <c r="A803" s="3" t="str">
        <f>+VLOOKUP(B803,studies!$A$2:$C$102,3)</f>
        <v>Pycroft et al. (2014)</v>
      </c>
      <c r="B803" s="87">
        <v>101</v>
      </c>
      <c r="C803" s="5">
        <v>2014</v>
      </c>
      <c r="D803" s="5">
        <v>1</v>
      </c>
      <c r="E803" s="5">
        <v>2005</v>
      </c>
      <c r="F803" s="5">
        <v>2009</v>
      </c>
      <c r="G803" s="113">
        <v>0.125</v>
      </c>
      <c r="H803" s="7">
        <v>280.44966679851831</v>
      </c>
      <c r="I803" s="5">
        <v>1</v>
      </c>
      <c r="J803" s="5">
        <v>0</v>
      </c>
      <c r="K803" s="5">
        <v>0</v>
      </c>
      <c r="L803" s="7"/>
      <c r="M803" s="7">
        <v>112.96307738930652</v>
      </c>
      <c r="N803" s="7">
        <v>1240.0835606737205</v>
      </c>
      <c r="O803" s="5">
        <v>0</v>
      </c>
      <c r="P803" s="5">
        <v>1</v>
      </c>
      <c r="Q803" s="5">
        <v>0</v>
      </c>
      <c r="R803" s="5">
        <v>1</v>
      </c>
      <c r="S803" s="5">
        <v>0</v>
      </c>
      <c r="T803" s="5">
        <v>0</v>
      </c>
      <c r="U803" s="5">
        <v>1</v>
      </c>
      <c r="V803" s="13" t="s">
        <v>25</v>
      </c>
      <c r="W803" s="13" t="s">
        <v>25</v>
      </c>
      <c r="X803" s="5"/>
      <c r="Y803" s="5"/>
      <c r="Z803" s="5"/>
      <c r="AA803" s="5">
        <v>1</v>
      </c>
      <c r="AB803" s="5"/>
      <c r="AC803" s="5">
        <v>1</v>
      </c>
      <c r="AD803" s="5">
        <v>0</v>
      </c>
      <c r="AE803" s="5">
        <v>0</v>
      </c>
      <c r="AF803" s="5">
        <v>0</v>
      </c>
    </row>
    <row r="804" spans="1:32" x14ac:dyDescent="0.2">
      <c r="A804" s="3" t="str">
        <f>+VLOOKUP(B804,studies!$A$2:$C$102,3)</f>
        <v>Pycroft et al. (2014)</v>
      </c>
      <c r="B804" s="87">
        <v>101</v>
      </c>
      <c r="C804" s="5">
        <v>2014</v>
      </c>
      <c r="D804" s="5">
        <v>1</v>
      </c>
      <c r="E804" s="5">
        <v>2005</v>
      </c>
      <c r="F804" s="5">
        <v>2009</v>
      </c>
      <c r="G804" s="113">
        <v>0.125</v>
      </c>
      <c r="H804" s="7">
        <v>270.6093276126054</v>
      </c>
      <c r="I804" s="5">
        <v>1</v>
      </c>
      <c r="J804" s="5">
        <v>0</v>
      </c>
      <c r="K804" s="5">
        <v>0</v>
      </c>
      <c r="L804" s="7"/>
      <c r="M804" s="7">
        <v>110.45278678065525</v>
      </c>
      <c r="N804" s="7">
        <v>1968.0678371825845</v>
      </c>
      <c r="O804" s="5">
        <v>0</v>
      </c>
      <c r="P804" s="5">
        <v>1</v>
      </c>
      <c r="Q804" s="5">
        <v>0</v>
      </c>
      <c r="R804" s="5">
        <v>1</v>
      </c>
      <c r="S804" s="5">
        <v>0</v>
      </c>
      <c r="T804" s="5">
        <v>0</v>
      </c>
      <c r="U804" s="5">
        <v>1</v>
      </c>
      <c r="V804" s="13" t="s">
        <v>25</v>
      </c>
      <c r="W804" s="13" t="s">
        <v>25</v>
      </c>
      <c r="X804" s="5"/>
      <c r="Y804" s="5"/>
      <c r="Z804" s="5"/>
      <c r="AA804" s="5">
        <v>1</v>
      </c>
      <c r="AB804" s="5"/>
      <c r="AC804" s="5">
        <v>1</v>
      </c>
      <c r="AD804" s="5">
        <v>0</v>
      </c>
      <c r="AE804" s="5">
        <v>0</v>
      </c>
      <c r="AF804" s="5">
        <v>0</v>
      </c>
    </row>
    <row r="805" spans="1:32" x14ac:dyDescent="0.2">
      <c r="A805" s="3" t="str">
        <f>+VLOOKUP(B805,studies!$A$2:$C$102,3)</f>
        <v>Pycroft et al. (2014)</v>
      </c>
      <c r="B805" s="87">
        <v>101</v>
      </c>
      <c r="C805" s="5">
        <v>2014</v>
      </c>
      <c r="D805" s="5">
        <v>1</v>
      </c>
      <c r="E805" s="5">
        <v>2005</v>
      </c>
      <c r="F805" s="5">
        <v>2009</v>
      </c>
      <c r="G805" s="113">
        <v>0.125</v>
      </c>
      <c r="H805" s="7">
        <v>300.13034517034413</v>
      </c>
      <c r="I805" s="5">
        <v>1</v>
      </c>
      <c r="J805" s="5">
        <v>0</v>
      </c>
      <c r="K805" s="5">
        <v>0</v>
      </c>
      <c r="L805" s="7"/>
      <c r="M805" s="7">
        <v>110.45278678065525</v>
      </c>
      <c r="N805" s="7">
        <v>481.9757968610412</v>
      </c>
      <c r="O805" s="5">
        <v>0</v>
      </c>
      <c r="P805" s="5">
        <v>1</v>
      </c>
      <c r="Q805" s="5">
        <v>0</v>
      </c>
      <c r="R805" s="5">
        <v>1</v>
      </c>
      <c r="S805" s="5">
        <v>0</v>
      </c>
      <c r="T805" s="5">
        <v>0</v>
      </c>
      <c r="U805" s="5">
        <v>1</v>
      </c>
      <c r="V805" s="13" t="s">
        <v>25</v>
      </c>
      <c r="W805" s="13" t="s">
        <v>25</v>
      </c>
      <c r="X805" s="5"/>
      <c r="Y805" s="5"/>
      <c r="Z805" s="5"/>
      <c r="AA805" s="5">
        <v>1</v>
      </c>
      <c r="AB805" s="5"/>
      <c r="AC805" s="5">
        <v>1</v>
      </c>
      <c r="AD805" s="5">
        <v>0</v>
      </c>
      <c r="AE805" s="5">
        <v>0</v>
      </c>
      <c r="AF805" s="5">
        <v>0</v>
      </c>
    </row>
    <row r="806" spans="1:32" x14ac:dyDescent="0.2">
      <c r="A806" s="3" t="str">
        <f>+VLOOKUP(B806,studies!$A$2:$C$102,3)</f>
        <v>Pycroft et al. (2014)</v>
      </c>
      <c r="B806" s="87">
        <v>101</v>
      </c>
      <c r="C806" s="5">
        <v>2014</v>
      </c>
      <c r="D806" s="5">
        <v>1</v>
      </c>
      <c r="E806" s="5">
        <v>2005</v>
      </c>
      <c r="F806" s="5">
        <v>2009</v>
      </c>
      <c r="G806" s="113">
        <v>0.125</v>
      </c>
      <c r="H806" s="7">
        <v>339.49170191399588</v>
      </c>
      <c r="I806" s="5">
        <v>1</v>
      </c>
      <c r="J806" s="5">
        <v>0</v>
      </c>
      <c r="K806" s="5">
        <v>0</v>
      </c>
      <c r="L806" s="7"/>
      <c r="M806" s="7">
        <v>130.53511164986534</v>
      </c>
      <c r="N806" s="7">
        <v>1167.2851330228341</v>
      </c>
      <c r="O806" s="5">
        <v>0</v>
      </c>
      <c r="P806" s="5">
        <v>1</v>
      </c>
      <c r="Q806" s="5">
        <v>0</v>
      </c>
      <c r="R806" s="5">
        <v>1</v>
      </c>
      <c r="S806" s="5">
        <v>0</v>
      </c>
      <c r="T806" s="5">
        <v>0</v>
      </c>
      <c r="U806" s="5">
        <v>1</v>
      </c>
      <c r="V806" s="13" t="s">
        <v>25</v>
      </c>
      <c r="W806" s="13" t="s">
        <v>25</v>
      </c>
      <c r="X806" s="5"/>
      <c r="Y806" s="5"/>
      <c r="Z806" s="5"/>
      <c r="AA806" s="5">
        <v>1</v>
      </c>
      <c r="AB806" s="5"/>
      <c r="AC806" s="5">
        <v>1</v>
      </c>
      <c r="AD806" s="5">
        <v>0</v>
      </c>
      <c r="AE806" s="5">
        <v>0</v>
      </c>
      <c r="AF806" s="5">
        <v>0</v>
      </c>
    </row>
    <row r="807" spans="1:32" x14ac:dyDescent="0.2">
      <c r="A807" s="3" t="str">
        <f>+VLOOKUP(B807,studies!$A$2:$C$102,3)</f>
        <v>Pycroft et al. (2014)</v>
      </c>
      <c r="B807" s="87">
        <v>101</v>
      </c>
      <c r="C807" s="5">
        <v>2014</v>
      </c>
      <c r="D807" s="5">
        <v>1</v>
      </c>
      <c r="E807" s="5">
        <v>2005</v>
      </c>
      <c r="F807" s="5">
        <v>2009</v>
      </c>
      <c r="G807" s="113">
        <v>0.125</v>
      </c>
      <c r="H807" s="7">
        <v>334.57153232103934</v>
      </c>
      <c r="I807" s="5">
        <v>1</v>
      </c>
      <c r="J807" s="5">
        <v>0</v>
      </c>
      <c r="K807" s="5">
        <v>0</v>
      </c>
      <c r="L807" s="7"/>
      <c r="M807" s="7">
        <v>128.02482104121407</v>
      </c>
      <c r="N807" s="7">
        <v>1267.6967573688844</v>
      </c>
      <c r="O807" s="5">
        <v>0</v>
      </c>
      <c r="P807" s="5">
        <v>1</v>
      </c>
      <c r="Q807" s="5">
        <v>0</v>
      </c>
      <c r="R807" s="5">
        <v>1</v>
      </c>
      <c r="S807" s="5">
        <v>0</v>
      </c>
      <c r="T807" s="5">
        <v>0</v>
      </c>
      <c r="U807" s="5">
        <v>1</v>
      </c>
      <c r="V807" s="13" t="s">
        <v>25</v>
      </c>
      <c r="W807" s="13" t="s">
        <v>25</v>
      </c>
      <c r="X807" s="5"/>
      <c r="Y807" s="5"/>
      <c r="Z807" s="5"/>
      <c r="AA807" s="5">
        <v>1</v>
      </c>
      <c r="AB807" s="5"/>
      <c r="AC807" s="5">
        <v>1</v>
      </c>
      <c r="AD807" s="5">
        <v>0</v>
      </c>
      <c r="AE807" s="5">
        <v>0</v>
      </c>
      <c r="AF807" s="5">
        <v>0</v>
      </c>
    </row>
    <row r="808" spans="1:32" x14ac:dyDescent="0.2">
      <c r="A808" s="3" t="str">
        <f>+VLOOKUP(B808,studies!$A$2:$C$102,3)</f>
        <v>Pycroft et al. (2014)</v>
      </c>
      <c r="B808" s="87">
        <v>101</v>
      </c>
      <c r="C808" s="5">
        <v>2014</v>
      </c>
      <c r="D808" s="5">
        <v>1</v>
      </c>
      <c r="E808" s="5">
        <v>2005</v>
      </c>
      <c r="F808" s="5">
        <v>2009</v>
      </c>
      <c r="G808" s="113">
        <v>0.125</v>
      </c>
      <c r="H808" s="7">
        <v>324.73119313512649</v>
      </c>
      <c r="I808" s="5">
        <v>1</v>
      </c>
      <c r="J808" s="5">
        <v>0</v>
      </c>
      <c r="K808" s="5">
        <v>0</v>
      </c>
      <c r="L808" s="7"/>
      <c r="M808" s="7">
        <v>123.00423982391156</v>
      </c>
      <c r="N808" s="7">
        <v>2076.010333354589</v>
      </c>
      <c r="O808" s="5">
        <v>0</v>
      </c>
      <c r="P808" s="5">
        <v>1</v>
      </c>
      <c r="Q808" s="5">
        <v>0</v>
      </c>
      <c r="R808" s="5">
        <v>1</v>
      </c>
      <c r="S808" s="5">
        <v>0</v>
      </c>
      <c r="T808" s="5">
        <v>0</v>
      </c>
      <c r="U808" s="5">
        <v>1</v>
      </c>
      <c r="V808" s="13" t="s">
        <v>25</v>
      </c>
      <c r="W808" s="13" t="s">
        <v>25</v>
      </c>
      <c r="X808" s="5"/>
      <c r="Y808" s="5"/>
      <c r="Z808" s="5"/>
      <c r="AA808" s="5">
        <v>1</v>
      </c>
      <c r="AB808" s="5"/>
      <c r="AC808" s="5">
        <v>1</v>
      </c>
      <c r="AD808" s="5">
        <v>0</v>
      </c>
      <c r="AE808" s="5">
        <v>0</v>
      </c>
      <c r="AF808" s="5">
        <v>0</v>
      </c>
    </row>
    <row r="809" spans="1:32" x14ac:dyDescent="0.2">
      <c r="A809" s="3" t="str">
        <f>+VLOOKUP(B809,studies!$A$2:$C$102,3)</f>
        <v>Rezai &amp; van der Ploeg (2014)</v>
      </c>
      <c r="B809" s="87">
        <v>102</v>
      </c>
      <c r="C809" s="5">
        <v>2014</v>
      </c>
      <c r="D809" s="5">
        <v>0</v>
      </c>
      <c r="E809" s="48">
        <v>2010</v>
      </c>
      <c r="F809" s="5">
        <v>2010</v>
      </c>
      <c r="G809" s="113">
        <v>0.5</v>
      </c>
      <c r="H809" s="7">
        <v>87.417215146371007</v>
      </c>
      <c r="I809" s="5">
        <v>0</v>
      </c>
      <c r="J809" s="5">
        <v>1</v>
      </c>
      <c r="K809" s="5">
        <v>0</v>
      </c>
      <c r="L809" s="7"/>
      <c r="M809" s="102"/>
      <c r="N809" s="102"/>
      <c r="O809" s="5">
        <v>1</v>
      </c>
      <c r="P809" s="5">
        <v>1</v>
      </c>
      <c r="Q809" s="5">
        <v>0</v>
      </c>
      <c r="R809" s="5">
        <v>0</v>
      </c>
      <c r="S809" s="5">
        <v>0</v>
      </c>
      <c r="T809" s="5">
        <v>0</v>
      </c>
      <c r="U809" s="5">
        <v>0</v>
      </c>
      <c r="V809" s="13"/>
      <c r="W809" s="13">
        <v>0.96</v>
      </c>
      <c r="X809" s="5">
        <v>2</v>
      </c>
      <c r="Y809" s="5"/>
      <c r="Z809" s="3">
        <v>0.5</v>
      </c>
      <c r="AA809" s="5">
        <v>0</v>
      </c>
      <c r="AB809" s="5">
        <v>2.2999999999999998</v>
      </c>
      <c r="AC809" s="5">
        <v>0</v>
      </c>
      <c r="AD809" s="5">
        <v>0</v>
      </c>
      <c r="AE809" s="5">
        <v>0</v>
      </c>
      <c r="AF809" s="5">
        <v>1</v>
      </c>
    </row>
    <row r="810" spans="1:32" x14ac:dyDescent="0.2">
      <c r="A810" s="3" t="str">
        <f>+VLOOKUP(B810,studies!$A$2:$C$102,3)</f>
        <v>Rezai &amp; van der Ploeg (2014)</v>
      </c>
      <c r="B810" s="87">
        <v>102</v>
      </c>
      <c r="C810" s="5">
        <v>2014</v>
      </c>
      <c r="D810" s="5">
        <v>0</v>
      </c>
      <c r="E810" s="48">
        <v>2010</v>
      </c>
      <c r="F810" s="5">
        <v>2010</v>
      </c>
      <c r="G810" s="113">
        <v>0.5</v>
      </c>
      <c r="H810" s="7">
        <v>110.72847251873662</v>
      </c>
      <c r="I810" s="5">
        <v>0</v>
      </c>
      <c r="J810" s="5">
        <v>1</v>
      </c>
      <c r="K810" s="5">
        <v>0</v>
      </c>
      <c r="L810" s="7"/>
      <c r="M810" s="102"/>
      <c r="N810" s="102"/>
      <c r="O810" s="5">
        <v>1</v>
      </c>
      <c r="P810" s="5">
        <v>1</v>
      </c>
      <c r="Q810" s="5">
        <v>0</v>
      </c>
      <c r="R810" s="5">
        <v>0</v>
      </c>
      <c r="S810" s="5">
        <v>0</v>
      </c>
      <c r="T810" s="5">
        <v>0</v>
      </c>
      <c r="U810" s="5">
        <v>0</v>
      </c>
      <c r="V810" s="13"/>
      <c r="W810" s="13">
        <v>0.96</v>
      </c>
      <c r="X810" s="5">
        <v>2</v>
      </c>
      <c r="Y810" s="5"/>
      <c r="Z810" s="3">
        <v>0.5</v>
      </c>
      <c r="AA810" s="5">
        <v>0</v>
      </c>
      <c r="AB810" s="5">
        <v>2.2999999999999998</v>
      </c>
      <c r="AC810" s="5">
        <v>0</v>
      </c>
      <c r="AD810" s="5">
        <v>0</v>
      </c>
      <c r="AE810" s="5">
        <v>0</v>
      </c>
      <c r="AF810" s="5">
        <v>1</v>
      </c>
    </row>
    <row r="811" spans="1:32" x14ac:dyDescent="0.2">
      <c r="H81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68"/>
  <sheetViews>
    <sheetView zoomScale="85" zoomScaleNormal="85" workbookViewId="0">
      <pane xSplit="1" ySplit="1" topLeftCell="B2" activePane="bottomRight" state="frozen"/>
      <selection pane="topRight"/>
      <selection pane="bottomLeft"/>
      <selection pane="bottomRight"/>
    </sheetView>
  </sheetViews>
  <sheetFormatPr defaultRowHeight="12.75" x14ac:dyDescent="0.2"/>
  <cols>
    <col min="1" max="1" width="26.140625" style="91" bestFit="1" customWidth="1"/>
    <col min="2" max="2" width="9.140625" style="91"/>
    <col min="3" max="3" width="10.7109375" style="91" customWidth="1"/>
    <col min="4" max="7" width="9.140625" style="91"/>
    <col min="8" max="8" width="9.140625" style="98"/>
    <col min="9" max="11" width="9.140625" style="91"/>
    <col min="12" max="14" width="9.140625" style="98"/>
    <col min="15" max="32" width="9.140625" style="91"/>
    <col min="33" max="16384" width="9.140625" style="90"/>
  </cols>
  <sheetData>
    <row r="1" spans="1:32" s="96" customFormat="1" ht="12.75" customHeight="1" x14ac:dyDescent="0.2">
      <c r="A1" s="97" t="s">
        <v>321</v>
      </c>
      <c r="B1" s="94" t="s">
        <v>290</v>
      </c>
      <c r="C1" s="99" t="s">
        <v>287</v>
      </c>
      <c r="D1" s="94" t="s">
        <v>291</v>
      </c>
      <c r="E1" s="94" t="s">
        <v>293</v>
      </c>
      <c r="F1" s="94" t="s">
        <v>294</v>
      </c>
      <c r="G1" s="94" t="s">
        <v>295</v>
      </c>
      <c r="H1" s="100" t="s">
        <v>296</v>
      </c>
      <c r="I1" s="94" t="s">
        <v>297</v>
      </c>
      <c r="J1" s="94" t="s">
        <v>298</v>
      </c>
      <c r="K1" s="94" t="s">
        <v>299</v>
      </c>
      <c r="L1" s="100" t="s">
        <v>292</v>
      </c>
      <c r="M1" s="100" t="s">
        <v>300</v>
      </c>
      <c r="N1" s="100" t="s">
        <v>301</v>
      </c>
      <c r="O1" s="94" t="s">
        <v>302</v>
      </c>
      <c r="P1" s="94" t="s">
        <v>303</v>
      </c>
      <c r="Q1" s="94" t="s">
        <v>304</v>
      </c>
      <c r="R1" s="94" t="s">
        <v>305</v>
      </c>
      <c r="S1" s="89" t="s">
        <v>306</v>
      </c>
      <c r="T1" s="89" t="s">
        <v>307</v>
      </c>
      <c r="U1" s="89" t="s">
        <v>308</v>
      </c>
      <c r="V1" s="94" t="s">
        <v>309</v>
      </c>
      <c r="W1" s="94" t="s">
        <v>310</v>
      </c>
      <c r="X1" s="94" t="s">
        <v>311</v>
      </c>
      <c r="Y1" s="94" t="s">
        <v>312</v>
      </c>
      <c r="Z1" s="94" t="s">
        <v>313</v>
      </c>
      <c r="AA1" s="94" t="s">
        <v>241</v>
      </c>
      <c r="AB1" s="94" t="s">
        <v>314</v>
      </c>
      <c r="AC1" s="94" t="s">
        <v>315</v>
      </c>
      <c r="AD1" s="94" t="s">
        <v>316</v>
      </c>
      <c r="AE1" s="94" t="s">
        <v>318</v>
      </c>
      <c r="AF1" s="95" t="s">
        <v>317</v>
      </c>
    </row>
    <row r="2" spans="1:32" x14ac:dyDescent="0.2">
      <c r="A2" s="3" t="str">
        <f>+VLOOKUP(B2,studies!$A$2:$C$102,3)</f>
        <v>Cline (1992)</v>
      </c>
      <c r="B2" s="87">
        <v>4</v>
      </c>
      <c r="C2" s="5">
        <v>1992</v>
      </c>
      <c r="D2" s="5">
        <v>0</v>
      </c>
      <c r="E2" s="5">
        <v>1989</v>
      </c>
      <c r="F2" s="5">
        <v>1990</v>
      </c>
      <c r="G2" s="113">
        <v>1</v>
      </c>
      <c r="H2" s="7">
        <v>245.51021749099118</v>
      </c>
      <c r="I2" s="5">
        <v>0</v>
      </c>
      <c r="J2" s="5">
        <v>1</v>
      </c>
      <c r="K2" s="5">
        <v>0</v>
      </c>
      <c r="L2" s="7">
        <v>111.78469841076718</v>
      </c>
      <c r="M2" s="7">
        <v>114.06601878649712</v>
      </c>
      <c r="N2" s="7">
        <v>114.06601878649708</v>
      </c>
      <c r="O2" s="5">
        <v>1</v>
      </c>
      <c r="P2" s="5">
        <v>1</v>
      </c>
      <c r="Q2" s="5">
        <v>0</v>
      </c>
      <c r="R2" s="5">
        <v>1</v>
      </c>
      <c r="S2" s="33">
        <v>0</v>
      </c>
      <c r="T2" s="33">
        <v>0</v>
      </c>
      <c r="U2" s="33">
        <v>0</v>
      </c>
      <c r="V2" s="13">
        <v>1.5</v>
      </c>
      <c r="W2" s="13">
        <v>0</v>
      </c>
      <c r="X2" s="5">
        <v>1.5</v>
      </c>
      <c r="Y2" s="41">
        <v>1</v>
      </c>
      <c r="Z2" s="50">
        <f>1/X2</f>
        <v>0.66666666666666663</v>
      </c>
      <c r="AA2" s="5">
        <v>0</v>
      </c>
      <c r="AB2" s="5"/>
      <c r="AC2" s="5">
        <v>0</v>
      </c>
      <c r="AD2" s="5">
        <v>0</v>
      </c>
      <c r="AE2" s="5">
        <v>0</v>
      </c>
      <c r="AF2" s="5">
        <v>0</v>
      </c>
    </row>
    <row r="3" spans="1:32" x14ac:dyDescent="0.2">
      <c r="A3" s="3" t="str">
        <f>+VLOOKUP(B3,studies!$A$2:$C$102,3)</f>
        <v>Fankhauser (1994)</v>
      </c>
      <c r="B3" s="87">
        <v>14</v>
      </c>
      <c r="C3" s="5">
        <v>1994</v>
      </c>
      <c r="D3" s="5">
        <v>1</v>
      </c>
      <c r="E3" s="5">
        <v>1988</v>
      </c>
      <c r="F3" s="5">
        <v>2015</v>
      </c>
      <c r="G3" s="113">
        <v>1</v>
      </c>
      <c r="H3" s="7">
        <v>46.634123415046496</v>
      </c>
      <c r="I3" s="5">
        <v>1</v>
      </c>
      <c r="J3" s="5">
        <v>0</v>
      </c>
      <c r="K3" s="5">
        <v>0</v>
      </c>
      <c r="L3" s="7">
        <v>32.256804733727812</v>
      </c>
      <c r="M3" s="7">
        <v>15.987337623130403</v>
      </c>
      <c r="N3" s="7">
        <v>29.247423534079736</v>
      </c>
      <c r="O3" s="5">
        <v>1</v>
      </c>
      <c r="P3" s="5">
        <v>1</v>
      </c>
      <c r="Q3" s="5">
        <v>0</v>
      </c>
      <c r="R3" s="5">
        <v>1</v>
      </c>
      <c r="S3" s="5">
        <v>0</v>
      </c>
      <c r="T3" s="5">
        <v>0</v>
      </c>
      <c r="U3" s="5">
        <v>0</v>
      </c>
      <c r="V3" s="13" t="s">
        <v>25</v>
      </c>
      <c r="W3" s="13" t="s">
        <v>25</v>
      </c>
      <c r="X3" s="5">
        <v>1</v>
      </c>
      <c r="Y3" s="5"/>
      <c r="Z3" s="5"/>
      <c r="AA3" s="5">
        <v>0</v>
      </c>
      <c r="AB3" s="3">
        <v>6</v>
      </c>
      <c r="AC3" s="5">
        <v>0</v>
      </c>
      <c r="AD3" s="5">
        <v>0</v>
      </c>
      <c r="AE3" s="5">
        <v>0</v>
      </c>
      <c r="AF3" s="5">
        <v>0</v>
      </c>
    </row>
    <row r="4" spans="1:32" x14ac:dyDescent="0.2">
      <c r="A4" s="3" t="str">
        <f>+VLOOKUP(B4,studies!$A$2:$C$102,3)</f>
        <v>Schauer (1995)</v>
      </c>
      <c r="B4" s="87">
        <v>17</v>
      </c>
      <c r="C4" s="5">
        <v>1995</v>
      </c>
      <c r="D4" s="5">
        <v>1</v>
      </c>
      <c r="E4" s="5">
        <v>1990</v>
      </c>
      <c r="F4" s="5">
        <v>1990</v>
      </c>
      <c r="G4" s="115">
        <v>0.5</v>
      </c>
      <c r="H4" s="7">
        <v>6.3273707730144029</v>
      </c>
      <c r="I4" s="5">
        <v>0</v>
      </c>
      <c r="J4" s="5">
        <v>0</v>
      </c>
      <c r="K4" s="5">
        <v>1</v>
      </c>
      <c r="L4" s="7">
        <v>75.942805193978899</v>
      </c>
      <c r="M4" s="7">
        <v>75.942805193978899</v>
      </c>
      <c r="N4" s="7">
        <v>75.942805193978899</v>
      </c>
      <c r="O4" s="5">
        <v>1</v>
      </c>
      <c r="P4" s="5">
        <v>1</v>
      </c>
      <c r="Q4" s="5">
        <v>0</v>
      </c>
      <c r="R4" s="5">
        <v>1</v>
      </c>
      <c r="S4" s="5">
        <v>0</v>
      </c>
      <c r="T4" s="5">
        <v>0</v>
      </c>
      <c r="U4" s="5">
        <v>0</v>
      </c>
      <c r="V4" s="13">
        <v>4.91</v>
      </c>
      <c r="W4" s="13">
        <v>2.3000000000000003</v>
      </c>
      <c r="X4" s="5"/>
      <c r="Y4" s="5"/>
      <c r="Z4" s="5"/>
      <c r="AA4" s="5">
        <v>0</v>
      </c>
      <c r="AB4" s="5"/>
      <c r="AC4" s="5">
        <v>0</v>
      </c>
      <c r="AD4" s="5">
        <v>0</v>
      </c>
      <c r="AE4" s="5">
        <v>0</v>
      </c>
      <c r="AF4" s="5">
        <v>0</v>
      </c>
    </row>
    <row r="5" spans="1:32" x14ac:dyDescent="0.2">
      <c r="A5" s="3" t="str">
        <f>+VLOOKUP(B5,studies!$A$2:$C$102,3)</f>
        <v>Schauer (1995)</v>
      </c>
      <c r="B5" s="87">
        <v>17</v>
      </c>
      <c r="C5" s="5">
        <v>1995</v>
      </c>
      <c r="D5" s="5">
        <v>1</v>
      </c>
      <c r="E5" s="5">
        <v>1990</v>
      </c>
      <c r="F5" s="5">
        <v>1990</v>
      </c>
      <c r="G5" s="115">
        <v>0.5</v>
      </c>
      <c r="H5" s="7">
        <v>192.08218024488423</v>
      </c>
      <c r="I5" s="5">
        <v>0</v>
      </c>
      <c r="J5" s="5">
        <v>0</v>
      </c>
      <c r="K5" s="5">
        <v>1</v>
      </c>
      <c r="L5" s="7">
        <v>537.62912183639116</v>
      </c>
      <c r="M5" s="7">
        <v>537.62912183639116</v>
      </c>
      <c r="N5" s="7">
        <v>537.62912183639116</v>
      </c>
      <c r="O5" s="5">
        <v>1</v>
      </c>
      <c r="P5" s="5">
        <v>1</v>
      </c>
      <c r="Q5" s="5">
        <v>0</v>
      </c>
      <c r="R5" s="5">
        <v>1</v>
      </c>
      <c r="S5" s="5">
        <v>0</v>
      </c>
      <c r="T5" s="5">
        <v>0</v>
      </c>
      <c r="U5" s="5">
        <v>0</v>
      </c>
      <c r="V5" s="13">
        <v>4.91</v>
      </c>
      <c r="W5" s="13">
        <v>2.3000000000000003</v>
      </c>
      <c r="X5" s="5"/>
      <c r="Y5" s="5"/>
      <c r="Z5" s="5"/>
      <c r="AA5" s="5">
        <v>0</v>
      </c>
      <c r="AB5" s="5"/>
      <c r="AC5" s="5">
        <v>0</v>
      </c>
      <c r="AD5" s="5">
        <v>0</v>
      </c>
      <c r="AE5" s="5">
        <v>0</v>
      </c>
      <c r="AF5" s="5">
        <v>0</v>
      </c>
    </row>
    <row r="6" spans="1:32" x14ac:dyDescent="0.2">
      <c r="A6" s="3" t="str">
        <f>+VLOOKUP(B6,studies!$A$2:$C$102,3)</f>
        <v>Hope &amp; Maul (1996)</v>
      </c>
      <c r="B6" s="87">
        <v>21</v>
      </c>
      <c r="C6" s="5">
        <v>1996</v>
      </c>
      <c r="D6" s="5">
        <v>1</v>
      </c>
      <c r="E6" s="5">
        <v>1990</v>
      </c>
      <c r="F6" s="5">
        <v>1990</v>
      </c>
      <c r="G6" s="113">
        <v>0.1</v>
      </c>
      <c r="H6" s="7">
        <v>25.122856160579026</v>
      </c>
      <c r="I6" s="5">
        <v>1</v>
      </c>
      <c r="J6" s="5">
        <v>0</v>
      </c>
      <c r="K6" s="5">
        <v>0</v>
      </c>
      <c r="L6" s="7" t="s">
        <v>238</v>
      </c>
      <c r="M6" s="7">
        <v>7.3244478602271217</v>
      </c>
      <c r="N6" s="7">
        <v>7.3244478602271217</v>
      </c>
      <c r="O6" s="5">
        <v>1</v>
      </c>
      <c r="P6" s="5">
        <v>1</v>
      </c>
      <c r="Q6" s="5">
        <v>0</v>
      </c>
      <c r="R6" s="5">
        <v>0</v>
      </c>
      <c r="S6" s="5">
        <v>0</v>
      </c>
      <c r="T6" s="5">
        <v>0</v>
      </c>
      <c r="U6" s="5">
        <v>1</v>
      </c>
      <c r="V6" s="13">
        <v>4</v>
      </c>
      <c r="W6" s="13">
        <v>2</v>
      </c>
      <c r="X6" s="5"/>
      <c r="Y6" s="5"/>
      <c r="Z6" s="5"/>
      <c r="AA6" s="5">
        <v>0</v>
      </c>
      <c r="AB6" s="5"/>
      <c r="AC6" s="5">
        <v>1</v>
      </c>
      <c r="AD6" s="5">
        <v>0</v>
      </c>
      <c r="AE6" s="5">
        <v>0</v>
      </c>
      <c r="AF6" s="5">
        <v>0</v>
      </c>
    </row>
    <row r="7" spans="1:32" x14ac:dyDescent="0.2">
      <c r="A7" s="3" t="str">
        <f>+VLOOKUP(B7,studies!$A$2:$C$102,3)</f>
        <v>Hope &amp; Maul (1996)</v>
      </c>
      <c r="B7" s="87">
        <v>21</v>
      </c>
      <c r="C7" s="5">
        <v>1996</v>
      </c>
      <c r="D7" s="5">
        <v>1</v>
      </c>
      <c r="E7" s="5">
        <v>1990</v>
      </c>
      <c r="F7" s="5">
        <v>1990</v>
      </c>
      <c r="G7" s="113">
        <v>1</v>
      </c>
      <c r="H7" s="7">
        <v>86.135506836270949</v>
      </c>
      <c r="I7" s="5">
        <v>1</v>
      </c>
      <c r="J7" s="5">
        <v>0</v>
      </c>
      <c r="K7" s="5">
        <v>0</v>
      </c>
      <c r="L7" s="7" t="s">
        <v>238</v>
      </c>
      <c r="M7" s="7">
        <v>43.946687161362725</v>
      </c>
      <c r="N7" s="7">
        <v>450.45354340396796</v>
      </c>
      <c r="O7" s="5">
        <v>1</v>
      </c>
      <c r="P7" s="5">
        <v>1</v>
      </c>
      <c r="Q7" s="5">
        <v>0</v>
      </c>
      <c r="R7" s="5">
        <v>0</v>
      </c>
      <c r="S7" s="5">
        <v>0</v>
      </c>
      <c r="T7" s="5">
        <v>0</v>
      </c>
      <c r="U7" s="5">
        <v>1</v>
      </c>
      <c r="V7" s="13">
        <v>4</v>
      </c>
      <c r="W7" s="13">
        <v>2</v>
      </c>
      <c r="X7" s="5"/>
      <c r="Y7" s="5"/>
      <c r="Z7" s="5"/>
      <c r="AA7" s="5">
        <v>0</v>
      </c>
      <c r="AB7" s="5"/>
      <c r="AC7" s="5">
        <v>1</v>
      </c>
      <c r="AD7" s="5">
        <v>0</v>
      </c>
      <c r="AE7" s="5">
        <v>0</v>
      </c>
      <c r="AF7" s="5">
        <v>0</v>
      </c>
    </row>
    <row r="8" spans="1:32" x14ac:dyDescent="0.2">
      <c r="A8" s="3" t="str">
        <f>+VLOOKUP(B8,studies!$A$2:$C$102,3)</f>
        <v>Hope &amp; Maul (1996)</v>
      </c>
      <c r="B8" s="87">
        <v>21</v>
      </c>
      <c r="C8" s="5">
        <v>1996</v>
      </c>
      <c r="D8" s="5">
        <v>1</v>
      </c>
      <c r="E8" s="5">
        <v>1990</v>
      </c>
      <c r="F8" s="5">
        <v>1990</v>
      </c>
      <c r="G8" s="113">
        <v>0.1</v>
      </c>
      <c r="H8" s="7">
        <v>32.300815063601604</v>
      </c>
      <c r="I8" s="5">
        <v>1</v>
      </c>
      <c r="J8" s="5">
        <v>0</v>
      </c>
      <c r="K8" s="5">
        <v>0</v>
      </c>
      <c r="L8" s="7" t="s">
        <v>238</v>
      </c>
      <c r="M8" s="7">
        <v>9.1555598252839019</v>
      </c>
      <c r="N8" s="7">
        <v>9.1555598252839019</v>
      </c>
      <c r="O8" s="5">
        <v>1</v>
      </c>
      <c r="P8" s="5">
        <v>1</v>
      </c>
      <c r="Q8" s="5">
        <v>0</v>
      </c>
      <c r="R8" s="5">
        <v>0</v>
      </c>
      <c r="S8" s="5">
        <v>0</v>
      </c>
      <c r="T8" s="5">
        <v>0</v>
      </c>
      <c r="U8" s="5">
        <v>1</v>
      </c>
      <c r="V8" s="13">
        <v>4</v>
      </c>
      <c r="W8" s="13">
        <v>2</v>
      </c>
      <c r="X8" s="5"/>
      <c r="Y8" s="5"/>
      <c r="Z8" s="5"/>
      <c r="AA8" s="5">
        <v>0</v>
      </c>
      <c r="AB8" s="5"/>
      <c r="AC8" s="5">
        <v>1</v>
      </c>
      <c r="AD8" s="5">
        <v>0</v>
      </c>
      <c r="AE8" s="5">
        <v>0</v>
      </c>
      <c r="AF8" s="5">
        <v>0</v>
      </c>
    </row>
    <row r="9" spans="1:32" x14ac:dyDescent="0.2">
      <c r="A9" s="3" t="str">
        <f>+VLOOKUP(B9,studies!$A$2:$C$102,3)</f>
        <v>Hope &amp; Maul (1996)</v>
      </c>
      <c r="B9" s="87">
        <v>21</v>
      </c>
      <c r="C9" s="5">
        <v>1996</v>
      </c>
      <c r="D9" s="5">
        <v>1</v>
      </c>
      <c r="E9" s="5">
        <v>1990</v>
      </c>
      <c r="F9" s="5">
        <v>1990</v>
      </c>
      <c r="G9" s="113">
        <v>0.1</v>
      </c>
      <c r="H9" s="7">
        <v>68.190609578714501</v>
      </c>
      <c r="I9" s="5">
        <v>1</v>
      </c>
      <c r="J9" s="5">
        <v>0</v>
      </c>
      <c r="K9" s="5">
        <v>0</v>
      </c>
      <c r="L9" s="7" t="s">
        <v>238</v>
      </c>
      <c r="M9" s="7">
        <v>20.142231615624585</v>
      </c>
      <c r="N9" s="7">
        <v>23.804455545738143</v>
      </c>
      <c r="O9" s="5">
        <v>1</v>
      </c>
      <c r="P9" s="5">
        <v>1</v>
      </c>
      <c r="Q9" s="5">
        <v>0</v>
      </c>
      <c r="R9" s="5">
        <v>0</v>
      </c>
      <c r="S9" s="5">
        <v>0</v>
      </c>
      <c r="T9" s="5">
        <v>0</v>
      </c>
      <c r="U9" s="5">
        <v>1</v>
      </c>
      <c r="V9" s="13">
        <v>4</v>
      </c>
      <c r="W9" s="13">
        <v>2</v>
      </c>
      <c r="X9" s="5"/>
      <c r="Y9" s="5"/>
      <c r="Z9" s="5"/>
      <c r="AA9" s="5">
        <v>0</v>
      </c>
      <c r="AB9" s="5"/>
      <c r="AC9" s="5">
        <v>1</v>
      </c>
      <c r="AD9" s="5">
        <v>0</v>
      </c>
      <c r="AE9" s="5">
        <v>0</v>
      </c>
      <c r="AF9" s="5">
        <v>0</v>
      </c>
    </row>
    <row r="10" spans="1:32" x14ac:dyDescent="0.2">
      <c r="A10" s="3" t="str">
        <f>+VLOOKUP(B10,studies!$A$2:$C$102,3)</f>
        <v>Hope &amp; Maul (1996)</v>
      </c>
      <c r="B10" s="87">
        <v>21</v>
      </c>
      <c r="C10" s="5">
        <v>1996</v>
      </c>
      <c r="D10" s="5">
        <v>1</v>
      </c>
      <c r="E10" s="5">
        <v>1990</v>
      </c>
      <c r="F10" s="5">
        <v>1990</v>
      </c>
      <c r="G10" s="113">
        <v>0.6</v>
      </c>
      <c r="H10" s="7">
        <v>17.944897257556448</v>
      </c>
      <c r="I10" s="5">
        <v>1</v>
      </c>
      <c r="J10" s="5">
        <v>0</v>
      </c>
      <c r="K10" s="5">
        <v>0</v>
      </c>
      <c r="L10" s="7" t="s">
        <v>238</v>
      </c>
      <c r="M10" s="7">
        <v>5.4933358951703406</v>
      </c>
      <c r="N10" s="7">
        <v>3.6622239301135608</v>
      </c>
      <c r="O10" s="5">
        <v>1</v>
      </c>
      <c r="P10" s="5">
        <v>1</v>
      </c>
      <c r="Q10" s="5">
        <v>0</v>
      </c>
      <c r="R10" s="5">
        <v>1</v>
      </c>
      <c r="S10" s="5">
        <v>0</v>
      </c>
      <c r="T10" s="5">
        <v>0</v>
      </c>
      <c r="U10" s="5">
        <v>1</v>
      </c>
      <c r="V10" s="13">
        <v>4</v>
      </c>
      <c r="W10" s="13">
        <v>2</v>
      </c>
      <c r="X10" s="5"/>
      <c r="Y10" s="5"/>
      <c r="Z10" s="5"/>
      <c r="AA10" s="5">
        <v>0</v>
      </c>
      <c r="AB10" s="5"/>
      <c r="AC10" s="5">
        <v>1</v>
      </c>
      <c r="AD10" s="5">
        <v>0</v>
      </c>
      <c r="AE10" s="5">
        <v>0</v>
      </c>
      <c r="AF10" s="5">
        <v>0</v>
      </c>
    </row>
    <row r="11" spans="1:32" x14ac:dyDescent="0.2">
      <c r="A11" s="3" t="str">
        <f>+VLOOKUP(B11,studies!$A$2:$C$102,3)</f>
        <v>Hope &amp; Maul (1996)</v>
      </c>
      <c r="B11" s="87">
        <v>21</v>
      </c>
      <c r="C11" s="5">
        <v>1996</v>
      </c>
      <c r="D11" s="5">
        <v>1</v>
      </c>
      <c r="E11" s="5">
        <v>1990</v>
      </c>
      <c r="F11" s="5">
        <v>1990</v>
      </c>
      <c r="G11" s="113">
        <v>0.1</v>
      </c>
      <c r="H11" s="7">
        <v>104.0804040938274</v>
      </c>
      <c r="I11" s="5">
        <v>1</v>
      </c>
      <c r="J11" s="5">
        <v>0</v>
      </c>
      <c r="K11" s="5">
        <v>0</v>
      </c>
      <c r="L11" s="7" t="s">
        <v>238</v>
      </c>
      <c r="M11" s="7">
        <v>31.128903405965264</v>
      </c>
      <c r="N11" s="7">
        <v>29.297791440908487</v>
      </c>
      <c r="O11" s="5">
        <v>1</v>
      </c>
      <c r="P11" s="5">
        <v>1</v>
      </c>
      <c r="Q11" s="5">
        <v>0</v>
      </c>
      <c r="R11" s="5">
        <v>0</v>
      </c>
      <c r="S11" s="5">
        <v>0</v>
      </c>
      <c r="T11" s="5">
        <v>0</v>
      </c>
      <c r="U11" s="5">
        <v>1</v>
      </c>
      <c r="V11" s="13">
        <v>4</v>
      </c>
      <c r="W11" s="13">
        <v>2</v>
      </c>
      <c r="X11" s="5"/>
      <c r="Y11" s="5"/>
      <c r="Z11" s="5"/>
      <c r="AA11" s="5">
        <v>0</v>
      </c>
      <c r="AB11" s="5"/>
      <c r="AC11" s="5">
        <v>1</v>
      </c>
      <c r="AD11" s="5">
        <v>0</v>
      </c>
      <c r="AE11" s="5">
        <v>0</v>
      </c>
      <c r="AF11" s="5">
        <v>0</v>
      </c>
    </row>
    <row r="12" spans="1:32" x14ac:dyDescent="0.2">
      <c r="A12" s="3" t="str">
        <f>+VLOOKUP(B12,studies!$A$2:$C$102,3)</f>
        <v>Plambeck &amp; Hope (1996)</v>
      </c>
      <c r="B12" s="87">
        <v>23</v>
      </c>
      <c r="C12" s="5">
        <v>1996</v>
      </c>
      <c r="D12" s="5">
        <v>1</v>
      </c>
      <c r="E12" s="5">
        <v>1990</v>
      </c>
      <c r="F12" s="5">
        <v>1990</v>
      </c>
      <c r="G12" s="113">
        <v>0.125</v>
      </c>
      <c r="H12" s="7">
        <v>10.766938354533869</v>
      </c>
      <c r="I12" s="5">
        <v>1</v>
      </c>
      <c r="J12" s="5">
        <v>0</v>
      </c>
      <c r="K12" s="5">
        <v>0</v>
      </c>
      <c r="L12" s="7" t="s">
        <v>238</v>
      </c>
      <c r="M12" s="7">
        <v>3.6622239301135608</v>
      </c>
      <c r="N12" s="7">
        <v>5.4933358951703406</v>
      </c>
      <c r="O12" s="5">
        <v>1</v>
      </c>
      <c r="P12" s="5">
        <v>1</v>
      </c>
      <c r="Q12" s="5">
        <v>0</v>
      </c>
      <c r="R12" s="5">
        <v>1</v>
      </c>
      <c r="S12" s="5">
        <v>0</v>
      </c>
      <c r="T12" s="5">
        <v>0</v>
      </c>
      <c r="U12" s="5">
        <v>1</v>
      </c>
      <c r="V12" s="13">
        <v>5</v>
      </c>
      <c r="W12" s="13">
        <v>3</v>
      </c>
      <c r="X12" s="5"/>
      <c r="Y12" s="5"/>
      <c r="Z12" s="5"/>
      <c r="AA12" s="5">
        <v>0</v>
      </c>
      <c r="AB12" s="5"/>
      <c r="AC12" s="5">
        <v>1</v>
      </c>
      <c r="AD12" s="5">
        <v>0</v>
      </c>
      <c r="AE12" s="5">
        <v>0</v>
      </c>
      <c r="AF12" s="5">
        <v>0</v>
      </c>
    </row>
    <row r="13" spans="1:32" x14ac:dyDescent="0.2">
      <c r="A13" s="3" t="str">
        <f>+VLOOKUP(B13,studies!$A$2:$C$102,3)</f>
        <v>Plambeck &amp; Hope (1996)</v>
      </c>
      <c r="B13" s="87">
        <v>23</v>
      </c>
      <c r="C13" s="5">
        <v>1996</v>
      </c>
      <c r="D13" s="5">
        <v>1</v>
      </c>
      <c r="E13" s="5">
        <v>1990</v>
      </c>
      <c r="F13" s="5">
        <v>1990</v>
      </c>
      <c r="G13" s="113">
        <v>6.25E-2</v>
      </c>
      <c r="H13" s="7">
        <v>17.944897257556448</v>
      </c>
      <c r="I13" s="5">
        <v>1</v>
      </c>
      <c r="J13" s="5">
        <v>0</v>
      </c>
      <c r="K13" s="5">
        <v>0</v>
      </c>
      <c r="L13" s="7" t="s">
        <v>238</v>
      </c>
      <c r="M13" s="7">
        <v>5.4933358951703406</v>
      </c>
      <c r="N13" s="7">
        <v>12.817783755397462</v>
      </c>
      <c r="O13" s="5">
        <v>1</v>
      </c>
      <c r="P13" s="5">
        <v>1</v>
      </c>
      <c r="Q13" s="5">
        <v>0</v>
      </c>
      <c r="R13" s="5">
        <v>1</v>
      </c>
      <c r="S13" s="5">
        <v>0</v>
      </c>
      <c r="T13" s="5">
        <v>0</v>
      </c>
      <c r="U13" s="5">
        <v>1</v>
      </c>
      <c r="V13" s="13">
        <v>5</v>
      </c>
      <c r="W13" s="13">
        <v>3</v>
      </c>
      <c r="X13" s="5"/>
      <c r="Y13" s="5"/>
      <c r="Z13" s="5"/>
      <c r="AA13" s="5">
        <v>0</v>
      </c>
      <c r="AB13" s="5"/>
      <c r="AC13" s="5">
        <v>1</v>
      </c>
      <c r="AD13" s="5">
        <v>0</v>
      </c>
      <c r="AE13" s="5">
        <v>0</v>
      </c>
      <c r="AF13" s="5">
        <v>0</v>
      </c>
    </row>
    <row r="14" spans="1:32" x14ac:dyDescent="0.2">
      <c r="A14" s="3" t="str">
        <f>+VLOOKUP(B14,studies!$A$2:$C$102,3)</f>
        <v>Plambeck &amp; Hope (1996)</v>
      </c>
      <c r="B14" s="87">
        <v>23</v>
      </c>
      <c r="C14" s="5">
        <v>1996</v>
      </c>
      <c r="D14" s="5">
        <v>1</v>
      </c>
      <c r="E14" s="5">
        <v>1990</v>
      </c>
      <c r="F14" s="5">
        <v>1990</v>
      </c>
      <c r="G14" s="113">
        <v>0.125</v>
      </c>
      <c r="H14" s="7">
        <v>28.711835612090315</v>
      </c>
      <c r="I14" s="5">
        <v>1</v>
      </c>
      <c r="J14" s="5">
        <v>0</v>
      </c>
      <c r="K14" s="5">
        <v>0</v>
      </c>
      <c r="L14" s="7" t="s">
        <v>238</v>
      </c>
      <c r="M14" s="7">
        <v>9.1555598252839019</v>
      </c>
      <c r="N14" s="7">
        <v>7.3244478602271217</v>
      </c>
      <c r="O14" s="5">
        <v>1</v>
      </c>
      <c r="P14" s="5">
        <v>1</v>
      </c>
      <c r="Q14" s="5">
        <v>0</v>
      </c>
      <c r="R14" s="5">
        <v>1</v>
      </c>
      <c r="S14" s="5">
        <v>0</v>
      </c>
      <c r="T14" s="5">
        <v>0</v>
      </c>
      <c r="U14" s="5">
        <v>1</v>
      </c>
      <c r="V14" s="13">
        <v>5</v>
      </c>
      <c r="W14" s="13">
        <v>3</v>
      </c>
      <c r="X14" s="5"/>
      <c r="Y14" s="5"/>
      <c r="Z14" s="5"/>
      <c r="AA14" s="5">
        <v>0</v>
      </c>
      <c r="AB14" s="5"/>
      <c r="AC14" s="5">
        <v>1</v>
      </c>
      <c r="AD14" s="5">
        <v>0</v>
      </c>
      <c r="AE14" s="5">
        <v>0</v>
      </c>
      <c r="AF14" s="5">
        <v>0</v>
      </c>
    </row>
    <row r="15" spans="1:32" x14ac:dyDescent="0.2">
      <c r="A15" s="3" t="str">
        <f>+VLOOKUP(B15,studies!$A$2:$C$102,3)</f>
        <v>Plambeck &amp; Hope (1996)</v>
      </c>
      <c r="B15" s="87">
        <v>23</v>
      </c>
      <c r="C15" s="5">
        <v>1996</v>
      </c>
      <c r="D15" s="5">
        <v>1</v>
      </c>
      <c r="E15" s="5">
        <v>1990</v>
      </c>
      <c r="F15" s="5">
        <v>1990</v>
      </c>
      <c r="G15" s="113">
        <v>0.125</v>
      </c>
      <c r="H15" s="7">
        <v>28.711835612090315</v>
      </c>
      <c r="I15" s="5">
        <v>1</v>
      </c>
      <c r="J15" s="5">
        <v>0</v>
      </c>
      <c r="K15" s="5">
        <v>0</v>
      </c>
      <c r="L15" s="7" t="s">
        <v>238</v>
      </c>
      <c r="M15" s="7">
        <v>3.6622239301135608</v>
      </c>
      <c r="N15" s="7">
        <v>18.311119650567804</v>
      </c>
      <c r="O15" s="5">
        <v>1</v>
      </c>
      <c r="P15" s="5">
        <v>1</v>
      </c>
      <c r="Q15" s="5">
        <v>0</v>
      </c>
      <c r="R15" s="5">
        <v>1</v>
      </c>
      <c r="S15" s="5">
        <v>0</v>
      </c>
      <c r="T15" s="5">
        <v>0</v>
      </c>
      <c r="U15" s="5">
        <v>1</v>
      </c>
      <c r="V15" s="13">
        <v>5</v>
      </c>
      <c r="W15" s="13">
        <v>3</v>
      </c>
      <c r="X15" s="5"/>
      <c r="Y15" s="5"/>
      <c r="Z15" s="5"/>
      <c r="AA15" s="5">
        <v>0</v>
      </c>
      <c r="AB15" s="5"/>
      <c r="AC15" s="5">
        <v>1</v>
      </c>
      <c r="AD15" s="5">
        <v>0</v>
      </c>
      <c r="AE15" s="5">
        <v>0</v>
      </c>
      <c r="AF15" s="5">
        <v>0</v>
      </c>
    </row>
    <row r="16" spans="1:32" x14ac:dyDescent="0.2">
      <c r="A16" s="3" t="str">
        <f>+VLOOKUP(B16,studies!$A$2:$C$102,3)</f>
        <v>Plambeck &amp; Hope (1996)</v>
      </c>
      <c r="B16" s="87">
        <v>23</v>
      </c>
      <c r="C16" s="5">
        <v>1996</v>
      </c>
      <c r="D16" s="5">
        <v>1</v>
      </c>
      <c r="E16" s="5">
        <v>1990</v>
      </c>
      <c r="F16" s="5">
        <v>1990</v>
      </c>
      <c r="G16" s="113">
        <v>0.25</v>
      </c>
      <c r="H16" s="7">
        <v>75.368568481737086</v>
      </c>
      <c r="I16" s="5">
        <v>1</v>
      </c>
      <c r="J16" s="5">
        <v>0</v>
      </c>
      <c r="K16" s="5">
        <v>0</v>
      </c>
      <c r="L16" s="7" t="s">
        <v>238</v>
      </c>
      <c r="M16" s="7">
        <v>20.142231615624585</v>
      </c>
      <c r="N16" s="7">
        <v>49.440023056533065</v>
      </c>
      <c r="O16" s="5">
        <v>1</v>
      </c>
      <c r="P16" s="5">
        <v>1</v>
      </c>
      <c r="Q16" s="5">
        <v>0</v>
      </c>
      <c r="R16" s="5">
        <v>1</v>
      </c>
      <c r="S16" s="5">
        <v>0</v>
      </c>
      <c r="T16" s="5">
        <v>0</v>
      </c>
      <c r="U16" s="5">
        <v>1</v>
      </c>
      <c r="V16" s="13">
        <v>5</v>
      </c>
      <c r="W16" s="13">
        <v>3</v>
      </c>
      <c r="X16" s="5"/>
      <c r="Y16" s="5"/>
      <c r="Z16" s="5"/>
      <c r="AA16" s="5">
        <v>0</v>
      </c>
      <c r="AB16" s="5"/>
      <c r="AC16" s="5">
        <v>1</v>
      </c>
      <c r="AD16" s="5">
        <v>0</v>
      </c>
      <c r="AE16" s="5">
        <v>0</v>
      </c>
      <c r="AF16" s="5">
        <v>0</v>
      </c>
    </row>
    <row r="17" spans="1:32" x14ac:dyDescent="0.2">
      <c r="A17" s="3" t="str">
        <f>+VLOOKUP(B17,studies!$A$2:$C$102,3)</f>
        <v>Plambeck &amp; Hope (1996)</v>
      </c>
      <c r="B17" s="87">
        <v>23</v>
      </c>
      <c r="C17" s="5">
        <v>1996</v>
      </c>
      <c r="D17" s="5">
        <v>1</v>
      </c>
      <c r="E17" s="5">
        <v>1990</v>
      </c>
      <c r="F17" s="5">
        <v>1990</v>
      </c>
      <c r="G17" s="113">
        <v>0.125</v>
      </c>
      <c r="H17" s="7">
        <v>165.09305476951931</v>
      </c>
      <c r="I17" s="5">
        <v>1</v>
      </c>
      <c r="J17" s="5">
        <v>0</v>
      </c>
      <c r="K17" s="5">
        <v>0</v>
      </c>
      <c r="L17" s="7" t="s">
        <v>238</v>
      </c>
      <c r="M17" s="7">
        <v>47.608911091476287</v>
      </c>
      <c r="N17" s="7">
        <v>87.89337432272545</v>
      </c>
      <c r="O17" s="5">
        <v>1</v>
      </c>
      <c r="P17" s="5">
        <v>1</v>
      </c>
      <c r="Q17" s="5">
        <v>0</v>
      </c>
      <c r="R17" s="5">
        <v>1</v>
      </c>
      <c r="S17" s="5">
        <v>0</v>
      </c>
      <c r="T17" s="5">
        <v>0</v>
      </c>
      <c r="U17" s="5">
        <v>1</v>
      </c>
      <c r="V17" s="13">
        <v>4</v>
      </c>
      <c r="W17" s="13">
        <v>2</v>
      </c>
      <c r="X17" s="5"/>
      <c r="Y17" s="5"/>
      <c r="Z17" s="5"/>
      <c r="AA17" s="5">
        <v>0</v>
      </c>
      <c r="AB17" s="5"/>
      <c r="AC17" s="5">
        <v>1</v>
      </c>
      <c r="AD17" s="5">
        <v>0</v>
      </c>
      <c r="AE17" s="5">
        <v>0</v>
      </c>
      <c r="AF17" s="5">
        <v>0</v>
      </c>
    </row>
    <row r="18" spans="1:32" x14ac:dyDescent="0.2">
      <c r="A18" s="3" t="str">
        <f>+VLOOKUP(B18,studies!$A$2:$C$102,3)</f>
        <v>Plambeck &amp; Hope (1996)</v>
      </c>
      <c r="B18" s="87">
        <v>23</v>
      </c>
      <c r="C18" s="5">
        <v>1996</v>
      </c>
      <c r="D18" s="5">
        <v>1</v>
      </c>
      <c r="E18" s="5">
        <v>1990</v>
      </c>
      <c r="F18" s="5">
        <v>1990</v>
      </c>
      <c r="G18" s="113">
        <v>0.125</v>
      </c>
      <c r="H18" s="7">
        <v>1579.1509586649674</v>
      </c>
      <c r="I18" s="5">
        <v>1</v>
      </c>
      <c r="J18" s="5">
        <v>0</v>
      </c>
      <c r="K18" s="5">
        <v>0</v>
      </c>
      <c r="L18" s="7" t="s">
        <v>238</v>
      </c>
      <c r="M18" s="7">
        <v>91.555598252839019</v>
      </c>
      <c r="N18" s="7">
        <v>73.244478602271215</v>
      </c>
      <c r="O18" s="5">
        <v>1</v>
      </c>
      <c r="P18" s="5">
        <v>1</v>
      </c>
      <c r="Q18" s="5">
        <v>0</v>
      </c>
      <c r="R18" s="5">
        <v>1</v>
      </c>
      <c r="S18" s="5">
        <v>0</v>
      </c>
      <c r="T18" s="5">
        <v>0</v>
      </c>
      <c r="U18" s="5">
        <v>1</v>
      </c>
      <c r="V18" s="13">
        <v>2</v>
      </c>
      <c r="W18" s="13">
        <v>0</v>
      </c>
      <c r="X18" s="5"/>
      <c r="Y18" s="5"/>
      <c r="Z18" s="5"/>
      <c r="AA18" s="5">
        <v>0</v>
      </c>
      <c r="AB18" s="5"/>
      <c r="AC18" s="5">
        <v>1</v>
      </c>
      <c r="AD18" s="5">
        <v>0</v>
      </c>
      <c r="AE18" s="5">
        <v>0</v>
      </c>
      <c r="AF18" s="5">
        <v>0</v>
      </c>
    </row>
    <row r="19" spans="1:32" x14ac:dyDescent="0.2">
      <c r="A19" s="3" t="str">
        <f>+VLOOKUP(B19,studies!$A$2:$C$102,3)</f>
        <v>Plambeck &amp; Hope (1996)</v>
      </c>
      <c r="B19" s="87">
        <v>23</v>
      </c>
      <c r="C19" s="5">
        <v>1996</v>
      </c>
      <c r="D19" s="5">
        <v>1</v>
      </c>
      <c r="E19" s="5">
        <v>1990</v>
      </c>
      <c r="F19" s="5">
        <v>1990</v>
      </c>
      <c r="G19" s="113">
        <v>6.25E-2</v>
      </c>
      <c r="H19" s="7">
        <v>114.84734244836126</v>
      </c>
      <c r="I19" s="5">
        <v>1</v>
      </c>
      <c r="J19" s="5">
        <v>0</v>
      </c>
      <c r="K19" s="5">
        <v>0</v>
      </c>
      <c r="L19" s="7" t="s">
        <v>238</v>
      </c>
      <c r="M19" s="7">
        <v>18.311119650567804</v>
      </c>
      <c r="N19" s="7">
        <v>43.946687161362725</v>
      </c>
      <c r="O19" s="5">
        <v>1</v>
      </c>
      <c r="P19" s="5">
        <v>1</v>
      </c>
      <c r="Q19" s="5">
        <v>0</v>
      </c>
      <c r="R19" s="5">
        <v>1</v>
      </c>
      <c r="S19" s="5">
        <v>0</v>
      </c>
      <c r="T19" s="5">
        <v>0</v>
      </c>
      <c r="U19" s="5">
        <v>1</v>
      </c>
      <c r="V19" s="13">
        <v>5</v>
      </c>
      <c r="W19" s="13">
        <v>3</v>
      </c>
      <c r="X19" s="5"/>
      <c r="Y19" s="5"/>
      <c r="Z19" s="5"/>
      <c r="AA19" s="5">
        <v>0</v>
      </c>
      <c r="AB19" s="5"/>
      <c r="AC19" s="5">
        <v>1</v>
      </c>
      <c r="AD19" s="5">
        <v>0</v>
      </c>
      <c r="AE19" s="5">
        <v>0</v>
      </c>
      <c r="AF19" s="5">
        <v>0</v>
      </c>
    </row>
    <row r="20" spans="1:32" x14ac:dyDescent="0.2">
      <c r="A20" s="3" t="str">
        <f>+VLOOKUP(B20,studies!$A$2:$C$102,3)</f>
        <v>Cline (1997)</v>
      </c>
      <c r="B20" s="87">
        <v>24</v>
      </c>
      <c r="C20" s="5">
        <v>1997</v>
      </c>
      <c r="D20" s="5">
        <v>0</v>
      </c>
      <c r="E20" s="5">
        <v>1995</v>
      </c>
      <c r="F20" s="5">
        <v>1995</v>
      </c>
      <c r="G20" s="115">
        <v>1</v>
      </c>
      <c r="H20" s="7">
        <v>231.7250656559599</v>
      </c>
      <c r="I20" s="5">
        <v>0</v>
      </c>
      <c r="J20" s="5">
        <v>1</v>
      </c>
      <c r="K20" s="5">
        <v>0</v>
      </c>
      <c r="L20" s="7">
        <v>105.29956687215271</v>
      </c>
      <c r="M20" s="7">
        <v>107.44853762464562</v>
      </c>
      <c r="N20" s="7">
        <v>107.44853762464562</v>
      </c>
      <c r="O20" s="5">
        <v>1</v>
      </c>
      <c r="P20" s="5">
        <v>1</v>
      </c>
      <c r="Q20" s="5">
        <v>0</v>
      </c>
      <c r="R20" s="5">
        <v>1</v>
      </c>
      <c r="S20" s="5">
        <v>0</v>
      </c>
      <c r="T20" s="5">
        <v>1</v>
      </c>
      <c r="U20" s="5">
        <v>0</v>
      </c>
      <c r="V20" s="13" t="s">
        <v>25</v>
      </c>
      <c r="W20" s="13" t="s">
        <v>25</v>
      </c>
      <c r="X20" s="5"/>
      <c r="Y20" s="5"/>
      <c r="Z20" s="5"/>
      <c r="AA20" s="5">
        <v>0</v>
      </c>
      <c r="AB20" s="5"/>
      <c r="AC20" s="5">
        <v>0</v>
      </c>
      <c r="AD20" s="5">
        <v>0</v>
      </c>
      <c r="AE20" s="5">
        <v>0</v>
      </c>
      <c r="AF20" s="5">
        <v>1</v>
      </c>
    </row>
    <row r="21" spans="1:32" x14ac:dyDescent="0.2">
      <c r="A21" s="3" t="str">
        <f>+VLOOKUP(B21,studies!$A$2:$C$102,3)</f>
        <v>Nordhaus &amp; Popp (1997)</v>
      </c>
      <c r="B21" s="87">
        <v>25</v>
      </c>
      <c r="C21" s="5">
        <v>1997</v>
      </c>
      <c r="D21" s="5">
        <v>1</v>
      </c>
      <c r="E21" s="5">
        <v>1990</v>
      </c>
      <c r="F21" s="5">
        <v>2000</v>
      </c>
      <c r="G21" s="115">
        <v>0.9</v>
      </c>
      <c r="H21" s="7">
        <v>30.750525708258014</v>
      </c>
      <c r="I21" s="5">
        <v>1</v>
      </c>
      <c r="J21" s="5">
        <v>0</v>
      </c>
      <c r="K21" s="5">
        <v>0</v>
      </c>
      <c r="L21" s="7">
        <v>2.0632440359234971</v>
      </c>
      <c r="M21" s="7">
        <v>18.629090455080632</v>
      </c>
      <c r="N21" s="7">
        <v>35.668284397184557</v>
      </c>
      <c r="O21" s="5">
        <v>0</v>
      </c>
      <c r="P21" s="5">
        <v>1</v>
      </c>
      <c r="Q21" s="5">
        <v>0</v>
      </c>
      <c r="R21" s="5">
        <v>1</v>
      </c>
      <c r="S21" s="5">
        <v>0</v>
      </c>
      <c r="T21" s="5">
        <v>1</v>
      </c>
      <c r="U21" s="5">
        <v>0</v>
      </c>
      <c r="V21" s="13">
        <v>5</v>
      </c>
      <c r="W21" s="13">
        <v>3</v>
      </c>
      <c r="X21" s="5">
        <v>1</v>
      </c>
      <c r="Y21" s="5">
        <v>2</v>
      </c>
      <c r="Z21" s="5"/>
      <c r="AA21" s="5">
        <v>0</v>
      </c>
      <c r="AB21" s="5"/>
      <c r="AC21" s="5">
        <v>0</v>
      </c>
      <c r="AD21" s="5">
        <v>1</v>
      </c>
      <c r="AE21" s="5">
        <v>0</v>
      </c>
      <c r="AF21" s="5">
        <v>1</v>
      </c>
    </row>
    <row r="22" spans="1:32" x14ac:dyDescent="0.2">
      <c r="A22" s="3" t="str">
        <f>+VLOOKUP(B22,studies!$A$2:$C$102,3)</f>
        <v>Roughgarden &amp; Schneider (1999)</v>
      </c>
      <c r="B22" s="87">
        <v>27</v>
      </c>
      <c r="C22" s="5">
        <v>1999</v>
      </c>
      <c r="D22" s="5">
        <v>1</v>
      </c>
      <c r="E22" s="5">
        <v>1990</v>
      </c>
      <c r="F22" s="5">
        <v>1995</v>
      </c>
      <c r="G22" s="113">
        <v>1</v>
      </c>
      <c r="H22" s="7">
        <v>70.359293930021835</v>
      </c>
      <c r="I22" s="5">
        <v>0</v>
      </c>
      <c r="J22" s="5">
        <v>0</v>
      </c>
      <c r="K22" s="5">
        <v>1</v>
      </c>
      <c r="L22" s="7" t="s">
        <v>238</v>
      </c>
      <c r="M22" s="7">
        <v>35.897598943888688</v>
      </c>
      <c r="N22" s="7">
        <v>267.76309689262087</v>
      </c>
      <c r="O22" s="5">
        <v>1</v>
      </c>
      <c r="P22" s="5">
        <v>1</v>
      </c>
      <c r="Q22" s="5">
        <v>0</v>
      </c>
      <c r="R22" s="5">
        <v>1</v>
      </c>
      <c r="S22" s="5">
        <v>0</v>
      </c>
      <c r="T22" s="5">
        <v>1</v>
      </c>
      <c r="U22" s="5">
        <v>0</v>
      </c>
      <c r="V22" s="13">
        <v>5</v>
      </c>
      <c r="W22" s="13">
        <v>3</v>
      </c>
      <c r="X22" s="5"/>
      <c r="Y22" s="5"/>
      <c r="Z22" s="5"/>
      <c r="AA22" s="5">
        <v>0</v>
      </c>
      <c r="AB22" s="5"/>
      <c r="AC22" s="5">
        <v>0</v>
      </c>
      <c r="AD22" s="5">
        <v>0</v>
      </c>
      <c r="AE22" s="5">
        <v>0</v>
      </c>
      <c r="AF22" s="5">
        <v>1</v>
      </c>
    </row>
    <row r="23" spans="1:32" x14ac:dyDescent="0.2">
      <c r="A23" s="3" t="str">
        <f>+VLOOKUP(B23,studies!$A$2:$C$102,3)</f>
        <v>Tol (1999)</v>
      </c>
      <c r="B23" s="87">
        <v>28</v>
      </c>
      <c r="C23" s="5">
        <v>1999</v>
      </c>
      <c r="D23" s="5">
        <v>1</v>
      </c>
      <c r="E23" s="5">
        <v>1995</v>
      </c>
      <c r="F23" s="5">
        <v>2000</v>
      </c>
      <c r="G23" s="113">
        <v>0.5</v>
      </c>
      <c r="H23" s="7">
        <v>158.59453762979751</v>
      </c>
      <c r="I23" s="5">
        <v>0</v>
      </c>
      <c r="J23" s="5">
        <v>0</v>
      </c>
      <c r="K23" s="5">
        <v>1</v>
      </c>
      <c r="L23" s="7">
        <v>115.54744884456677</v>
      </c>
      <c r="M23" s="7">
        <v>50.861221980401538</v>
      </c>
      <c r="N23" s="7">
        <v>124.84118122462195</v>
      </c>
      <c r="O23" s="5">
        <v>1</v>
      </c>
      <c r="P23" s="5">
        <v>1</v>
      </c>
      <c r="Q23" s="5">
        <v>1</v>
      </c>
      <c r="R23" s="5">
        <v>1</v>
      </c>
      <c r="S23" s="5">
        <v>1</v>
      </c>
      <c r="T23" s="5">
        <v>0</v>
      </c>
      <c r="U23" s="5">
        <v>0</v>
      </c>
      <c r="V23" s="13">
        <v>3</v>
      </c>
      <c r="W23" s="13">
        <v>1</v>
      </c>
      <c r="X23" s="5"/>
      <c r="Y23" s="5"/>
      <c r="Z23" s="5"/>
      <c r="AA23" s="5">
        <v>1</v>
      </c>
      <c r="AB23" s="5"/>
      <c r="AC23" s="5">
        <v>0</v>
      </c>
      <c r="AD23" s="5">
        <v>0</v>
      </c>
      <c r="AE23" s="5">
        <v>1</v>
      </c>
      <c r="AF23" s="5">
        <v>0</v>
      </c>
    </row>
    <row r="24" spans="1:32" x14ac:dyDescent="0.2">
      <c r="A24" s="3" t="str">
        <f>+VLOOKUP(B24,studies!$A$2:$C$102,3)</f>
        <v>Tol (1999)</v>
      </c>
      <c r="B24" s="87">
        <v>28</v>
      </c>
      <c r="C24" s="5">
        <v>1999</v>
      </c>
      <c r="D24" s="5">
        <v>1</v>
      </c>
      <c r="E24" s="5">
        <v>1995</v>
      </c>
      <c r="F24" s="5">
        <v>2000</v>
      </c>
      <c r="G24" s="113">
        <v>0.1</v>
      </c>
      <c r="H24" s="7">
        <v>917.58268200097132</v>
      </c>
      <c r="I24" s="5">
        <v>0</v>
      </c>
      <c r="J24" s="5">
        <v>0</v>
      </c>
      <c r="K24" s="5">
        <v>1</v>
      </c>
      <c r="L24" s="7">
        <v>604.92487924508487</v>
      </c>
      <c r="M24" s="7">
        <v>285.51640520816312</v>
      </c>
      <c r="N24" s="7">
        <v>643.85683279735588</v>
      </c>
      <c r="O24" s="5">
        <v>1</v>
      </c>
      <c r="P24" s="5">
        <v>1</v>
      </c>
      <c r="Q24" s="5">
        <v>1</v>
      </c>
      <c r="R24" s="5">
        <v>1</v>
      </c>
      <c r="S24" s="5">
        <v>1</v>
      </c>
      <c r="T24" s="5">
        <v>0</v>
      </c>
      <c r="U24" s="5">
        <v>0</v>
      </c>
      <c r="V24" s="13">
        <v>0</v>
      </c>
      <c r="W24" s="13">
        <v>-2</v>
      </c>
      <c r="X24" s="5"/>
      <c r="Y24" s="5"/>
      <c r="Z24" s="5"/>
      <c r="AA24" s="5">
        <v>1</v>
      </c>
      <c r="AB24" s="5"/>
      <c r="AC24" s="5">
        <v>0</v>
      </c>
      <c r="AD24" s="5">
        <v>0</v>
      </c>
      <c r="AE24" s="5">
        <v>1</v>
      </c>
      <c r="AF24" s="5">
        <v>0</v>
      </c>
    </row>
    <row r="25" spans="1:32" x14ac:dyDescent="0.2">
      <c r="A25" s="3" t="str">
        <f>+VLOOKUP(B25,studies!$A$2:$C$102,3)</f>
        <v>Tol (1999)</v>
      </c>
      <c r="B25" s="87">
        <v>28</v>
      </c>
      <c r="C25" s="5">
        <v>1999</v>
      </c>
      <c r="D25" s="5">
        <v>1</v>
      </c>
      <c r="E25" s="5">
        <v>1995</v>
      </c>
      <c r="F25" s="5">
        <v>2000</v>
      </c>
      <c r="G25" s="113">
        <v>0.1</v>
      </c>
      <c r="H25" s="7">
        <v>475.7836128893926</v>
      </c>
      <c r="I25" s="5">
        <v>0</v>
      </c>
      <c r="J25" s="5">
        <v>0</v>
      </c>
      <c r="K25" s="5">
        <v>1</v>
      </c>
      <c r="L25" s="7">
        <v>323.98598401515778</v>
      </c>
      <c r="M25" s="7">
        <v>149.11585535163178</v>
      </c>
      <c r="N25" s="7">
        <v>349.09293268366508</v>
      </c>
      <c r="O25" s="5">
        <v>1</v>
      </c>
      <c r="P25" s="5">
        <v>1</v>
      </c>
      <c r="Q25" s="5">
        <v>1</v>
      </c>
      <c r="R25" s="5">
        <v>1</v>
      </c>
      <c r="S25" s="5">
        <v>1</v>
      </c>
      <c r="T25" s="5">
        <v>0</v>
      </c>
      <c r="U25" s="5">
        <v>0</v>
      </c>
      <c r="V25" s="13">
        <v>1</v>
      </c>
      <c r="W25" s="13">
        <v>-1</v>
      </c>
      <c r="X25" s="5"/>
      <c r="Y25" s="5"/>
      <c r="Z25" s="5"/>
      <c r="AA25" s="5">
        <v>1</v>
      </c>
      <c r="AB25" s="5"/>
      <c r="AC25" s="5">
        <v>0</v>
      </c>
      <c r="AD25" s="5">
        <v>0</v>
      </c>
      <c r="AE25" s="5">
        <v>1</v>
      </c>
      <c r="AF25" s="5">
        <v>0</v>
      </c>
    </row>
    <row r="26" spans="1:32" x14ac:dyDescent="0.2">
      <c r="A26" s="3" t="str">
        <f>+VLOOKUP(B26,studies!$A$2:$C$102,3)</f>
        <v>Tol (1999)</v>
      </c>
      <c r="B26" s="87">
        <v>28</v>
      </c>
      <c r="C26" s="5">
        <v>1999</v>
      </c>
      <c r="D26" s="5">
        <v>1</v>
      </c>
      <c r="E26" s="5">
        <v>1995</v>
      </c>
      <c r="F26" s="5">
        <v>2000</v>
      </c>
      <c r="G26" s="113">
        <v>0.2</v>
      </c>
      <c r="H26" s="7">
        <v>65.703451303773264</v>
      </c>
      <c r="I26" s="5">
        <v>0</v>
      </c>
      <c r="J26" s="5">
        <v>0</v>
      </c>
      <c r="K26" s="5">
        <v>1</v>
      </c>
      <c r="L26" s="7">
        <v>49.843997540793502</v>
      </c>
      <c r="M26" s="7">
        <v>20.806863537436996</v>
      </c>
      <c r="N26" s="7">
        <v>55.484969433165311</v>
      </c>
      <c r="O26" s="5">
        <v>1</v>
      </c>
      <c r="P26" s="5">
        <v>1</v>
      </c>
      <c r="Q26" s="5">
        <v>1</v>
      </c>
      <c r="R26" s="5">
        <v>1</v>
      </c>
      <c r="S26" s="5">
        <v>1</v>
      </c>
      <c r="T26" s="5">
        <v>0</v>
      </c>
      <c r="U26" s="5">
        <v>0</v>
      </c>
      <c r="V26" s="13">
        <v>5</v>
      </c>
      <c r="W26" s="13">
        <v>3</v>
      </c>
      <c r="X26" s="5"/>
      <c r="Y26" s="5"/>
      <c r="Z26" s="5"/>
      <c r="AA26" s="5">
        <v>1</v>
      </c>
      <c r="AB26" s="5"/>
      <c r="AC26" s="5">
        <v>0</v>
      </c>
      <c r="AD26" s="5">
        <v>0</v>
      </c>
      <c r="AE26" s="5">
        <v>1</v>
      </c>
      <c r="AF26" s="5">
        <v>0</v>
      </c>
    </row>
    <row r="27" spans="1:32" x14ac:dyDescent="0.2">
      <c r="A27" s="3" t="str">
        <f>+VLOOKUP(B27,studies!$A$2:$C$102,3)</f>
        <v>Tol (1999)</v>
      </c>
      <c r="B27" s="87">
        <v>28</v>
      </c>
      <c r="C27" s="5">
        <v>1999</v>
      </c>
      <c r="D27" s="5">
        <v>1</v>
      </c>
      <c r="E27" s="5">
        <v>1995</v>
      </c>
      <c r="F27" s="5">
        <v>2000</v>
      </c>
      <c r="G27" s="113">
        <v>0.1</v>
      </c>
      <c r="H27" s="7">
        <v>13.593817511125502</v>
      </c>
      <c r="I27" s="5">
        <v>0</v>
      </c>
      <c r="J27" s="5">
        <v>0</v>
      </c>
      <c r="K27" s="5">
        <v>1</v>
      </c>
      <c r="L27" s="7">
        <v>11.328181259271251</v>
      </c>
      <c r="M27" s="7">
        <v>4.6237474527637756</v>
      </c>
      <c r="N27" s="7">
        <v>12.715305495100385</v>
      </c>
      <c r="O27" s="5">
        <v>1</v>
      </c>
      <c r="P27" s="5">
        <v>1</v>
      </c>
      <c r="Q27" s="5">
        <v>1</v>
      </c>
      <c r="R27" s="5">
        <v>1</v>
      </c>
      <c r="S27" s="5">
        <v>1</v>
      </c>
      <c r="T27" s="5">
        <v>0</v>
      </c>
      <c r="U27" s="5">
        <v>0</v>
      </c>
      <c r="V27" s="13">
        <v>10</v>
      </c>
      <c r="W27" s="13">
        <v>8</v>
      </c>
      <c r="X27" s="5"/>
      <c r="Y27" s="5"/>
      <c r="Z27" s="5"/>
      <c r="AA27" s="5">
        <v>1</v>
      </c>
      <c r="AB27" s="5"/>
      <c r="AC27" s="5">
        <v>0</v>
      </c>
      <c r="AD27" s="5">
        <v>0</v>
      </c>
      <c r="AE27" s="5">
        <v>1</v>
      </c>
      <c r="AF27" s="5">
        <v>0</v>
      </c>
    </row>
    <row r="28" spans="1:32" x14ac:dyDescent="0.2">
      <c r="A28" s="3" t="str">
        <f>+VLOOKUP(B28,studies!$A$2:$C$102,3)</f>
        <v>Tol &amp; Downing (2001)</v>
      </c>
      <c r="B28" s="87">
        <v>30</v>
      </c>
      <c r="C28" s="5">
        <v>2001</v>
      </c>
      <c r="D28" s="5">
        <v>0</v>
      </c>
      <c r="E28" s="5">
        <v>1995</v>
      </c>
      <c r="F28" s="5">
        <v>1995</v>
      </c>
      <c r="G28" s="115">
        <v>1</v>
      </c>
      <c r="H28" s="7">
        <v>10.562965955827231</v>
      </c>
      <c r="I28" s="5">
        <v>0</v>
      </c>
      <c r="J28" s="5">
        <v>0</v>
      </c>
      <c r="K28" s="5">
        <v>1</v>
      </c>
      <c r="L28" s="7">
        <v>8.4503727646617861</v>
      </c>
      <c r="M28" s="7">
        <v>8.4503727646617861</v>
      </c>
      <c r="N28" s="7">
        <v>8.4503727646617861</v>
      </c>
      <c r="O28" s="5">
        <v>0</v>
      </c>
      <c r="P28" s="5">
        <v>1</v>
      </c>
      <c r="Q28" s="5">
        <v>1</v>
      </c>
      <c r="R28" s="5">
        <v>1</v>
      </c>
      <c r="S28" s="5">
        <v>1</v>
      </c>
      <c r="T28" s="5">
        <v>0</v>
      </c>
      <c r="U28" s="5">
        <v>0</v>
      </c>
      <c r="V28" s="13">
        <v>3</v>
      </c>
      <c r="W28" s="13">
        <v>1</v>
      </c>
      <c r="X28" s="5"/>
      <c r="Y28" s="5"/>
      <c r="Z28" s="5"/>
      <c r="AA28" s="5">
        <v>0</v>
      </c>
      <c r="AB28" s="5"/>
      <c r="AC28" s="5">
        <v>0</v>
      </c>
      <c r="AD28" s="5">
        <v>0</v>
      </c>
      <c r="AE28" s="5">
        <v>1</v>
      </c>
      <c r="AF28" s="5">
        <v>0</v>
      </c>
    </row>
    <row r="29" spans="1:32" x14ac:dyDescent="0.2">
      <c r="A29" s="3" t="str">
        <f>+VLOOKUP(B29,studies!$A$2:$C$102,3)</f>
        <v>Clarkson &amp; Deyes (2002)</v>
      </c>
      <c r="B29" s="87">
        <v>31</v>
      </c>
      <c r="C29" s="5">
        <v>2002</v>
      </c>
      <c r="D29" s="5">
        <v>0</v>
      </c>
      <c r="E29" s="5">
        <v>2000</v>
      </c>
      <c r="F29" s="5">
        <v>2000</v>
      </c>
      <c r="G29" s="115">
        <v>1</v>
      </c>
      <c r="H29" s="7">
        <v>203.52044672144405</v>
      </c>
      <c r="I29" s="5">
        <v>0</v>
      </c>
      <c r="J29" s="5">
        <v>1</v>
      </c>
      <c r="K29" s="5">
        <v>0</v>
      </c>
      <c r="L29" s="7"/>
      <c r="M29" s="7">
        <v>51.662725240941604</v>
      </c>
      <c r="N29" s="52">
        <v>103.83696261298164</v>
      </c>
      <c r="O29" s="5">
        <v>0</v>
      </c>
      <c r="P29" s="5">
        <v>1</v>
      </c>
      <c r="Q29" s="5">
        <v>0</v>
      </c>
      <c r="R29" s="5">
        <v>1</v>
      </c>
      <c r="S29" s="5">
        <v>1</v>
      </c>
      <c r="T29" s="5">
        <v>0</v>
      </c>
      <c r="U29" s="13">
        <v>0</v>
      </c>
      <c r="V29" s="13">
        <v>3</v>
      </c>
      <c r="W29" s="5">
        <v>1</v>
      </c>
      <c r="X29" s="5"/>
      <c r="Y29" s="5"/>
      <c r="Z29" s="5"/>
      <c r="AA29" s="5">
        <v>1</v>
      </c>
      <c r="AB29" s="5"/>
      <c r="AC29" s="5">
        <v>0</v>
      </c>
      <c r="AD29" s="5">
        <v>0</v>
      </c>
      <c r="AE29" s="5">
        <v>0</v>
      </c>
      <c r="AF29" s="90">
        <v>0</v>
      </c>
    </row>
    <row r="30" spans="1:32" x14ac:dyDescent="0.2">
      <c r="A30" s="3" t="str">
        <f>+VLOOKUP(B30,studies!$A$2:$C$102,3)</f>
        <v>Pearce (2003)</v>
      </c>
      <c r="B30" s="87">
        <v>33</v>
      </c>
      <c r="C30" s="5">
        <v>2003</v>
      </c>
      <c r="D30" s="5">
        <v>1</v>
      </c>
      <c r="E30" s="5">
        <v>2000</v>
      </c>
      <c r="F30" s="5">
        <v>2000</v>
      </c>
      <c r="G30" s="113">
        <v>1</v>
      </c>
      <c r="H30" s="7">
        <v>51.799128475901185</v>
      </c>
      <c r="I30" s="5">
        <v>0</v>
      </c>
      <c r="J30" s="5">
        <v>1</v>
      </c>
      <c r="K30" s="5">
        <v>0</v>
      </c>
      <c r="L30" s="7" t="s">
        <v>238</v>
      </c>
      <c r="M30" s="7">
        <v>19.607965025439881</v>
      </c>
      <c r="N30" s="7">
        <v>19.607965025439885</v>
      </c>
      <c r="O30" s="5">
        <v>0</v>
      </c>
      <c r="P30" s="5">
        <v>1</v>
      </c>
      <c r="Q30" s="5">
        <v>0</v>
      </c>
      <c r="R30" s="5">
        <v>1</v>
      </c>
      <c r="S30" s="5">
        <v>0</v>
      </c>
      <c r="T30" s="5">
        <v>1</v>
      </c>
      <c r="U30" s="5">
        <v>0</v>
      </c>
      <c r="V30" s="13">
        <v>3</v>
      </c>
      <c r="W30" s="13">
        <v>1</v>
      </c>
      <c r="X30" s="5"/>
      <c r="Y30" s="5"/>
      <c r="Z30" s="5"/>
      <c r="AA30" s="5">
        <v>1</v>
      </c>
      <c r="AB30" s="5"/>
      <c r="AC30" s="5">
        <v>0</v>
      </c>
      <c r="AD30" s="5">
        <v>0</v>
      </c>
      <c r="AE30" s="5">
        <v>0</v>
      </c>
      <c r="AF30" s="5">
        <v>0</v>
      </c>
    </row>
    <row r="31" spans="1:32" x14ac:dyDescent="0.2">
      <c r="A31" s="3" t="str">
        <f>+VLOOKUP(B31,studies!$A$2:$C$102,3)</f>
        <v>Mendelsohn (2004)</v>
      </c>
      <c r="B31" s="87">
        <v>39</v>
      </c>
      <c r="C31" s="5">
        <v>2004</v>
      </c>
      <c r="D31" s="5">
        <v>0</v>
      </c>
      <c r="E31" s="5">
        <v>1990</v>
      </c>
      <c r="F31" s="5">
        <v>2000</v>
      </c>
      <c r="G31" s="113">
        <v>1</v>
      </c>
      <c r="H31" s="7">
        <v>3.9626966118889193</v>
      </c>
      <c r="I31" s="5">
        <v>0</v>
      </c>
      <c r="J31" s="5">
        <v>1</v>
      </c>
      <c r="K31" s="5">
        <v>0</v>
      </c>
      <c r="L31" s="7">
        <v>0.66044943531481981</v>
      </c>
      <c r="M31" s="7">
        <v>0.67392799521920388</v>
      </c>
      <c r="N31" s="7">
        <v>0.67392799521920388</v>
      </c>
      <c r="O31" s="5">
        <v>1</v>
      </c>
      <c r="P31" s="5">
        <v>0</v>
      </c>
      <c r="Q31" s="5">
        <v>0</v>
      </c>
      <c r="R31" s="5">
        <v>0</v>
      </c>
      <c r="S31" s="5">
        <v>0</v>
      </c>
      <c r="T31" s="5">
        <v>0</v>
      </c>
      <c r="U31" s="5">
        <v>0</v>
      </c>
      <c r="V31" s="13">
        <v>5</v>
      </c>
      <c r="W31" s="13">
        <v>3</v>
      </c>
      <c r="X31" s="5"/>
      <c r="Y31" s="5"/>
      <c r="Z31" s="5"/>
      <c r="AA31" s="5">
        <v>0</v>
      </c>
      <c r="AB31" s="5"/>
      <c r="AC31" s="5">
        <v>0</v>
      </c>
      <c r="AD31" s="5">
        <v>0</v>
      </c>
      <c r="AE31" s="5">
        <v>0</v>
      </c>
      <c r="AF31" s="5">
        <v>0</v>
      </c>
    </row>
    <row r="32" spans="1:32" x14ac:dyDescent="0.2">
      <c r="A32" s="3" t="str">
        <f>+VLOOKUP(B32,studies!$A$2:$C$102,3)</f>
        <v>Hope (2005b)</v>
      </c>
      <c r="B32" s="87">
        <v>42</v>
      </c>
      <c r="C32" s="5">
        <v>2005</v>
      </c>
      <c r="D32" s="5">
        <v>0</v>
      </c>
      <c r="E32" s="5">
        <v>2000</v>
      </c>
      <c r="F32" s="5">
        <v>2000</v>
      </c>
      <c r="G32" s="113">
        <v>0.16666666666666666</v>
      </c>
      <c r="H32" s="7">
        <v>86.220484817951657</v>
      </c>
      <c r="I32" s="5">
        <v>1</v>
      </c>
      <c r="J32" s="5">
        <v>0</v>
      </c>
      <c r="K32" s="5">
        <v>0</v>
      </c>
      <c r="L32" s="7" t="s">
        <v>238</v>
      </c>
      <c r="M32" s="7">
        <v>33.759800652496494</v>
      </c>
      <c r="N32" s="7">
        <v>82.864965237945952</v>
      </c>
      <c r="O32" s="5">
        <v>0</v>
      </c>
      <c r="P32" s="5">
        <v>1</v>
      </c>
      <c r="Q32" s="5">
        <v>0</v>
      </c>
      <c r="R32" s="5">
        <v>1</v>
      </c>
      <c r="S32" s="5">
        <v>0</v>
      </c>
      <c r="T32" s="5">
        <v>0</v>
      </c>
      <c r="U32" s="5">
        <v>1</v>
      </c>
      <c r="V32" s="13"/>
      <c r="W32" s="13">
        <v>3</v>
      </c>
      <c r="X32" s="5"/>
      <c r="Y32" s="5"/>
      <c r="Z32" s="5"/>
      <c r="AA32" s="5">
        <v>1</v>
      </c>
      <c r="AB32" s="5"/>
      <c r="AC32" s="5">
        <v>1</v>
      </c>
      <c r="AD32" s="5">
        <v>0</v>
      </c>
      <c r="AE32" s="5">
        <v>0</v>
      </c>
      <c r="AF32" s="5">
        <v>0</v>
      </c>
    </row>
    <row r="33" spans="1:32" x14ac:dyDescent="0.2">
      <c r="A33" s="3" t="str">
        <f>+VLOOKUP(B33,studies!$A$2:$C$102,3)</f>
        <v>Hope (2005b)</v>
      </c>
      <c r="B33" s="87">
        <v>42</v>
      </c>
      <c r="C33" s="5">
        <v>2005</v>
      </c>
      <c r="D33" s="5">
        <v>0</v>
      </c>
      <c r="E33" s="5">
        <v>2000</v>
      </c>
      <c r="F33" s="5">
        <v>2000</v>
      </c>
      <c r="G33" s="113">
        <v>0.16666666666666666</v>
      </c>
      <c r="H33" s="7">
        <v>70.179464386704836</v>
      </c>
      <c r="I33" s="5">
        <v>1</v>
      </c>
      <c r="J33" s="5">
        <v>0</v>
      </c>
      <c r="K33" s="5">
        <v>0</v>
      </c>
      <c r="L33" s="7" t="s">
        <v>238</v>
      </c>
      <c r="M33" s="7">
        <v>27.621655079315314</v>
      </c>
      <c r="N33" s="7">
        <v>70.588674091583584</v>
      </c>
      <c r="O33" s="5">
        <v>0</v>
      </c>
      <c r="P33" s="5">
        <v>1</v>
      </c>
      <c r="Q33" s="5">
        <v>0</v>
      </c>
      <c r="R33" s="5">
        <v>1</v>
      </c>
      <c r="S33" s="5">
        <v>0</v>
      </c>
      <c r="T33" s="5">
        <v>0</v>
      </c>
      <c r="U33" s="5">
        <v>1</v>
      </c>
      <c r="V33" s="13"/>
      <c r="W33" s="13">
        <v>3</v>
      </c>
      <c r="X33" s="5"/>
      <c r="Y33" s="5"/>
      <c r="Z33" s="5"/>
      <c r="AA33" s="5">
        <v>1</v>
      </c>
      <c r="AB33" s="5"/>
      <c r="AC33" s="5">
        <v>1</v>
      </c>
      <c r="AD33" s="5">
        <v>0</v>
      </c>
      <c r="AE33" s="5">
        <v>0</v>
      </c>
      <c r="AF33" s="5">
        <v>0</v>
      </c>
    </row>
    <row r="34" spans="1:32" x14ac:dyDescent="0.2">
      <c r="A34" s="3" t="str">
        <f>+VLOOKUP(B34,studies!$A$2:$C$102,3)</f>
        <v>Hope (2005b)</v>
      </c>
      <c r="B34" s="87">
        <v>42</v>
      </c>
      <c r="C34" s="5">
        <v>2005</v>
      </c>
      <c r="D34" s="5">
        <v>0</v>
      </c>
      <c r="E34" s="5">
        <v>2000</v>
      </c>
      <c r="F34" s="5">
        <v>2000</v>
      </c>
      <c r="G34" s="113">
        <v>0.16666666666666666</v>
      </c>
      <c r="H34" s="7">
        <v>62.158954171081426</v>
      </c>
      <c r="I34" s="5">
        <v>1</v>
      </c>
      <c r="J34" s="5">
        <v>0</v>
      </c>
      <c r="K34" s="5">
        <v>0</v>
      </c>
      <c r="L34" s="7" t="s">
        <v>238</v>
      </c>
      <c r="M34" s="7">
        <v>23.529558030527859</v>
      </c>
      <c r="N34" s="7">
        <v>62.404479994008675</v>
      </c>
      <c r="O34" s="5">
        <v>0</v>
      </c>
      <c r="P34" s="5">
        <v>1</v>
      </c>
      <c r="Q34" s="5">
        <v>0</v>
      </c>
      <c r="R34" s="5">
        <v>1</v>
      </c>
      <c r="S34" s="5">
        <v>0</v>
      </c>
      <c r="T34" s="5">
        <v>0</v>
      </c>
      <c r="U34" s="5">
        <v>1</v>
      </c>
      <c r="V34" s="13"/>
      <c r="W34" s="13">
        <v>3</v>
      </c>
      <c r="X34" s="5"/>
      <c r="Y34" s="5"/>
      <c r="Z34" s="5"/>
      <c r="AA34" s="5">
        <v>0</v>
      </c>
      <c r="AB34" s="5"/>
      <c r="AC34" s="5">
        <v>1</v>
      </c>
      <c r="AD34" s="5">
        <v>0</v>
      </c>
      <c r="AE34" s="5">
        <v>0</v>
      </c>
      <c r="AF34" s="5">
        <v>0</v>
      </c>
    </row>
    <row r="35" spans="1:32" x14ac:dyDescent="0.2">
      <c r="A35" s="3" t="str">
        <f>+VLOOKUP(B35,studies!$A$2:$C$102,3)</f>
        <v>Hope (2005b)</v>
      </c>
      <c r="B35" s="87">
        <v>42</v>
      </c>
      <c r="C35" s="5">
        <v>2005</v>
      </c>
      <c r="D35" s="5">
        <v>0</v>
      </c>
      <c r="E35" s="5">
        <v>2000</v>
      </c>
      <c r="F35" s="5">
        <v>2000</v>
      </c>
      <c r="G35" s="113">
        <v>0.16666666666666666</v>
      </c>
      <c r="H35" s="7">
        <v>92.23586747966921</v>
      </c>
      <c r="I35" s="5">
        <v>1</v>
      </c>
      <c r="J35" s="5">
        <v>0</v>
      </c>
      <c r="K35" s="5">
        <v>0</v>
      </c>
      <c r="L35" s="7" t="s">
        <v>238</v>
      </c>
      <c r="M35" s="7">
        <v>36.82887343908709</v>
      </c>
      <c r="N35" s="7">
        <v>73.65774687817418</v>
      </c>
      <c r="O35" s="5">
        <v>0</v>
      </c>
      <c r="P35" s="5">
        <v>1</v>
      </c>
      <c r="Q35" s="5">
        <v>0</v>
      </c>
      <c r="R35" s="5">
        <v>1</v>
      </c>
      <c r="S35" s="5">
        <v>0</v>
      </c>
      <c r="T35" s="5">
        <v>0</v>
      </c>
      <c r="U35" s="5">
        <v>1</v>
      </c>
      <c r="V35" s="13"/>
      <c r="W35" s="13">
        <v>3</v>
      </c>
      <c r="X35" s="5"/>
      <c r="Y35" s="5"/>
      <c r="Z35" s="5"/>
      <c r="AA35" s="5">
        <v>1</v>
      </c>
      <c r="AB35" s="5"/>
      <c r="AC35" s="5">
        <v>1</v>
      </c>
      <c r="AD35" s="5">
        <v>0</v>
      </c>
      <c r="AE35" s="5">
        <v>0</v>
      </c>
      <c r="AF35" s="5">
        <v>0</v>
      </c>
    </row>
    <row r="36" spans="1:32" x14ac:dyDescent="0.2">
      <c r="A36" s="3" t="str">
        <f>+VLOOKUP(B36,studies!$A$2:$C$102,3)</f>
        <v>Hope (2005b)</v>
      </c>
      <c r="B36" s="87">
        <v>42</v>
      </c>
      <c r="C36" s="5">
        <v>2005</v>
      </c>
      <c r="D36" s="5">
        <v>0</v>
      </c>
      <c r="E36" s="5">
        <v>2000</v>
      </c>
      <c r="F36" s="5">
        <v>2000</v>
      </c>
      <c r="G36" s="113">
        <v>0.16666666666666666</v>
      </c>
      <c r="H36" s="7">
        <v>74.189719494516538</v>
      </c>
      <c r="I36" s="5">
        <v>1</v>
      </c>
      <c r="J36" s="5">
        <v>0</v>
      </c>
      <c r="K36" s="5">
        <v>0</v>
      </c>
      <c r="L36" s="7" t="s">
        <v>238</v>
      </c>
      <c r="M36" s="7">
        <v>28.64467934151218</v>
      </c>
      <c r="N36" s="7">
        <v>68.542625567189845</v>
      </c>
      <c r="O36" s="5">
        <v>0</v>
      </c>
      <c r="P36" s="5">
        <v>1</v>
      </c>
      <c r="Q36" s="5">
        <v>0</v>
      </c>
      <c r="R36" s="5">
        <v>1</v>
      </c>
      <c r="S36" s="5">
        <v>0</v>
      </c>
      <c r="T36" s="5">
        <v>0</v>
      </c>
      <c r="U36" s="5">
        <v>1</v>
      </c>
      <c r="V36" s="13"/>
      <c r="W36" s="13">
        <v>3</v>
      </c>
      <c r="X36" s="5"/>
      <c r="Y36" s="5"/>
      <c r="Z36" s="5"/>
      <c r="AA36" s="5">
        <v>1</v>
      </c>
      <c r="AB36" s="5"/>
      <c r="AC36" s="5">
        <v>1</v>
      </c>
      <c r="AD36" s="5">
        <v>0</v>
      </c>
      <c r="AE36" s="5">
        <v>0</v>
      </c>
      <c r="AF36" s="5">
        <v>0</v>
      </c>
    </row>
    <row r="37" spans="1:32" x14ac:dyDescent="0.2">
      <c r="A37" s="3" t="str">
        <f>+VLOOKUP(B37,studies!$A$2:$C$102,3)</f>
        <v>Hope (2005b)</v>
      </c>
      <c r="B37" s="87">
        <v>42</v>
      </c>
      <c r="C37" s="5">
        <v>2005</v>
      </c>
      <c r="D37" s="5">
        <v>0</v>
      </c>
      <c r="E37" s="5">
        <v>2000</v>
      </c>
      <c r="F37" s="5">
        <v>2000</v>
      </c>
      <c r="G37" s="113">
        <v>0.16666666666666666</v>
      </c>
      <c r="H37" s="7">
        <v>64.164081724987284</v>
      </c>
      <c r="I37" s="5">
        <v>1</v>
      </c>
      <c r="J37" s="5">
        <v>0</v>
      </c>
      <c r="K37" s="5">
        <v>0</v>
      </c>
      <c r="L37" s="7" t="s">
        <v>238</v>
      </c>
      <c r="M37" s="7">
        <v>24.552582292724722</v>
      </c>
      <c r="N37" s="7">
        <v>59.335407207418086</v>
      </c>
      <c r="O37" s="5">
        <v>0</v>
      </c>
      <c r="P37" s="5">
        <v>1</v>
      </c>
      <c r="Q37" s="5">
        <v>0</v>
      </c>
      <c r="R37" s="5">
        <v>1</v>
      </c>
      <c r="S37" s="5">
        <v>0</v>
      </c>
      <c r="T37" s="5">
        <v>0</v>
      </c>
      <c r="U37" s="5">
        <v>1</v>
      </c>
      <c r="V37" s="13"/>
      <c r="W37" s="13">
        <v>3</v>
      </c>
      <c r="X37" s="5"/>
      <c r="Y37" s="5"/>
      <c r="Z37" s="5"/>
      <c r="AA37" s="5">
        <v>0</v>
      </c>
      <c r="AB37" s="5"/>
      <c r="AC37" s="5">
        <v>1</v>
      </c>
      <c r="AD37" s="5">
        <v>0</v>
      </c>
      <c r="AE37" s="5">
        <v>0</v>
      </c>
      <c r="AF37" s="5">
        <v>0</v>
      </c>
    </row>
    <row r="38" spans="1:32" x14ac:dyDescent="0.2">
      <c r="A38" s="3" t="str">
        <f>+VLOOKUP(B38,studies!$A$2:$C$102,3)</f>
        <v>Hope (2005a)</v>
      </c>
      <c r="B38" s="87">
        <v>43</v>
      </c>
      <c r="C38" s="5">
        <v>2005</v>
      </c>
      <c r="D38" s="5">
        <v>1</v>
      </c>
      <c r="E38" s="5">
        <v>2000</v>
      </c>
      <c r="F38" s="5">
        <v>2000</v>
      </c>
      <c r="G38" s="113">
        <v>1</v>
      </c>
      <c r="H38" s="7">
        <v>42.107678632022903</v>
      </c>
      <c r="I38" s="5">
        <v>1</v>
      </c>
      <c r="J38" s="5">
        <v>0</v>
      </c>
      <c r="K38" s="5">
        <v>0</v>
      </c>
      <c r="L38" s="7" t="s">
        <v>238</v>
      </c>
      <c r="M38" s="7">
        <v>11.2532668841655</v>
      </c>
      <c r="N38" s="7">
        <v>27.621655079315314</v>
      </c>
      <c r="O38" s="5">
        <v>0</v>
      </c>
      <c r="P38" s="5">
        <v>1</v>
      </c>
      <c r="Q38" s="5">
        <v>0</v>
      </c>
      <c r="R38" s="5">
        <v>1</v>
      </c>
      <c r="S38" s="5">
        <v>0</v>
      </c>
      <c r="T38" s="5">
        <v>0</v>
      </c>
      <c r="U38" s="5">
        <v>1</v>
      </c>
      <c r="V38" s="13"/>
      <c r="W38" s="13">
        <v>3</v>
      </c>
      <c r="X38" s="5"/>
      <c r="Y38" s="5"/>
      <c r="Z38" s="5"/>
      <c r="AA38" s="5">
        <v>0</v>
      </c>
      <c r="AB38" s="5"/>
      <c r="AC38" s="5">
        <v>1</v>
      </c>
      <c r="AD38" s="5">
        <v>0</v>
      </c>
      <c r="AE38" s="5">
        <v>0</v>
      </c>
      <c r="AF38" s="5">
        <v>0</v>
      </c>
    </row>
    <row r="39" spans="1:32" x14ac:dyDescent="0.2">
      <c r="A39" s="3" t="str">
        <f>+VLOOKUP(B39,studies!$A$2:$C$102,3)</f>
        <v>Hope (2006)</v>
      </c>
      <c r="B39" s="87">
        <v>46</v>
      </c>
      <c r="C39" s="5">
        <v>2006</v>
      </c>
      <c r="D39" s="5">
        <v>1</v>
      </c>
      <c r="E39" s="5">
        <v>2000</v>
      </c>
      <c r="F39" s="5">
        <v>2000</v>
      </c>
      <c r="G39" s="113">
        <v>1</v>
      </c>
      <c r="H39" s="7">
        <v>38.097423524211194</v>
      </c>
      <c r="I39" s="5">
        <v>1</v>
      </c>
      <c r="J39" s="5">
        <v>0</v>
      </c>
      <c r="K39" s="5">
        <v>0</v>
      </c>
      <c r="L39" s="7" t="s">
        <v>238</v>
      </c>
      <c r="M39" s="7">
        <v>15.345363932952951</v>
      </c>
      <c r="N39" s="7">
        <v>32.736776390299632</v>
      </c>
      <c r="O39" s="5">
        <v>0</v>
      </c>
      <c r="P39" s="5">
        <v>1</v>
      </c>
      <c r="Q39" s="5">
        <v>0</v>
      </c>
      <c r="R39" s="5">
        <v>1</v>
      </c>
      <c r="S39" s="5">
        <v>0</v>
      </c>
      <c r="T39" s="5">
        <v>0</v>
      </c>
      <c r="U39" s="5">
        <v>1</v>
      </c>
      <c r="V39" s="13"/>
      <c r="W39" s="13">
        <v>3</v>
      </c>
      <c r="X39" s="5"/>
      <c r="Y39" s="5"/>
      <c r="Z39" s="5"/>
      <c r="AA39" s="5">
        <v>0</v>
      </c>
      <c r="AB39" s="5"/>
      <c r="AC39" s="5">
        <v>1</v>
      </c>
      <c r="AD39" s="5">
        <v>0</v>
      </c>
      <c r="AE39" s="5">
        <v>0</v>
      </c>
      <c r="AF39" s="5">
        <v>0</v>
      </c>
    </row>
    <row r="40" spans="1:32" x14ac:dyDescent="0.2">
      <c r="A40" s="3" t="str">
        <f>+VLOOKUP(B40,studies!$A$2:$C$102,3)</f>
        <v>Wahba &amp; Hope (2006)</v>
      </c>
      <c r="B40" s="87">
        <v>48</v>
      </c>
      <c r="C40" s="5">
        <v>2006</v>
      </c>
      <c r="D40" s="5">
        <v>1</v>
      </c>
      <c r="E40" s="5">
        <v>2000</v>
      </c>
      <c r="F40" s="5">
        <v>2000</v>
      </c>
      <c r="G40" s="113">
        <v>0.5</v>
      </c>
      <c r="H40" s="7">
        <v>38.097423524211194</v>
      </c>
      <c r="I40" s="5">
        <v>1</v>
      </c>
      <c r="J40" s="5">
        <v>0</v>
      </c>
      <c r="K40" s="5">
        <v>0</v>
      </c>
      <c r="L40" s="7" t="s">
        <v>238</v>
      </c>
      <c r="M40" s="7">
        <v>14.32233967075609</v>
      </c>
      <c r="N40" s="7">
        <v>30.690727865905902</v>
      </c>
      <c r="O40" s="5">
        <v>0</v>
      </c>
      <c r="P40" s="5">
        <v>1</v>
      </c>
      <c r="Q40" s="5">
        <v>0</v>
      </c>
      <c r="R40" s="5">
        <v>1</v>
      </c>
      <c r="S40" s="5">
        <v>0</v>
      </c>
      <c r="T40" s="5">
        <v>0</v>
      </c>
      <c r="U40" s="5">
        <v>1</v>
      </c>
      <c r="V40" s="13"/>
      <c r="W40" s="13">
        <v>3</v>
      </c>
      <c r="X40" s="5">
        <v>1</v>
      </c>
      <c r="Y40" s="5"/>
      <c r="Z40" s="5"/>
      <c r="AA40" s="5">
        <v>0</v>
      </c>
      <c r="AB40" s="5"/>
      <c r="AC40" s="5">
        <v>1</v>
      </c>
      <c r="AD40" s="5">
        <v>0</v>
      </c>
      <c r="AE40" s="5">
        <v>0</v>
      </c>
      <c r="AF40" s="5">
        <v>0</v>
      </c>
    </row>
    <row r="41" spans="1:32" x14ac:dyDescent="0.2">
      <c r="A41" s="3" t="str">
        <f>+VLOOKUP(B41,studies!$A$2:$C$102,3)</f>
        <v>Wahba &amp; Hope (2006)</v>
      </c>
      <c r="B41" s="87">
        <v>48</v>
      </c>
      <c r="C41" s="5">
        <v>2006</v>
      </c>
      <c r="D41" s="5">
        <v>1</v>
      </c>
      <c r="E41" s="5">
        <v>2000</v>
      </c>
      <c r="F41" s="5">
        <v>2000</v>
      </c>
      <c r="G41" s="113">
        <v>0.5</v>
      </c>
      <c r="H41" s="7">
        <v>28.071785754681933</v>
      </c>
      <c r="I41" s="5">
        <v>1</v>
      </c>
      <c r="J41" s="5">
        <v>0</v>
      </c>
      <c r="K41" s="5">
        <v>0</v>
      </c>
      <c r="L41" s="7" t="s">
        <v>238</v>
      </c>
      <c r="M41" s="7">
        <v>11.2532668841655</v>
      </c>
      <c r="N41" s="7">
        <v>27.621655079315314</v>
      </c>
      <c r="O41" s="5">
        <v>0</v>
      </c>
      <c r="P41" s="5">
        <v>1</v>
      </c>
      <c r="Q41" s="5">
        <v>0</v>
      </c>
      <c r="R41" s="5">
        <v>1</v>
      </c>
      <c r="S41" s="5">
        <v>0</v>
      </c>
      <c r="T41" s="5">
        <v>0</v>
      </c>
      <c r="U41" s="5">
        <v>1</v>
      </c>
      <c r="V41" s="13"/>
      <c r="W41" s="13">
        <v>3</v>
      </c>
      <c r="X41" s="5">
        <v>1</v>
      </c>
      <c r="Y41" s="5"/>
      <c r="Z41" s="5"/>
      <c r="AA41" s="5">
        <v>0</v>
      </c>
      <c r="AB41" s="5"/>
      <c r="AC41" s="5">
        <v>1</v>
      </c>
      <c r="AD41" s="5">
        <v>0</v>
      </c>
      <c r="AE41" s="5">
        <v>0</v>
      </c>
      <c r="AF41" s="5">
        <v>0</v>
      </c>
    </row>
    <row r="42" spans="1:32" x14ac:dyDescent="0.2">
      <c r="A42" s="3" t="str">
        <f>+VLOOKUP(B42,studies!$A$2:$C$102,3)</f>
        <v>Hope (2008b)</v>
      </c>
      <c r="B42" s="87">
        <v>50</v>
      </c>
      <c r="C42" s="5">
        <v>2008</v>
      </c>
      <c r="D42" s="5">
        <v>1</v>
      </c>
      <c r="E42" s="5">
        <v>2000</v>
      </c>
      <c r="F42" s="5">
        <v>2000</v>
      </c>
      <c r="G42" s="113">
        <v>0.2</v>
      </c>
      <c r="H42" s="7">
        <v>28.071785754681933</v>
      </c>
      <c r="I42" s="5">
        <v>1</v>
      </c>
      <c r="J42" s="5">
        <v>0</v>
      </c>
      <c r="K42" s="5">
        <v>0</v>
      </c>
      <c r="L42" s="7" t="s">
        <v>238</v>
      </c>
      <c r="M42" s="7">
        <v>11.2532668841655</v>
      </c>
      <c r="N42" s="7">
        <v>27.621655079315314</v>
      </c>
      <c r="O42" s="5">
        <v>0</v>
      </c>
      <c r="P42" s="5">
        <v>1</v>
      </c>
      <c r="Q42" s="5">
        <v>0</v>
      </c>
      <c r="R42" s="5">
        <v>1</v>
      </c>
      <c r="S42" s="5">
        <v>0</v>
      </c>
      <c r="T42" s="5">
        <v>0</v>
      </c>
      <c r="U42" s="5">
        <v>1</v>
      </c>
      <c r="V42" s="13"/>
      <c r="W42" s="13">
        <v>2</v>
      </c>
      <c r="X42" s="5">
        <v>1</v>
      </c>
      <c r="Y42" s="3"/>
      <c r="Z42" s="5"/>
      <c r="AA42" s="5">
        <v>0</v>
      </c>
      <c r="AB42" s="3">
        <v>3.9</v>
      </c>
      <c r="AC42" s="5">
        <v>1</v>
      </c>
      <c r="AD42" s="5">
        <v>0</v>
      </c>
      <c r="AE42" s="5">
        <v>0</v>
      </c>
      <c r="AF42" s="5">
        <v>0</v>
      </c>
    </row>
    <row r="43" spans="1:32" x14ac:dyDescent="0.2">
      <c r="A43" s="3" t="str">
        <f>+VLOOKUP(B43,studies!$A$2:$C$102,3)</f>
        <v>Hope (2008b)</v>
      </c>
      <c r="B43" s="87">
        <v>50</v>
      </c>
      <c r="C43" s="5">
        <v>2008</v>
      </c>
      <c r="D43" s="5">
        <v>1</v>
      </c>
      <c r="E43" s="5">
        <v>2000</v>
      </c>
      <c r="F43" s="5">
        <v>2000</v>
      </c>
      <c r="G43" s="113">
        <v>0.2</v>
      </c>
      <c r="H43" s="7">
        <v>26.066658200776079</v>
      </c>
      <c r="I43" s="5">
        <v>1</v>
      </c>
      <c r="J43" s="5">
        <v>0</v>
      </c>
      <c r="K43" s="5">
        <v>0</v>
      </c>
      <c r="L43" s="7" t="s">
        <v>238</v>
      </c>
      <c r="M43" s="7">
        <v>10.230242621968634</v>
      </c>
      <c r="N43" s="7">
        <v>24.552582292724722</v>
      </c>
      <c r="O43" s="5">
        <v>0</v>
      </c>
      <c r="P43" s="5">
        <v>1</v>
      </c>
      <c r="Q43" s="5">
        <v>0</v>
      </c>
      <c r="R43" s="5">
        <v>1</v>
      </c>
      <c r="S43" s="5">
        <v>0</v>
      </c>
      <c r="T43" s="5">
        <v>0</v>
      </c>
      <c r="U43" s="5">
        <v>1</v>
      </c>
      <c r="V43" s="13"/>
      <c r="W43" s="13">
        <v>2</v>
      </c>
      <c r="X43" s="5">
        <v>1</v>
      </c>
      <c r="Y43" s="3"/>
      <c r="Z43" s="5"/>
      <c r="AA43" s="5">
        <v>0</v>
      </c>
      <c r="AB43" s="3">
        <v>3.6</v>
      </c>
      <c r="AC43" s="5">
        <v>1</v>
      </c>
      <c r="AD43" s="5">
        <v>0</v>
      </c>
      <c r="AE43" s="5">
        <v>0</v>
      </c>
      <c r="AF43" s="5">
        <v>0</v>
      </c>
    </row>
    <row r="44" spans="1:32" x14ac:dyDescent="0.2">
      <c r="A44" s="3" t="str">
        <f>+VLOOKUP(B44,studies!$A$2:$C$102,3)</f>
        <v>Hope (2008b)</v>
      </c>
      <c r="B44" s="87">
        <v>50</v>
      </c>
      <c r="C44" s="5">
        <v>2008</v>
      </c>
      <c r="D44" s="5">
        <v>1</v>
      </c>
      <c r="E44" s="5">
        <v>2000</v>
      </c>
      <c r="F44" s="5">
        <v>2000</v>
      </c>
      <c r="G44" s="113">
        <v>0.2</v>
      </c>
      <c r="H44" s="7">
        <v>26.066658200776079</v>
      </c>
      <c r="I44" s="5">
        <v>1</v>
      </c>
      <c r="J44" s="5">
        <v>0</v>
      </c>
      <c r="K44" s="5">
        <v>0</v>
      </c>
      <c r="L44" s="7" t="s">
        <v>238</v>
      </c>
      <c r="M44" s="7">
        <v>11.2532668841655</v>
      </c>
      <c r="N44" s="7">
        <v>30.690727865905902</v>
      </c>
      <c r="O44" s="5">
        <v>0</v>
      </c>
      <c r="P44" s="5">
        <v>1</v>
      </c>
      <c r="Q44" s="5">
        <v>0</v>
      </c>
      <c r="R44" s="5">
        <v>1</v>
      </c>
      <c r="S44" s="5">
        <v>0</v>
      </c>
      <c r="T44" s="5">
        <v>0</v>
      </c>
      <c r="U44" s="5">
        <v>1</v>
      </c>
      <c r="V44" s="13"/>
      <c r="W44" s="13">
        <v>2</v>
      </c>
      <c r="X44" s="5">
        <v>1</v>
      </c>
      <c r="Y44" s="3"/>
      <c r="Z44" s="5"/>
      <c r="AA44" s="5">
        <v>0</v>
      </c>
      <c r="AB44" s="3">
        <v>3.3</v>
      </c>
      <c r="AC44" s="5">
        <v>1</v>
      </c>
      <c r="AD44" s="5">
        <v>0</v>
      </c>
      <c r="AE44" s="5">
        <v>0</v>
      </c>
      <c r="AF44" s="5">
        <v>0</v>
      </c>
    </row>
    <row r="45" spans="1:32" x14ac:dyDescent="0.2">
      <c r="A45" s="3" t="str">
        <f>+VLOOKUP(B45,studies!$A$2:$C$102,3)</f>
        <v>Hope (2008b)</v>
      </c>
      <c r="B45" s="87">
        <v>50</v>
      </c>
      <c r="C45" s="5">
        <v>2008</v>
      </c>
      <c r="D45" s="5">
        <v>1</v>
      </c>
      <c r="E45" s="5">
        <v>2000</v>
      </c>
      <c r="F45" s="5">
        <v>2000</v>
      </c>
      <c r="G45" s="113">
        <v>0.2</v>
      </c>
      <c r="H45" s="7">
        <v>26.066658200776079</v>
      </c>
      <c r="I45" s="5">
        <v>1</v>
      </c>
      <c r="J45" s="5">
        <v>0</v>
      </c>
      <c r="K45" s="5">
        <v>0</v>
      </c>
      <c r="L45" s="7" t="s">
        <v>238</v>
      </c>
      <c r="M45" s="7">
        <v>11.2532668841655</v>
      </c>
      <c r="N45" s="7">
        <v>24.552582292724722</v>
      </c>
      <c r="O45" s="5">
        <v>0</v>
      </c>
      <c r="P45" s="5">
        <v>1</v>
      </c>
      <c r="Q45" s="5">
        <v>0</v>
      </c>
      <c r="R45" s="5">
        <v>1</v>
      </c>
      <c r="S45" s="5">
        <v>0</v>
      </c>
      <c r="T45" s="5">
        <v>0</v>
      </c>
      <c r="U45" s="5">
        <v>1</v>
      </c>
      <c r="V45" s="13"/>
      <c r="W45" s="13">
        <v>2</v>
      </c>
      <c r="X45" s="5">
        <v>1</v>
      </c>
      <c r="Y45" s="3"/>
      <c r="Z45" s="5"/>
      <c r="AA45" s="5">
        <v>0</v>
      </c>
      <c r="AB45" s="3">
        <v>3.1</v>
      </c>
      <c r="AC45" s="5">
        <v>1</v>
      </c>
      <c r="AD45" s="5">
        <v>0</v>
      </c>
      <c r="AE45" s="5">
        <v>0</v>
      </c>
      <c r="AF45" s="5">
        <v>0</v>
      </c>
    </row>
    <row r="46" spans="1:32" x14ac:dyDescent="0.2">
      <c r="A46" s="3" t="str">
        <f>+VLOOKUP(B46,studies!$A$2:$C$102,3)</f>
        <v>Hope (2008b)</v>
      </c>
      <c r="B46" s="87">
        <v>50</v>
      </c>
      <c r="C46" s="5">
        <v>2008</v>
      </c>
      <c r="D46" s="5">
        <v>1</v>
      </c>
      <c r="E46" s="5">
        <v>2000</v>
      </c>
      <c r="F46" s="5">
        <v>2000</v>
      </c>
      <c r="G46" s="113">
        <v>0.2</v>
      </c>
      <c r="H46" s="7">
        <v>24.061530646870228</v>
      </c>
      <c r="I46" s="5">
        <v>1</v>
      </c>
      <c r="J46" s="5">
        <v>0</v>
      </c>
      <c r="K46" s="5">
        <v>0</v>
      </c>
      <c r="L46" s="7" t="s">
        <v>238</v>
      </c>
      <c r="M46" s="7">
        <v>10.230242621968634</v>
      </c>
      <c r="N46" s="7">
        <v>23.529558030527859</v>
      </c>
      <c r="O46" s="5">
        <v>0</v>
      </c>
      <c r="P46" s="5">
        <v>1</v>
      </c>
      <c r="Q46" s="5">
        <v>0</v>
      </c>
      <c r="R46" s="5">
        <v>1</v>
      </c>
      <c r="S46" s="5">
        <v>0</v>
      </c>
      <c r="T46" s="5">
        <v>0</v>
      </c>
      <c r="U46" s="5">
        <v>1</v>
      </c>
      <c r="V46" s="13"/>
      <c r="W46" s="13">
        <v>2</v>
      </c>
      <c r="X46" s="5">
        <v>1</v>
      </c>
      <c r="Y46" s="3"/>
      <c r="Z46" s="5"/>
      <c r="AA46" s="5">
        <v>0</v>
      </c>
      <c r="AB46" s="3">
        <v>3.3</v>
      </c>
      <c r="AC46" s="5">
        <v>1</v>
      </c>
      <c r="AD46" s="5">
        <v>0</v>
      </c>
      <c r="AE46" s="5">
        <v>0</v>
      </c>
      <c r="AF46" s="5">
        <v>1</v>
      </c>
    </row>
    <row r="47" spans="1:32" x14ac:dyDescent="0.2">
      <c r="A47" s="3" t="str">
        <f>+VLOOKUP(B47,studies!$A$2:$C$102,3)</f>
        <v>Hope (2008a)</v>
      </c>
      <c r="B47" s="87">
        <v>51</v>
      </c>
      <c r="C47" s="5">
        <v>2008</v>
      </c>
      <c r="D47" s="5">
        <v>1</v>
      </c>
      <c r="E47" s="5">
        <v>2000</v>
      </c>
      <c r="F47" s="5">
        <v>2000</v>
      </c>
      <c r="G47" s="113">
        <v>0.1</v>
      </c>
      <c r="H47" s="7">
        <v>32.082040862493642</v>
      </c>
      <c r="I47" s="5">
        <v>1</v>
      </c>
      <c r="J47" s="5">
        <v>0</v>
      </c>
      <c r="K47" s="5">
        <v>0</v>
      </c>
      <c r="L47" s="7" t="s">
        <v>238</v>
      </c>
      <c r="M47" s="7">
        <v>12.276291146362361</v>
      </c>
      <c r="N47" s="7">
        <v>28.64467934151218</v>
      </c>
      <c r="O47" s="5">
        <v>0</v>
      </c>
      <c r="P47" s="5">
        <v>1</v>
      </c>
      <c r="Q47" s="5">
        <v>0</v>
      </c>
      <c r="R47" s="5">
        <v>1</v>
      </c>
      <c r="S47" s="5">
        <v>0</v>
      </c>
      <c r="T47" s="5">
        <v>0</v>
      </c>
      <c r="U47" s="5">
        <v>1</v>
      </c>
      <c r="V47" s="13"/>
      <c r="W47" s="13">
        <v>3</v>
      </c>
      <c r="X47" s="3"/>
      <c r="Y47" s="3"/>
      <c r="Z47" s="5"/>
      <c r="AA47" s="5">
        <v>0</v>
      </c>
      <c r="AB47" s="5"/>
      <c r="AC47" s="5">
        <v>1</v>
      </c>
      <c r="AD47" s="5">
        <v>0</v>
      </c>
      <c r="AE47" s="5">
        <v>0</v>
      </c>
      <c r="AF47" s="5">
        <v>0</v>
      </c>
    </row>
    <row r="48" spans="1:32" x14ac:dyDescent="0.2">
      <c r="A48" s="3" t="str">
        <f>+VLOOKUP(B48,studies!$A$2:$C$102,3)</f>
        <v>Hope (2008a)</v>
      </c>
      <c r="B48" s="87">
        <v>51</v>
      </c>
      <c r="C48" s="5">
        <v>2008</v>
      </c>
      <c r="D48" s="5">
        <v>1</v>
      </c>
      <c r="E48" s="5">
        <v>2000</v>
      </c>
      <c r="F48" s="5">
        <v>2000</v>
      </c>
      <c r="G48" s="113">
        <v>0.1</v>
      </c>
      <c r="H48" s="7">
        <v>116.29739812653943</v>
      </c>
      <c r="I48" s="5">
        <v>1</v>
      </c>
      <c r="J48" s="5">
        <v>0</v>
      </c>
      <c r="K48" s="5">
        <v>0</v>
      </c>
      <c r="L48" s="7" t="s">
        <v>238</v>
      </c>
      <c r="M48" s="7">
        <v>46.036091798858855</v>
      </c>
      <c r="N48" s="7">
        <v>100.25637769529261</v>
      </c>
      <c r="O48" s="5">
        <v>0</v>
      </c>
      <c r="P48" s="5">
        <v>1</v>
      </c>
      <c r="Q48" s="5">
        <v>0</v>
      </c>
      <c r="R48" s="5">
        <v>1</v>
      </c>
      <c r="S48" s="5">
        <v>0</v>
      </c>
      <c r="T48" s="5">
        <v>0</v>
      </c>
      <c r="U48" s="5">
        <v>1</v>
      </c>
      <c r="V48" s="13">
        <v>3</v>
      </c>
      <c r="W48" s="13">
        <v>1</v>
      </c>
      <c r="X48" s="3"/>
      <c r="Y48" s="3"/>
      <c r="Z48" s="5"/>
      <c r="AA48" s="5">
        <v>0</v>
      </c>
      <c r="AB48" s="5"/>
      <c r="AC48" s="5">
        <v>1</v>
      </c>
      <c r="AD48" s="5">
        <v>0</v>
      </c>
      <c r="AE48" s="5">
        <v>0</v>
      </c>
      <c r="AF48" s="5">
        <v>0</v>
      </c>
    </row>
    <row r="49" spans="1:32" x14ac:dyDescent="0.2">
      <c r="A49" s="3" t="str">
        <f>+VLOOKUP(B49,studies!$A$2:$C$102,3)</f>
        <v>Hope (2008a)</v>
      </c>
      <c r="B49" s="87">
        <v>51</v>
      </c>
      <c r="C49" s="5">
        <v>2008</v>
      </c>
      <c r="D49" s="5">
        <v>1</v>
      </c>
      <c r="E49" s="5">
        <v>2000</v>
      </c>
      <c r="F49" s="5">
        <v>2000</v>
      </c>
      <c r="G49" s="113">
        <v>0.1</v>
      </c>
      <c r="H49" s="7">
        <v>156.39994920465648</v>
      </c>
      <c r="I49" s="5">
        <v>1</v>
      </c>
      <c r="J49" s="5">
        <v>0</v>
      </c>
      <c r="K49" s="5">
        <v>0</v>
      </c>
      <c r="L49" s="7" t="s">
        <v>238</v>
      </c>
      <c r="M49" s="7">
        <v>61.381455731811805</v>
      </c>
      <c r="N49" s="7">
        <v>145.26944523195462</v>
      </c>
      <c r="O49" s="5">
        <v>0</v>
      </c>
      <c r="P49" s="5">
        <v>1</v>
      </c>
      <c r="Q49" s="5">
        <v>0</v>
      </c>
      <c r="R49" s="5">
        <v>1</v>
      </c>
      <c r="S49" s="5">
        <v>0</v>
      </c>
      <c r="T49" s="5">
        <v>0</v>
      </c>
      <c r="U49" s="5">
        <v>1</v>
      </c>
      <c r="V49" s="13">
        <v>3</v>
      </c>
      <c r="W49" s="13">
        <v>1</v>
      </c>
      <c r="X49" s="3">
        <v>1</v>
      </c>
      <c r="Y49" s="3"/>
      <c r="Z49" s="5"/>
      <c r="AA49" s="5">
        <v>1</v>
      </c>
      <c r="AB49" s="5"/>
      <c r="AC49" s="5">
        <v>1</v>
      </c>
      <c r="AD49" s="5">
        <v>0</v>
      </c>
      <c r="AE49" s="5">
        <v>0</v>
      </c>
      <c r="AF49" s="5">
        <v>0</v>
      </c>
    </row>
    <row r="50" spans="1:32" x14ac:dyDescent="0.2">
      <c r="A50" s="3" t="str">
        <f>+VLOOKUP(B50,studies!$A$2:$C$102,3)</f>
        <v>Hope (2008a)</v>
      </c>
      <c r="B50" s="87">
        <v>51</v>
      </c>
      <c r="C50" s="5">
        <v>2008</v>
      </c>
      <c r="D50" s="5">
        <v>1</v>
      </c>
      <c r="E50" s="5">
        <v>2000</v>
      </c>
      <c r="F50" s="5">
        <v>2000</v>
      </c>
      <c r="G50" s="113">
        <v>0.1</v>
      </c>
      <c r="H50" s="7">
        <v>130.33329100388039</v>
      </c>
      <c r="I50" s="5">
        <v>1</v>
      </c>
      <c r="J50" s="5">
        <v>0</v>
      </c>
      <c r="K50" s="5">
        <v>0</v>
      </c>
      <c r="L50" s="7" t="s">
        <v>238</v>
      </c>
      <c r="M50" s="7">
        <v>51.151213109843177</v>
      </c>
      <c r="N50" s="7">
        <v>121.73988720142675</v>
      </c>
      <c r="O50" s="5">
        <v>0</v>
      </c>
      <c r="P50" s="5">
        <v>1</v>
      </c>
      <c r="Q50" s="5">
        <v>0</v>
      </c>
      <c r="R50" s="5">
        <v>1</v>
      </c>
      <c r="S50" s="5">
        <v>0</v>
      </c>
      <c r="T50" s="5">
        <v>0</v>
      </c>
      <c r="U50" s="5">
        <v>1</v>
      </c>
      <c r="V50" s="13">
        <v>3</v>
      </c>
      <c r="W50" s="13">
        <v>1</v>
      </c>
      <c r="X50" s="3">
        <v>0.5</v>
      </c>
      <c r="Y50" s="3"/>
      <c r="Z50" s="5"/>
      <c r="AA50" s="5">
        <v>1</v>
      </c>
      <c r="AB50" s="5"/>
      <c r="AC50" s="5">
        <v>1</v>
      </c>
      <c r="AD50" s="5">
        <v>0</v>
      </c>
      <c r="AE50" s="5">
        <v>0</v>
      </c>
      <c r="AF50" s="5">
        <v>0</v>
      </c>
    </row>
    <row r="51" spans="1:32" x14ac:dyDescent="0.2">
      <c r="A51" s="3" t="str">
        <f>+VLOOKUP(B51,studies!$A$2:$C$102,3)</f>
        <v>Hope (2008a)</v>
      </c>
      <c r="B51" s="87">
        <v>51</v>
      </c>
      <c r="C51" s="5">
        <v>2008</v>
      </c>
      <c r="D51" s="5">
        <v>1</v>
      </c>
      <c r="E51" s="5">
        <v>2000</v>
      </c>
      <c r="F51" s="5">
        <v>2000</v>
      </c>
      <c r="G51" s="113">
        <v>0.1</v>
      </c>
      <c r="H51" s="7">
        <v>50.128188847646307</v>
      </c>
      <c r="I51" s="5">
        <v>1</v>
      </c>
      <c r="J51" s="5">
        <v>0</v>
      </c>
      <c r="K51" s="5">
        <v>0</v>
      </c>
      <c r="L51" s="7" t="s">
        <v>238</v>
      </c>
      <c r="M51" s="7">
        <v>18.414436719543545</v>
      </c>
      <c r="N51" s="7">
        <v>37.851897701283946</v>
      </c>
      <c r="O51" s="5">
        <v>0</v>
      </c>
      <c r="P51" s="5">
        <v>1</v>
      </c>
      <c r="Q51" s="5">
        <v>0</v>
      </c>
      <c r="R51" s="5">
        <v>1</v>
      </c>
      <c r="S51" s="5">
        <v>0</v>
      </c>
      <c r="T51" s="5">
        <v>0</v>
      </c>
      <c r="U51" s="5">
        <v>1</v>
      </c>
      <c r="V51" s="13"/>
      <c r="W51" s="13">
        <v>2</v>
      </c>
      <c r="X51" s="3">
        <v>1</v>
      </c>
      <c r="Y51" s="3"/>
      <c r="Z51" s="5"/>
      <c r="AA51" s="5">
        <v>1</v>
      </c>
      <c r="AB51" s="5"/>
      <c r="AC51" s="5">
        <v>1</v>
      </c>
      <c r="AD51" s="5">
        <v>0</v>
      </c>
      <c r="AE51" s="5">
        <v>0</v>
      </c>
      <c r="AF51" s="5">
        <v>0</v>
      </c>
    </row>
    <row r="52" spans="1:32" x14ac:dyDescent="0.2">
      <c r="A52" s="3" t="str">
        <f>+VLOOKUP(B52,studies!$A$2:$C$102,3)</f>
        <v>Hope (2008a)</v>
      </c>
      <c r="B52" s="87">
        <v>51</v>
      </c>
      <c r="C52" s="5">
        <v>2008</v>
      </c>
      <c r="D52" s="5">
        <v>1</v>
      </c>
      <c r="E52" s="5">
        <v>2000</v>
      </c>
      <c r="F52" s="5">
        <v>2000</v>
      </c>
      <c r="G52" s="113">
        <v>0.1</v>
      </c>
      <c r="H52" s="7">
        <v>138.35380121950379</v>
      </c>
      <c r="I52" s="5">
        <v>1</v>
      </c>
      <c r="J52" s="5">
        <v>0</v>
      </c>
      <c r="K52" s="5">
        <v>0</v>
      </c>
      <c r="L52" s="7" t="s">
        <v>238</v>
      </c>
      <c r="M52" s="7">
        <v>55.243310158630628</v>
      </c>
      <c r="N52" s="7">
        <v>126.85500851241108</v>
      </c>
      <c r="O52" s="5">
        <v>0</v>
      </c>
      <c r="P52" s="5">
        <v>1</v>
      </c>
      <c r="Q52" s="5">
        <v>0</v>
      </c>
      <c r="R52" s="5">
        <v>1</v>
      </c>
      <c r="S52" s="5">
        <v>0</v>
      </c>
      <c r="T52" s="5">
        <v>0</v>
      </c>
      <c r="U52" s="5">
        <v>1</v>
      </c>
      <c r="V52" s="13"/>
      <c r="W52" s="13">
        <v>1</v>
      </c>
      <c r="X52" s="3">
        <v>1</v>
      </c>
      <c r="Y52" s="3"/>
      <c r="Z52" s="5"/>
      <c r="AA52" s="5">
        <v>1</v>
      </c>
      <c r="AB52" s="5"/>
      <c r="AC52" s="5">
        <v>1</v>
      </c>
      <c r="AD52" s="5">
        <v>0</v>
      </c>
      <c r="AE52" s="5">
        <v>0</v>
      </c>
      <c r="AF52" s="5">
        <v>0</v>
      </c>
    </row>
    <row r="53" spans="1:32" x14ac:dyDescent="0.2">
      <c r="A53" s="3" t="str">
        <f>+VLOOKUP(B53,studies!$A$2:$C$102,3)</f>
        <v>Hope (2008a)</v>
      </c>
      <c r="B53" s="87">
        <v>51</v>
      </c>
      <c r="C53" s="5">
        <v>2008</v>
      </c>
      <c r="D53" s="5">
        <v>1</v>
      </c>
      <c r="E53" s="5">
        <v>2000</v>
      </c>
      <c r="F53" s="5">
        <v>2000</v>
      </c>
      <c r="G53" s="113">
        <v>0.1</v>
      </c>
      <c r="H53" s="7">
        <v>124.31790834216285</v>
      </c>
      <c r="I53" s="5">
        <v>1</v>
      </c>
      <c r="J53" s="5">
        <v>0</v>
      </c>
      <c r="K53" s="5">
        <v>0</v>
      </c>
      <c r="L53" s="7" t="s">
        <v>238</v>
      </c>
      <c r="M53" s="7">
        <v>49.105164585449444</v>
      </c>
      <c r="N53" s="7">
        <v>129.92408129900167</v>
      </c>
      <c r="O53" s="5">
        <v>0</v>
      </c>
      <c r="P53" s="5">
        <v>1</v>
      </c>
      <c r="Q53" s="5">
        <v>0</v>
      </c>
      <c r="R53" s="5">
        <v>1</v>
      </c>
      <c r="S53" s="5">
        <v>0</v>
      </c>
      <c r="T53" s="5">
        <v>0</v>
      </c>
      <c r="U53" s="5">
        <v>1</v>
      </c>
      <c r="V53" s="13"/>
      <c r="W53" s="13">
        <v>2</v>
      </c>
      <c r="X53" s="3">
        <v>0.5</v>
      </c>
      <c r="Y53" s="3"/>
      <c r="Z53" s="5"/>
      <c r="AA53" s="5">
        <v>1</v>
      </c>
      <c r="AB53" s="5"/>
      <c r="AC53" s="5">
        <v>1</v>
      </c>
      <c r="AD53" s="5">
        <v>0</v>
      </c>
      <c r="AE53" s="5">
        <v>0</v>
      </c>
      <c r="AF53" s="5">
        <v>0</v>
      </c>
    </row>
    <row r="54" spans="1:32" x14ac:dyDescent="0.2">
      <c r="A54" s="3" t="str">
        <f>+VLOOKUP(B54,studies!$A$2:$C$102,3)</f>
        <v>Hope (2008a)</v>
      </c>
      <c r="B54" s="87">
        <v>51</v>
      </c>
      <c r="C54" s="5">
        <v>2008</v>
      </c>
      <c r="D54" s="5">
        <v>1</v>
      </c>
      <c r="E54" s="5">
        <v>2000</v>
      </c>
      <c r="F54" s="5">
        <v>2000</v>
      </c>
      <c r="G54" s="113">
        <v>0.1</v>
      </c>
      <c r="H54" s="7">
        <v>411.05114855069974</v>
      </c>
      <c r="I54" s="5">
        <v>1</v>
      </c>
      <c r="J54" s="5">
        <v>0</v>
      </c>
      <c r="K54" s="5">
        <v>0</v>
      </c>
      <c r="L54" s="7" t="s">
        <v>238</v>
      </c>
      <c r="M54" s="7">
        <v>166.75295473808876</v>
      </c>
      <c r="N54" s="7">
        <v>401.02551078117045</v>
      </c>
      <c r="O54" s="5">
        <v>0</v>
      </c>
      <c r="P54" s="5">
        <v>1</v>
      </c>
      <c r="Q54" s="5">
        <v>0</v>
      </c>
      <c r="R54" s="5">
        <v>1</v>
      </c>
      <c r="S54" s="5">
        <v>0</v>
      </c>
      <c r="T54" s="5">
        <v>0</v>
      </c>
      <c r="U54" s="5">
        <v>1</v>
      </c>
      <c r="V54" s="13"/>
      <c r="W54" s="13">
        <v>1</v>
      </c>
      <c r="X54" s="3">
        <v>0.5</v>
      </c>
      <c r="Y54" s="3"/>
      <c r="Z54" s="5"/>
      <c r="AA54" s="5">
        <v>1</v>
      </c>
      <c r="AB54" s="5"/>
      <c r="AC54" s="5">
        <v>1</v>
      </c>
      <c r="AD54" s="5">
        <v>0</v>
      </c>
      <c r="AE54" s="5">
        <v>0</v>
      </c>
      <c r="AF54" s="5">
        <v>0</v>
      </c>
    </row>
    <row r="55" spans="1:32" x14ac:dyDescent="0.2">
      <c r="A55" s="3" t="str">
        <f>+VLOOKUP(B55,studies!$A$2:$C$102,3)</f>
        <v>Hope (2008a)</v>
      </c>
      <c r="B55" s="87">
        <v>51</v>
      </c>
      <c r="C55" s="5">
        <v>2008</v>
      </c>
      <c r="D55" s="5">
        <v>1</v>
      </c>
      <c r="E55" s="5">
        <v>2000</v>
      </c>
      <c r="F55" s="5">
        <v>2000</v>
      </c>
      <c r="G55" s="113">
        <v>0.1</v>
      </c>
      <c r="H55" s="7">
        <v>405.03576588898221</v>
      </c>
      <c r="I55" s="5">
        <v>1</v>
      </c>
      <c r="J55" s="5">
        <v>0</v>
      </c>
      <c r="K55" s="5">
        <v>0</v>
      </c>
      <c r="L55" s="7" t="s">
        <v>238</v>
      </c>
      <c r="M55" s="7">
        <v>165.7299304758919</v>
      </c>
      <c r="N55" s="7">
        <v>435.80833569586389</v>
      </c>
      <c r="O55" s="5">
        <v>0</v>
      </c>
      <c r="P55" s="5">
        <v>1</v>
      </c>
      <c r="Q55" s="5">
        <v>0</v>
      </c>
      <c r="R55" s="5">
        <v>1</v>
      </c>
      <c r="S55" s="5">
        <v>0</v>
      </c>
      <c r="T55" s="5">
        <v>0</v>
      </c>
      <c r="U55" s="5">
        <v>1</v>
      </c>
      <c r="V55" s="13"/>
      <c r="W55" s="13">
        <v>2</v>
      </c>
      <c r="X55" s="3">
        <v>0</v>
      </c>
      <c r="Y55" s="3"/>
      <c r="Z55" s="5"/>
      <c r="AA55" s="5">
        <v>0</v>
      </c>
      <c r="AB55" s="5"/>
      <c r="AC55" s="5">
        <v>1</v>
      </c>
      <c r="AD55" s="5">
        <v>0</v>
      </c>
      <c r="AE55" s="5">
        <v>0</v>
      </c>
      <c r="AF55" s="5">
        <v>0</v>
      </c>
    </row>
    <row r="56" spans="1:32" x14ac:dyDescent="0.2">
      <c r="A56" s="3" t="str">
        <f>+VLOOKUP(B56,studies!$A$2:$C$102,3)</f>
        <v>Hope (2008a)</v>
      </c>
      <c r="B56" s="87">
        <v>51</v>
      </c>
      <c r="C56" s="5">
        <v>2008</v>
      </c>
      <c r="D56" s="5">
        <v>1</v>
      </c>
      <c r="E56" s="5">
        <v>2000</v>
      </c>
      <c r="F56" s="5">
        <v>2000</v>
      </c>
      <c r="G56" s="113">
        <v>0.1</v>
      </c>
      <c r="H56" s="7">
        <v>1634.1789564332698</v>
      </c>
      <c r="I56" s="5">
        <v>1</v>
      </c>
      <c r="J56" s="5">
        <v>0</v>
      </c>
      <c r="K56" s="5">
        <v>0</v>
      </c>
      <c r="L56" s="7" t="s">
        <v>238</v>
      </c>
      <c r="M56" s="7">
        <v>685.4262556718985</v>
      </c>
      <c r="N56" s="7">
        <v>1592.8487762405164</v>
      </c>
      <c r="O56" s="5">
        <v>0</v>
      </c>
      <c r="P56" s="5">
        <v>1</v>
      </c>
      <c r="Q56" s="5">
        <v>0</v>
      </c>
      <c r="R56" s="5">
        <v>1</v>
      </c>
      <c r="S56" s="5">
        <v>0</v>
      </c>
      <c r="T56" s="5">
        <v>0</v>
      </c>
      <c r="U56" s="5">
        <v>1</v>
      </c>
      <c r="V56" s="13"/>
      <c r="W56" s="13">
        <v>1</v>
      </c>
      <c r="X56" s="3">
        <v>0</v>
      </c>
      <c r="Y56" s="3"/>
      <c r="Z56" s="5"/>
      <c r="AA56" s="5">
        <v>0</v>
      </c>
      <c r="AB56" s="5"/>
      <c r="AC56" s="5">
        <v>1</v>
      </c>
      <c r="AD56" s="5">
        <v>0</v>
      </c>
      <c r="AE56" s="5">
        <v>0</v>
      </c>
      <c r="AF56" s="5">
        <v>0</v>
      </c>
    </row>
    <row r="57" spans="1:32" x14ac:dyDescent="0.2">
      <c r="A57" s="3" t="str">
        <f>+VLOOKUP(B57,studies!$A$2:$C$102,3)</f>
        <v>Anthoff et al. (2009b)</v>
      </c>
      <c r="B57" s="87">
        <v>54</v>
      </c>
      <c r="C57" s="5">
        <v>2009</v>
      </c>
      <c r="D57" s="5">
        <v>1</v>
      </c>
      <c r="E57" s="5">
        <v>1995</v>
      </c>
      <c r="F57" s="5">
        <v>2010</v>
      </c>
      <c r="G57" s="113">
        <v>0.25</v>
      </c>
      <c r="H57" s="7">
        <v>-3.1352821294837536</v>
      </c>
      <c r="I57" s="5">
        <v>0</v>
      </c>
      <c r="J57" s="5">
        <v>1</v>
      </c>
      <c r="K57" s="5">
        <v>0</v>
      </c>
      <c r="L57" s="7">
        <v>3.6689471728001379</v>
      </c>
      <c r="M57" s="7">
        <v>3.6689471728001379</v>
      </c>
      <c r="N57" s="7">
        <v>3.6689471728001379</v>
      </c>
      <c r="O57" s="5">
        <v>0</v>
      </c>
      <c r="P57" s="5">
        <v>1</v>
      </c>
      <c r="Q57" s="5">
        <v>1</v>
      </c>
      <c r="R57" s="5">
        <v>1</v>
      </c>
      <c r="S57" s="5">
        <v>1</v>
      </c>
      <c r="T57" s="5">
        <v>0</v>
      </c>
      <c r="U57" s="5">
        <v>0</v>
      </c>
      <c r="V57" s="13"/>
      <c r="W57" s="13" t="s">
        <v>25</v>
      </c>
      <c r="X57" s="3"/>
      <c r="Y57" s="5"/>
      <c r="Z57" s="5"/>
      <c r="AA57" s="5">
        <v>0</v>
      </c>
      <c r="AB57" s="5"/>
      <c r="AC57" s="5">
        <v>0</v>
      </c>
      <c r="AD57" s="5">
        <v>0</v>
      </c>
      <c r="AE57" s="5">
        <v>1</v>
      </c>
      <c r="AF57" s="5">
        <v>0</v>
      </c>
    </row>
    <row r="58" spans="1:32" x14ac:dyDescent="0.2">
      <c r="A58" s="3" t="str">
        <f>+VLOOKUP(B58,studies!$A$2:$C$102,3)</f>
        <v>Anthoff et al. (2009b)</v>
      </c>
      <c r="B58" s="87">
        <v>54</v>
      </c>
      <c r="C58" s="5">
        <v>2009</v>
      </c>
      <c r="D58" s="5">
        <v>1</v>
      </c>
      <c r="E58" s="5">
        <v>1995</v>
      </c>
      <c r="F58" s="5">
        <v>2010</v>
      </c>
      <c r="G58" s="113">
        <v>0.25</v>
      </c>
      <c r="H58" s="7">
        <v>-0.58369614112729462</v>
      </c>
      <c r="I58" s="5">
        <v>0</v>
      </c>
      <c r="J58" s="5">
        <v>1</v>
      </c>
      <c r="K58" s="5">
        <v>0</v>
      </c>
      <c r="L58" s="7">
        <v>8.0883608127639377</v>
      </c>
      <c r="M58" s="7">
        <v>8.0883608127639377</v>
      </c>
      <c r="N58" s="7">
        <v>8.0883608127639377</v>
      </c>
      <c r="O58" s="5">
        <v>0</v>
      </c>
      <c r="P58" s="5">
        <v>1</v>
      </c>
      <c r="Q58" s="5">
        <v>1</v>
      </c>
      <c r="R58" s="5">
        <v>1</v>
      </c>
      <c r="S58" s="5">
        <v>1</v>
      </c>
      <c r="T58" s="5">
        <v>0</v>
      </c>
      <c r="U58" s="5">
        <v>0</v>
      </c>
      <c r="V58" s="13"/>
      <c r="W58" s="13" t="s">
        <v>25</v>
      </c>
      <c r="X58" s="3"/>
      <c r="Y58" s="5"/>
      <c r="Z58" s="5"/>
      <c r="AA58" s="5">
        <v>1</v>
      </c>
      <c r="AB58" s="5"/>
      <c r="AC58" s="5">
        <v>0</v>
      </c>
      <c r="AD58" s="5">
        <v>0</v>
      </c>
      <c r="AE58" s="5">
        <v>1</v>
      </c>
      <c r="AF58" s="5">
        <v>0</v>
      </c>
    </row>
    <row r="59" spans="1:32" x14ac:dyDescent="0.2">
      <c r="A59" s="3" t="str">
        <f>+VLOOKUP(B59,studies!$A$2:$C$102,3)</f>
        <v>Anthoff et al. (2009b)</v>
      </c>
      <c r="B59" s="87">
        <v>54</v>
      </c>
      <c r="C59" s="5">
        <v>2009</v>
      </c>
      <c r="D59" s="5">
        <v>1</v>
      </c>
      <c r="E59" s="5">
        <v>1995</v>
      </c>
      <c r="F59" s="5">
        <v>2010</v>
      </c>
      <c r="G59" s="113">
        <v>0.25</v>
      </c>
      <c r="H59" s="7">
        <v>14.942621212858743</v>
      </c>
      <c r="I59" s="5">
        <v>1</v>
      </c>
      <c r="J59" s="5">
        <v>0</v>
      </c>
      <c r="K59" s="5">
        <v>0</v>
      </c>
      <c r="L59" s="7">
        <v>11.473798431302248</v>
      </c>
      <c r="M59" s="7">
        <v>11.473798431302248</v>
      </c>
      <c r="N59" s="7">
        <v>11.473798431302248</v>
      </c>
      <c r="O59" s="5">
        <v>0</v>
      </c>
      <c r="P59" s="5">
        <v>1</v>
      </c>
      <c r="Q59" s="5">
        <v>1</v>
      </c>
      <c r="R59" s="5">
        <v>1</v>
      </c>
      <c r="S59" s="5">
        <v>1</v>
      </c>
      <c r="T59" s="5">
        <v>0</v>
      </c>
      <c r="U59" s="5">
        <v>0</v>
      </c>
      <c r="V59" s="13"/>
      <c r="W59" s="13" t="s">
        <v>25</v>
      </c>
      <c r="X59" s="3"/>
      <c r="Y59" s="5"/>
      <c r="Z59" s="5"/>
      <c r="AA59" s="5">
        <v>0</v>
      </c>
      <c r="AB59" s="5"/>
      <c r="AC59" s="5">
        <v>0</v>
      </c>
      <c r="AD59" s="5">
        <v>0</v>
      </c>
      <c r="AE59" s="5">
        <v>1</v>
      </c>
      <c r="AF59" s="5">
        <v>0</v>
      </c>
    </row>
    <row r="60" spans="1:32" x14ac:dyDescent="0.2">
      <c r="A60" s="3" t="str">
        <f>+VLOOKUP(B60,studies!$A$2:$C$102,3)</f>
        <v>Anthoff et al. (2009b)</v>
      </c>
      <c r="B60" s="87">
        <v>54</v>
      </c>
      <c r="C60" s="5">
        <v>2009</v>
      </c>
      <c r="D60" s="5">
        <v>1</v>
      </c>
      <c r="E60" s="5">
        <v>1995</v>
      </c>
      <c r="F60" s="5">
        <v>2010</v>
      </c>
      <c r="G60" s="113">
        <v>0.25</v>
      </c>
      <c r="H60" s="7">
        <v>73.96263959713005</v>
      </c>
      <c r="I60" s="5">
        <v>1</v>
      </c>
      <c r="J60" s="5">
        <v>0</v>
      </c>
      <c r="K60" s="5">
        <v>0</v>
      </c>
      <c r="L60" s="7">
        <v>19.762283635309831</v>
      </c>
      <c r="M60" s="7">
        <v>19.762283635309831</v>
      </c>
      <c r="N60" s="7">
        <v>19.762283635309831</v>
      </c>
      <c r="O60" s="5">
        <v>0</v>
      </c>
      <c r="P60" s="5">
        <v>1</v>
      </c>
      <c r="Q60" s="5">
        <v>1</v>
      </c>
      <c r="R60" s="5">
        <v>1</v>
      </c>
      <c r="S60" s="5">
        <v>1</v>
      </c>
      <c r="T60" s="5">
        <v>0</v>
      </c>
      <c r="U60" s="5">
        <v>0</v>
      </c>
      <c r="V60" s="13"/>
      <c r="W60" s="13" t="s">
        <v>25</v>
      </c>
      <c r="X60" s="3"/>
      <c r="Y60" s="5"/>
      <c r="Z60" s="5"/>
      <c r="AA60" s="5">
        <v>1</v>
      </c>
      <c r="AB60" s="5"/>
      <c r="AC60" s="5">
        <v>0</v>
      </c>
      <c r="AD60" s="5">
        <v>0</v>
      </c>
      <c r="AE60" s="5">
        <v>1</v>
      </c>
      <c r="AF60" s="5">
        <v>0</v>
      </c>
    </row>
    <row r="61" spans="1:32" x14ac:dyDescent="0.2">
      <c r="A61" s="3" t="str">
        <f>+VLOOKUP(B61,studies!$A$2:$C$102,3)</f>
        <v>Dietz (2011)</v>
      </c>
      <c r="B61" s="87">
        <v>66</v>
      </c>
      <c r="C61" s="5">
        <v>2011</v>
      </c>
      <c r="D61" s="5">
        <v>1</v>
      </c>
      <c r="E61" s="5">
        <v>2008</v>
      </c>
      <c r="F61" s="5">
        <v>2000</v>
      </c>
      <c r="G61" s="115">
        <v>0.25</v>
      </c>
      <c r="H61" s="7">
        <v>2614.6574412128552</v>
      </c>
      <c r="I61" s="5">
        <v>1</v>
      </c>
      <c r="J61" s="5">
        <v>0</v>
      </c>
      <c r="K61" s="5">
        <v>0</v>
      </c>
      <c r="L61" s="7" t="s">
        <v>238</v>
      </c>
      <c r="M61" s="7">
        <v>1270.6160996868305</v>
      </c>
      <c r="N61" s="7">
        <v>4251.1576952569931</v>
      </c>
      <c r="O61" s="5">
        <v>0</v>
      </c>
      <c r="P61" s="5">
        <v>1</v>
      </c>
      <c r="Q61" s="5">
        <v>0</v>
      </c>
      <c r="R61" s="5">
        <v>1</v>
      </c>
      <c r="S61" s="5">
        <v>0</v>
      </c>
      <c r="T61" s="5">
        <v>0</v>
      </c>
      <c r="U61" s="5">
        <v>1</v>
      </c>
      <c r="V61" s="13"/>
      <c r="W61" s="13">
        <v>1</v>
      </c>
      <c r="X61" s="3">
        <v>0.1</v>
      </c>
      <c r="Y61" s="5"/>
      <c r="Z61" s="5"/>
      <c r="AA61" s="5">
        <v>0</v>
      </c>
      <c r="AB61" s="5"/>
      <c r="AC61" s="5">
        <v>0</v>
      </c>
      <c r="AD61" s="5">
        <v>0</v>
      </c>
      <c r="AE61" s="5">
        <v>0</v>
      </c>
      <c r="AF61" s="5">
        <v>0</v>
      </c>
    </row>
    <row r="62" spans="1:32" x14ac:dyDescent="0.2">
      <c r="A62" s="3" t="str">
        <f>+VLOOKUP(B62,studies!$A$2:$C$102,3)</f>
        <v>Dietz (2011)</v>
      </c>
      <c r="B62" s="87">
        <v>66</v>
      </c>
      <c r="C62" s="5">
        <v>2011</v>
      </c>
      <c r="D62" s="5">
        <v>1</v>
      </c>
      <c r="E62" s="5">
        <v>2008</v>
      </c>
      <c r="F62" s="5">
        <v>2000</v>
      </c>
      <c r="G62" s="115">
        <v>0.25</v>
      </c>
      <c r="H62" s="7">
        <v>2035.8046839588494</v>
      </c>
      <c r="I62" s="5">
        <v>1</v>
      </c>
      <c r="J62" s="5">
        <v>0</v>
      </c>
      <c r="K62" s="5">
        <v>0</v>
      </c>
      <c r="L62" s="7"/>
      <c r="M62" s="7">
        <v>1024.6652405719685</v>
      </c>
      <c r="N62" s="7">
        <v>3037.1240937758994</v>
      </c>
      <c r="O62" s="5">
        <v>0</v>
      </c>
      <c r="P62" s="5">
        <v>1</v>
      </c>
      <c r="Q62" s="5">
        <v>0</v>
      </c>
      <c r="R62" s="5">
        <v>1</v>
      </c>
      <c r="S62" s="5">
        <v>0</v>
      </c>
      <c r="T62" s="5">
        <v>0</v>
      </c>
      <c r="U62" s="5">
        <v>1</v>
      </c>
      <c r="V62" s="13"/>
      <c r="W62" s="13">
        <v>3</v>
      </c>
      <c r="X62" s="3">
        <v>1.3</v>
      </c>
      <c r="Y62" s="5"/>
      <c r="Z62" s="5"/>
      <c r="AA62" s="5">
        <v>0</v>
      </c>
      <c r="AB62" s="5"/>
      <c r="AC62" s="5">
        <v>0</v>
      </c>
      <c r="AD62" s="5">
        <v>0</v>
      </c>
      <c r="AE62" s="5">
        <v>0</v>
      </c>
      <c r="AF62" s="5">
        <v>0</v>
      </c>
    </row>
    <row r="63" spans="1:32" x14ac:dyDescent="0.2">
      <c r="A63" s="3" t="str">
        <f>+VLOOKUP(B63,studies!$A$2:$C$102,3)</f>
        <v>Hope (2011)</v>
      </c>
      <c r="B63" s="87">
        <v>67</v>
      </c>
      <c r="C63" s="5">
        <v>2011</v>
      </c>
      <c r="D63" s="5">
        <v>1</v>
      </c>
      <c r="E63" s="5">
        <v>2005</v>
      </c>
      <c r="F63" s="5">
        <v>2009</v>
      </c>
      <c r="G63" s="113">
        <v>0.5</v>
      </c>
      <c r="H63" s="7">
        <v>502.20171035306595</v>
      </c>
      <c r="I63" s="5">
        <v>1</v>
      </c>
      <c r="J63" s="5">
        <v>0</v>
      </c>
      <c r="K63" s="5">
        <v>0</v>
      </c>
      <c r="L63" s="7">
        <v>1279.24409416868</v>
      </c>
      <c r="M63" s="7">
        <v>231.12245633852109</v>
      </c>
      <c r="N63" s="7">
        <v>421.55310191080542</v>
      </c>
      <c r="O63" s="5">
        <v>0</v>
      </c>
      <c r="P63" s="5">
        <v>1</v>
      </c>
      <c r="Q63" s="5">
        <v>0</v>
      </c>
      <c r="R63" s="5">
        <v>1</v>
      </c>
      <c r="S63" s="5">
        <v>0</v>
      </c>
      <c r="T63" s="5">
        <v>0</v>
      </c>
      <c r="U63" s="5">
        <v>1</v>
      </c>
      <c r="V63" s="13"/>
      <c r="W63" s="13">
        <v>1</v>
      </c>
      <c r="X63" s="5"/>
      <c r="Y63" s="5"/>
      <c r="Z63" s="5"/>
      <c r="AA63" s="5">
        <v>1</v>
      </c>
      <c r="AB63" s="5"/>
      <c r="AC63" s="5">
        <v>1</v>
      </c>
      <c r="AD63" s="5">
        <v>0</v>
      </c>
      <c r="AE63" s="5">
        <v>0</v>
      </c>
      <c r="AF63" s="5">
        <v>0</v>
      </c>
    </row>
    <row r="64" spans="1:32" x14ac:dyDescent="0.2">
      <c r="A64" s="3" t="str">
        <f>+VLOOKUP(B64,studies!$A$2:$C$102,3)</f>
        <v>Hope (2011)</v>
      </c>
      <c r="B64" s="87">
        <v>67</v>
      </c>
      <c r="C64" s="5">
        <v>2011</v>
      </c>
      <c r="D64" s="5">
        <v>1</v>
      </c>
      <c r="E64" s="5">
        <v>2005</v>
      </c>
      <c r="F64" s="5">
        <v>2009</v>
      </c>
      <c r="G64" s="113">
        <v>0.5</v>
      </c>
      <c r="H64" s="7">
        <v>260.22776977146725</v>
      </c>
      <c r="I64" s="5">
        <v>1</v>
      </c>
      <c r="J64" s="5">
        <v>0</v>
      </c>
      <c r="K64" s="5">
        <v>0</v>
      </c>
      <c r="L64" s="7">
        <v>984.03391859129226</v>
      </c>
      <c r="M64" s="7">
        <v>120.21781724830863</v>
      </c>
      <c r="N64" s="7">
        <v>193.56850883309829</v>
      </c>
      <c r="O64" s="5">
        <v>0</v>
      </c>
      <c r="P64" s="5">
        <v>1</v>
      </c>
      <c r="Q64" s="5">
        <v>0</v>
      </c>
      <c r="R64" s="5">
        <v>1</v>
      </c>
      <c r="S64" s="5">
        <v>0</v>
      </c>
      <c r="T64" s="5">
        <v>0</v>
      </c>
      <c r="U64" s="5">
        <v>1</v>
      </c>
      <c r="V64" s="13"/>
      <c r="W64" s="13">
        <v>1</v>
      </c>
      <c r="X64" s="5"/>
      <c r="Y64" s="5"/>
      <c r="Z64" s="5"/>
      <c r="AA64" s="5">
        <v>1</v>
      </c>
      <c r="AB64" s="5"/>
      <c r="AC64" s="5">
        <v>1</v>
      </c>
      <c r="AD64" s="5">
        <v>0</v>
      </c>
      <c r="AE64" s="5">
        <v>0</v>
      </c>
      <c r="AF64" s="5">
        <v>0</v>
      </c>
    </row>
    <row r="65" spans="1:32" x14ac:dyDescent="0.2">
      <c r="A65" s="3" t="str">
        <f>+VLOOKUP(B65,studies!$A$2:$C$102,3)</f>
        <v>Nordhaus (2011)</v>
      </c>
      <c r="B65" s="87">
        <v>68</v>
      </c>
      <c r="C65" s="5">
        <v>2011</v>
      </c>
      <c r="D65" s="5">
        <v>0</v>
      </c>
      <c r="E65" s="5">
        <v>2005</v>
      </c>
      <c r="F65" s="5">
        <v>2015</v>
      </c>
      <c r="G65" s="113">
        <v>1</v>
      </c>
      <c r="H65" s="7">
        <v>45.229849896978997</v>
      </c>
      <c r="I65" s="5">
        <v>0</v>
      </c>
      <c r="J65" s="5">
        <v>0</v>
      </c>
      <c r="K65" s="5">
        <v>1</v>
      </c>
      <c r="L65" s="7">
        <v>21.606703451920119</v>
      </c>
      <c r="M65" s="7">
        <v>21.606703451920119</v>
      </c>
      <c r="N65" s="7">
        <v>21.606703451920119</v>
      </c>
      <c r="O65" s="5">
        <v>1</v>
      </c>
      <c r="P65" s="5">
        <v>1</v>
      </c>
      <c r="Q65" s="5">
        <v>0</v>
      </c>
      <c r="R65" s="5">
        <v>1</v>
      </c>
      <c r="S65" s="5">
        <v>0</v>
      </c>
      <c r="T65" s="5">
        <v>1</v>
      </c>
      <c r="U65" s="5">
        <v>0</v>
      </c>
      <c r="V65" s="13"/>
      <c r="W65" s="13">
        <v>1.5</v>
      </c>
      <c r="X65" s="3"/>
      <c r="Y65" s="5"/>
      <c r="Z65" s="5"/>
      <c r="AA65" s="5">
        <v>1</v>
      </c>
      <c r="AB65" s="5">
        <v>3</v>
      </c>
      <c r="AC65" s="5">
        <v>0</v>
      </c>
      <c r="AD65" s="5">
        <v>1</v>
      </c>
      <c r="AE65" s="5">
        <v>0</v>
      </c>
      <c r="AF65" s="5">
        <v>0</v>
      </c>
    </row>
    <row r="66" spans="1:32" x14ac:dyDescent="0.2">
      <c r="A66" s="3" t="str">
        <f>+VLOOKUP(B66,studies!$A$2:$C$102,3)</f>
        <v>Pycroft et al. (2011)</v>
      </c>
      <c r="B66" s="87">
        <v>69</v>
      </c>
      <c r="C66" s="5">
        <v>2011</v>
      </c>
      <c r="D66" s="5">
        <v>1</v>
      </c>
      <c r="E66" s="5">
        <v>2005</v>
      </c>
      <c r="F66" s="5">
        <v>2009</v>
      </c>
      <c r="G66" s="115">
        <v>9.0909090909090912E-2</v>
      </c>
      <c r="H66" s="7">
        <v>241.08831005486661</v>
      </c>
      <c r="I66" s="5">
        <v>0</v>
      </c>
      <c r="J66" s="5">
        <v>0</v>
      </c>
      <c r="K66" s="5">
        <v>1</v>
      </c>
      <c r="L66" s="7" t="s">
        <v>238</v>
      </c>
      <c r="M66" s="7">
        <v>95.391043128747711</v>
      </c>
      <c r="N66" s="7">
        <v>456.87289077452857</v>
      </c>
      <c r="O66" s="5">
        <v>0</v>
      </c>
      <c r="P66" s="5">
        <v>1</v>
      </c>
      <c r="Q66" s="5">
        <v>0</v>
      </c>
      <c r="R66" s="5">
        <v>1</v>
      </c>
      <c r="S66" s="5">
        <v>0</v>
      </c>
      <c r="T66" s="5">
        <v>0</v>
      </c>
      <c r="U66" s="5">
        <v>1</v>
      </c>
      <c r="V66" s="13" t="s">
        <v>25</v>
      </c>
      <c r="W66" s="13" t="s">
        <v>25</v>
      </c>
      <c r="X66" s="5"/>
      <c r="Y66" s="5"/>
      <c r="Z66" s="5"/>
      <c r="AA66" s="5">
        <v>1</v>
      </c>
      <c r="AB66" s="5"/>
      <c r="AC66" s="5">
        <v>1</v>
      </c>
      <c r="AD66" s="5">
        <v>0</v>
      </c>
      <c r="AE66" s="5">
        <v>0</v>
      </c>
      <c r="AF66" s="5">
        <v>0</v>
      </c>
    </row>
    <row r="67" spans="1:32" x14ac:dyDescent="0.2">
      <c r="A67" s="3" t="str">
        <f>+VLOOKUP(B67,studies!$A$2:$C$102,3)</f>
        <v>Pycroft et al. (2011)</v>
      </c>
      <c r="B67" s="87">
        <v>69</v>
      </c>
      <c r="C67" s="5">
        <v>2011</v>
      </c>
      <c r="D67" s="5">
        <v>1</v>
      </c>
      <c r="E67" s="5">
        <v>2005</v>
      </c>
      <c r="F67" s="5">
        <v>2009</v>
      </c>
      <c r="G67" s="115">
        <v>9.0909090909090912E-2</v>
      </c>
      <c r="H67" s="7">
        <v>280.44966679851831</v>
      </c>
      <c r="I67" s="5">
        <v>0</v>
      </c>
      <c r="J67" s="5">
        <v>0</v>
      </c>
      <c r="K67" s="5">
        <v>1</v>
      </c>
      <c r="L67" s="7" t="s">
        <v>238</v>
      </c>
      <c r="M67" s="7">
        <v>112.96307738930652</v>
      </c>
      <c r="N67" s="7">
        <v>795.76212294244817</v>
      </c>
      <c r="O67" s="5">
        <v>0</v>
      </c>
      <c r="P67" s="5">
        <v>1</v>
      </c>
      <c r="Q67" s="5">
        <v>0</v>
      </c>
      <c r="R67" s="5">
        <v>1</v>
      </c>
      <c r="S67" s="5">
        <v>0</v>
      </c>
      <c r="T67" s="5">
        <v>0</v>
      </c>
      <c r="U67" s="5">
        <v>1</v>
      </c>
      <c r="V67" s="13" t="s">
        <v>25</v>
      </c>
      <c r="W67" s="13" t="s">
        <v>25</v>
      </c>
      <c r="X67" s="5"/>
      <c r="Y67" s="5"/>
      <c r="Z67" s="5"/>
      <c r="AA67" s="5">
        <v>1</v>
      </c>
      <c r="AB67" s="5"/>
      <c r="AC67" s="5">
        <v>1</v>
      </c>
      <c r="AD67" s="5">
        <v>0</v>
      </c>
      <c r="AE67" s="5">
        <v>0</v>
      </c>
      <c r="AF67" s="5">
        <v>0</v>
      </c>
    </row>
    <row r="68" spans="1:32" x14ac:dyDescent="0.2">
      <c r="A68" s="3" t="str">
        <f>+VLOOKUP(B68,studies!$A$2:$C$102,3)</f>
        <v>Pycroft et al. (2011)</v>
      </c>
      <c r="B68" s="87">
        <v>69</v>
      </c>
      <c r="C68" s="5">
        <v>2011</v>
      </c>
      <c r="D68" s="5">
        <v>1</v>
      </c>
      <c r="E68" s="5">
        <v>2005</v>
      </c>
      <c r="F68" s="5">
        <v>2009</v>
      </c>
      <c r="G68" s="115">
        <v>9.0909090909090912E-2</v>
      </c>
      <c r="H68" s="7">
        <v>280.44966679851831</v>
      </c>
      <c r="I68" s="5">
        <v>0</v>
      </c>
      <c r="J68" s="5">
        <v>0</v>
      </c>
      <c r="K68" s="5">
        <v>1</v>
      </c>
      <c r="L68" s="7" t="s">
        <v>238</v>
      </c>
      <c r="M68" s="7">
        <v>115.47336799795778</v>
      </c>
      <c r="N68" s="7">
        <v>883.62229424524207</v>
      </c>
      <c r="O68" s="5">
        <v>0</v>
      </c>
      <c r="P68" s="5">
        <v>1</v>
      </c>
      <c r="Q68" s="5">
        <v>0</v>
      </c>
      <c r="R68" s="5">
        <v>1</v>
      </c>
      <c r="S68" s="5">
        <v>0</v>
      </c>
      <c r="T68" s="5">
        <v>0</v>
      </c>
      <c r="U68" s="5">
        <v>1</v>
      </c>
      <c r="V68" s="13" t="s">
        <v>25</v>
      </c>
      <c r="W68" s="13" t="s">
        <v>25</v>
      </c>
      <c r="X68" s="5"/>
      <c r="Y68" s="5"/>
      <c r="Z68" s="5"/>
      <c r="AA68" s="5">
        <v>1</v>
      </c>
      <c r="AB68" s="5"/>
      <c r="AC68" s="5">
        <v>1</v>
      </c>
      <c r="AD68" s="5">
        <v>0</v>
      </c>
      <c r="AE68" s="5">
        <v>0</v>
      </c>
      <c r="AF68" s="5">
        <v>0</v>
      </c>
    </row>
    <row r="69" spans="1:32" x14ac:dyDescent="0.2">
      <c r="A69" s="3" t="str">
        <f>+VLOOKUP(B69,studies!$A$2:$C$102,3)</f>
        <v>Pycroft et al. (2011)</v>
      </c>
      <c r="B69" s="87">
        <v>69</v>
      </c>
      <c r="C69" s="5">
        <v>2011</v>
      </c>
      <c r="D69" s="5">
        <v>1</v>
      </c>
      <c r="E69" s="5">
        <v>2005</v>
      </c>
      <c r="F69" s="5">
        <v>2009</v>
      </c>
      <c r="G69" s="115">
        <v>9.0909090909090912E-2</v>
      </c>
      <c r="H69" s="7">
        <v>265.68915801964891</v>
      </c>
      <c r="I69" s="5">
        <v>0</v>
      </c>
      <c r="J69" s="5">
        <v>0</v>
      </c>
      <c r="K69" s="5">
        <v>1</v>
      </c>
      <c r="L69" s="7" t="s">
        <v>238</v>
      </c>
      <c r="M69" s="7">
        <v>105.43220556335275</v>
      </c>
      <c r="N69" s="7">
        <v>1280.2482104121405</v>
      </c>
      <c r="O69" s="5">
        <v>0</v>
      </c>
      <c r="P69" s="5">
        <v>1</v>
      </c>
      <c r="Q69" s="5">
        <v>0</v>
      </c>
      <c r="R69" s="5">
        <v>1</v>
      </c>
      <c r="S69" s="5">
        <v>0</v>
      </c>
      <c r="T69" s="5">
        <v>0</v>
      </c>
      <c r="U69" s="5">
        <v>1</v>
      </c>
      <c r="V69" s="13" t="s">
        <v>25</v>
      </c>
      <c r="W69" s="13" t="s">
        <v>25</v>
      </c>
      <c r="X69" s="5"/>
      <c r="Y69" s="5"/>
      <c r="Z69" s="5"/>
      <c r="AA69" s="5">
        <v>1</v>
      </c>
      <c r="AB69" s="5"/>
      <c r="AC69" s="5">
        <v>1</v>
      </c>
      <c r="AD69" s="5">
        <v>0</v>
      </c>
      <c r="AE69" s="5">
        <v>0</v>
      </c>
      <c r="AF69" s="5">
        <v>0</v>
      </c>
    </row>
    <row r="70" spans="1:32" x14ac:dyDescent="0.2">
      <c r="A70" s="3" t="str">
        <f>+VLOOKUP(B70,studies!$A$2:$C$102,3)</f>
        <v>Pycroft et al. (2011)</v>
      </c>
      <c r="B70" s="87">
        <v>69</v>
      </c>
      <c r="C70" s="5">
        <v>2011</v>
      </c>
      <c r="D70" s="5">
        <v>1</v>
      </c>
      <c r="E70" s="5">
        <v>2005</v>
      </c>
      <c r="F70" s="5">
        <v>2009</v>
      </c>
      <c r="G70" s="115">
        <v>9.0909090909090912E-2</v>
      </c>
      <c r="H70" s="7">
        <v>236.16814046191016</v>
      </c>
      <c r="I70" s="5">
        <v>0</v>
      </c>
      <c r="J70" s="5">
        <v>0</v>
      </c>
      <c r="K70" s="5">
        <v>1</v>
      </c>
      <c r="L70" s="7" t="s">
        <v>238</v>
      </c>
      <c r="M70" s="7">
        <v>92.880752520096451</v>
      </c>
      <c r="N70" s="7">
        <v>446.83172833992353</v>
      </c>
      <c r="O70" s="5">
        <v>0</v>
      </c>
      <c r="P70" s="5">
        <v>1</v>
      </c>
      <c r="Q70" s="5">
        <v>0</v>
      </c>
      <c r="R70" s="5">
        <v>1</v>
      </c>
      <c r="S70" s="5">
        <v>0</v>
      </c>
      <c r="T70" s="5">
        <v>0</v>
      </c>
      <c r="U70" s="5">
        <v>1</v>
      </c>
      <c r="V70" s="13" t="s">
        <v>25</v>
      </c>
      <c r="W70" s="13" t="s">
        <v>25</v>
      </c>
      <c r="X70" s="5"/>
      <c r="Y70" s="5"/>
      <c r="Z70" s="5"/>
      <c r="AA70" s="5">
        <v>1</v>
      </c>
      <c r="AB70" s="5"/>
      <c r="AC70" s="5">
        <v>1</v>
      </c>
      <c r="AD70" s="5">
        <v>0</v>
      </c>
      <c r="AE70" s="5">
        <v>0</v>
      </c>
      <c r="AF70" s="5">
        <v>0</v>
      </c>
    </row>
    <row r="71" spans="1:32" x14ac:dyDescent="0.2">
      <c r="A71" s="3" t="str">
        <f>+VLOOKUP(B71,studies!$A$2:$C$102,3)</f>
        <v>Pycroft et al. (2011)</v>
      </c>
      <c r="B71" s="87">
        <v>69</v>
      </c>
      <c r="C71" s="5">
        <v>2011</v>
      </c>
      <c r="D71" s="5">
        <v>1</v>
      </c>
      <c r="E71" s="5">
        <v>2005</v>
      </c>
      <c r="F71" s="5">
        <v>2009</v>
      </c>
      <c r="G71" s="115">
        <v>9.0909090909090912E-2</v>
      </c>
      <c r="H71" s="7">
        <v>246.00847964782312</v>
      </c>
      <c r="I71" s="5">
        <v>0</v>
      </c>
      <c r="J71" s="5">
        <v>0</v>
      </c>
      <c r="K71" s="5">
        <v>1</v>
      </c>
      <c r="L71" s="7" t="s">
        <v>238</v>
      </c>
      <c r="M71" s="7">
        <v>97.901333737398971</v>
      </c>
      <c r="N71" s="7">
        <v>627.57265216281405</v>
      </c>
      <c r="O71" s="5">
        <v>0</v>
      </c>
      <c r="P71" s="5">
        <v>1</v>
      </c>
      <c r="Q71" s="5">
        <v>0</v>
      </c>
      <c r="R71" s="5">
        <v>1</v>
      </c>
      <c r="S71" s="5">
        <v>0</v>
      </c>
      <c r="T71" s="5">
        <v>0</v>
      </c>
      <c r="U71" s="5">
        <v>1</v>
      </c>
      <c r="V71" s="13" t="s">
        <v>25</v>
      </c>
      <c r="W71" s="13" t="s">
        <v>25</v>
      </c>
      <c r="X71" s="5"/>
      <c r="Y71" s="5"/>
      <c r="Z71" s="5"/>
      <c r="AA71" s="5">
        <v>1</v>
      </c>
      <c r="AB71" s="5"/>
      <c r="AC71" s="5">
        <v>1</v>
      </c>
      <c r="AD71" s="5">
        <v>0</v>
      </c>
      <c r="AE71" s="5">
        <v>0</v>
      </c>
      <c r="AF71" s="5">
        <v>0</v>
      </c>
    </row>
    <row r="72" spans="1:32" x14ac:dyDescent="0.2">
      <c r="A72" s="3" t="str">
        <f>+VLOOKUP(B72,studies!$A$2:$C$102,3)</f>
        <v>Pycroft et al. (2011)</v>
      </c>
      <c r="B72" s="87">
        <v>69</v>
      </c>
      <c r="C72" s="5">
        <v>2011</v>
      </c>
      <c r="D72" s="5">
        <v>1</v>
      </c>
      <c r="E72" s="5">
        <v>2005</v>
      </c>
      <c r="F72" s="5">
        <v>2009</v>
      </c>
      <c r="G72" s="115">
        <v>9.0909090909090912E-2</v>
      </c>
      <c r="H72" s="7">
        <v>246.00847964782312</v>
      </c>
      <c r="I72" s="5">
        <v>0</v>
      </c>
      <c r="J72" s="5">
        <v>0</v>
      </c>
      <c r="K72" s="5">
        <v>1</v>
      </c>
      <c r="L72" s="7" t="s">
        <v>238</v>
      </c>
      <c r="M72" s="7">
        <v>97.901333737398971</v>
      </c>
      <c r="N72" s="7">
        <v>627.57265216281405</v>
      </c>
      <c r="O72" s="5">
        <v>0</v>
      </c>
      <c r="P72" s="5">
        <v>1</v>
      </c>
      <c r="Q72" s="5">
        <v>0</v>
      </c>
      <c r="R72" s="5">
        <v>1</v>
      </c>
      <c r="S72" s="5">
        <v>0</v>
      </c>
      <c r="T72" s="5">
        <v>0</v>
      </c>
      <c r="U72" s="5">
        <v>1</v>
      </c>
      <c r="V72" s="13" t="s">
        <v>25</v>
      </c>
      <c r="W72" s="13" t="s">
        <v>25</v>
      </c>
      <c r="X72" s="5"/>
      <c r="Y72" s="5"/>
      <c r="Z72" s="5"/>
      <c r="AA72" s="5">
        <v>1</v>
      </c>
      <c r="AB72" s="5"/>
      <c r="AC72" s="5">
        <v>1</v>
      </c>
      <c r="AD72" s="5">
        <v>0</v>
      </c>
      <c r="AE72" s="5">
        <v>0</v>
      </c>
      <c r="AF72" s="5">
        <v>0</v>
      </c>
    </row>
    <row r="73" spans="1:32" x14ac:dyDescent="0.2">
      <c r="A73" s="3" t="str">
        <f>+VLOOKUP(B73,studies!$A$2:$C$102,3)</f>
        <v>Pycroft et al. (2011)</v>
      </c>
      <c r="B73" s="87">
        <v>69</v>
      </c>
      <c r="C73" s="5">
        <v>2011</v>
      </c>
      <c r="D73" s="5">
        <v>1</v>
      </c>
      <c r="E73" s="5">
        <v>2005</v>
      </c>
      <c r="F73" s="5">
        <v>2009</v>
      </c>
      <c r="G73" s="115">
        <v>9.0909090909090912E-2</v>
      </c>
      <c r="H73" s="7">
        <v>246.00847964782312</v>
      </c>
      <c r="I73" s="5">
        <v>0</v>
      </c>
      <c r="J73" s="5">
        <v>0</v>
      </c>
      <c r="K73" s="5">
        <v>1</v>
      </c>
      <c r="L73" s="7" t="s">
        <v>238</v>
      </c>
      <c r="M73" s="7">
        <v>97.901333737398971</v>
      </c>
      <c r="N73" s="7">
        <v>773.1695074645869</v>
      </c>
      <c r="O73" s="5">
        <v>0</v>
      </c>
      <c r="P73" s="5">
        <v>1</v>
      </c>
      <c r="Q73" s="5">
        <v>0</v>
      </c>
      <c r="R73" s="5">
        <v>1</v>
      </c>
      <c r="S73" s="5">
        <v>0</v>
      </c>
      <c r="T73" s="5">
        <v>0</v>
      </c>
      <c r="U73" s="5">
        <v>1</v>
      </c>
      <c r="V73" s="13" t="s">
        <v>25</v>
      </c>
      <c r="W73" s="13" t="s">
        <v>25</v>
      </c>
      <c r="X73" s="5"/>
      <c r="Y73" s="5"/>
      <c r="Z73" s="5"/>
      <c r="AA73" s="5">
        <v>1</v>
      </c>
      <c r="AB73" s="5"/>
      <c r="AC73" s="5">
        <v>1</v>
      </c>
      <c r="AD73" s="5">
        <v>0</v>
      </c>
      <c r="AE73" s="5">
        <v>0</v>
      </c>
      <c r="AF73" s="5">
        <v>0</v>
      </c>
    </row>
    <row r="74" spans="1:32" x14ac:dyDescent="0.2">
      <c r="A74" s="3" t="str">
        <f>+VLOOKUP(B74,studies!$A$2:$C$102,3)</f>
        <v>Pycroft et al. (2011)</v>
      </c>
      <c r="B74" s="87">
        <v>69</v>
      </c>
      <c r="C74" s="5">
        <v>2011</v>
      </c>
      <c r="D74" s="5">
        <v>1</v>
      </c>
      <c r="E74" s="5">
        <v>2005</v>
      </c>
      <c r="F74" s="5">
        <v>2009</v>
      </c>
      <c r="G74" s="115">
        <v>9.0909090909090912E-2</v>
      </c>
      <c r="H74" s="7">
        <v>285.36983639147473</v>
      </c>
      <c r="I74" s="5">
        <v>0</v>
      </c>
      <c r="J74" s="5">
        <v>0</v>
      </c>
      <c r="K74" s="5">
        <v>1</v>
      </c>
      <c r="L74" s="7" t="s">
        <v>238</v>
      </c>
      <c r="M74" s="7">
        <v>115.47336799795778</v>
      </c>
      <c r="N74" s="7">
        <v>1081.9352523286911</v>
      </c>
      <c r="O74" s="5">
        <v>0</v>
      </c>
      <c r="P74" s="5">
        <v>1</v>
      </c>
      <c r="Q74" s="5">
        <v>0</v>
      </c>
      <c r="R74" s="5">
        <v>1</v>
      </c>
      <c r="S74" s="5">
        <v>0</v>
      </c>
      <c r="T74" s="5">
        <v>0</v>
      </c>
      <c r="U74" s="5">
        <v>1</v>
      </c>
      <c r="V74" s="13" t="s">
        <v>25</v>
      </c>
      <c r="W74" s="13" t="s">
        <v>25</v>
      </c>
      <c r="X74" s="5"/>
      <c r="Y74" s="5"/>
      <c r="Z74" s="5"/>
      <c r="AA74" s="5">
        <v>1</v>
      </c>
      <c r="AB74" s="5"/>
      <c r="AC74" s="5">
        <v>1</v>
      </c>
      <c r="AD74" s="5">
        <v>0</v>
      </c>
      <c r="AE74" s="5">
        <v>0</v>
      </c>
      <c r="AF74" s="5">
        <v>0</v>
      </c>
    </row>
    <row r="75" spans="1:32" x14ac:dyDescent="0.2">
      <c r="A75" s="3" t="str">
        <f>+VLOOKUP(B75,studies!$A$2:$C$102,3)</f>
        <v>Pycroft et al. (2011)</v>
      </c>
      <c r="B75" s="87">
        <v>69</v>
      </c>
      <c r="C75" s="5">
        <v>2011</v>
      </c>
      <c r="D75" s="5">
        <v>1</v>
      </c>
      <c r="E75" s="5">
        <v>2005</v>
      </c>
      <c r="F75" s="5">
        <v>2009</v>
      </c>
      <c r="G75" s="115">
        <v>9.0909090909090912E-2</v>
      </c>
      <c r="H75" s="7">
        <v>280.44966679851831</v>
      </c>
      <c r="I75" s="5">
        <v>0</v>
      </c>
      <c r="J75" s="5">
        <v>0</v>
      </c>
      <c r="K75" s="5">
        <v>1</v>
      </c>
      <c r="L75" s="7" t="s">
        <v>238</v>
      </c>
      <c r="M75" s="7">
        <v>112.96307738930652</v>
      </c>
      <c r="N75" s="7">
        <v>1240.0835606737205</v>
      </c>
      <c r="O75" s="5">
        <v>0</v>
      </c>
      <c r="P75" s="5">
        <v>1</v>
      </c>
      <c r="Q75" s="5">
        <v>0</v>
      </c>
      <c r="R75" s="5">
        <v>1</v>
      </c>
      <c r="S75" s="5">
        <v>0</v>
      </c>
      <c r="T75" s="5">
        <v>0</v>
      </c>
      <c r="U75" s="5">
        <v>1</v>
      </c>
      <c r="V75" s="13" t="s">
        <v>25</v>
      </c>
      <c r="W75" s="13" t="s">
        <v>25</v>
      </c>
      <c r="X75" s="5"/>
      <c r="Y75" s="5"/>
      <c r="Z75" s="5"/>
      <c r="AA75" s="5">
        <v>1</v>
      </c>
      <c r="AB75" s="5"/>
      <c r="AC75" s="5">
        <v>1</v>
      </c>
      <c r="AD75" s="5">
        <v>0</v>
      </c>
      <c r="AE75" s="5">
        <v>0</v>
      </c>
      <c r="AF75" s="5">
        <v>0</v>
      </c>
    </row>
    <row r="76" spans="1:32" x14ac:dyDescent="0.2">
      <c r="A76" s="3" t="str">
        <f>+VLOOKUP(B76,studies!$A$2:$C$102,3)</f>
        <v>Pycroft et al. (2011)</v>
      </c>
      <c r="B76" s="87">
        <v>69</v>
      </c>
      <c r="C76" s="5">
        <v>2011</v>
      </c>
      <c r="D76" s="5">
        <v>1</v>
      </c>
      <c r="E76" s="5">
        <v>2005</v>
      </c>
      <c r="F76" s="5">
        <v>2009</v>
      </c>
      <c r="G76" s="115">
        <v>9.0909090909090912E-2</v>
      </c>
      <c r="H76" s="7">
        <v>270.6093276126054</v>
      </c>
      <c r="I76" s="5">
        <v>0</v>
      </c>
      <c r="J76" s="5">
        <v>0</v>
      </c>
      <c r="K76" s="5">
        <v>1</v>
      </c>
      <c r="L76" s="7" t="s">
        <v>238</v>
      </c>
      <c r="M76" s="7">
        <v>110.45278678065525</v>
      </c>
      <c r="N76" s="7">
        <v>1968.067837182585</v>
      </c>
      <c r="O76" s="5">
        <v>0</v>
      </c>
      <c r="P76" s="5">
        <v>1</v>
      </c>
      <c r="Q76" s="5">
        <v>0</v>
      </c>
      <c r="R76" s="5">
        <v>1</v>
      </c>
      <c r="S76" s="5">
        <v>0</v>
      </c>
      <c r="T76" s="5">
        <v>0</v>
      </c>
      <c r="U76" s="5">
        <v>1</v>
      </c>
      <c r="V76" s="13" t="s">
        <v>25</v>
      </c>
      <c r="W76" s="13" t="s">
        <v>25</v>
      </c>
      <c r="X76" s="5"/>
      <c r="Y76" s="5"/>
      <c r="Z76" s="5"/>
      <c r="AA76" s="5">
        <v>1</v>
      </c>
      <c r="AB76" s="5"/>
      <c r="AC76" s="5">
        <v>1</v>
      </c>
      <c r="AD76" s="5">
        <v>0</v>
      </c>
      <c r="AE76" s="5">
        <v>0</v>
      </c>
      <c r="AF76" s="5">
        <v>0</v>
      </c>
    </row>
    <row r="77" spans="1:32" x14ac:dyDescent="0.2">
      <c r="A77" s="3" t="str">
        <f>+VLOOKUP(B77,studies!$A$2:$C$102,3)</f>
        <v>Ackerman &amp; Stanton (2012)</v>
      </c>
      <c r="B77" s="87">
        <v>72</v>
      </c>
      <c r="C77" s="5">
        <v>2012</v>
      </c>
      <c r="D77" s="5">
        <v>1</v>
      </c>
      <c r="E77" s="5">
        <v>2007</v>
      </c>
      <c r="F77" s="5">
        <v>2010</v>
      </c>
      <c r="G77" s="113">
        <v>7.0370370370370361E-2</v>
      </c>
      <c r="H77" s="7">
        <v>530.35894639371531</v>
      </c>
      <c r="I77" s="5">
        <v>1</v>
      </c>
      <c r="J77" s="5">
        <v>0</v>
      </c>
      <c r="K77" s="5">
        <v>0</v>
      </c>
      <c r="L77" s="7" t="s">
        <v>238</v>
      </c>
      <c r="M77" s="7">
        <v>334.79940407074736</v>
      </c>
      <c r="N77" s="7">
        <v>334.79940407074736</v>
      </c>
      <c r="O77" s="5">
        <v>0</v>
      </c>
      <c r="P77" s="5">
        <v>1</v>
      </c>
      <c r="Q77" s="5">
        <v>0</v>
      </c>
      <c r="R77" s="5">
        <v>1</v>
      </c>
      <c r="S77" s="5">
        <v>0</v>
      </c>
      <c r="T77" s="5">
        <v>1</v>
      </c>
      <c r="U77" s="5">
        <v>0</v>
      </c>
      <c r="V77" s="13">
        <v>1.5</v>
      </c>
      <c r="W77" s="13">
        <v>-0.5</v>
      </c>
      <c r="X77" s="5"/>
      <c r="Y77" s="5"/>
      <c r="Z77" s="5"/>
      <c r="AA77" s="5">
        <v>0</v>
      </c>
      <c r="AB77" s="5"/>
      <c r="AC77" s="5">
        <v>0</v>
      </c>
      <c r="AD77" s="5">
        <v>0</v>
      </c>
      <c r="AE77" s="5">
        <v>0</v>
      </c>
      <c r="AF77" s="5">
        <v>0</v>
      </c>
    </row>
    <row r="78" spans="1:32" x14ac:dyDescent="0.2">
      <c r="A78" s="3" t="str">
        <f>+VLOOKUP(B78,studies!$A$2:$C$102,3)</f>
        <v>Ackerman &amp; Stanton (2012)</v>
      </c>
      <c r="B78" s="87">
        <v>72</v>
      </c>
      <c r="C78" s="5">
        <v>2012</v>
      </c>
      <c r="D78" s="5">
        <v>1</v>
      </c>
      <c r="E78" s="5">
        <v>2007</v>
      </c>
      <c r="F78" s="5">
        <v>2010</v>
      </c>
      <c r="G78" s="113">
        <v>3.518518518518518E-2</v>
      </c>
      <c r="H78" s="7">
        <v>125.8478855849494</v>
      </c>
      <c r="I78" s="5">
        <v>1</v>
      </c>
      <c r="J78" s="5">
        <v>0</v>
      </c>
      <c r="K78" s="5">
        <v>0</v>
      </c>
      <c r="L78" s="7" t="s">
        <v>238</v>
      </c>
      <c r="M78" s="7">
        <v>64.208104890280296</v>
      </c>
      <c r="N78" s="7">
        <v>64.208104890280296</v>
      </c>
      <c r="O78" s="5">
        <v>0</v>
      </c>
      <c r="P78" s="5">
        <v>1</v>
      </c>
      <c r="Q78" s="5">
        <v>0</v>
      </c>
      <c r="R78" s="5">
        <v>1</v>
      </c>
      <c r="S78" s="5">
        <v>0</v>
      </c>
      <c r="T78" s="5">
        <v>1</v>
      </c>
      <c r="U78" s="5">
        <v>0</v>
      </c>
      <c r="V78" s="13">
        <v>3</v>
      </c>
      <c r="W78" s="13">
        <v>1</v>
      </c>
      <c r="X78" s="5"/>
      <c r="Y78" s="5"/>
      <c r="Z78" s="5"/>
      <c r="AA78" s="5">
        <v>0</v>
      </c>
      <c r="AB78" s="5"/>
      <c r="AC78" s="5">
        <v>0</v>
      </c>
      <c r="AD78" s="5">
        <v>0</v>
      </c>
      <c r="AE78" s="5">
        <v>0</v>
      </c>
      <c r="AF78" s="5">
        <v>0</v>
      </c>
    </row>
    <row r="79" spans="1:32" x14ac:dyDescent="0.2">
      <c r="A79" s="3" t="str">
        <f>+VLOOKUP(B79,studies!$A$2:$C$102,3)</f>
        <v>Ackerman &amp; Stanton (2012)</v>
      </c>
      <c r="B79" s="87">
        <v>72</v>
      </c>
      <c r="C79" s="5">
        <v>2012</v>
      </c>
      <c r="D79" s="5">
        <v>1</v>
      </c>
      <c r="E79" s="5">
        <v>2007</v>
      </c>
      <c r="F79" s="5">
        <v>2010</v>
      </c>
      <c r="G79" s="113">
        <v>0.14074074074074072</v>
      </c>
      <c r="H79" s="7">
        <v>1083.1907294990287</v>
      </c>
      <c r="I79" s="5">
        <v>1</v>
      </c>
      <c r="J79" s="5">
        <v>0</v>
      </c>
      <c r="K79" s="5">
        <v>0</v>
      </c>
      <c r="L79" s="7" t="s">
        <v>238</v>
      </c>
      <c r="M79" s="7">
        <v>538.88945175770959</v>
      </c>
      <c r="N79" s="7">
        <v>538.88945175770959</v>
      </c>
      <c r="O79" s="5">
        <v>0</v>
      </c>
      <c r="P79" s="5">
        <v>1</v>
      </c>
      <c r="Q79" s="5">
        <v>0</v>
      </c>
      <c r="R79" s="5">
        <v>1</v>
      </c>
      <c r="S79" s="5">
        <v>0</v>
      </c>
      <c r="T79" s="5">
        <v>1</v>
      </c>
      <c r="U79" s="5">
        <v>0</v>
      </c>
      <c r="V79" s="13">
        <v>1.5</v>
      </c>
      <c r="W79" s="13">
        <v>-0.5</v>
      </c>
      <c r="X79" s="5"/>
      <c r="Y79" s="5"/>
      <c r="Z79" s="5"/>
      <c r="AA79" s="5">
        <v>0</v>
      </c>
      <c r="AB79" s="5"/>
      <c r="AC79" s="5">
        <v>0</v>
      </c>
      <c r="AD79" s="5">
        <v>0</v>
      </c>
      <c r="AE79" s="5">
        <v>0</v>
      </c>
      <c r="AF79" s="5">
        <v>0</v>
      </c>
    </row>
    <row r="80" spans="1:32" x14ac:dyDescent="0.2">
      <c r="A80" s="3" t="str">
        <f>+VLOOKUP(B80,studies!$A$2:$C$102,3)</f>
        <v>Ackerman &amp; Stanton (2012)</v>
      </c>
      <c r="B80" s="87">
        <v>72</v>
      </c>
      <c r="C80" s="5">
        <v>2012</v>
      </c>
      <c r="D80" s="5">
        <v>1</v>
      </c>
      <c r="E80" s="5">
        <v>2007</v>
      </c>
      <c r="F80" s="5">
        <v>2010</v>
      </c>
      <c r="G80" s="113">
        <v>7.0370370370370361E-2</v>
      </c>
      <c r="H80" s="7">
        <v>278.66317522381649</v>
      </c>
      <c r="I80" s="5">
        <v>1</v>
      </c>
      <c r="J80" s="5">
        <v>0</v>
      </c>
      <c r="K80" s="5">
        <v>0</v>
      </c>
      <c r="L80" s="7" t="s">
        <v>238</v>
      </c>
      <c r="M80" s="7">
        <v>121.5367699708877</v>
      </c>
      <c r="N80" s="7">
        <v>121.5367699708877</v>
      </c>
      <c r="O80" s="5">
        <v>0</v>
      </c>
      <c r="P80" s="5">
        <v>1</v>
      </c>
      <c r="Q80" s="5">
        <v>0</v>
      </c>
      <c r="R80" s="5">
        <v>1</v>
      </c>
      <c r="S80" s="5">
        <v>0</v>
      </c>
      <c r="T80" s="5">
        <v>1</v>
      </c>
      <c r="U80" s="5">
        <v>0</v>
      </c>
      <c r="V80" s="13">
        <v>3</v>
      </c>
      <c r="W80" s="13">
        <v>1</v>
      </c>
      <c r="X80" s="5"/>
      <c r="Y80" s="5"/>
      <c r="Z80" s="5"/>
      <c r="AA80" s="5">
        <v>0</v>
      </c>
      <c r="AB80" s="5"/>
      <c r="AC80" s="5">
        <v>0</v>
      </c>
      <c r="AD80" s="5">
        <v>0</v>
      </c>
      <c r="AE80" s="5">
        <v>0</v>
      </c>
      <c r="AF80" s="5">
        <v>0</v>
      </c>
    </row>
    <row r="81" spans="1:32" x14ac:dyDescent="0.2">
      <c r="A81" s="3" t="str">
        <f>+VLOOKUP(B81,studies!$A$2:$C$102,3)</f>
        <v>Ackerman &amp; Stanton (2012)</v>
      </c>
      <c r="B81" s="87">
        <v>72</v>
      </c>
      <c r="C81" s="5">
        <v>2012</v>
      </c>
      <c r="D81" s="5">
        <v>1</v>
      </c>
      <c r="E81" s="5">
        <v>2007</v>
      </c>
      <c r="F81" s="5">
        <v>2010</v>
      </c>
      <c r="G81" s="113">
        <v>0.14074074074074072</v>
      </c>
      <c r="H81" s="7">
        <v>1847.2671776933644</v>
      </c>
      <c r="I81" s="5">
        <v>1</v>
      </c>
      <c r="J81" s="5">
        <v>0</v>
      </c>
      <c r="K81" s="5">
        <v>0</v>
      </c>
      <c r="L81" s="7" t="s">
        <v>238</v>
      </c>
      <c r="M81" s="7">
        <v>1093.8309297379894</v>
      </c>
      <c r="N81" s="7">
        <v>1093.8309297379894</v>
      </c>
      <c r="O81" s="5">
        <v>0</v>
      </c>
      <c r="P81" s="5">
        <v>1</v>
      </c>
      <c r="Q81" s="5">
        <v>0</v>
      </c>
      <c r="R81" s="5">
        <v>1</v>
      </c>
      <c r="S81" s="5">
        <v>0</v>
      </c>
      <c r="T81" s="5">
        <v>1</v>
      </c>
      <c r="U81" s="5">
        <v>0</v>
      </c>
      <c r="V81" s="13">
        <v>1.5</v>
      </c>
      <c r="W81" s="13">
        <v>-0.5</v>
      </c>
      <c r="X81" s="5"/>
      <c r="Y81" s="5"/>
      <c r="Z81" s="5"/>
      <c r="AA81" s="5">
        <v>0</v>
      </c>
      <c r="AB81" s="5"/>
      <c r="AC81" s="5">
        <v>0</v>
      </c>
      <c r="AD81" s="5">
        <v>0</v>
      </c>
      <c r="AE81" s="5">
        <v>0</v>
      </c>
      <c r="AF81" s="5">
        <v>0</v>
      </c>
    </row>
    <row r="82" spans="1:32" x14ac:dyDescent="0.2">
      <c r="A82" s="3" t="str">
        <f>+VLOOKUP(B82,studies!$A$2:$C$102,3)</f>
        <v>Ackerman &amp; Stanton (2012)</v>
      </c>
      <c r="B82" s="87">
        <v>72</v>
      </c>
      <c r="C82" s="5">
        <v>2012</v>
      </c>
      <c r="D82" s="5">
        <v>1</v>
      </c>
      <c r="E82" s="5">
        <v>2007</v>
      </c>
      <c r="F82" s="5">
        <v>2010</v>
      </c>
      <c r="G82" s="113">
        <v>7.0370370370370361E-2</v>
      </c>
      <c r="H82" s="7">
        <v>346.08168535861086</v>
      </c>
      <c r="I82" s="5">
        <v>1</v>
      </c>
      <c r="J82" s="5">
        <v>0</v>
      </c>
      <c r="K82" s="5">
        <v>0</v>
      </c>
      <c r="L82" s="7" t="s">
        <v>238</v>
      </c>
      <c r="M82" s="7">
        <v>282.05703219658847</v>
      </c>
      <c r="N82" s="7">
        <v>282.05703219658847</v>
      </c>
      <c r="O82" s="5">
        <v>0</v>
      </c>
      <c r="P82" s="5">
        <v>1</v>
      </c>
      <c r="Q82" s="5">
        <v>0</v>
      </c>
      <c r="R82" s="5">
        <v>1</v>
      </c>
      <c r="S82" s="5">
        <v>0</v>
      </c>
      <c r="T82" s="5">
        <v>1</v>
      </c>
      <c r="U82" s="5">
        <v>0</v>
      </c>
      <c r="V82" s="13">
        <v>3</v>
      </c>
      <c r="W82" s="13">
        <v>1</v>
      </c>
      <c r="X82" s="5"/>
      <c r="Y82" s="5"/>
      <c r="Z82" s="5"/>
      <c r="AA82" s="5">
        <v>0</v>
      </c>
      <c r="AB82" s="5"/>
      <c r="AC82" s="5">
        <v>0</v>
      </c>
      <c r="AD82" s="5">
        <v>0</v>
      </c>
      <c r="AE82" s="5">
        <v>0</v>
      </c>
      <c r="AF82" s="5">
        <v>0</v>
      </c>
    </row>
    <row r="83" spans="1:32" x14ac:dyDescent="0.2">
      <c r="A83" s="3" t="str">
        <f>+VLOOKUP(B83,studies!$A$2:$C$102,3)</f>
        <v>Ackerman &amp; Stanton (2012)</v>
      </c>
      <c r="B83" s="87">
        <v>72</v>
      </c>
      <c r="C83" s="5">
        <v>2012</v>
      </c>
      <c r="D83" s="5">
        <v>1</v>
      </c>
      <c r="E83" s="5">
        <v>2007</v>
      </c>
      <c r="F83" s="5">
        <v>2010</v>
      </c>
      <c r="G83" s="113">
        <v>0.28148148148148144</v>
      </c>
      <c r="H83" s="7">
        <v>2000.0824673322313</v>
      </c>
      <c r="I83" s="5">
        <v>1</v>
      </c>
      <c r="J83" s="5">
        <v>0</v>
      </c>
      <c r="K83" s="5">
        <v>0</v>
      </c>
      <c r="L83" s="7" t="s">
        <v>238</v>
      </c>
      <c r="M83" s="7">
        <v>1025.0365316412606</v>
      </c>
      <c r="N83" s="7">
        <v>1025.0365316412606</v>
      </c>
      <c r="O83" s="5">
        <v>0</v>
      </c>
      <c r="P83" s="5">
        <v>1</v>
      </c>
      <c r="Q83" s="5">
        <v>0</v>
      </c>
      <c r="R83" s="5">
        <v>1</v>
      </c>
      <c r="S83" s="5">
        <v>0</v>
      </c>
      <c r="T83" s="5">
        <v>1</v>
      </c>
      <c r="U83" s="5">
        <v>0</v>
      </c>
      <c r="V83" s="13">
        <v>1.5</v>
      </c>
      <c r="W83" s="13">
        <v>-0.5</v>
      </c>
      <c r="X83" s="5"/>
      <c r="Y83" s="5"/>
      <c r="Z83" s="5"/>
      <c r="AA83" s="5">
        <v>0</v>
      </c>
      <c r="AB83" s="5"/>
      <c r="AC83" s="5">
        <v>0</v>
      </c>
      <c r="AD83" s="5">
        <v>0</v>
      </c>
      <c r="AE83" s="5">
        <v>0</v>
      </c>
      <c r="AF83" s="5">
        <v>0</v>
      </c>
    </row>
    <row r="84" spans="1:32" x14ac:dyDescent="0.2">
      <c r="A84" s="3" t="str">
        <f>+VLOOKUP(B84,studies!$A$2:$C$102,3)</f>
        <v>Ackerman &amp; Stanton (2012)</v>
      </c>
      <c r="B84" s="87">
        <v>72</v>
      </c>
      <c r="C84" s="5">
        <v>2012</v>
      </c>
      <c r="D84" s="5">
        <v>1</v>
      </c>
      <c r="E84" s="5">
        <v>2007</v>
      </c>
      <c r="F84" s="5">
        <v>2010</v>
      </c>
      <c r="G84" s="113">
        <v>0.14074074074074072</v>
      </c>
      <c r="H84" s="7">
        <v>431.47846486268367</v>
      </c>
      <c r="I84" s="5">
        <v>1</v>
      </c>
      <c r="J84" s="5">
        <v>0</v>
      </c>
      <c r="K84" s="5">
        <v>0</v>
      </c>
      <c r="L84" s="7" t="s">
        <v>238</v>
      </c>
      <c r="M84" s="7">
        <v>275.17759238691559</v>
      </c>
      <c r="N84" s="7">
        <v>275.17759238691559</v>
      </c>
      <c r="O84" s="5">
        <v>0</v>
      </c>
      <c r="P84" s="5">
        <v>1</v>
      </c>
      <c r="Q84" s="5">
        <v>0</v>
      </c>
      <c r="R84" s="5">
        <v>1</v>
      </c>
      <c r="S84" s="5">
        <v>0</v>
      </c>
      <c r="T84" s="5">
        <v>1</v>
      </c>
      <c r="U84" s="5">
        <v>0</v>
      </c>
      <c r="V84" s="13">
        <v>3</v>
      </c>
      <c r="W84" s="13">
        <v>1</v>
      </c>
      <c r="X84" s="5"/>
      <c r="Y84" s="5"/>
      <c r="Z84" s="5"/>
      <c r="AA84" s="5">
        <v>0</v>
      </c>
      <c r="AB84" s="5"/>
      <c r="AC84" s="5">
        <v>0</v>
      </c>
      <c r="AD84" s="5">
        <v>0</v>
      </c>
      <c r="AE84" s="5">
        <v>0</v>
      </c>
      <c r="AF84" s="5">
        <v>0</v>
      </c>
    </row>
    <row r="85" spans="1:32" x14ac:dyDescent="0.2">
      <c r="A85" s="3" t="str">
        <f>+VLOOKUP(B85,studies!$A$2:$C$102,3)</f>
        <v>Johnson &amp; Hope (2012)</v>
      </c>
      <c r="B85" s="87">
        <v>77</v>
      </c>
      <c r="C85" s="5">
        <v>2012</v>
      </c>
      <c r="D85" s="5">
        <v>1</v>
      </c>
      <c r="E85" s="5">
        <v>2007</v>
      </c>
      <c r="F85" s="5">
        <v>2010</v>
      </c>
      <c r="G85" s="113">
        <v>0.18867924528301883</v>
      </c>
      <c r="H85" s="7">
        <v>1195.5549130570193</v>
      </c>
      <c r="I85" s="5">
        <v>0</v>
      </c>
      <c r="J85" s="5">
        <v>1</v>
      </c>
      <c r="K85" s="5">
        <v>0</v>
      </c>
      <c r="L85" s="7" t="s">
        <v>238</v>
      </c>
      <c r="M85" s="7">
        <v>1128.2281287863539</v>
      </c>
      <c r="N85" s="7">
        <v>1128.2281287863539</v>
      </c>
      <c r="O85" s="5">
        <v>0</v>
      </c>
      <c r="P85" s="5">
        <v>1</v>
      </c>
      <c r="Q85" s="5">
        <v>0</v>
      </c>
      <c r="R85" s="5">
        <v>1</v>
      </c>
      <c r="S85" s="5">
        <v>1</v>
      </c>
      <c r="T85" s="5">
        <v>1</v>
      </c>
      <c r="U85" s="5">
        <v>1</v>
      </c>
      <c r="V85" s="13">
        <v>1</v>
      </c>
      <c r="W85" s="13" t="s">
        <v>25</v>
      </c>
      <c r="X85" s="5"/>
      <c r="Y85" s="5"/>
      <c r="Z85" s="5"/>
      <c r="AA85" s="5">
        <v>0</v>
      </c>
      <c r="AB85" s="5"/>
      <c r="AC85" s="5">
        <v>0</v>
      </c>
      <c r="AD85" s="5">
        <v>0</v>
      </c>
      <c r="AE85" s="5">
        <v>0</v>
      </c>
      <c r="AF85" s="5">
        <v>0</v>
      </c>
    </row>
    <row r="86" spans="1:32" x14ac:dyDescent="0.2">
      <c r="A86" s="3" t="str">
        <f>+VLOOKUP(B86,studies!$A$2:$C$102,3)</f>
        <v>Johnson &amp; Hope (2012)</v>
      </c>
      <c r="B86" s="87">
        <v>77</v>
      </c>
      <c r="C86" s="5">
        <v>2012</v>
      </c>
      <c r="D86" s="5">
        <v>1</v>
      </c>
      <c r="E86" s="5">
        <v>2007</v>
      </c>
      <c r="F86" s="5">
        <v>2010</v>
      </c>
      <c r="G86" s="113">
        <v>0.18867924528301883</v>
      </c>
      <c r="H86" s="7">
        <v>548.33721576299376</v>
      </c>
      <c r="I86" s="5">
        <v>0</v>
      </c>
      <c r="J86" s="5">
        <v>1</v>
      </c>
      <c r="K86" s="5">
        <v>0</v>
      </c>
      <c r="L86" s="7" t="s">
        <v>238</v>
      </c>
      <c r="M86" s="7">
        <v>538.88945175770971</v>
      </c>
      <c r="N86" s="7">
        <v>538.88945175770971</v>
      </c>
      <c r="O86" s="5">
        <v>0</v>
      </c>
      <c r="P86" s="5">
        <v>1</v>
      </c>
      <c r="Q86" s="5">
        <v>0</v>
      </c>
      <c r="R86" s="5">
        <v>1</v>
      </c>
      <c r="S86" s="5">
        <v>1</v>
      </c>
      <c r="T86" s="5">
        <v>1</v>
      </c>
      <c r="U86" s="5">
        <v>1</v>
      </c>
      <c r="V86" s="13">
        <v>1.5</v>
      </c>
      <c r="W86" s="13" t="s">
        <v>25</v>
      </c>
      <c r="X86" s="5"/>
      <c r="Y86" s="5"/>
      <c r="Z86" s="5"/>
      <c r="AA86" s="5">
        <v>0</v>
      </c>
      <c r="AB86" s="5"/>
      <c r="AC86" s="5">
        <v>0</v>
      </c>
      <c r="AD86" s="5">
        <v>0</v>
      </c>
      <c r="AE86" s="5">
        <v>0</v>
      </c>
      <c r="AF86" s="5">
        <v>0</v>
      </c>
    </row>
    <row r="87" spans="1:32" x14ac:dyDescent="0.2">
      <c r="A87" s="3" t="str">
        <f>+VLOOKUP(B87,studies!$A$2:$C$102,3)</f>
        <v>Johnson &amp; Hope (2012)</v>
      </c>
      <c r="B87" s="87">
        <v>77</v>
      </c>
      <c r="C87" s="5">
        <v>2012</v>
      </c>
      <c r="D87" s="5">
        <v>1</v>
      </c>
      <c r="E87" s="5">
        <v>2007</v>
      </c>
      <c r="F87" s="5">
        <v>2010</v>
      </c>
      <c r="G87" s="113">
        <v>0.18867924528301883</v>
      </c>
      <c r="H87" s="7">
        <v>278.66317522381649</v>
      </c>
      <c r="I87" s="5">
        <v>0</v>
      </c>
      <c r="J87" s="5">
        <v>1</v>
      </c>
      <c r="K87" s="5">
        <v>0</v>
      </c>
      <c r="L87" s="7" t="s">
        <v>238</v>
      </c>
      <c r="M87" s="7">
        <v>286.64332540303707</v>
      </c>
      <c r="N87" s="7">
        <v>286.64332540303707</v>
      </c>
      <c r="O87" s="5">
        <v>0</v>
      </c>
      <c r="P87" s="5">
        <v>1</v>
      </c>
      <c r="Q87" s="5">
        <v>0</v>
      </c>
      <c r="R87" s="5">
        <v>1</v>
      </c>
      <c r="S87" s="5">
        <v>1</v>
      </c>
      <c r="T87" s="5">
        <v>1</v>
      </c>
      <c r="U87" s="5">
        <v>1</v>
      </c>
      <c r="V87" s="13">
        <v>2</v>
      </c>
      <c r="W87" s="13" t="s">
        <v>25</v>
      </c>
      <c r="X87" s="5"/>
      <c r="Y87" s="5"/>
      <c r="Z87" s="5"/>
      <c r="AA87" s="5">
        <v>0</v>
      </c>
      <c r="AB87" s="5"/>
      <c r="AC87" s="5">
        <v>0</v>
      </c>
      <c r="AD87" s="5">
        <v>0</v>
      </c>
      <c r="AE87" s="5">
        <v>0</v>
      </c>
      <c r="AF87" s="5">
        <v>0</v>
      </c>
    </row>
    <row r="88" spans="1:32" x14ac:dyDescent="0.2">
      <c r="A88" s="3" t="str">
        <f>+VLOOKUP(B88,studies!$A$2:$C$102,3)</f>
        <v>Johnson &amp; Hope (2012)</v>
      </c>
      <c r="B88" s="87">
        <v>77</v>
      </c>
      <c r="C88" s="5">
        <v>2012</v>
      </c>
      <c r="D88" s="5">
        <v>1</v>
      </c>
      <c r="E88" s="5">
        <v>2007</v>
      </c>
      <c r="F88" s="5">
        <v>2010</v>
      </c>
      <c r="G88" s="113">
        <v>1.8867924528301883E-2</v>
      </c>
      <c r="H88" s="7">
        <v>157.30985698118673</v>
      </c>
      <c r="I88" s="5">
        <v>0</v>
      </c>
      <c r="J88" s="5">
        <v>1</v>
      </c>
      <c r="K88" s="5">
        <v>0</v>
      </c>
      <c r="L88" s="7" t="s">
        <v>238</v>
      </c>
      <c r="M88" s="7">
        <v>165.10655543214938</v>
      </c>
      <c r="N88" s="7">
        <v>165.10655543214938</v>
      </c>
      <c r="O88" s="5">
        <v>0</v>
      </c>
      <c r="P88" s="5">
        <v>1</v>
      </c>
      <c r="Q88" s="5">
        <v>0</v>
      </c>
      <c r="R88" s="5">
        <v>1</v>
      </c>
      <c r="S88" s="5">
        <v>1</v>
      </c>
      <c r="T88" s="5">
        <v>1</v>
      </c>
      <c r="U88" s="5">
        <v>1</v>
      </c>
      <c r="V88" s="13">
        <v>2.5</v>
      </c>
      <c r="W88" s="13" t="s">
        <v>25</v>
      </c>
      <c r="X88" s="5"/>
      <c r="Y88" s="5"/>
      <c r="Z88" s="5"/>
      <c r="AA88" s="5">
        <v>0</v>
      </c>
      <c r="AB88" s="5"/>
      <c r="AC88" s="5">
        <v>0</v>
      </c>
      <c r="AD88" s="5">
        <v>0</v>
      </c>
      <c r="AE88" s="5">
        <v>0</v>
      </c>
      <c r="AF88" s="5">
        <v>0</v>
      </c>
    </row>
    <row r="89" spans="1:32" x14ac:dyDescent="0.2">
      <c r="A89" s="3" t="str">
        <f>+VLOOKUP(B89,studies!$A$2:$C$102,3)</f>
        <v>Johnson &amp; Hope (2012)</v>
      </c>
      <c r="B89" s="87">
        <v>77</v>
      </c>
      <c r="C89" s="5">
        <v>2012</v>
      </c>
      <c r="D89" s="5">
        <v>1</v>
      </c>
      <c r="E89" s="5">
        <v>2007</v>
      </c>
      <c r="F89" s="5">
        <v>2010</v>
      </c>
      <c r="G89" s="113">
        <v>1.8867924528301883E-2</v>
      </c>
      <c r="H89" s="7">
        <v>94.38591418871205</v>
      </c>
      <c r="I89" s="5">
        <v>0</v>
      </c>
      <c r="J89" s="5">
        <v>1</v>
      </c>
      <c r="K89" s="5">
        <v>0</v>
      </c>
      <c r="L89" s="7" t="s">
        <v>238</v>
      </c>
      <c r="M89" s="7">
        <v>100.89845054186904</v>
      </c>
      <c r="N89" s="7">
        <v>100.89845054186904</v>
      </c>
      <c r="O89" s="5">
        <v>0</v>
      </c>
      <c r="P89" s="5">
        <v>1</v>
      </c>
      <c r="Q89" s="5">
        <v>0</v>
      </c>
      <c r="R89" s="5">
        <v>1</v>
      </c>
      <c r="S89" s="5">
        <v>1</v>
      </c>
      <c r="T89" s="5">
        <v>1</v>
      </c>
      <c r="U89" s="5">
        <v>1</v>
      </c>
      <c r="V89" s="13">
        <v>3</v>
      </c>
      <c r="W89" s="13" t="s">
        <v>25</v>
      </c>
      <c r="X89" s="5"/>
      <c r="Y89" s="5"/>
      <c r="Z89" s="5"/>
      <c r="AA89" s="5">
        <v>0</v>
      </c>
      <c r="AB89" s="5"/>
      <c r="AC89" s="5">
        <v>0</v>
      </c>
      <c r="AD89" s="5">
        <v>0</v>
      </c>
      <c r="AE89" s="5">
        <v>0</v>
      </c>
      <c r="AF89" s="5">
        <v>0</v>
      </c>
    </row>
    <row r="90" spans="1:32" x14ac:dyDescent="0.2">
      <c r="A90" s="3" t="str">
        <f>+VLOOKUP(B90,studies!$A$2:$C$102,3)</f>
        <v>Johnson &amp; Hope (2012)</v>
      </c>
      <c r="B90" s="87">
        <v>77</v>
      </c>
      <c r="C90" s="5">
        <v>2012</v>
      </c>
      <c r="D90" s="5">
        <v>1</v>
      </c>
      <c r="E90" s="5">
        <v>2007</v>
      </c>
      <c r="F90" s="5">
        <v>2010</v>
      </c>
      <c r="G90" s="113">
        <v>1.8867924528301883E-2</v>
      </c>
      <c r="H90" s="7">
        <v>22.472836711598106</v>
      </c>
      <c r="I90" s="5">
        <v>0</v>
      </c>
      <c r="J90" s="5">
        <v>1</v>
      </c>
      <c r="K90" s="5">
        <v>0</v>
      </c>
      <c r="L90" s="7" t="s">
        <v>238</v>
      </c>
      <c r="M90" s="7">
        <v>25.22461263546726</v>
      </c>
      <c r="N90" s="7">
        <v>25.22461263546726</v>
      </c>
      <c r="O90" s="5">
        <v>0</v>
      </c>
      <c r="P90" s="5">
        <v>1</v>
      </c>
      <c r="Q90" s="5">
        <v>0</v>
      </c>
      <c r="R90" s="5">
        <v>1</v>
      </c>
      <c r="S90" s="5">
        <v>1</v>
      </c>
      <c r="T90" s="5">
        <v>1</v>
      </c>
      <c r="U90" s="5">
        <v>1</v>
      </c>
      <c r="V90" s="13">
        <v>5</v>
      </c>
      <c r="W90" s="13" t="s">
        <v>25</v>
      </c>
      <c r="X90" s="5"/>
      <c r="Y90" s="5"/>
      <c r="Z90" s="5"/>
      <c r="AA90" s="5">
        <v>0</v>
      </c>
      <c r="AB90" s="5"/>
      <c r="AC90" s="5">
        <v>0</v>
      </c>
      <c r="AD90" s="5">
        <v>0</v>
      </c>
      <c r="AE90" s="5">
        <v>0</v>
      </c>
      <c r="AF90" s="5">
        <v>0</v>
      </c>
    </row>
    <row r="91" spans="1:32" x14ac:dyDescent="0.2">
      <c r="A91" s="3" t="str">
        <f>+VLOOKUP(B91,studies!$A$2:$C$102,3)</f>
        <v>Johnson &amp; Hope (2012)</v>
      </c>
      <c r="B91" s="87">
        <v>77</v>
      </c>
      <c r="C91" s="5">
        <v>2012</v>
      </c>
      <c r="D91" s="5">
        <v>1</v>
      </c>
      <c r="E91" s="5">
        <v>2007</v>
      </c>
      <c r="F91" s="5">
        <v>2010</v>
      </c>
      <c r="G91" s="113">
        <v>0.18867924528301883</v>
      </c>
      <c r="H91" s="7">
        <v>247.20120382757918</v>
      </c>
      <c r="I91" s="5">
        <v>0</v>
      </c>
      <c r="J91" s="5">
        <v>1</v>
      </c>
      <c r="K91" s="5">
        <v>0</v>
      </c>
      <c r="L91" s="7" t="s">
        <v>238</v>
      </c>
      <c r="M91" s="7">
        <v>231.60780692565396</v>
      </c>
      <c r="N91" s="7">
        <v>231.60780692565396</v>
      </c>
      <c r="O91" s="5">
        <v>0</v>
      </c>
      <c r="P91" s="5">
        <v>1</v>
      </c>
      <c r="Q91" s="5">
        <v>0</v>
      </c>
      <c r="R91" s="5">
        <v>1</v>
      </c>
      <c r="S91" s="5">
        <v>1</v>
      </c>
      <c r="T91" s="5">
        <v>1</v>
      </c>
      <c r="U91" s="5">
        <v>1</v>
      </c>
      <c r="V91" s="13" t="s">
        <v>25</v>
      </c>
      <c r="W91" s="13" t="s">
        <v>25</v>
      </c>
      <c r="X91" s="5"/>
      <c r="Y91" s="5"/>
      <c r="Z91" s="5"/>
      <c r="AA91" s="5">
        <v>0</v>
      </c>
      <c r="AB91" s="5"/>
      <c r="AC91" s="5">
        <v>0</v>
      </c>
      <c r="AD91" s="5">
        <v>0</v>
      </c>
      <c r="AE91" s="5">
        <v>0</v>
      </c>
      <c r="AF91" s="5">
        <v>0</v>
      </c>
    </row>
    <row r="92" spans="1:32" x14ac:dyDescent="0.2">
      <c r="A92" s="3" t="str">
        <f>+VLOOKUP(B92,studies!$A$2:$C$102,3)</f>
        <v>Johnson &amp; Hope (2012)</v>
      </c>
      <c r="B92" s="87">
        <v>77</v>
      </c>
      <c r="C92" s="5">
        <v>2012</v>
      </c>
      <c r="D92" s="5">
        <v>1</v>
      </c>
      <c r="E92" s="5">
        <v>2007</v>
      </c>
      <c r="F92" s="5">
        <v>2010</v>
      </c>
      <c r="G92" s="113">
        <v>0.18867924528301883</v>
      </c>
      <c r="H92" s="7">
        <v>786.54928490593363</v>
      </c>
      <c r="I92" s="5">
        <v>0</v>
      </c>
      <c r="J92" s="5">
        <v>1</v>
      </c>
      <c r="K92" s="5">
        <v>0</v>
      </c>
      <c r="L92" s="7" t="s">
        <v>238</v>
      </c>
      <c r="M92" s="7">
        <v>470.0950536609808</v>
      </c>
      <c r="N92" s="7">
        <v>470.0950536609808</v>
      </c>
      <c r="O92" s="5">
        <v>0</v>
      </c>
      <c r="P92" s="5">
        <v>1</v>
      </c>
      <c r="Q92" s="5">
        <v>0</v>
      </c>
      <c r="R92" s="5">
        <v>1</v>
      </c>
      <c r="S92" s="5">
        <v>1</v>
      </c>
      <c r="T92" s="5">
        <v>1</v>
      </c>
      <c r="U92" s="5">
        <v>1</v>
      </c>
      <c r="V92" s="13" t="s">
        <v>25</v>
      </c>
      <c r="W92" s="13" t="s">
        <v>25</v>
      </c>
      <c r="X92" s="5"/>
      <c r="Y92" s="5"/>
      <c r="Z92" s="5"/>
      <c r="AA92" s="5">
        <v>0</v>
      </c>
      <c r="AB92" s="5"/>
      <c r="AC92" s="5">
        <v>0</v>
      </c>
      <c r="AD92" s="5">
        <v>0</v>
      </c>
      <c r="AE92" s="5">
        <v>0</v>
      </c>
      <c r="AF92" s="5">
        <v>0</v>
      </c>
    </row>
    <row r="93" spans="1:32" x14ac:dyDescent="0.2">
      <c r="A93" s="3" t="str">
        <f>+VLOOKUP(B93,studies!$A$2:$C$102,3)</f>
        <v>Kopp et al. (2012)</v>
      </c>
      <c r="B93" s="87">
        <v>78</v>
      </c>
      <c r="C93" s="5">
        <v>2012</v>
      </c>
      <c r="D93" s="5">
        <v>1</v>
      </c>
      <c r="E93" s="5">
        <v>2005</v>
      </c>
      <c r="F93" s="5">
        <v>2015</v>
      </c>
      <c r="G93" s="113">
        <v>6.9444444444444441E-3</v>
      </c>
      <c r="H93" s="7">
        <v>495.36189793480105</v>
      </c>
      <c r="I93" s="5">
        <v>0</v>
      </c>
      <c r="J93" s="5">
        <v>0</v>
      </c>
      <c r="K93" s="5">
        <v>1</v>
      </c>
      <c r="L93" s="7" t="s">
        <v>238</v>
      </c>
      <c r="M93" s="7">
        <v>219.31607051422716</v>
      </c>
      <c r="N93" s="7">
        <v>268.05297507294432</v>
      </c>
      <c r="O93" s="5">
        <v>0</v>
      </c>
      <c r="P93" s="5">
        <v>1</v>
      </c>
      <c r="Q93" s="5">
        <v>0</v>
      </c>
      <c r="R93" s="5">
        <v>1</v>
      </c>
      <c r="S93" s="5">
        <v>0</v>
      </c>
      <c r="T93" s="5">
        <v>1</v>
      </c>
      <c r="U93" s="5">
        <v>0</v>
      </c>
      <c r="V93" s="13">
        <v>3</v>
      </c>
      <c r="W93" s="13">
        <v>3</v>
      </c>
      <c r="X93" s="5"/>
      <c r="Y93" s="5"/>
      <c r="Z93" s="5"/>
      <c r="AA93" s="5">
        <v>0</v>
      </c>
      <c r="AB93" s="5"/>
      <c r="AC93" s="5">
        <v>0</v>
      </c>
      <c r="AD93" s="5">
        <v>0</v>
      </c>
      <c r="AE93" s="5">
        <v>0</v>
      </c>
      <c r="AF93" s="5">
        <v>1</v>
      </c>
    </row>
    <row r="94" spans="1:32" x14ac:dyDescent="0.2">
      <c r="A94" s="3" t="str">
        <f>+VLOOKUP(B94,studies!$A$2:$C$102,3)</f>
        <v>Kopp et al. (2012)</v>
      </c>
      <c r="B94" s="87">
        <v>78</v>
      </c>
      <c r="C94" s="5">
        <v>2012</v>
      </c>
      <c r="D94" s="5">
        <v>1</v>
      </c>
      <c r="E94" s="5">
        <v>2005</v>
      </c>
      <c r="F94" s="5">
        <v>2015</v>
      </c>
      <c r="G94" s="113">
        <v>6.9444444444444441E-3</v>
      </c>
      <c r="H94" s="7">
        <v>525.38383114297085</v>
      </c>
      <c r="I94" s="5">
        <v>0</v>
      </c>
      <c r="J94" s="5">
        <v>0</v>
      </c>
      <c r="K94" s="5">
        <v>1</v>
      </c>
      <c r="L94" s="7" t="s">
        <v>238</v>
      </c>
      <c r="M94" s="7">
        <v>145.51447218245548</v>
      </c>
      <c r="N94" s="7">
        <v>306.34625722622212</v>
      </c>
      <c r="O94" s="5">
        <v>0</v>
      </c>
      <c r="P94" s="5">
        <v>1</v>
      </c>
      <c r="Q94" s="5">
        <v>0</v>
      </c>
      <c r="R94" s="5">
        <v>1</v>
      </c>
      <c r="S94" s="5">
        <v>0</v>
      </c>
      <c r="T94" s="5">
        <v>1</v>
      </c>
      <c r="U94" s="5">
        <v>0</v>
      </c>
      <c r="V94" s="13">
        <v>3</v>
      </c>
      <c r="W94" s="13">
        <v>3</v>
      </c>
      <c r="X94" s="5"/>
      <c r="Y94" s="5"/>
      <c r="Z94" s="5"/>
      <c r="AA94" s="5">
        <v>0</v>
      </c>
      <c r="AB94" s="5"/>
      <c r="AC94" s="5">
        <v>0</v>
      </c>
      <c r="AD94" s="5">
        <v>0</v>
      </c>
      <c r="AE94" s="5">
        <v>0</v>
      </c>
      <c r="AF94" s="5">
        <v>1</v>
      </c>
    </row>
    <row r="95" spans="1:32" x14ac:dyDescent="0.2">
      <c r="A95" s="3" t="str">
        <f>+VLOOKUP(B95,studies!$A$2:$C$102,3)</f>
        <v>Kopp et al. (2012)</v>
      </c>
      <c r="B95" s="87">
        <v>78</v>
      </c>
      <c r="C95" s="5">
        <v>2012</v>
      </c>
      <c r="D95" s="5">
        <v>1</v>
      </c>
      <c r="E95" s="5">
        <v>2005</v>
      </c>
      <c r="F95" s="5">
        <v>2015</v>
      </c>
      <c r="G95" s="113">
        <v>6.9444444444444441E-3</v>
      </c>
      <c r="H95" s="7">
        <v>480.35093133071615</v>
      </c>
      <c r="I95" s="5">
        <v>0</v>
      </c>
      <c r="J95" s="5">
        <v>0</v>
      </c>
      <c r="K95" s="5">
        <v>1</v>
      </c>
      <c r="L95" s="7" t="s">
        <v>238</v>
      </c>
      <c r="M95" s="7">
        <v>137.85581575179992</v>
      </c>
      <c r="N95" s="7">
        <v>314.00491365687765</v>
      </c>
      <c r="O95" s="5">
        <v>0</v>
      </c>
      <c r="P95" s="5">
        <v>1</v>
      </c>
      <c r="Q95" s="5">
        <v>0</v>
      </c>
      <c r="R95" s="5">
        <v>1</v>
      </c>
      <c r="S95" s="5">
        <v>0</v>
      </c>
      <c r="T95" s="5">
        <v>1</v>
      </c>
      <c r="U95" s="5">
        <v>0</v>
      </c>
      <c r="V95" s="13">
        <v>3</v>
      </c>
      <c r="W95" s="13">
        <v>3</v>
      </c>
      <c r="X95" s="5"/>
      <c r="Y95" s="5"/>
      <c r="Z95" s="5"/>
      <c r="AA95" s="5">
        <v>0</v>
      </c>
      <c r="AB95" s="5"/>
      <c r="AC95" s="5">
        <v>0</v>
      </c>
      <c r="AD95" s="5">
        <v>0</v>
      </c>
      <c r="AE95" s="5">
        <v>0</v>
      </c>
      <c r="AF95" s="5">
        <v>1</v>
      </c>
    </row>
    <row r="96" spans="1:32" x14ac:dyDescent="0.2">
      <c r="A96" s="3" t="str">
        <f>+VLOOKUP(B96,studies!$A$2:$C$102,3)</f>
        <v>Kopp et al. (2012)</v>
      </c>
      <c r="B96" s="87">
        <v>78</v>
      </c>
      <c r="C96" s="5">
        <v>2012</v>
      </c>
      <c r="D96" s="5">
        <v>1</v>
      </c>
      <c r="E96" s="5">
        <v>2005</v>
      </c>
      <c r="F96" s="5">
        <v>2015</v>
      </c>
      <c r="G96" s="113">
        <v>6.9444444444444441E-3</v>
      </c>
      <c r="H96" s="7">
        <v>690.50446378790446</v>
      </c>
      <c r="I96" s="5">
        <v>0</v>
      </c>
      <c r="J96" s="5">
        <v>0</v>
      </c>
      <c r="K96" s="5">
        <v>1</v>
      </c>
      <c r="L96" s="7" t="s">
        <v>238</v>
      </c>
      <c r="M96" s="7">
        <v>176.14909790507767</v>
      </c>
      <c r="N96" s="7">
        <v>306.34625722622212</v>
      </c>
      <c r="O96" s="5">
        <v>0</v>
      </c>
      <c r="P96" s="5">
        <v>1</v>
      </c>
      <c r="Q96" s="5">
        <v>0</v>
      </c>
      <c r="R96" s="5">
        <v>1</v>
      </c>
      <c r="S96" s="5">
        <v>0</v>
      </c>
      <c r="T96" s="5">
        <v>1</v>
      </c>
      <c r="U96" s="5">
        <v>0</v>
      </c>
      <c r="V96" s="13">
        <v>3</v>
      </c>
      <c r="W96" s="13">
        <v>3</v>
      </c>
      <c r="X96" s="5"/>
      <c r="Y96" s="5"/>
      <c r="Z96" s="5"/>
      <c r="AA96" s="5">
        <v>0</v>
      </c>
      <c r="AB96" s="5"/>
      <c r="AC96" s="5">
        <v>0</v>
      </c>
      <c r="AD96" s="5">
        <v>0</v>
      </c>
      <c r="AE96" s="5">
        <v>0</v>
      </c>
      <c r="AF96" s="5">
        <v>1</v>
      </c>
    </row>
    <row r="97" spans="1:32" x14ac:dyDescent="0.2">
      <c r="A97" s="3" t="str">
        <f>+VLOOKUP(B97,studies!$A$2:$C$102,3)</f>
        <v>Kopp et al. (2012)</v>
      </c>
      <c r="B97" s="87">
        <v>78</v>
      </c>
      <c r="C97" s="5">
        <v>2012</v>
      </c>
      <c r="D97" s="5">
        <v>1</v>
      </c>
      <c r="E97" s="5">
        <v>2005</v>
      </c>
      <c r="F97" s="5">
        <v>2015</v>
      </c>
      <c r="G97" s="113">
        <v>6.9444444444444441E-3</v>
      </c>
      <c r="H97" s="7">
        <v>360.26319849803713</v>
      </c>
      <c r="I97" s="5">
        <v>0</v>
      </c>
      <c r="J97" s="5">
        <v>0</v>
      </c>
      <c r="K97" s="5">
        <v>1</v>
      </c>
      <c r="L97" s="7" t="s">
        <v>238</v>
      </c>
      <c r="M97" s="7">
        <v>91.903877167866611</v>
      </c>
      <c r="N97" s="7">
        <v>168.49044147442211</v>
      </c>
      <c r="O97" s="5">
        <v>0</v>
      </c>
      <c r="P97" s="5">
        <v>1</v>
      </c>
      <c r="Q97" s="5">
        <v>0</v>
      </c>
      <c r="R97" s="5">
        <v>1</v>
      </c>
      <c r="S97" s="5">
        <v>0</v>
      </c>
      <c r="T97" s="5">
        <v>1</v>
      </c>
      <c r="U97" s="5">
        <v>0</v>
      </c>
      <c r="V97" s="13">
        <v>3</v>
      </c>
      <c r="W97" s="13">
        <v>3</v>
      </c>
      <c r="X97" s="5"/>
      <c r="Y97" s="5"/>
      <c r="Z97" s="5"/>
      <c r="AA97" s="5">
        <v>0</v>
      </c>
      <c r="AB97" s="5"/>
      <c r="AC97" s="5">
        <v>0</v>
      </c>
      <c r="AD97" s="5">
        <v>0</v>
      </c>
      <c r="AE97" s="5">
        <v>0</v>
      </c>
      <c r="AF97" s="5">
        <v>1</v>
      </c>
    </row>
    <row r="98" spans="1:32" x14ac:dyDescent="0.2">
      <c r="A98" s="3" t="str">
        <f>+VLOOKUP(B98,studies!$A$2:$C$102,3)</f>
        <v>Kopp et al. (2012)</v>
      </c>
      <c r="B98" s="87">
        <v>78</v>
      </c>
      <c r="C98" s="5">
        <v>2012</v>
      </c>
      <c r="D98" s="5">
        <v>1</v>
      </c>
      <c r="E98" s="5">
        <v>2005</v>
      </c>
      <c r="F98" s="5">
        <v>2015</v>
      </c>
      <c r="G98" s="113">
        <v>6.9444444444444441E-3</v>
      </c>
      <c r="H98" s="7">
        <v>705.51543039198941</v>
      </c>
      <c r="I98" s="5">
        <v>0</v>
      </c>
      <c r="J98" s="5">
        <v>0</v>
      </c>
      <c r="K98" s="5">
        <v>1</v>
      </c>
      <c r="L98" s="7" t="s">
        <v>238</v>
      </c>
      <c r="M98" s="7">
        <v>176.14909790507767</v>
      </c>
      <c r="N98" s="7">
        <v>260.39431864228868</v>
      </c>
      <c r="O98" s="5">
        <v>0</v>
      </c>
      <c r="P98" s="5">
        <v>1</v>
      </c>
      <c r="Q98" s="5">
        <v>0</v>
      </c>
      <c r="R98" s="5">
        <v>1</v>
      </c>
      <c r="S98" s="5">
        <v>0</v>
      </c>
      <c r="T98" s="5">
        <v>1</v>
      </c>
      <c r="U98" s="5">
        <v>0</v>
      </c>
      <c r="V98" s="13">
        <v>3</v>
      </c>
      <c r="W98" s="13">
        <v>3</v>
      </c>
      <c r="X98" s="5"/>
      <c r="Y98" s="5"/>
      <c r="Z98" s="5"/>
      <c r="AA98" s="5">
        <v>0</v>
      </c>
      <c r="AB98" s="5"/>
      <c r="AC98" s="5">
        <v>0</v>
      </c>
      <c r="AD98" s="5">
        <v>0</v>
      </c>
      <c r="AE98" s="5">
        <v>0</v>
      </c>
      <c r="AF98" s="5">
        <v>1</v>
      </c>
    </row>
    <row r="99" spans="1:32" x14ac:dyDescent="0.2">
      <c r="A99" s="3" t="str">
        <f>+VLOOKUP(B99,studies!$A$2:$C$102,3)</f>
        <v>Kopp et al. (2012)</v>
      </c>
      <c r="B99" s="87">
        <v>78</v>
      </c>
      <c r="C99" s="5">
        <v>2012</v>
      </c>
      <c r="D99" s="5">
        <v>1</v>
      </c>
      <c r="E99" s="5">
        <v>2005</v>
      </c>
      <c r="F99" s="5">
        <v>2015</v>
      </c>
      <c r="G99" s="113">
        <v>6.9444444444444441E-3</v>
      </c>
      <c r="H99" s="7">
        <v>405.29609831029177</v>
      </c>
      <c r="I99" s="5">
        <v>0</v>
      </c>
      <c r="J99" s="5">
        <v>0</v>
      </c>
      <c r="K99" s="5">
        <v>1</v>
      </c>
      <c r="L99" s="7" t="s">
        <v>238</v>
      </c>
      <c r="M99" s="7">
        <v>99.562533598522165</v>
      </c>
      <c r="N99" s="7">
        <v>214.44238005835544</v>
      </c>
      <c r="O99" s="5">
        <v>0</v>
      </c>
      <c r="P99" s="5">
        <v>1</v>
      </c>
      <c r="Q99" s="5">
        <v>0</v>
      </c>
      <c r="R99" s="5">
        <v>1</v>
      </c>
      <c r="S99" s="5">
        <v>0</v>
      </c>
      <c r="T99" s="5">
        <v>1</v>
      </c>
      <c r="U99" s="5">
        <v>0</v>
      </c>
      <c r="V99" s="13">
        <v>3</v>
      </c>
      <c r="W99" s="13">
        <v>3</v>
      </c>
      <c r="X99" s="5"/>
      <c r="Y99" s="5"/>
      <c r="Z99" s="5"/>
      <c r="AA99" s="5">
        <v>0</v>
      </c>
      <c r="AB99" s="5"/>
      <c r="AC99" s="5">
        <v>0</v>
      </c>
      <c r="AD99" s="5">
        <v>0</v>
      </c>
      <c r="AE99" s="5">
        <v>0</v>
      </c>
      <c r="AF99" s="5">
        <v>1</v>
      </c>
    </row>
    <row r="100" spans="1:32" x14ac:dyDescent="0.2">
      <c r="A100" s="3" t="str">
        <f>+VLOOKUP(B100,studies!$A$2:$C$102,3)</f>
        <v>Kopp et al. (2012)</v>
      </c>
      <c r="B100" s="87">
        <v>78</v>
      </c>
      <c r="C100" s="5">
        <v>2012</v>
      </c>
      <c r="D100" s="5">
        <v>1</v>
      </c>
      <c r="E100" s="5">
        <v>2005</v>
      </c>
      <c r="F100" s="5">
        <v>2015</v>
      </c>
      <c r="G100" s="113">
        <v>6.9444444444444441E-3</v>
      </c>
      <c r="H100" s="7">
        <v>525.38383114297085</v>
      </c>
      <c r="I100" s="5">
        <v>0</v>
      </c>
      <c r="J100" s="5">
        <v>0</v>
      </c>
      <c r="K100" s="5">
        <v>1</v>
      </c>
      <c r="L100" s="7" t="s">
        <v>238</v>
      </c>
      <c r="M100" s="7">
        <v>145.51447218245548</v>
      </c>
      <c r="N100" s="7">
        <v>283.37028793425543</v>
      </c>
      <c r="O100" s="5">
        <v>0</v>
      </c>
      <c r="P100" s="5">
        <v>1</v>
      </c>
      <c r="Q100" s="5">
        <v>0</v>
      </c>
      <c r="R100" s="5">
        <v>1</v>
      </c>
      <c r="S100" s="5">
        <v>0</v>
      </c>
      <c r="T100" s="5">
        <v>1</v>
      </c>
      <c r="U100" s="5">
        <v>0</v>
      </c>
      <c r="V100" s="13">
        <v>3</v>
      </c>
      <c r="W100" s="13">
        <v>3</v>
      </c>
      <c r="X100" s="5"/>
      <c r="Y100" s="5"/>
      <c r="Z100" s="5"/>
      <c r="AA100" s="5">
        <v>0</v>
      </c>
      <c r="AB100" s="5"/>
      <c r="AC100" s="5">
        <v>0</v>
      </c>
      <c r="AD100" s="5">
        <v>0</v>
      </c>
      <c r="AE100" s="5">
        <v>0</v>
      </c>
      <c r="AF100" s="5">
        <v>1</v>
      </c>
    </row>
    <row r="101" spans="1:32" x14ac:dyDescent="0.2">
      <c r="A101" s="3" t="str">
        <f>+VLOOKUP(B101,studies!$A$2:$C$102,3)</f>
        <v>Kopp et al. (2012)</v>
      </c>
      <c r="B101" s="87">
        <v>78</v>
      </c>
      <c r="C101" s="5">
        <v>2012</v>
      </c>
      <c r="D101" s="5">
        <v>1</v>
      </c>
      <c r="E101" s="5">
        <v>2005</v>
      </c>
      <c r="F101" s="5">
        <v>2015</v>
      </c>
      <c r="G101" s="113">
        <v>6.9444444444444441E-3</v>
      </c>
      <c r="H101" s="7">
        <v>495.36189793480105</v>
      </c>
      <c r="I101" s="5">
        <v>0</v>
      </c>
      <c r="J101" s="5">
        <v>0</v>
      </c>
      <c r="K101" s="5">
        <v>1</v>
      </c>
      <c r="L101" s="7" t="s">
        <v>238</v>
      </c>
      <c r="M101" s="7">
        <v>130.19715932114437</v>
      </c>
      <c r="N101" s="7">
        <v>268.05297507294432</v>
      </c>
      <c r="O101" s="5">
        <v>0</v>
      </c>
      <c r="P101" s="5">
        <v>1</v>
      </c>
      <c r="Q101" s="5">
        <v>0</v>
      </c>
      <c r="R101" s="5">
        <v>1</v>
      </c>
      <c r="S101" s="5">
        <v>0</v>
      </c>
      <c r="T101" s="5">
        <v>1</v>
      </c>
      <c r="U101" s="5">
        <v>0</v>
      </c>
      <c r="V101" s="13">
        <v>3</v>
      </c>
      <c r="W101" s="13">
        <v>3</v>
      </c>
      <c r="X101" s="5"/>
      <c r="Y101" s="5"/>
      <c r="Z101" s="5"/>
      <c r="AA101" s="5">
        <v>0</v>
      </c>
      <c r="AB101" s="5"/>
      <c r="AC101" s="5">
        <v>0</v>
      </c>
      <c r="AD101" s="5">
        <v>0</v>
      </c>
      <c r="AE101" s="5">
        <v>0</v>
      </c>
      <c r="AF101" s="5">
        <v>1</v>
      </c>
    </row>
    <row r="102" spans="1:32" x14ac:dyDescent="0.2">
      <c r="A102" s="3" t="str">
        <f>+VLOOKUP(B102,studies!$A$2:$C$102,3)</f>
        <v>Kopp et al. (2012)</v>
      </c>
      <c r="B102" s="87">
        <v>78</v>
      </c>
      <c r="C102" s="5">
        <v>2012</v>
      </c>
      <c r="D102" s="5">
        <v>1</v>
      </c>
      <c r="E102" s="5">
        <v>2005</v>
      </c>
      <c r="F102" s="5">
        <v>2015</v>
      </c>
      <c r="G102" s="113">
        <v>6.9444444444444441E-3</v>
      </c>
      <c r="H102" s="7">
        <v>675.49349718381961</v>
      </c>
      <c r="I102" s="5">
        <v>0</v>
      </c>
      <c r="J102" s="5">
        <v>0</v>
      </c>
      <c r="K102" s="5">
        <v>1</v>
      </c>
      <c r="L102" s="7" t="s">
        <v>238</v>
      </c>
      <c r="M102" s="7">
        <v>222.10103648901097</v>
      </c>
      <c r="N102" s="7">
        <v>1072.2119002917771</v>
      </c>
      <c r="O102" s="5">
        <v>0</v>
      </c>
      <c r="P102" s="5">
        <v>1</v>
      </c>
      <c r="Q102" s="5">
        <v>0</v>
      </c>
      <c r="R102" s="5">
        <v>1</v>
      </c>
      <c r="S102" s="5">
        <v>0</v>
      </c>
      <c r="T102" s="5">
        <v>1</v>
      </c>
      <c r="U102" s="5">
        <v>0</v>
      </c>
      <c r="V102" s="13">
        <v>3</v>
      </c>
      <c r="W102" s="13">
        <v>3</v>
      </c>
      <c r="X102" s="5"/>
      <c r="Y102" s="5"/>
      <c r="Z102" s="5"/>
      <c r="AA102" s="5">
        <v>0</v>
      </c>
      <c r="AB102" s="5"/>
      <c r="AC102" s="5">
        <v>0</v>
      </c>
      <c r="AD102" s="5">
        <v>0</v>
      </c>
      <c r="AE102" s="5">
        <v>0</v>
      </c>
      <c r="AF102" s="5">
        <v>1</v>
      </c>
    </row>
    <row r="103" spans="1:32" x14ac:dyDescent="0.2">
      <c r="A103" s="3" t="str">
        <f>+VLOOKUP(B103,studies!$A$2:$C$102,3)</f>
        <v>Kopp et al. (2012)</v>
      </c>
      <c r="B103" s="87">
        <v>78</v>
      </c>
      <c r="C103" s="5">
        <v>2012</v>
      </c>
      <c r="D103" s="5">
        <v>1</v>
      </c>
      <c r="E103" s="5">
        <v>2005</v>
      </c>
      <c r="F103" s="5">
        <v>2015</v>
      </c>
      <c r="G103" s="113">
        <v>6.9444444444444441E-3</v>
      </c>
      <c r="H103" s="7">
        <v>225.1644990612732</v>
      </c>
      <c r="I103" s="5">
        <v>0</v>
      </c>
      <c r="J103" s="5">
        <v>0</v>
      </c>
      <c r="K103" s="5">
        <v>1</v>
      </c>
      <c r="L103" s="7" t="s">
        <v>238</v>
      </c>
      <c r="M103" s="7">
        <v>68.927907875899962</v>
      </c>
      <c r="N103" s="7">
        <v>1026.2599617078438</v>
      </c>
      <c r="O103" s="5">
        <v>0</v>
      </c>
      <c r="P103" s="5">
        <v>1</v>
      </c>
      <c r="Q103" s="5">
        <v>0</v>
      </c>
      <c r="R103" s="5">
        <v>1</v>
      </c>
      <c r="S103" s="5">
        <v>0</v>
      </c>
      <c r="T103" s="5">
        <v>1</v>
      </c>
      <c r="U103" s="5">
        <v>0</v>
      </c>
      <c r="V103" s="13">
        <v>3</v>
      </c>
      <c r="W103" s="13">
        <v>3</v>
      </c>
      <c r="X103" s="5"/>
      <c r="Y103" s="5"/>
      <c r="Z103" s="5"/>
      <c r="AA103" s="5">
        <v>0</v>
      </c>
      <c r="AB103" s="5"/>
      <c r="AC103" s="5">
        <v>0</v>
      </c>
      <c r="AD103" s="5">
        <v>0</v>
      </c>
      <c r="AE103" s="5">
        <v>0</v>
      </c>
      <c r="AF103" s="5">
        <v>1</v>
      </c>
    </row>
    <row r="104" spans="1:32" x14ac:dyDescent="0.2">
      <c r="A104" s="3" t="str">
        <f>+VLOOKUP(B104,studies!$A$2:$C$102,3)</f>
        <v>Kopp et al. (2012)</v>
      </c>
      <c r="B104" s="87">
        <v>78</v>
      </c>
      <c r="C104" s="5">
        <v>2012</v>
      </c>
      <c r="D104" s="5">
        <v>1</v>
      </c>
      <c r="E104" s="5">
        <v>2005</v>
      </c>
      <c r="F104" s="5">
        <v>2015</v>
      </c>
      <c r="G104" s="113">
        <v>6.9444444444444441E-3</v>
      </c>
      <c r="H104" s="7">
        <v>165.12063264493366</v>
      </c>
      <c r="I104" s="5">
        <v>0</v>
      </c>
      <c r="J104" s="5">
        <v>0</v>
      </c>
      <c r="K104" s="5">
        <v>1</v>
      </c>
      <c r="L104" s="7" t="s">
        <v>238</v>
      </c>
      <c r="M104" s="7">
        <v>45.951938583933298</v>
      </c>
      <c r="N104" s="7">
        <v>1049.2359309998105</v>
      </c>
      <c r="O104" s="5">
        <v>0</v>
      </c>
      <c r="P104" s="5">
        <v>1</v>
      </c>
      <c r="Q104" s="5">
        <v>0</v>
      </c>
      <c r="R104" s="5">
        <v>1</v>
      </c>
      <c r="S104" s="5">
        <v>0</v>
      </c>
      <c r="T104" s="5">
        <v>1</v>
      </c>
      <c r="U104" s="5">
        <v>0</v>
      </c>
      <c r="V104" s="13">
        <v>3</v>
      </c>
      <c r="W104" s="13">
        <v>3</v>
      </c>
      <c r="X104" s="5"/>
      <c r="Y104" s="5"/>
      <c r="Z104" s="5"/>
      <c r="AA104" s="5">
        <v>0</v>
      </c>
      <c r="AB104" s="5"/>
      <c r="AC104" s="5">
        <v>0</v>
      </c>
      <c r="AD104" s="5">
        <v>0</v>
      </c>
      <c r="AE104" s="5">
        <v>0</v>
      </c>
      <c r="AF104" s="5">
        <v>1</v>
      </c>
    </row>
    <row r="105" spans="1:32" x14ac:dyDescent="0.2">
      <c r="A105" s="3" t="str">
        <f>+VLOOKUP(B105,studies!$A$2:$C$102,3)</f>
        <v>Kopp et al. (2012)</v>
      </c>
      <c r="B105" s="87">
        <v>78</v>
      </c>
      <c r="C105" s="5">
        <v>2012</v>
      </c>
      <c r="D105" s="5">
        <v>1</v>
      </c>
      <c r="E105" s="5">
        <v>2005</v>
      </c>
      <c r="F105" s="5">
        <v>2015</v>
      </c>
      <c r="G105" s="113">
        <v>6.9444444444444441E-3</v>
      </c>
      <c r="H105" s="7">
        <v>300.21933208169759</v>
      </c>
      <c r="I105" s="5">
        <v>0</v>
      </c>
      <c r="J105" s="5">
        <v>0</v>
      </c>
      <c r="K105" s="5">
        <v>1</v>
      </c>
      <c r="L105" s="7" t="s">
        <v>238</v>
      </c>
      <c r="M105" s="7">
        <v>91.903877167866611</v>
      </c>
      <c r="N105" s="7">
        <v>1256.0196546275106</v>
      </c>
      <c r="O105" s="5">
        <v>0</v>
      </c>
      <c r="P105" s="5">
        <v>1</v>
      </c>
      <c r="Q105" s="5">
        <v>0</v>
      </c>
      <c r="R105" s="5">
        <v>1</v>
      </c>
      <c r="S105" s="5">
        <v>0</v>
      </c>
      <c r="T105" s="5">
        <v>1</v>
      </c>
      <c r="U105" s="5">
        <v>0</v>
      </c>
      <c r="V105" s="13">
        <v>3</v>
      </c>
      <c r="W105" s="13">
        <v>3</v>
      </c>
      <c r="X105" s="5"/>
      <c r="Y105" s="5"/>
      <c r="Z105" s="5"/>
      <c r="AA105" s="5">
        <v>0</v>
      </c>
      <c r="AB105" s="5"/>
      <c r="AC105" s="5">
        <v>0</v>
      </c>
      <c r="AD105" s="5">
        <v>0</v>
      </c>
      <c r="AE105" s="5">
        <v>0</v>
      </c>
      <c r="AF105" s="5">
        <v>1</v>
      </c>
    </row>
    <row r="106" spans="1:32" x14ac:dyDescent="0.2">
      <c r="A106" s="3" t="str">
        <f>+VLOOKUP(B106,studies!$A$2:$C$102,3)</f>
        <v>Kopp et al. (2012)</v>
      </c>
      <c r="B106" s="87">
        <v>78</v>
      </c>
      <c r="C106" s="5">
        <v>2012</v>
      </c>
      <c r="D106" s="5">
        <v>1</v>
      </c>
      <c r="E106" s="5">
        <v>2005</v>
      </c>
      <c r="F106" s="5">
        <v>2015</v>
      </c>
      <c r="G106" s="113">
        <v>6.9444444444444441E-3</v>
      </c>
      <c r="H106" s="7">
        <v>120.08773283267904</v>
      </c>
      <c r="I106" s="5">
        <v>0</v>
      </c>
      <c r="J106" s="5">
        <v>0</v>
      </c>
      <c r="K106" s="5">
        <v>1</v>
      </c>
      <c r="L106" s="7" t="s">
        <v>238</v>
      </c>
      <c r="M106" s="7">
        <v>30.634625722622204</v>
      </c>
      <c r="N106" s="7">
        <v>850.11086380276618</v>
      </c>
      <c r="O106" s="5">
        <v>0</v>
      </c>
      <c r="P106" s="5">
        <v>1</v>
      </c>
      <c r="Q106" s="5">
        <v>0</v>
      </c>
      <c r="R106" s="5">
        <v>1</v>
      </c>
      <c r="S106" s="5">
        <v>0</v>
      </c>
      <c r="T106" s="5">
        <v>1</v>
      </c>
      <c r="U106" s="5">
        <v>0</v>
      </c>
      <c r="V106" s="13">
        <v>3</v>
      </c>
      <c r="W106" s="13">
        <v>3</v>
      </c>
      <c r="X106" s="5"/>
      <c r="Y106" s="5"/>
      <c r="Z106" s="5"/>
      <c r="AA106" s="5">
        <v>0</v>
      </c>
      <c r="AB106" s="5"/>
      <c r="AC106" s="5">
        <v>0</v>
      </c>
      <c r="AD106" s="5">
        <v>0</v>
      </c>
      <c r="AE106" s="5">
        <v>0</v>
      </c>
      <c r="AF106" s="5">
        <v>1</v>
      </c>
    </row>
    <row r="107" spans="1:32" x14ac:dyDescent="0.2">
      <c r="A107" s="3" t="str">
        <f>+VLOOKUP(B107,studies!$A$2:$C$102,3)</f>
        <v>Kopp et al. (2012)</v>
      </c>
      <c r="B107" s="87">
        <v>78</v>
      </c>
      <c r="C107" s="5">
        <v>2012</v>
      </c>
      <c r="D107" s="5">
        <v>1</v>
      </c>
      <c r="E107" s="5">
        <v>2005</v>
      </c>
      <c r="F107" s="5">
        <v>2015</v>
      </c>
      <c r="G107" s="113">
        <v>6.9444444444444441E-3</v>
      </c>
      <c r="H107" s="7">
        <v>120.08773283267904</v>
      </c>
      <c r="I107" s="5">
        <v>0</v>
      </c>
      <c r="J107" s="5">
        <v>0</v>
      </c>
      <c r="K107" s="5">
        <v>1</v>
      </c>
      <c r="L107" s="7" t="s">
        <v>238</v>
      </c>
      <c r="M107" s="7">
        <v>53.61059501458886</v>
      </c>
      <c r="N107" s="7">
        <v>1547.0485989924214</v>
      </c>
      <c r="O107" s="5">
        <v>0</v>
      </c>
      <c r="P107" s="5">
        <v>1</v>
      </c>
      <c r="Q107" s="5">
        <v>0</v>
      </c>
      <c r="R107" s="5">
        <v>1</v>
      </c>
      <c r="S107" s="5">
        <v>0</v>
      </c>
      <c r="T107" s="5">
        <v>1</v>
      </c>
      <c r="U107" s="5">
        <v>0</v>
      </c>
      <c r="V107" s="13">
        <v>3</v>
      </c>
      <c r="W107" s="13">
        <v>3</v>
      </c>
      <c r="X107" s="5"/>
      <c r="Y107" s="5"/>
      <c r="Z107" s="5"/>
      <c r="AA107" s="5">
        <v>0</v>
      </c>
      <c r="AB107" s="5"/>
      <c r="AC107" s="5">
        <v>0</v>
      </c>
      <c r="AD107" s="5">
        <v>0</v>
      </c>
      <c r="AE107" s="5">
        <v>0</v>
      </c>
      <c r="AF107" s="5">
        <v>1</v>
      </c>
    </row>
    <row r="108" spans="1:32" x14ac:dyDescent="0.2">
      <c r="A108" s="3" t="str">
        <f>+VLOOKUP(B108,studies!$A$2:$C$102,3)</f>
        <v>Kopp et al. (2012)</v>
      </c>
      <c r="B108" s="87">
        <v>78</v>
      </c>
      <c r="C108" s="5">
        <v>2012</v>
      </c>
      <c r="D108" s="5">
        <v>1</v>
      </c>
      <c r="E108" s="5">
        <v>2005</v>
      </c>
      <c r="F108" s="5">
        <v>2015</v>
      </c>
      <c r="G108" s="113">
        <v>6.9444444444444441E-3</v>
      </c>
      <c r="H108" s="7">
        <v>105.07676622859417</v>
      </c>
      <c r="I108" s="5">
        <v>0</v>
      </c>
      <c r="J108" s="5">
        <v>0</v>
      </c>
      <c r="K108" s="5">
        <v>1</v>
      </c>
      <c r="L108" s="7" t="s">
        <v>238</v>
      </c>
      <c r="M108" s="7">
        <v>45.951938583933305</v>
      </c>
      <c r="N108" s="7">
        <v>1531.7312861311102</v>
      </c>
      <c r="O108" s="5">
        <v>0</v>
      </c>
      <c r="P108" s="5">
        <v>1</v>
      </c>
      <c r="Q108" s="5">
        <v>0</v>
      </c>
      <c r="R108" s="5">
        <v>1</v>
      </c>
      <c r="S108" s="5">
        <v>0</v>
      </c>
      <c r="T108" s="5">
        <v>1</v>
      </c>
      <c r="U108" s="5">
        <v>0</v>
      </c>
      <c r="V108" s="13">
        <v>3</v>
      </c>
      <c r="W108" s="13">
        <v>3</v>
      </c>
      <c r="X108" s="5"/>
      <c r="Y108" s="5"/>
      <c r="Z108" s="5"/>
      <c r="AA108" s="5">
        <v>0</v>
      </c>
      <c r="AB108" s="5"/>
      <c r="AC108" s="5">
        <v>0</v>
      </c>
      <c r="AD108" s="5">
        <v>0</v>
      </c>
      <c r="AE108" s="5">
        <v>0</v>
      </c>
      <c r="AF108" s="5">
        <v>1</v>
      </c>
    </row>
    <row r="109" spans="1:32" x14ac:dyDescent="0.2">
      <c r="A109" s="3" t="str">
        <f>+VLOOKUP(B109,studies!$A$2:$C$102,3)</f>
        <v>Kopp et al. (2012)</v>
      </c>
      <c r="B109" s="87">
        <v>78</v>
      </c>
      <c r="C109" s="5">
        <v>2012</v>
      </c>
      <c r="D109" s="5">
        <v>1</v>
      </c>
      <c r="E109" s="5">
        <v>2005</v>
      </c>
      <c r="F109" s="5">
        <v>2015</v>
      </c>
      <c r="G109" s="113">
        <v>6.9444444444444441E-3</v>
      </c>
      <c r="H109" s="7">
        <v>135.09869943676392</v>
      </c>
      <c r="I109" s="5">
        <v>0</v>
      </c>
      <c r="J109" s="5">
        <v>0</v>
      </c>
      <c r="K109" s="5">
        <v>1</v>
      </c>
      <c r="L109" s="7" t="s">
        <v>238</v>
      </c>
      <c r="M109" s="7">
        <v>61.269251445244407</v>
      </c>
      <c r="N109" s="7">
        <v>1700.2217276055326</v>
      </c>
      <c r="O109" s="5">
        <v>0</v>
      </c>
      <c r="P109" s="5">
        <v>1</v>
      </c>
      <c r="Q109" s="5">
        <v>0</v>
      </c>
      <c r="R109" s="5">
        <v>1</v>
      </c>
      <c r="S109" s="5">
        <v>0</v>
      </c>
      <c r="T109" s="5">
        <v>1</v>
      </c>
      <c r="U109" s="5">
        <v>0</v>
      </c>
      <c r="V109" s="13">
        <v>3</v>
      </c>
      <c r="W109" s="13">
        <v>3</v>
      </c>
      <c r="X109" s="5"/>
      <c r="Y109" s="5"/>
      <c r="Z109" s="5"/>
      <c r="AA109" s="5">
        <v>0</v>
      </c>
      <c r="AB109" s="5"/>
      <c r="AC109" s="5">
        <v>0</v>
      </c>
      <c r="AD109" s="5">
        <v>0</v>
      </c>
      <c r="AE109" s="5">
        <v>0</v>
      </c>
      <c r="AF109" s="5">
        <v>1</v>
      </c>
    </row>
    <row r="110" spans="1:32" x14ac:dyDescent="0.2">
      <c r="A110" s="3" t="str">
        <f>+VLOOKUP(B110,studies!$A$2:$C$102,3)</f>
        <v>Kopp et al. (2012)</v>
      </c>
      <c r="B110" s="87">
        <v>78</v>
      </c>
      <c r="C110" s="5">
        <v>2012</v>
      </c>
      <c r="D110" s="5">
        <v>1</v>
      </c>
      <c r="E110" s="5">
        <v>2005</v>
      </c>
      <c r="F110" s="5">
        <v>2015</v>
      </c>
      <c r="G110" s="113">
        <v>6.9444444444444441E-3</v>
      </c>
      <c r="H110" s="7">
        <v>90.065799624509282</v>
      </c>
      <c r="I110" s="5">
        <v>0</v>
      </c>
      <c r="J110" s="5">
        <v>0</v>
      </c>
      <c r="K110" s="5">
        <v>1</v>
      </c>
      <c r="L110" s="7" t="s">
        <v>238</v>
      </c>
      <c r="M110" s="7">
        <v>38.293282153277758</v>
      </c>
      <c r="N110" s="7">
        <v>1439.8274089632437</v>
      </c>
      <c r="O110" s="5">
        <v>0</v>
      </c>
      <c r="P110" s="5">
        <v>1</v>
      </c>
      <c r="Q110" s="5">
        <v>0</v>
      </c>
      <c r="R110" s="5">
        <v>1</v>
      </c>
      <c r="S110" s="5">
        <v>0</v>
      </c>
      <c r="T110" s="5">
        <v>1</v>
      </c>
      <c r="U110" s="5">
        <v>0</v>
      </c>
      <c r="V110" s="13">
        <v>3</v>
      </c>
      <c r="W110" s="13">
        <v>3</v>
      </c>
      <c r="X110" s="5"/>
      <c r="Y110" s="5"/>
      <c r="Z110" s="5"/>
      <c r="AA110" s="5">
        <v>0</v>
      </c>
      <c r="AB110" s="5"/>
      <c r="AC110" s="5">
        <v>0</v>
      </c>
      <c r="AD110" s="5">
        <v>0</v>
      </c>
      <c r="AE110" s="5">
        <v>0</v>
      </c>
      <c r="AF110" s="5">
        <v>1</v>
      </c>
    </row>
    <row r="111" spans="1:32" x14ac:dyDescent="0.2">
      <c r="A111" s="3" t="str">
        <f>+VLOOKUP(B111,studies!$A$2:$C$102,3)</f>
        <v>Kopp et al. (2012)</v>
      </c>
      <c r="B111" s="87">
        <v>78</v>
      </c>
      <c r="C111" s="5">
        <v>2012</v>
      </c>
      <c r="D111" s="5">
        <v>1</v>
      </c>
      <c r="E111" s="5">
        <v>2005</v>
      </c>
      <c r="F111" s="5">
        <v>2015</v>
      </c>
      <c r="G111" s="113">
        <v>6.9444444444444441E-3</v>
      </c>
      <c r="H111" s="7">
        <v>585.42769755931033</v>
      </c>
      <c r="I111" s="5">
        <v>0</v>
      </c>
      <c r="J111" s="5">
        <v>0</v>
      </c>
      <c r="K111" s="5">
        <v>1</v>
      </c>
      <c r="L111" s="7" t="s">
        <v>238</v>
      </c>
      <c r="M111" s="7">
        <v>160.83178504376656</v>
      </c>
      <c r="N111" s="7">
        <v>413.56744725539983</v>
      </c>
      <c r="O111" s="5">
        <v>0</v>
      </c>
      <c r="P111" s="5">
        <v>1</v>
      </c>
      <c r="Q111" s="5">
        <v>0</v>
      </c>
      <c r="R111" s="5">
        <v>1</v>
      </c>
      <c r="S111" s="5">
        <v>0</v>
      </c>
      <c r="T111" s="5">
        <v>1</v>
      </c>
      <c r="U111" s="5">
        <v>0</v>
      </c>
      <c r="V111" s="13">
        <v>3</v>
      </c>
      <c r="W111" s="13">
        <v>0.95</v>
      </c>
      <c r="X111" s="5"/>
      <c r="Y111" s="5"/>
      <c r="Z111" s="5"/>
      <c r="AA111" s="5">
        <v>0</v>
      </c>
      <c r="AB111" s="5"/>
      <c r="AC111" s="5">
        <v>0</v>
      </c>
      <c r="AD111" s="5">
        <v>0</v>
      </c>
      <c r="AE111" s="5">
        <v>0</v>
      </c>
      <c r="AF111" s="5">
        <v>1</v>
      </c>
    </row>
    <row r="112" spans="1:32" x14ac:dyDescent="0.2">
      <c r="A112" s="3" t="str">
        <f>+VLOOKUP(B112,studies!$A$2:$C$102,3)</f>
        <v>Kopp et al. (2012)</v>
      </c>
      <c r="B112" s="87">
        <v>78</v>
      </c>
      <c r="C112" s="5">
        <v>2012</v>
      </c>
      <c r="D112" s="5">
        <v>1</v>
      </c>
      <c r="E112" s="5">
        <v>2005</v>
      </c>
      <c r="F112" s="5">
        <v>2015</v>
      </c>
      <c r="G112" s="113">
        <v>6.9444444444444441E-3</v>
      </c>
      <c r="H112" s="7">
        <v>615.44963076748013</v>
      </c>
      <c r="I112" s="5">
        <v>0</v>
      </c>
      <c r="J112" s="5">
        <v>0</v>
      </c>
      <c r="K112" s="5">
        <v>1</v>
      </c>
      <c r="L112" s="7" t="s">
        <v>238</v>
      </c>
      <c r="M112" s="7">
        <v>176.14909790507767</v>
      </c>
      <c r="N112" s="7">
        <v>513.12998085392189</v>
      </c>
      <c r="O112" s="5">
        <v>0</v>
      </c>
      <c r="P112" s="5">
        <v>1</v>
      </c>
      <c r="Q112" s="5">
        <v>0</v>
      </c>
      <c r="R112" s="5">
        <v>1</v>
      </c>
      <c r="S112" s="5">
        <v>0</v>
      </c>
      <c r="T112" s="5">
        <v>1</v>
      </c>
      <c r="U112" s="5">
        <v>0</v>
      </c>
      <c r="V112" s="13">
        <v>3</v>
      </c>
      <c r="W112" s="13">
        <v>0.95</v>
      </c>
      <c r="X112" s="5"/>
      <c r="Y112" s="5"/>
      <c r="Z112" s="5"/>
      <c r="AA112" s="5">
        <v>0</v>
      </c>
      <c r="AB112" s="5"/>
      <c r="AC112" s="5">
        <v>0</v>
      </c>
      <c r="AD112" s="5">
        <v>0</v>
      </c>
      <c r="AE112" s="5">
        <v>0</v>
      </c>
      <c r="AF112" s="5">
        <v>1</v>
      </c>
    </row>
    <row r="113" spans="1:32" x14ac:dyDescent="0.2">
      <c r="A113" s="3" t="str">
        <f>+VLOOKUP(B113,studies!$A$2:$C$102,3)</f>
        <v>Kopp et al. (2012)</v>
      </c>
      <c r="B113" s="87">
        <v>78</v>
      </c>
      <c r="C113" s="5">
        <v>2012</v>
      </c>
      <c r="D113" s="5">
        <v>1</v>
      </c>
      <c r="E113" s="5">
        <v>2005</v>
      </c>
      <c r="F113" s="5">
        <v>2015</v>
      </c>
      <c r="G113" s="113">
        <v>6.9444444444444441E-3</v>
      </c>
      <c r="H113" s="7">
        <v>555.40576435114065</v>
      </c>
      <c r="I113" s="5">
        <v>0</v>
      </c>
      <c r="J113" s="5">
        <v>0</v>
      </c>
      <c r="K113" s="5">
        <v>1</v>
      </c>
      <c r="L113" s="7" t="s">
        <v>238</v>
      </c>
      <c r="M113" s="7">
        <v>168.49044147442214</v>
      </c>
      <c r="N113" s="7">
        <v>428.88476011671094</v>
      </c>
      <c r="O113" s="5">
        <v>0</v>
      </c>
      <c r="P113" s="5">
        <v>1</v>
      </c>
      <c r="Q113" s="5">
        <v>0</v>
      </c>
      <c r="R113" s="5">
        <v>1</v>
      </c>
      <c r="S113" s="5">
        <v>0</v>
      </c>
      <c r="T113" s="5">
        <v>1</v>
      </c>
      <c r="U113" s="5">
        <v>0</v>
      </c>
      <c r="V113" s="13">
        <v>3</v>
      </c>
      <c r="W113" s="13">
        <v>0.95</v>
      </c>
      <c r="X113" s="5"/>
      <c r="Y113" s="5"/>
      <c r="Z113" s="5"/>
      <c r="AA113" s="5">
        <v>0</v>
      </c>
      <c r="AB113" s="5"/>
      <c r="AC113" s="5">
        <v>0</v>
      </c>
      <c r="AD113" s="5">
        <v>0</v>
      </c>
      <c r="AE113" s="5">
        <v>0</v>
      </c>
      <c r="AF113" s="5">
        <v>1</v>
      </c>
    </row>
    <row r="114" spans="1:32" x14ac:dyDescent="0.2">
      <c r="A114" s="3" t="str">
        <f>+VLOOKUP(B114,studies!$A$2:$C$102,3)</f>
        <v>Kopp et al. (2012)</v>
      </c>
      <c r="B114" s="87">
        <v>78</v>
      </c>
      <c r="C114" s="5">
        <v>2012</v>
      </c>
      <c r="D114" s="5">
        <v>1</v>
      </c>
      <c r="E114" s="5">
        <v>2005</v>
      </c>
      <c r="F114" s="5">
        <v>2015</v>
      </c>
      <c r="G114" s="113">
        <v>6.9444444444444441E-3</v>
      </c>
      <c r="H114" s="7">
        <v>930.6799294532625</v>
      </c>
      <c r="I114" s="5">
        <v>0</v>
      </c>
      <c r="J114" s="5">
        <v>0</v>
      </c>
      <c r="K114" s="5">
        <v>1</v>
      </c>
      <c r="L114" s="7" t="s">
        <v>238</v>
      </c>
      <c r="M114" s="7">
        <v>252.73566221163316</v>
      </c>
      <c r="N114" s="7">
        <v>574.39923229916644</v>
      </c>
      <c r="O114" s="5">
        <v>0</v>
      </c>
      <c r="P114" s="5">
        <v>1</v>
      </c>
      <c r="Q114" s="5">
        <v>0</v>
      </c>
      <c r="R114" s="5">
        <v>1</v>
      </c>
      <c r="S114" s="5">
        <v>0</v>
      </c>
      <c r="T114" s="5">
        <v>1</v>
      </c>
      <c r="U114" s="5">
        <v>0</v>
      </c>
      <c r="V114" s="13">
        <v>3</v>
      </c>
      <c r="W114" s="13">
        <v>0.95</v>
      </c>
      <c r="X114" s="5"/>
      <c r="Y114" s="5"/>
      <c r="Z114" s="5"/>
      <c r="AA114" s="5">
        <v>0</v>
      </c>
      <c r="AB114" s="5"/>
      <c r="AC114" s="5">
        <v>0</v>
      </c>
      <c r="AD114" s="5">
        <v>0</v>
      </c>
      <c r="AE114" s="5">
        <v>0</v>
      </c>
      <c r="AF114" s="5">
        <v>1</v>
      </c>
    </row>
    <row r="115" spans="1:32" x14ac:dyDescent="0.2">
      <c r="A115" s="3" t="str">
        <f>+VLOOKUP(B115,studies!$A$2:$C$102,3)</f>
        <v>Kopp et al. (2012)</v>
      </c>
      <c r="B115" s="87">
        <v>78</v>
      </c>
      <c r="C115" s="5">
        <v>2012</v>
      </c>
      <c r="D115" s="5">
        <v>1</v>
      </c>
      <c r="E115" s="5">
        <v>2005</v>
      </c>
      <c r="F115" s="5">
        <v>2015</v>
      </c>
      <c r="G115" s="113">
        <v>6.9444444444444441E-3</v>
      </c>
      <c r="H115" s="7">
        <v>585.42769755931033</v>
      </c>
      <c r="I115" s="5">
        <v>0</v>
      </c>
      <c r="J115" s="5">
        <v>0</v>
      </c>
      <c r="K115" s="5">
        <v>1</v>
      </c>
      <c r="L115" s="7" t="s">
        <v>238</v>
      </c>
      <c r="M115" s="7">
        <v>160.83178504376656</v>
      </c>
      <c r="N115" s="7">
        <v>398.25013439408872</v>
      </c>
      <c r="O115" s="5">
        <v>0</v>
      </c>
      <c r="P115" s="5">
        <v>1</v>
      </c>
      <c r="Q115" s="5">
        <v>0</v>
      </c>
      <c r="R115" s="5">
        <v>1</v>
      </c>
      <c r="S115" s="5">
        <v>0</v>
      </c>
      <c r="T115" s="5">
        <v>1</v>
      </c>
      <c r="U115" s="5">
        <v>0</v>
      </c>
      <c r="V115" s="13">
        <v>3</v>
      </c>
      <c r="W115" s="13">
        <v>0.95</v>
      </c>
      <c r="X115" s="5"/>
      <c r="Y115" s="5"/>
      <c r="Z115" s="5"/>
      <c r="AA115" s="5">
        <v>0</v>
      </c>
      <c r="AB115" s="5"/>
      <c r="AC115" s="5">
        <v>0</v>
      </c>
      <c r="AD115" s="5">
        <v>0</v>
      </c>
      <c r="AE115" s="5">
        <v>0</v>
      </c>
      <c r="AF115" s="5">
        <v>1</v>
      </c>
    </row>
    <row r="116" spans="1:32" x14ac:dyDescent="0.2">
      <c r="A116" s="3" t="str">
        <f>+VLOOKUP(B116,studies!$A$2:$C$102,3)</f>
        <v>Kopp et al. (2012)</v>
      </c>
      <c r="B116" s="87">
        <v>78</v>
      </c>
      <c r="C116" s="5">
        <v>2012</v>
      </c>
      <c r="D116" s="5">
        <v>1</v>
      </c>
      <c r="E116" s="5">
        <v>2005</v>
      </c>
      <c r="F116" s="5">
        <v>2015</v>
      </c>
      <c r="G116" s="113">
        <v>6.9444444444444441E-3</v>
      </c>
      <c r="H116" s="7">
        <v>1155.8444285145358</v>
      </c>
      <c r="I116" s="5">
        <v>0</v>
      </c>
      <c r="J116" s="5">
        <v>0</v>
      </c>
      <c r="K116" s="5">
        <v>1</v>
      </c>
      <c r="L116" s="7" t="s">
        <v>238</v>
      </c>
      <c r="M116" s="7">
        <v>314.00491365687765</v>
      </c>
      <c r="N116" s="7">
        <v>643.32714017506623</v>
      </c>
      <c r="O116" s="5">
        <v>0</v>
      </c>
      <c r="P116" s="5">
        <v>1</v>
      </c>
      <c r="Q116" s="5">
        <v>0</v>
      </c>
      <c r="R116" s="5">
        <v>1</v>
      </c>
      <c r="S116" s="5">
        <v>0</v>
      </c>
      <c r="T116" s="5">
        <v>1</v>
      </c>
      <c r="U116" s="5">
        <v>0</v>
      </c>
      <c r="V116" s="13">
        <v>3</v>
      </c>
      <c r="W116" s="13">
        <v>0.95</v>
      </c>
      <c r="X116" s="5"/>
      <c r="Y116" s="5"/>
      <c r="Z116" s="5"/>
      <c r="AA116" s="5">
        <v>0</v>
      </c>
      <c r="AB116" s="5"/>
      <c r="AC116" s="5">
        <v>0</v>
      </c>
      <c r="AD116" s="5">
        <v>0</v>
      </c>
      <c r="AE116" s="5">
        <v>0</v>
      </c>
      <c r="AF116" s="5">
        <v>1</v>
      </c>
    </row>
    <row r="117" spans="1:32" x14ac:dyDescent="0.2">
      <c r="A117" s="3" t="str">
        <f>+VLOOKUP(B117,studies!$A$2:$C$102,3)</f>
        <v>Kopp et al. (2012)</v>
      </c>
      <c r="B117" s="87">
        <v>78</v>
      </c>
      <c r="C117" s="5">
        <v>2012</v>
      </c>
      <c r="D117" s="5">
        <v>1</v>
      </c>
      <c r="E117" s="5">
        <v>2005</v>
      </c>
      <c r="F117" s="5">
        <v>2015</v>
      </c>
      <c r="G117" s="113">
        <v>6.9444444444444441E-3</v>
      </c>
      <c r="H117" s="7">
        <v>450.32899812254641</v>
      </c>
      <c r="I117" s="5">
        <v>0</v>
      </c>
      <c r="J117" s="5">
        <v>0</v>
      </c>
      <c r="K117" s="5">
        <v>1</v>
      </c>
      <c r="L117" s="7" t="s">
        <v>238</v>
      </c>
      <c r="M117" s="7">
        <v>114.87984645983326</v>
      </c>
      <c r="N117" s="7">
        <v>283.37028793425543</v>
      </c>
      <c r="O117" s="5">
        <v>0</v>
      </c>
      <c r="P117" s="5">
        <v>1</v>
      </c>
      <c r="Q117" s="5">
        <v>0</v>
      </c>
      <c r="R117" s="5">
        <v>1</v>
      </c>
      <c r="S117" s="5">
        <v>0</v>
      </c>
      <c r="T117" s="5">
        <v>1</v>
      </c>
      <c r="U117" s="5">
        <v>0</v>
      </c>
      <c r="V117" s="13">
        <v>3</v>
      </c>
      <c r="W117" s="13">
        <v>0.95</v>
      </c>
      <c r="X117" s="5"/>
      <c r="Y117" s="5"/>
      <c r="Z117" s="5"/>
      <c r="AA117" s="5">
        <v>0</v>
      </c>
      <c r="AB117" s="5"/>
      <c r="AC117" s="5">
        <v>0</v>
      </c>
      <c r="AD117" s="5">
        <v>0</v>
      </c>
      <c r="AE117" s="5">
        <v>0</v>
      </c>
      <c r="AF117" s="5">
        <v>1</v>
      </c>
    </row>
    <row r="118" spans="1:32" x14ac:dyDescent="0.2">
      <c r="A118" s="3" t="str">
        <f>+VLOOKUP(B118,studies!$A$2:$C$102,3)</f>
        <v>Kopp et al. (2012)</v>
      </c>
      <c r="B118" s="87">
        <v>78</v>
      </c>
      <c r="C118" s="5">
        <v>2012</v>
      </c>
      <c r="D118" s="5">
        <v>1</v>
      </c>
      <c r="E118" s="5">
        <v>2005</v>
      </c>
      <c r="F118" s="5">
        <v>2015</v>
      </c>
      <c r="G118" s="113">
        <v>6.9444444444444441E-3</v>
      </c>
      <c r="H118" s="7">
        <v>615.44963076748013</v>
      </c>
      <c r="I118" s="5">
        <v>0</v>
      </c>
      <c r="J118" s="5">
        <v>0</v>
      </c>
      <c r="K118" s="5">
        <v>1</v>
      </c>
      <c r="L118" s="7" t="s">
        <v>238</v>
      </c>
      <c r="M118" s="7">
        <v>176.14909790507767</v>
      </c>
      <c r="N118" s="7">
        <v>451.86072940867751</v>
      </c>
      <c r="O118" s="5">
        <v>0</v>
      </c>
      <c r="P118" s="5">
        <v>1</v>
      </c>
      <c r="Q118" s="5">
        <v>0</v>
      </c>
      <c r="R118" s="5">
        <v>1</v>
      </c>
      <c r="S118" s="5">
        <v>0</v>
      </c>
      <c r="T118" s="5">
        <v>1</v>
      </c>
      <c r="U118" s="5">
        <v>0</v>
      </c>
      <c r="V118" s="13">
        <v>3</v>
      </c>
      <c r="W118" s="13">
        <v>0.95</v>
      </c>
      <c r="X118" s="5"/>
      <c r="Y118" s="5"/>
      <c r="Z118" s="5"/>
      <c r="AA118" s="5">
        <v>0</v>
      </c>
      <c r="AB118" s="5"/>
      <c r="AC118" s="5">
        <v>0</v>
      </c>
      <c r="AD118" s="5">
        <v>0</v>
      </c>
      <c r="AE118" s="5">
        <v>0</v>
      </c>
      <c r="AF118" s="5">
        <v>1</v>
      </c>
    </row>
    <row r="119" spans="1:32" x14ac:dyDescent="0.2">
      <c r="A119" s="3" t="str">
        <f>+VLOOKUP(B119,studies!$A$2:$C$102,3)</f>
        <v>Kopp et al. (2012)</v>
      </c>
      <c r="B119" s="87">
        <v>78</v>
      </c>
      <c r="C119" s="5">
        <v>2012</v>
      </c>
      <c r="D119" s="5">
        <v>1</v>
      </c>
      <c r="E119" s="5">
        <v>2005</v>
      </c>
      <c r="F119" s="5">
        <v>2015</v>
      </c>
      <c r="G119" s="113">
        <v>6.9444444444444441E-3</v>
      </c>
      <c r="H119" s="7">
        <v>585.42769755931033</v>
      </c>
      <c r="I119" s="5">
        <v>0</v>
      </c>
      <c r="J119" s="5">
        <v>0</v>
      </c>
      <c r="K119" s="5">
        <v>1</v>
      </c>
      <c r="L119" s="7" t="s">
        <v>238</v>
      </c>
      <c r="M119" s="7">
        <v>160.83178504376656</v>
      </c>
      <c r="N119" s="7">
        <v>413.56744725539983</v>
      </c>
      <c r="O119" s="5">
        <v>0</v>
      </c>
      <c r="P119" s="5">
        <v>1</v>
      </c>
      <c r="Q119" s="5">
        <v>0</v>
      </c>
      <c r="R119" s="5">
        <v>1</v>
      </c>
      <c r="S119" s="5">
        <v>0</v>
      </c>
      <c r="T119" s="5">
        <v>1</v>
      </c>
      <c r="U119" s="5">
        <v>0</v>
      </c>
      <c r="V119" s="13">
        <v>3</v>
      </c>
      <c r="W119" s="13">
        <v>0.95</v>
      </c>
      <c r="X119" s="5"/>
      <c r="Y119" s="5"/>
      <c r="Z119" s="5"/>
      <c r="AA119" s="5">
        <v>0</v>
      </c>
      <c r="AB119" s="5"/>
      <c r="AC119" s="5">
        <v>0</v>
      </c>
      <c r="AD119" s="5">
        <v>0</v>
      </c>
      <c r="AE119" s="5">
        <v>0</v>
      </c>
      <c r="AF119" s="5">
        <v>1</v>
      </c>
    </row>
    <row r="120" spans="1:32" x14ac:dyDescent="0.2">
      <c r="A120" s="3" t="str">
        <f>+VLOOKUP(B120,studies!$A$2:$C$102,3)</f>
        <v>Kopp et al. (2012)</v>
      </c>
      <c r="B120" s="87">
        <v>78</v>
      </c>
      <c r="C120" s="5">
        <v>2012</v>
      </c>
      <c r="D120" s="5">
        <v>1</v>
      </c>
      <c r="E120" s="5">
        <v>2005</v>
      </c>
      <c r="F120" s="5">
        <v>2015</v>
      </c>
      <c r="G120" s="113">
        <v>6.9444444444444441E-3</v>
      </c>
      <c r="H120" s="7">
        <v>855.62509643283818</v>
      </c>
      <c r="I120" s="5">
        <v>0</v>
      </c>
      <c r="J120" s="5">
        <v>0</v>
      </c>
      <c r="K120" s="5">
        <v>1</v>
      </c>
      <c r="L120" s="7" t="s">
        <v>238</v>
      </c>
      <c r="M120" s="7">
        <v>298.68760079556648</v>
      </c>
      <c r="N120" s="7">
        <v>2297.5969291966658</v>
      </c>
      <c r="O120" s="5">
        <v>0</v>
      </c>
      <c r="P120" s="5">
        <v>1</v>
      </c>
      <c r="Q120" s="5">
        <v>0</v>
      </c>
      <c r="R120" s="5">
        <v>1</v>
      </c>
      <c r="S120" s="5">
        <v>0</v>
      </c>
      <c r="T120" s="5">
        <v>1</v>
      </c>
      <c r="U120" s="5">
        <v>0</v>
      </c>
      <c r="V120" s="13">
        <v>3</v>
      </c>
      <c r="W120" s="13">
        <v>0.95</v>
      </c>
      <c r="X120" s="5"/>
      <c r="Y120" s="5"/>
      <c r="Z120" s="5"/>
      <c r="AA120" s="5">
        <v>0</v>
      </c>
      <c r="AB120" s="5"/>
      <c r="AC120" s="5">
        <v>0</v>
      </c>
      <c r="AD120" s="5">
        <v>0</v>
      </c>
      <c r="AE120" s="5">
        <v>0</v>
      </c>
      <c r="AF120" s="5">
        <v>1</v>
      </c>
    </row>
    <row r="121" spans="1:32" x14ac:dyDescent="0.2">
      <c r="A121" s="3" t="str">
        <f>+VLOOKUP(B121,studies!$A$2:$C$102,3)</f>
        <v>Kopp et al. (2012)</v>
      </c>
      <c r="B121" s="87">
        <v>78</v>
      </c>
      <c r="C121" s="5">
        <v>2012</v>
      </c>
      <c r="D121" s="5">
        <v>1</v>
      </c>
      <c r="E121" s="5">
        <v>2005</v>
      </c>
      <c r="F121" s="5">
        <v>2015</v>
      </c>
      <c r="G121" s="113">
        <v>6.9444444444444441E-3</v>
      </c>
      <c r="H121" s="7">
        <v>270.19739887352785</v>
      </c>
      <c r="I121" s="5">
        <v>0</v>
      </c>
      <c r="J121" s="5">
        <v>0</v>
      </c>
      <c r="K121" s="5">
        <v>1</v>
      </c>
      <c r="L121" s="7" t="s">
        <v>238</v>
      </c>
      <c r="M121" s="7">
        <v>84.245220737211056</v>
      </c>
      <c r="N121" s="7">
        <v>1332.606218934066</v>
      </c>
      <c r="O121" s="5">
        <v>0</v>
      </c>
      <c r="P121" s="5">
        <v>1</v>
      </c>
      <c r="Q121" s="5">
        <v>0</v>
      </c>
      <c r="R121" s="5">
        <v>1</v>
      </c>
      <c r="S121" s="5">
        <v>0</v>
      </c>
      <c r="T121" s="5">
        <v>1</v>
      </c>
      <c r="U121" s="5">
        <v>0</v>
      </c>
      <c r="V121" s="13">
        <v>3</v>
      </c>
      <c r="W121" s="13">
        <v>0.95</v>
      </c>
      <c r="X121" s="5"/>
      <c r="Y121" s="5"/>
      <c r="Z121" s="5"/>
      <c r="AA121" s="5">
        <v>0</v>
      </c>
      <c r="AB121" s="5"/>
      <c r="AC121" s="5">
        <v>0</v>
      </c>
      <c r="AD121" s="5">
        <v>0</v>
      </c>
      <c r="AE121" s="5">
        <v>0</v>
      </c>
      <c r="AF121" s="5">
        <v>1</v>
      </c>
    </row>
    <row r="122" spans="1:32" x14ac:dyDescent="0.2">
      <c r="A122" s="3" t="str">
        <f>+VLOOKUP(B122,studies!$A$2:$C$102,3)</f>
        <v>Kopp et al. (2012)</v>
      </c>
      <c r="B122" s="87">
        <v>78</v>
      </c>
      <c r="C122" s="5">
        <v>2012</v>
      </c>
      <c r="D122" s="5">
        <v>1</v>
      </c>
      <c r="E122" s="5">
        <v>2005</v>
      </c>
      <c r="F122" s="5">
        <v>2015</v>
      </c>
      <c r="G122" s="113">
        <v>6.9444444444444441E-3</v>
      </c>
      <c r="H122" s="7">
        <v>195.14256585310346</v>
      </c>
      <c r="I122" s="5">
        <v>0</v>
      </c>
      <c r="J122" s="5">
        <v>0</v>
      </c>
      <c r="K122" s="5">
        <v>1</v>
      </c>
      <c r="L122" s="7" t="s">
        <v>238</v>
      </c>
      <c r="M122" s="7">
        <v>61.269251445244414</v>
      </c>
      <c r="N122" s="7">
        <v>1332.606218934066</v>
      </c>
      <c r="O122" s="5">
        <v>0</v>
      </c>
      <c r="P122" s="5">
        <v>1</v>
      </c>
      <c r="Q122" s="5">
        <v>0</v>
      </c>
      <c r="R122" s="5">
        <v>1</v>
      </c>
      <c r="S122" s="5">
        <v>0</v>
      </c>
      <c r="T122" s="5">
        <v>1</v>
      </c>
      <c r="U122" s="5">
        <v>0</v>
      </c>
      <c r="V122" s="13">
        <v>3</v>
      </c>
      <c r="W122" s="13">
        <v>0.95</v>
      </c>
      <c r="X122" s="5"/>
      <c r="Y122" s="5"/>
      <c r="Z122" s="5"/>
      <c r="AA122" s="5">
        <v>0</v>
      </c>
      <c r="AB122" s="5"/>
      <c r="AC122" s="5">
        <v>0</v>
      </c>
      <c r="AD122" s="5">
        <v>0</v>
      </c>
      <c r="AE122" s="5">
        <v>0</v>
      </c>
      <c r="AF122" s="5">
        <v>1</v>
      </c>
    </row>
    <row r="123" spans="1:32" x14ac:dyDescent="0.2">
      <c r="A123" s="3" t="str">
        <f>+VLOOKUP(B123,studies!$A$2:$C$102,3)</f>
        <v>Kopp et al. (2012)</v>
      </c>
      <c r="B123" s="87">
        <v>78</v>
      </c>
      <c r="C123" s="5">
        <v>2012</v>
      </c>
      <c r="D123" s="5">
        <v>1</v>
      </c>
      <c r="E123" s="5">
        <v>2005</v>
      </c>
      <c r="F123" s="5">
        <v>2015</v>
      </c>
      <c r="G123" s="113">
        <v>6.9444444444444441E-3</v>
      </c>
      <c r="H123" s="7">
        <v>390.28513170620693</v>
      </c>
      <c r="I123" s="5">
        <v>0</v>
      </c>
      <c r="J123" s="5">
        <v>0</v>
      </c>
      <c r="K123" s="5">
        <v>1</v>
      </c>
      <c r="L123" s="7" t="s">
        <v>238</v>
      </c>
      <c r="M123" s="7">
        <v>130.19715932114437</v>
      </c>
      <c r="N123" s="7">
        <v>1799.7842612040545</v>
      </c>
      <c r="O123" s="5">
        <v>0</v>
      </c>
      <c r="P123" s="5">
        <v>1</v>
      </c>
      <c r="Q123" s="5">
        <v>0</v>
      </c>
      <c r="R123" s="5">
        <v>1</v>
      </c>
      <c r="S123" s="5">
        <v>0</v>
      </c>
      <c r="T123" s="5">
        <v>1</v>
      </c>
      <c r="U123" s="5">
        <v>0</v>
      </c>
      <c r="V123" s="13">
        <v>3</v>
      </c>
      <c r="W123" s="13">
        <v>0.95</v>
      </c>
      <c r="X123" s="5"/>
      <c r="Y123" s="5"/>
      <c r="Z123" s="5"/>
      <c r="AA123" s="5">
        <v>0</v>
      </c>
      <c r="AB123" s="5"/>
      <c r="AC123" s="5">
        <v>0</v>
      </c>
      <c r="AD123" s="5">
        <v>0</v>
      </c>
      <c r="AE123" s="5">
        <v>0</v>
      </c>
      <c r="AF123" s="5">
        <v>1</v>
      </c>
    </row>
    <row r="124" spans="1:32" x14ac:dyDescent="0.2">
      <c r="A124" s="3" t="str">
        <f>+VLOOKUP(B124,studies!$A$2:$C$102,3)</f>
        <v>Kopp et al. (2012)</v>
      </c>
      <c r="B124" s="87">
        <v>78</v>
      </c>
      <c r="C124" s="5">
        <v>2012</v>
      </c>
      <c r="D124" s="5">
        <v>1</v>
      </c>
      <c r="E124" s="5">
        <v>2005</v>
      </c>
      <c r="F124" s="5">
        <v>2015</v>
      </c>
      <c r="G124" s="113">
        <v>6.9444444444444441E-3</v>
      </c>
      <c r="H124" s="7">
        <v>210.15353245718833</v>
      </c>
      <c r="I124" s="5">
        <v>0</v>
      </c>
      <c r="J124" s="5">
        <v>0</v>
      </c>
      <c r="K124" s="5">
        <v>1</v>
      </c>
      <c r="L124" s="7" t="s">
        <v>238</v>
      </c>
      <c r="M124" s="7">
        <v>61.269251445244407</v>
      </c>
      <c r="N124" s="7">
        <v>1462.8033782552104</v>
      </c>
      <c r="O124" s="5">
        <v>0</v>
      </c>
      <c r="P124" s="5">
        <v>1</v>
      </c>
      <c r="Q124" s="5">
        <v>0</v>
      </c>
      <c r="R124" s="5">
        <v>1</v>
      </c>
      <c r="S124" s="5">
        <v>0</v>
      </c>
      <c r="T124" s="5">
        <v>1</v>
      </c>
      <c r="U124" s="5">
        <v>0</v>
      </c>
      <c r="V124" s="13">
        <v>3</v>
      </c>
      <c r="W124" s="13">
        <v>0.95</v>
      </c>
      <c r="X124" s="5"/>
      <c r="Y124" s="5"/>
      <c r="Z124" s="5"/>
      <c r="AA124" s="5">
        <v>0</v>
      </c>
      <c r="AB124" s="5"/>
      <c r="AC124" s="5">
        <v>0</v>
      </c>
      <c r="AD124" s="5">
        <v>0</v>
      </c>
      <c r="AE124" s="5">
        <v>0</v>
      </c>
      <c r="AF124" s="5">
        <v>1</v>
      </c>
    </row>
    <row r="125" spans="1:32" x14ac:dyDescent="0.2">
      <c r="A125" s="3" t="str">
        <f>+VLOOKUP(B125,studies!$A$2:$C$102,3)</f>
        <v>Kopp et al. (2012)</v>
      </c>
      <c r="B125" s="87">
        <v>78</v>
      </c>
      <c r="C125" s="5">
        <v>2012</v>
      </c>
      <c r="D125" s="5">
        <v>1</v>
      </c>
      <c r="E125" s="5">
        <v>2005</v>
      </c>
      <c r="F125" s="5">
        <v>2015</v>
      </c>
      <c r="G125" s="113">
        <v>6.9444444444444441E-3</v>
      </c>
      <c r="H125" s="7">
        <v>135.09869943676392</v>
      </c>
      <c r="I125" s="5">
        <v>0</v>
      </c>
      <c r="J125" s="5">
        <v>0</v>
      </c>
      <c r="K125" s="5">
        <v>1</v>
      </c>
      <c r="L125" s="7" t="s">
        <v>238</v>
      </c>
      <c r="M125" s="7">
        <v>61.269251445244407</v>
      </c>
      <c r="N125" s="7">
        <v>2672.8710942987873</v>
      </c>
      <c r="O125" s="5">
        <v>0</v>
      </c>
      <c r="P125" s="5">
        <v>1</v>
      </c>
      <c r="Q125" s="5">
        <v>0</v>
      </c>
      <c r="R125" s="5">
        <v>1</v>
      </c>
      <c r="S125" s="5">
        <v>0</v>
      </c>
      <c r="T125" s="5">
        <v>1</v>
      </c>
      <c r="U125" s="5">
        <v>0</v>
      </c>
      <c r="V125" s="13">
        <v>3</v>
      </c>
      <c r="W125" s="13">
        <v>0.95</v>
      </c>
      <c r="X125" s="5"/>
      <c r="Y125" s="5"/>
      <c r="Z125" s="5"/>
      <c r="AA125" s="5">
        <v>0</v>
      </c>
      <c r="AB125" s="5"/>
      <c r="AC125" s="5">
        <v>0</v>
      </c>
      <c r="AD125" s="5">
        <v>0</v>
      </c>
      <c r="AE125" s="5">
        <v>0</v>
      </c>
      <c r="AF125" s="5">
        <v>1</v>
      </c>
    </row>
    <row r="126" spans="1:32" x14ac:dyDescent="0.2">
      <c r="A126" s="3" t="str">
        <f>+VLOOKUP(B126,studies!$A$2:$C$102,3)</f>
        <v>Kopp et al. (2012)</v>
      </c>
      <c r="B126" s="87">
        <v>78</v>
      </c>
      <c r="C126" s="5">
        <v>2012</v>
      </c>
      <c r="D126" s="5">
        <v>1</v>
      </c>
      <c r="E126" s="5">
        <v>2005</v>
      </c>
      <c r="F126" s="5">
        <v>2015</v>
      </c>
      <c r="G126" s="113">
        <v>6.9444444444444441E-3</v>
      </c>
      <c r="H126" s="7">
        <v>105.07676622859417</v>
      </c>
      <c r="I126" s="5">
        <v>0</v>
      </c>
      <c r="J126" s="5">
        <v>0</v>
      </c>
      <c r="K126" s="5">
        <v>1</v>
      </c>
      <c r="L126" s="7" t="s">
        <v>238</v>
      </c>
      <c r="M126" s="7">
        <v>45.951938583933305</v>
      </c>
      <c r="N126" s="7">
        <v>2374.1834935032211</v>
      </c>
      <c r="O126" s="5">
        <v>0</v>
      </c>
      <c r="P126" s="5">
        <v>1</v>
      </c>
      <c r="Q126" s="5">
        <v>0</v>
      </c>
      <c r="R126" s="5">
        <v>1</v>
      </c>
      <c r="S126" s="5">
        <v>0</v>
      </c>
      <c r="T126" s="5">
        <v>1</v>
      </c>
      <c r="U126" s="5">
        <v>0</v>
      </c>
      <c r="V126" s="13">
        <v>3</v>
      </c>
      <c r="W126" s="13">
        <v>0.95</v>
      </c>
      <c r="X126" s="5"/>
      <c r="Y126" s="5"/>
      <c r="Z126" s="5"/>
      <c r="AA126" s="5">
        <v>0</v>
      </c>
      <c r="AB126" s="5"/>
      <c r="AC126" s="5">
        <v>0</v>
      </c>
      <c r="AD126" s="5">
        <v>0</v>
      </c>
      <c r="AE126" s="5">
        <v>0</v>
      </c>
      <c r="AF126" s="5">
        <v>1</v>
      </c>
    </row>
    <row r="127" spans="1:32" x14ac:dyDescent="0.2">
      <c r="A127" s="3" t="str">
        <f>+VLOOKUP(B127,studies!$A$2:$C$102,3)</f>
        <v>Kopp et al. (2012)</v>
      </c>
      <c r="B127" s="87">
        <v>78</v>
      </c>
      <c r="C127" s="5">
        <v>2012</v>
      </c>
      <c r="D127" s="5">
        <v>1</v>
      </c>
      <c r="E127" s="5">
        <v>2005</v>
      </c>
      <c r="F127" s="5">
        <v>2015</v>
      </c>
      <c r="G127" s="113">
        <v>6.9444444444444441E-3</v>
      </c>
      <c r="H127" s="7">
        <v>150.10966604084879</v>
      </c>
      <c r="I127" s="5">
        <v>0</v>
      </c>
      <c r="J127" s="5">
        <v>0</v>
      </c>
      <c r="K127" s="5">
        <v>1</v>
      </c>
      <c r="L127" s="7" t="s">
        <v>238</v>
      </c>
      <c r="M127" s="7">
        <v>68.927907875899962</v>
      </c>
      <c r="N127" s="7">
        <v>2887.3134743571427</v>
      </c>
      <c r="O127" s="5">
        <v>0</v>
      </c>
      <c r="P127" s="5">
        <v>1</v>
      </c>
      <c r="Q127" s="5">
        <v>0</v>
      </c>
      <c r="R127" s="5">
        <v>1</v>
      </c>
      <c r="S127" s="5">
        <v>0</v>
      </c>
      <c r="T127" s="5">
        <v>1</v>
      </c>
      <c r="U127" s="5">
        <v>0</v>
      </c>
      <c r="V127" s="13">
        <v>3</v>
      </c>
      <c r="W127" s="13">
        <v>0.95</v>
      </c>
      <c r="X127" s="5"/>
      <c r="Y127" s="5"/>
      <c r="Z127" s="5"/>
      <c r="AA127" s="5">
        <v>0</v>
      </c>
      <c r="AB127" s="5"/>
      <c r="AC127" s="5">
        <v>0</v>
      </c>
      <c r="AD127" s="5">
        <v>0</v>
      </c>
      <c r="AE127" s="5">
        <v>0</v>
      </c>
      <c r="AF127" s="5">
        <v>1</v>
      </c>
    </row>
    <row r="128" spans="1:32" x14ac:dyDescent="0.2">
      <c r="A128" s="3" t="str">
        <f>+VLOOKUP(B128,studies!$A$2:$C$102,3)</f>
        <v>Kopp et al. (2012)</v>
      </c>
      <c r="B128" s="87">
        <v>78</v>
      </c>
      <c r="C128" s="5">
        <v>2012</v>
      </c>
      <c r="D128" s="5">
        <v>1</v>
      </c>
      <c r="E128" s="5">
        <v>2005</v>
      </c>
      <c r="F128" s="5">
        <v>2015</v>
      </c>
      <c r="G128" s="113">
        <v>6.9444444444444441E-3</v>
      </c>
      <c r="H128" s="7">
        <v>120.08773283267904</v>
      </c>
      <c r="I128" s="5">
        <v>0</v>
      </c>
      <c r="J128" s="5">
        <v>0</v>
      </c>
      <c r="K128" s="5">
        <v>1</v>
      </c>
      <c r="L128" s="7" t="s">
        <v>238</v>
      </c>
      <c r="M128" s="7">
        <v>53.61059501458886</v>
      </c>
      <c r="N128" s="7">
        <v>2711.1643764520654</v>
      </c>
      <c r="O128" s="5">
        <v>0</v>
      </c>
      <c r="P128" s="5">
        <v>1</v>
      </c>
      <c r="Q128" s="5">
        <v>0</v>
      </c>
      <c r="R128" s="5">
        <v>1</v>
      </c>
      <c r="S128" s="5">
        <v>0</v>
      </c>
      <c r="T128" s="5">
        <v>1</v>
      </c>
      <c r="U128" s="5">
        <v>0</v>
      </c>
      <c r="V128" s="13">
        <v>3</v>
      </c>
      <c r="W128" s="13">
        <v>0.95</v>
      </c>
      <c r="X128" s="5"/>
      <c r="Y128" s="5"/>
      <c r="Z128" s="5"/>
      <c r="AA128" s="5">
        <v>0</v>
      </c>
      <c r="AB128" s="5"/>
      <c r="AC128" s="5">
        <v>0</v>
      </c>
      <c r="AD128" s="5">
        <v>0</v>
      </c>
      <c r="AE128" s="5">
        <v>0</v>
      </c>
      <c r="AF128" s="5">
        <v>1</v>
      </c>
    </row>
    <row r="129" spans="1:32" x14ac:dyDescent="0.2">
      <c r="A129" s="3" t="str">
        <f>+VLOOKUP(B129,studies!$A$2:$C$102,3)</f>
        <v>Kopp et al. (2012)</v>
      </c>
      <c r="B129" s="87">
        <v>78</v>
      </c>
      <c r="C129" s="5">
        <v>2012</v>
      </c>
      <c r="D129" s="5">
        <v>1</v>
      </c>
      <c r="E129" s="5">
        <v>2005</v>
      </c>
      <c r="F129" s="5">
        <v>2015</v>
      </c>
      <c r="G129" s="113">
        <v>6.9444444444444441E-3</v>
      </c>
      <c r="H129" s="7">
        <v>660.48253057973466</v>
      </c>
      <c r="I129" s="5">
        <v>0</v>
      </c>
      <c r="J129" s="5">
        <v>0</v>
      </c>
      <c r="K129" s="5">
        <v>1</v>
      </c>
      <c r="L129" s="7" t="s">
        <v>238</v>
      </c>
      <c r="M129" s="7">
        <v>183.80775433573319</v>
      </c>
      <c r="N129" s="7">
        <v>536.10595014588864</v>
      </c>
      <c r="O129" s="5">
        <v>0</v>
      </c>
      <c r="P129" s="5">
        <v>1</v>
      </c>
      <c r="Q129" s="5">
        <v>0</v>
      </c>
      <c r="R129" s="5">
        <v>1</v>
      </c>
      <c r="S129" s="5">
        <v>0</v>
      </c>
      <c r="T129" s="5">
        <v>1</v>
      </c>
      <c r="U129" s="5">
        <v>0</v>
      </c>
      <c r="V129" s="13">
        <v>3</v>
      </c>
      <c r="W129" s="13">
        <v>0.14000000000000001</v>
      </c>
      <c r="X129" s="5"/>
      <c r="Y129" s="5"/>
      <c r="Z129" s="5"/>
      <c r="AA129" s="5">
        <v>0</v>
      </c>
      <c r="AB129" s="5"/>
      <c r="AC129" s="5">
        <v>0</v>
      </c>
      <c r="AD129" s="5">
        <v>0</v>
      </c>
      <c r="AE129" s="5">
        <v>0</v>
      </c>
      <c r="AF129" s="5">
        <v>1</v>
      </c>
    </row>
    <row r="130" spans="1:32" x14ac:dyDescent="0.2">
      <c r="A130" s="3" t="str">
        <f>+VLOOKUP(B130,studies!$A$2:$C$102,3)</f>
        <v>Kopp et al. (2012)</v>
      </c>
      <c r="B130" s="87">
        <v>78</v>
      </c>
      <c r="C130" s="5">
        <v>2012</v>
      </c>
      <c r="D130" s="5">
        <v>1</v>
      </c>
      <c r="E130" s="5">
        <v>2005</v>
      </c>
      <c r="F130" s="5">
        <v>2015</v>
      </c>
      <c r="G130" s="113">
        <v>6.9444444444444441E-3</v>
      </c>
      <c r="H130" s="7">
        <v>690.50446378790446</v>
      </c>
      <c r="I130" s="5">
        <v>0</v>
      </c>
      <c r="J130" s="5">
        <v>0</v>
      </c>
      <c r="K130" s="5">
        <v>1</v>
      </c>
      <c r="L130" s="7" t="s">
        <v>238</v>
      </c>
      <c r="M130" s="7">
        <v>199.12506719704433</v>
      </c>
      <c r="N130" s="7">
        <v>704.59639162031067</v>
      </c>
      <c r="O130" s="5">
        <v>0</v>
      </c>
      <c r="P130" s="5">
        <v>1</v>
      </c>
      <c r="Q130" s="5">
        <v>0</v>
      </c>
      <c r="R130" s="5">
        <v>1</v>
      </c>
      <c r="S130" s="5">
        <v>0</v>
      </c>
      <c r="T130" s="5">
        <v>1</v>
      </c>
      <c r="U130" s="5">
        <v>0</v>
      </c>
      <c r="V130" s="13">
        <v>3</v>
      </c>
      <c r="W130" s="13">
        <v>0.14000000000000001</v>
      </c>
      <c r="X130" s="5"/>
      <c r="Y130" s="5"/>
      <c r="Z130" s="5"/>
      <c r="AA130" s="5">
        <v>0</v>
      </c>
      <c r="AB130" s="5"/>
      <c r="AC130" s="5">
        <v>0</v>
      </c>
      <c r="AD130" s="5">
        <v>0</v>
      </c>
      <c r="AE130" s="5">
        <v>0</v>
      </c>
      <c r="AF130" s="5">
        <v>1</v>
      </c>
    </row>
    <row r="131" spans="1:32" x14ac:dyDescent="0.2">
      <c r="A131" s="3" t="str">
        <f>+VLOOKUP(B131,studies!$A$2:$C$102,3)</f>
        <v>Kopp et al. (2012)</v>
      </c>
      <c r="B131" s="87">
        <v>78</v>
      </c>
      <c r="C131" s="5">
        <v>2012</v>
      </c>
      <c r="D131" s="5">
        <v>1</v>
      </c>
      <c r="E131" s="5">
        <v>2005</v>
      </c>
      <c r="F131" s="5">
        <v>2015</v>
      </c>
      <c r="G131" s="113">
        <v>6.9444444444444441E-3</v>
      </c>
      <c r="H131" s="7">
        <v>600.43866416339517</v>
      </c>
      <c r="I131" s="5">
        <v>0</v>
      </c>
      <c r="J131" s="5">
        <v>0</v>
      </c>
      <c r="K131" s="5">
        <v>1</v>
      </c>
      <c r="L131" s="7" t="s">
        <v>238</v>
      </c>
      <c r="M131" s="7">
        <v>176.14909790507767</v>
      </c>
      <c r="N131" s="7">
        <v>528.44729371523306</v>
      </c>
      <c r="O131" s="5">
        <v>0</v>
      </c>
      <c r="P131" s="5">
        <v>1</v>
      </c>
      <c r="Q131" s="5">
        <v>0</v>
      </c>
      <c r="R131" s="5">
        <v>1</v>
      </c>
      <c r="S131" s="5">
        <v>0</v>
      </c>
      <c r="T131" s="5">
        <v>1</v>
      </c>
      <c r="U131" s="5">
        <v>0</v>
      </c>
      <c r="V131" s="13">
        <v>3</v>
      </c>
      <c r="W131" s="13">
        <v>0.14000000000000001</v>
      </c>
      <c r="X131" s="5"/>
      <c r="Y131" s="5"/>
      <c r="Z131" s="5"/>
      <c r="AA131" s="5">
        <v>0</v>
      </c>
      <c r="AB131" s="5"/>
      <c r="AC131" s="5">
        <v>0</v>
      </c>
      <c r="AD131" s="5">
        <v>0</v>
      </c>
      <c r="AE131" s="5">
        <v>0</v>
      </c>
      <c r="AF131" s="5">
        <v>1</v>
      </c>
    </row>
    <row r="132" spans="1:32" x14ac:dyDescent="0.2">
      <c r="A132" s="3" t="str">
        <f>+VLOOKUP(B132,studies!$A$2:$C$102,3)</f>
        <v>Kopp et al. (2012)</v>
      </c>
      <c r="B132" s="87">
        <v>78</v>
      </c>
      <c r="C132" s="5">
        <v>2012</v>
      </c>
      <c r="D132" s="5">
        <v>1</v>
      </c>
      <c r="E132" s="5">
        <v>2005</v>
      </c>
      <c r="F132" s="5">
        <v>2015</v>
      </c>
      <c r="G132" s="113">
        <v>6.9444444444444441E-3</v>
      </c>
      <c r="H132" s="7">
        <v>1140.8334619104508</v>
      </c>
      <c r="I132" s="5">
        <v>0</v>
      </c>
      <c r="J132" s="5">
        <v>0</v>
      </c>
      <c r="K132" s="5">
        <v>1</v>
      </c>
      <c r="L132" s="7" t="s">
        <v>238</v>
      </c>
      <c r="M132" s="7">
        <v>329.3222265181887</v>
      </c>
      <c r="N132" s="7">
        <v>903.72145881735491</v>
      </c>
      <c r="O132" s="5">
        <v>0</v>
      </c>
      <c r="P132" s="5">
        <v>1</v>
      </c>
      <c r="Q132" s="5">
        <v>0</v>
      </c>
      <c r="R132" s="5">
        <v>1</v>
      </c>
      <c r="S132" s="5">
        <v>0</v>
      </c>
      <c r="T132" s="5">
        <v>1</v>
      </c>
      <c r="U132" s="5">
        <v>0</v>
      </c>
      <c r="V132" s="13">
        <v>3</v>
      </c>
      <c r="W132" s="13">
        <v>0.14000000000000001</v>
      </c>
      <c r="X132" s="5"/>
      <c r="Y132" s="5"/>
      <c r="Z132" s="5"/>
      <c r="AA132" s="5">
        <v>0</v>
      </c>
      <c r="AB132" s="5"/>
      <c r="AC132" s="5">
        <v>0</v>
      </c>
      <c r="AD132" s="5">
        <v>0</v>
      </c>
      <c r="AE132" s="5">
        <v>0</v>
      </c>
      <c r="AF132" s="5">
        <v>1</v>
      </c>
    </row>
    <row r="133" spans="1:32" x14ac:dyDescent="0.2">
      <c r="A133" s="3" t="str">
        <f>+VLOOKUP(B133,studies!$A$2:$C$102,3)</f>
        <v>Kopp et al. (2012)</v>
      </c>
      <c r="B133" s="87">
        <v>78</v>
      </c>
      <c r="C133" s="5">
        <v>2012</v>
      </c>
      <c r="D133" s="5">
        <v>1</v>
      </c>
      <c r="E133" s="5">
        <v>2005</v>
      </c>
      <c r="F133" s="5">
        <v>2015</v>
      </c>
      <c r="G133" s="113">
        <v>6.9444444444444441E-3</v>
      </c>
      <c r="H133" s="7">
        <v>810.59219662058354</v>
      </c>
      <c r="I133" s="5">
        <v>0</v>
      </c>
      <c r="J133" s="5">
        <v>0</v>
      </c>
      <c r="K133" s="5">
        <v>1</v>
      </c>
      <c r="L133" s="7" t="s">
        <v>238</v>
      </c>
      <c r="M133" s="7">
        <v>229.75969291966652</v>
      </c>
      <c r="N133" s="7">
        <v>704.59639162031067</v>
      </c>
      <c r="O133" s="5">
        <v>0</v>
      </c>
      <c r="P133" s="5">
        <v>1</v>
      </c>
      <c r="Q133" s="5">
        <v>0</v>
      </c>
      <c r="R133" s="5">
        <v>1</v>
      </c>
      <c r="S133" s="5">
        <v>0</v>
      </c>
      <c r="T133" s="5">
        <v>1</v>
      </c>
      <c r="U133" s="5">
        <v>0</v>
      </c>
      <c r="V133" s="13">
        <v>3</v>
      </c>
      <c r="W133" s="13">
        <v>0.14000000000000001</v>
      </c>
      <c r="X133" s="5"/>
      <c r="Y133" s="5"/>
      <c r="Z133" s="5"/>
      <c r="AA133" s="5">
        <v>0</v>
      </c>
      <c r="AB133" s="5"/>
      <c r="AC133" s="5">
        <v>0</v>
      </c>
      <c r="AD133" s="5">
        <v>0</v>
      </c>
      <c r="AE133" s="5">
        <v>0</v>
      </c>
      <c r="AF133" s="5">
        <v>1</v>
      </c>
    </row>
    <row r="134" spans="1:32" x14ac:dyDescent="0.2">
      <c r="A134" s="3" t="str">
        <f>+VLOOKUP(B134,studies!$A$2:$C$102,3)</f>
        <v>Kopp et al. (2012)</v>
      </c>
      <c r="B134" s="87">
        <v>78</v>
      </c>
      <c r="C134" s="5">
        <v>2012</v>
      </c>
      <c r="D134" s="5">
        <v>1</v>
      </c>
      <c r="E134" s="5">
        <v>2005</v>
      </c>
      <c r="F134" s="5">
        <v>2015</v>
      </c>
      <c r="G134" s="113">
        <v>6.9444444444444441E-3</v>
      </c>
      <c r="H134" s="7">
        <v>1666.2172930534218</v>
      </c>
      <c r="I134" s="5">
        <v>0</v>
      </c>
      <c r="J134" s="5">
        <v>0</v>
      </c>
      <c r="K134" s="5">
        <v>1</v>
      </c>
      <c r="L134" s="7" t="s">
        <v>238</v>
      </c>
      <c r="M134" s="7">
        <v>474.83669870064421</v>
      </c>
      <c r="N134" s="7">
        <v>1286.6542803501325</v>
      </c>
      <c r="O134" s="5">
        <v>0</v>
      </c>
      <c r="P134" s="5">
        <v>1</v>
      </c>
      <c r="Q134" s="5">
        <v>0</v>
      </c>
      <c r="R134" s="5">
        <v>1</v>
      </c>
      <c r="S134" s="5">
        <v>0</v>
      </c>
      <c r="T134" s="5">
        <v>1</v>
      </c>
      <c r="U134" s="5">
        <v>0</v>
      </c>
      <c r="V134" s="13">
        <v>3</v>
      </c>
      <c r="W134" s="13">
        <v>0.14000000000000001</v>
      </c>
      <c r="X134" s="5"/>
      <c r="Y134" s="5"/>
      <c r="Z134" s="5"/>
      <c r="AA134" s="5">
        <v>0</v>
      </c>
      <c r="AB134" s="5"/>
      <c r="AC134" s="5">
        <v>0</v>
      </c>
      <c r="AD134" s="5">
        <v>0</v>
      </c>
      <c r="AE134" s="5">
        <v>0</v>
      </c>
      <c r="AF134" s="5">
        <v>1</v>
      </c>
    </row>
    <row r="135" spans="1:32" x14ac:dyDescent="0.2">
      <c r="A135" s="3" t="str">
        <f>+VLOOKUP(B135,studies!$A$2:$C$102,3)</f>
        <v>Kopp et al. (2012)</v>
      </c>
      <c r="B135" s="87">
        <v>78</v>
      </c>
      <c r="C135" s="5">
        <v>2012</v>
      </c>
      <c r="D135" s="5">
        <v>1</v>
      </c>
      <c r="E135" s="5">
        <v>2005</v>
      </c>
      <c r="F135" s="5">
        <v>2015</v>
      </c>
      <c r="G135" s="113">
        <v>6.9444444444444441E-3</v>
      </c>
      <c r="H135" s="7">
        <v>480.35093133071615</v>
      </c>
      <c r="I135" s="5">
        <v>0</v>
      </c>
      <c r="J135" s="5">
        <v>0</v>
      </c>
      <c r="K135" s="5">
        <v>1</v>
      </c>
      <c r="L135" s="7" t="s">
        <v>238</v>
      </c>
      <c r="M135" s="7">
        <v>130.19715932114437</v>
      </c>
      <c r="N135" s="7">
        <v>329.32222651818876</v>
      </c>
      <c r="O135" s="5">
        <v>0</v>
      </c>
      <c r="P135" s="5">
        <v>1</v>
      </c>
      <c r="Q135" s="5">
        <v>0</v>
      </c>
      <c r="R135" s="5">
        <v>1</v>
      </c>
      <c r="S135" s="5">
        <v>0</v>
      </c>
      <c r="T135" s="5">
        <v>1</v>
      </c>
      <c r="U135" s="5">
        <v>0</v>
      </c>
      <c r="V135" s="13">
        <v>3</v>
      </c>
      <c r="W135" s="13">
        <v>0.14000000000000001</v>
      </c>
      <c r="X135" s="5"/>
      <c r="Y135" s="5"/>
      <c r="Z135" s="5"/>
      <c r="AA135" s="5">
        <v>0</v>
      </c>
      <c r="AB135" s="5"/>
      <c r="AC135" s="5">
        <v>0</v>
      </c>
      <c r="AD135" s="5">
        <v>0</v>
      </c>
      <c r="AE135" s="5">
        <v>0</v>
      </c>
      <c r="AF135" s="5">
        <v>1</v>
      </c>
    </row>
    <row r="136" spans="1:32" x14ac:dyDescent="0.2">
      <c r="A136" s="3" t="str">
        <f>+VLOOKUP(B136,studies!$A$2:$C$102,3)</f>
        <v>Kopp et al. (2012)</v>
      </c>
      <c r="B136" s="87">
        <v>78</v>
      </c>
      <c r="C136" s="5">
        <v>2012</v>
      </c>
      <c r="D136" s="5">
        <v>1</v>
      </c>
      <c r="E136" s="5">
        <v>2005</v>
      </c>
      <c r="F136" s="5">
        <v>2015</v>
      </c>
      <c r="G136" s="113">
        <v>6.9444444444444441E-3</v>
      </c>
      <c r="H136" s="7">
        <v>690.50446378790446</v>
      </c>
      <c r="I136" s="5">
        <v>0</v>
      </c>
      <c r="J136" s="5">
        <v>0</v>
      </c>
      <c r="K136" s="5">
        <v>1</v>
      </c>
      <c r="L136" s="7" t="s">
        <v>238</v>
      </c>
      <c r="M136" s="7">
        <v>199.12506719704433</v>
      </c>
      <c r="N136" s="7">
        <v>589.71654516047749</v>
      </c>
      <c r="O136" s="5">
        <v>0</v>
      </c>
      <c r="P136" s="5">
        <v>1</v>
      </c>
      <c r="Q136" s="5">
        <v>0</v>
      </c>
      <c r="R136" s="5">
        <v>1</v>
      </c>
      <c r="S136" s="5">
        <v>0</v>
      </c>
      <c r="T136" s="5">
        <v>1</v>
      </c>
      <c r="U136" s="5">
        <v>0</v>
      </c>
      <c r="V136" s="13">
        <v>3</v>
      </c>
      <c r="W136" s="13">
        <v>0.14000000000000001</v>
      </c>
      <c r="X136" s="5"/>
      <c r="Y136" s="5"/>
      <c r="Z136" s="5"/>
      <c r="AA136" s="5">
        <v>0</v>
      </c>
      <c r="AB136" s="5"/>
      <c r="AC136" s="5">
        <v>0</v>
      </c>
      <c r="AD136" s="5">
        <v>0</v>
      </c>
      <c r="AE136" s="5">
        <v>0</v>
      </c>
      <c r="AF136" s="5">
        <v>1</v>
      </c>
    </row>
    <row r="137" spans="1:32" x14ac:dyDescent="0.2">
      <c r="A137" s="3" t="str">
        <f>+VLOOKUP(B137,studies!$A$2:$C$102,3)</f>
        <v>Kopp et al. (2012)</v>
      </c>
      <c r="B137" s="87">
        <v>78</v>
      </c>
      <c r="C137" s="5">
        <v>2012</v>
      </c>
      <c r="D137" s="5">
        <v>1</v>
      </c>
      <c r="E137" s="5">
        <v>2005</v>
      </c>
      <c r="F137" s="5">
        <v>2015</v>
      </c>
      <c r="G137" s="113">
        <v>6.9444444444444441E-3</v>
      </c>
      <c r="H137" s="7">
        <v>660.48253057973466</v>
      </c>
      <c r="I137" s="5">
        <v>0</v>
      </c>
      <c r="J137" s="5">
        <v>0</v>
      </c>
      <c r="K137" s="5">
        <v>1</v>
      </c>
      <c r="L137" s="7" t="s">
        <v>238</v>
      </c>
      <c r="M137" s="7">
        <v>183.80775433573319</v>
      </c>
      <c r="N137" s="7">
        <v>536.10595014588864</v>
      </c>
      <c r="O137" s="5">
        <v>0</v>
      </c>
      <c r="P137" s="5">
        <v>1</v>
      </c>
      <c r="Q137" s="5">
        <v>0</v>
      </c>
      <c r="R137" s="5">
        <v>1</v>
      </c>
      <c r="S137" s="5">
        <v>0</v>
      </c>
      <c r="T137" s="5">
        <v>1</v>
      </c>
      <c r="U137" s="5">
        <v>0</v>
      </c>
      <c r="V137" s="13">
        <v>3</v>
      </c>
      <c r="W137" s="13">
        <v>0.14000000000000001</v>
      </c>
      <c r="X137" s="5"/>
      <c r="Y137" s="5"/>
      <c r="Z137" s="5"/>
      <c r="AA137" s="5">
        <v>0</v>
      </c>
      <c r="AB137" s="5"/>
      <c r="AC137" s="5">
        <v>0</v>
      </c>
      <c r="AD137" s="5">
        <v>0</v>
      </c>
      <c r="AE137" s="5">
        <v>0</v>
      </c>
      <c r="AF137" s="5">
        <v>1</v>
      </c>
    </row>
    <row r="138" spans="1:32" x14ac:dyDescent="0.2">
      <c r="A138" s="3" t="str">
        <f>+VLOOKUP(B138,studies!$A$2:$C$102,3)</f>
        <v>Kopp et al. (2012)</v>
      </c>
      <c r="B138" s="87">
        <v>78</v>
      </c>
      <c r="C138" s="5">
        <v>2012</v>
      </c>
      <c r="D138" s="5">
        <v>1</v>
      </c>
      <c r="E138" s="5">
        <v>2005</v>
      </c>
      <c r="F138" s="5">
        <v>2015</v>
      </c>
      <c r="G138" s="113">
        <v>6.9444444444444441E-3</v>
      </c>
      <c r="H138" s="7">
        <v>1005.7347624736871</v>
      </c>
      <c r="I138" s="5">
        <v>0</v>
      </c>
      <c r="J138" s="5">
        <v>0</v>
      </c>
      <c r="K138" s="5">
        <v>1</v>
      </c>
      <c r="L138" s="7" t="s">
        <v>238</v>
      </c>
      <c r="M138" s="7">
        <v>367.61550867146644</v>
      </c>
      <c r="N138" s="7">
        <v>3882.9388103423648</v>
      </c>
      <c r="O138" s="5">
        <v>0</v>
      </c>
      <c r="P138" s="5">
        <v>1</v>
      </c>
      <c r="Q138" s="5">
        <v>0</v>
      </c>
      <c r="R138" s="5">
        <v>1</v>
      </c>
      <c r="S138" s="5">
        <v>0</v>
      </c>
      <c r="T138" s="5">
        <v>1</v>
      </c>
      <c r="U138" s="5">
        <v>0</v>
      </c>
      <c r="V138" s="13">
        <v>3</v>
      </c>
      <c r="W138" s="13">
        <v>0.14000000000000001</v>
      </c>
      <c r="X138" s="5"/>
      <c r="Y138" s="5"/>
      <c r="Z138" s="5"/>
      <c r="AA138" s="5">
        <v>0</v>
      </c>
      <c r="AB138" s="5"/>
      <c r="AC138" s="5">
        <v>0</v>
      </c>
      <c r="AD138" s="5">
        <v>0</v>
      </c>
      <c r="AE138" s="5">
        <v>0</v>
      </c>
      <c r="AF138" s="5">
        <v>1</v>
      </c>
    </row>
    <row r="139" spans="1:32" x14ac:dyDescent="0.2">
      <c r="A139" s="3" t="str">
        <f>+VLOOKUP(B139,studies!$A$2:$C$102,3)</f>
        <v>Kopp et al. (2012)</v>
      </c>
      <c r="B139" s="87">
        <v>78</v>
      </c>
      <c r="C139" s="5">
        <v>2012</v>
      </c>
      <c r="D139" s="5">
        <v>1</v>
      </c>
      <c r="E139" s="5">
        <v>2005</v>
      </c>
      <c r="F139" s="5">
        <v>2015</v>
      </c>
      <c r="G139" s="113">
        <v>6.9444444444444441E-3</v>
      </c>
      <c r="H139" s="7">
        <v>300.21933208169759</v>
      </c>
      <c r="I139" s="5">
        <v>0</v>
      </c>
      <c r="J139" s="5">
        <v>0</v>
      </c>
      <c r="K139" s="5">
        <v>1</v>
      </c>
      <c r="L139" s="7" t="s">
        <v>238</v>
      </c>
      <c r="M139" s="7">
        <v>99.56253359852218</v>
      </c>
      <c r="N139" s="7">
        <v>1516.4139732697993</v>
      </c>
      <c r="O139" s="5">
        <v>0</v>
      </c>
      <c r="P139" s="5">
        <v>1</v>
      </c>
      <c r="Q139" s="5">
        <v>0</v>
      </c>
      <c r="R139" s="5">
        <v>1</v>
      </c>
      <c r="S139" s="5">
        <v>0</v>
      </c>
      <c r="T139" s="5">
        <v>1</v>
      </c>
      <c r="U139" s="5">
        <v>0</v>
      </c>
      <c r="V139" s="13">
        <v>3</v>
      </c>
      <c r="W139" s="13">
        <v>0.14000000000000001</v>
      </c>
      <c r="X139" s="5"/>
      <c r="Y139" s="5"/>
      <c r="Z139" s="5"/>
      <c r="AA139" s="5">
        <v>0</v>
      </c>
      <c r="AB139" s="5"/>
      <c r="AC139" s="5">
        <v>0</v>
      </c>
      <c r="AD139" s="5">
        <v>0</v>
      </c>
      <c r="AE139" s="5">
        <v>0</v>
      </c>
      <c r="AF139" s="5">
        <v>1</v>
      </c>
    </row>
    <row r="140" spans="1:32" x14ac:dyDescent="0.2">
      <c r="A140" s="3" t="str">
        <f>+VLOOKUP(B140,studies!$A$2:$C$102,3)</f>
        <v>Kopp et al. (2012)</v>
      </c>
      <c r="B140" s="87">
        <v>78</v>
      </c>
      <c r="C140" s="5">
        <v>2012</v>
      </c>
      <c r="D140" s="5">
        <v>1</v>
      </c>
      <c r="E140" s="5">
        <v>2005</v>
      </c>
      <c r="F140" s="5">
        <v>2015</v>
      </c>
      <c r="G140" s="113">
        <v>6.9444444444444441E-3</v>
      </c>
      <c r="H140" s="7">
        <v>210.15353245718833</v>
      </c>
      <c r="I140" s="5">
        <v>0</v>
      </c>
      <c r="J140" s="5">
        <v>0</v>
      </c>
      <c r="K140" s="5">
        <v>1</v>
      </c>
      <c r="L140" s="7" t="s">
        <v>238</v>
      </c>
      <c r="M140" s="7">
        <v>68.927907875899962</v>
      </c>
      <c r="N140" s="7">
        <v>1501.0966604084881</v>
      </c>
      <c r="O140" s="5">
        <v>0</v>
      </c>
      <c r="P140" s="5">
        <v>1</v>
      </c>
      <c r="Q140" s="5">
        <v>0</v>
      </c>
      <c r="R140" s="5">
        <v>1</v>
      </c>
      <c r="S140" s="5">
        <v>0</v>
      </c>
      <c r="T140" s="5">
        <v>1</v>
      </c>
      <c r="U140" s="5">
        <v>0</v>
      </c>
      <c r="V140" s="13">
        <v>3</v>
      </c>
      <c r="W140" s="13">
        <v>0.14000000000000001</v>
      </c>
      <c r="X140" s="5"/>
      <c r="Y140" s="5"/>
      <c r="Z140" s="5"/>
      <c r="AA140" s="5">
        <v>0</v>
      </c>
      <c r="AB140" s="5"/>
      <c r="AC140" s="5">
        <v>0</v>
      </c>
      <c r="AD140" s="5">
        <v>0</v>
      </c>
      <c r="AE140" s="5">
        <v>0</v>
      </c>
      <c r="AF140" s="5">
        <v>1</v>
      </c>
    </row>
    <row r="141" spans="1:32" x14ac:dyDescent="0.2">
      <c r="A141" s="3" t="str">
        <f>+VLOOKUP(B141,studies!$A$2:$C$102,3)</f>
        <v>Kopp et al. (2012)</v>
      </c>
      <c r="B141" s="87">
        <v>78</v>
      </c>
      <c r="C141" s="5">
        <v>2012</v>
      </c>
      <c r="D141" s="5">
        <v>1</v>
      </c>
      <c r="E141" s="5">
        <v>2005</v>
      </c>
      <c r="F141" s="5">
        <v>2015</v>
      </c>
      <c r="G141" s="113">
        <v>6.9444444444444441E-3</v>
      </c>
      <c r="H141" s="7">
        <v>450.32899812254641</v>
      </c>
      <c r="I141" s="5">
        <v>0</v>
      </c>
      <c r="J141" s="5">
        <v>0</v>
      </c>
      <c r="K141" s="5">
        <v>1</v>
      </c>
      <c r="L141" s="7" t="s">
        <v>238</v>
      </c>
      <c r="M141" s="7">
        <v>153.173128613111</v>
      </c>
      <c r="N141" s="7">
        <v>2129.1064877222434</v>
      </c>
      <c r="O141" s="5">
        <v>0</v>
      </c>
      <c r="P141" s="5">
        <v>1</v>
      </c>
      <c r="Q141" s="5">
        <v>0</v>
      </c>
      <c r="R141" s="5">
        <v>1</v>
      </c>
      <c r="S141" s="5">
        <v>0</v>
      </c>
      <c r="T141" s="5">
        <v>1</v>
      </c>
      <c r="U141" s="5">
        <v>0</v>
      </c>
      <c r="V141" s="13">
        <v>3</v>
      </c>
      <c r="W141" s="13">
        <v>0.14000000000000001</v>
      </c>
      <c r="X141" s="5"/>
      <c r="Y141" s="5"/>
      <c r="Z141" s="5"/>
      <c r="AA141" s="5">
        <v>0</v>
      </c>
      <c r="AB141" s="5"/>
      <c r="AC141" s="5">
        <v>0</v>
      </c>
      <c r="AD141" s="5">
        <v>0</v>
      </c>
      <c r="AE141" s="5">
        <v>0</v>
      </c>
      <c r="AF141" s="5">
        <v>1</v>
      </c>
    </row>
    <row r="142" spans="1:32" x14ac:dyDescent="0.2">
      <c r="A142" s="3" t="str">
        <f>+VLOOKUP(B142,studies!$A$2:$C$102,3)</f>
        <v>Kopp et al. (2012)</v>
      </c>
      <c r="B142" s="87">
        <v>78</v>
      </c>
      <c r="C142" s="5">
        <v>2012</v>
      </c>
      <c r="D142" s="5">
        <v>1</v>
      </c>
      <c r="E142" s="5">
        <v>2005</v>
      </c>
      <c r="F142" s="5">
        <v>2015</v>
      </c>
      <c r="G142" s="113">
        <v>6.9444444444444441E-3</v>
      </c>
      <c r="H142" s="7">
        <v>285.20836547761269</v>
      </c>
      <c r="I142" s="5">
        <v>0</v>
      </c>
      <c r="J142" s="5">
        <v>0</v>
      </c>
      <c r="K142" s="5">
        <v>1</v>
      </c>
      <c r="L142" s="7" t="s">
        <v>238</v>
      </c>
      <c r="M142" s="7">
        <v>91.903877167866611</v>
      </c>
      <c r="N142" s="7">
        <v>1884.0294819412657</v>
      </c>
      <c r="O142" s="5">
        <v>0</v>
      </c>
      <c r="P142" s="5">
        <v>1</v>
      </c>
      <c r="Q142" s="5">
        <v>0</v>
      </c>
      <c r="R142" s="5">
        <v>1</v>
      </c>
      <c r="S142" s="5">
        <v>0</v>
      </c>
      <c r="T142" s="5">
        <v>1</v>
      </c>
      <c r="U142" s="5">
        <v>0</v>
      </c>
      <c r="V142" s="13">
        <v>3</v>
      </c>
      <c r="W142" s="13">
        <v>0.14000000000000001</v>
      </c>
      <c r="X142" s="5"/>
      <c r="Y142" s="5"/>
      <c r="Z142" s="5"/>
      <c r="AA142" s="5">
        <v>0</v>
      </c>
      <c r="AB142" s="5"/>
      <c r="AC142" s="5">
        <v>0</v>
      </c>
      <c r="AD142" s="5">
        <v>0</v>
      </c>
      <c r="AE142" s="5">
        <v>0</v>
      </c>
      <c r="AF142" s="5">
        <v>1</v>
      </c>
    </row>
    <row r="143" spans="1:32" x14ac:dyDescent="0.2">
      <c r="A143" s="3" t="str">
        <f>+VLOOKUP(B143,studies!$A$2:$C$102,3)</f>
        <v>Kopp et al. (2012)</v>
      </c>
      <c r="B143" s="87">
        <v>78</v>
      </c>
      <c r="C143" s="5">
        <v>2012</v>
      </c>
      <c r="D143" s="5">
        <v>1</v>
      </c>
      <c r="E143" s="5">
        <v>2005</v>
      </c>
      <c r="F143" s="5">
        <v>2015</v>
      </c>
      <c r="G143" s="113">
        <v>6.9444444444444441E-3</v>
      </c>
      <c r="H143" s="7">
        <v>150.10966604084879</v>
      </c>
      <c r="I143" s="5">
        <v>0</v>
      </c>
      <c r="J143" s="5">
        <v>0</v>
      </c>
      <c r="K143" s="5">
        <v>1</v>
      </c>
      <c r="L143" s="7" t="s">
        <v>238</v>
      </c>
      <c r="M143" s="7">
        <v>68.927907875899962</v>
      </c>
      <c r="N143" s="7">
        <v>4143.3331289846528</v>
      </c>
      <c r="O143" s="5">
        <v>0</v>
      </c>
      <c r="P143" s="5">
        <v>1</v>
      </c>
      <c r="Q143" s="5">
        <v>0</v>
      </c>
      <c r="R143" s="5">
        <v>1</v>
      </c>
      <c r="S143" s="5">
        <v>0</v>
      </c>
      <c r="T143" s="5">
        <v>1</v>
      </c>
      <c r="U143" s="5">
        <v>0</v>
      </c>
      <c r="V143" s="13">
        <v>3</v>
      </c>
      <c r="W143" s="13">
        <v>0.14000000000000001</v>
      </c>
      <c r="X143" s="5"/>
      <c r="Y143" s="5"/>
      <c r="Z143" s="5"/>
      <c r="AA143" s="5">
        <v>0</v>
      </c>
      <c r="AB143" s="5"/>
      <c r="AC143" s="5">
        <v>0</v>
      </c>
      <c r="AD143" s="5">
        <v>0</v>
      </c>
      <c r="AE143" s="5">
        <v>0</v>
      </c>
      <c r="AF143" s="5">
        <v>1</v>
      </c>
    </row>
    <row r="144" spans="1:32" x14ac:dyDescent="0.2">
      <c r="A144" s="3" t="str">
        <f>+VLOOKUP(B144,studies!$A$2:$C$102,3)</f>
        <v>Kopp et al. (2012)</v>
      </c>
      <c r="B144" s="87">
        <v>78</v>
      </c>
      <c r="C144" s="5">
        <v>2012</v>
      </c>
      <c r="D144" s="5">
        <v>1</v>
      </c>
      <c r="E144" s="5">
        <v>2005</v>
      </c>
      <c r="F144" s="5">
        <v>2015</v>
      </c>
      <c r="G144" s="113">
        <v>6.9444444444444441E-3</v>
      </c>
      <c r="H144" s="7">
        <v>120.08773283267904</v>
      </c>
      <c r="I144" s="5">
        <v>0</v>
      </c>
      <c r="J144" s="5">
        <v>0</v>
      </c>
      <c r="K144" s="5">
        <v>1</v>
      </c>
      <c r="L144" s="7" t="s">
        <v>238</v>
      </c>
      <c r="M144" s="7">
        <v>53.61059501458886</v>
      </c>
      <c r="N144" s="7">
        <v>3163.0251058607423</v>
      </c>
      <c r="O144" s="5">
        <v>0</v>
      </c>
      <c r="P144" s="5">
        <v>1</v>
      </c>
      <c r="Q144" s="5">
        <v>0</v>
      </c>
      <c r="R144" s="5">
        <v>1</v>
      </c>
      <c r="S144" s="5">
        <v>0</v>
      </c>
      <c r="T144" s="5">
        <v>1</v>
      </c>
      <c r="U144" s="5">
        <v>0</v>
      </c>
      <c r="V144" s="13">
        <v>3</v>
      </c>
      <c r="W144" s="13">
        <v>0.14000000000000001</v>
      </c>
      <c r="X144" s="5"/>
      <c r="Y144" s="5"/>
      <c r="Z144" s="5"/>
      <c r="AA144" s="5">
        <v>0</v>
      </c>
      <c r="AB144" s="5"/>
      <c r="AC144" s="5">
        <v>0</v>
      </c>
      <c r="AD144" s="5">
        <v>0</v>
      </c>
      <c r="AE144" s="5">
        <v>0</v>
      </c>
      <c r="AF144" s="5">
        <v>1</v>
      </c>
    </row>
    <row r="145" spans="1:32" x14ac:dyDescent="0.2">
      <c r="A145" s="3" t="str">
        <f>+VLOOKUP(B145,studies!$A$2:$C$102,3)</f>
        <v>Kopp et al. (2012)</v>
      </c>
      <c r="B145" s="87">
        <v>78</v>
      </c>
      <c r="C145" s="5">
        <v>2012</v>
      </c>
      <c r="D145" s="5">
        <v>1</v>
      </c>
      <c r="E145" s="5">
        <v>2005</v>
      </c>
      <c r="F145" s="5">
        <v>2015</v>
      </c>
      <c r="G145" s="113">
        <v>6.9444444444444441E-3</v>
      </c>
      <c r="H145" s="7">
        <v>150.10966604084879</v>
      </c>
      <c r="I145" s="5">
        <v>0</v>
      </c>
      <c r="J145" s="5">
        <v>0</v>
      </c>
      <c r="K145" s="5">
        <v>1</v>
      </c>
      <c r="L145" s="7" t="s">
        <v>238</v>
      </c>
      <c r="M145" s="7">
        <v>68.927907875899962</v>
      </c>
      <c r="N145" s="7">
        <v>4066.7465646780979</v>
      </c>
      <c r="O145" s="5">
        <v>0</v>
      </c>
      <c r="P145" s="5">
        <v>1</v>
      </c>
      <c r="Q145" s="5">
        <v>0</v>
      </c>
      <c r="R145" s="5">
        <v>1</v>
      </c>
      <c r="S145" s="5">
        <v>0</v>
      </c>
      <c r="T145" s="5">
        <v>1</v>
      </c>
      <c r="U145" s="5">
        <v>0</v>
      </c>
      <c r="V145" s="13">
        <v>3</v>
      </c>
      <c r="W145" s="13">
        <v>0.14000000000000001</v>
      </c>
      <c r="X145" s="5"/>
      <c r="Y145" s="5"/>
      <c r="Z145" s="5"/>
      <c r="AA145" s="5">
        <v>0</v>
      </c>
      <c r="AB145" s="5"/>
      <c r="AC145" s="5">
        <v>0</v>
      </c>
      <c r="AD145" s="5">
        <v>0</v>
      </c>
      <c r="AE145" s="5">
        <v>0</v>
      </c>
      <c r="AF145" s="5">
        <v>1</v>
      </c>
    </row>
    <row r="146" spans="1:32" x14ac:dyDescent="0.2">
      <c r="A146" s="3" t="str">
        <f>+VLOOKUP(B146,studies!$A$2:$C$102,3)</f>
        <v>Kopp et al. (2012)</v>
      </c>
      <c r="B146" s="87">
        <v>78</v>
      </c>
      <c r="C146" s="5">
        <v>2012</v>
      </c>
      <c r="D146" s="5">
        <v>1</v>
      </c>
      <c r="E146" s="5">
        <v>2005</v>
      </c>
      <c r="F146" s="5">
        <v>2015</v>
      </c>
      <c r="G146" s="113">
        <v>6.9444444444444441E-3</v>
      </c>
      <c r="H146" s="7">
        <v>150.10966604084879</v>
      </c>
      <c r="I146" s="5">
        <v>0</v>
      </c>
      <c r="J146" s="5">
        <v>0</v>
      </c>
      <c r="K146" s="5">
        <v>1</v>
      </c>
      <c r="L146" s="7" t="s">
        <v>238</v>
      </c>
      <c r="M146" s="7">
        <v>68.927907875899962</v>
      </c>
      <c r="N146" s="7">
        <v>4074.4052211087533</v>
      </c>
      <c r="O146" s="5">
        <v>0</v>
      </c>
      <c r="P146" s="5">
        <v>1</v>
      </c>
      <c r="Q146" s="5">
        <v>0</v>
      </c>
      <c r="R146" s="5">
        <v>1</v>
      </c>
      <c r="S146" s="5">
        <v>0</v>
      </c>
      <c r="T146" s="5">
        <v>1</v>
      </c>
      <c r="U146" s="5">
        <v>0</v>
      </c>
      <c r="V146" s="13">
        <v>3</v>
      </c>
      <c r="W146" s="13">
        <v>0.14000000000000001</v>
      </c>
      <c r="X146" s="5"/>
      <c r="Y146" s="5"/>
      <c r="Z146" s="5"/>
      <c r="AA146" s="5">
        <v>0</v>
      </c>
      <c r="AB146" s="5"/>
      <c r="AC146" s="5">
        <v>0</v>
      </c>
      <c r="AD146" s="5">
        <v>0</v>
      </c>
      <c r="AE146" s="5">
        <v>0</v>
      </c>
      <c r="AF146" s="5">
        <v>1</v>
      </c>
    </row>
    <row r="147" spans="1:32" x14ac:dyDescent="0.2">
      <c r="A147" s="3" t="str">
        <f>+VLOOKUP(B147,studies!$A$2:$C$102,3)</f>
        <v>Kopp et al. (2012)</v>
      </c>
      <c r="B147" s="87">
        <v>78</v>
      </c>
      <c r="C147" s="5">
        <v>2012</v>
      </c>
      <c r="D147" s="5">
        <v>1</v>
      </c>
      <c r="E147" s="5">
        <v>2005</v>
      </c>
      <c r="F147" s="5">
        <v>2015</v>
      </c>
      <c r="G147" s="113">
        <v>6.9444444444444441E-3</v>
      </c>
      <c r="H147" s="7">
        <v>855.62509643283818</v>
      </c>
      <c r="I147" s="5">
        <v>0</v>
      </c>
      <c r="J147" s="5">
        <v>0</v>
      </c>
      <c r="K147" s="5">
        <v>1</v>
      </c>
      <c r="L147" s="7" t="s">
        <v>238</v>
      </c>
      <c r="M147" s="7">
        <v>252.73566221163318</v>
      </c>
      <c r="N147" s="7">
        <v>964.99071026259946</v>
      </c>
      <c r="O147" s="5">
        <v>0</v>
      </c>
      <c r="P147" s="5">
        <v>1</v>
      </c>
      <c r="Q147" s="5">
        <v>0</v>
      </c>
      <c r="R147" s="5">
        <v>1</v>
      </c>
      <c r="S147" s="5">
        <v>0</v>
      </c>
      <c r="T147" s="5">
        <v>1</v>
      </c>
      <c r="U147" s="5">
        <v>0</v>
      </c>
      <c r="V147" s="13">
        <v>3</v>
      </c>
      <c r="W147" s="13">
        <v>-1.1000000000000001</v>
      </c>
      <c r="X147" s="5"/>
      <c r="Y147" s="5"/>
      <c r="Z147" s="5"/>
      <c r="AA147" s="5">
        <v>0</v>
      </c>
      <c r="AB147" s="5"/>
      <c r="AC147" s="5">
        <v>0</v>
      </c>
      <c r="AD147" s="5">
        <v>0</v>
      </c>
      <c r="AE147" s="5">
        <v>0</v>
      </c>
      <c r="AF147" s="5">
        <v>1</v>
      </c>
    </row>
    <row r="148" spans="1:32" x14ac:dyDescent="0.2">
      <c r="A148" s="3" t="str">
        <f>+VLOOKUP(B148,studies!$A$2:$C$102,3)</f>
        <v>Kopp et al. (2012)</v>
      </c>
      <c r="B148" s="87">
        <v>78</v>
      </c>
      <c r="C148" s="5">
        <v>2012</v>
      </c>
      <c r="D148" s="5">
        <v>1</v>
      </c>
      <c r="E148" s="5">
        <v>2005</v>
      </c>
      <c r="F148" s="5">
        <v>2015</v>
      </c>
      <c r="G148" s="113">
        <v>6.9444444444444441E-3</v>
      </c>
      <c r="H148" s="7">
        <v>915.66896284917766</v>
      </c>
      <c r="I148" s="5">
        <v>0</v>
      </c>
      <c r="J148" s="5">
        <v>0</v>
      </c>
      <c r="K148" s="5">
        <v>1</v>
      </c>
      <c r="L148" s="7" t="s">
        <v>238</v>
      </c>
      <c r="M148" s="7">
        <v>283.37028793425537</v>
      </c>
      <c r="N148" s="7">
        <v>1424.5100961019327</v>
      </c>
      <c r="O148" s="5">
        <v>0</v>
      </c>
      <c r="P148" s="5">
        <v>1</v>
      </c>
      <c r="Q148" s="5">
        <v>0</v>
      </c>
      <c r="R148" s="5">
        <v>1</v>
      </c>
      <c r="S148" s="5">
        <v>0</v>
      </c>
      <c r="T148" s="5">
        <v>1</v>
      </c>
      <c r="U148" s="5">
        <v>0</v>
      </c>
      <c r="V148" s="13">
        <v>3</v>
      </c>
      <c r="W148" s="13">
        <v>-1.1000000000000001</v>
      </c>
      <c r="X148" s="5"/>
      <c r="Y148" s="5"/>
      <c r="Z148" s="5"/>
      <c r="AA148" s="5">
        <v>0</v>
      </c>
      <c r="AB148" s="5"/>
      <c r="AC148" s="5">
        <v>0</v>
      </c>
      <c r="AD148" s="5">
        <v>0</v>
      </c>
      <c r="AE148" s="5">
        <v>0</v>
      </c>
      <c r="AF148" s="5">
        <v>1</v>
      </c>
    </row>
    <row r="149" spans="1:32" x14ac:dyDescent="0.2">
      <c r="A149" s="3" t="str">
        <f>+VLOOKUP(B149,studies!$A$2:$C$102,3)</f>
        <v>Kopp et al. (2012)</v>
      </c>
      <c r="B149" s="87">
        <v>78</v>
      </c>
      <c r="C149" s="5">
        <v>2012</v>
      </c>
      <c r="D149" s="5">
        <v>1</v>
      </c>
      <c r="E149" s="5">
        <v>2005</v>
      </c>
      <c r="F149" s="5">
        <v>2015</v>
      </c>
      <c r="G149" s="113">
        <v>6.9444444444444441E-3</v>
      </c>
      <c r="H149" s="7">
        <v>750.54833020424405</v>
      </c>
      <c r="I149" s="5">
        <v>0</v>
      </c>
      <c r="J149" s="5">
        <v>0</v>
      </c>
      <c r="K149" s="5">
        <v>1</v>
      </c>
      <c r="L149" s="7" t="s">
        <v>238</v>
      </c>
      <c r="M149" s="7">
        <v>229.75969291966655</v>
      </c>
      <c r="N149" s="7">
        <v>834.79355094145512</v>
      </c>
      <c r="O149" s="5">
        <v>0</v>
      </c>
      <c r="P149" s="5">
        <v>1</v>
      </c>
      <c r="Q149" s="5">
        <v>0</v>
      </c>
      <c r="R149" s="5">
        <v>1</v>
      </c>
      <c r="S149" s="5">
        <v>0</v>
      </c>
      <c r="T149" s="5">
        <v>1</v>
      </c>
      <c r="U149" s="5">
        <v>0</v>
      </c>
      <c r="V149" s="13">
        <v>3</v>
      </c>
      <c r="W149" s="13">
        <v>-1.1000000000000001</v>
      </c>
      <c r="X149" s="5"/>
      <c r="Y149" s="5"/>
      <c r="Z149" s="5"/>
      <c r="AA149" s="5">
        <v>0</v>
      </c>
      <c r="AB149" s="5"/>
      <c r="AC149" s="5">
        <v>0</v>
      </c>
      <c r="AD149" s="5">
        <v>0</v>
      </c>
      <c r="AE149" s="5">
        <v>0</v>
      </c>
      <c r="AF149" s="5">
        <v>1</v>
      </c>
    </row>
    <row r="150" spans="1:32" x14ac:dyDescent="0.2">
      <c r="A150" s="3" t="str">
        <f>+VLOOKUP(B150,studies!$A$2:$C$102,3)</f>
        <v>Kopp et al. (2012)</v>
      </c>
      <c r="B150" s="87">
        <v>78</v>
      </c>
      <c r="C150" s="5">
        <v>2012</v>
      </c>
      <c r="D150" s="5">
        <v>1</v>
      </c>
      <c r="E150" s="5">
        <v>2005</v>
      </c>
      <c r="F150" s="5">
        <v>2015</v>
      </c>
      <c r="G150" s="113">
        <v>6.9444444444444441E-3</v>
      </c>
      <c r="H150" s="7">
        <v>1921.4037253228646</v>
      </c>
      <c r="I150" s="5">
        <v>0</v>
      </c>
      <c r="J150" s="5">
        <v>0</v>
      </c>
      <c r="K150" s="5">
        <v>1</v>
      </c>
      <c r="L150" s="7" t="s">
        <v>238</v>
      </c>
      <c r="M150" s="7">
        <v>605.03385802178855</v>
      </c>
      <c r="N150" s="7">
        <v>2596.2845299922319</v>
      </c>
      <c r="O150" s="5">
        <v>0</v>
      </c>
      <c r="P150" s="5">
        <v>1</v>
      </c>
      <c r="Q150" s="5">
        <v>0</v>
      </c>
      <c r="R150" s="5">
        <v>1</v>
      </c>
      <c r="S150" s="5">
        <v>0</v>
      </c>
      <c r="T150" s="5">
        <v>1</v>
      </c>
      <c r="U150" s="5">
        <v>0</v>
      </c>
      <c r="V150" s="13">
        <v>3</v>
      </c>
      <c r="W150" s="13">
        <v>-1.1000000000000001</v>
      </c>
      <c r="X150" s="5"/>
      <c r="Y150" s="5"/>
      <c r="Z150" s="5"/>
      <c r="AA150" s="5">
        <v>0</v>
      </c>
      <c r="AB150" s="5"/>
      <c r="AC150" s="5">
        <v>0</v>
      </c>
      <c r="AD150" s="5">
        <v>0</v>
      </c>
      <c r="AE150" s="5">
        <v>0</v>
      </c>
      <c r="AF150" s="5">
        <v>1</v>
      </c>
    </row>
    <row r="151" spans="1:32" x14ac:dyDescent="0.2">
      <c r="A151" s="3" t="str">
        <f>+VLOOKUP(B151,studies!$A$2:$C$102,3)</f>
        <v>Kopp et al. (2012)</v>
      </c>
      <c r="B151" s="87">
        <v>78</v>
      </c>
      <c r="C151" s="5">
        <v>2012</v>
      </c>
      <c r="D151" s="5">
        <v>1</v>
      </c>
      <c r="E151" s="5">
        <v>2005</v>
      </c>
      <c r="F151" s="5">
        <v>2015</v>
      </c>
      <c r="G151" s="113">
        <v>6.9444444444444441E-3</v>
      </c>
      <c r="H151" s="7">
        <v>1921.4037253228646</v>
      </c>
      <c r="I151" s="5">
        <v>0</v>
      </c>
      <c r="J151" s="5">
        <v>0</v>
      </c>
      <c r="K151" s="5">
        <v>1</v>
      </c>
      <c r="L151" s="7" t="s">
        <v>238</v>
      </c>
      <c r="M151" s="7">
        <v>605.03385802178855</v>
      </c>
      <c r="N151" s="7">
        <v>2596.2845299922319</v>
      </c>
      <c r="O151" s="5">
        <v>0</v>
      </c>
      <c r="P151" s="5">
        <v>1</v>
      </c>
      <c r="Q151" s="5">
        <v>0</v>
      </c>
      <c r="R151" s="5">
        <v>1</v>
      </c>
      <c r="S151" s="5">
        <v>0</v>
      </c>
      <c r="T151" s="5">
        <v>1</v>
      </c>
      <c r="U151" s="5">
        <v>0</v>
      </c>
      <c r="V151" s="13">
        <v>3</v>
      </c>
      <c r="W151" s="13">
        <v>-1.1000000000000001</v>
      </c>
      <c r="X151" s="5"/>
      <c r="Y151" s="5"/>
      <c r="Z151" s="5"/>
      <c r="AA151" s="5">
        <v>0</v>
      </c>
      <c r="AB151" s="5"/>
      <c r="AC151" s="5">
        <v>0</v>
      </c>
      <c r="AD151" s="5">
        <v>0</v>
      </c>
      <c r="AE151" s="5">
        <v>0</v>
      </c>
      <c r="AF151" s="5">
        <v>1</v>
      </c>
    </row>
    <row r="152" spans="1:32" x14ac:dyDescent="0.2">
      <c r="A152" s="3" t="str">
        <f>+VLOOKUP(B152,studies!$A$2:$C$102,3)</f>
        <v>Kopp et al. (2012)</v>
      </c>
      <c r="B152" s="87">
        <v>78</v>
      </c>
      <c r="C152" s="5">
        <v>2012</v>
      </c>
      <c r="D152" s="5">
        <v>1</v>
      </c>
      <c r="E152" s="5">
        <v>2005</v>
      </c>
      <c r="F152" s="5">
        <v>2015</v>
      </c>
      <c r="G152" s="113">
        <v>6.9444444444444441E-3</v>
      </c>
      <c r="H152" s="7">
        <v>4143.0267827274265</v>
      </c>
      <c r="I152" s="5">
        <v>0</v>
      </c>
      <c r="J152" s="5">
        <v>0</v>
      </c>
      <c r="K152" s="5">
        <v>1</v>
      </c>
      <c r="L152" s="7" t="s">
        <v>238</v>
      </c>
      <c r="M152" s="7">
        <v>1370.8995010873437</v>
      </c>
      <c r="N152" s="7">
        <v>6708.9830332542633</v>
      </c>
      <c r="O152" s="5">
        <v>0</v>
      </c>
      <c r="P152" s="5">
        <v>1</v>
      </c>
      <c r="Q152" s="5">
        <v>0</v>
      </c>
      <c r="R152" s="5">
        <v>1</v>
      </c>
      <c r="S152" s="5">
        <v>0</v>
      </c>
      <c r="T152" s="5">
        <v>1</v>
      </c>
      <c r="U152" s="5">
        <v>0</v>
      </c>
      <c r="V152" s="13">
        <v>3</v>
      </c>
      <c r="W152" s="13">
        <v>-1.1000000000000001</v>
      </c>
      <c r="X152" s="5"/>
      <c r="Y152" s="5"/>
      <c r="Z152" s="5"/>
      <c r="AA152" s="5">
        <v>0</v>
      </c>
      <c r="AB152" s="5"/>
      <c r="AC152" s="5">
        <v>0</v>
      </c>
      <c r="AD152" s="5">
        <v>0</v>
      </c>
      <c r="AE152" s="5">
        <v>0</v>
      </c>
      <c r="AF152" s="5">
        <v>1</v>
      </c>
    </row>
    <row r="153" spans="1:32" x14ac:dyDescent="0.2">
      <c r="A153" s="3" t="str">
        <f>+VLOOKUP(B153,studies!$A$2:$C$102,3)</f>
        <v>Kopp et al. (2012)</v>
      </c>
      <c r="B153" s="87">
        <v>78</v>
      </c>
      <c r="C153" s="5">
        <v>2012</v>
      </c>
      <c r="D153" s="5">
        <v>1</v>
      </c>
      <c r="E153" s="5">
        <v>2005</v>
      </c>
      <c r="F153" s="5">
        <v>2015</v>
      </c>
      <c r="G153" s="113">
        <v>6.9444444444444441E-3</v>
      </c>
      <c r="H153" s="7">
        <v>540.39479774705569</v>
      </c>
      <c r="I153" s="5">
        <v>0</v>
      </c>
      <c r="J153" s="5">
        <v>0</v>
      </c>
      <c r="K153" s="5">
        <v>1</v>
      </c>
      <c r="L153" s="7" t="s">
        <v>238</v>
      </c>
      <c r="M153" s="7">
        <v>145.51447218245548</v>
      </c>
      <c r="N153" s="7">
        <v>467.17804226998857</v>
      </c>
      <c r="O153" s="5">
        <v>0</v>
      </c>
      <c r="P153" s="5">
        <v>1</v>
      </c>
      <c r="Q153" s="5">
        <v>0</v>
      </c>
      <c r="R153" s="5">
        <v>1</v>
      </c>
      <c r="S153" s="5">
        <v>0</v>
      </c>
      <c r="T153" s="5">
        <v>1</v>
      </c>
      <c r="U153" s="5">
        <v>0</v>
      </c>
      <c r="V153" s="13">
        <v>3</v>
      </c>
      <c r="W153" s="13">
        <v>-1.1000000000000001</v>
      </c>
      <c r="X153" s="5"/>
      <c r="Y153" s="5"/>
      <c r="Z153" s="5"/>
      <c r="AA153" s="5">
        <v>0</v>
      </c>
      <c r="AB153" s="5"/>
      <c r="AC153" s="5">
        <v>0</v>
      </c>
      <c r="AD153" s="5">
        <v>0</v>
      </c>
      <c r="AE153" s="5">
        <v>0</v>
      </c>
      <c r="AF153" s="5">
        <v>1</v>
      </c>
    </row>
    <row r="154" spans="1:32" x14ac:dyDescent="0.2">
      <c r="A154" s="3" t="str">
        <f>+VLOOKUP(B154,studies!$A$2:$C$102,3)</f>
        <v>Kopp et al. (2012)</v>
      </c>
      <c r="B154" s="87">
        <v>78</v>
      </c>
      <c r="C154" s="5">
        <v>2012</v>
      </c>
      <c r="D154" s="5">
        <v>1</v>
      </c>
      <c r="E154" s="5">
        <v>2005</v>
      </c>
      <c r="F154" s="5">
        <v>2015</v>
      </c>
      <c r="G154" s="113">
        <v>6.9444444444444441E-3</v>
      </c>
      <c r="H154" s="7">
        <v>900.65799624509282</v>
      </c>
      <c r="I154" s="5">
        <v>0</v>
      </c>
      <c r="J154" s="5">
        <v>0</v>
      </c>
      <c r="K154" s="5">
        <v>1</v>
      </c>
      <c r="L154" s="7" t="s">
        <v>238</v>
      </c>
      <c r="M154" s="7">
        <v>275.71163150359985</v>
      </c>
      <c r="N154" s="7">
        <v>1018.6013052771883</v>
      </c>
      <c r="O154" s="5">
        <v>0</v>
      </c>
      <c r="P154" s="5">
        <v>1</v>
      </c>
      <c r="Q154" s="5">
        <v>0</v>
      </c>
      <c r="R154" s="5">
        <v>1</v>
      </c>
      <c r="S154" s="5">
        <v>0</v>
      </c>
      <c r="T154" s="5">
        <v>1</v>
      </c>
      <c r="U154" s="5">
        <v>0</v>
      </c>
      <c r="V154" s="13">
        <v>3</v>
      </c>
      <c r="W154" s="13">
        <v>-1.1000000000000001</v>
      </c>
      <c r="X154" s="5"/>
      <c r="Y154" s="5"/>
      <c r="Z154" s="5"/>
      <c r="AA154" s="5">
        <v>0</v>
      </c>
      <c r="AB154" s="5"/>
      <c r="AC154" s="5">
        <v>0</v>
      </c>
      <c r="AD154" s="5">
        <v>0</v>
      </c>
      <c r="AE154" s="5">
        <v>0</v>
      </c>
      <c r="AF154" s="5">
        <v>1</v>
      </c>
    </row>
    <row r="155" spans="1:32" x14ac:dyDescent="0.2">
      <c r="A155" s="3" t="str">
        <f>+VLOOKUP(B155,studies!$A$2:$C$102,3)</f>
        <v>Kopp et al. (2012)</v>
      </c>
      <c r="B155" s="87">
        <v>78</v>
      </c>
      <c r="C155" s="5">
        <v>2012</v>
      </c>
      <c r="D155" s="5">
        <v>1</v>
      </c>
      <c r="E155" s="5">
        <v>2005</v>
      </c>
      <c r="F155" s="5">
        <v>2015</v>
      </c>
      <c r="G155" s="113">
        <v>6.9444444444444441E-3</v>
      </c>
      <c r="H155" s="7">
        <v>855.62509643283818</v>
      </c>
      <c r="I155" s="5">
        <v>0</v>
      </c>
      <c r="J155" s="5">
        <v>0</v>
      </c>
      <c r="K155" s="5">
        <v>1</v>
      </c>
      <c r="L155" s="7" t="s">
        <v>238</v>
      </c>
      <c r="M155" s="7">
        <v>252.73566221163318</v>
      </c>
      <c r="N155" s="7">
        <v>964.99071026259946</v>
      </c>
      <c r="O155" s="5">
        <v>0</v>
      </c>
      <c r="P155" s="5">
        <v>1</v>
      </c>
      <c r="Q155" s="5">
        <v>0</v>
      </c>
      <c r="R155" s="5">
        <v>1</v>
      </c>
      <c r="S155" s="5">
        <v>0</v>
      </c>
      <c r="T155" s="5">
        <v>1</v>
      </c>
      <c r="U155" s="5">
        <v>0</v>
      </c>
      <c r="V155" s="13">
        <v>3</v>
      </c>
      <c r="W155" s="13">
        <v>-1.1000000000000001</v>
      </c>
      <c r="X155" s="5"/>
      <c r="Y155" s="5"/>
      <c r="Z155" s="5"/>
      <c r="AA155" s="5">
        <v>0</v>
      </c>
      <c r="AB155" s="5"/>
      <c r="AC155" s="5">
        <v>0</v>
      </c>
      <c r="AD155" s="5">
        <v>0</v>
      </c>
      <c r="AE155" s="5">
        <v>0</v>
      </c>
      <c r="AF155" s="5">
        <v>1</v>
      </c>
    </row>
    <row r="156" spans="1:32" x14ac:dyDescent="0.2">
      <c r="A156" s="3" t="str">
        <f>+VLOOKUP(B156,studies!$A$2:$C$102,3)</f>
        <v>Kopp et al. (2012)</v>
      </c>
      <c r="B156" s="87">
        <v>78</v>
      </c>
      <c r="C156" s="5">
        <v>2012</v>
      </c>
      <c r="D156" s="5">
        <v>1</v>
      </c>
      <c r="E156" s="5">
        <v>2005</v>
      </c>
      <c r="F156" s="5">
        <v>2015</v>
      </c>
      <c r="G156" s="113">
        <v>6.9444444444444441E-3</v>
      </c>
      <c r="H156" s="7">
        <v>1411.0308607839788</v>
      </c>
      <c r="I156" s="5">
        <v>0</v>
      </c>
      <c r="J156" s="5">
        <v>0</v>
      </c>
      <c r="K156" s="5">
        <v>1</v>
      </c>
      <c r="L156" s="7" t="s">
        <v>238</v>
      </c>
      <c r="M156" s="7">
        <v>543.76460657654411</v>
      </c>
      <c r="N156" s="7">
        <v>14015.341268099659</v>
      </c>
      <c r="O156" s="5">
        <v>0</v>
      </c>
      <c r="P156" s="5">
        <v>1</v>
      </c>
      <c r="Q156" s="5">
        <v>0</v>
      </c>
      <c r="R156" s="5">
        <v>1</v>
      </c>
      <c r="S156" s="5">
        <v>0</v>
      </c>
      <c r="T156" s="5">
        <v>1</v>
      </c>
      <c r="U156" s="5">
        <v>0</v>
      </c>
      <c r="V156" s="13">
        <v>3</v>
      </c>
      <c r="W156" s="13">
        <v>-1.1000000000000001</v>
      </c>
      <c r="X156" s="5"/>
      <c r="Y156" s="5"/>
      <c r="Z156" s="5"/>
      <c r="AA156" s="5">
        <v>0</v>
      </c>
      <c r="AB156" s="5"/>
      <c r="AC156" s="5">
        <v>0</v>
      </c>
      <c r="AD156" s="5">
        <v>0</v>
      </c>
      <c r="AE156" s="5">
        <v>0</v>
      </c>
      <c r="AF156" s="5">
        <v>1</v>
      </c>
    </row>
    <row r="157" spans="1:32" x14ac:dyDescent="0.2">
      <c r="A157" s="3" t="str">
        <f>+VLOOKUP(B157,studies!$A$2:$C$102,3)</f>
        <v>Kopp et al. (2012)</v>
      </c>
      <c r="B157" s="87">
        <v>78</v>
      </c>
      <c r="C157" s="5">
        <v>2012</v>
      </c>
      <c r="D157" s="5">
        <v>1</v>
      </c>
      <c r="E157" s="5">
        <v>2005</v>
      </c>
      <c r="F157" s="5">
        <v>2015</v>
      </c>
      <c r="G157" s="113">
        <v>6.9444444444444441E-3</v>
      </c>
      <c r="H157" s="7">
        <v>390.28513170620693</v>
      </c>
      <c r="I157" s="5">
        <v>0</v>
      </c>
      <c r="J157" s="5">
        <v>0</v>
      </c>
      <c r="K157" s="5">
        <v>1</v>
      </c>
      <c r="L157" s="7" t="s">
        <v>238</v>
      </c>
      <c r="M157" s="7">
        <v>137.85581575179995</v>
      </c>
      <c r="N157" s="7">
        <v>1929.9814205251989</v>
      </c>
      <c r="O157" s="5">
        <v>0</v>
      </c>
      <c r="P157" s="5">
        <v>1</v>
      </c>
      <c r="Q157" s="5">
        <v>0</v>
      </c>
      <c r="R157" s="5">
        <v>1</v>
      </c>
      <c r="S157" s="5">
        <v>0</v>
      </c>
      <c r="T157" s="5">
        <v>1</v>
      </c>
      <c r="U157" s="5">
        <v>0</v>
      </c>
      <c r="V157" s="13">
        <v>3</v>
      </c>
      <c r="W157" s="13">
        <v>-1.1000000000000001</v>
      </c>
      <c r="X157" s="5"/>
      <c r="Y157" s="5"/>
      <c r="Z157" s="5"/>
      <c r="AA157" s="5">
        <v>0</v>
      </c>
      <c r="AB157" s="5"/>
      <c r="AC157" s="5">
        <v>0</v>
      </c>
      <c r="AD157" s="5">
        <v>0</v>
      </c>
      <c r="AE157" s="5">
        <v>0</v>
      </c>
      <c r="AF157" s="5">
        <v>1</v>
      </c>
    </row>
    <row r="158" spans="1:32" x14ac:dyDescent="0.2">
      <c r="A158" s="3" t="str">
        <f>+VLOOKUP(B158,studies!$A$2:$C$102,3)</f>
        <v>Kopp et al. (2012)</v>
      </c>
      <c r="B158" s="87">
        <v>78</v>
      </c>
      <c r="C158" s="5">
        <v>2012</v>
      </c>
      <c r="D158" s="5">
        <v>1</v>
      </c>
      <c r="E158" s="5">
        <v>2005</v>
      </c>
      <c r="F158" s="5">
        <v>2015</v>
      </c>
      <c r="G158" s="113">
        <v>6.9444444444444441E-3</v>
      </c>
      <c r="H158" s="7">
        <v>240.17546566535808</v>
      </c>
      <c r="I158" s="5">
        <v>0</v>
      </c>
      <c r="J158" s="5">
        <v>0</v>
      </c>
      <c r="K158" s="5">
        <v>1</v>
      </c>
      <c r="L158" s="7" t="s">
        <v>238</v>
      </c>
      <c r="M158" s="7">
        <v>76.586564306555516</v>
      </c>
      <c r="N158" s="7">
        <v>1807.4429176347101</v>
      </c>
      <c r="O158" s="5">
        <v>0</v>
      </c>
      <c r="P158" s="5">
        <v>1</v>
      </c>
      <c r="Q158" s="5">
        <v>0</v>
      </c>
      <c r="R158" s="5">
        <v>1</v>
      </c>
      <c r="S158" s="5">
        <v>0</v>
      </c>
      <c r="T158" s="5">
        <v>1</v>
      </c>
      <c r="U158" s="5">
        <v>0</v>
      </c>
      <c r="V158" s="13">
        <v>3</v>
      </c>
      <c r="W158" s="13">
        <v>-1.1000000000000001</v>
      </c>
      <c r="X158" s="5"/>
      <c r="Y158" s="5"/>
      <c r="Z158" s="5"/>
      <c r="AA158" s="5">
        <v>0</v>
      </c>
      <c r="AB158" s="5"/>
      <c r="AC158" s="5">
        <v>0</v>
      </c>
      <c r="AD158" s="5">
        <v>0</v>
      </c>
      <c r="AE158" s="5">
        <v>0</v>
      </c>
      <c r="AF158" s="5">
        <v>1</v>
      </c>
    </row>
    <row r="159" spans="1:32" x14ac:dyDescent="0.2">
      <c r="A159" s="3" t="str">
        <f>+VLOOKUP(B159,studies!$A$2:$C$102,3)</f>
        <v>Kopp et al. (2012)</v>
      </c>
      <c r="B159" s="87">
        <v>78</v>
      </c>
      <c r="C159" s="5">
        <v>2012</v>
      </c>
      <c r="D159" s="5">
        <v>1</v>
      </c>
      <c r="E159" s="5">
        <v>2005</v>
      </c>
      <c r="F159" s="5">
        <v>2015</v>
      </c>
      <c r="G159" s="113">
        <v>6.9444444444444441E-3</v>
      </c>
      <c r="H159" s="7">
        <v>630.46059737156497</v>
      </c>
      <c r="I159" s="5">
        <v>0</v>
      </c>
      <c r="J159" s="5">
        <v>0</v>
      </c>
      <c r="K159" s="5">
        <v>1</v>
      </c>
      <c r="L159" s="7" t="s">
        <v>238</v>
      </c>
      <c r="M159" s="7">
        <v>222.10103648901099</v>
      </c>
      <c r="N159" s="7">
        <v>6670.6897511009847</v>
      </c>
      <c r="O159" s="5">
        <v>0</v>
      </c>
      <c r="P159" s="5">
        <v>1</v>
      </c>
      <c r="Q159" s="5">
        <v>0</v>
      </c>
      <c r="R159" s="5">
        <v>1</v>
      </c>
      <c r="S159" s="5">
        <v>0</v>
      </c>
      <c r="T159" s="5">
        <v>1</v>
      </c>
      <c r="U159" s="5">
        <v>0</v>
      </c>
      <c r="V159" s="13">
        <v>3</v>
      </c>
      <c r="W159" s="13">
        <v>-1.1000000000000001</v>
      </c>
      <c r="X159" s="5"/>
      <c r="Y159" s="5"/>
      <c r="Z159" s="5"/>
      <c r="AA159" s="5">
        <v>0</v>
      </c>
      <c r="AB159" s="5"/>
      <c r="AC159" s="5">
        <v>0</v>
      </c>
      <c r="AD159" s="5">
        <v>0</v>
      </c>
      <c r="AE159" s="5">
        <v>0</v>
      </c>
      <c r="AF159" s="5">
        <v>1</v>
      </c>
    </row>
    <row r="160" spans="1:32" x14ac:dyDescent="0.2">
      <c r="A160" s="3" t="str">
        <f>+VLOOKUP(B160,studies!$A$2:$C$102,3)</f>
        <v>Kopp et al. (2012)</v>
      </c>
      <c r="B160" s="87">
        <v>78</v>
      </c>
      <c r="C160" s="5">
        <v>2012</v>
      </c>
      <c r="D160" s="5">
        <v>1</v>
      </c>
      <c r="E160" s="5">
        <v>2005</v>
      </c>
      <c r="F160" s="5">
        <v>2015</v>
      </c>
      <c r="G160" s="113">
        <v>6.9444444444444441E-3</v>
      </c>
      <c r="H160" s="7">
        <v>630.46059737156497</v>
      </c>
      <c r="I160" s="5">
        <v>0</v>
      </c>
      <c r="J160" s="5">
        <v>0</v>
      </c>
      <c r="K160" s="5">
        <v>1</v>
      </c>
      <c r="L160" s="7" t="s">
        <v>238</v>
      </c>
      <c r="M160" s="7">
        <v>222.10103648901099</v>
      </c>
      <c r="N160" s="7">
        <v>6670.6897511009847</v>
      </c>
      <c r="O160" s="5">
        <v>0</v>
      </c>
      <c r="P160" s="5">
        <v>1</v>
      </c>
      <c r="Q160" s="5">
        <v>0</v>
      </c>
      <c r="R160" s="5">
        <v>1</v>
      </c>
      <c r="S160" s="5">
        <v>0</v>
      </c>
      <c r="T160" s="5">
        <v>1</v>
      </c>
      <c r="U160" s="5">
        <v>0</v>
      </c>
      <c r="V160" s="13">
        <v>3</v>
      </c>
      <c r="W160" s="13">
        <v>-1.1000000000000001</v>
      </c>
      <c r="X160" s="5"/>
      <c r="Y160" s="5"/>
      <c r="Z160" s="5"/>
      <c r="AA160" s="5">
        <v>0</v>
      </c>
      <c r="AB160" s="5"/>
      <c r="AC160" s="5">
        <v>0</v>
      </c>
      <c r="AD160" s="5">
        <v>0</v>
      </c>
      <c r="AE160" s="5">
        <v>0</v>
      </c>
      <c r="AF160" s="5">
        <v>1</v>
      </c>
    </row>
    <row r="161" spans="1:32" x14ac:dyDescent="0.2">
      <c r="A161" s="3" t="str">
        <f>+VLOOKUP(B161,studies!$A$2:$C$102,3)</f>
        <v>Kopp et al. (2012)</v>
      </c>
      <c r="B161" s="87">
        <v>78</v>
      </c>
      <c r="C161" s="5">
        <v>2012</v>
      </c>
      <c r="D161" s="5">
        <v>1</v>
      </c>
      <c r="E161" s="5">
        <v>2005</v>
      </c>
      <c r="F161" s="5">
        <v>2015</v>
      </c>
      <c r="G161" s="113">
        <v>6.9444444444444441E-3</v>
      </c>
      <c r="H161" s="7">
        <v>195.14256585310346</v>
      </c>
      <c r="I161" s="5">
        <v>0</v>
      </c>
      <c r="J161" s="5">
        <v>0</v>
      </c>
      <c r="K161" s="5">
        <v>1</v>
      </c>
      <c r="L161" s="7" t="s">
        <v>238</v>
      </c>
      <c r="M161" s="7">
        <v>91.903877167866611</v>
      </c>
      <c r="N161" s="7">
        <v>13471.576661523113</v>
      </c>
      <c r="O161" s="5">
        <v>0</v>
      </c>
      <c r="P161" s="5">
        <v>1</v>
      </c>
      <c r="Q161" s="5">
        <v>0</v>
      </c>
      <c r="R161" s="5">
        <v>1</v>
      </c>
      <c r="S161" s="5">
        <v>0</v>
      </c>
      <c r="T161" s="5">
        <v>1</v>
      </c>
      <c r="U161" s="5">
        <v>0</v>
      </c>
      <c r="V161" s="13">
        <v>3</v>
      </c>
      <c r="W161" s="13">
        <v>-1.1000000000000001</v>
      </c>
      <c r="X161" s="5"/>
      <c r="Y161" s="5"/>
      <c r="Z161" s="5"/>
      <c r="AA161" s="5">
        <v>0</v>
      </c>
      <c r="AB161" s="5"/>
      <c r="AC161" s="5">
        <v>0</v>
      </c>
      <c r="AD161" s="5">
        <v>0</v>
      </c>
      <c r="AE161" s="5">
        <v>0</v>
      </c>
      <c r="AF161" s="5">
        <v>1</v>
      </c>
    </row>
    <row r="162" spans="1:32" x14ac:dyDescent="0.2">
      <c r="A162" s="3" t="str">
        <f>+VLOOKUP(B162,studies!$A$2:$C$102,3)</f>
        <v>Kopp et al. (2012)</v>
      </c>
      <c r="B162" s="87">
        <v>78</v>
      </c>
      <c r="C162" s="5">
        <v>2012</v>
      </c>
      <c r="D162" s="5">
        <v>1</v>
      </c>
      <c r="E162" s="5">
        <v>2005</v>
      </c>
      <c r="F162" s="5">
        <v>2015</v>
      </c>
      <c r="G162" s="113">
        <v>6.9444444444444441E-3</v>
      </c>
      <c r="H162" s="7">
        <v>135.09869943676392</v>
      </c>
      <c r="I162" s="5">
        <v>0</v>
      </c>
      <c r="J162" s="5">
        <v>0</v>
      </c>
      <c r="K162" s="5">
        <v>1</v>
      </c>
      <c r="L162" s="7" t="s">
        <v>238</v>
      </c>
      <c r="M162" s="7">
        <v>61.269251445244407</v>
      </c>
      <c r="N162" s="7">
        <v>6747.276315407541</v>
      </c>
      <c r="O162" s="5">
        <v>0</v>
      </c>
      <c r="P162" s="5">
        <v>1</v>
      </c>
      <c r="Q162" s="5">
        <v>0</v>
      </c>
      <c r="R162" s="5">
        <v>1</v>
      </c>
      <c r="S162" s="5">
        <v>0</v>
      </c>
      <c r="T162" s="5">
        <v>1</v>
      </c>
      <c r="U162" s="5">
        <v>0</v>
      </c>
      <c r="V162" s="13">
        <v>3</v>
      </c>
      <c r="W162" s="13">
        <v>-1.1000000000000001</v>
      </c>
      <c r="X162" s="5"/>
      <c r="Y162" s="5"/>
      <c r="Z162" s="5"/>
      <c r="AA162" s="5">
        <v>0</v>
      </c>
      <c r="AB162" s="5"/>
      <c r="AC162" s="5">
        <v>0</v>
      </c>
      <c r="AD162" s="5">
        <v>0</v>
      </c>
      <c r="AE162" s="5">
        <v>0</v>
      </c>
      <c r="AF162" s="5">
        <v>1</v>
      </c>
    </row>
    <row r="163" spans="1:32" x14ac:dyDescent="0.2">
      <c r="A163" s="3" t="str">
        <f>+VLOOKUP(B163,studies!$A$2:$C$102,3)</f>
        <v>Kopp et al. (2012)</v>
      </c>
      <c r="B163" s="87">
        <v>78</v>
      </c>
      <c r="C163" s="5">
        <v>2012</v>
      </c>
      <c r="D163" s="5">
        <v>1</v>
      </c>
      <c r="E163" s="5">
        <v>2005</v>
      </c>
      <c r="F163" s="5">
        <v>2015</v>
      </c>
      <c r="G163" s="113">
        <v>6.9444444444444441E-3</v>
      </c>
      <c r="H163" s="7">
        <v>180.13159924901856</v>
      </c>
      <c r="I163" s="5">
        <v>0</v>
      </c>
      <c r="J163" s="5">
        <v>0</v>
      </c>
      <c r="K163" s="5">
        <v>1</v>
      </c>
      <c r="L163" s="7" t="s">
        <v>238</v>
      </c>
      <c r="M163" s="7">
        <v>84.245220737211056</v>
      </c>
      <c r="N163" s="7">
        <v>10247.282304217128</v>
      </c>
      <c r="O163" s="5">
        <v>0</v>
      </c>
      <c r="P163" s="5">
        <v>1</v>
      </c>
      <c r="Q163" s="5">
        <v>0</v>
      </c>
      <c r="R163" s="5">
        <v>1</v>
      </c>
      <c r="S163" s="5">
        <v>0</v>
      </c>
      <c r="T163" s="5">
        <v>1</v>
      </c>
      <c r="U163" s="5">
        <v>0</v>
      </c>
      <c r="V163" s="13">
        <v>3</v>
      </c>
      <c r="W163" s="13">
        <v>-1.1000000000000001</v>
      </c>
      <c r="X163" s="5"/>
      <c r="Y163" s="5"/>
      <c r="Z163" s="5"/>
      <c r="AA163" s="5">
        <v>0</v>
      </c>
      <c r="AB163" s="5"/>
      <c r="AC163" s="5">
        <v>0</v>
      </c>
      <c r="AD163" s="5">
        <v>0</v>
      </c>
      <c r="AE163" s="5">
        <v>0</v>
      </c>
      <c r="AF163" s="5">
        <v>1</v>
      </c>
    </row>
    <row r="164" spans="1:32" x14ac:dyDescent="0.2">
      <c r="A164" s="3" t="str">
        <f>+VLOOKUP(B164,studies!$A$2:$C$102,3)</f>
        <v>Kopp et al. (2012)</v>
      </c>
      <c r="B164" s="87">
        <v>78</v>
      </c>
      <c r="C164" s="5">
        <v>2012</v>
      </c>
      <c r="D164" s="5">
        <v>1</v>
      </c>
      <c r="E164" s="5">
        <v>2005</v>
      </c>
      <c r="F164" s="5">
        <v>2015</v>
      </c>
      <c r="G164" s="113">
        <v>6.9444444444444441E-3</v>
      </c>
      <c r="H164" s="7">
        <v>225.1644990612732</v>
      </c>
      <c r="I164" s="5">
        <v>0</v>
      </c>
      <c r="J164" s="5">
        <v>0</v>
      </c>
      <c r="K164" s="5">
        <v>1</v>
      </c>
      <c r="L164" s="7" t="s">
        <v>238</v>
      </c>
      <c r="M164" s="7">
        <v>99.562533598522165</v>
      </c>
      <c r="N164" s="7">
        <v>12904.836085654602</v>
      </c>
      <c r="O164" s="5">
        <v>0</v>
      </c>
      <c r="P164" s="5">
        <v>1</v>
      </c>
      <c r="Q164" s="5">
        <v>0</v>
      </c>
      <c r="R164" s="5">
        <v>1</v>
      </c>
      <c r="S164" s="5">
        <v>0</v>
      </c>
      <c r="T164" s="5">
        <v>1</v>
      </c>
      <c r="U164" s="5">
        <v>0</v>
      </c>
      <c r="V164" s="13">
        <v>3</v>
      </c>
      <c r="W164" s="13">
        <v>-1.1000000000000001</v>
      </c>
      <c r="X164" s="5"/>
      <c r="Y164" s="5"/>
      <c r="Z164" s="5"/>
      <c r="AA164" s="5">
        <v>0</v>
      </c>
      <c r="AB164" s="5"/>
      <c r="AC164" s="5">
        <v>0</v>
      </c>
      <c r="AD164" s="5">
        <v>0</v>
      </c>
      <c r="AE164" s="5">
        <v>0</v>
      </c>
      <c r="AF164" s="5">
        <v>1</v>
      </c>
    </row>
    <row r="165" spans="1:32" x14ac:dyDescent="0.2">
      <c r="A165" s="3" t="str">
        <f>+VLOOKUP(B165,studies!$A$2:$C$102,3)</f>
        <v>Kopp et al. (2012)</v>
      </c>
      <c r="B165" s="87">
        <v>78</v>
      </c>
      <c r="C165" s="5">
        <v>2012</v>
      </c>
      <c r="D165" s="5">
        <v>1</v>
      </c>
      <c r="E165" s="5">
        <v>2005</v>
      </c>
      <c r="F165" s="5">
        <v>2015</v>
      </c>
      <c r="G165" s="113">
        <v>6.9444444444444441E-3</v>
      </c>
      <c r="H165" s="7">
        <v>450.32899812254641</v>
      </c>
      <c r="I165" s="5">
        <v>0</v>
      </c>
      <c r="J165" s="5">
        <v>0</v>
      </c>
      <c r="K165" s="5">
        <v>1</v>
      </c>
      <c r="L165" s="7" t="s">
        <v>238</v>
      </c>
      <c r="M165" s="7">
        <v>122.5385028904888</v>
      </c>
      <c r="N165" s="7">
        <v>298.68760079556648</v>
      </c>
      <c r="O165" s="5">
        <v>0</v>
      </c>
      <c r="P165" s="5">
        <v>1</v>
      </c>
      <c r="Q165" s="5">
        <v>0</v>
      </c>
      <c r="R165" s="5">
        <v>1</v>
      </c>
      <c r="S165" s="5">
        <v>0</v>
      </c>
      <c r="T165" s="5">
        <v>1</v>
      </c>
      <c r="U165" s="5">
        <v>0</v>
      </c>
      <c r="V165" s="13">
        <v>3</v>
      </c>
      <c r="W165" s="13">
        <v>3</v>
      </c>
      <c r="X165" s="5"/>
      <c r="Y165" s="5"/>
      <c r="Z165" s="5"/>
      <c r="AA165" s="5">
        <v>0</v>
      </c>
      <c r="AB165" s="5"/>
      <c r="AC165" s="5">
        <v>0</v>
      </c>
      <c r="AD165" s="5">
        <v>0</v>
      </c>
      <c r="AE165" s="5">
        <v>0</v>
      </c>
      <c r="AF165" s="5">
        <v>1</v>
      </c>
    </row>
    <row r="166" spans="1:32" x14ac:dyDescent="0.2">
      <c r="A166" s="3" t="str">
        <f>+VLOOKUP(B166,studies!$A$2:$C$102,3)</f>
        <v>Kopp et al. (2012)</v>
      </c>
      <c r="B166" s="87">
        <v>78</v>
      </c>
      <c r="C166" s="5">
        <v>2012</v>
      </c>
      <c r="D166" s="5">
        <v>1</v>
      </c>
      <c r="E166" s="5">
        <v>2005</v>
      </c>
      <c r="F166" s="5">
        <v>2015</v>
      </c>
      <c r="G166" s="113">
        <v>6.9444444444444441E-3</v>
      </c>
      <c r="H166" s="7">
        <v>465.33996472663125</v>
      </c>
      <c r="I166" s="5">
        <v>0</v>
      </c>
      <c r="J166" s="5">
        <v>0</v>
      </c>
      <c r="K166" s="5">
        <v>1</v>
      </c>
      <c r="L166" s="7" t="s">
        <v>238</v>
      </c>
      <c r="M166" s="7">
        <v>130.19715932114437</v>
      </c>
      <c r="N166" s="7">
        <v>306.34625722622206</v>
      </c>
      <c r="O166" s="5">
        <v>0</v>
      </c>
      <c r="P166" s="5">
        <v>1</v>
      </c>
      <c r="Q166" s="5">
        <v>0</v>
      </c>
      <c r="R166" s="5">
        <v>1</v>
      </c>
      <c r="S166" s="5">
        <v>0</v>
      </c>
      <c r="T166" s="5">
        <v>1</v>
      </c>
      <c r="U166" s="5">
        <v>0</v>
      </c>
      <c r="V166" s="13">
        <v>3</v>
      </c>
      <c r="W166" s="13">
        <v>3</v>
      </c>
      <c r="X166" s="5"/>
      <c r="Y166" s="5"/>
      <c r="Z166" s="5"/>
      <c r="AA166" s="5">
        <v>0</v>
      </c>
      <c r="AB166" s="5"/>
      <c r="AC166" s="5">
        <v>0</v>
      </c>
      <c r="AD166" s="5">
        <v>0</v>
      </c>
      <c r="AE166" s="5">
        <v>0</v>
      </c>
      <c r="AF166" s="5">
        <v>1</v>
      </c>
    </row>
    <row r="167" spans="1:32" x14ac:dyDescent="0.2">
      <c r="A167" s="3" t="str">
        <f>+VLOOKUP(B167,studies!$A$2:$C$102,3)</f>
        <v>Kopp et al. (2012)</v>
      </c>
      <c r="B167" s="87">
        <v>78</v>
      </c>
      <c r="C167" s="5">
        <v>2012</v>
      </c>
      <c r="D167" s="5">
        <v>1</v>
      </c>
      <c r="E167" s="5">
        <v>2005</v>
      </c>
      <c r="F167" s="5">
        <v>2015</v>
      </c>
      <c r="G167" s="113">
        <v>6.9444444444444441E-3</v>
      </c>
      <c r="H167" s="7">
        <v>420.30706491437667</v>
      </c>
      <c r="I167" s="5">
        <v>0</v>
      </c>
      <c r="J167" s="5">
        <v>0</v>
      </c>
      <c r="K167" s="5">
        <v>1</v>
      </c>
      <c r="L167" s="7" t="s">
        <v>238</v>
      </c>
      <c r="M167" s="7">
        <v>122.53850289048881</v>
      </c>
      <c r="N167" s="7">
        <v>314.00491365687765</v>
      </c>
      <c r="O167" s="5">
        <v>0</v>
      </c>
      <c r="P167" s="5">
        <v>1</v>
      </c>
      <c r="Q167" s="5">
        <v>0</v>
      </c>
      <c r="R167" s="5">
        <v>1</v>
      </c>
      <c r="S167" s="5">
        <v>0</v>
      </c>
      <c r="T167" s="5">
        <v>1</v>
      </c>
      <c r="U167" s="5">
        <v>0</v>
      </c>
      <c r="V167" s="13">
        <v>3</v>
      </c>
      <c r="W167" s="13">
        <v>3</v>
      </c>
      <c r="X167" s="5"/>
      <c r="Y167" s="5"/>
      <c r="Z167" s="5"/>
      <c r="AA167" s="5">
        <v>0</v>
      </c>
      <c r="AB167" s="5"/>
      <c r="AC167" s="5">
        <v>0</v>
      </c>
      <c r="AD167" s="5">
        <v>0</v>
      </c>
      <c r="AE167" s="5">
        <v>0</v>
      </c>
      <c r="AF167" s="5">
        <v>1</v>
      </c>
    </row>
    <row r="168" spans="1:32" x14ac:dyDescent="0.2">
      <c r="A168" s="3" t="str">
        <f>+VLOOKUP(B168,studies!$A$2:$C$102,3)</f>
        <v>Kopp et al. (2012)</v>
      </c>
      <c r="B168" s="87">
        <v>78</v>
      </c>
      <c r="C168" s="5">
        <v>2012</v>
      </c>
      <c r="D168" s="5">
        <v>1</v>
      </c>
      <c r="E168" s="5">
        <v>2005</v>
      </c>
      <c r="F168" s="5">
        <v>2015</v>
      </c>
      <c r="G168" s="113">
        <v>6.9444444444444441E-3</v>
      </c>
      <c r="H168" s="7">
        <v>690.50446378790446</v>
      </c>
      <c r="I168" s="5">
        <v>0</v>
      </c>
      <c r="J168" s="5">
        <v>0</v>
      </c>
      <c r="K168" s="5">
        <v>1</v>
      </c>
      <c r="L168" s="7" t="s">
        <v>238</v>
      </c>
      <c r="M168" s="7">
        <v>191.46641076638878</v>
      </c>
      <c r="N168" s="7">
        <v>451.86072940867751</v>
      </c>
      <c r="O168" s="5">
        <v>0</v>
      </c>
      <c r="P168" s="5">
        <v>1</v>
      </c>
      <c r="Q168" s="5">
        <v>0</v>
      </c>
      <c r="R168" s="5">
        <v>1</v>
      </c>
      <c r="S168" s="5">
        <v>0</v>
      </c>
      <c r="T168" s="5">
        <v>1</v>
      </c>
      <c r="U168" s="5">
        <v>0</v>
      </c>
      <c r="V168" s="13">
        <v>3</v>
      </c>
      <c r="W168" s="13">
        <v>3</v>
      </c>
      <c r="X168" s="5"/>
      <c r="Y168" s="5"/>
      <c r="Z168" s="5"/>
      <c r="AA168" s="5">
        <v>0</v>
      </c>
      <c r="AB168" s="5"/>
      <c r="AC168" s="5">
        <v>0</v>
      </c>
      <c r="AD168" s="5">
        <v>0</v>
      </c>
      <c r="AE168" s="5">
        <v>0</v>
      </c>
      <c r="AF168" s="5">
        <v>1</v>
      </c>
    </row>
    <row r="169" spans="1:32" x14ac:dyDescent="0.2">
      <c r="A169" s="3" t="str">
        <f>+VLOOKUP(B169,studies!$A$2:$C$102,3)</f>
        <v>Kopp et al. (2012)</v>
      </c>
      <c r="B169" s="87">
        <v>78</v>
      </c>
      <c r="C169" s="5">
        <v>2012</v>
      </c>
      <c r="D169" s="5">
        <v>1</v>
      </c>
      <c r="E169" s="5">
        <v>2005</v>
      </c>
      <c r="F169" s="5">
        <v>2015</v>
      </c>
      <c r="G169" s="113">
        <v>6.9444444444444441E-3</v>
      </c>
      <c r="H169" s="7">
        <v>330.24126528986733</v>
      </c>
      <c r="I169" s="5">
        <v>0</v>
      </c>
      <c r="J169" s="5">
        <v>0</v>
      </c>
      <c r="K169" s="5">
        <v>1</v>
      </c>
      <c r="L169" s="7" t="s">
        <v>238</v>
      </c>
      <c r="M169" s="7">
        <v>84.245220737211056</v>
      </c>
      <c r="N169" s="7">
        <v>168.49044147442211</v>
      </c>
      <c r="O169" s="5">
        <v>0</v>
      </c>
      <c r="P169" s="5">
        <v>1</v>
      </c>
      <c r="Q169" s="5">
        <v>0</v>
      </c>
      <c r="R169" s="5">
        <v>1</v>
      </c>
      <c r="S169" s="5">
        <v>0</v>
      </c>
      <c r="T169" s="5">
        <v>1</v>
      </c>
      <c r="U169" s="5">
        <v>0</v>
      </c>
      <c r="V169" s="13">
        <v>3</v>
      </c>
      <c r="W169" s="13">
        <v>3</v>
      </c>
      <c r="X169" s="5"/>
      <c r="Y169" s="5"/>
      <c r="Z169" s="5"/>
      <c r="AA169" s="5">
        <v>0</v>
      </c>
      <c r="AB169" s="5"/>
      <c r="AC169" s="5">
        <v>0</v>
      </c>
      <c r="AD169" s="5">
        <v>0</v>
      </c>
      <c r="AE169" s="5">
        <v>0</v>
      </c>
      <c r="AF169" s="5">
        <v>1</v>
      </c>
    </row>
    <row r="170" spans="1:32" x14ac:dyDescent="0.2">
      <c r="A170" s="3" t="str">
        <f>+VLOOKUP(B170,studies!$A$2:$C$102,3)</f>
        <v>Kopp et al. (2012)</v>
      </c>
      <c r="B170" s="87">
        <v>78</v>
      </c>
      <c r="C170" s="5">
        <v>2012</v>
      </c>
      <c r="D170" s="5">
        <v>1</v>
      </c>
      <c r="E170" s="5">
        <v>2005</v>
      </c>
      <c r="F170" s="5">
        <v>2015</v>
      </c>
      <c r="G170" s="113">
        <v>6.9444444444444441E-3</v>
      </c>
      <c r="H170" s="7">
        <v>870.63606303692313</v>
      </c>
      <c r="I170" s="5">
        <v>0</v>
      </c>
      <c r="J170" s="5">
        <v>0</v>
      </c>
      <c r="K170" s="5">
        <v>1</v>
      </c>
      <c r="L170" s="7" t="s">
        <v>238</v>
      </c>
      <c r="M170" s="7">
        <v>245.07700578097763</v>
      </c>
      <c r="N170" s="7">
        <v>497.81266799261084</v>
      </c>
      <c r="O170" s="5">
        <v>0</v>
      </c>
      <c r="P170" s="5">
        <v>1</v>
      </c>
      <c r="Q170" s="5">
        <v>0</v>
      </c>
      <c r="R170" s="5">
        <v>1</v>
      </c>
      <c r="S170" s="5">
        <v>0</v>
      </c>
      <c r="T170" s="5">
        <v>1</v>
      </c>
      <c r="U170" s="5">
        <v>0</v>
      </c>
      <c r="V170" s="13">
        <v>3</v>
      </c>
      <c r="W170" s="13">
        <v>3</v>
      </c>
      <c r="X170" s="5"/>
      <c r="Y170" s="5"/>
      <c r="Z170" s="5"/>
      <c r="AA170" s="5">
        <v>0</v>
      </c>
      <c r="AB170" s="5"/>
      <c r="AC170" s="5">
        <v>0</v>
      </c>
      <c r="AD170" s="5">
        <v>0</v>
      </c>
      <c r="AE170" s="5">
        <v>0</v>
      </c>
      <c r="AF170" s="5">
        <v>1</v>
      </c>
    </row>
    <row r="171" spans="1:32" x14ac:dyDescent="0.2">
      <c r="A171" s="3" t="str">
        <f>+VLOOKUP(B171,studies!$A$2:$C$102,3)</f>
        <v>Kopp et al. (2012)</v>
      </c>
      <c r="B171" s="87">
        <v>78</v>
      </c>
      <c r="C171" s="5">
        <v>2012</v>
      </c>
      <c r="D171" s="5">
        <v>1</v>
      </c>
      <c r="E171" s="5">
        <v>2005</v>
      </c>
      <c r="F171" s="5">
        <v>2015</v>
      </c>
      <c r="G171" s="113">
        <v>6.9444444444444441E-3</v>
      </c>
      <c r="H171" s="7">
        <v>360.26319849803713</v>
      </c>
      <c r="I171" s="5">
        <v>0</v>
      </c>
      <c r="J171" s="5">
        <v>0</v>
      </c>
      <c r="K171" s="5">
        <v>1</v>
      </c>
      <c r="L171" s="7" t="s">
        <v>238</v>
      </c>
      <c r="M171" s="7">
        <v>91.903877167866611</v>
      </c>
      <c r="N171" s="7">
        <v>206.78372362769991</v>
      </c>
      <c r="O171" s="5">
        <v>0</v>
      </c>
      <c r="P171" s="5">
        <v>1</v>
      </c>
      <c r="Q171" s="5">
        <v>0</v>
      </c>
      <c r="R171" s="5">
        <v>1</v>
      </c>
      <c r="S171" s="5">
        <v>0</v>
      </c>
      <c r="T171" s="5">
        <v>1</v>
      </c>
      <c r="U171" s="5">
        <v>0</v>
      </c>
      <c r="V171" s="13">
        <v>3</v>
      </c>
      <c r="W171" s="13">
        <v>3</v>
      </c>
      <c r="X171" s="5"/>
      <c r="Y171" s="5"/>
      <c r="Z171" s="5"/>
      <c r="AA171" s="5">
        <v>0</v>
      </c>
      <c r="AB171" s="5"/>
      <c r="AC171" s="5">
        <v>0</v>
      </c>
      <c r="AD171" s="5">
        <v>0</v>
      </c>
      <c r="AE171" s="5">
        <v>0</v>
      </c>
      <c r="AF171" s="5">
        <v>1</v>
      </c>
    </row>
    <row r="172" spans="1:32" x14ac:dyDescent="0.2">
      <c r="A172" s="3" t="str">
        <f>+VLOOKUP(B172,studies!$A$2:$C$102,3)</f>
        <v>Kopp et al. (2012)</v>
      </c>
      <c r="B172" s="87">
        <v>78</v>
      </c>
      <c r="C172" s="5">
        <v>2012</v>
      </c>
      <c r="D172" s="5">
        <v>1</v>
      </c>
      <c r="E172" s="5">
        <v>2005</v>
      </c>
      <c r="F172" s="5">
        <v>2015</v>
      </c>
      <c r="G172" s="113">
        <v>6.9444444444444441E-3</v>
      </c>
      <c r="H172" s="7">
        <v>450.32899812254641</v>
      </c>
      <c r="I172" s="5">
        <v>0</v>
      </c>
      <c r="J172" s="5">
        <v>0</v>
      </c>
      <c r="K172" s="5">
        <v>1</v>
      </c>
      <c r="L172" s="7" t="s">
        <v>238</v>
      </c>
      <c r="M172" s="7">
        <v>122.5385028904888</v>
      </c>
      <c r="N172" s="7">
        <v>306.34625722622206</v>
      </c>
      <c r="O172" s="5">
        <v>0</v>
      </c>
      <c r="P172" s="5">
        <v>1</v>
      </c>
      <c r="Q172" s="5">
        <v>0</v>
      </c>
      <c r="R172" s="5">
        <v>1</v>
      </c>
      <c r="S172" s="5">
        <v>0</v>
      </c>
      <c r="T172" s="5">
        <v>1</v>
      </c>
      <c r="U172" s="5">
        <v>0</v>
      </c>
      <c r="V172" s="13">
        <v>3</v>
      </c>
      <c r="W172" s="13">
        <v>3</v>
      </c>
      <c r="X172" s="5"/>
      <c r="Y172" s="5"/>
      <c r="Z172" s="5"/>
      <c r="AA172" s="5">
        <v>0</v>
      </c>
      <c r="AB172" s="5"/>
      <c r="AC172" s="5">
        <v>0</v>
      </c>
      <c r="AD172" s="5">
        <v>0</v>
      </c>
      <c r="AE172" s="5">
        <v>0</v>
      </c>
      <c r="AF172" s="5">
        <v>1</v>
      </c>
    </row>
    <row r="173" spans="1:32" x14ac:dyDescent="0.2">
      <c r="A173" s="3" t="str">
        <f>+VLOOKUP(B173,studies!$A$2:$C$102,3)</f>
        <v>Kopp et al. (2012)</v>
      </c>
      <c r="B173" s="87">
        <v>78</v>
      </c>
      <c r="C173" s="5">
        <v>2012</v>
      </c>
      <c r="D173" s="5">
        <v>1</v>
      </c>
      <c r="E173" s="5">
        <v>2005</v>
      </c>
      <c r="F173" s="5">
        <v>2015</v>
      </c>
      <c r="G173" s="113">
        <v>6.9444444444444441E-3</v>
      </c>
      <c r="H173" s="7">
        <v>450.32899812254641</v>
      </c>
      <c r="I173" s="5">
        <v>0</v>
      </c>
      <c r="J173" s="5">
        <v>0</v>
      </c>
      <c r="K173" s="5">
        <v>1</v>
      </c>
      <c r="L173" s="7" t="s">
        <v>238</v>
      </c>
      <c r="M173" s="7">
        <v>122.5385028904888</v>
      </c>
      <c r="N173" s="7">
        <v>298.68760079556648</v>
      </c>
      <c r="O173" s="5">
        <v>0</v>
      </c>
      <c r="P173" s="5">
        <v>1</v>
      </c>
      <c r="Q173" s="5">
        <v>0</v>
      </c>
      <c r="R173" s="5">
        <v>1</v>
      </c>
      <c r="S173" s="5">
        <v>0</v>
      </c>
      <c r="T173" s="5">
        <v>1</v>
      </c>
      <c r="U173" s="5">
        <v>0</v>
      </c>
      <c r="V173" s="13">
        <v>3</v>
      </c>
      <c r="W173" s="13">
        <v>3</v>
      </c>
      <c r="X173" s="5"/>
      <c r="Y173" s="5"/>
      <c r="Z173" s="5"/>
      <c r="AA173" s="5">
        <v>0</v>
      </c>
      <c r="AB173" s="5"/>
      <c r="AC173" s="5">
        <v>0</v>
      </c>
      <c r="AD173" s="5">
        <v>0</v>
      </c>
      <c r="AE173" s="5">
        <v>0</v>
      </c>
      <c r="AF173" s="5">
        <v>1</v>
      </c>
    </row>
    <row r="174" spans="1:32" x14ac:dyDescent="0.2">
      <c r="A174" s="3" t="str">
        <f>+VLOOKUP(B174,studies!$A$2:$C$102,3)</f>
        <v>Kopp et al. (2012)</v>
      </c>
      <c r="B174" s="87">
        <v>78</v>
      </c>
      <c r="C174" s="5">
        <v>2012</v>
      </c>
      <c r="D174" s="5">
        <v>1</v>
      </c>
      <c r="E174" s="5">
        <v>2005</v>
      </c>
      <c r="F174" s="5">
        <v>2015</v>
      </c>
      <c r="G174" s="113">
        <v>6.9444444444444441E-3</v>
      </c>
      <c r="H174" s="7">
        <v>510.37286453888595</v>
      </c>
      <c r="I174" s="5">
        <v>0</v>
      </c>
      <c r="J174" s="5">
        <v>0</v>
      </c>
      <c r="K174" s="5">
        <v>1</v>
      </c>
      <c r="L174" s="7" t="s">
        <v>238</v>
      </c>
      <c r="M174" s="7">
        <v>160.83178504376659</v>
      </c>
      <c r="N174" s="7">
        <v>873.08683309473281</v>
      </c>
      <c r="O174" s="5">
        <v>0</v>
      </c>
      <c r="P174" s="5">
        <v>1</v>
      </c>
      <c r="Q174" s="5">
        <v>0</v>
      </c>
      <c r="R174" s="5">
        <v>1</v>
      </c>
      <c r="S174" s="5">
        <v>0</v>
      </c>
      <c r="T174" s="5">
        <v>1</v>
      </c>
      <c r="U174" s="5">
        <v>0</v>
      </c>
      <c r="V174" s="13">
        <v>3</v>
      </c>
      <c r="W174" s="13">
        <v>3</v>
      </c>
      <c r="X174" s="5"/>
      <c r="Y174" s="5"/>
      <c r="Z174" s="5"/>
      <c r="AA174" s="5">
        <v>0</v>
      </c>
      <c r="AB174" s="5"/>
      <c r="AC174" s="5">
        <v>0</v>
      </c>
      <c r="AD174" s="5">
        <v>0</v>
      </c>
      <c r="AE174" s="5">
        <v>0</v>
      </c>
      <c r="AF174" s="5">
        <v>1</v>
      </c>
    </row>
    <row r="175" spans="1:32" x14ac:dyDescent="0.2">
      <c r="A175" s="3" t="str">
        <f>+VLOOKUP(B175,studies!$A$2:$C$102,3)</f>
        <v>Kopp et al. (2012)</v>
      </c>
      <c r="B175" s="87">
        <v>78</v>
      </c>
      <c r="C175" s="5">
        <v>2012</v>
      </c>
      <c r="D175" s="5">
        <v>1</v>
      </c>
      <c r="E175" s="5">
        <v>2005</v>
      </c>
      <c r="F175" s="5">
        <v>2015</v>
      </c>
      <c r="G175" s="113">
        <v>6.9444444444444441E-3</v>
      </c>
      <c r="H175" s="7">
        <v>165.12063264493366</v>
      </c>
      <c r="I175" s="5">
        <v>0</v>
      </c>
      <c r="J175" s="5">
        <v>0</v>
      </c>
      <c r="K175" s="5">
        <v>1</v>
      </c>
      <c r="L175" s="7" t="s">
        <v>238</v>
      </c>
      <c r="M175" s="7">
        <v>45.951938583933298</v>
      </c>
      <c r="N175" s="7">
        <v>781.18295592686616</v>
      </c>
      <c r="O175" s="5">
        <v>0</v>
      </c>
      <c r="P175" s="5">
        <v>1</v>
      </c>
      <c r="Q175" s="5">
        <v>0</v>
      </c>
      <c r="R175" s="5">
        <v>1</v>
      </c>
      <c r="S175" s="5">
        <v>0</v>
      </c>
      <c r="T175" s="5">
        <v>1</v>
      </c>
      <c r="U175" s="5">
        <v>0</v>
      </c>
      <c r="V175" s="13">
        <v>3</v>
      </c>
      <c r="W175" s="13">
        <v>3</v>
      </c>
      <c r="X175" s="5"/>
      <c r="Y175" s="5"/>
      <c r="Z175" s="5"/>
      <c r="AA175" s="5">
        <v>0</v>
      </c>
      <c r="AB175" s="5"/>
      <c r="AC175" s="5">
        <v>0</v>
      </c>
      <c r="AD175" s="5">
        <v>0</v>
      </c>
      <c r="AE175" s="5">
        <v>0</v>
      </c>
      <c r="AF175" s="5">
        <v>1</v>
      </c>
    </row>
    <row r="176" spans="1:32" x14ac:dyDescent="0.2">
      <c r="A176" s="3" t="str">
        <f>+VLOOKUP(B176,studies!$A$2:$C$102,3)</f>
        <v>Kopp et al. (2012)</v>
      </c>
      <c r="B176" s="87">
        <v>78</v>
      </c>
      <c r="C176" s="5">
        <v>2012</v>
      </c>
      <c r="D176" s="5">
        <v>1</v>
      </c>
      <c r="E176" s="5">
        <v>2005</v>
      </c>
      <c r="F176" s="5">
        <v>2015</v>
      </c>
      <c r="G176" s="113">
        <v>6.9444444444444441E-3</v>
      </c>
      <c r="H176" s="7">
        <v>135.09869943676392</v>
      </c>
      <c r="I176" s="5">
        <v>0</v>
      </c>
      <c r="J176" s="5">
        <v>0</v>
      </c>
      <c r="K176" s="5">
        <v>1</v>
      </c>
      <c r="L176" s="7" t="s">
        <v>238</v>
      </c>
      <c r="M176" s="7">
        <v>38.293282153277758</v>
      </c>
      <c r="N176" s="7">
        <v>781.18295592686627</v>
      </c>
      <c r="O176" s="5">
        <v>0</v>
      </c>
      <c r="P176" s="5">
        <v>1</v>
      </c>
      <c r="Q176" s="5">
        <v>0</v>
      </c>
      <c r="R176" s="5">
        <v>1</v>
      </c>
      <c r="S176" s="5">
        <v>0</v>
      </c>
      <c r="T176" s="5">
        <v>1</v>
      </c>
      <c r="U176" s="5">
        <v>0</v>
      </c>
      <c r="V176" s="13">
        <v>3</v>
      </c>
      <c r="W176" s="13">
        <v>3</v>
      </c>
      <c r="X176" s="5"/>
      <c r="Y176" s="5"/>
      <c r="Z176" s="5"/>
      <c r="AA176" s="5">
        <v>0</v>
      </c>
      <c r="AB176" s="5"/>
      <c r="AC176" s="5">
        <v>0</v>
      </c>
      <c r="AD176" s="5">
        <v>0</v>
      </c>
      <c r="AE176" s="5">
        <v>0</v>
      </c>
      <c r="AF176" s="5">
        <v>1</v>
      </c>
    </row>
    <row r="177" spans="1:32" x14ac:dyDescent="0.2">
      <c r="A177" s="3" t="str">
        <f>+VLOOKUP(B177,studies!$A$2:$C$102,3)</f>
        <v>Kopp et al. (2012)</v>
      </c>
      <c r="B177" s="87">
        <v>78</v>
      </c>
      <c r="C177" s="5">
        <v>2012</v>
      </c>
      <c r="D177" s="5">
        <v>1</v>
      </c>
      <c r="E177" s="5">
        <v>2005</v>
      </c>
      <c r="F177" s="5">
        <v>2015</v>
      </c>
      <c r="G177" s="113">
        <v>6.9444444444444441E-3</v>
      </c>
      <c r="H177" s="7">
        <v>225.1644990612732</v>
      </c>
      <c r="I177" s="5">
        <v>0</v>
      </c>
      <c r="J177" s="5">
        <v>0</v>
      </c>
      <c r="K177" s="5">
        <v>1</v>
      </c>
      <c r="L177" s="7" t="s">
        <v>238</v>
      </c>
      <c r="M177" s="7">
        <v>61.2692514452444</v>
      </c>
      <c r="N177" s="7">
        <v>1424.5100961019327</v>
      </c>
      <c r="O177" s="5">
        <v>0</v>
      </c>
      <c r="P177" s="5">
        <v>1</v>
      </c>
      <c r="Q177" s="5">
        <v>0</v>
      </c>
      <c r="R177" s="5">
        <v>1</v>
      </c>
      <c r="S177" s="5">
        <v>0</v>
      </c>
      <c r="T177" s="5">
        <v>1</v>
      </c>
      <c r="U177" s="5">
        <v>0</v>
      </c>
      <c r="V177" s="13">
        <v>3</v>
      </c>
      <c r="W177" s="13">
        <v>3</v>
      </c>
      <c r="X177" s="5"/>
      <c r="Y177" s="5"/>
      <c r="Z177" s="5"/>
      <c r="AA177" s="5">
        <v>0</v>
      </c>
      <c r="AB177" s="5"/>
      <c r="AC177" s="5">
        <v>0</v>
      </c>
      <c r="AD177" s="5">
        <v>0</v>
      </c>
      <c r="AE177" s="5">
        <v>0</v>
      </c>
      <c r="AF177" s="5">
        <v>1</v>
      </c>
    </row>
    <row r="178" spans="1:32" x14ac:dyDescent="0.2">
      <c r="A178" s="3" t="str">
        <f>+VLOOKUP(B178,studies!$A$2:$C$102,3)</f>
        <v>Kopp et al. (2012)</v>
      </c>
      <c r="B178" s="87">
        <v>78</v>
      </c>
      <c r="C178" s="5">
        <v>2012</v>
      </c>
      <c r="D178" s="5">
        <v>1</v>
      </c>
      <c r="E178" s="5">
        <v>2005</v>
      </c>
      <c r="F178" s="5">
        <v>2015</v>
      </c>
      <c r="G178" s="113">
        <v>6.9444444444444441E-3</v>
      </c>
      <c r="H178" s="7">
        <v>105.07676622859417</v>
      </c>
      <c r="I178" s="5">
        <v>0</v>
      </c>
      <c r="J178" s="5">
        <v>0</v>
      </c>
      <c r="K178" s="5">
        <v>1</v>
      </c>
      <c r="L178" s="7" t="s">
        <v>238</v>
      </c>
      <c r="M178" s="7">
        <v>30.634625722622204</v>
      </c>
      <c r="N178" s="7">
        <v>490.15401156195526</v>
      </c>
      <c r="O178" s="5">
        <v>0</v>
      </c>
      <c r="P178" s="5">
        <v>1</v>
      </c>
      <c r="Q178" s="5">
        <v>0</v>
      </c>
      <c r="R178" s="5">
        <v>1</v>
      </c>
      <c r="S178" s="5">
        <v>0</v>
      </c>
      <c r="T178" s="5">
        <v>1</v>
      </c>
      <c r="U178" s="5">
        <v>0</v>
      </c>
      <c r="V178" s="13">
        <v>3</v>
      </c>
      <c r="W178" s="13">
        <v>3</v>
      </c>
      <c r="X178" s="5"/>
      <c r="Y178" s="5"/>
      <c r="Z178" s="5"/>
      <c r="AA178" s="5">
        <v>0</v>
      </c>
      <c r="AB178" s="5"/>
      <c r="AC178" s="5">
        <v>0</v>
      </c>
      <c r="AD178" s="5">
        <v>0</v>
      </c>
      <c r="AE178" s="5">
        <v>0</v>
      </c>
      <c r="AF178" s="5">
        <v>1</v>
      </c>
    </row>
    <row r="179" spans="1:32" x14ac:dyDescent="0.2">
      <c r="A179" s="3" t="str">
        <f>+VLOOKUP(B179,studies!$A$2:$C$102,3)</f>
        <v>Kopp et al. (2012)</v>
      </c>
      <c r="B179" s="87">
        <v>78</v>
      </c>
      <c r="C179" s="5">
        <v>2012</v>
      </c>
      <c r="D179" s="5">
        <v>1</v>
      </c>
      <c r="E179" s="5">
        <v>2005</v>
      </c>
      <c r="F179" s="5">
        <v>2015</v>
      </c>
      <c r="G179" s="113">
        <v>6.9444444444444441E-3</v>
      </c>
      <c r="H179" s="7">
        <v>90.065799624509282</v>
      </c>
      <c r="I179" s="5">
        <v>0</v>
      </c>
      <c r="J179" s="5">
        <v>0</v>
      </c>
      <c r="K179" s="5">
        <v>1</v>
      </c>
      <c r="L179" s="7" t="s">
        <v>238</v>
      </c>
      <c r="M179" s="7">
        <v>38.293282153277758</v>
      </c>
      <c r="N179" s="7">
        <v>1646.6111325909435</v>
      </c>
      <c r="O179" s="5">
        <v>0</v>
      </c>
      <c r="P179" s="5">
        <v>1</v>
      </c>
      <c r="Q179" s="5">
        <v>0</v>
      </c>
      <c r="R179" s="5">
        <v>1</v>
      </c>
      <c r="S179" s="5">
        <v>0</v>
      </c>
      <c r="T179" s="5">
        <v>1</v>
      </c>
      <c r="U179" s="5">
        <v>0</v>
      </c>
      <c r="V179" s="13">
        <v>3</v>
      </c>
      <c r="W179" s="13">
        <v>3</v>
      </c>
      <c r="X179" s="5"/>
      <c r="Y179" s="5"/>
      <c r="Z179" s="5"/>
      <c r="AA179" s="5">
        <v>0</v>
      </c>
      <c r="AB179" s="5"/>
      <c r="AC179" s="5">
        <v>0</v>
      </c>
      <c r="AD179" s="5">
        <v>0</v>
      </c>
      <c r="AE179" s="5">
        <v>0</v>
      </c>
      <c r="AF179" s="5">
        <v>1</v>
      </c>
    </row>
    <row r="180" spans="1:32" x14ac:dyDescent="0.2">
      <c r="A180" s="3" t="str">
        <f>+VLOOKUP(B180,studies!$A$2:$C$102,3)</f>
        <v>Kopp et al. (2012)</v>
      </c>
      <c r="B180" s="87">
        <v>78</v>
      </c>
      <c r="C180" s="5">
        <v>2012</v>
      </c>
      <c r="D180" s="5">
        <v>1</v>
      </c>
      <c r="E180" s="5">
        <v>2005</v>
      </c>
      <c r="F180" s="5">
        <v>2015</v>
      </c>
      <c r="G180" s="113">
        <v>6.9444444444444441E-3</v>
      </c>
      <c r="H180" s="7">
        <v>75.054833020424397</v>
      </c>
      <c r="I180" s="5">
        <v>0</v>
      </c>
      <c r="J180" s="5">
        <v>0</v>
      </c>
      <c r="K180" s="5">
        <v>1</v>
      </c>
      <c r="L180" s="7" t="s">
        <v>238</v>
      </c>
      <c r="M180" s="7">
        <v>30.634625722622204</v>
      </c>
      <c r="N180" s="7">
        <v>1524.0726297004549</v>
      </c>
      <c r="O180" s="5">
        <v>0</v>
      </c>
      <c r="P180" s="5">
        <v>1</v>
      </c>
      <c r="Q180" s="5">
        <v>0</v>
      </c>
      <c r="R180" s="5">
        <v>1</v>
      </c>
      <c r="S180" s="5">
        <v>0</v>
      </c>
      <c r="T180" s="5">
        <v>1</v>
      </c>
      <c r="U180" s="5">
        <v>0</v>
      </c>
      <c r="V180" s="13">
        <v>3</v>
      </c>
      <c r="W180" s="13">
        <v>3</v>
      </c>
      <c r="X180" s="5"/>
      <c r="Y180" s="5"/>
      <c r="Z180" s="5"/>
      <c r="AA180" s="5">
        <v>0</v>
      </c>
      <c r="AB180" s="5"/>
      <c r="AC180" s="5">
        <v>0</v>
      </c>
      <c r="AD180" s="5">
        <v>0</v>
      </c>
      <c r="AE180" s="5">
        <v>0</v>
      </c>
      <c r="AF180" s="5">
        <v>1</v>
      </c>
    </row>
    <row r="181" spans="1:32" x14ac:dyDescent="0.2">
      <c r="A181" s="3" t="str">
        <f>+VLOOKUP(B181,studies!$A$2:$C$102,3)</f>
        <v>Kopp et al. (2012)</v>
      </c>
      <c r="B181" s="87">
        <v>78</v>
      </c>
      <c r="C181" s="5">
        <v>2012</v>
      </c>
      <c r="D181" s="5">
        <v>1</v>
      </c>
      <c r="E181" s="5">
        <v>2005</v>
      </c>
      <c r="F181" s="5">
        <v>2015</v>
      </c>
      <c r="G181" s="113">
        <v>6.9444444444444441E-3</v>
      </c>
      <c r="H181" s="7">
        <v>105.07676622859417</v>
      </c>
      <c r="I181" s="5">
        <v>0</v>
      </c>
      <c r="J181" s="5">
        <v>0</v>
      </c>
      <c r="K181" s="5">
        <v>1</v>
      </c>
      <c r="L181" s="7" t="s">
        <v>238</v>
      </c>
      <c r="M181" s="7">
        <v>45.951938583933305</v>
      </c>
      <c r="N181" s="7">
        <v>1853.3948562186431</v>
      </c>
      <c r="O181" s="5">
        <v>0</v>
      </c>
      <c r="P181" s="5">
        <v>1</v>
      </c>
      <c r="Q181" s="5">
        <v>0</v>
      </c>
      <c r="R181" s="5">
        <v>1</v>
      </c>
      <c r="S181" s="5">
        <v>0</v>
      </c>
      <c r="T181" s="5">
        <v>1</v>
      </c>
      <c r="U181" s="5">
        <v>0</v>
      </c>
      <c r="V181" s="13">
        <v>3</v>
      </c>
      <c r="W181" s="13">
        <v>3</v>
      </c>
      <c r="X181" s="5"/>
      <c r="Y181" s="5"/>
      <c r="Z181" s="5"/>
      <c r="AA181" s="5">
        <v>0</v>
      </c>
      <c r="AB181" s="5"/>
      <c r="AC181" s="5">
        <v>0</v>
      </c>
      <c r="AD181" s="5">
        <v>0</v>
      </c>
      <c r="AE181" s="5">
        <v>0</v>
      </c>
      <c r="AF181" s="5">
        <v>1</v>
      </c>
    </row>
    <row r="182" spans="1:32" x14ac:dyDescent="0.2">
      <c r="A182" s="3" t="str">
        <f>+VLOOKUP(B182,studies!$A$2:$C$102,3)</f>
        <v>Kopp et al. (2012)</v>
      </c>
      <c r="B182" s="87">
        <v>78</v>
      </c>
      <c r="C182" s="5">
        <v>2012</v>
      </c>
      <c r="D182" s="5">
        <v>1</v>
      </c>
      <c r="E182" s="5">
        <v>2005</v>
      </c>
      <c r="F182" s="5">
        <v>2015</v>
      </c>
      <c r="G182" s="113">
        <v>6.9444444444444441E-3</v>
      </c>
      <c r="H182" s="7">
        <v>75.054833020424397</v>
      </c>
      <c r="I182" s="5">
        <v>0</v>
      </c>
      <c r="J182" s="5">
        <v>0</v>
      </c>
      <c r="K182" s="5">
        <v>1</v>
      </c>
      <c r="L182" s="7" t="s">
        <v>238</v>
      </c>
      <c r="M182" s="7">
        <v>30.634625722622204</v>
      </c>
      <c r="N182" s="7">
        <v>1393.8754703793104</v>
      </c>
      <c r="O182" s="5">
        <v>0</v>
      </c>
      <c r="P182" s="5">
        <v>1</v>
      </c>
      <c r="Q182" s="5">
        <v>0</v>
      </c>
      <c r="R182" s="5">
        <v>1</v>
      </c>
      <c r="S182" s="5">
        <v>0</v>
      </c>
      <c r="T182" s="5">
        <v>1</v>
      </c>
      <c r="U182" s="5">
        <v>0</v>
      </c>
      <c r="V182" s="13">
        <v>3</v>
      </c>
      <c r="W182" s="13">
        <v>3</v>
      </c>
      <c r="X182" s="5"/>
      <c r="Y182" s="5"/>
      <c r="Z182" s="5"/>
      <c r="AA182" s="5">
        <v>0</v>
      </c>
      <c r="AB182" s="5"/>
      <c r="AC182" s="5">
        <v>0</v>
      </c>
      <c r="AD182" s="5">
        <v>0</v>
      </c>
      <c r="AE182" s="5">
        <v>0</v>
      </c>
      <c r="AF182" s="5">
        <v>1</v>
      </c>
    </row>
    <row r="183" spans="1:32" x14ac:dyDescent="0.2">
      <c r="A183" s="3" t="str">
        <f>+VLOOKUP(B183,studies!$A$2:$C$102,3)</f>
        <v>Kopp et al. (2012)</v>
      </c>
      <c r="B183" s="87">
        <v>78</v>
      </c>
      <c r="C183" s="5">
        <v>2012</v>
      </c>
      <c r="D183" s="5">
        <v>1</v>
      </c>
      <c r="E183" s="5">
        <v>2005</v>
      </c>
      <c r="F183" s="5">
        <v>2015</v>
      </c>
      <c r="G183" s="113">
        <v>6.9444444444444441E-3</v>
      </c>
      <c r="H183" s="7">
        <v>525.38383114297085</v>
      </c>
      <c r="I183" s="5">
        <v>0</v>
      </c>
      <c r="J183" s="5">
        <v>0</v>
      </c>
      <c r="K183" s="5">
        <v>1</v>
      </c>
      <c r="L183" s="7" t="s">
        <v>238</v>
      </c>
      <c r="M183" s="7">
        <v>145.51447218245548</v>
      </c>
      <c r="N183" s="7">
        <v>405.90879082474419</v>
      </c>
      <c r="O183" s="5">
        <v>0</v>
      </c>
      <c r="P183" s="5">
        <v>1</v>
      </c>
      <c r="Q183" s="5">
        <v>0</v>
      </c>
      <c r="R183" s="5">
        <v>1</v>
      </c>
      <c r="S183" s="5">
        <v>0</v>
      </c>
      <c r="T183" s="5">
        <v>1</v>
      </c>
      <c r="U183" s="5">
        <v>0</v>
      </c>
      <c r="V183" s="13">
        <v>3</v>
      </c>
      <c r="W183" s="13">
        <v>0.95</v>
      </c>
      <c r="X183" s="5"/>
      <c r="Y183" s="5"/>
      <c r="Z183" s="5"/>
      <c r="AA183" s="5">
        <v>0</v>
      </c>
      <c r="AB183" s="5"/>
      <c r="AC183" s="5">
        <v>0</v>
      </c>
      <c r="AD183" s="5">
        <v>0</v>
      </c>
      <c r="AE183" s="5">
        <v>0</v>
      </c>
      <c r="AF183" s="5">
        <v>1</v>
      </c>
    </row>
    <row r="184" spans="1:32" x14ac:dyDescent="0.2">
      <c r="A184" s="3" t="str">
        <f>+VLOOKUP(B184,studies!$A$2:$C$102,3)</f>
        <v>Kopp et al. (2012)</v>
      </c>
      <c r="B184" s="87">
        <v>78</v>
      </c>
      <c r="C184" s="5">
        <v>2012</v>
      </c>
      <c r="D184" s="5">
        <v>1</v>
      </c>
      <c r="E184" s="5">
        <v>2005</v>
      </c>
      <c r="F184" s="5">
        <v>2015</v>
      </c>
      <c r="G184" s="113">
        <v>6.9444444444444441E-3</v>
      </c>
      <c r="H184" s="7">
        <v>540.39479774705569</v>
      </c>
      <c r="I184" s="5">
        <v>0</v>
      </c>
      <c r="J184" s="5">
        <v>0</v>
      </c>
      <c r="K184" s="5">
        <v>1</v>
      </c>
      <c r="L184" s="7" t="s">
        <v>238</v>
      </c>
      <c r="M184" s="7">
        <v>153.17312861311103</v>
      </c>
      <c r="N184" s="7">
        <v>428.88476011671082</v>
      </c>
      <c r="O184" s="5">
        <v>0</v>
      </c>
      <c r="P184" s="5">
        <v>1</v>
      </c>
      <c r="Q184" s="5">
        <v>0</v>
      </c>
      <c r="R184" s="5">
        <v>1</v>
      </c>
      <c r="S184" s="5">
        <v>0</v>
      </c>
      <c r="T184" s="5">
        <v>1</v>
      </c>
      <c r="U184" s="5">
        <v>0</v>
      </c>
      <c r="V184" s="13">
        <v>3</v>
      </c>
      <c r="W184" s="13">
        <v>0.95</v>
      </c>
      <c r="X184" s="5"/>
      <c r="Y184" s="5"/>
      <c r="Z184" s="5"/>
      <c r="AA184" s="5">
        <v>0</v>
      </c>
      <c r="AB184" s="5"/>
      <c r="AC184" s="5">
        <v>0</v>
      </c>
      <c r="AD184" s="5">
        <v>0</v>
      </c>
      <c r="AE184" s="5">
        <v>0</v>
      </c>
      <c r="AF184" s="5">
        <v>1</v>
      </c>
    </row>
    <row r="185" spans="1:32" x14ac:dyDescent="0.2">
      <c r="A185" s="3" t="str">
        <f>+VLOOKUP(B185,studies!$A$2:$C$102,3)</f>
        <v>Kopp et al. (2012)</v>
      </c>
      <c r="B185" s="87">
        <v>78</v>
      </c>
      <c r="C185" s="5">
        <v>2012</v>
      </c>
      <c r="D185" s="5">
        <v>1</v>
      </c>
      <c r="E185" s="5">
        <v>2005</v>
      </c>
      <c r="F185" s="5">
        <v>2015</v>
      </c>
      <c r="G185" s="113">
        <v>6.9444444444444441E-3</v>
      </c>
      <c r="H185" s="7">
        <v>480.35093133071615</v>
      </c>
      <c r="I185" s="5">
        <v>0</v>
      </c>
      <c r="J185" s="5">
        <v>0</v>
      </c>
      <c r="K185" s="5">
        <v>1</v>
      </c>
      <c r="L185" s="7" t="s">
        <v>238</v>
      </c>
      <c r="M185" s="7">
        <v>145.51447218245548</v>
      </c>
      <c r="N185" s="7">
        <v>398.25013439408872</v>
      </c>
      <c r="O185" s="5">
        <v>0</v>
      </c>
      <c r="P185" s="5">
        <v>1</v>
      </c>
      <c r="Q185" s="5">
        <v>0</v>
      </c>
      <c r="R185" s="5">
        <v>1</v>
      </c>
      <c r="S185" s="5">
        <v>0</v>
      </c>
      <c r="T185" s="5">
        <v>1</v>
      </c>
      <c r="U185" s="5">
        <v>0</v>
      </c>
      <c r="V185" s="13">
        <v>3</v>
      </c>
      <c r="W185" s="13">
        <v>0.95</v>
      </c>
      <c r="X185" s="5"/>
      <c r="Y185" s="5"/>
      <c r="Z185" s="5"/>
      <c r="AA185" s="5">
        <v>0</v>
      </c>
      <c r="AB185" s="5"/>
      <c r="AC185" s="5">
        <v>0</v>
      </c>
      <c r="AD185" s="5">
        <v>0</v>
      </c>
      <c r="AE185" s="5">
        <v>0</v>
      </c>
      <c r="AF185" s="5">
        <v>1</v>
      </c>
    </row>
    <row r="186" spans="1:32" x14ac:dyDescent="0.2">
      <c r="A186" s="3" t="str">
        <f>+VLOOKUP(B186,studies!$A$2:$C$102,3)</f>
        <v>Kopp et al. (2012)</v>
      </c>
      <c r="B186" s="87">
        <v>78</v>
      </c>
      <c r="C186" s="5">
        <v>2012</v>
      </c>
      <c r="D186" s="5">
        <v>1</v>
      </c>
      <c r="E186" s="5">
        <v>2005</v>
      </c>
      <c r="F186" s="5">
        <v>2015</v>
      </c>
      <c r="G186" s="113">
        <v>6.9444444444444441E-3</v>
      </c>
      <c r="H186" s="7">
        <v>915.66896284917766</v>
      </c>
      <c r="I186" s="5">
        <v>0</v>
      </c>
      <c r="J186" s="5">
        <v>0</v>
      </c>
      <c r="K186" s="5">
        <v>1</v>
      </c>
      <c r="L186" s="7" t="s">
        <v>238</v>
      </c>
      <c r="M186" s="7">
        <v>268.05297507294426</v>
      </c>
      <c r="N186" s="7">
        <v>750.54833020424417</v>
      </c>
      <c r="O186" s="5">
        <v>0</v>
      </c>
      <c r="P186" s="5">
        <v>1</v>
      </c>
      <c r="Q186" s="5">
        <v>0</v>
      </c>
      <c r="R186" s="5">
        <v>1</v>
      </c>
      <c r="S186" s="5">
        <v>0</v>
      </c>
      <c r="T186" s="5">
        <v>1</v>
      </c>
      <c r="U186" s="5">
        <v>0</v>
      </c>
      <c r="V186" s="13">
        <v>3</v>
      </c>
      <c r="W186" s="13">
        <v>0.95</v>
      </c>
      <c r="X186" s="5"/>
      <c r="Y186" s="5"/>
      <c r="Z186" s="5"/>
      <c r="AA186" s="5">
        <v>0</v>
      </c>
      <c r="AB186" s="5"/>
      <c r="AC186" s="5">
        <v>0</v>
      </c>
      <c r="AD186" s="5">
        <v>0</v>
      </c>
      <c r="AE186" s="5">
        <v>0</v>
      </c>
      <c r="AF186" s="5">
        <v>1</v>
      </c>
    </row>
    <row r="187" spans="1:32" x14ac:dyDescent="0.2">
      <c r="A187" s="3" t="str">
        <f>+VLOOKUP(B187,studies!$A$2:$C$102,3)</f>
        <v>Kopp et al. (2012)</v>
      </c>
      <c r="B187" s="87">
        <v>78</v>
      </c>
      <c r="C187" s="5">
        <v>2012</v>
      </c>
      <c r="D187" s="5">
        <v>1</v>
      </c>
      <c r="E187" s="5">
        <v>2005</v>
      </c>
      <c r="F187" s="5">
        <v>2015</v>
      </c>
      <c r="G187" s="113">
        <v>6.9444444444444441E-3</v>
      </c>
      <c r="H187" s="7">
        <v>525.38383114297085</v>
      </c>
      <c r="I187" s="5">
        <v>0</v>
      </c>
      <c r="J187" s="5">
        <v>0</v>
      </c>
      <c r="K187" s="5">
        <v>1</v>
      </c>
      <c r="L187" s="7" t="s">
        <v>238</v>
      </c>
      <c r="M187" s="7">
        <v>145.51447218245548</v>
      </c>
      <c r="N187" s="7">
        <v>382.93282153277761</v>
      </c>
      <c r="O187" s="5">
        <v>0</v>
      </c>
      <c r="P187" s="5">
        <v>1</v>
      </c>
      <c r="Q187" s="5">
        <v>0</v>
      </c>
      <c r="R187" s="5">
        <v>1</v>
      </c>
      <c r="S187" s="5">
        <v>0</v>
      </c>
      <c r="T187" s="5">
        <v>1</v>
      </c>
      <c r="U187" s="5">
        <v>0</v>
      </c>
      <c r="V187" s="13">
        <v>3</v>
      </c>
      <c r="W187" s="13">
        <v>0.95</v>
      </c>
      <c r="X187" s="5"/>
      <c r="Y187" s="5"/>
      <c r="Z187" s="5"/>
      <c r="AA187" s="5">
        <v>0</v>
      </c>
      <c r="AB187" s="5"/>
      <c r="AC187" s="5">
        <v>0</v>
      </c>
      <c r="AD187" s="5">
        <v>0</v>
      </c>
      <c r="AE187" s="5">
        <v>0</v>
      </c>
      <c r="AF187" s="5">
        <v>1</v>
      </c>
    </row>
    <row r="188" spans="1:32" x14ac:dyDescent="0.2">
      <c r="A188" s="3" t="str">
        <f>+VLOOKUP(B188,studies!$A$2:$C$102,3)</f>
        <v>Kopp et al. (2012)</v>
      </c>
      <c r="B188" s="87">
        <v>78</v>
      </c>
      <c r="C188" s="5">
        <v>2012</v>
      </c>
      <c r="D188" s="5">
        <v>1</v>
      </c>
      <c r="E188" s="5">
        <v>2005</v>
      </c>
      <c r="F188" s="5">
        <v>2015</v>
      </c>
      <c r="G188" s="113">
        <v>6.9444444444444441E-3</v>
      </c>
      <c r="H188" s="7">
        <v>1365.9979609717241</v>
      </c>
      <c r="I188" s="5">
        <v>0</v>
      </c>
      <c r="J188" s="5">
        <v>0</v>
      </c>
      <c r="K188" s="5">
        <v>1</v>
      </c>
      <c r="L188" s="7" t="s">
        <v>238</v>
      </c>
      <c r="M188" s="7">
        <v>413.56744725539983</v>
      </c>
      <c r="N188" s="7">
        <v>1095.1878695837438</v>
      </c>
      <c r="O188" s="5">
        <v>0</v>
      </c>
      <c r="P188" s="5">
        <v>1</v>
      </c>
      <c r="Q188" s="5">
        <v>0</v>
      </c>
      <c r="R188" s="5">
        <v>1</v>
      </c>
      <c r="S188" s="5">
        <v>0</v>
      </c>
      <c r="T188" s="5">
        <v>1</v>
      </c>
      <c r="U188" s="5">
        <v>0</v>
      </c>
      <c r="V188" s="13">
        <v>3</v>
      </c>
      <c r="W188" s="13">
        <v>0.95</v>
      </c>
      <c r="X188" s="5"/>
      <c r="Y188" s="5"/>
      <c r="Z188" s="5"/>
      <c r="AA188" s="5">
        <v>0</v>
      </c>
      <c r="AB188" s="5"/>
      <c r="AC188" s="5">
        <v>0</v>
      </c>
      <c r="AD188" s="5">
        <v>0</v>
      </c>
      <c r="AE188" s="5">
        <v>0</v>
      </c>
      <c r="AF188" s="5">
        <v>1</v>
      </c>
    </row>
    <row r="189" spans="1:32" x14ac:dyDescent="0.2">
      <c r="A189" s="3" t="str">
        <f>+VLOOKUP(B189,studies!$A$2:$C$102,3)</f>
        <v>Kopp et al. (2012)</v>
      </c>
      <c r="B189" s="87">
        <v>78</v>
      </c>
      <c r="C189" s="5">
        <v>2012</v>
      </c>
      <c r="D189" s="5">
        <v>1</v>
      </c>
      <c r="E189" s="5">
        <v>2005</v>
      </c>
      <c r="F189" s="5">
        <v>2015</v>
      </c>
      <c r="G189" s="113">
        <v>6.9444444444444441E-3</v>
      </c>
      <c r="H189" s="7">
        <v>390.28513170620693</v>
      </c>
      <c r="I189" s="5">
        <v>0</v>
      </c>
      <c r="J189" s="5">
        <v>0</v>
      </c>
      <c r="K189" s="5">
        <v>1</v>
      </c>
      <c r="L189" s="7" t="s">
        <v>238</v>
      </c>
      <c r="M189" s="7">
        <v>99.56253359852218</v>
      </c>
      <c r="N189" s="7">
        <v>252.73566221163318</v>
      </c>
      <c r="O189" s="5">
        <v>0</v>
      </c>
      <c r="P189" s="5">
        <v>1</v>
      </c>
      <c r="Q189" s="5">
        <v>0</v>
      </c>
      <c r="R189" s="5">
        <v>1</v>
      </c>
      <c r="S189" s="5">
        <v>0</v>
      </c>
      <c r="T189" s="5">
        <v>1</v>
      </c>
      <c r="U189" s="5">
        <v>0</v>
      </c>
      <c r="V189" s="13">
        <v>3</v>
      </c>
      <c r="W189" s="13">
        <v>0.95</v>
      </c>
      <c r="X189" s="5"/>
      <c r="Y189" s="5"/>
      <c r="Z189" s="5"/>
      <c r="AA189" s="5">
        <v>0</v>
      </c>
      <c r="AB189" s="5"/>
      <c r="AC189" s="5">
        <v>0</v>
      </c>
      <c r="AD189" s="5">
        <v>0</v>
      </c>
      <c r="AE189" s="5">
        <v>0</v>
      </c>
      <c r="AF189" s="5">
        <v>1</v>
      </c>
    </row>
    <row r="190" spans="1:32" x14ac:dyDescent="0.2">
      <c r="A190" s="3" t="str">
        <f>+VLOOKUP(B190,studies!$A$2:$C$102,3)</f>
        <v>Kopp et al. (2012)</v>
      </c>
      <c r="B190" s="87">
        <v>78</v>
      </c>
      <c r="C190" s="5">
        <v>2012</v>
      </c>
      <c r="D190" s="5">
        <v>1</v>
      </c>
      <c r="E190" s="5">
        <v>2005</v>
      </c>
      <c r="F190" s="5">
        <v>2015</v>
      </c>
      <c r="G190" s="113">
        <v>6.9444444444444441E-3</v>
      </c>
      <c r="H190" s="7">
        <v>525.38383114297085</v>
      </c>
      <c r="I190" s="5">
        <v>0</v>
      </c>
      <c r="J190" s="5">
        <v>0</v>
      </c>
      <c r="K190" s="5">
        <v>1</v>
      </c>
      <c r="L190" s="7" t="s">
        <v>238</v>
      </c>
      <c r="M190" s="7">
        <v>145.51447218245548</v>
      </c>
      <c r="N190" s="7">
        <v>428.88476011671094</v>
      </c>
      <c r="O190" s="5">
        <v>0</v>
      </c>
      <c r="P190" s="5">
        <v>1</v>
      </c>
      <c r="Q190" s="5">
        <v>0</v>
      </c>
      <c r="R190" s="5">
        <v>1</v>
      </c>
      <c r="S190" s="5">
        <v>0</v>
      </c>
      <c r="T190" s="5">
        <v>1</v>
      </c>
      <c r="U190" s="5">
        <v>0</v>
      </c>
      <c r="V190" s="13">
        <v>3</v>
      </c>
      <c r="W190" s="13">
        <v>0.95</v>
      </c>
      <c r="X190" s="5"/>
      <c r="Y190" s="5"/>
      <c r="Z190" s="5"/>
      <c r="AA190" s="5">
        <v>0</v>
      </c>
      <c r="AB190" s="5"/>
      <c r="AC190" s="5">
        <v>0</v>
      </c>
      <c r="AD190" s="5">
        <v>0</v>
      </c>
      <c r="AE190" s="5">
        <v>0</v>
      </c>
      <c r="AF190" s="5">
        <v>1</v>
      </c>
    </row>
    <row r="191" spans="1:32" x14ac:dyDescent="0.2">
      <c r="A191" s="3" t="str">
        <f>+VLOOKUP(B191,studies!$A$2:$C$102,3)</f>
        <v>Kopp et al. (2012)</v>
      </c>
      <c r="B191" s="87">
        <v>78</v>
      </c>
      <c r="C191" s="5">
        <v>2012</v>
      </c>
      <c r="D191" s="5">
        <v>1</v>
      </c>
      <c r="E191" s="5">
        <v>2005</v>
      </c>
      <c r="F191" s="5">
        <v>2015</v>
      </c>
      <c r="G191" s="113">
        <v>6.9444444444444441E-3</v>
      </c>
      <c r="H191" s="7">
        <v>525.38383114297085</v>
      </c>
      <c r="I191" s="5">
        <v>0</v>
      </c>
      <c r="J191" s="5">
        <v>0</v>
      </c>
      <c r="K191" s="5">
        <v>1</v>
      </c>
      <c r="L191" s="7" t="s">
        <v>238</v>
      </c>
      <c r="M191" s="7">
        <v>145.51447218245548</v>
      </c>
      <c r="N191" s="7">
        <v>405.90879082474419</v>
      </c>
      <c r="O191" s="5">
        <v>0</v>
      </c>
      <c r="P191" s="5">
        <v>1</v>
      </c>
      <c r="Q191" s="5">
        <v>0</v>
      </c>
      <c r="R191" s="5">
        <v>1</v>
      </c>
      <c r="S191" s="5">
        <v>0</v>
      </c>
      <c r="T191" s="5">
        <v>1</v>
      </c>
      <c r="U191" s="5">
        <v>0</v>
      </c>
      <c r="V191" s="13">
        <v>3</v>
      </c>
      <c r="W191" s="13">
        <v>0.95</v>
      </c>
      <c r="X191" s="5"/>
      <c r="Y191" s="5"/>
      <c r="Z191" s="5"/>
      <c r="AA191" s="5">
        <v>0</v>
      </c>
      <c r="AB191" s="5"/>
      <c r="AC191" s="5">
        <v>0</v>
      </c>
      <c r="AD191" s="5">
        <v>0</v>
      </c>
      <c r="AE191" s="5">
        <v>0</v>
      </c>
      <c r="AF191" s="5">
        <v>1</v>
      </c>
    </row>
    <row r="192" spans="1:32" x14ac:dyDescent="0.2">
      <c r="A192" s="3" t="str">
        <f>+VLOOKUP(B192,studies!$A$2:$C$102,3)</f>
        <v>Kopp et al. (2012)</v>
      </c>
      <c r="B192" s="87">
        <v>78</v>
      </c>
      <c r="C192" s="5">
        <v>2012</v>
      </c>
      <c r="D192" s="5">
        <v>1</v>
      </c>
      <c r="E192" s="5">
        <v>2005</v>
      </c>
      <c r="F192" s="5">
        <v>2015</v>
      </c>
      <c r="G192" s="113">
        <v>6.9444444444444441E-3</v>
      </c>
      <c r="H192" s="7">
        <v>585.42769755931033</v>
      </c>
      <c r="I192" s="5">
        <v>0</v>
      </c>
      <c r="J192" s="5">
        <v>0</v>
      </c>
      <c r="K192" s="5">
        <v>1</v>
      </c>
      <c r="L192" s="7" t="s">
        <v>238</v>
      </c>
      <c r="M192" s="7">
        <v>191.4664107663888</v>
      </c>
      <c r="N192" s="7">
        <v>1263.6783110581659</v>
      </c>
      <c r="O192" s="5">
        <v>0</v>
      </c>
      <c r="P192" s="5">
        <v>1</v>
      </c>
      <c r="Q192" s="5">
        <v>0</v>
      </c>
      <c r="R192" s="5">
        <v>1</v>
      </c>
      <c r="S192" s="5">
        <v>0</v>
      </c>
      <c r="T192" s="5">
        <v>1</v>
      </c>
      <c r="U192" s="5">
        <v>0</v>
      </c>
      <c r="V192" s="13">
        <v>3</v>
      </c>
      <c r="W192" s="13">
        <v>0.95</v>
      </c>
      <c r="X192" s="5"/>
      <c r="Y192" s="5"/>
      <c r="Z192" s="5"/>
      <c r="AA192" s="5">
        <v>0</v>
      </c>
      <c r="AB192" s="5"/>
      <c r="AC192" s="5">
        <v>0</v>
      </c>
      <c r="AD192" s="5">
        <v>0</v>
      </c>
      <c r="AE192" s="5">
        <v>0</v>
      </c>
      <c r="AF192" s="5">
        <v>1</v>
      </c>
    </row>
    <row r="193" spans="1:32" x14ac:dyDescent="0.2">
      <c r="A193" s="3" t="str">
        <f>+VLOOKUP(B193,studies!$A$2:$C$102,3)</f>
        <v>Kopp et al. (2012)</v>
      </c>
      <c r="B193" s="87">
        <v>78</v>
      </c>
      <c r="C193" s="5">
        <v>2012</v>
      </c>
      <c r="D193" s="5">
        <v>1</v>
      </c>
      <c r="E193" s="5">
        <v>2005</v>
      </c>
      <c r="F193" s="5">
        <v>2015</v>
      </c>
      <c r="G193" s="113">
        <v>6.9444444444444441E-3</v>
      </c>
      <c r="H193" s="7">
        <v>195.14256585310346</v>
      </c>
      <c r="I193" s="5">
        <v>0</v>
      </c>
      <c r="J193" s="5">
        <v>0</v>
      </c>
      <c r="K193" s="5">
        <v>1</v>
      </c>
      <c r="L193" s="7" t="s">
        <v>238</v>
      </c>
      <c r="M193" s="7">
        <v>53.610595014588867</v>
      </c>
      <c r="N193" s="7">
        <v>1248.3609981968548</v>
      </c>
      <c r="O193" s="5">
        <v>0</v>
      </c>
      <c r="P193" s="5">
        <v>1</v>
      </c>
      <c r="Q193" s="5">
        <v>0</v>
      </c>
      <c r="R193" s="5">
        <v>1</v>
      </c>
      <c r="S193" s="5">
        <v>0</v>
      </c>
      <c r="T193" s="5">
        <v>1</v>
      </c>
      <c r="U193" s="5">
        <v>0</v>
      </c>
      <c r="V193" s="13">
        <v>3</v>
      </c>
      <c r="W193" s="13">
        <v>0.95</v>
      </c>
      <c r="X193" s="5"/>
      <c r="Y193" s="5"/>
      <c r="Z193" s="5"/>
      <c r="AA193" s="5">
        <v>0</v>
      </c>
      <c r="AB193" s="5"/>
      <c r="AC193" s="5">
        <v>0</v>
      </c>
      <c r="AD193" s="5">
        <v>0</v>
      </c>
      <c r="AE193" s="5">
        <v>0</v>
      </c>
      <c r="AF193" s="5">
        <v>1</v>
      </c>
    </row>
    <row r="194" spans="1:32" x14ac:dyDescent="0.2">
      <c r="A194" s="3" t="str">
        <f>+VLOOKUP(B194,studies!$A$2:$C$102,3)</f>
        <v>Kopp et al. (2012)</v>
      </c>
      <c r="B194" s="87">
        <v>78</v>
      </c>
      <c r="C194" s="5">
        <v>2012</v>
      </c>
      <c r="D194" s="5">
        <v>1</v>
      </c>
      <c r="E194" s="5">
        <v>2005</v>
      </c>
      <c r="F194" s="5">
        <v>2015</v>
      </c>
      <c r="G194" s="113">
        <v>6.9444444444444441E-3</v>
      </c>
      <c r="H194" s="7">
        <v>135.09869943676392</v>
      </c>
      <c r="I194" s="5">
        <v>0</v>
      </c>
      <c r="J194" s="5">
        <v>0</v>
      </c>
      <c r="K194" s="5">
        <v>1</v>
      </c>
      <c r="L194" s="7" t="s">
        <v>238</v>
      </c>
      <c r="M194" s="7">
        <v>38.293282153277758</v>
      </c>
      <c r="N194" s="7">
        <v>1263.6783110581659</v>
      </c>
      <c r="O194" s="5">
        <v>0</v>
      </c>
      <c r="P194" s="5">
        <v>1</v>
      </c>
      <c r="Q194" s="5">
        <v>0</v>
      </c>
      <c r="R194" s="5">
        <v>1</v>
      </c>
      <c r="S194" s="5">
        <v>0</v>
      </c>
      <c r="T194" s="5">
        <v>1</v>
      </c>
      <c r="U194" s="5">
        <v>0</v>
      </c>
      <c r="V194" s="13">
        <v>3</v>
      </c>
      <c r="W194" s="13">
        <v>0.95</v>
      </c>
      <c r="X194" s="5"/>
      <c r="Y194" s="5"/>
      <c r="Z194" s="5"/>
      <c r="AA194" s="5">
        <v>0</v>
      </c>
      <c r="AB194" s="5"/>
      <c r="AC194" s="5">
        <v>0</v>
      </c>
      <c r="AD194" s="5">
        <v>0</v>
      </c>
      <c r="AE194" s="5">
        <v>0</v>
      </c>
      <c r="AF194" s="5">
        <v>1</v>
      </c>
    </row>
    <row r="195" spans="1:32" x14ac:dyDescent="0.2">
      <c r="A195" s="3" t="str">
        <f>+VLOOKUP(B195,studies!$A$2:$C$102,3)</f>
        <v>Kopp et al. (2012)</v>
      </c>
      <c r="B195" s="87">
        <v>78</v>
      </c>
      <c r="C195" s="5">
        <v>2012</v>
      </c>
      <c r="D195" s="5">
        <v>1</v>
      </c>
      <c r="E195" s="5">
        <v>2005</v>
      </c>
      <c r="F195" s="5">
        <v>2015</v>
      </c>
      <c r="G195" s="113">
        <v>6.9444444444444441E-3</v>
      </c>
      <c r="H195" s="7">
        <v>270.19739887352785</v>
      </c>
      <c r="I195" s="5">
        <v>0</v>
      </c>
      <c r="J195" s="5">
        <v>0</v>
      </c>
      <c r="K195" s="5">
        <v>1</v>
      </c>
      <c r="L195" s="7" t="s">
        <v>238</v>
      </c>
      <c r="M195" s="7">
        <v>76.586564306555516</v>
      </c>
      <c r="N195" s="7">
        <v>2067.8372362769987</v>
      </c>
      <c r="O195" s="5">
        <v>0</v>
      </c>
      <c r="P195" s="5">
        <v>1</v>
      </c>
      <c r="Q195" s="5">
        <v>0</v>
      </c>
      <c r="R195" s="5">
        <v>1</v>
      </c>
      <c r="S195" s="5">
        <v>0</v>
      </c>
      <c r="T195" s="5">
        <v>1</v>
      </c>
      <c r="U195" s="5">
        <v>0</v>
      </c>
      <c r="V195" s="13">
        <v>3</v>
      </c>
      <c r="W195" s="13">
        <v>0.95</v>
      </c>
      <c r="X195" s="5"/>
      <c r="Y195" s="5"/>
      <c r="Z195" s="5"/>
      <c r="AA195" s="5">
        <v>0</v>
      </c>
      <c r="AB195" s="5"/>
      <c r="AC195" s="5">
        <v>0</v>
      </c>
      <c r="AD195" s="5">
        <v>0</v>
      </c>
      <c r="AE195" s="5">
        <v>0</v>
      </c>
      <c r="AF195" s="5">
        <v>1</v>
      </c>
    </row>
    <row r="196" spans="1:32" x14ac:dyDescent="0.2">
      <c r="A196" s="3" t="str">
        <f>+VLOOKUP(B196,studies!$A$2:$C$102,3)</f>
        <v>Kopp et al. (2012)</v>
      </c>
      <c r="B196" s="87">
        <v>78</v>
      </c>
      <c r="C196" s="5">
        <v>2012</v>
      </c>
      <c r="D196" s="5">
        <v>1</v>
      </c>
      <c r="E196" s="5">
        <v>2005</v>
      </c>
      <c r="F196" s="5">
        <v>2015</v>
      </c>
      <c r="G196" s="113">
        <v>6.9444444444444441E-3</v>
      </c>
      <c r="H196" s="7">
        <v>150.10966604084879</v>
      </c>
      <c r="I196" s="5">
        <v>0</v>
      </c>
      <c r="J196" s="5">
        <v>0</v>
      </c>
      <c r="K196" s="5">
        <v>1</v>
      </c>
      <c r="L196" s="7" t="s">
        <v>238</v>
      </c>
      <c r="M196" s="7">
        <v>38.293282153277758</v>
      </c>
      <c r="N196" s="7">
        <v>1194.7504031822659</v>
      </c>
      <c r="O196" s="5">
        <v>0</v>
      </c>
      <c r="P196" s="5">
        <v>1</v>
      </c>
      <c r="Q196" s="5">
        <v>0</v>
      </c>
      <c r="R196" s="5">
        <v>1</v>
      </c>
      <c r="S196" s="5">
        <v>0</v>
      </c>
      <c r="T196" s="5">
        <v>1</v>
      </c>
      <c r="U196" s="5">
        <v>0</v>
      </c>
      <c r="V196" s="13">
        <v>3</v>
      </c>
      <c r="W196" s="13">
        <v>0.95</v>
      </c>
      <c r="X196" s="5"/>
      <c r="Y196" s="5"/>
      <c r="Z196" s="5"/>
      <c r="AA196" s="5">
        <v>0</v>
      </c>
      <c r="AB196" s="5"/>
      <c r="AC196" s="5">
        <v>0</v>
      </c>
      <c r="AD196" s="5">
        <v>0</v>
      </c>
      <c r="AE196" s="5">
        <v>0</v>
      </c>
      <c r="AF196" s="5">
        <v>1</v>
      </c>
    </row>
    <row r="197" spans="1:32" x14ac:dyDescent="0.2">
      <c r="A197" s="3" t="str">
        <f>+VLOOKUP(B197,studies!$A$2:$C$102,3)</f>
        <v>Kopp et al. (2012)</v>
      </c>
      <c r="B197" s="87">
        <v>78</v>
      </c>
      <c r="C197" s="5">
        <v>2012</v>
      </c>
      <c r="D197" s="5">
        <v>1</v>
      </c>
      <c r="E197" s="5">
        <v>2005</v>
      </c>
      <c r="F197" s="5">
        <v>2015</v>
      </c>
      <c r="G197" s="113">
        <v>6.9444444444444441E-3</v>
      </c>
      <c r="H197" s="7">
        <v>105.07676622859417</v>
      </c>
      <c r="I197" s="5">
        <v>0</v>
      </c>
      <c r="J197" s="5">
        <v>0</v>
      </c>
      <c r="K197" s="5">
        <v>1</v>
      </c>
      <c r="L197" s="7" t="s">
        <v>238</v>
      </c>
      <c r="M197" s="7">
        <v>45.951938583933305</v>
      </c>
      <c r="N197" s="7">
        <v>2389.5008063645319</v>
      </c>
      <c r="O197" s="5">
        <v>0</v>
      </c>
      <c r="P197" s="5">
        <v>1</v>
      </c>
      <c r="Q197" s="5">
        <v>0</v>
      </c>
      <c r="R197" s="5">
        <v>1</v>
      </c>
      <c r="S197" s="5">
        <v>0</v>
      </c>
      <c r="T197" s="5">
        <v>1</v>
      </c>
      <c r="U197" s="5">
        <v>0</v>
      </c>
      <c r="V197" s="13">
        <v>3</v>
      </c>
      <c r="W197" s="13">
        <v>0.95</v>
      </c>
      <c r="X197" s="5"/>
      <c r="Y197" s="5"/>
      <c r="Z197" s="5"/>
      <c r="AA197" s="5">
        <v>0</v>
      </c>
      <c r="AB197" s="5"/>
      <c r="AC197" s="5">
        <v>0</v>
      </c>
      <c r="AD197" s="5">
        <v>0</v>
      </c>
      <c r="AE197" s="5">
        <v>0</v>
      </c>
      <c r="AF197" s="5">
        <v>1</v>
      </c>
    </row>
    <row r="198" spans="1:32" x14ac:dyDescent="0.2">
      <c r="A198" s="3" t="str">
        <f>+VLOOKUP(B198,studies!$A$2:$C$102,3)</f>
        <v>Kopp et al. (2012)</v>
      </c>
      <c r="B198" s="87">
        <v>78</v>
      </c>
      <c r="C198" s="5">
        <v>2012</v>
      </c>
      <c r="D198" s="5">
        <v>1</v>
      </c>
      <c r="E198" s="5">
        <v>2005</v>
      </c>
      <c r="F198" s="5">
        <v>2015</v>
      </c>
      <c r="G198" s="113">
        <v>6.9444444444444441E-3</v>
      </c>
      <c r="H198" s="7">
        <v>90.065799624509282</v>
      </c>
      <c r="I198" s="5">
        <v>0</v>
      </c>
      <c r="J198" s="5">
        <v>0</v>
      </c>
      <c r="K198" s="5">
        <v>1</v>
      </c>
      <c r="L198" s="7" t="s">
        <v>238</v>
      </c>
      <c r="M198" s="7">
        <v>38.293282153277758</v>
      </c>
      <c r="N198" s="7">
        <v>2167.3997698755211</v>
      </c>
      <c r="O198" s="5">
        <v>0</v>
      </c>
      <c r="P198" s="5">
        <v>1</v>
      </c>
      <c r="Q198" s="5">
        <v>0</v>
      </c>
      <c r="R198" s="5">
        <v>1</v>
      </c>
      <c r="S198" s="5">
        <v>0</v>
      </c>
      <c r="T198" s="5">
        <v>1</v>
      </c>
      <c r="U198" s="5">
        <v>0</v>
      </c>
      <c r="V198" s="13">
        <v>3</v>
      </c>
      <c r="W198" s="13">
        <v>0.95</v>
      </c>
      <c r="X198" s="5"/>
      <c r="Y198" s="5"/>
      <c r="Z198" s="5"/>
      <c r="AA198" s="5">
        <v>0</v>
      </c>
      <c r="AB198" s="5"/>
      <c r="AC198" s="5">
        <v>0</v>
      </c>
      <c r="AD198" s="5">
        <v>0</v>
      </c>
      <c r="AE198" s="5">
        <v>0</v>
      </c>
      <c r="AF198" s="5">
        <v>1</v>
      </c>
    </row>
    <row r="199" spans="1:32" x14ac:dyDescent="0.2">
      <c r="A199" s="3" t="str">
        <f>+VLOOKUP(B199,studies!$A$2:$C$102,3)</f>
        <v>Kopp et al. (2012)</v>
      </c>
      <c r="B199" s="87">
        <v>78</v>
      </c>
      <c r="C199" s="5">
        <v>2012</v>
      </c>
      <c r="D199" s="5">
        <v>1</v>
      </c>
      <c r="E199" s="5">
        <v>2005</v>
      </c>
      <c r="F199" s="5">
        <v>2015</v>
      </c>
      <c r="G199" s="113">
        <v>6.9444444444444441E-3</v>
      </c>
      <c r="H199" s="7">
        <v>105.07676622859417</v>
      </c>
      <c r="I199" s="5">
        <v>0</v>
      </c>
      <c r="J199" s="5">
        <v>0</v>
      </c>
      <c r="K199" s="5">
        <v>1</v>
      </c>
      <c r="L199" s="7" t="s">
        <v>238</v>
      </c>
      <c r="M199" s="7">
        <v>45.951938583933305</v>
      </c>
      <c r="N199" s="7">
        <v>2780.0922843279645</v>
      </c>
      <c r="O199" s="5">
        <v>0</v>
      </c>
      <c r="P199" s="5">
        <v>1</v>
      </c>
      <c r="Q199" s="5">
        <v>0</v>
      </c>
      <c r="R199" s="5">
        <v>1</v>
      </c>
      <c r="S199" s="5">
        <v>0</v>
      </c>
      <c r="T199" s="5">
        <v>1</v>
      </c>
      <c r="U199" s="5">
        <v>0</v>
      </c>
      <c r="V199" s="13">
        <v>3</v>
      </c>
      <c r="W199" s="13">
        <v>0.95</v>
      </c>
      <c r="X199" s="5"/>
      <c r="Y199" s="5"/>
      <c r="Z199" s="5"/>
      <c r="AA199" s="5">
        <v>0</v>
      </c>
      <c r="AB199" s="5"/>
      <c r="AC199" s="5">
        <v>0</v>
      </c>
      <c r="AD199" s="5">
        <v>0</v>
      </c>
      <c r="AE199" s="5">
        <v>0</v>
      </c>
      <c r="AF199" s="5">
        <v>1</v>
      </c>
    </row>
    <row r="200" spans="1:32" x14ac:dyDescent="0.2">
      <c r="A200" s="3" t="str">
        <f>+VLOOKUP(B200,studies!$A$2:$C$102,3)</f>
        <v>Kopp et al. (2012)</v>
      </c>
      <c r="B200" s="87">
        <v>78</v>
      </c>
      <c r="C200" s="5">
        <v>2012</v>
      </c>
      <c r="D200" s="5">
        <v>1</v>
      </c>
      <c r="E200" s="5">
        <v>2005</v>
      </c>
      <c r="F200" s="5">
        <v>2015</v>
      </c>
      <c r="G200" s="113">
        <v>6.9444444444444441E-3</v>
      </c>
      <c r="H200" s="7">
        <v>90.065799624509282</v>
      </c>
      <c r="I200" s="5">
        <v>0</v>
      </c>
      <c r="J200" s="5">
        <v>0</v>
      </c>
      <c r="K200" s="5">
        <v>1</v>
      </c>
      <c r="L200" s="7" t="s">
        <v>238</v>
      </c>
      <c r="M200" s="7">
        <v>38.293282153277758</v>
      </c>
      <c r="N200" s="7">
        <v>2496.7219963937096</v>
      </c>
      <c r="O200" s="5">
        <v>0</v>
      </c>
      <c r="P200" s="5">
        <v>1</v>
      </c>
      <c r="Q200" s="5">
        <v>0</v>
      </c>
      <c r="R200" s="5">
        <v>1</v>
      </c>
      <c r="S200" s="5">
        <v>0</v>
      </c>
      <c r="T200" s="5">
        <v>1</v>
      </c>
      <c r="U200" s="5">
        <v>0</v>
      </c>
      <c r="V200" s="13">
        <v>3</v>
      </c>
      <c r="W200" s="13">
        <v>0.95</v>
      </c>
      <c r="X200" s="5"/>
      <c r="Y200" s="5"/>
      <c r="Z200" s="5"/>
      <c r="AA200" s="5">
        <v>0</v>
      </c>
      <c r="AB200" s="5"/>
      <c r="AC200" s="5">
        <v>0</v>
      </c>
      <c r="AD200" s="5">
        <v>0</v>
      </c>
      <c r="AE200" s="5">
        <v>0</v>
      </c>
      <c r="AF200" s="5">
        <v>1</v>
      </c>
    </row>
    <row r="201" spans="1:32" x14ac:dyDescent="0.2">
      <c r="A201" s="3" t="str">
        <f>+VLOOKUP(B201,studies!$A$2:$C$102,3)</f>
        <v>Kopp et al. (2012)</v>
      </c>
      <c r="B201" s="87">
        <v>78</v>
      </c>
      <c r="C201" s="5">
        <v>2012</v>
      </c>
      <c r="D201" s="5">
        <v>1</v>
      </c>
      <c r="E201" s="5">
        <v>2005</v>
      </c>
      <c r="F201" s="5">
        <v>2015</v>
      </c>
      <c r="G201" s="113">
        <v>6.9444444444444441E-3</v>
      </c>
      <c r="H201" s="7">
        <v>585.42769755931033</v>
      </c>
      <c r="I201" s="5">
        <v>0</v>
      </c>
      <c r="J201" s="5">
        <v>0</v>
      </c>
      <c r="K201" s="5">
        <v>1</v>
      </c>
      <c r="L201" s="7" t="s">
        <v>238</v>
      </c>
      <c r="M201" s="7">
        <v>168.49044147442211</v>
      </c>
      <c r="N201" s="7">
        <v>482.49535513129979</v>
      </c>
      <c r="O201" s="5">
        <v>0</v>
      </c>
      <c r="P201" s="5">
        <v>1</v>
      </c>
      <c r="Q201" s="5">
        <v>0</v>
      </c>
      <c r="R201" s="5">
        <v>1</v>
      </c>
      <c r="S201" s="5">
        <v>0</v>
      </c>
      <c r="T201" s="5">
        <v>1</v>
      </c>
      <c r="U201" s="5">
        <v>0</v>
      </c>
      <c r="V201" s="13">
        <v>3</v>
      </c>
      <c r="W201" s="13">
        <v>0.14000000000000001</v>
      </c>
      <c r="X201" s="5"/>
      <c r="Y201" s="5"/>
      <c r="Z201" s="5"/>
      <c r="AA201" s="5">
        <v>0</v>
      </c>
      <c r="AB201" s="5"/>
      <c r="AC201" s="5">
        <v>0</v>
      </c>
      <c r="AD201" s="5">
        <v>0</v>
      </c>
      <c r="AE201" s="5">
        <v>0</v>
      </c>
      <c r="AF201" s="5">
        <v>1</v>
      </c>
    </row>
    <row r="202" spans="1:32" x14ac:dyDescent="0.2">
      <c r="A202" s="3" t="str">
        <f>+VLOOKUP(B202,studies!$A$2:$C$102,3)</f>
        <v>Kopp et al. (2012)</v>
      </c>
      <c r="B202" s="87">
        <v>78</v>
      </c>
      <c r="C202" s="5">
        <v>2012</v>
      </c>
      <c r="D202" s="5">
        <v>1</v>
      </c>
      <c r="E202" s="5">
        <v>2005</v>
      </c>
      <c r="F202" s="5">
        <v>2015</v>
      </c>
      <c r="G202" s="113">
        <v>6.9444444444444441E-3</v>
      </c>
      <c r="H202" s="7">
        <v>585.42769755931033</v>
      </c>
      <c r="I202" s="5">
        <v>0</v>
      </c>
      <c r="J202" s="5">
        <v>0</v>
      </c>
      <c r="K202" s="5">
        <v>1</v>
      </c>
      <c r="L202" s="7" t="s">
        <v>238</v>
      </c>
      <c r="M202" s="7">
        <v>168.49044147442211</v>
      </c>
      <c r="N202" s="7">
        <v>520.78863728457748</v>
      </c>
      <c r="O202" s="5">
        <v>0</v>
      </c>
      <c r="P202" s="5">
        <v>1</v>
      </c>
      <c r="Q202" s="5">
        <v>0</v>
      </c>
      <c r="R202" s="5">
        <v>1</v>
      </c>
      <c r="S202" s="5">
        <v>0</v>
      </c>
      <c r="T202" s="5">
        <v>1</v>
      </c>
      <c r="U202" s="5">
        <v>0</v>
      </c>
      <c r="V202" s="13">
        <v>3</v>
      </c>
      <c r="W202" s="13">
        <v>0.14000000000000001</v>
      </c>
      <c r="X202" s="5"/>
      <c r="Y202" s="5"/>
      <c r="Z202" s="5"/>
      <c r="AA202" s="5">
        <v>0</v>
      </c>
      <c r="AB202" s="5"/>
      <c r="AC202" s="5">
        <v>0</v>
      </c>
      <c r="AD202" s="5">
        <v>0</v>
      </c>
      <c r="AE202" s="5">
        <v>0</v>
      </c>
      <c r="AF202" s="5">
        <v>1</v>
      </c>
    </row>
    <row r="203" spans="1:32" x14ac:dyDescent="0.2">
      <c r="A203" s="3" t="str">
        <f>+VLOOKUP(B203,studies!$A$2:$C$102,3)</f>
        <v>Kopp et al. (2012)</v>
      </c>
      <c r="B203" s="87">
        <v>78</v>
      </c>
      <c r="C203" s="5">
        <v>2012</v>
      </c>
      <c r="D203" s="5">
        <v>1</v>
      </c>
      <c r="E203" s="5">
        <v>2005</v>
      </c>
      <c r="F203" s="5">
        <v>2015</v>
      </c>
      <c r="G203" s="113">
        <v>6.9444444444444441E-3</v>
      </c>
      <c r="H203" s="7">
        <v>525.38383114297085</v>
      </c>
      <c r="I203" s="5">
        <v>0</v>
      </c>
      <c r="J203" s="5">
        <v>0</v>
      </c>
      <c r="K203" s="5">
        <v>1</v>
      </c>
      <c r="L203" s="7" t="s">
        <v>238</v>
      </c>
      <c r="M203" s="7">
        <v>160.83178504376656</v>
      </c>
      <c r="N203" s="7">
        <v>459.51938583933315</v>
      </c>
      <c r="O203" s="5">
        <v>0</v>
      </c>
      <c r="P203" s="5">
        <v>1</v>
      </c>
      <c r="Q203" s="5">
        <v>0</v>
      </c>
      <c r="R203" s="5">
        <v>1</v>
      </c>
      <c r="S203" s="5">
        <v>0</v>
      </c>
      <c r="T203" s="5">
        <v>1</v>
      </c>
      <c r="U203" s="5">
        <v>0</v>
      </c>
      <c r="V203" s="13">
        <v>3</v>
      </c>
      <c r="W203" s="13">
        <v>0.14000000000000001</v>
      </c>
      <c r="X203" s="5"/>
      <c r="Y203" s="5"/>
      <c r="Z203" s="5"/>
      <c r="AA203" s="5">
        <v>0</v>
      </c>
      <c r="AB203" s="5"/>
      <c r="AC203" s="5">
        <v>0</v>
      </c>
      <c r="AD203" s="5">
        <v>0</v>
      </c>
      <c r="AE203" s="5">
        <v>0</v>
      </c>
      <c r="AF203" s="5">
        <v>1</v>
      </c>
    </row>
    <row r="204" spans="1:32" x14ac:dyDescent="0.2">
      <c r="A204" s="3" t="str">
        <f>+VLOOKUP(B204,studies!$A$2:$C$102,3)</f>
        <v>Kopp et al. (2012)</v>
      </c>
      <c r="B204" s="87">
        <v>78</v>
      </c>
      <c r="C204" s="5">
        <v>2012</v>
      </c>
      <c r="D204" s="5">
        <v>1</v>
      </c>
      <c r="E204" s="5">
        <v>2005</v>
      </c>
      <c r="F204" s="5">
        <v>2015</v>
      </c>
      <c r="G204" s="113">
        <v>6.9444444444444441E-3</v>
      </c>
      <c r="H204" s="7">
        <v>1080.7895954941114</v>
      </c>
      <c r="I204" s="5">
        <v>0</v>
      </c>
      <c r="J204" s="5">
        <v>0</v>
      </c>
      <c r="K204" s="5">
        <v>1</v>
      </c>
      <c r="L204" s="7" t="s">
        <v>238</v>
      </c>
      <c r="M204" s="7">
        <v>321.66357008753317</v>
      </c>
      <c r="N204" s="7">
        <v>1041.577274569155</v>
      </c>
      <c r="O204" s="5">
        <v>0</v>
      </c>
      <c r="P204" s="5">
        <v>1</v>
      </c>
      <c r="Q204" s="5">
        <v>0</v>
      </c>
      <c r="R204" s="5">
        <v>1</v>
      </c>
      <c r="S204" s="5">
        <v>0</v>
      </c>
      <c r="T204" s="5">
        <v>1</v>
      </c>
      <c r="U204" s="5">
        <v>0</v>
      </c>
      <c r="V204" s="13">
        <v>3</v>
      </c>
      <c r="W204" s="13">
        <v>0.14000000000000001</v>
      </c>
      <c r="X204" s="5"/>
      <c r="Y204" s="5"/>
      <c r="Z204" s="5"/>
      <c r="AA204" s="5">
        <v>0</v>
      </c>
      <c r="AB204" s="5"/>
      <c r="AC204" s="5">
        <v>0</v>
      </c>
      <c r="AD204" s="5">
        <v>0</v>
      </c>
      <c r="AE204" s="5">
        <v>0</v>
      </c>
      <c r="AF204" s="5">
        <v>1</v>
      </c>
    </row>
    <row r="205" spans="1:32" x14ac:dyDescent="0.2">
      <c r="A205" s="3" t="str">
        <f>+VLOOKUP(B205,studies!$A$2:$C$102,3)</f>
        <v>Kopp et al. (2012)</v>
      </c>
      <c r="B205" s="87">
        <v>78</v>
      </c>
      <c r="C205" s="5">
        <v>2012</v>
      </c>
      <c r="D205" s="5">
        <v>1</v>
      </c>
      <c r="E205" s="5">
        <v>2005</v>
      </c>
      <c r="F205" s="5">
        <v>2015</v>
      </c>
      <c r="G205" s="113">
        <v>6.9444444444444441E-3</v>
      </c>
      <c r="H205" s="7">
        <v>720.52639699607425</v>
      </c>
      <c r="I205" s="5">
        <v>0</v>
      </c>
      <c r="J205" s="5">
        <v>0</v>
      </c>
      <c r="K205" s="5">
        <v>1</v>
      </c>
      <c r="L205" s="7" t="s">
        <v>238</v>
      </c>
      <c r="M205" s="7">
        <v>206.78372362769989</v>
      </c>
      <c r="N205" s="7">
        <v>643.32714017506635</v>
      </c>
      <c r="O205" s="5">
        <v>0</v>
      </c>
      <c r="P205" s="5">
        <v>1</v>
      </c>
      <c r="Q205" s="5">
        <v>0</v>
      </c>
      <c r="R205" s="5">
        <v>1</v>
      </c>
      <c r="S205" s="5">
        <v>0</v>
      </c>
      <c r="T205" s="5">
        <v>1</v>
      </c>
      <c r="U205" s="5">
        <v>0</v>
      </c>
      <c r="V205" s="13">
        <v>3</v>
      </c>
      <c r="W205" s="13">
        <v>0.14000000000000001</v>
      </c>
      <c r="X205" s="5"/>
      <c r="Y205" s="5"/>
      <c r="Z205" s="5"/>
      <c r="AA205" s="5">
        <v>0</v>
      </c>
      <c r="AB205" s="5"/>
      <c r="AC205" s="5">
        <v>0</v>
      </c>
      <c r="AD205" s="5">
        <v>0</v>
      </c>
      <c r="AE205" s="5">
        <v>0</v>
      </c>
      <c r="AF205" s="5">
        <v>1</v>
      </c>
    </row>
    <row r="206" spans="1:32" x14ac:dyDescent="0.2">
      <c r="A206" s="3" t="str">
        <f>+VLOOKUP(B206,studies!$A$2:$C$102,3)</f>
        <v>Kopp et al. (2012)</v>
      </c>
      <c r="B206" s="87">
        <v>78</v>
      </c>
      <c r="C206" s="5">
        <v>2012</v>
      </c>
      <c r="D206" s="5">
        <v>1</v>
      </c>
      <c r="E206" s="5">
        <v>2005</v>
      </c>
      <c r="F206" s="5">
        <v>2015</v>
      </c>
      <c r="G206" s="113">
        <v>6.9444444444444441E-3</v>
      </c>
      <c r="H206" s="7">
        <v>1831.3379256983553</v>
      </c>
      <c r="I206" s="5">
        <v>0</v>
      </c>
      <c r="J206" s="5">
        <v>0</v>
      </c>
      <c r="K206" s="5">
        <v>1</v>
      </c>
      <c r="L206" s="7" t="s">
        <v>238</v>
      </c>
      <c r="M206" s="7">
        <v>566.74057586851075</v>
      </c>
      <c r="N206" s="7">
        <v>1807.4429176347101</v>
      </c>
      <c r="O206" s="5">
        <v>0</v>
      </c>
      <c r="P206" s="5">
        <v>1</v>
      </c>
      <c r="Q206" s="5">
        <v>0</v>
      </c>
      <c r="R206" s="5">
        <v>1</v>
      </c>
      <c r="S206" s="5">
        <v>0</v>
      </c>
      <c r="T206" s="5">
        <v>1</v>
      </c>
      <c r="U206" s="5">
        <v>0</v>
      </c>
      <c r="V206" s="13">
        <v>3</v>
      </c>
      <c r="W206" s="13">
        <v>0.14000000000000001</v>
      </c>
      <c r="X206" s="5"/>
      <c r="Y206" s="5"/>
      <c r="Z206" s="5"/>
      <c r="AA206" s="5">
        <v>0</v>
      </c>
      <c r="AB206" s="5"/>
      <c r="AC206" s="5">
        <v>0</v>
      </c>
      <c r="AD206" s="5">
        <v>0</v>
      </c>
      <c r="AE206" s="5">
        <v>0</v>
      </c>
      <c r="AF206" s="5">
        <v>1</v>
      </c>
    </row>
    <row r="207" spans="1:32" x14ac:dyDescent="0.2">
      <c r="A207" s="3" t="str">
        <f>+VLOOKUP(B207,studies!$A$2:$C$102,3)</f>
        <v>Kopp et al. (2012)</v>
      </c>
      <c r="B207" s="87">
        <v>78</v>
      </c>
      <c r="C207" s="5">
        <v>2012</v>
      </c>
      <c r="D207" s="5">
        <v>1</v>
      </c>
      <c r="E207" s="5">
        <v>2005</v>
      </c>
      <c r="F207" s="5">
        <v>2015</v>
      </c>
      <c r="G207" s="113">
        <v>6.9444444444444441E-3</v>
      </c>
      <c r="H207" s="7">
        <v>420.30706491437667</v>
      </c>
      <c r="I207" s="5">
        <v>0</v>
      </c>
      <c r="J207" s="5">
        <v>0</v>
      </c>
      <c r="K207" s="5">
        <v>1</v>
      </c>
      <c r="L207" s="7" t="s">
        <v>238</v>
      </c>
      <c r="M207" s="7">
        <v>114.87984645983326</v>
      </c>
      <c r="N207" s="7">
        <v>283.37028793425543</v>
      </c>
      <c r="O207" s="5">
        <v>0</v>
      </c>
      <c r="P207" s="5">
        <v>1</v>
      </c>
      <c r="Q207" s="5">
        <v>0</v>
      </c>
      <c r="R207" s="5">
        <v>1</v>
      </c>
      <c r="S207" s="5">
        <v>0</v>
      </c>
      <c r="T207" s="5">
        <v>1</v>
      </c>
      <c r="U207" s="5">
        <v>0</v>
      </c>
      <c r="V207" s="13">
        <v>3</v>
      </c>
      <c r="W207" s="13">
        <v>0.14000000000000001</v>
      </c>
      <c r="X207" s="5"/>
      <c r="Y207" s="5"/>
      <c r="Z207" s="5"/>
      <c r="AA207" s="5">
        <v>0</v>
      </c>
      <c r="AB207" s="5"/>
      <c r="AC207" s="5">
        <v>0</v>
      </c>
      <c r="AD207" s="5">
        <v>0</v>
      </c>
      <c r="AE207" s="5">
        <v>0</v>
      </c>
      <c r="AF207" s="5">
        <v>1</v>
      </c>
    </row>
    <row r="208" spans="1:32" x14ac:dyDescent="0.2">
      <c r="A208" s="3" t="str">
        <f>+VLOOKUP(B208,studies!$A$2:$C$102,3)</f>
        <v>Kopp et al. (2012)</v>
      </c>
      <c r="B208" s="87">
        <v>78</v>
      </c>
      <c r="C208" s="5">
        <v>2012</v>
      </c>
      <c r="D208" s="5">
        <v>1</v>
      </c>
      <c r="E208" s="5">
        <v>2005</v>
      </c>
      <c r="F208" s="5">
        <v>2015</v>
      </c>
      <c r="G208" s="113">
        <v>6.9444444444444441E-3</v>
      </c>
      <c r="H208" s="7">
        <v>585.42769755931033</v>
      </c>
      <c r="I208" s="5">
        <v>0</v>
      </c>
      <c r="J208" s="5">
        <v>0</v>
      </c>
      <c r="K208" s="5">
        <v>1</v>
      </c>
      <c r="L208" s="7" t="s">
        <v>238</v>
      </c>
      <c r="M208" s="7">
        <v>168.49044147442211</v>
      </c>
      <c r="N208" s="7">
        <v>536.10595014588864</v>
      </c>
      <c r="O208" s="5">
        <v>0</v>
      </c>
      <c r="P208" s="5">
        <v>1</v>
      </c>
      <c r="Q208" s="5">
        <v>0</v>
      </c>
      <c r="R208" s="5">
        <v>1</v>
      </c>
      <c r="S208" s="5">
        <v>0</v>
      </c>
      <c r="T208" s="5">
        <v>1</v>
      </c>
      <c r="U208" s="5">
        <v>0</v>
      </c>
      <c r="V208" s="13">
        <v>3</v>
      </c>
      <c r="W208" s="13">
        <v>0.14000000000000001</v>
      </c>
      <c r="X208" s="5"/>
      <c r="Y208" s="5"/>
      <c r="Z208" s="5"/>
      <c r="AA208" s="5">
        <v>0</v>
      </c>
      <c r="AB208" s="5"/>
      <c r="AC208" s="5">
        <v>0</v>
      </c>
      <c r="AD208" s="5">
        <v>0</v>
      </c>
      <c r="AE208" s="5">
        <v>0</v>
      </c>
      <c r="AF208" s="5">
        <v>1</v>
      </c>
    </row>
    <row r="209" spans="1:32" x14ac:dyDescent="0.2">
      <c r="A209" s="3" t="str">
        <f>+VLOOKUP(B209,studies!$A$2:$C$102,3)</f>
        <v>Kopp et al. (2012)</v>
      </c>
      <c r="B209" s="87">
        <v>78</v>
      </c>
      <c r="C209" s="5">
        <v>2012</v>
      </c>
      <c r="D209" s="5">
        <v>1</v>
      </c>
      <c r="E209" s="5">
        <v>2005</v>
      </c>
      <c r="F209" s="5">
        <v>2015</v>
      </c>
      <c r="G209" s="113">
        <v>6.9444444444444441E-3</v>
      </c>
      <c r="H209" s="7">
        <v>585.42769755931033</v>
      </c>
      <c r="I209" s="5">
        <v>0</v>
      </c>
      <c r="J209" s="5">
        <v>0</v>
      </c>
      <c r="K209" s="5">
        <v>1</v>
      </c>
      <c r="L209" s="7" t="s">
        <v>238</v>
      </c>
      <c r="M209" s="7">
        <v>168.49044147442211</v>
      </c>
      <c r="N209" s="7">
        <v>482.49535513129979</v>
      </c>
      <c r="O209" s="5">
        <v>0</v>
      </c>
      <c r="P209" s="5">
        <v>1</v>
      </c>
      <c r="Q209" s="5">
        <v>0</v>
      </c>
      <c r="R209" s="5">
        <v>1</v>
      </c>
      <c r="S209" s="5">
        <v>0</v>
      </c>
      <c r="T209" s="5">
        <v>1</v>
      </c>
      <c r="U209" s="5">
        <v>0</v>
      </c>
      <c r="V209" s="13">
        <v>3</v>
      </c>
      <c r="W209" s="13">
        <v>0.14000000000000001</v>
      </c>
      <c r="X209" s="5"/>
      <c r="Y209" s="5"/>
      <c r="Z209" s="5"/>
      <c r="AA209" s="5">
        <v>0</v>
      </c>
      <c r="AB209" s="5"/>
      <c r="AC209" s="5">
        <v>0</v>
      </c>
      <c r="AD209" s="5">
        <v>0</v>
      </c>
      <c r="AE209" s="5">
        <v>0</v>
      </c>
      <c r="AF209" s="5">
        <v>1</v>
      </c>
    </row>
    <row r="210" spans="1:32" x14ac:dyDescent="0.2">
      <c r="A210" s="3" t="str">
        <f>+VLOOKUP(B210,studies!$A$2:$C$102,3)</f>
        <v>Kopp et al. (2012)</v>
      </c>
      <c r="B210" s="87">
        <v>78</v>
      </c>
      <c r="C210" s="5">
        <v>2012</v>
      </c>
      <c r="D210" s="5">
        <v>1</v>
      </c>
      <c r="E210" s="5">
        <v>2005</v>
      </c>
      <c r="F210" s="5">
        <v>2015</v>
      </c>
      <c r="G210" s="113">
        <v>6.9444444444444441E-3</v>
      </c>
      <c r="H210" s="7">
        <v>660.48253057973466</v>
      </c>
      <c r="I210" s="5">
        <v>0</v>
      </c>
      <c r="J210" s="5">
        <v>0</v>
      </c>
      <c r="K210" s="5">
        <v>1</v>
      </c>
      <c r="L210" s="7" t="s">
        <v>238</v>
      </c>
      <c r="M210" s="7">
        <v>214.44238005835541</v>
      </c>
      <c r="N210" s="7">
        <v>1539.3899425617658</v>
      </c>
      <c r="O210" s="5">
        <v>0</v>
      </c>
      <c r="P210" s="5">
        <v>1</v>
      </c>
      <c r="Q210" s="5">
        <v>0</v>
      </c>
      <c r="R210" s="5">
        <v>1</v>
      </c>
      <c r="S210" s="5">
        <v>0</v>
      </c>
      <c r="T210" s="5">
        <v>1</v>
      </c>
      <c r="U210" s="5">
        <v>0</v>
      </c>
      <c r="V210" s="13">
        <v>3</v>
      </c>
      <c r="W210" s="13">
        <v>0.14000000000000001</v>
      </c>
      <c r="X210" s="5"/>
      <c r="Y210" s="5"/>
      <c r="Z210" s="5"/>
      <c r="AA210" s="5">
        <v>0</v>
      </c>
      <c r="AB210" s="5"/>
      <c r="AC210" s="5">
        <v>0</v>
      </c>
      <c r="AD210" s="5">
        <v>0</v>
      </c>
      <c r="AE210" s="5">
        <v>0</v>
      </c>
      <c r="AF210" s="5">
        <v>1</v>
      </c>
    </row>
    <row r="211" spans="1:32" x14ac:dyDescent="0.2">
      <c r="A211" s="3" t="str">
        <f>+VLOOKUP(B211,studies!$A$2:$C$102,3)</f>
        <v>Kopp et al. (2012)</v>
      </c>
      <c r="B211" s="87">
        <v>78</v>
      </c>
      <c r="C211" s="5">
        <v>2012</v>
      </c>
      <c r="D211" s="5">
        <v>1</v>
      </c>
      <c r="E211" s="5">
        <v>2005</v>
      </c>
      <c r="F211" s="5">
        <v>2015</v>
      </c>
      <c r="G211" s="113">
        <v>6.9444444444444441E-3</v>
      </c>
      <c r="H211" s="7">
        <v>210.15353245718833</v>
      </c>
      <c r="I211" s="5">
        <v>0</v>
      </c>
      <c r="J211" s="5">
        <v>0</v>
      </c>
      <c r="K211" s="5">
        <v>1</v>
      </c>
      <c r="L211" s="7" t="s">
        <v>238</v>
      </c>
      <c r="M211" s="7">
        <v>61.269251445244407</v>
      </c>
      <c r="N211" s="7">
        <v>1462.8033782552104</v>
      </c>
      <c r="O211" s="5">
        <v>0</v>
      </c>
      <c r="P211" s="5">
        <v>1</v>
      </c>
      <c r="Q211" s="5">
        <v>0</v>
      </c>
      <c r="R211" s="5">
        <v>1</v>
      </c>
      <c r="S211" s="5">
        <v>0</v>
      </c>
      <c r="T211" s="5">
        <v>1</v>
      </c>
      <c r="U211" s="5">
        <v>0</v>
      </c>
      <c r="V211" s="13">
        <v>3</v>
      </c>
      <c r="W211" s="13">
        <v>0.14000000000000001</v>
      </c>
      <c r="X211" s="5"/>
      <c r="Y211" s="5"/>
      <c r="Z211" s="5"/>
      <c r="AA211" s="5">
        <v>0</v>
      </c>
      <c r="AB211" s="5"/>
      <c r="AC211" s="5">
        <v>0</v>
      </c>
      <c r="AD211" s="5">
        <v>0</v>
      </c>
      <c r="AE211" s="5">
        <v>0</v>
      </c>
      <c r="AF211" s="5">
        <v>1</v>
      </c>
    </row>
    <row r="212" spans="1:32" x14ac:dyDescent="0.2">
      <c r="A212" s="3" t="str">
        <f>+VLOOKUP(B212,studies!$A$2:$C$102,3)</f>
        <v>Kopp et al. (2012)</v>
      </c>
      <c r="B212" s="87">
        <v>78</v>
      </c>
      <c r="C212" s="5">
        <v>2012</v>
      </c>
      <c r="D212" s="5">
        <v>1</v>
      </c>
      <c r="E212" s="5">
        <v>2005</v>
      </c>
      <c r="F212" s="5">
        <v>2015</v>
      </c>
      <c r="G212" s="113">
        <v>6.9444444444444441E-3</v>
      </c>
      <c r="H212" s="7">
        <v>150.10966604084879</v>
      </c>
      <c r="I212" s="5">
        <v>0</v>
      </c>
      <c r="J212" s="5">
        <v>0</v>
      </c>
      <c r="K212" s="5">
        <v>1</v>
      </c>
      <c r="L212" s="7" t="s">
        <v>238</v>
      </c>
      <c r="M212" s="7">
        <v>38.293282153277758</v>
      </c>
      <c r="N212" s="7">
        <v>1470.4620346858658</v>
      </c>
      <c r="O212" s="5">
        <v>0</v>
      </c>
      <c r="P212" s="5">
        <v>1</v>
      </c>
      <c r="Q212" s="5">
        <v>0</v>
      </c>
      <c r="R212" s="5">
        <v>1</v>
      </c>
      <c r="S212" s="5">
        <v>0</v>
      </c>
      <c r="T212" s="5">
        <v>1</v>
      </c>
      <c r="U212" s="5">
        <v>0</v>
      </c>
      <c r="V212" s="13">
        <v>3</v>
      </c>
      <c r="W212" s="13">
        <v>0.14000000000000001</v>
      </c>
      <c r="X212" s="5"/>
      <c r="Y212" s="5"/>
      <c r="Z212" s="5"/>
      <c r="AA212" s="5">
        <v>0</v>
      </c>
      <c r="AB212" s="5"/>
      <c r="AC212" s="5">
        <v>0</v>
      </c>
      <c r="AD212" s="5">
        <v>0</v>
      </c>
      <c r="AE212" s="5">
        <v>0</v>
      </c>
      <c r="AF212" s="5">
        <v>1</v>
      </c>
    </row>
    <row r="213" spans="1:32" x14ac:dyDescent="0.2">
      <c r="A213" s="3" t="str">
        <f>+VLOOKUP(B213,studies!$A$2:$C$102,3)</f>
        <v>Kopp et al. (2012)</v>
      </c>
      <c r="B213" s="87">
        <v>78</v>
      </c>
      <c r="C213" s="5">
        <v>2012</v>
      </c>
      <c r="D213" s="5">
        <v>1</v>
      </c>
      <c r="E213" s="5">
        <v>2005</v>
      </c>
      <c r="F213" s="5">
        <v>2015</v>
      </c>
      <c r="G213" s="113">
        <v>6.9444444444444441E-3</v>
      </c>
      <c r="H213" s="7">
        <v>300.21933208169759</v>
      </c>
      <c r="I213" s="5">
        <v>0</v>
      </c>
      <c r="J213" s="5">
        <v>0</v>
      </c>
      <c r="K213" s="5">
        <v>1</v>
      </c>
      <c r="L213" s="7" t="s">
        <v>238</v>
      </c>
      <c r="M213" s="7">
        <v>84.245220737211056</v>
      </c>
      <c r="N213" s="7">
        <v>2481.4046835323988</v>
      </c>
      <c r="O213" s="5">
        <v>0</v>
      </c>
      <c r="P213" s="5">
        <v>1</v>
      </c>
      <c r="Q213" s="5">
        <v>0</v>
      </c>
      <c r="R213" s="5">
        <v>1</v>
      </c>
      <c r="S213" s="5">
        <v>0</v>
      </c>
      <c r="T213" s="5">
        <v>1</v>
      </c>
      <c r="U213" s="5">
        <v>0</v>
      </c>
      <c r="V213" s="13">
        <v>3</v>
      </c>
      <c r="W213" s="13">
        <v>0.14000000000000001</v>
      </c>
      <c r="X213" s="5"/>
      <c r="Y213" s="5"/>
      <c r="Z213" s="5"/>
      <c r="AA213" s="5">
        <v>0</v>
      </c>
      <c r="AB213" s="5"/>
      <c r="AC213" s="5">
        <v>0</v>
      </c>
      <c r="AD213" s="5">
        <v>0</v>
      </c>
      <c r="AE213" s="5">
        <v>0</v>
      </c>
      <c r="AF213" s="5">
        <v>1</v>
      </c>
    </row>
    <row r="214" spans="1:32" x14ac:dyDescent="0.2">
      <c r="A214" s="3" t="str">
        <f>+VLOOKUP(B214,studies!$A$2:$C$102,3)</f>
        <v>Kopp et al. (2012)</v>
      </c>
      <c r="B214" s="87">
        <v>78</v>
      </c>
      <c r="C214" s="5">
        <v>2012</v>
      </c>
      <c r="D214" s="5">
        <v>1</v>
      </c>
      <c r="E214" s="5">
        <v>2005</v>
      </c>
      <c r="F214" s="5">
        <v>2015</v>
      </c>
      <c r="G214" s="113">
        <v>6.9444444444444441E-3</v>
      </c>
      <c r="H214" s="7">
        <v>195.14256585310346</v>
      </c>
      <c r="I214" s="5">
        <v>0</v>
      </c>
      <c r="J214" s="5">
        <v>0</v>
      </c>
      <c r="K214" s="5">
        <v>1</v>
      </c>
      <c r="L214" s="7" t="s">
        <v>238</v>
      </c>
      <c r="M214" s="7">
        <v>53.610595014588867</v>
      </c>
      <c r="N214" s="7">
        <v>2083.1545491383099</v>
      </c>
      <c r="O214" s="5">
        <v>0</v>
      </c>
      <c r="P214" s="5">
        <v>1</v>
      </c>
      <c r="Q214" s="5">
        <v>0</v>
      </c>
      <c r="R214" s="5">
        <v>1</v>
      </c>
      <c r="S214" s="5">
        <v>0</v>
      </c>
      <c r="T214" s="5">
        <v>1</v>
      </c>
      <c r="U214" s="5">
        <v>0</v>
      </c>
      <c r="V214" s="13">
        <v>3</v>
      </c>
      <c r="W214" s="13">
        <v>0.14000000000000001</v>
      </c>
      <c r="X214" s="5"/>
      <c r="Y214" s="5"/>
      <c r="Z214" s="5"/>
      <c r="AA214" s="5">
        <v>0</v>
      </c>
      <c r="AB214" s="5"/>
      <c r="AC214" s="5">
        <v>0</v>
      </c>
      <c r="AD214" s="5">
        <v>0</v>
      </c>
      <c r="AE214" s="5">
        <v>0</v>
      </c>
      <c r="AF214" s="5">
        <v>1</v>
      </c>
    </row>
    <row r="215" spans="1:32" x14ac:dyDescent="0.2">
      <c r="A215" s="3" t="str">
        <f>+VLOOKUP(B215,studies!$A$2:$C$102,3)</f>
        <v>Kopp et al. (2012)</v>
      </c>
      <c r="B215" s="87">
        <v>78</v>
      </c>
      <c r="C215" s="5">
        <v>2012</v>
      </c>
      <c r="D215" s="5">
        <v>1</v>
      </c>
      <c r="E215" s="5">
        <v>2005</v>
      </c>
      <c r="F215" s="5">
        <v>2015</v>
      </c>
      <c r="G215" s="113">
        <v>6.9444444444444441E-3</v>
      </c>
      <c r="H215" s="7">
        <v>120.08773283267904</v>
      </c>
      <c r="I215" s="5">
        <v>0</v>
      </c>
      <c r="J215" s="5">
        <v>0</v>
      </c>
      <c r="K215" s="5">
        <v>1</v>
      </c>
      <c r="L215" s="7" t="s">
        <v>238</v>
      </c>
      <c r="M215" s="7">
        <v>53.61059501458886</v>
      </c>
      <c r="N215" s="7">
        <v>2818.3855664812427</v>
      </c>
      <c r="O215" s="5">
        <v>0</v>
      </c>
      <c r="P215" s="5">
        <v>1</v>
      </c>
      <c r="Q215" s="5">
        <v>0</v>
      </c>
      <c r="R215" s="5">
        <v>1</v>
      </c>
      <c r="S215" s="5">
        <v>0</v>
      </c>
      <c r="T215" s="5">
        <v>1</v>
      </c>
      <c r="U215" s="5">
        <v>0</v>
      </c>
      <c r="V215" s="13">
        <v>3</v>
      </c>
      <c r="W215" s="13">
        <v>0.14000000000000001</v>
      </c>
      <c r="X215" s="5"/>
      <c r="Y215" s="5"/>
      <c r="Z215" s="5"/>
      <c r="AA215" s="5">
        <v>0</v>
      </c>
      <c r="AB215" s="5"/>
      <c r="AC215" s="5">
        <v>0</v>
      </c>
      <c r="AD215" s="5">
        <v>0</v>
      </c>
      <c r="AE215" s="5">
        <v>0</v>
      </c>
      <c r="AF215" s="5">
        <v>1</v>
      </c>
    </row>
    <row r="216" spans="1:32" x14ac:dyDescent="0.2">
      <c r="A216" s="3" t="str">
        <f>+VLOOKUP(B216,studies!$A$2:$C$102,3)</f>
        <v>Kopp et al. (2012)</v>
      </c>
      <c r="B216" s="87">
        <v>78</v>
      </c>
      <c r="C216" s="5">
        <v>2012</v>
      </c>
      <c r="D216" s="5">
        <v>1</v>
      </c>
      <c r="E216" s="5">
        <v>2005</v>
      </c>
      <c r="F216" s="5">
        <v>2015</v>
      </c>
      <c r="G216" s="113">
        <v>6.9444444444444441E-3</v>
      </c>
      <c r="H216" s="7">
        <v>90.065799624509282</v>
      </c>
      <c r="I216" s="5">
        <v>0</v>
      </c>
      <c r="J216" s="5">
        <v>0</v>
      </c>
      <c r="K216" s="5">
        <v>1</v>
      </c>
      <c r="L216" s="7" t="s">
        <v>238</v>
      </c>
      <c r="M216" s="7">
        <v>38.293282153277758</v>
      </c>
      <c r="N216" s="7">
        <v>2626.9191557148538</v>
      </c>
      <c r="O216" s="5">
        <v>0</v>
      </c>
      <c r="P216" s="5">
        <v>1</v>
      </c>
      <c r="Q216" s="5">
        <v>0</v>
      </c>
      <c r="R216" s="5">
        <v>1</v>
      </c>
      <c r="S216" s="5">
        <v>0</v>
      </c>
      <c r="T216" s="5">
        <v>1</v>
      </c>
      <c r="U216" s="5">
        <v>0</v>
      </c>
      <c r="V216" s="13">
        <v>3</v>
      </c>
      <c r="W216" s="13">
        <v>0.14000000000000001</v>
      </c>
      <c r="X216" s="5"/>
      <c r="Y216" s="5"/>
      <c r="Z216" s="5"/>
      <c r="AA216" s="5">
        <v>0</v>
      </c>
      <c r="AB216" s="5"/>
      <c r="AC216" s="5">
        <v>0</v>
      </c>
      <c r="AD216" s="5">
        <v>0</v>
      </c>
      <c r="AE216" s="5">
        <v>0</v>
      </c>
      <c r="AF216" s="5">
        <v>1</v>
      </c>
    </row>
    <row r="217" spans="1:32" x14ac:dyDescent="0.2">
      <c r="A217" s="3" t="str">
        <f>+VLOOKUP(B217,studies!$A$2:$C$102,3)</f>
        <v>Kopp et al. (2012)</v>
      </c>
      <c r="B217" s="87">
        <v>78</v>
      </c>
      <c r="C217" s="5">
        <v>2012</v>
      </c>
      <c r="D217" s="5">
        <v>1</v>
      </c>
      <c r="E217" s="5">
        <v>2005</v>
      </c>
      <c r="F217" s="5">
        <v>2015</v>
      </c>
      <c r="G217" s="113">
        <v>6.9444444444444441E-3</v>
      </c>
      <c r="H217" s="7">
        <v>120.08773283267904</v>
      </c>
      <c r="I217" s="5">
        <v>0</v>
      </c>
      <c r="J217" s="5">
        <v>0</v>
      </c>
      <c r="K217" s="5">
        <v>1</v>
      </c>
      <c r="L217" s="7" t="s">
        <v>238</v>
      </c>
      <c r="M217" s="7">
        <v>53.61059501458886</v>
      </c>
      <c r="N217" s="7">
        <v>3500.0059888095871</v>
      </c>
      <c r="O217" s="5">
        <v>0</v>
      </c>
      <c r="P217" s="5">
        <v>1</v>
      </c>
      <c r="Q217" s="5">
        <v>0</v>
      </c>
      <c r="R217" s="5">
        <v>1</v>
      </c>
      <c r="S217" s="5">
        <v>0</v>
      </c>
      <c r="T217" s="5">
        <v>1</v>
      </c>
      <c r="U217" s="5">
        <v>0</v>
      </c>
      <c r="V217" s="13">
        <v>3</v>
      </c>
      <c r="W217" s="13">
        <v>0.14000000000000001</v>
      </c>
      <c r="X217" s="5"/>
      <c r="Y217" s="5"/>
      <c r="Z217" s="5"/>
      <c r="AA217" s="5">
        <v>0</v>
      </c>
      <c r="AB217" s="5"/>
      <c r="AC217" s="5">
        <v>0</v>
      </c>
      <c r="AD217" s="5">
        <v>0</v>
      </c>
      <c r="AE217" s="5">
        <v>0</v>
      </c>
      <c r="AF217" s="5">
        <v>1</v>
      </c>
    </row>
    <row r="218" spans="1:32" x14ac:dyDescent="0.2">
      <c r="A218" s="3" t="str">
        <f>+VLOOKUP(B218,studies!$A$2:$C$102,3)</f>
        <v>Kopp et al. (2012)</v>
      </c>
      <c r="B218" s="87">
        <v>78</v>
      </c>
      <c r="C218" s="5">
        <v>2012</v>
      </c>
      <c r="D218" s="5">
        <v>1</v>
      </c>
      <c r="E218" s="5">
        <v>2005</v>
      </c>
      <c r="F218" s="5">
        <v>2015</v>
      </c>
      <c r="G218" s="113">
        <v>6.9444444444444441E-3</v>
      </c>
      <c r="H218" s="7">
        <v>120.08773283267904</v>
      </c>
      <c r="I218" s="5">
        <v>0</v>
      </c>
      <c r="J218" s="5">
        <v>0</v>
      </c>
      <c r="K218" s="5">
        <v>1</v>
      </c>
      <c r="L218" s="7" t="s">
        <v>238</v>
      </c>
      <c r="M218" s="7">
        <v>53.61059501458886</v>
      </c>
      <c r="N218" s="7">
        <v>3392.7847987804093</v>
      </c>
      <c r="O218" s="5">
        <v>0</v>
      </c>
      <c r="P218" s="5">
        <v>1</v>
      </c>
      <c r="Q218" s="5">
        <v>0</v>
      </c>
      <c r="R218" s="5">
        <v>1</v>
      </c>
      <c r="S218" s="5">
        <v>0</v>
      </c>
      <c r="T218" s="5">
        <v>1</v>
      </c>
      <c r="U218" s="5">
        <v>0</v>
      </c>
      <c r="V218" s="13">
        <v>3</v>
      </c>
      <c r="W218" s="13">
        <v>0.14000000000000001</v>
      </c>
      <c r="X218" s="5"/>
      <c r="Y218" s="5"/>
      <c r="Z218" s="5"/>
      <c r="AA218" s="5">
        <v>0</v>
      </c>
      <c r="AB218" s="5"/>
      <c r="AC218" s="5">
        <v>0</v>
      </c>
      <c r="AD218" s="5">
        <v>0</v>
      </c>
      <c r="AE218" s="5">
        <v>0</v>
      </c>
      <c r="AF218" s="5">
        <v>1</v>
      </c>
    </row>
    <row r="219" spans="1:32" x14ac:dyDescent="0.2">
      <c r="A219" s="3" t="str">
        <f>+VLOOKUP(B219,studies!$A$2:$C$102,3)</f>
        <v>Kopp et al. (2012)</v>
      </c>
      <c r="B219" s="87">
        <v>78</v>
      </c>
      <c r="C219" s="5">
        <v>2012</v>
      </c>
      <c r="D219" s="5">
        <v>1</v>
      </c>
      <c r="E219" s="5">
        <v>2005</v>
      </c>
      <c r="F219" s="5">
        <v>2015</v>
      </c>
      <c r="G219" s="113">
        <v>6.9444444444444441E-3</v>
      </c>
      <c r="H219" s="7">
        <v>720.52639699607425</v>
      </c>
      <c r="I219" s="5">
        <v>0</v>
      </c>
      <c r="J219" s="5">
        <v>0</v>
      </c>
      <c r="K219" s="5">
        <v>1</v>
      </c>
      <c r="L219" s="7" t="s">
        <v>238</v>
      </c>
      <c r="M219" s="7">
        <v>206.78372362769989</v>
      </c>
      <c r="N219" s="7">
        <v>735.23101734293289</v>
      </c>
      <c r="O219" s="5">
        <v>0</v>
      </c>
      <c r="P219" s="5">
        <v>1</v>
      </c>
      <c r="Q219" s="5">
        <v>0</v>
      </c>
      <c r="R219" s="5">
        <v>1</v>
      </c>
      <c r="S219" s="5">
        <v>0</v>
      </c>
      <c r="T219" s="5">
        <v>1</v>
      </c>
      <c r="U219" s="5">
        <v>0</v>
      </c>
      <c r="V219" s="13">
        <v>3</v>
      </c>
      <c r="W219" s="13">
        <v>-1.1000000000000001</v>
      </c>
      <c r="X219" s="5"/>
      <c r="Y219" s="5"/>
      <c r="Z219" s="5"/>
      <c r="AA219" s="5">
        <v>0</v>
      </c>
      <c r="AB219" s="5"/>
      <c r="AC219" s="5">
        <v>0</v>
      </c>
      <c r="AD219" s="5">
        <v>0</v>
      </c>
      <c r="AE219" s="5">
        <v>0</v>
      </c>
      <c r="AF219" s="5">
        <v>1</v>
      </c>
    </row>
    <row r="220" spans="1:32" x14ac:dyDescent="0.2">
      <c r="A220" s="3" t="str">
        <f>+VLOOKUP(B220,studies!$A$2:$C$102,3)</f>
        <v>Kopp et al. (2012)</v>
      </c>
      <c r="B220" s="87">
        <v>78</v>
      </c>
      <c r="C220" s="5">
        <v>2012</v>
      </c>
      <c r="D220" s="5">
        <v>1</v>
      </c>
      <c r="E220" s="5">
        <v>2005</v>
      </c>
      <c r="F220" s="5">
        <v>2015</v>
      </c>
      <c r="G220" s="113">
        <v>6.9444444444444441E-3</v>
      </c>
      <c r="H220" s="7">
        <v>735.53736360015921</v>
      </c>
      <c r="I220" s="5">
        <v>0</v>
      </c>
      <c r="J220" s="5">
        <v>0</v>
      </c>
      <c r="K220" s="5">
        <v>1</v>
      </c>
      <c r="L220" s="7" t="s">
        <v>238</v>
      </c>
      <c r="M220" s="7">
        <v>214.44238005835544</v>
      </c>
      <c r="N220" s="7">
        <v>788.84161235752163</v>
      </c>
      <c r="O220" s="5">
        <v>0</v>
      </c>
      <c r="P220" s="5">
        <v>1</v>
      </c>
      <c r="Q220" s="5">
        <v>0</v>
      </c>
      <c r="R220" s="5">
        <v>1</v>
      </c>
      <c r="S220" s="5">
        <v>0</v>
      </c>
      <c r="T220" s="5">
        <v>1</v>
      </c>
      <c r="U220" s="5">
        <v>0</v>
      </c>
      <c r="V220" s="13">
        <v>3</v>
      </c>
      <c r="W220" s="13">
        <v>-1.1000000000000001</v>
      </c>
      <c r="X220" s="5"/>
      <c r="Y220" s="5"/>
      <c r="Z220" s="5"/>
      <c r="AA220" s="5">
        <v>0</v>
      </c>
      <c r="AB220" s="5"/>
      <c r="AC220" s="5">
        <v>0</v>
      </c>
      <c r="AD220" s="5">
        <v>0</v>
      </c>
      <c r="AE220" s="5">
        <v>0</v>
      </c>
      <c r="AF220" s="5">
        <v>1</v>
      </c>
    </row>
    <row r="221" spans="1:32" x14ac:dyDescent="0.2">
      <c r="A221" s="3" t="str">
        <f>+VLOOKUP(B221,studies!$A$2:$C$102,3)</f>
        <v>Kopp et al. (2012)</v>
      </c>
      <c r="B221" s="87">
        <v>78</v>
      </c>
      <c r="C221" s="5">
        <v>2012</v>
      </c>
      <c r="D221" s="5">
        <v>1</v>
      </c>
      <c r="E221" s="5">
        <v>2005</v>
      </c>
      <c r="F221" s="5">
        <v>2015</v>
      </c>
      <c r="G221" s="113">
        <v>6.9444444444444441E-3</v>
      </c>
      <c r="H221" s="7">
        <v>630.46059737156497</v>
      </c>
      <c r="I221" s="5">
        <v>0</v>
      </c>
      <c r="J221" s="5">
        <v>0</v>
      </c>
      <c r="K221" s="5">
        <v>1</v>
      </c>
      <c r="L221" s="7" t="s">
        <v>238</v>
      </c>
      <c r="M221" s="7">
        <v>191.4664107663888</v>
      </c>
      <c r="N221" s="7">
        <v>650.98579660572193</v>
      </c>
      <c r="O221" s="5">
        <v>0</v>
      </c>
      <c r="P221" s="5">
        <v>1</v>
      </c>
      <c r="Q221" s="5">
        <v>0</v>
      </c>
      <c r="R221" s="5">
        <v>1</v>
      </c>
      <c r="S221" s="5">
        <v>0</v>
      </c>
      <c r="T221" s="5">
        <v>1</v>
      </c>
      <c r="U221" s="5">
        <v>0</v>
      </c>
      <c r="V221" s="13">
        <v>3</v>
      </c>
      <c r="W221" s="13">
        <v>-1.1000000000000001</v>
      </c>
      <c r="X221" s="5"/>
      <c r="Y221" s="5"/>
      <c r="Z221" s="5"/>
      <c r="AA221" s="5">
        <v>0</v>
      </c>
      <c r="AB221" s="5"/>
      <c r="AC221" s="5">
        <v>0</v>
      </c>
      <c r="AD221" s="5">
        <v>0</v>
      </c>
      <c r="AE221" s="5">
        <v>0</v>
      </c>
      <c r="AF221" s="5">
        <v>1</v>
      </c>
    </row>
    <row r="222" spans="1:32" x14ac:dyDescent="0.2">
      <c r="A222" s="3" t="str">
        <f>+VLOOKUP(B222,studies!$A$2:$C$102,3)</f>
        <v>Kopp et al. (2012)</v>
      </c>
      <c r="B222" s="87">
        <v>78</v>
      </c>
      <c r="C222" s="5">
        <v>2012</v>
      </c>
      <c r="D222" s="5">
        <v>1</v>
      </c>
      <c r="E222" s="5">
        <v>2005</v>
      </c>
      <c r="F222" s="5">
        <v>2015</v>
      </c>
      <c r="G222" s="113">
        <v>6.9444444444444441E-3</v>
      </c>
      <c r="H222" s="7">
        <v>1621.1843932411671</v>
      </c>
      <c r="I222" s="5">
        <v>0</v>
      </c>
      <c r="J222" s="5">
        <v>0</v>
      </c>
      <c r="K222" s="5">
        <v>1</v>
      </c>
      <c r="L222" s="7" t="s">
        <v>238</v>
      </c>
      <c r="M222" s="7">
        <v>497.81266799261078</v>
      </c>
      <c r="N222" s="7">
        <v>2060.1785798463434</v>
      </c>
      <c r="O222" s="5">
        <v>0</v>
      </c>
      <c r="P222" s="5">
        <v>1</v>
      </c>
      <c r="Q222" s="5">
        <v>0</v>
      </c>
      <c r="R222" s="5">
        <v>1</v>
      </c>
      <c r="S222" s="5">
        <v>0</v>
      </c>
      <c r="T222" s="5">
        <v>1</v>
      </c>
      <c r="U222" s="5">
        <v>0</v>
      </c>
      <c r="V222" s="13">
        <v>3</v>
      </c>
      <c r="W222" s="13">
        <v>-1.1000000000000001</v>
      </c>
      <c r="X222" s="5"/>
      <c r="Y222" s="5"/>
      <c r="Z222" s="5"/>
      <c r="AA222" s="5">
        <v>0</v>
      </c>
      <c r="AB222" s="5"/>
      <c r="AC222" s="5">
        <v>0</v>
      </c>
      <c r="AD222" s="5">
        <v>0</v>
      </c>
      <c r="AE222" s="5">
        <v>0</v>
      </c>
      <c r="AF222" s="5">
        <v>1</v>
      </c>
    </row>
    <row r="223" spans="1:32" x14ac:dyDescent="0.2">
      <c r="A223" s="3" t="str">
        <f>+VLOOKUP(B223,studies!$A$2:$C$102,3)</f>
        <v>Kopp et al. (2012)</v>
      </c>
      <c r="B223" s="87">
        <v>78</v>
      </c>
      <c r="C223" s="5">
        <v>2012</v>
      </c>
      <c r="D223" s="5">
        <v>1</v>
      </c>
      <c r="E223" s="5">
        <v>2005</v>
      </c>
      <c r="F223" s="5">
        <v>2015</v>
      </c>
      <c r="G223" s="113">
        <v>6.9444444444444441E-3</v>
      </c>
      <c r="H223" s="7">
        <v>1621.1843932411671</v>
      </c>
      <c r="I223" s="5">
        <v>0</v>
      </c>
      <c r="J223" s="5">
        <v>0</v>
      </c>
      <c r="K223" s="5">
        <v>1</v>
      </c>
      <c r="L223" s="7" t="s">
        <v>238</v>
      </c>
      <c r="M223" s="7">
        <v>497.81266799261078</v>
      </c>
      <c r="N223" s="7">
        <v>2060.1785798463434</v>
      </c>
      <c r="O223" s="5">
        <v>0</v>
      </c>
      <c r="P223" s="5">
        <v>1</v>
      </c>
      <c r="Q223" s="5">
        <v>0</v>
      </c>
      <c r="R223" s="5">
        <v>1</v>
      </c>
      <c r="S223" s="5">
        <v>0</v>
      </c>
      <c r="T223" s="5">
        <v>1</v>
      </c>
      <c r="U223" s="5">
        <v>0</v>
      </c>
      <c r="V223" s="13">
        <v>3</v>
      </c>
      <c r="W223" s="13">
        <v>-1.1000000000000001</v>
      </c>
      <c r="X223" s="5"/>
      <c r="Y223" s="5"/>
      <c r="Z223" s="5"/>
      <c r="AA223" s="5">
        <v>0</v>
      </c>
      <c r="AB223" s="5"/>
      <c r="AC223" s="5">
        <v>0</v>
      </c>
      <c r="AD223" s="5">
        <v>0</v>
      </c>
      <c r="AE223" s="5">
        <v>0</v>
      </c>
      <c r="AF223" s="5">
        <v>1</v>
      </c>
    </row>
    <row r="224" spans="1:32" x14ac:dyDescent="0.2">
      <c r="A224" s="3" t="str">
        <f>+VLOOKUP(B224,studies!$A$2:$C$102,3)</f>
        <v>Kopp et al. (2012)</v>
      </c>
      <c r="B224" s="87">
        <v>78</v>
      </c>
      <c r="C224" s="5">
        <v>2012</v>
      </c>
      <c r="D224" s="5">
        <v>1</v>
      </c>
      <c r="E224" s="5">
        <v>2005</v>
      </c>
      <c r="F224" s="5">
        <v>2015</v>
      </c>
      <c r="G224" s="113">
        <v>6.9444444444444441E-3</v>
      </c>
      <c r="H224" s="7">
        <v>3422.5003857313527</v>
      </c>
      <c r="I224" s="5">
        <v>0</v>
      </c>
      <c r="J224" s="5">
        <v>0</v>
      </c>
      <c r="K224" s="5">
        <v>1</v>
      </c>
      <c r="L224" s="7" t="s">
        <v>238</v>
      </c>
      <c r="M224" s="7">
        <v>1110.505182445055</v>
      </c>
      <c r="N224" s="7">
        <v>5070.0305570939754</v>
      </c>
      <c r="O224" s="5">
        <v>0</v>
      </c>
      <c r="P224" s="5">
        <v>1</v>
      </c>
      <c r="Q224" s="5">
        <v>0</v>
      </c>
      <c r="R224" s="5">
        <v>1</v>
      </c>
      <c r="S224" s="5">
        <v>0</v>
      </c>
      <c r="T224" s="5">
        <v>1</v>
      </c>
      <c r="U224" s="5">
        <v>0</v>
      </c>
      <c r="V224" s="13">
        <v>3</v>
      </c>
      <c r="W224" s="13">
        <v>-1.1000000000000001</v>
      </c>
      <c r="X224" s="5"/>
      <c r="Y224" s="5"/>
      <c r="Z224" s="5"/>
      <c r="AA224" s="5">
        <v>0</v>
      </c>
      <c r="AB224" s="5"/>
      <c r="AC224" s="5">
        <v>0</v>
      </c>
      <c r="AD224" s="5">
        <v>0</v>
      </c>
      <c r="AE224" s="5">
        <v>0</v>
      </c>
      <c r="AF224" s="5">
        <v>1</v>
      </c>
    </row>
    <row r="225" spans="1:32" x14ac:dyDescent="0.2">
      <c r="A225" s="3" t="str">
        <f>+VLOOKUP(B225,studies!$A$2:$C$102,3)</f>
        <v>Kopp et al. (2012)</v>
      </c>
      <c r="B225" s="87">
        <v>78</v>
      </c>
      <c r="C225" s="5">
        <v>2012</v>
      </c>
      <c r="D225" s="5">
        <v>1</v>
      </c>
      <c r="E225" s="5">
        <v>2005</v>
      </c>
      <c r="F225" s="5">
        <v>2015</v>
      </c>
      <c r="G225" s="113">
        <v>6.9444444444444441E-3</v>
      </c>
      <c r="H225" s="7">
        <v>480.35093133071615</v>
      </c>
      <c r="I225" s="5">
        <v>0</v>
      </c>
      <c r="J225" s="5">
        <v>0</v>
      </c>
      <c r="K225" s="5">
        <v>1</v>
      </c>
      <c r="L225" s="7" t="s">
        <v>238</v>
      </c>
      <c r="M225" s="7">
        <v>130.19715932114437</v>
      </c>
      <c r="N225" s="7">
        <v>359.95685224081097</v>
      </c>
      <c r="O225" s="5">
        <v>0</v>
      </c>
      <c r="P225" s="5">
        <v>1</v>
      </c>
      <c r="Q225" s="5">
        <v>0</v>
      </c>
      <c r="R225" s="5">
        <v>1</v>
      </c>
      <c r="S225" s="5">
        <v>0</v>
      </c>
      <c r="T225" s="5">
        <v>1</v>
      </c>
      <c r="U225" s="5">
        <v>0</v>
      </c>
      <c r="V225" s="13">
        <v>3</v>
      </c>
      <c r="W225" s="13">
        <v>-1.1000000000000001</v>
      </c>
      <c r="X225" s="5"/>
      <c r="Y225" s="5"/>
      <c r="Z225" s="5"/>
      <c r="AA225" s="5">
        <v>0</v>
      </c>
      <c r="AB225" s="5"/>
      <c r="AC225" s="5">
        <v>0</v>
      </c>
      <c r="AD225" s="5">
        <v>0</v>
      </c>
      <c r="AE225" s="5">
        <v>0</v>
      </c>
      <c r="AF225" s="5">
        <v>1</v>
      </c>
    </row>
    <row r="226" spans="1:32" x14ac:dyDescent="0.2">
      <c r="A226" s="3" t="str">
        <f>+VLOOKUP(B226,studies!$A$2:$C$102,3)</f>
        <v>Kopp et al. (2012)</v>
      </c>
      <c r="B226" s="87">
        <v>78</v>
      </c>
      <c r="C226" s="5">
        <v>2012</v>
      </c>
      <c r="D226" s="5">
        <v>1</v>
      </c>
      <c r="E226" s="5">
        <v>2005</v>
      </c>
      <c r="F226" s="5">
        <v>2015</v>
      </c>
      <c r="G226" s="113">
        <v>6.9444444444444441E-3</v>
      </c>
      <c r="H226" s="7">
        <v>720.52639699607425</v>
      </c>
      <c r="I226" s="5">
        <v>0</v>
      </c>
      <c r="J226" s="5">
        <v>0</v>
      </c>
      <c r="K226" s="5">
        <v>1</v>
      </c>
      <c r="L226" s="7" t="s">
        <v>238</v>
      </c>
      <c r="M226" s="7">
        <v>206.78372362769989</v>
      </c>
      <c r="N226" s="7">
        <v>934.35608453997725</v>
      </c>
      <c r="O226" s="5">
        <v>0</v>
      </c>
      <c r="P226" s="5">
        <v>1</v>
      </c>
      <c r="Q226" s="5">
        <v>0</v>
      </c>
      <c r="R226" s="5">
        <v>1</v>
      </c>
      <c r="S226" s="5">
        <v>0</v>
      </c>
      <c r="T226" s="5">
        <v>1</v>
      </c>
      <c r="U226" s="5">
        <v>0</v>
      </c>
      <c r="V226" s="13">
        <v>3</v>
      </c>
      <c r="W226" s="13">
        <v>-1.1000000000000001</v>
      </c>
      <c r="X226" s="5"/>
      <c r="Y226" s="5"/>
      <c r="Z226" s="5"/>
      <c r="AA226" s="5">
        <v>0</v>
      </c>
      <c r="AB226" s="5"/>
      <c r="AC226" s="5">
        <v>0</v>
      </c>
      <c r="AD226" s="5">
        <v>0</v>
      </c>
      <c r="AE226" s="5">
        <v>0</v>
      </c>
      <c r="AF226" s="5">
        <v>1</v>
      </c>
    </row>
    <row r="227" spans="1:32" x14ac:dyDescent="0.2">
      <c r="A227" s="3" t="str">
        <f>+VLOOKUP(B227,studies!$A$2:$C$102,3)</f>
        <v>Kopp et al. (2012)</v>
      </c>
      <c r="B227" s="87">
        <v>78</v>
      </c>
      <c r="C227" s="5">
        <v>2012</v>
      </c>
      <c r="D227" s="5">
        <v>1</v>
      </c>
      <c r="E227" s="5">
        <v>2005</v>
      </c>
      <c r="F227" s="5">
        <v>2015</v>
      </c>
      <c r="G227" s="113">
        <v>6.9444444444444441E-3</v>
      </c>
      <c r="H227" s="7">
        <v>720.52639699607425</v>
      </c>
      <c r="I227" s="5">
        <v>0</v>
      </c>
      <c r="J227" s="5">
        <v>0</v>
      </c>
      <c r="K227" s="5">
        <v>1</v>
      </c>
      <c r="L227" s="7" t="s">
        <v>238</v>
      </c>
      <c r="M227" s="7">
        <v>206.78372362769989</v>
      </c>
      <c r="N227" s="7">
        <v>735.23101734293289</v>
      </c>
      <c r="O227" s="5">
        <v>0</v>
      </c>
      <c r="P227" s="5">
        <v>1</v>
      </c>
      <c r="Q227" s="5">
        <v>0</v>
      </c>
      <c r="R227" s="5">
        <v>1</v>
      </c>
      <c r="S227" s="5">
        <v>0</v>
      </c>
      <c r="T227" s="5">
        <v>1</v>
      </c>
      <c r="U227" s="5">
        <v>0</v>
      </c>
      <c r="V227" s="13">
        <v>3</v>
      </c>
      <c r="W227" s="13">
        <v>-1.1000000000000001</v>
      </c>
      <c r="X227" s="5"/>
      <c r="Y227" s="5"/>
      <c r="Z227" s="5"/>
      <c r="AA227" s="5">
        <v>0</v>
      </c>
      <c r="AB227" s="5"/>
      <c r="AC227" s="5">
        <v>0</v>
      </c>
      <c r="AD227" s="5">
        <v>0</v>
      </c>
      <c r="AE227" s="5">
        <v>0</v>
      </c>
      <c r="AF227" s="5">
        <v>1</v>
      </c>
    </row>
    <row r="228" spans="1:32" x14ac:dyDescent="0.2">
      <c r="A228" s="3" t="str">
        <f>+VLOOKUP(B228,studies!$A$2:$C$102,3)</f>
        <v>Kopp et al. (2012)</v>
      </c>
      <c r="B228" s="87">
        <v>78</v>
      </c>
      <c r="C228" s="5">
        <v>2012</v>
      </c>
      <c r="D228" s="5">
        <v>1</v>
      </c>
      <c r="E228" s="5">
        <v>2005</v>
      </c>
      <c r="F228" s="5">
        <v>2015</v>
      </c>
      <c r="G228" s="113">
        <v>6.9444444444444441E-3</v>
      </c>
      <c r="H228" s="7">
        <v>825.60316322466838</v>
      </c>
      <c r="I228" s="5">
        <v>0</v>
      </c>
      <c r="J228" s="5">
        <v>0</v>
      </c>
      <c r="K228" s="5">
        <v>1</v>
      </c>
      <c r="L228" s="7" t="s">
        <v>238</v>
      </c>
      <c r="M228" s="7">
        <v>275.71163150359985</v>
      </c>
      <c r="N228" s="7">
        <v>2404.818119225843</v>
      </c>
      <c r="O228" s="5">
        <v>0</v>
      </c>
      <c r="P228" s="5">
        <v>1</v>
      </c>
      <c r="Q228" s="5">
        <v>0</v>
      </c>
      <c r="R228" s="5">
        <v>1</v>
      </c>
      <c r="S228" s="5">
        <v>0</v>
      </c>
      <c r="T228" s="5">
        <v>1</v>
      </c>
      <c r="U228" s="5">
        <v>0</v>
      </c>
      <c r="V228" s="13">
        <v>3</v>
      </c>
      <c r="W228" s="13">
        <v>-1.1000000000000001</v>
      </c>
      <c r="X228" s="5"/>
      <c r="Y228" s="5"/>
      <c r="Z228" s="5"/>
      <c r="AA228" s="5">
        <v>0</v>
      </c>
      <c r="AB228" s="5"/>
      <c r="AC228" s="5">
        <v>0</v>
      </c>
      <c r="AD228" s="5">
        <v>0</v>
      </c>
      <c r="AE228" s="5">
        <v>0</v>
      </c>
      <c r="AF228" s="5">
        <v>1</v>
      </c>
    </row>
    <row r="229" spans="1:32" x14ac:dyDescent="0.2">
      <c r="A229" s="3" t="str">
        <f>+VLOOKUP(B229,studies!$A$2:$C$102,3)</f>
        <v>Kopp et al. (2012)</v>
      </c>
      <c r="B229" s="87">
        <v>78</v>
      </c>
      <c r="C229" s="5">
        <v>2012</v>
      </c>
      <c r="D229" s="5">
        <v>1</v>
      </c>
      <c r="E229" s="5">
        <v>2005</v>
      </c>
      <c r="F229" s="5">
        <v>2015</v>
      </c>
      <c r="G229" s="113">
        <v>6.9444444444444441E-3</v>
      </c>
      <c r="H229" s="7">
        <v>255.18643226944297</v>
      </c>
      <c r="I229" s="5">
        <v>0</v>
      </c>
      <c r="J229" s="5">
        <v>0</v>
      </c>
      <c r="K229" s="5">
        <v>1</v>
      </c>
      <c r="L229" s="7" t="s">
        <v>238</v>
      </c>
      <c r="M229" s="7">
        <v>76.58656430655553</v>
      </c>
      <c r="N229" s="7">
        <v>1998.9093284010987</v>
      </c>
      <c r="O229" s="5">
        <v>0</v>
      </c>
      <c r="P229" s="5">
        <v>1</v>
      </c>
      <c r="Q229" s="5">
        <v>0</v>
      </c>
      <c r="R229" s="5">
        <v>1</v>
      </c>
      <c r="S229" s="5">
        <v>0</v>
      </c>
      <c r="T229" s="5">
        <v>1</v>
      </c>
      <c r="U229" s="5">
        <v>0</v>
      </c>
      <c r="V229" s="13">
        <v>3</v>
      </c>
      <c r="W229" s="13">
        <v>-1.1000000000000001</v>
      </c>
      <c r="X229" s="5"/>
      <c r="Y229" s="5"/>
      <c r="Z229" s="5"/>
      <c r="AA229" s="5">
        <v>0</v>
      </c>
      <c r="AB229" s="5"/>
      <c r="AC229" s="5">
        <v>0</v>
      </c>
      <c r="AD229" s="5">
        <v>0</v>
      </c>
      <c r="AE229" s="5">
        <v>0</v>
      </c>
      <c r="AF229" s="5">
        <v>1</v>
      </c>
    </row>
    <row r="230" spans="1:32" x14ac:dyDescent="0.2">
      <c r="A230" s="3" t="str">
        <f>+VLOOKUP(B230,studies!$A$2:$C$102,3)</f>
        <v>Kopp et al. (2012)</v>
      </c>
      <c r="B230" s="87">
        <v>78</v>
      </c>
      <c r="C230" s="5">
        <v>2012</v>
      </c>
      <c r="D230" s="5">
        <v>1</v>
      </c>
      <c r="E230" s="5">
        <v>2005</v>
      </c>
      <c r="F230" s="5">
        <v>2015</v>
      </c>
      <c r="G230" s="113">
        <v>6.9444444444444441E-3</v>
      </c>
      <c r="H230" s="7">
        <v>165.12063264493366</v>
      </c>
      <c r="I230" s="5">
        <v>0</v>
      </c>
      <c r="J230" s="5">
        <v>0</v>
      </c>
      <c r="K230" s="5">
        <v>1</v>
      </c>
      <c r="L230" s="7" t="s">
        <v>238</v>
      </c>
      <c r="M230" s="7">
        <v>45.951938583933298</v>
      </c>
      <c r="N230" s="7">
        <v>2014.2266412624101</v>
      </c>
      <c r="O230" s="5">
        <v>0</v>
      </c>
      <c r="P230" s="5">
        <v>1</v>
      </c>
      <c r="Q230" s="5">
        <v>0</v>
      </c>
      <c r="R230" s="5">
        <v>1</v>
      </c>
      <c r="S230" s="5">
        <v>0</v>
      </c>
      <c r="T230" s="5">
        <v>1</v>
      </c>
      <c r="U230" s="5">
        <v>0</v>
      </c>
      <c r="V230" s="13">
        <v>3</v>
      </c>
      <c r="W230" s="13">
        <v>-1.1000000000000001</v>
      </c>
      <c r="X230" s="5"/>
      <c r="Y230" s="5"/>
      <c r="Z230" s="5"/>
      <c r="AA230" s="5">
        <v>0</v>
      </c>
      <c r="AB230" s="5"/>
      <c r="AC230" s="5">
        <v>0</v>
      </c>
      <c r="AD230" s="5">
        <v>0</v>
      </c>
      <c r="AE230" s="5">
        <v>0</v>
      </c>
      <c r="AF230" s="5">
        <v>1</v>
      </c>
    </row>
    <row r="231" spans="1:32" x14ac:dyDescent="0.2">
      <c r="A231" s="3" t="str">
        <f>+VLOOKUP(B231,studies!$A$2:$C$102,3)</f>
        <v>Kopp et al. (2012)</v>
      </c>
      <c r="B231" s="87">
        <v>78</v>
      </c>
      <c r="C231" s="5">
        <v>2012</v>
      </c>
      <c r="D231" s="5">
        <v>1</v>
      </c>
      <c r="E231" s="5">
        <v>2005</v>
      </c>
      <c r="F231" s="5">
        <v>2015</v>
      </c>
      <c r="G231" s="113">
        <v>6.9444444444444441E-3</v>
      </c>
      <c r="H231" s="7">
        <v>390.28513170620693</v>
      </c>
      <c r="I231" s="5">
        <v>0</v>
      </c>
      <c r="J231" s="5">
        <v>0</v>
      </c>
      <c r="K231" s="5">
        <v>1</v>
      </c>
      <c r="L231" s="7" t="s">
        <v>238</v>
      </c>
      <c r="M231" s="7">
        <v>114.87984645983329</v>
      </c>
      <c r="N231" s="7">
        <v>3637.8618045613871</v>
      </c>
      <c r="O231" s="5">
        <v>0</v>
      </c>
      <c r="P231" s="5">
        <v>1</v>
      </c>
      <c r="Q231" s="5">
        <v>0</v>
      </c>
      <c r="R231" s="5">
        <v>1</v>
      </c>
      <c r="S231" s="5">
        <v>0</v>
      </c>
      <c r="T231" s="5">
        <v>1</v>
      </c>
      <c r="U231" s="5">
        <v>0</v>
      </c>
      <c r="V231" s="13">
        <v>3</v>
      </c>
      <c r="W231" s="13">
        <v>-1.1000000000000001</v>
      </c>
      <c r="X231" s="5"/>
      <c r="Y231" s="5"/>
      <c r="Z231" s="5"/>
      <c r="AA231" s="5">
        <v>0</v>
      </c>
      <c r="AB231" s="5"/>
      <c r="AC231" s="5">
        <v>0</v>
      </c>
      <c r="AD231" s="5">
        <v>0</v>
      </c>
      <c r="AE231" s="5">
        <v>0</v>
      </c>
      <c r="AF231" s="5">
        <v>1</v>
      </c>
    </row>
    <row r="232" spans="1:32" x14ac:dyDescent="0.2">
      <c r="A232" s="3" t="str">
        <f>+VLOOKUP(B232,studies!$A$2:$C$102,3)</f>
        <v>Kopp et al. (2012)</v>
      </c>
      <c r="B232" s="87">
        <v>78</v>
      </c>
      <c r="C232" s="5">
        <v>2012</v>
      </c>
      <c r="D232" s="5">
        <v>1</v>
      </c>
      <c r="E232" s="5">
        <v>2005</v>
      </c>
      <c r="F232" s="5">
        <v>2015</v>
      </c>
      <c r="G232" s="113">
        <v>6.9444444444444441E-3</v>
      </c>
      <c r="H232" s="7">
        <v>390.28513170620693</v>
      </c>
      <c r="I232" s="5">
        <v>0</v>
      </c>
      <c r="J232" s="5">
        <v>0</v>
      </c>
      <c r="K232" s="5">
        <v>1</v>
      </c>
      <c r="L232" s="7" t="s">
        <v>238</v>
      </c>
      <c r="M232" s="7">
        <v>114.87984645983329</v>
      </c>
      <c r="N232" s="7">
        <v>3637.8618045613871</v>
      </c>
      <c r="O232" s="5">
        <v>0</v>
      </c>
      <c r="P232" s="5">
        <v>1</v>
      </c>
      <c r="Q232" s="5">
        <v>0</v>
      </c>
      <c r="R232" s="5">
        <v>1</v>
      </c>
      <c r="S232" s="5">
        <v>0</v>
      </c>
      <c r="T232" s="5">
        <v>1</v>
      </c>
      <c r="U232" s="5">
        <v>0</v>
      </c>
      <c r="V232" s="13">
        <v>3</v>
      </c>
      <c r="W232" s="13">
        <v>-1.1000000000000001</v>
      </c>
      <c r="X232" s="5"/>
      <c r="Y232" s="5"/>
      <c r="Z232" s="5"/>
      <c r="AA232" s="5">
        <v>0</v>
      </c>
      <c r="AB232" s="5"/>
      <c r="AC232" s="5">
        <v>0</v>
      </c>
      <c r="AD232" s="5">
        <v>0</v>
      </c>
      <c r="AE232" s="5">
        <v>0</v>
      </c>
      <c r="AF232" s="5">
        <v>1</v>
      </c>
    </row>
    <row r="233" spans="1:32" x14ac:dyDescent="0.2">
      <c r="A233" s="3" t="str">
        <f>+VLOOKUP(B233,studies!$A$2:$C$102,3)</f>
        <v>Kopp et al. (2012)</v>
      </c>
      <c r="B233" s="87">
        <v>78</v>
      </c>
      <c r="C233" s="5">
        <v>2012</v>
      </c>
      <c r="D233" s="5">
        <v>1</v>
      </c>
      <c r="E233" s="5">
        <v>2005</v>
      </c>
      <c r="F233" s="5">
        <v>2015</v>
      </c>
      <c r="G233" s="113">
        <v>6.9444444444444441E-3</v>
      </c>
      <c r="H233" s="7">
        <v>150.10966604084879</v>
      </c>
      <c r="I233" s="5">
        <v>0</v>
      </c>
      <c r="J233" s="5">
        <v>0</v>
      </c>
      <c r="K233" s="5">
        <v>1</v>
      </c>
      <c r="L233" s="7" t="s">
        <v>238</v>
      </c>
      <c r="M233" s="7">
        <v>61.269251445244407</v>
      </c>
      <c r="N233" s="7">
        <v>4143.3331289846528</v>
      </c>
      <c r="O233" s="5">
        <v>0</v>
      </c>
      <c r="P233" s="5">
        <v>1</v>
      </c>
      <c r="Q233" s="5">
        <v>0</v>
      </c>
      <c r="R233" s="5">
        <v>1</v>
      </c>
      <c r="S233" s="5">
        <v>0</v>
      </c>
      <c r="T233" s="5">
        <v>1</v>
      </c>
      <c r="U233" s="5">
        <v>0</v>
      </c>
      <c r="V233" s="13">
        <v>3</v>
      </c>
      <c r="W233" s="13">
        <v>-1.1000000000000001</v>
      </c>
      <c r="X233" s="5"/>
      <c r="Y233" s="5"/>
      <c r="Z233" s="5"/>
      <c r="AA233" s="5">
        <v>0</v>
      </c>
      <c r="AB233" s="5"/>
      <c r="AC233" s="5">
        <v>0</v>
      </c>
      <c r="AD233" s="5">
        <v>0</v>
      </c>
      <c r="AE233" s="5">
        <v>0</v>
      </c>
      <c r="AF233" s="5">
        <v>1</v>
      </c>
    </row>
    <row r="234" spans="1:32" x14ac:dyDescent="0.2">
      <c r="A234" s="3" t="str">
        <f>+VLOOKUP(B234,studies!$A$2:$C$102,3)</f>
        <v>Kopp et al. (2012)</v>
      </c>
      <c r="B234" s="87">
        <v>78</v>
      </c>
      <c r="C234" s="5">
        <v>2012</v>
      </c>
      <c r="D234" s="5">
        <v>1</v>
      </c>
      <c r="E234" s="5">
        <v>2005</v>
      </c>
      <c r="F234" s="5">
        <v>2015</v>
      </c>
      <c r="G234" s="113">
        <v>6.9444444444444441E-3</v>
      </c>
      <c r="H234" s="7">
        <v>105.07676622859417</v>
      </c>
      <c r="I234" s="5">
        <v>0</v>
      </c>
      <c r="J234" s="5">
        <v>0</v>
      </c>
      <c r="K234" s="5">
        <v>1</v>
      </c>
      <c r="L234" s="7" t="s">
        <v>238</v>
      </c>
      <c r="M234" s="7">
        <v>45.951938583933305</v>
      </c>
      <c r="N234" s="7">
        <v>3691.4723995759755</v>
      </c>
      <c r="O234" s="5">
        <v>0</v>
      </c>
      <c r="P234" s="5">
        <v>1</v>
      </c>
      <c r="Q234" s="5">
        <v>0</v>
      </c>
      <c r="R234" s="5">
        <v>1</v>
      </c>
      <c r="S234" s="5">
        <v>0</v>
      </c>
      <c r="T234" s="5">
        <v>1</v>
      </c>
      <c r="U234" s="5">
        <v>0</v>
      </c>
      <c r="V234" s="13">
        <v>3</v>
      </c>
      <c r="W234" s="13">
        <v>-1.1000000000000001</v>
      </c>
      <c r="X234" s="5"/>
      <c r="Y234" s="5"/>
      <c r="Z234" s="5"/>
      <c r="AA234" s="5">
        <v>0</v>
      </c>
      <c r="AB234" s="5"/>
      <c r="AC234" s="5">
        <v>0</v>
      </c>
      <c r="AD234" s="5">
        <v>0</v>
      </c>
      <c r="AE234" s="5">
        <v>0</v>
      </c>
      <c r="AF234" s="5">
        <v>1</v>
      </c>
    </row>
    <row r="235" spans="1:32" x14ac:dyDescent="0.2">
      <c r="A235" s="3" t="str">
        <f>+VLOOKUP(B235,studies!$A$2:$C$102,3)</f>
        <v>Kopp et al. (2012)</v>
      </c>
      <c r="B235" s="87">
        <v>78</v>
      </c>
      <c r="C235" s="5">
        <v>2012</v>
      </c>
      <c r="D235" s="5">
        <v>1</v>
      </c>
      <c r="E235" s="5">
        <v>2005</v>
      </c>
      <c r="F235" s="5">
        <v>2015</v>
      </c>
      <c r="G235" s="113">
        <v>6.9444444444444441E-3</v>
      </c>
      <c r="H235" s="7">
        <v>135.09869943676392</v>
      </c>
      <c r="I235" s="5">
        <v>0</v>
      </c>
      <c r="J235" s="5">
        <v>0</v>
      </c>
      <c r="K235" s="5">
        <v>1</v>
      </c>
      <c r="L235" s="7" t="s">
        <v>238</v>
      </c>
      <c r="M235" s="7">
        <v>53.61059501458886</v>
      </c>
      <c r="N235" s="7">
        <v>4855.58817703562</v>
      </c>
      <c r="O235" s="5">
        <v>0</v>
      </c>
      <c r="P235" s="5">
        <v>1</v>
      </c>
      <c r="Q235" s="5">
        <v>0</v>
      </c>
      <c r="R235" s="5">
        <v>1</v>
      </c>
      <c r="S235" s="5">
        <v>0</v>
      </c>
      <c r="T235" s="5">
        <v>1</v>
      </c>
      <c r="U235" s="5">
        <v>0</v>
      </c>
      <c r="V235" s="13">
        <v>3</v>
      </c>
      <c r="W235" s="13">
        <v>-1.1000000000000001</v>
      </c>
      <c r="X235" s="5"/>
      <c r="Y235" s="5"/>
      <c r="Z235" s="5"/>
      <c r="AA235" s="5">
        <v>0</v>
      </c>
      <c r="AB235" s="5"/>
      <c r="AC235" s="5">
        <v>0</v>
      </c>
      <c r="AD235" s="5">
        <v>0</v>
      </c>
      <c r="AE235" s="5">
        <v>0</v>
      </c>
      <c r="AF235" s="5">
        <v>1</v>
      </c>
    </row>
    <row r="236" spans="1:32" x14ac:dyDescent="0.2">
      <c r="A236" s="3" t="str">
        <f>+VLOOKUP(B236,studies!$A$2:$C$102,3)</f>
        <v>Kopp et al. (2012)</v>
      </c>
      <c r="B236" s="87">
        <v>78</v>
      </c>
      <c r="C236" s="5">
        <v>2012</v>
      </c>
      <c r="D236" s="5">
        <v>1</v>
      </c>
      <c r="E236" s="5">
        <v>2005</v>
      </c>
      <c r="F236" s="5">
        <v>2015</v>
      </c>
      <c r="G236" s="113">
        <v>6.9444444444444441E-3</v>
      </c>
      <c r="H236" s="7">
        <v>180.13159924901856</v>
      </c>
      <c r="I236" s="5">
        <v>0</v>
      </c>
      <c r="J236" s="5">
        <v>0</v>
      </c>
      <c r="K236" s="5">
        <v>1</v>
      </c>
      <c r="L236" s="7" t="s">
        <v>238</v>
      </c>
      <c r="M236" s="7">
        <v>76.586564306555516</v>
      </c>
      <c r="N236" s="7">
        <v>5705.6990408383863</v>
      </c>
      <c r="O236" s="5">
        <v>0</v>
      </c>
      <c r="P236" s="5">
        <v>1</v>
      </c>
      <c r="Q236" s="5">
        <v>0</v>
      </c>
      <c r="R236" s="5">
        <v>1</v>
      </c>
      <c r="S236" s="5">
        <v>0</v>
      </c>
      <c r="T236" s="5">
        <v>1</v>
      </c>
      <c r="U236" s="5">
        <v>0</v>
      </c>
      <c r="V236" s="13">
        <v>3</v>
      </c>
      <c r="W236" s="13">
        <v>-1.1000000000000001</v>
      </c>
      <c r="X236" s="5"/>
      <c r="Y236" s="5"/>
      <c r="Z236" s="5"/>
      <c r="AA236" s="5">
        <v>0</v>
      </c>
      <c r="AB236" s="5"/>
      <c r="AC236" s="5">
        <v>0</v>
      </c>
      <c r="AD236" s="5">
        <v>0</v>
      </c>
      <c r="AE236" s="5">
        <v>0</v>
      </c>
      <c r="AF236" s="5">
        <v>1</v>
      </c>
    </row>
    <row r="237" spans="1:32" x14ac:dyDescent="0.2">
      <c r="A237" s="3" t="str">
        <f>+VLOOKUP(B237,studies!$A$2:$C$102,3)</f>
        <v>Marten &amp; Newbold (2012)</v>
      </c>
      <c r="B237" s="87">
        <v>79</v>
      </c>
      <c r="C237" s="5">
        <v>2012</v>
      </c>
      <c r="D237" s="5">
        <v>1</v>
      </c>
      <c r="E237" s="5">
        <v>2007</v>
      </c>
      <c r="F237" s="5">
        <v>2015</v>
      </c>
      <c r="G237" s="113">
        <v>1</v>
      </c>
      <c r="H237" s="7">
        <v>142.67698134804652</v>
      </c>
      <c r="I237" s="5">
        <v>1</v>
      </c>
      <c r="J237" s="5">
        <v>0</v>
      </c>
      <c r="K237" s="5">
        <v>0</v>
      </c>
      <c r="L237" s="7" t="s">
        <v>238</v>
      </c>
      <c r="M237" s="7">
        <v>90.501118891480161</v>
      </c>
      <c r="N237" s="7">
        <v>90.501118891480161</v>
      </c>
      <c r="O237" s="5">
        <v>0</v>
      </c>
      <c r="P237" s="5">
        <v>1</v>
      </c>
      <c r="Q237" s="5">
        <v>0</v>
      </c>
      <c r="R237" s="5">
        <v>1</v>
      </c>
      <c r="S237" s="5">
        <v>0</v>
      </c>
      <c r="T237" s="5">
        <v>1</v>
      </c>
      <c r="U237" s="5">
        <v>0</v>
      </c>
      <c r="V237" s="13">
        <v>3</v>
      </c>
      <c r="W237" s="13" t="s">
        <v>25</v>
      </c>
      <c r="X237" s="5"/>
      <c r="Y237" s="5"/>
      <c r="Z237" s="5"/>
      <c r="AA237" s="5">
        <v>0</v>
      </c>
      <c r="AB237" s="5"/>
      <c r="AC237" s="5">
        <v>0</v>
      </c>
      <c r="AD237" s="5">
        <v>0</v>
      </c>
      <c r="AE237" s="5">
        <v>0</v>
      </c>
      <c r="AF237" s="5">
        <v>0</v>
      </c>
    </row>
    <row r="238" spans="1:32" x14ac:dyDescent="0.2">
      <c r="A238" s="3" t="str">
        <f>+VLOOKUP(B238,studies!$A$2:$C$102,3)</f>
        <v>Perrissin-Fabert et al. (2012)</v>
      </c>
      <c r="B238" s="87">
        <v>80</v>
      </c>
      <c r="C238" s="5">
        <v>2012</v>
      </c>
      <c r="D238" s="5">
        <v>0</v>
      </c>
      <c r="E238" s="5">
        <v>2010</v>
      </c>
      <c r="F238" s="5">
        <v>2020</v>
      </c>
      <c r="G238" s="113">
        <v>1</v>
      </c>
      <c r="H238" s="7">
        <v>51.277085325751017</v>
      </c>
      <c r="I238" s="5">
        <v>0</v>
      </c>
      <c r="J238" s="5">
        <v>0</v>
      </c>
      <c r="K238" s="5">
        <v>1</v>
      </c>
      <c r="L238" s="7" t="s">
        <v>238</v>
      </c>
      <c r="M238" s="7">
        <v>21.327684444525723</v>
      </c>
      <c r="N238" s="7">
        <v>55.506665926137593</v>
      </c>
      <c r="O238" s="5">
        <v>0</v>
      </c>
      <c r="P238" s="5">
        <v>1</v>
      </c>
      <c r="Q238" s="5">
        <v>0</v>
      </c>
      <c r="R238" s="5">
        <v>1</v>
      </c>
      <c r="S238" s="5">
        <v>0</v>
      </c>
      <c r="T238" s="5">
        <v>1</v>
      </c>
      <c r="U238" s="5">
        <v>0</v>
      </c>
      <c r="V238" s="13"/>
      <c r="W238" s="13">
        <v>0</v>
      </c>
      <c r="X238" s="5"/>
      <c r="Y238" s="5"/>
      <c r="Z238" s="5"/>
      <c r="AA238" s="5">
        <v>0</v>
      </c>
      <c r="AB238" s="5"/>
      <c r="AC238" s="5">
        <v>0</v>
      </c>
      <c r="AD238" s="5">
        <v>0</v>
      </c>
      <c r="AE238" s="5">
        <v>0</v>
      </c>
      <c r="AF238" s="5">
        <v>0</v>
      </c>
    </row>
    <row r="239" spans="1:32" x14ac:dyDescent="0.2">
      <c r="A239" s="3" t="str">
        <f>+VLOOKUP(B239,studies!$A$2:$C$102,3)</f>
        <v>Tol (2012)</v>
      </c>
      <c r="B239" s="87">
        <v>81</v>
      </c>
      <c r="C239" s="5">
        <v>2012</v>
      </c>
      <c r="D239" s="5">
        <v>1</v>
      </c>
      <c r="E239" s="5">
        <v>1990</v>
      </c>
      <c r="F239" s="5">
        <v>2015</v>
      </c>
      <c r="G239" s="113">
        <v>1</v>
      </c>
      <c r="H239" s="7">
        <v>48.3827390971691</v>
      </c>
      <c r="I239" s="5">
        <v>1</v>
      </c>
      <c r="J239" s="5">
        <v>0</v>
      </c>
      <c r="K239" s="5">
        <v>0</v>
      </c>
      <c r="L239" s="7" t="s">
        <v>238</v>
      </c>
      <c r="M239" s="7">
        <v>23.833861624221232</v>
      </c>
      <c r="N239" s="7">
        <v>30.643536373998728</v>
      </c>
      <c r="O239" s="5">
        <v>1</v>
      </c>
      <c r="P239" s="5">
        <v>1</v>
      </c>
      <c r="Q239" s="5">
        <v>0</v>
      </c>
      <c r="R239" s="5">
        <v>1</v>
      </c>
      <c r="S239" s="5">
        <v>0</v>
      </c>
      <c r="T239" s="5">
        <v>1</v>
      </c>
      <c r="U239" s="5">
        <v>0</v>
      </c>
      <c r="V239" s="13"/>
      <c r="W239" s="13">
        <v>3</v>
      </c>
      <c r="X239" s="5"/>
      <c r="Y239" s="5"/>
      <c r="Z239" s="5"/>
      <c r="AA239" s="5">
        <v>0</v>
      </c>
      <c r="AB239" s="5"/>
      <c r="AC239" s="5">
        <v>0</v>
      </c>
      <c r="AD239" s="5">
        <v>0</v>
      </c>
      <c r="AE239" s="5">
        <v>1</v>
      </c>
      <c r="AF239" s="5">
        <v>0</v>
      </c>
    </row>
    <row r="240" spans="1:32" x14ac:dyDescent="0.2">
      <c r="A240" s="3" t="str">
        <f>+VLOOKUP(B240,studies!$A$2:$C$102,3)</f>
        <v>van den Bijgaart et al. (2013)</v>
      </c>
      <c r="B240" s="87">
        <v>83</v>
      </c>
      <c r="C240" s="5">
        <v>2013</v>
      </c>
      <c r="D240" s="5">
        <v>0</v>
      </c>
      <c r="E240" s="5">
        <v>2010</v>
      </c>
      <c r="F240" s="5">
        <v>2015</v>
      </c>
      <c r="G240" s="113">
        <v>0.25</v>
      </c>
      <c r="H240" s="7">
        <v>233.59893758300134</v>
      </c>
      <c r="I240" s="5">
        <v>0</v>
      </c>
      <c r="J240" s="5">
        <v>0</v>
      </c>
      <c r="K240" s="5">
        <v>1</v>
      </c>
      <c r="L240" s="7">
        <v>2046.0485651214128</v>
      </c>
      <c r="M240" s="7">
        <v>2046.0485651214128</v>
      </c>
      <c r="N240" s="7">
        <v>2046.0485651214128</v>
      </c>
      <c r="O240" s="5">
        <v>1</v>
      </c>
      <c r="P240" s="5">
        <v>1</v>
      </c>
      <c r="Q240" s="5">
        <v>1</v>
      </c>
      <c r="R240" s="5">
        <v>0</v>
      </c>
      <c r="S240" s="5">
        <v>0</v>
      </c>
      <c r="T240" s="5">
        <v>0</v>
      </c>
      <c r="U240" s="5">
        <v>0</v>
      </c>
      <c r="V240" s="13">
        <v>0.1</v>
      </c>
      <c r="W240" s="13">
        <v>2</v>
      </c>
      <c r="X240" s="5"/>
      <c r="Y240" s="5"/>
      <c r="Z240" s="5"/>
      <c r="AA240" s="5">
        <v>0</v>
      </c>
      <c r="AB240" s="5">
        <v>3</v>
      </c>
      <c r="AC240" s="5">
        <v>0</v>
      </c>
      <c r="AD240" s="5">
        <v>0</v>
      </c>
      <c r="AE240" s="5">
        <v>0</v>
      </c>
      <c r="AF240" s="5">
        <v>1</v>
      </c>
    </row>
    <row r="241" spans="1:32" x14ac:dyDescent="0.2">
      <c r="A241" s="3" t="str">
        <f>+VLOOKUP(B241,studies!$A$2:$C$102,3)</f>
        <v>van den Bijgaart et al. (2013)</v>
      </c>
      <c r="B241" s="87">
        <v>83</v>
      </c>
      <c r="C241" s="5">
        <v>2013</v>
      </c>
      <c r="D241" s="5">
        <v>0</v>
      </c>
      <c r="E241" s="5">
        <v>2010</v>
      </c>
      <c r="F241" s="5">
        <v>2015</v>
      </c>
      <c r="G241" s="113">
        <v>0.25</v>
      </c>
      <c r="H241" s="7">
        <v>38.778220451527226</v>
      </c>
      <c r="I241" s="5">
        <v>0</v>
      </c>
      <c r="J241" s="5">
        <v>0</v>
      </c>
      <c r="K241" s="5">
        <v>1</v>
      </c>
      <c r="L241" s="7">
        <v>284.10596026490066</v>
      </c>
      <c r="M241" s="7">
        <v>284.10596026490066</v>
      </c>
      <c r="N241" s="7">
        <v>284.10596026490066</v>
      </c>
      <c r="O241" s="5">
        <v>1</v>
      </c>
      <c r="P241" s="5">
        <v>1</v>
      </c>
      <c r="Q241" s="5">
        <v>1</v>
      </c>
      <c r="R241" s="5">
        <v>0</v>
      </c>
      <c r="S241" s="5">
        <v>0</v>
      </c>
      <c r="T241" s="5">
        <v>0</v>
      </c>
      <c r="U241" s="5">
        <v>0</v>
      </c>
      <c r="V241" s="13">
        <v>1</v>
      </c>
      <c r="W241" s="13">
        <v>2</v>
      </c>
      <c r="X241" s="5"/>
      <c r="Y241" s="5"/>
      <c r="Z241" s="5"/>
      <c r="AA241" s="5">
        <v>0</v>
      </c>
      <c r="AB241" s="5">
        <v>3</v>
      </c>
      <c r="AC241" s="5">
        <v>0</v>
      </c>
      <c r="AD241" s="5">
        <v>0</v>
      </c>
      <c r="AE241" s="5">
        <v>0</v>
      </c>
      <c r="AF241" s="5">
        <v>1</v>
      </c>
    </row>
    <row r="242" spans="1:32" x14ac:dyDescent="0.2">
      <c r="A242" s="3" t="str">
        <f>+VLOOKUP(B242,studies!$A$2:$C$102,3)</f>
        <v>van den Bijgaart et al. (2013)</v>
      </c>
      <c r="B242" s="87">
        <v>83</v>
      </c>
      <c r="C242" s="5">
        <v>2013</v>
      </c>
      <c r="D242" s="5">
        <v>0</v>
      </c>
      <c r="E242" s="5">
        <v>2010</v>
      </c>
      <c r="F242" s="5">
        <v>2015</v>
      </c>
      <c r="G242" s="113">
        <v>0.25</v>
      </c>
      <c r="H242" s="7">
        <v>18.193891102257634</v>
      </c>
      <c r="I242" s="5">
        <v>0</v>
      </c>
      <c r="J242" s="5">
        <v>0</v>
      </c>
      <c r="K242" s="5">
        <v>1</v>
      </c>
      <c r="L242" s="7">
        <v>123.841059602649</v>
      </c>
      <c r="M242" s="7">
        <v>123.841059602649</v>
      </c>
      <c r="N242" s="7">
        <v>123.841059602649</v>
      </c>
      <c r="O242" s="5">
        <v>1</v>
      </c>
      <c r="P242" s="5">
        <v>1</v>
      </c>
      <c r="Q242" s="5">
        <v>1</v>
      </c>
      <c r="R242" s="5">
        <v>0</v>
      </c>
      <c r="S242" s="5">
        <v>0</v>
      </c>
      <c r="T242" s="5">
        <v>0</v>
      </c>
      <c r="U242" s="5">
        <v>0</v>
      </c>
      <c r="V242" s="13">
        <v>2</v>
      </c>
      <c r="W242" s="13">
        <v>2</v>
      </c>
      <c r="X242" s="5"/>
      <c r="Y242" s="5"/>
      <c r="Z242" s="5"/>
      <c r="AA242" s="5">
        <v>0</v>
      </c>
      <c r="AB242" s="5">
        <v>3</v>
      </c>
      <c r="AC242" s="5">
        <v>0</v>
      </c>
      <c r="AD242" s="5">
        <v>0</v>
      </c>
      <c r="AE242" s="5">
        <v>0</v>
      </c>
      <c r="AF242" s="5">
        <v>1</v>
      </c>
    </row>
    <row r="243" spans="1:32" x14ac:dyDescent="0.2">
      <c r="A243" s="3" t="str">
        <f>+VLOOKUP(B243,studies!$A$2:$C$102,3)</f>
        <v>van den Bijgaart et al. (2013)</v>
      </c>
      <c r="B243" s="87">
        <v>83</v>
      </c>
      <c r="C243" s="5">
        <v>2013</v>
      </c>
      <c r="D243" s="5">
        <v>0</v>
      </c>
      <c r="E243" s="5">
        <v>2010</v>
      </c>
      <c r="F243" s="5">
        <v>2015</v>
      </c>
      <c r="G243" s="113">
        <v>0.25</v>
      </c>
      <c r="H243" s="7">
        <v>10.889774236387781</v>
      </c>
      <c r="I243" s="5">
        <v>0</v>
      </c>
      <c r="J243" s="5">
        <v>0</v>
      </c>
      <c r="K243" s="5">
        <v>1</v>
      </c>
      <c r="L243" s="7">
        <v>71.390728476821181</v>
      </c>
      <c r="M243" s="7">
        <v>71.390728476821181</v>
      </c>
      <c r="N243" s="7">
        <v>71.390728476821181</v>
      </c>
      <c r="O243" s="5">
        <v>1</v>
      </c>
      <c r="P243" s="5">
        <v>1</v>
      </c>
      <c r="Q243" s="5">
        <v>1</v>
      </c>
      <c r="R243" s="5">
        <v>0</v>
      </c>
      <c r="S243" s="5">
        <v>0</v>
      </c>
      <c r="T243" s="5">
        <v>0</v>
      </c>
      <c r="U243" s="5">
        <v>0</v>
      </c>
      <c r="V243" s="13">
        <v>3</v>
      </c>
      <c r="W243" s="13">
        <v>2</v>
      </c>
      <c r="X243" s="5"/>
      <c r="Y243" s="5"/>
      <c r="Z243" s="5"/>
      <c r="AA243" s="5">
        <v>0</v>
      </c>
      <c r="AB243" s="5">
        <v>3</v>
      </c>
      <c r="AC243" s="5">
        <v>0</v>
      </c>
      <c r="AD243" s="5">
        <v>0</v>
      </c>
      <c r="AE243" s="5">
        <v>0</v>
      </c>
      <c r="AF243" s="5">
        <v>1</v>
      </c>
    </row>
    <row r="244" spans="1:32" x14ac:dyDescent="0.2">
      <c r="A244" s="3" t="str">
        <f>+VLOOKUP(B244,studies!$A$2:$C$102,3)</f>
        <v>Greenstone et al. (2013)</v>
      </c>
      <c r="B244" s="87">
        <v>87</v>
      </c>
      <c r="C244" s="5">
        <v>2013</v>
      </c>
      <c r="D244" s="5">
        <v>1</v>
      </c>
      <c r="E244" s="5">
        <v>2007</v>
      </c>
      <c r="F244" s="5">
        <v>2010</v>
      </c>
      <c r="G244" s="113">
        <v>6.2500000000000014E-2</v>
      </c>
      <c r="H244" s="7">
        <v>160.90551085504242</v>
      </c>
      <c r="I244" s="5">
        <v>1</v>
      </c>
      <c r="J244" s="5">
        <v>0</v>
      </c>
      <c r="K244" s="5">
        <v>0</v>
      </c>
      <c r="L244" s="7" t="s">
        <v>238</v>
      </c>
      <c r="M244" s="7">
        <v>80.260131112850374</v>
      </c>
      <c r="N244" s="7">
        <v>80.260131112850374</v>
      </c>
      <c r="O244" s="5">
        <v>0</v>
      </c>
      <c r="P244" s="5">
        <v>1</v>
      </c>
      <c r="Q244" s="5">
        <v>1</v>
      </c>
      <c r="R244" s="5">
        <v>1</v>
      </c>
      <c r="S244" s="5">
        <v>1</v>
      </c>
      <c r="T244" s="5">
        <v>1</v>
      </c>
      <c r="U244" s="5">
        <v>1</v>
      </c>
      <c r="V244" s="13">
        <v>3</v>
      </c>
      <c r="W244" s="13" t="s">
        <v>25</v>
      </c>
      <c r="X244" s="5"/>
      <c r="Y244" s="5"/>
      <c r="Z244" s="5"/>
      <c r="AA244" s="5">
        <v>0</v>
      </c>
      <c r="AB244" s="5"/>
      <c r="AC244" s="5">
        <v>0</v>
      </c>
      <c r="AD244" s="5">
        <v>0</v>
      </c>
      <c r="AE244" s="5">
        <v>0</v>
      </c>
      <c r="AF244" s="5">
        <v>0</v>
      </c>
    </row>
    <row r="245" spans="1:32" x14ac:dyDescent="0.2">
      <c r="A245" s="3" t="str">
        <f>+VLOOKUP(B245,studies!$A$2:$C$102,3)</f>
        <v>Greenstone et al. (2013)</v>
      </c>
      <c r="B245" s="87">
        <v>87</v>
      </c>
      <c r="C245" s="5">
        <v>2013</v>
      </c>
      <c r="D245" s="5">
        <v>1</v>
      </c>
      <c r="E245" s="5">
        <v>2007</v>
      </c>
      <c r="F245" s="5">
        <v>2010</v>
      </c>
      <c r="G245" s="113">
        <v>6.2500000000000014E-2</v>
      </c>
      <c r="H245" s="7">
        <v>98.880481531031663</v>
      </c>
      <c r="I245" s="5">
        <v>1</v>
      </c>
      <c r="J245" s="5">
        <v>0</v>
      </c>
      <c r="K245" s="5">
        <v>0</v>
      </c>
      <c r="L245" s="7" t="s">
        <v>238</v>
      </c>
      <c r="M245" s="7">
        <v>46.092246724808376</v>
      </c>
      <c r="N245" s="7">
        <v>46.092246724808376</v>
      </c>
      <c r="O245" s="5">
        <v>0</v>
      </c>
      <c r="P245" s="5">
        <v>1</v>
      </c>
      <c r="Q245" s="5">
        <v>1</v>
      </c>
      <c r="R245" s="5">
        <v>1</v>
      </c>
      <c r="S245" s="5">
        <v>1</v>
      </c>
      <c r="T245" s="5">
        <v>1</v>
      </c>
      <c r="U245" s="5">
        <v>1</v>
      </c>
      <c r="V245" s="13">
        <v>3</v>
      </c>
      <c r="W245" s="13" t="s">
        <v>25</v>
      </c>
      <c r="X245" s="5"/>
      <c r="Y245" s="5"/>
      <c r="Z245" s="5"/>
      <c r="AA245" s="5">
        <v>0</v>
      </c>
      <c r="AB245" s="5"/>
      <c r="AC245" s="5">
        <v>0</v>
      </c>
      <c r="AD245" s="5">
        <v>0</v>
      </c>
      <c r="AE245" s="5">
        <v>0</v>
      </c>
      <c r="AF245" s="5">
        <v>0</v>
      </c>
    </row>
    <row r="246" spans="1:32" x14ac:dyDescent="0.2">
      <c r="A246" s="3" t="str">
        <f>+VLOOKUP(B246,studies!$A$2:$C$102,3)</f>
        <v>Greenstone et al. (2013)</v>
      </c>
      <c r="B246" s="87">
        <v>87</v>
      </c>
      <c r="C246" s="5">
        <v>2013</v>
      </c>
      <c r="D246" s="5">
        <v>1</v>
      </c>
      <c r="E246" s="5">
        <v>2007</v>
      </c>
      <c r="F246" s="5">
        <v>2010</v>
      </c>
      <c r="G246" s="113">
        <v>6.2500000000000014E-2</v>
      </c>
      <c r="H246" s="7">
        <v>133.93810680112472</v>
      </c>
      <c r="I246" s="5">
        <v>1</v>
      </c>
      <c r="J246" s="5">
        <v>0</v>
      </c>
      <c r="K246" s="5">
        <v>0</v>
      </c>
      <c r="L246" s="7" t="s">
        <v>238</v>
      </c>
      <c r="M246" s="7">
        <v>66.042622172859751</v>
      </c>
      <c r="N246" s="7">
        <v>66.042622172859751</v>
      </c>
      <c r="O246" s="5">
        <v>0</v>
      </c>
      <c r="P246" s="5">
        <v>1</v>
      </c>
      <c r="Q246" s="5">
        <v>1</v>
      </c>
      <c r="R246" s="5">
        <v>1</v>
      </c>
      <c r="S246" s="5">
        <v>1</v>
      </c>
      <c r="T246" s="5">
        <v>1</v>
      </c>
      <c r="U246" s="5">
        <v>1</v>
      </c>
      <c r="V246" s="13">
        <v>3</v>
      </c>
      <c r="W246" s="13" t="s">
        <v>25</v>
      </c>
      <c r="X246" s="5"/>
      <c r="Y246" s="5"/>
      <c r="Z246" s="5"/>
      <c r="AA246" s="5">
        <v>0</v>
      </c>
      <c r="AB246" s="5"/>
      <c r="AC246" s="5">
        <v>0</v>
      </c>
      <c r="AD246" s="5">
        <v>0</v>
      </c>
      <c r="AE246" s="5">
        <v>0</v>
      </c>
      <c r="AF246" s="5">
        <v>0</v>
      </c>
    </row>
    <row r="247" spans="1:32" x14ac:dyDescent="0.2">
      <c r="A247" s="3" t="str">
        <f>+VLOOKUP(B247,studies!$A$2:$C$102,3)</f>
        <v>Greenstone et al. (2013)</v>
      </c>
      <c r="B247" s="87">
        <v>87</v>
      </c>
      <c r="C247" s="5">
        <v>2013</v>
      </c>
      <c r="D247" s="5">
        <v>1</v>
      </c>
      <c r="E247" s="5">
        <v>2007</v>
      </c>
      <c r="F247" s="5">
        <v>2010</v>
      </c>
      <c r="G247" s="113">
        <v>6.2500000000000014E-2</v>
      </c>
      <c r="H247" s="7">
        <v>129.44353945880508</v>
      </c>
      <c r="I247" s="5">
        <v>1</v>
      </c>
      <c r="J247" s="5">
        <v>0</v>
      </c>
      <c r="K247" s="5">
        <v>0</v>
      </c>
      <c r="L247" s="7" t="s">
        <v>238</v>
      </c>
      <c r="M247" s="7">
        <v>66.730566153827027</v>
      </c>
      <c r="N247" s="7">
        <v>66.730566153827027</v>
      </c>
      <c r="O247" s="5">
        <v>0</v>
      </c>
      <c r="P247" s="5">
        <v>1</v>
      </c>
      <c r="Q247" s="5">
        <v>1</v>
      </c>
      <c r="R247" s="5">
        <v>1</v>
      </c>
      <c r="S247" s="5">
        <v>1</v>
      </c>
      <c r="T247" s="5">
        <v>1</v>
      </c>
      <c r="U247" s="5">
        <v>1</v>
      </c>
      <c r="V247" s="13">
        <v>3</v>
      </c>
      <c r="W247" s="13" t="s">
        <v>25</v>
      </c>
      <c r="X247" s="5"/>
      <c r="Y247" s="5"/>
      <c r="Z247" s="5"/>
      <c r="AA247" s="5">
        <v>0</v>
      </c>
      <c r="AB247" s="5"/>
      <c r="AC247" s="5">
        <v>0</v>
      </c>
      <c r="AD247" s="5">
        <v>0</v>
      </c>
      <c r="AE247" s="5">
        <v>0</v>
      </c>
      <c r="AF247" s="5">
        <v>0</v>
      </c>
    </row>
    <row r="248" spans="1:32" x14ac:dyDescent="0.2">
      <c r="A248" s="3" t="str">
        <f>+VLOOKUP(B248,studies!$A$2:$C$102,3)</f>
        <v>Greenstone et al. (2013)</v>
      </c>
      <c r="B248" s="87">
        <v>87</v>
      </c>
      <c r="C248" s="5">
        <v>2013</v>
      </c>
      <c r="D248" s="5">
        <v>1</v>
      </c>
      <c r="E248" s="5">
        <v>2007</v>
      </c>
      <c r="F248" s="5">
        <v>2010</v>
      </c>
      <c r="G248" s="113">
        <v>6.2500000000000014E-2</v>
      </c>
      <c r="H248" s="7">
        <v>111.91472682375857</v>
      </c>
      <c r="I248" s="5">
        <v>1</v>
      </c>
      <c r="J248" s="5">
        <v>0</v>
      </c>
      <c r="K248" s="5">
        <v>0</v>
      </c>
      <c r="L248" s="7" t="s">
        <v>238</v>
      </c>
      <c r="M248" s="7">
        <v>59.392497023509272</v>
      </c>
      <c r="N248" s="7">
        <v>59.392497023509272</v>
      </c>
      <c r="O248" s="5">
        <v>0</v>
      </c>
      <c r="P248" s="5">
        <v>1</v>
      </c>
      <c r="Q248" s="5">
        <v>1</v>
      </c>
      <c r="R248" s="5">
        <v>1</v>
      </c>
      <c r="S248" s="5">
        <v>1</v>
      </c>
      <c r="T248" s="5">
        <v>1</v>
      </c>
      <c r="U248" s="5">
        <v>1</v>
      </c>
      <c r="V248" s="13">
        <v>3</v>
      </c>
      <c r="W248" s="13" t="s">
        <v>25</v>
      </c>
      <c r="X248" s="5"/>
      <c r="Y248" s="5"/>
      <c r="Z248" s="5"/>
      <c r="AA248" s="5">
        <v>0</v>
      </c>
      <c r="AB248" s="5"/>
      <c r="AC248" s="5">
        <v>0</v>
      </c>
      <c r="AD248" s="5">
        <v>0</v>
      </c>
      <c r="AE248" s="5">
        <v>0</v>
      </c>
      <c r="AF248" s="5">
        <v>0</v>
      </c>
    </row>
    <row r="249" spans="1:32" x14ac:dyDescent="0.2">
      <c r="A249" s="3" t="str">
        <f>+VLOOKUP(B249,studies!$A$2:$C$102,3)</f>
        <v>Greenstone et al. (2013)</v>
      </c>
      <c r="B249" s="87">
        <v>87</v>
      </c>
      <c r="C249" s="5">
        <v>2013</v>
      </c>
      <c r="D249" s="5">
        <v>1</v>
      </c>
      <c r="E249" s="5">
        <v>2007</v>
      </c>
      <c r="F249" s="5">
        <v>2010</v>
      </c>
      <c r="G249" s="113">
        <v>6.2500000000000014E-2</v>
      </c>
      <c r="H249" s="7">
        <v>177.53541002162501</v>
      </c>
      <c r="I249" s="5">
        <v>1</v>
      </c>
      <c r="J249" s="5">
        <v>0</v>
      </c>
      <c r="K249" s="5">
        <v>0</v>
      </c>
      <c r="L249" s="7" t="s">
        <v>238</v>
      </c>
      <c r="M249" s="7">
        <v>235.96478547178012</v>
      </c>
      <c r="N249" s="7">
        <v>235.96478547178012</v>
      </c>
      <c r="O249" s="5">
        <v>0</v>
      </c>
      <c r="P249" s="5">
        <v>1</v>
      </c>
      <c r="Q249" s="5">
        <v>1</v>
      </c>
      <c r="R249" s="5">
        <v>1</v>
      </c>
      <c r="S249" s="5">
        <v>1</v>
      </c>
      <c r="T249" s="5">
        <v>1</v>
      </c>
      <c r="U249" s="5">
        <v>1</v>
      </c>
      <c r="V249" s="13">
        <v>3</v>
      </c>
      <c r="W249" s="13" t="s">
        <v>25</v>
      </c>
      <c r="X249" s="5"/>
      <c r="Y249" s="5"/>
      <c r="Z249" s="5"/>
      <c r="AA249" s="5">
        <v>0</v>
      </c>
      <c r="AB249" s="5"/>
      <c r="AC249" s="5">
        <v>0</v>
      </c>
      <c r="AD249" s="5">
        <v>0</v>
      </c>
      <c r="AE249" s="5">
        <v>0</v>
      </c>
      <c r="AF249" s="5">
        <v>0</v>
      </c>
    </row>
    <row r="250" spans="1:32" x14ac:dyDescent="0.2">
      <c r="A250" s="3" t="str">
        <f>+VLOOKUP(B250,studies!$A$2:$C$102,3)</f>
        <v>Greenstone et al. (2013)</v>
      </c>
      <c r="B250" s="87">
        <v>87</v>
      </c>
      <c r="C250" s="5">
        <v>2013</v>
      </c>
      <c r="D250" s="5">
        <v>1</v>
      </c>
      <c r="E250" s="5">
        <v>2007</v>
      </c>
      <c r="F250" s="5">
        <v>2010</v>
      </c>
      <c r="G250" s="113">
        <v>6.2500000000000014E-2</v>
      </c>
      <c r="H250" s="7">
        <v>100.22885173372755</v>
      </c>
      <c r="I250" s="5">
        <v>1</v>
      </c>
      <c r="J250" s="5">
        <v>0</v>
      </c>
      <c r="K250" s="5">
        <v>0</v>
      </c>
      <c r="L250" s="7" t="s">
        <v>238</v>
      </c>
      <c r="M250" s="7">
        <v>137.81811085378024</v>
      </c>
      <c r="N250" s="7">
        <v>137.81811085378024</v>
      </c>
      <c r="O250" s="5">
        <v>0</v>
      </c>
      <c r="P250" s="5">
        <v>1</v>
      </c>
      <c r="Q250" s="5">
        <v>1</v>
      </c>
      <c r="R250" s="5">
        <v>1</v>
      </c>
      <c r="S250" s="5">
        <v>1</v>
      </c>
      <c r="T250" s="5">
        <v>1</v>
      </c>
      <c r="U250" s="5">
        <v>1</v>
      </c>
      <c r="V250" s="13">
        <v>3</v>
      </c>
      <c r="W250" s="13" t="s">
        <v>25</v>
      </c>
      <c r="X250" s="5"/>
      <c r="Y250" s="5"/>
      <c r="Z250" s="5"/>
      <c r="AA250" s="5">
        <v>0</v>
      </c>
      <c r="AB250" s="5"/>
      <c r="AC250" s="5">
        <v>0</v>
      </c>
      <c r="AD250" s="5">
        <v>0</v>
      </c>
      <c r="AE250" s="5">
        <v>0</v>
      </c>
      <c r="AF250" s="5">
        <v>0</v>
      </c>
    </row>
    <row r="251" spans="1:32" x14ac:dyDescent="0.2">
      <c r="A251" s="3" t="str">
        <f>+VLOOKUP(B251,studies!$A$2:$C$102,3)</f>
        <v>Greenstone et al. (2013)</v>
      </c>
      <c r="B251" s="87">
        <v>87</v>
      </c>
      <c r="C251" s="5">
        <v>2013</v>
      </c>
      <c r="D251" s="5">
        <v>1</v>
      </c>
      <c r="E251" s="5">
        <v>2007</v>
      </c>
      <c r="F251" s="5">
        <v>2010</v>
      </c>
      <c r="G251" s="113">
        <v>6.2500000000000014E-2</v>
      </c>
      <c r="H251" s="7">
        <v>136.18539047228452</v>
      </c>
      <c r="I251" s="5">
        <v>1</v>
      </c>
      <c r="J251" s="5">
        <v>0</v>
      </c>
      <c r="K251" s="5">
        <v>0</v>
      </c>
      <c r="L251" s="7" t="s">
        <v>238</v>
      </c>
      <c r="M251" s="7">
        <v>195.60540525503251</v>
      </c>
      <c r="N251" s="7">
        <v>195.60540525503251</v>
      </c>
      <c r="O251" s="5">
        <v>0</v>
      </c>
      <c r="P251" s="5">
        <v>1</v>
      </c>
      <c r="Q251" s="5">
        <v>1</v>
      </c>
      <c r="R251" s="5">
        <v>1</v>
      </c>
      <c r="S251" s="5">
        <v>1</v>
      </c>
      <c r="T251" s="5">
        <v>1</v>
      </c>
      <c r="U251" s="5">
        <v>1</v>
      </c>
      <c r="V251" s="13">
        <v>3</v>
      </c>
      <c r="W251" s="13" t="s">
        <v>25</v>
      </c>
      <c r="X251" s="5"/>
      <c r="Y251" s="5"/>
      <c r="Z251" s="5"/>
      <c r="AA251" s="5">
        <v>0</v>
      </c>
      <c r="AB251" s="5"/>
      <c r="AC251" s="5">
        <v>0</v>
      </c>
      <c r="AD251" s="5">
        <v>0</v>
      </c>
      <c r="AE251" s="5">
        <v>0</v>
      </c>
      <c r="AF251" s="5">
        <v>0</v>
      </c>
    </row>
    <row r="252" spans="1:32" x14ac:dyDescent="0.2">
      <c r="A252" s="3" t="str">
        <f>+VLOOKUP(B252,studies!$A$2:$C$102,3)</f>
        <v>Greenstone et al. (2013)</v>
      </c>
      <c r="B252" s="87">
        <v>87</v>
      </c>
      <c r="C252" s="5">
        <v>2013</v>
      </c>
      <c r="D252" s="5">
        <v>1</v>
      </c>
      <c r="E252" s="5">
        <v>2007</v>
      </c>
      <c r="F252" s="5">
        <v>2010</v>
      </c>
      <c r="G252" s="113">
        <v>6.2500000000000014E-2</v>
      </c>
      <c r="H252" s="7">
        <v>142.92724148576394</v>
      </c>
      <c r="I252" s="5">
        <v>1</v>
      </c>
      <c r="J252" s="5">
        <v>0</v>
      </c>
      <c r="K252" s="5">
        <v>0</v>
      </c>
      <c r="L252" s="7" t="s">
        <v>238</v>
      </c>
      <c r="M252" s="7">
        <v>191.70705602955118</v>
      </c>
      <c r="N252" s="7">
        <v>191.70705602955118</v>
      </c>
      <c r="O252" s="5">
        <v>0</v>
      </c>
      <c r="P252" s="5">
        <v>1</v>
      </c>
      <c r="Q252" s="5">
        <v>1</v>
      </c>
      <c r="R252" s="5">
        <v>1</v>
      </c>
      <c r="S252" s="5">
        <v>1</v>
      </c>
      <c r="T252" s="5">
        <v>1</v>
      </c>
      <c r="U252" s="5">
        <v>1</v>
      </c>
      <c r="V252" s="13">
        <v>3</v>
      </c>
      <c r="W252" s="13" t="s">
        <v>25</v>
      </c>
      <c r="X252" s="5"/>
      <c r="Y252" s="5"/>
      <c r="Z252" s="5"/>
      <c r="AA252" s="5">
        <v>0</v>
      </c>
      <c r="AB252" s="5"/>
      <c r="AC252" s="5">
        <v>0</v>
      </c>
      <c r="AD252" s="5">
        <v>0</v>
      </c>
      <c r="AE252" s="5">
        <v>0</v>
      </c>
      <c r="AF252" s="5">
        <v>0</v>
      </c>
    </row>
    <row r="253" spans="1:32" x14ac:dyDescent="0.2">
      <c r="A253" s="3" t="str">
        <f>+VLOOKUP(B253,studies!$A$2:$C$102,3)</f>
        <v>Greenstone et al. (2013)</v>
      </c>
      <c r="B253" s="87">
        <v>87</v>
      </c>
      <c r="C253" s="5">
        <v>2013</v>
      </c>
      <c r="D253" s="5">
        <v>1</v>
      </c>
      <c r="E253" s="5">
        <v>2007</v>
      </c>
      <c r="F253" s="5">
        <v>2010</v>
      </c>
      <c r="G253" s="113">
        <v>6.2500000000000014E-2</v>
      </c>
      <c r="H253" s="7">
        <v>114.16201049491836</v>
      </c>
      <c r="I253" s="5">
        <v>1</v>
      </c>
      <c r="J253" s="5">
        <v>0</v>
      </c>
      <c r="K253" s="5">
        <v>0</v>
      </c>
      <c r="L253" s="7" t="s">
        <v>238</v>
      </c>
      <c r="M253" s="7">
        <v>181.84652563568673</v>
      </c>
      <c r="N253" s="7">
        <v>181.84652563568673</v>
      </c>
      <c r="O253" s="5">
        <v>0</v>
      </c>
      <c r="P253" s="5">
        <v>1</v>
      </c>
      <c r="Q253" s="5">
        <v>1</v>
      </c>
      <c r="R253" s="5">
        <v>1</v>
      </c>
      <c r="S253" s="5">
        <v>1</v>
      </c>
      <c r="T253" s="5">
        <v>1</v>
      </c>
      <c r="U253" s="5">
        <v>1</v>
      </c>
      <c r="V253" s="13">
        <v>3</v>
      </c>
      <c r="W253" s="13" t="s">
        <v>25</v>
      </c>
      <c r="X253" s="5"/>
      <c r="Y253" s="5"/>
      <c r="Z253" s="5"/>
      <c r="AA253" s="5">
        <v>0</v>
      </c>
      <c r="AB253" s="5"/>
      <c r="AC253" s="5">
        <v>0</v>
      </c>
      <c r="AD253" s="5">
        <v>0</v>
      </c>
      <c r="AE253" s="5">
        <v>0</v>
      </c>
      <c r="AF253" s="5">
        <v>0</v>
      </c>
    </row>
    <row r="254" spans="1:32" x14ac:dyDescent="0.2">
      <c r="A254" s="3" t="str">
        <f>+VLOOKUP(B254,studies!$A$2:$C$102,3)</f>
        <v>Greenstone et al. (2013)</v>
      </c>
      <c r="B254" s="87">
        <v>87</v>
      </c>
      <c r="C254" s="5">
        <v>2013</v>
      </c>
      <c r="D254" s="5">
        <v>1</v>
      </c>
      <c r="E254" s="5">
        <v>2007</v>
      </c>
      <c r="F254" s="5">
        <v>2010</v>
      </c>
      <c r="G254" s="113">
        <v>6.2500000000000014E-2</v>
      </c>
      <c r="H254" s="7">
        <v>36.855452207020889</v>
      </c>
      <c r="I254" s="5">
        <v>1</v>
      </c>
      <c r="J254" s="5">
        <v>0</v>
      </c>
      <c r="K254" s="5">
        <v>0</v>
      </c>
      <c r="L254" s="7" t="s">
        <v>238</v>
      </c>
      <c r="M254" s="7">
        <v>72.234118001565335</v>
      </c>
      <c r="N254" s="7">
        <v>72.234118001565335</v>
      </c>
      <c r="O254" s="5">
        <v>0</v>
      </c>
      <c r="P254" s="5">
        <v>1</v>
      </c>
      <c r="Q254" s="5">
        <v>1</v>
      </c>
      <c r="R254" s="5">
        <v>1</v>
      </c>
      <c r="S254" s="5">
        <v>1</v>
      </c>
      <c r="T254" s="5">
        <v>1</v>
      </c>
      <c r="U254" s="5">
        <v>1</v>
      </c>
      <c r="V254" s="13">
        <v>3</v>
      </c>
      <c r="W254" s="13" t="s">
        <v>25</v>
      </c>
      <c r="X254" s="5"/>
      <c r="Y254" s="5"/>
      <c r="Z254" s="5"/>
      <c r="AA254" s="5">
        <v>0</v>
      </c>
      <c r="AB254" s="5"/>
      <c r="AC254" s="5">
        <v>0</v>
      </c>
      <c r="AD254" s="5">
        <v>0</v>
      </c>
      <c r="AE254" s="5">
        <v>0</v>
      </c>
      <c r="AF254" s="5">
        <v>0</v>
      </c>
    </row>
    <row r="255" spans="1:32" x14ac:dyDescent="0.2">
      <c r="A255" s="3" t="str">
        <f>+VLOOKUP(B255,studies!$A$2:$C$102,3)</f>
        <v>Greenstone et al. (2013)</v>
      </c>
      <c r="B255" s="87">
        <v>87</v>
      </c>
      <c r="C255" s="5">
        <v>2013</v>
      </c>
      <c r="D255" s="5">
        <v>1</v>
      </c>
      <c r="E255" s="5">
        <v>2007</v>
      </c>
      <c r="F255" s="5">
        <v>2010</v>
      </c>
      <c r="G255" s="113">
        <v>6.2500000000000014E-2</v>
      </c>
      <c r="H255" s="7">
        <v>35.956538738556965</v>
      </c>
      <c r="I255" s="5">
        <v>1</v>
      </c>
      <c r="J255" s="5">
        <v>0</v>
      </c>
      <c r="K255" s="5">
        <v>0</v>
      </c>
      <c r="L255" s="7" t="s">
        <v>238</v>
      </c>
      <c r="M255" s="7">
        <v>76.361781887369062</v>
      </c>
      <c r="N255" s="7">
        <v>76.361781887369062</v>
      </c>
      <c r="O255" s="5">
        <v>0</v>
      </c>
      <c r="P255" s="5">
        <v>1</v>
      </c>
      <c r="Q255" s="5">
        <v>1</v>
      </c>
      <c r="R255" s="5">
        <v>1</v>
      </c>
      <c r="S255" s="5">
        <v>1</v>
      </c>
      <c r="T255" s="5">
        <v>1</v>
      </c>
      <c r="U255" s="5">
        <v>1</v>
      </c>
      <c r="V255" s="13">
        <v>3</v>
      </c>
      <c r="W255" s="13" t="s">
        <v>25</v>
      </c>
      <c r="X255" s="5"/>
      <c r="Y255" s="5"/>
      <c r="Z255" s="5"/>
      <c r="AA255" s="5">
        <v>0</v>
      </c>
      <c r="AB255" s="5"/>
      <c r="AC255" s="5">
        <v>0</v>
      </c>
      <c r="AD255" s="5">
        <v>0</v>
      </c>
      <c r="AE255" s="5">
        <v>0</v>
      </c>
      <c r="AF255" s="5">
        <v>0</v>
      </c>
    </row>
    <row r="256" spans="1:32" x14ac:dyDescent="0.2">
      <c r="A256" s="3" t="str">
        <f>+VLOOKUP(B256,studies!$A$2:$C$102,3)</f>
        <v>Greenstone et al. (2013)</v>
      </c>
      <c r="B256" s="87">
        <v>87</v>
      </c>
      <c r="C256" s="5">
        <v>2013</v>
      </c>
      <c r="D256" s="5">
        <v>1</v>
      </c>
      <c r="E256" s="5">
        <v>2007</v>
      </c>
      <c r="F256" s="5">
        <v>2010</v>
      </c>
      <c r="G256" s="113">
        <v>6.2500000000000014E-2</v>
      </c>
      <c r="H256" s="7">
        <v>16.180442432350635</v>
      </c>
      <c r="I256" s="5">
        <v>1</v>
      </c>
      <c r="J256" s="5">
        <v>0</v>
      </c>
      <c r="K256" s="5">
        <v>0</v>
      </c>
      <c r="L256" s="7" t="s">
        <v>238</v>
      </c>
      <c r="M256" s="7">
        <v>65.354678191892447</v>
      </c>
      <c r="N256" s="7">
        <v>65.354678191892447</v>
      </c>
      <c r="O256" s="5">
        <v>0</v>
      </c>
      <c r="P256" s="5">
        <v>1</v>
      </c>
      <c r="Q256" s="5">
        <v>1</v>
      </c>
      <c r="R256" s="5">
        <v>1</v>
      </c>
      <c r="S256" s="5">
        <v>1</v>
      </c>
      <c r="T256" s="5">
        <v>1</v>
      </c>
      <c r="U256" s="5">
        <v>1</v>
      </c>
      <c r="V256" s="13">
        <v>3</v>
      </c>
      <c r="W256" s="13" t="s">
        <v>25</v>
      </c>
      <c r="X256" s="5"/>
      <c r="Y256" s="5"/>
      <c r="Z256" s="5"/>
      <c r="AA256" s="5">
        <v>0</v>
      </c>
      <c r="AB256" s="5"/>
      <c r="AC256" s="5">
        <v>0</v>
      </c>
      <c r="AD256" s="5">
        <v>0</v>
      </c>
      <c r="AE256" s="5">
        <v>0</v>
      </c>
      <c r="AF256" s="5">
        <v>0</v>
      </c>
    </row>
    <row r="257" spans="1:32" x14ac:dyDescent="0.2">
      <c r="A257" s="3" t="str">
        <f>+VLOOKUP(B257,studies!$A$2:$C$102,3)</f>
        <v>Greenstone et al. (2013)</v>
      </c>
      <c r="B257" s="87">
        <v>87</v>
      </c>
      <c r="C257" s="5">
        <v>2013</v>
      </c>
      <c r="D257" s="5">
        <v>1</v>
      </c>
      <c r="E257" s="5">
        <v>2007</v>
      </c>
      <c r="F257" s="5">
        <v>2010</v>
      </c>
      <c r="G257" s="113">
        <v>6.2500000000000014E-2</v>
      </c>
      <c r="H257" s="7">
        <v>45.844586891660136</v>
      </c>
      <c r="I257" s="5">
        <v>1</v>
      </c>
      <c r="J257" s="5">
        <v>0</v>
      </c>
      <c r="K257" s="5">
        <v>0</v>
      </c>
      <c r="L257" s="7" t="s">
        <v>238</v>
      </c>
      <c r="M257" s="7">
        <v>74.297949944467206</v>
      </c>
      <c r="N257" s="7">
        <v>74.297949944467206</v>
      </c>
      <c r="O257" s="5">
        <v>0</v>
      </c>
      <c r="P257" s="5">
        <v>1</v>
      </c>
      <c r="Q257" s="5">
        <v>1</v>
      </c>
      <c r="R257" s="5">
        <v>1</v>
      </c>
      <c r="S257" s="5">
        <v>1</v>
      </c>
      <c r="T257" s="5">
        <v>1</v>
      </c>
      <c r="U257" s="5">
        <v>1</v>
      </c>
      <c r="V257" s="13">
        <v>3</v>
      </c>
      <c r="W257" s="13" t="s">
        <v>25</v>
      </c>
      <c r="X257" s="5"/>
      <c r="Y257" s="5"/>
      <c r="Z257" s="5"/>
      <c r="AA257" s="5">
        <v>0</v>
      </c>
      <c r="AB257" s="5"/>
      <c r="AC257" s="5">
        <v>0</v>
      </c>
      <c r="AD257" s="5">
        <v>0</v>
      </c>
      <c r="AE257" s="5">
        <v>0</v>
      </c>
      <c r="AF257" s="5">
        <v>0</v>
      </c>
    </row>
    <row r="258" spans="1:32" x14ac:dyDescent="0.2">
      <c r="A258" s="3" t="str">
        <f>+VLOOKUP(B258,studies!$A$2:$C$102,3)</f>
        <v>Greenstone et al. (2013)</v>
      </c>
      <c r="B258" s="87">
        <v>87</v>
      </c>
      <c r="C258" s="5">
        <v>2013</v>
      </c>
      <c r="D258" s="5">
        <v>1</v>
      </c>
      <c r="E258" s="5">
        <v>2007</v>
      </c>
      <c r="F258" s="5">
        <v>2010</v>
      </c>
      <c r="G258" s="113">
        <v>6.2500000000000014E-2</v>
      </c>
      <c r="H258" s="7">
        <v>-0.89891346846392428</v>
      </c>
      <c r="I258" s="5">
        <v>1</v>
      </c>
      <c r="J258" s="5">
        <v>0</v>
      </c>
      <c r="K258" s="5">
        <v>0</v>
      </c>
      <c r="L258" s="7" t="s">
        <v>238</v>
      </c>
      <c r="M258" s="7">
        <v>44.945673423196212</v>
      </c>
      <c r="N258" s="7">
        <v>44.945673423196212</v>
      </c>
      <c r="O258" s="5">
        <v>0</v>
      </c>
      <c r="P258" s="5">
        <v>1</v>
      </c>
      <c r="Q258" s="5">
        <v>1</v>
      </c>
      <c r="R258" s="5">
        <v>1</v>
      </c>
      <c r="S258" s="5">
        <v>1</v>
      </c>
      <c r="T258" s="5">
        <v>1</v>
      </c>
      <c r="U258" s="5">
        <v>1</v>
      </c>
      <c r="V258" s="13">
        <v>3</v>
      </c>
      <c r="W258" s="13" t="s">
        <v>25</v>
      </c>
      <c r="X258" s="5"/>
      <c r="Y258" s="5"/>
      <c r="Z258" s="5"/>
      <c r="AA258" s="5">
        <v>0</v>
      </c>
      <c r="AB258" s="5"/>
      <c r="AC258" s="5">
        <v>0</v>
      </c>
      <c r="AD258" s="5">
        <v>0</v>
      </c>
      <c r="AE258" s="5">
        <v>0</v>
      </c>
      <c r="AF258" s="5">
        <v>0</v>
      </c>
    </row>
    <row r="259" spans="1:32" x14ac:dyDescent="0.2">
      <c r="A259" s="3" t="str">
        <f>+VLOOKUP(B259,studies!$A$2:$C$102,3)</f>
        <v>Greenstone et al. (2013)</v>
      </c>
      <c r="B259" s="87">
        <v>87</v>
      </c>
      <c r="C259" s="5">
        <v>2013</v>
      </c>
      <c r="D259" s="5">
        <v>1</v>
      </c>
      <c r="E259" s="5">
        <v>2007</v>
      </c>
      <c r="F259" s="5">
        <v>2015</v>
      </c>
      <c r="G259" s="113">
        <v>6.2500000000000014E-2</v>
      </c>
      <c r="H259" s="7">
        <v>91.77600421847319</v>
      </c>
      <c r="I259" s="5">
        <v>1</v>
      </c>
      <c r="J259" s="5">
        <v>0</v>
      </c>
      <c r="K259" s="5">
        <v>0</v>
      </c>
      <c r="L259" s="7" t="s">
        <v>238</v>
      </c>
      <c r="M259" s="7">
        <v>96.40336577570713</v>
      </c>
      <c r="N259" s="7">
        <v>96.40336577570713</v>
      </c>
      <c r="O259" s="5">
        <v>0</v>
      </c>
      <c r="P259" s="5">
        <v>1</v>
      </c>
      <c r="Q259" s="5">
        <v>1</v>
      </c>
      <c r="R259" s="5">
        <v>1</v>
      </c>
      <c r="S259" s="5">
        <v>1</v>
      </c>
      <c r="T259" s="5">
        <v>1</v>
      </c>
      <c r="U259" s="5">
        <v>1</v>
      </c>
      <c r="V259" s="13">
        <v>3</v>
      </c>
      <c r="W259" s="13" t="s">
        <v>25</v>
      </c>
      <c r="X259" s="5"/>
      <c r="Y259" s="5"/>
      <c r="Z259" s="5"/>
      <c r="AA259" s="5">
        <v>0</v>
      </c>
      <c r="AB259" s="5"/>
      <c r="AC259" s="5">
        <v>0</v>
      </c>
      <c r="AD259" s="5">
        <v>0</v>
      </c>
      <c r="AE259" s="5">
        <v>0</v>
      </c>
      <c r="AF259" s="5">
        <v>0</v>
      </c>
    </row>
    <row r="260" spans="1:32" x14ac:dyDescent="0.2">
      <c r="A260" s="3" t="str">
        <f>+VLOOKUP(B260,studies!$A$2:$C$102,3)</f>
        <v>Newbold et al. (2013)</v>
      </c>
      <c r="B260" s="87">
        <v>92</v>
      </c>
      <c r="C260" s="5">
        <v>2013</v>
      </c>
      <c r="D260" s="5">
        <v>1</v>
      </c>
      <c r="E260" s="5">
        <v>2005</v>
      </c>
      <c r="F260" s="5">
        <v>2005</v>
      </c>
      <c r="G260" s="113">
        <v>1</v>
      </c>
      <c r="H260" s="7">
        <v>61.178851637259505</v>
      </c>
      <c r="I260" s="5">
        <v>0</v>
      </c>
      <c r="J260" s="5">
        <v>0</v>
      </c>
      <c r="K260" s="5">
        <v>1</v>
      </c>
      <c r="L260" s="7"/>
      <c r="M260" s="7">
        <v>136.20523555605084</v>
      </c>
      <c r="N260" s="7">
        <v>136.20523555605084</v>
      </c>
      <c r="O260" s="5">
        <v>1</v>
      </c>
      <c r="P260" s="5">
        <v>1</v>
      </c>
      <c r="Q260" s="5">
        <v>1</v>
      </c>
      <c r="R260" s="5">
        <v>1</v>
      </c>
      <c r="S260" s="5">
        <v>0</v>
      </c>
      <c r="T260" s="5">
        <v>0</v>
      </c>
      <c r="U260" s="5">
        <v>0</v>
      </c>
      <c r="V260" s="13"/>
      <c r="W260" s="13">
        <v>1.34</v>
      </c>
      <c r="X260" s="3">
        <v>1.71</v>
      </c>
      <c r="Y260" s="5"/>
      <c r="Z260" s="5"/>
      <c r="AA260" s="5">
        <v>0</v>
      </c>
      <c r="AB260" s="5"/>
      <c r="AC260" s="5">
        <v>0</v>
      </c>
      <c r="AD260" s="5">
        <v>0</v>
      </c>
      <c r="AE260" s="5">
        <v>0</v>
      </c>
      <c r="AF260" s="5">
        <v>0</v>
      </c>
    </row>
    <row r="261" spans="1:32" x14ac:dyDescent="0.2">
      <c r="A261" s="3" t="str">
        <f>+VLOOKUP(B261,studies!$A$2:$C$102,3)</f>
        <v>Pycroft et al. (2014)</v>
      </c>
      <c r="B261" s="87">
        <v>101</v>
      </c>
      <c r="C261" s="5">
        <v>2014</v>
      </c>
      <c r="D261" s="5">
        <v>1</v>
      </c>
      <c r="E261" s="5">
        <v>2005</v>
      </c>
      <c r="F261" s="5">
        <v>2009</v>
      </c>
      <c r="G261" s="113">
        <v>0.125</v>
      </c>
      <c r="H261" s="7">
        <v>236.16814046191016</v>
      </c>
      <c r="I261" s="5">
        <v>1</v>
      </c>
      <c r="J261" s="5">
        <v>0</v>
      </c>
      <c r="K261" s="5">
        <v>0</v>
      </c>
      <c r="L261" s="7"/>
      <c r="M261" s="7">
        <v>92.880752520096493</v>
      </c>
      <c r="N261" s="7">
        <v>446.83172833992353</v>
      </c>
      <c r="O261" s="5">
        <v>0</v>
      </c>
      <c r="P261" s="5">
        <v>1</v>
      </c>
      <c r="Q261" s="5">
        <v>0</v>
      </c>
      <c r="R261" s="5">
        <v>1</v>
      </c>
      <c r="S261" s="5">
        <v>0</v>
      </c>
      <c r="T261" s="5">
        <v>0</v>
      </c>
      <c r="U261" s="5">
        <v>1</v>
      </c>
      <c r="V261" s="13" t="s">
        <v>25</v>
      </c>
      <c r="W261" s="13" t="s">
        <v>25</v>
      </c>
      <c r="X261" s="5"/>
      <c r="Y261" s="5"/>
      <c r="Z261" s="5"/>
      <c r="AA261" s="5">
        <v>1</v>
      </c>
      <c r="AB261" s="5"/>
      <c r="AC261" s="5">
        <v>1</v>
      </c>
      <c r="AD261" s="5">
        <v>0</v>
      </c>
      <c r="AE261" s="5">
        <v>0</v>
      </c>
      <c r="AF261" s="5">
        <v>0</v>
      </c>
    </row>
    <row r="262" spans="1:32" x14ac:dyDescent="0.2">
      <c r="A262" s="3" t="str">
        <f>+VLOOKUP(B262,studies!$A$2:$C$102,3)</f>
        <v>Pycroft et al. (2014)</v>
      </c>
      <c r="B262" s="87">
        <v>101</v>
      </c>
      <c r="C262" s="5">
        <v>2014</v>
      </c>
      <c r="D262" s="5">
        <v>1</v>
      </c>
      <c r="E262" s="5">
        <v>2005</v>
      </c>
      <c r="F262" s="5">
        <v>2009</v>
      </c>
      <c r="G262" s="113">
        <v>0.125</v>
      </c>
      <c r="H262" s="7">
        <v>285.36983639147473</v>
      </c>
      <c r="I262" s="5">
        <v>1</v>
      </c>
      <c r="J262" s="5">
        <v>0</v>
      </c>
      <c r="K262" s="5">
        <v>0</v>
      </c>
      <c r="L262" s="7"/>
      <c r="M262" s="7">
        <v>115.47336799795778</v>
      </c>
      <c r="N262" s="7">
        <v>1081.9352523286911</v>
      </c>
      <c r="O262" s="5">
        <v>0</v>
      </c>
      <c r="P262" s="5">
        <v>1</v>
      </c>
      <c r="Q262" s="5">
        <v>0</v>
      </c>
      <c r="R262" s="5">
        <v>1</v>
      </c>
      <c r="S262" s="5">
        <v>0</v>
      </c>
      <c r="T262" s="5">
        <v>0</v>
      </c>
      <c r="U262" s="5">
        <v>1</v>
      </c>
      <c r="V262" s="13" t="s">
        <v>25</v>
      </c>
      <c r="W262" s="13" t="s">
        <v>25</v>
      </c>
      <c r="X262" s="5"/>
      <c r="Y262" s="5"/>
      <c r="Z262" s="5"/>
      <c r="AA262" s="5">
        <v>1</v>
      </c>
      <c r="AB262" s="5"/>
      <c r="AC262" s="5">
        <v>1</v>
      </c>
      <c r="AD262" s="5">
        <v>0</v>
      </c>
      <c r="AE262" s="5">
        <v>0</v>
      </c>
      <c r="AF262" s="5">
        <v>0</v>
      </c>
    </row>
    <row r="263" spans="1:32" x14ac:dyDescent="0.2">
      <c r="A263" s="3" t="str">
        <f>+VLOOKUP(B263,studies!$A$2:$C$102,3)</f>
        <v>Pycroft et al. (2014)</v>
      </c>
      <c r="B263" s="87">
        <v>101</v>
      </c>
      <c r="C263" s="5">
        <v>2014</v>
      </c>
      <c r="D263" s="5">
        <v>1</v>
      </c>
      <c r="E263" s="5">
        <v>2005</v>
      </c>
      <c r="F263" s="5">
        <v>2009</v>
      </c>
      <c r="G263" s="113">
        <v>0.125</v>
      </c>
      <c r="H263" s="7">
        <v>280.44966679851831</v>
      </c>
      <c r="I263" s="5">
        <v>1</v>
      </c>
      <c r="J263" s="5">
        <v>0</v>
      </c>
      <c r="K263" s="5">
        <v>0</v>
      </c>
      <c r="L263" s="7"/>
      <c r="M263" s="7">
        <v>112.96307738930652</v>
      </c>
      <c r="N263" s="7">
        <v>1240.0835606737205</v>
      </c>
      <c r="O263" s="5">
        <v>0</v>
      </c>
      <c r="P263" s="5">
        <v>1</v>
      </c>
      <c r="Q263" s="5">
        <v>0</v>
      </c>
      <c r="R263" s="5">
        <v>1</v>
      </c>
      <c r="S263" s="5">
        <v>0</v>
      </c>
      <c r="T263" s="5">
        <v>0</v>
      </c>
      <c r="U263" s="5">
        <v>1</v>
      </c>
      <c r="V263" s="13" t="s">
        <v>25</v>
      </c>
      <c r="W263" s="13" t="s">
        <v>25</v>
      </c>
      <c r="X263" s="5"/>
      <c r="Y263" s="5"/>
      <c r="Z263" s="5"/>
      <c r="AA263" s="5">
        <v>1</v>
      </c>
      <c r="AB263" s="5"/>
      <c r="AC263" s="5">
        <v>1</v>
      </c>
      <c r="AD263" s="5">
        <v>0</v>
      </c>
      <c r="AE263" s="5">
        <v>0</v>
      </c>
      <c r="AF263" s="5">
        <v>0</v>
      </c>
    </row>
    <row r="264" spans="1:32" x14ac:dyDescent="0.2">
      <c r="A264" s="3" t="str">
        <f>+VLOOKUP(B264,studies!$A$2:$C$102,3)</f>
        <v>Pycroft et al. (2014)</v>
      </c>
      <c r="B264" s="87">
        <v>101</v>
      </c>
      <c r="C264" s="5">
        <v>2014</v>
      </c>
      <c r="D264" s="5">
        <v>1</v>
      </c>
      <c r="E264" s="5">
        <v>2005</v>
      </c>
      <c r="F264" s="5">
        <v>2009</v>
      </c>
      <c r="G264" s="113">
        <v>0.125</v>
      </c>
      <c r="H264" s="7">
        <v>270.6093276126054</v>
      </c>
      <c r="I264" s="5">
        <v>1</v>
      </c>
      <c r="J264" s="5">
        <v>0</v>
      </c>
      <c r="K264" s="5">
        <v>0</v>
      </c>
      <c r="L264" s="7"/>
      <c r="M264" s="7">
        <v>110.45278678065525</v>
      </c>
      <c r="N264" s="7">
        <v>1968.0678371825845</v>
      </c>
      <c r="O264" s="5">
        <v>0</v>
      </c>
      <c r="P264" s="5">
        <v>1</v>
      </c>
      <c r="Q264" s="5">
        <v>0</v>
      </c>
      <c r="R264" s="5">
        <v>1</v>
      </c>
      <c r="S264" s="5">
        <v>0</v>
      </c>
      <c r="T264" s="5">
        <v>0</v>
      </c>
      <c r="U264" s="5">
        <v>1</v>
      </c>
      <c r="V264" s="13" t="s">
        <v>25</v>
      </c>
      <c r="W264" s="13" t="s">
        <v>25</v>
      </c>
      <c r="X264" s="5"/>
      <c r="Y264" s="5"/>
      <c r="Z264" s="5"/>
      <c r="AA264" s="5">
        <v>1</v>
      </c>
      <c r="AB264" s="5"/>
      <c r="AC264" s="5">
        <v>1</v>
      </c>
      <c r="AD264" s="5">
        <v>0</v>
      </c>
      <c r="AE264" s="5">
        <v>0</v>
      </c>
      <c r="AF264" s="5">
        <v>0</v>
      </c>
    </row>
    <row r="265" spans="1:32" x14ac:dyDescent="0.2">
      <c r="A265" s="3" t="str">
        <f>+VLOOKUP(B265,studies!$A$2:$C$102,3)</f>
        <v>Pycroft et al. (2014)</v>
      </c>
      <c r="B265" s="87">
        <v>101</v>
      </c>
      <c r="C265" s="5">
        <v>2014</v>
      </c>
      <c r="D265" s="5">
        <v>1</v>
      </c>
      <c r="E265" s="5">
        <v>2005</v>
      </c>
      <c r="F265" s="5">
        <v>2009</v>
      </c>
      <c r="G265" s="113">
        <v>0.125</v>
      </c>
      <c r="H265" s="7">
        <v>300.13034517034413</v>
      </c>
      <c r="I265" s="5">
        <v>1</v>
      </c>
      <c r="J265" s="5">
        <v>0</v>
      </c>
      <c r="K265" s="5">
        <v>0</v>
      </c>
      <c r="L265" s="7"/>
      <c r="M265" s="7">
        <v>110.45278678065525</v>
      </c>
      <c r="N265" s="7">
        <v>481.9757968610412</v>
      </c>
      <c r="O265" s="5">
        <v>0</v>
      </c>
      <c r="P265" s="5">
        <v>1</v>
      </c>
      <c r="Q265" s="5">
        <v>0</v>
      </c>
      <c r="R265" s="5">
        <v>1</v>
      </c>
      <c r="S265" s="5">
        <v>0</v>
      </c>
      <c r="T265" s="5">
        <v>0</v>
      </c>
      <c r="U265" s="5">
        <v>1</v>
      </c>
      <c r="V265" s="13" t="s">
        <v>25</v>
      </c>
      <c r="W265" s="13" t="s">
        <v>25</v>
      </c>
      <c r="X265" s="5"/>
      <c r="Y265" s="5"/>
      <c r="Z265" s="5"/>
      <c r="AA265" s="5">
        <v>1</v>
      </c>
      <c r="AB265" s="5"/>
      <c r="AC265" s="5">
        <v>1</v>
      </c>
      <c r="AD265" s="5">
        <v>0</v>
      </c>
      <c r="AE265" s="5">
        <v>0</v>
      </c>
      <c r="AF265" s="5">
        <v>0</v>
      </c>
    </row>
    <row r="266" spans="1:32" x14ac:dyDescent="0.2">
      <c r="A266" s="3" t="str">
        <f>+VLOOKUP(B266,studies!$A$2:$C$102,3)</f>
        <v>Pycroft et al. (2014)</v>
      </c>
      <c r="B266" s="87">
        <v>101</v>
      </c>
      <c r="C266" s="5">
        <v>2014</v>
      </c>
      <c r="D266" s="5">
        <v>1</v>
      </c>
      <c r="E266" s="5">
        <v>2005</v>
      </c>
      <c r="F266" s="5">
        <v>2009</v>
      </c>
      <c r="G266" s="113">
        <v>0.125</v>
      </c>
      <c r="H266" s="7">
        <v>339.49170191399588</v>
      </c>
      <c r="I266" s="5">
        <v>1</v>
      </c>
      <c r="J266" s="5">
        <v>0</v>
      </c>
      <c r="K266" s="5">
        <v>0</v>
      </c>
      <c r="L266" s="7"/>
      <c r="M266" s="7">
        <v>130.53511164986534</v>
      </c>
      <c r="N266" s="7">
        <v>1167.2851330228341</v>
      </c>
      <c r="O266" s="5">
        <v>0</v>
      </c>
      <c r="P266" s="5">
        <v>1</v>
      </c>
      <c r="Q266" s="5">
        <v>0</v>
      </c>
      <c r="R266" s="5">
        <v>1</v>
      </c>
      <c r="S266" s="5">
        <v>0</v>
      </c>
      <c r="T266" s="5">
        <v>0</v>
      </c>
      <c r="U266" s="5">
        <v>1</v>
      </c>
      <c r="V266" s="13" t="s">
        <v>25</v>
      </c>
      <c r="W266" s="13" t="s">
        <v>25</v>
      </c>
      <c r="X266" s="5"/>
      <c r="Y266" s="5"/>
      <c r="Z266" s="5"/>
      <c r="AA266" s="5">
        <v>1</v>
      </c>
      <c r="AB266" s="5"/>
      <c r="AC266" s="5">
        <v>1</v>
      </c>
      <c r="AD266" s="5">
        <v>0</v>
      </c>
      <c r="AE266" s="5">
        <v>0</v>
      </c>
      <c r="AF266" s="5">
        <v>0</v>
      </c>
    </row>
    <row r="267" spans="1:32" x14ac:dyDescent="0.2">
      <c r="A267" s="3" t="str">
        <f>+VLOOKUP(B267,studies!$A$2:$C$102,3)</f>
        <v>Pycroft et al. (2014)</v>
      </c>
      <c r="B267" s="87">
        <v>101</v>
      </c>
      <c r="C267" s="5">
        <v>2014</v>
      </c>
      <c r="D267" s="5">
        <v>1</v>
      </c>
      <c r="E267" s="5">
        <v>2005</v>
      </c>
      <c r="F267" s="5">
        <v>2009</v>
      </c>
      <c r="G267" s="113">
        <v>0.125</v>
      </c>
      <c r="H267" s="7">
        <v>334.57153232103934</v>
      </c>
      <c r="I267" s="5">
        <v>1</v>
      </c>
      <c r="J267" s="5">
        <v>0</v>
      </c>
      <c r="K267" s="5">
        <v>0</v>
      </c>
      <c r="L267" s="7"/>
      <c r="M267" s="7">
        <v>128.02482104121407</v>
      </c>
      <c r="N267" s="7">
        <v>1267.6967573688844</v>
      </c>
      <c r="O267" s="5">
        <v>0</v>
      </c>
      <c r="P267" s="5">
        <v>1</v>
      </c>
      <c r="Q267" s="5">
        <v>0</v>
      </c>
      <c r="R267" s="5">
        <v>1</v>
      </c>
      <c r="S267" s="5">
        <v>0</v>
      </c>
      <c r="T267" s="5">
        <v>0</v>
      </c>
      <c r="U267" s="5">
        <v>1</v>
      </c>
      <c r="V267" s="13" t="s">
        <v>25</v>
      </c>
      <c r="W267" s="13" t="s">
        <v>25</v>
      </c>
      <c r="X267" s="5"/>
      <c r="Y267" s="5"/>
      <c r="Z267" s="5"/>
      <c r="AA267" s="5">
        <v>1</v>
      </c>
      <c r="AB267" s="5"/>
      <c r="AC267" s="5">
        <v>1</v>
      </c>
      <c r="AD267" s="5">
        <v>0</v>
      </c>
      <c r="AE267" s="5">
        <v>0</v>
      </c>
      <c r="AF267" s="5">
        <v>0</v>
      </c>
    </row>
    <row r="268" spans="1:32" x14ac:dyDescent="0.2">
      <c r="A268" s="3" t="str">
        <f>+VLOOKUP(B268,studies!$A$2:$C$102,3)</f>
        <v>Pycroft et al. (2014)</v>
      </c>
      <c r="B268" s="87">
        <v>101</v>
      </c>
      <c r="C268" s="5">
        <v>2014</v>
      </c>
      <c r="D268" s="5">
        <v>1</v>
      </c>
      <c r="E268" s="5">
        <v>2005</v>
      </c>
      <c r="F268" s="5">
        <v>2009</v>
      </c>
      <c r="G268" s="113">
        <v>0.125</v>
      </c>
      <c r="H268" s="7">
        <v>324.73119313512649</v>
      </c>
      <c r="I268" s="5">
        <v>1</v>
      </c>
      <c r="J268" s="5">
        <v>0</v>
      </c>
      <c r="K268" s="5">
        <v>0</v>
      </c>
      <c r="L268" s="7"/>
      <c r="M268" s="7">
        <v>123.00423982391156</v>
      </c>
      <c r="N268" s="7">
        <v>2076.010333354589</v>
      </c>
      <c r="O268" s="5">
        <v>0</v>
      </c>
      <c r="P268" s="5">
        <v>1</v>
      </c>
      <c r="Q268" s="5">
        <v>0</v>
      </c>
      <c r="R268" s="5">
        <v>1</v>
      </c>
      <c r="S268" s="5">
        <v>0</v>
      </c>
      <c r="T268" s="5">
        <v>0</v>
      </c>
      <c r="U268" s="5">
        <v>1</v>
      </c>
      <c r="V268" s="13" t="s">
        <v>25</v>
      </c>
      <c r="W268" s="13" t="s">
        <v>25</v>
      </c>
      <c r="X268" s="5"/>
      <c r="Y268" s="5"/>
      <c r="Z268" s="5"/>
      <c r="AA268" s="5">
        <v>1</v>
      </c>
      <c r="AB268" s="5"/>
      <c r="AC268" s="5">
        <v>1</v>
      </c>
      <c r="AD268" s="5">
        <v>0</v>
      </c>
      <c r="AE268" s="5">
        <v>0</v>
      </c>
      <c r="AF268" s="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9"/>
  <sheetViews>
    <sheetView zoomScale="85" zoomScaleNormal="85" workbookViewId="0">
      <pane xSplit="1" ySplit="1" topLeftCell="B2" activePane="bottomRight" state="frozen"/>
      <selection pane="topRight"/>
      <selection pane="bottomLeft"/>
      <selection pane="bottomRight"/>
    </sheetView>
  </sheetViews>
  <sheetFormatPr defaultRowHeight="12.75" x14ac:dyDescent="0.2"/>
  <cols>
    <col min="1" max="1" width="26.140625" style="91" bestFit="1" customWidth="1"/>
    <col min="2" max="2" width="9.140625" style="91"/>
    <col min="3" max="3" width="10.7109375" style="91" customWidth="1"/>
    <col min="4" max="7" width="9.140625" style="91"/>
    <col min="8" max="8" width="13.28515625" style="98" bestFit="1" customWidth="1"/>
    <col min="9" max="12" width="9.140625" style="91"/>
    <col min="13" max="14" width="9.140625" style="98"/>
    <col min="15" max="32" width="9.140625" style="91"/>
    <col min="33" max="16384" width="9.140625" style="90"/>
  </cols>
  <sheetData>
    <row r="1" spans="1:32" s="96" customFormat="1" ht="12.75" customHeight="1" x14ac:dyDescent="0.2">
      <c r="A1" s="97" t="s">
        <v>321</v>
      </c>
      <c r="B1" s="94" t="s">
        <v>290</v>
      </c>
      <c r="C1" s="99" t="s">
        <v>287</v>
      </c>
      <c r="D1" s="94" t="s">
        <v>291</v>
      </c>
      <c r="E1" s="94" t="s">
        <v>293</v>
      </c>
      <c r="F1" s="94" t="s">
        <v>294</v>
      </c>
      <c r="G1" s="94" t="s">
        <v>295</v>
      </c>
      <c r="H1" s="100" t="s">
        <v>296</v>
      </c>
      <c r="I1" s="94" t="s">
        <v>297</v>
      </c>
      <c r="J1" s="94" t="s">
        <v>298</v>
      </c>
      <c r="K1" s="94" t="s">
        <v>299</v>
      </c>
      <c r="L1" s="94" t="s">
        <v>292</v>
      </c>
      <c r="M1" s="100" t="s">
        <v>300</v>
      </c>
      <c r="N1" s="100" t="s">
        <v>301</v>
      </c>
      <c r="O1" s="94" t="s">
        <v>302</v>
      </c>
      <c r="P1" s="94" t="s">
        <v>303</v>
      </c>
      <c r="Q1" s="94" t="s">
        <v>304</v>
      </c>
      <c r="R1" s="94" t="s">
        <v>305</v>
      </c>
      <c r="S1" s="89" t="s">
        <v>306</v>
      </c>
      <c r="T1" s="89" t="s">
        <v>307</v>
      </c>
      <c r="U1" s="89" t="s">
        <v>308</v>
      </c>
      <c r="V1" s="94" t="s">
        <v>309</v>
      </c>
      <c r="W1" s="94" t="s">
        <v>310</v>
      </c>
      <c r="X1" s="94" t="s">
        <v>311</v>
      </c>
      <c r="Y1" s="94" t="s">
        <v>312</v>
      </c>
      <c r="Z1" s="94" t="s">
        <v>313</v>
      </c>
      <c r="AA1" s="94" t="s">
        <v>241</v>
      </c>
      <c r="AB1" s="94" t="s">
        <v>314</v>
      </c>
      <c r="AC1" s="94" t="s">
        <v>315</v>
      </c>
      <c r="AD1" s="94" t="s">
        <v>316</v>
      </c>
      <c r="AE1" s="94" t="s">
        <v>318</v>
      </c>
      <c r="AF1" s="95" t="s">
        <v>317</v>
      </c>
    </row>
    <row r="2" spans="1:32" x14ac:dyDescent="0.2">
      <c r="A2" s="3" t="str">
        <f>+VLOOKUP(B2,studies!$A$2:$C$102,3)</f>
        <v>Nordhaus (1982)</v>
      </c>
      <c r="B2" s="87">
        <v>1</v>
      </c>
      <c r="C2" s="5">
        <v>1982</v>
      </c>
      <c r="D2" s="5">
        <v>1</v>
      </c>
      <c r="E2" s="5">
        <v>1980</v>
      </c>
      <c r="F2" s="5">
        <v>1980</v>
      </c>
      <c r="G2" s="5"/>
      <c r="H2" s="7">
        <f>+IF(VLOOKUP($A2,'Dataset2 ad'!$D$3:$L$855,4,FALSE)="","",VLOOKUP($A2,'Dataset2 ad'!$D$3:$L$855,4,FALSE))</f>
        <v>1134.2849682083574</v>
      </c>
      <c r="I2" s="5">
        <v>0</v>
      </c>
      <c r="J2" s="5">
        <v>1</v>
      </c>
      <c r="K2" s="5">
        <v>0</v>
      </c>
      <c r="L2" s="5"/>
      <c r="M2" s="7">
        <f>+IF(VLOOKUP($A2,'Dataset2 ad'!$D$3:$L$855,8,FALSE)="","",VLOOKUP($A2,'Dataset2 ad'!$D$3:$L$855,8,FALSE))</f>
        <v>887.8084431739469</v>
      </c>
      <c r="N2" s="7">
        <f>+IF(VLOOKUP($A2,'Dataset2 ad'!$D$3:$L$855,9,FALSE)="","",VLOOKUP($A2,'Dataset2 ad'!$D$3:$L$855,9,FALSE))</f>
        <v>999.09259422698324</v>
      </c>
      <c r="O2" s="5">
        <v>1</v>
      </c>
      <c r="P2" s="5">
        <v>0</v>
      </c>
      <c r="Q2" s="33">
        <v>0</v>
      </c>
      <c r="R2" s="5">
        <v>0</v>
      </c>
      <c r="S2" s="5">
        <v>0</v>
      </c>
      <c r="T2" s="5">
        <v>0</v>
      </c>
      <c r="U2" s="5">
        <v>0</v>
      </c>
      <c r="V2" s="13"/>
      <c r="W2" s="13">
        <v>1</v>
      </c>
      <c r="X2" s="5"/>
      <c r="Y2" s="108">
        <f>+AVERAGE(Dataset0!Y2:Y3)</f>
        <v>2.5</v>
      </c>
      <c r="Z2" s="3"/>
      <c r="AA2" s="5">
        <v>0</v>
      </c>
      <c r="AB2" s="5"/>
      <c r="AC2" s="5">
        <v>0</v>
      </c>
      <c r="AD2" s="5">
        <v>1</v>
      </c>
      <c r="AE2" s="5">
        <v>0</v>
      </c>
      <c r="AF2" s="5">
        <v>0</v>
      </c>
    </row>
    <row r="3" spans="1:32" x14ac:dyDescent="0.2">
      <c r="A3" s="3" t="str">
        <f>+VLOOKUP(B3,studies!$A$2:$C$102,3)</f>
        <v>Nordhaus (1991)</v>
      </c>
      <c r="B3" s="87">
        <v>3</v>
      </c>
      <c r="C3" s="5">
        <v>1991</v>
      </c>
      <c r="D3" s="5">
        <v>1</v>
      </c>
      <c r="E3" s="5">
        <v>1989</v>
      </c>
      <c r="F3" s="5">
        <v>1990</v>
      </c>
      <c r="G3" s="5"/>
      <c r="H3" s="7">
        <f>+IF(VLOOKUP($A3,'Dataset2 ad'!$D$3:$L$855,4,FALSE)="","",VLOOKUP($A3,'Dataset2 ad'!$D$3:$L$855,4,FALSE))</f>
        <v>101.67174543553476</v>
      </c>
      <c r="I3" s="5">
        <v>0</v>
      </c>
      <c r="J3" s="5">
        <v>1</v>
      </c>
      <c r="K3" s="5">
        <v>0</v>
      </c>
      <c r="L3" s="5"/>
      <c r="M3" s="7">
        <f>+IF(VLOOKUP($A3,'Dataset2 ad'!$D$3:$L$855,8,FALSE)="","",VLOOKUP($A3,'Dataset2 ad'!$D$3:$L$855,8,FALSE))</f>
        <v>47.103539940621395</v>
      </c>
      <c r="N3" s="7">
        <f>+IF(VLOOKUP($A3,'Dataset2 ad'!$D$3:$L$855,9,FALSE)="","",VLOOKUP($A3,'Dataset2 ad'!$D$3:$L$855,9,FALSE))</f>
        <v>321.44486045416227</v>
      </c>
      <c r="O3" s="5">
        <v>1</v>
      </c>
      <c r="P3" s="5">
        <v>0</v>
      </c>
      <c r="Q3" s="33">
        <v>0</v>
      </c>
      <c r="R3" s="5">
        <v>0</v>
      </c>
      <c r="S3" s="5">
        <v>0</v>
      </c>
      <c r="T3" s="5">
        <v>1</v>
      </c>
      <c r="U3" s="5">
        <v>0</v>
      </c>
      <c r="V3" s="107">
        <f>+AVERAGE(Dataset0!V5:V13)</f>
        <v>3.6666666666666665</v>
      </c>
      <c r="W3" s="107">
        <f>+AVERAGE(Dataset0!W5:W13)</f>
        <v>1.6666666666666667</v>
      </c>
      <c r="X3" s="107">
        <f>+AVERAGE(Dataset0!X5:X13)</f>
        <v>1</v>
      </c>
      <c r="Y3" s="107">
        <f>+AVERAGE(Dataset0!Y5:Y13)</f>
        <v>2</v>
      </c>
      <c r="Z3" s="49">
        <f>1/X3</f>
        <v>1</v>
      </c>
      <c r="AA3" s="5">
        <v>0</v>
      </c>
      <c r="AB3" s="5"/>
      <c r="AC3" s="5">
        <v>0</v>
      </c>
      <c r="AD3" s="5">
        <v>1</v>
      </c>
      <c r="AE3" s="5">
        <v>0</v>
      </c>
      <c r="AF3" s="5">
        <v>0</v>
      </c>
    </row>
    <row r="4" spans="1:32" x14ac:dyDescent="0.2">
      <c r="A4" s="3" t="str">
        <f>+VLOOKUP(B4,studies!$A$2:$C$102,3)</f>
        <v>Haraden (1993)</v>
      </c>
      <c r="B4" s="87">
        <v>8</v>
      </c>
      <c r="C4" s="5">
        <v>1993</v>
      </c>
      <c r="D4" s="5">
        <v>1</v>
      </c>
      <c r="E4" s="5">
        <v>1989</v>
      </c>
      <c r="F4" s="5">
        <v>1989</v>
      </c>
      <c r="G4" s="5"/>
      <c r="H4" s="7">
        <f>+IF(VLOOKUP($A4,'Dataset2 ad'!$D$3:$L$855,4,FALSE)="","",VLOOKUP($A4,'Dataset2 ad'!$D$3:$L$855,4,FALSE))</f>
        <v>11.623804019723982</v>
      </c>
      <c r="I4" s="5">
        <v>0</v>
      </c>
      <c r="J4" s="5">
        <v>1</v>
      </c>
      <c r="K4" s="5">
        <v>0</v>
      </c>
      <c r="L4" s="5"/>
      <c r="M4" s="7">
        <f>+IF(VLOOKUP($A4,'Dataset2 ad'!$D$3:$L$855,8,FALSE)="","",VLOOKUP($A4,'Dataset2 ad'!$D$3:$L$855,8,FALSE))</f>
        <v>2.0239365648642802</v>
      </c>
      <c r="N4" s="7">
        <f>+IF(VLOOKUP($A4,'Dataset2 ad'!$D$3:$L$855,9,FALSE)="","",VLOOKUP($A4,'Dataset2 ad'!$D$3:$L$855,9,FALSE))</f>
        <v>10.388346970099844</v>
      </c>
      <c r="O4" s="5">
        <v>0</v>
      </c>
      <c r="P4" s="5">
        <v>0</v>
      </c>
      <c r="Q4" s="5">
        <v>0</v>
      </c>
      <c r="R4" s="5">
        <v>0</v>
      </c>
      <c r="S4" s="5">
        <v>0</v>
      </c>
      <c r="T4" s="5">
        <v>0</v>
      </c>
      <c r="U4" s="5">
        <v>0</v>
      </c>
      <c r="V4" s="13">
        <v>4</v>
      </c>
      <c r="W4" s="13">
        <v>2</v>
      </c>
      <c r="X4" s="3">
        <v>1.25</v>
      </c>
      <c r="Y4" s="109">
        <f>+AVERAGE(Dataset0!Y18:Y20)</f>
        <v>2.6333333333333333</v>
      </c>
      <c r="Z4" s="49">
        <f t="shared" ref="Z4" si="0">1/X4</f>
        <v>0.8</v>
      </c>
      <c r="AA4" s="5">
        <v>0</v>
      </c>
      <c r="AB4" s="5"/>
      <c r="AC4" s="5">
        <v>0</v>
      </c>
      <c r="AD4" s="5">
        <v>0</v>
      </c>
      <c r="AE4" s="5">
        <v>0</v>
      </c>
      <c r="AF4" s="5">
        <v>0</v>
      </c>
    </row>
    <row r="5" spans="1:32" x14ac:dyDescent="0.2">
      <c r="A5" s="3" t="str">
        <f>+VLOOKUP(B5,studies!$A$2:$C$102,3)</f>
        <v>Parry (1993)</v>
      </c>
      <c r="B5" s="87">
        <v>10</v>
      </c>
      <c r="C5" s="5">
        <v>1993</v>
      </c>
      <c r="D5" s="5">
        <v>1</v>
      </c>
      <c r="E5" s="5">
        <v>1991</v>
      </c>
      <c r="F5" s="5">
        <v>1990</v>
      </c>
      <c r="G5" s="5"/>
      <c r="H5" s="7">
        <f>+IF(VLOOKUP($A5,'Dataset2 ad'!$D$3:$L$855,4,FALSE)="","",VLOOKUP($A5,'Dataset2 ad'!$D$3:$L$855,4,FALSE))</f>
        <v>1.5406383808306636</v>
      </c>
      <c r="I5" s="5">
        <v>0</v>
      </c>
      <c r="J5" s="5">
        <v>1</v>
      </c>
      <c r="K5" s="5">
        <v>0</v>
      </c>
      <c r="L5" s="5"/>
      <c r="M5" s="7">
        <f>+IF(VLOOKUP($A5,'Dataset2 ad'!$D$3:$L$855,8,FALSE)="","",VLOOKUP($A5,'Dataset2 ad'!$D$3:$L$855,8,FALSE))</f>
        <v>0.75414738405917192</v>
      </c>
      <c r="N5" s="7">
        <f>+IF(VLOOKUP($A5,'Dataset2 ad'!$D$3:$L$855,9,FALSE)="","",VLOOKUP($A5,'Dataset2 ad'!$D$3:$L$855,9,FALSE))</f>
        <v>892.40988545359949</v>
      </c>
      <c r="O5" s="5">
        <v>0</v>
      </c>
      <c r="P5" s="5">
        <v>1</v>
      </c>
      <c r="Q5" s="5">
        <v>0</v>
      </c>
      <c r="R5" s="5">
        <v>0</v>
      </c>
      <c r="S5" s="5">
        <v>0</v>
      </c>
      <c r="T5" s="5">
        <v>1</v>
      </c>
      <c r="U5" s="5">
        <v>0</v>
      </c>
      <c r="V5" s="13"/>
      <c r="W5" s="13">
        <v>0</v>
      </c>
      <c r="X5" s="3"/>
      <c r="Y5" s="3"/>
      <c r="Z5" s="3"/>
      <c r="AA5" s="5">
        <v>0</v>
      </c>
      <c r="AB5" s="5"/>
      <c r="AC5" s="5">
        <v>0</v>
      </c>
      <c r="AD5" s="5">
        <v>0</v>
      </c>
      <c r="AE5" s="5">
        <v>0</v>
      </c>
      <c r="AF5" s="5">
        <v>0</v>
      </c>
    </row>
    <row r="6" spans="1:32" x14ac:dyDescent="0.2">
      <c r="A6" s="3" t="str">
        <f>+VLOOKUP(B6,studies!$A$2:$C$102,3)</f>
        <v>Peck &amp; Teisberg (1993)</v>
      </c>
      <c r="B6" s="87">
        <v>11</v>
      </c>
      <c r="C6" s="5">
        <v>1993</v>
      </c>
      <c r="D6" s="5">
        <v>1</v>
      </c>
      <c r="E6" s="5">
        <v>1989</v>
      </c>
      <c r="F6" s="5">
        <v>2030</v>
      </c>
      <c r="G6" s="5"/>
      <c r="H6" s="7">
        <f>+IF(VLOOKUP($A6,'Dataset2 ad'!$D$3:$L$855,4,FALSE)="","",VLOOKUP($A6,'Dataset2 ad'!$D$3:$L$855,4,FALSE))</f>
        <v>24.543218781004448</v>
      </c>
      <c r="I6" s="5">
        <v>0</v>
      </c>
      <c r="J6" s="5">
        <v>1</v>
      </c>
      <c r="K6" s="5">
        <v>0</v>
      </c>
      <c r="L6" s="5"/>
      <c r="M6" s="7">
        <f>+IF(VLOOKUP($A6,'Dataset2 ad'!$D$3:$L$855,8,FALSE)="","",VLOOKUP($A6,'Dataset2 ad'!$D$3:$L$855,8,FALSE))</f>
        <v>8.6407813835607588</v>
      </c>
      <c r="N6" s="7">
        <f>+IF(VLOOKUP($A6,'Dataset2 ad'!$D$3:$L$855,9,FALSE)="","",VLOOKUP($A6,'Dataset2 ad'!$D$3:$L$855,9,FALSE))</f>
        <v>15.695058644238223</v>
      </c>
      <c r="O6" s="5">
        <v>0</v>
      </c>
      <c r="P6" s="5">
        <v>1</v>
      </c>
      <c r="Q6" s="5">
        <v>0</v>
      </c>
      <c r="R6" s="5">
        <v>1</v>
      </c>
      <c r="S6" s="5">
        <v>0</v>
      </c>
      <c r="T6" s="5">
        <v>0</v>
      </c>
      <c r="U6" s="5">
        <v>0</v>
      </c>
      <c r="V6" s="13">
        <v>5</v>
      </c>
      <c r="W6" s="13">
        <v>3</v>
      </c>
      <c r="X6" s="3"/>
      <c r="Y6" s="3"/>
      <c r="Z6" s="3"/>
      <c r="AA6" s="5">
        <v>0</v>
      </c>
      <c r="AB6" s="5"/>
      <c r="AC6" s="5">
        <v>0</v>
      </c>
      <c r="AD6" s="5">
        <v>0</v>
      </c>
      <c r="AE6" s="5">
        <v>0</v>
      </c>
      <c r="AF6" s="5">
        <v>1</v>
      </c>
    </row>
    <row r="7" spans="1:32" x14ac:dyDescent="0.2">
      <c r="A7" s="3" t="str">
        <f>+VLOOKUP(B7,studies!$A$2:$C$102,3)</f>
        <v>Reilly &amp; Richards (1993)</v>
      </c>
      <c r="B7" s="87">
        <v>12</v>
      </c>
      <c r="C7" s="5">
        <v>1993</v>
      </c>
      <c r="D7" s="5">
        <v>1</v>
      </c>
      <c r="E7" s="5">
        <v>1990</v>
      </c>
      <c r="F7" s="5">
        <v>1990</v>
      </c>
      <c r="G7" s="5"/>
      <c r="H7" s="7">
        <f>+IF(VLOOKUP($A7,'Dataset2 ad'!$D$3:$L$855,4,FALSE)="","",VLOOKUP($A7,'Dataset2 ad'!$D$3:$L$855,4,FALSE))</f>
        <v>71.719772706033922</v>
      </c>
      <c r="I7" s="5">
        <v>0</v>
      </c>
      <c r="J7" s="5">
        <v>1</v>
      </c>
      <c r="K7" s="5">
        <v>0</v>
      </c>
      <c r="L7" s="5"/>
      <c r="M7" s="7">
        <f>+IF(VLOOKUP($A7,'Dataset2 ad'!$D$3:$L$855,8,FALSE)="","",VLOOKUP($A7,'Dataset2 ad'!$D$3:$L$855,8,FALSE))</f>
        <v>18.060867682010034</v>
      </c>
      <c r="N7" s="7">
        <f>+IF(VLOOKUP($A7,'Dataset2 ad'!$D$3:$L$855,9,FALSE)="","",VLOOKUP($A7,'Dataset2 ad'!$D$3:$L$855,9,FALSE))</f>
        <v>52.705506060884318</v>
      </c>
      <c r="O7" s="5">
        <v>0</v>
      </c>
      <c r="P7" s="5">
        <v>1</v>
      </c>
      <c r="Q7" s="5">
        <v>0</v>
      </c>
      <c r="R7" s="5">
        <v>0</v>
      </c>
      <c r="S7" s="5">
        <v>0</v>
      </c>
      <c r="T7" s="5">
        <v>0</v>
      </c>
      <c r="U7" s="5">
        <v>0</v>
      </c>
      <c r="V7" s="107">
        <f>+AVERAGE(Dataset0!V109:V116)</f>
        <v>5</v>
      </c>
      <c r="W7" s="107">
        <f>+AVERAGE(Dataset0!W109:W116)</f>
        <v>3</v>
      </c>
      <c r="X7" s="3"/>
      <c r="Y7" s="3"/>
      <c r="Z7" s="3"/>
      <c r="AA7" s="5">
        <v>0</v>
      </c>
      <c r="AB7" s="5"/>
      <c r="AC7" s="5">
        <v>0</v>
      </c>
      <c r="AD7" s="5">
        <v>0</v>
      </c>
      <c r="AE7" s="5">
        <v>0</v>
      </c>
      <c r="AF7" s="5">
        <v>0</v>
      </c>
    </row>
    <row r="8" spans="1:32" x14ac:dyDescent="0.2">
      <c r="A8" s="3" t="str">
        <f>+VLOOKUP(B8,studies!$A$2:$C$102,3)</f>
        <v>Azar (1994)</v>
      </c>
      <c r="B8" s="87">
        <v>13</v>
      </c>
      <c r="C8" s="5">
        <v>1994</v>
      </c>
      <c r="D8" s="5">
        <v>1</v>
      </c>
      <c r="E8" s="5">
        <v>1990</v>
      </c>
      <c r="F8" s="5">
        <v>1990</v>
      </c>
      <c r="G8" s="5"/>
      <c r="H8" s="7">
        <f>+IF(VLOOKUP($A8,'Dataset2 ad'!$D$3:$L$855,4,FALSE)="","",VLOOKUP($A8,'Dataset2 ad'!$D$3:$L$855,4,FALSE))</f>
        <v>717.79589030225782</v>
      </c>
      <c r="I8" s="5">
        <v>0</v>
      </c>
      <c r="J8" s="5">
        <v>1</v>
      </c>
      <c r="K8" s="5">
        <v>0</v>
      </c>
      <c r="L8" s="5"/>
      <c r="M8" s="7">
        <f>+IF(VLOOKUP($A8,'Dataset2 ad'!$D$3:$L$855,8,FALSE)="","",VLOOKUP($A8,'Dataset2 ad'!$D$3:$L$855,8,FALSE))</f>
        <v>247.20011528266528</v>
      </c>
      <c r="N8" s="7">
        <f>+IF(VLOOKUP($A8,'Dataset2 ad'!$D$3:$L$855,9,FALSE)="","",VLOOKUP($A8,'Dataset2 ad'!$D$3:$L$855,9,FALSE))</f>
        <v>494.40023056533062</v>
      </c>
      <c r="O8" s="5">
        <v>0</v>
      </c>
      <c r="P8" s="5">
        <v>0</v>
      </c>
      <c r="Q8" s="5">
        <v>0</v>
      </c>
      <c r="R8" s="5">
        <v>0</v>
      </c>
      <c r="S8" s="5">
        <v>0</v>
      </c>
      <c r="T8" s="5">
        <v>0</v>
      </c>
      <c r="U8" s="5">
        <v>0</v>
      </c>
      <c r="V8" s="13"/>
      <c r="W8" s="13">
        <v>0</v>
      </c>
      <c r="X8" s="3"/>
      <c r="Y8" s="3"/>
      <c r="Z8" s="3"/>
      <c r="AA8" s="5">
        <v>0</v>
      </c>
      <c r="AB8" s="5"/>
      <c r="AC8" s="5">
        <v>0</v>
      </c>
      <c r="AD8" s="5">
        <v>0</v>
      </c>
      <c r="AE8" s="5">
        <v>0</v>
      </c>
      <c r="AF8" s="5">
        <v>0</v>
      </c>
    </row>
    <row r="9" spans="1:32" x14ac:dyDescent="0.2">
      <c r="A9" s="3" t="str">
        <f>+VLOOKUP(B9,studies!$A$2:$C$102,3)</f>
        <v>Schauer (1995)</v>
      </c>
      <c r="B9" s="87">
        <v>17</v>
      </c>
      <c r="C9" s="5">
        <v>1995</v>
      </c>
      <c r="D9" s="5">
        <v>1</v>
      </c>
      <c r="E9" s="5">
        <v>1990</v>
      </c>
      <c r="F9" s="5">
        <v>1990</v>
      </c>
      <c r="G9" s="5"/>
      <c r="H9" s="7">
        <f>+IF(VLOOKUP($A9,'Dataset2 ad'!$D$3:$L$855,4,FALSE)="","",VLOOKUP($A9,'Dataset2 ad'!$D$3:$L$855,4,FALSE))</f>
        <v>99.204775508949325</v>
      </c>
      <c r="I9" s="5">
        <v>0</v>
      </c>
      <c r="J9" s="5">
        <v>0</v>
      </c>
      <c r="K9" s="5">
        <v>1</v>
      </c>
      <c r="L9" s="5"/>
      <c r="M9" s="7">
        <f>+IF(VLOOKUP($A9,'Dataset2 ad'!$D$3:$L$855,8,FALSE)="","",VLOOKUP($A9,'Dataset2 ad'!$D$3:$L$855,8,FALSE))</f>
        <v>93.705105128232759</v>
      </c>
      <c r="N9" s="7">
        <f>+IF(VLOOKUP($A9,'Dataset2 ad'!$D$3:$L$855,9,FALSE)="","",VLOOKUP($A9,'Dataset2 ad'!$D$3:$L$855,9,FALSE))</f>
        <v>105.85464829447196</v>
      </c>
      <c r="O9" s="5">
        <v>1</v>
      </c>
      <c r="P9" s="5">
        <v>1</v>
      </c>
      <c r="Q9" s="5">
        <v>0</v>
      </c>
      <c r="R9" s="5">
        <v>1</v>
      </c>
      <c r="S9" s="5">
        <v>0</v>
      </c>
      <c r="T9" s="5">
        <v>0</v>
      </c>
      <c r="U9" s="5">
        <v>0</v>
      </c>
      <c r="V9" s="13">
        <v>4.91</v>
      </c>
      <c r="W9" s="13">
        <v>2.3000000000000003</v>
      </c>
      <c r="X9" s="3"/>
      <c r="Y9" s="3"/>
      <c r="Z9" s="3"/>
      <c r="AA9" s="5">
        <v>0</v>
      </c>
      <c r="AB9" s="5"/>
      <c r="AC9" s="5">
        <v>0</v>
      </c>
      <c r="AD9" s="5">
        <v>0</v>
      </c>
      <c r="AE9" s="5">
        <v>0</v>
      </c>
      <c r="AF9" s="5">
        <v>0</v>
      </c>
    </row>
    <row r="10" spans="1:32" s="91" customFormat="1" x14ac:dyDescent="0.2">
      <c r="A10" s="3" t="str">
        <f>+VLOOKUP(B10,studies!$A$2:$C$102,3)</f>
        <v>Azar &amp; Sterner (1996)</v>
      </c>
      <c r="B10" s="87">
        <v>18</v>
      </c>
      <c r="C10" s="5">
        <v>1996</v>
      </c>
      <c r="D10" s="5">
        <v>1</v>
      </c>
      <c r="E10" s="5">
        <v>1990</v>
      </c>
      <c r="F10" s="5">
        <v>1990</v>
      </c>
      <c r="G10" s="5"/>
      <c r="H10" s="7">
        <f>+IF(VLOOKUP($A10,'Dataset2 ad'!$D$3:$L$855,4,FALSE)="","",VLOOKUP($A10,'Dataset2 ad'!$D$3:$L$855,4,FALSE))</f>
        <v>323.00815063601601</v>
      </c>
      <c r="I10" s="5">
        <v>0</v>
      </c>
      <c r="J10" s="5">
        <v>1</v>
      </c>
      <c r="K10" s="5">
        <v>0</v>
      </c>
      <c r="L10" s="5"/>
      <c r="M10" s="7">
        <f>+IF(VLOOKUP($A10,'Dataset2 ad'!$D$3:$L$855,8,FALSE)="","",VLOOKUP($A10,'Dataset2 ad'!$D$3:$L$855,8,FALSE))</f>
        <v>140.99562130937207</v>
      </c>
      <c r="N10" s="7">
        <f>+IF(VLOOKUP($A10,'Dataset2 ad'!$D$3:$L$855,9,FALSE)="","",VLOOKUP($A10,'Dataset2 ad'!$D$3:$L$855,9,FALSE))</f>
        <v>668.35586724572477</v>
      </c>
      <c r="O10" s="5">
        <v>0</v>
      </c>
      <c r="P10" s="5">
        <v>1</v>
      </c>
      <c r="Q10" s="5">
        <v>0</v>
      </c>
      <c r="R10" s="5">
        <v>1</v>
      </c>
      <c r="S10" s="5">
        <v>0</v>
      </c>
      <c r="T10" s="5">
        <v>0</v>
      </c>
      <c r="U10" s="5">
        <v>0</v>
      </c>
      <c r="V10" s="107">
        <f>+AVERAGE(Dataset0!V125:V140)</f>
        <v>3.0249999999999999</v>
      </c>
      <c r="W10" s="107">
        <f>+AVERAGE(Dataset0!W125:W140)</f>
        <v>1.0249999999999999</v>
      </c>
      <c r="X10" s="3"/>
      <c r="Y10" s="3"/>
      <c r="Z10" s="3"/>
      <c r="AA10" s="5">
        <v>0</v>
      </c>
      <c r="AB10" s="5"/>
      <c r="AC10" s="5">
        <v>0</v>
      </c>
      <c r="AD10" s="5">
        <v>0</v>
      </c>
      <c r="AE10" s="5">
        <v>0</v>
      </c>
      <c r="AF10" s="5">
        <v>0</v>
      </c>
    </row>
    <row r="11" spans="1:32" x14ac:dyDescent="0.2">
      <c r="A11" s="3" t="str">
        <f>+VLOOKUP(B11,studies!$A$2:$C$102,3)</f>
        <v>Downing et al. (1996)</v>
      </c>
      <c r="B11" s="87">
        <v>19</v>
      </c>
      <c r="C11" s="5">
        <v>1996</v>
      </c>
      <c r="D11" s="5">
        <v>0</v>
      </c>
      <c r="E11" s="5">
        <v>1990</v>
      </c>
      <c r="F11" s="5">
        <v>1995</v>
      </c>
      <c r="G11" s="5"/>
      <c r="H11" s="7">
        <f>+IF(VLOOKUP($A11,'Dataset2 ad'!$D$3:$L$855,4,FALSE)="","",VLOOKUP($A11,'Dataset2 ad'!$D$3:$L$855,4,FALSE))</f>
        <v>110.47178942351829</v>
      </c>
      <c r="I11" s="5">
        <v>0</v>
      </c>
      <c r="J11" s="5">
        <v>1</v>
      </c>
      <c r="K11" s="5">
        <v>0</v>
      </c>
      <c r="L11" s="5"/>
      <c r="M11" s="7">
        <f>+IF(VLOOKUP($A11,'Dataset2 ad'!$D$3:$L$855,8,FALSE)="","",VLOOKUP($A11,'Dataset2 ad'!$D$3:$L$855,8,FALSE))</f>
        <v>61.493937384326905</v>
      </c>
      <c r="N11" s="7">
        <f>+IF(VLOOKUP($A11,'Dataset2 ad'!$D$3:$L$855,9,FALSE)="","",VLOOKUP($A11,'Dataset2 ad'!$D$3:$L$855,9,FALSE))</f>
        <v>68.573882610915803</v>
      </c>
      <c r="O11" s="5">
        <v>1</v>
      </c>
      <c r="P11" s="5">
        <v>0</v>
      </c>
      <c r="Q11" s="5">
        <v>1</v>
      </c>
      <c r="R11" s="5">
        <v>1</v>
      </c>
      <c r="S11" s="5">
        <v>0</v>
      </c>
      <c r="T11" s="5">
        <v>0</v>
      </c>
      <c r="U11" s="5">
        <v>0</v>
      </c>
      <c r="V11" s="13">
        <v>0</v>
      </c>
      <c r="W11" s="13">
        <v>-2</v>
      </c>
      <c r="X11" s="3"/>
      <c r="Y11" s="3"/>
      <c r="Z11" s="3"/>
      <c r="AA11" s="5">
        <v>0</v>
      </c>
      <c r="AB11" s="5"/>
      <c r="AC11" s="5">
        <v>0</v>
      </c>
      <c r="AD11" s="5">
        <v>0</v>
      </c>
      <c r="AE11" s="5">
        <v>0</v>
      </c>
      <c r="AF11" s="5">
        <v>0</v>
      </c>
    </row>
    <row r="12" spans="1:32" x14ac:dyDescent="0.2">
      <c r="A12" s="3" t="str">
        <f>+VLOOKUP(B12,studies!$A$2:$C$102,3)</f>
        <v>Hope &amp; Maul (1996)</v>
      </c>
      <c r="B12" s="87">
        <v>21</v>
      </c>
      <c r="C12" s="5">
        <v>1996</v>
      </c>
      <c r="D12" s="5">
        <v>1</v>
      </c>
      <c r="E12" s="5">
        <v>1990</v>
      </c>
      <c r="F12" s="5">
        <v>1990</v>
      </c>
      <c r="G12" s="5"/>
      <c r="H12" s="7">
        <f>+IF(VLOOKUP($A12,'Dataset2 ad'!$D$3:$L$855,4,FALSE)="","",VLOOKUP($A12,'Dataset2 ad'!$D$3:$L$855,4,FALSE))</f>
        <v>50.245712321158052</v>
      </c>
      <c r="I12" s="5">
        <v>1</v>
      </c>
      <c r="J12" s="5">
        <v>0</v>
      </c>
      <c r="K12" s="5">
        <v>0</v>
      </c>
      <c r="L12" s="5"/>
      <c r="M12" s="7">
        <f>+IF(VLOOKUP($A12,'Dataset2 ad'!$D$3:$L$855,8,FALSE)="","",VLOOKUP($A12,'Dataset2 ad'!$D$3:$L$855,8,FALSE))</f>
        <v>15.564451702982632</v>
      </c>
      <c r="N12" s="7">
        <f>+IF(VLOOKUP($A12,'Dataset2 ad'!$D$3:$L$855,9,FALSE)="","",VLOOKUP($A12,'Dataset2 ad'!$D$3:$L$855,9,FALSE))</f>
        <v>25.177789519530734</v>
      </c>
      <c r="O12" s="5">
        <v>1</v>
      </c>
      <c r="P12" s="5">
        <v>1</v>
      </c>
      <c r="Q12" s="5">
        <v>0</v>
      </c>
      <c r="R12" s="5">
        <v>0</v>
      </c>
      <c r="S12" s="5">
        <v>0</v>
      </c>
      <c r="T12" s="5">
        <v>0</v>
      </c>
      <c r="U12" s="5">
        <v>1</v>
      </c>
      <c r="V12" s="13">
        <v>4</v>
      </c>
      <c r="W12" s="13">
        <v>2</v>
      </c>
      <c r="X12" s="3"/>
      <c r="Y12" s="3"/>
      <c r="Z12" s="3"/>
      <c r="AA12" s="5">
        <v>0</v>
      </c>
      <c r="AB12" s="5"/>
      <c r="AC12" s="5">
        <v>1</v>
      </c>
      <c r="AD12" s="5">
        <v>0</v>
      </c>
      <c r="AE12" s="5">
        <v>0</v>
      </c>
      <c r="AF12" s="5">
        <v>0</v>
      </c>
    </row>
    <row r="13" spans="1:32" x14ac:dyDescent="0.2">
      <c r="A13" s="3" t="str">
        <f>+VLOOKUP(B13,studies!$A$2:$C$102,3)</f>
        <v>Plambeck &amp; Hope (1996)</v>
      </c>
      <c r="B13" s="87">
        <v>23</v>
      </c>
      <c r="C13" s="5">
        <v>1996</v>
      </c>
      <c r="D13" s="5">
        <v>1</v>
      </c>
      <c r="E13" s="5">
        <v>1990</v>
      </c>
      <c r="F13" s="5">
        <v>1990</v>
      </c>
      <c r="G13" s="5"/>
      <c r="H13" s="7">
        <f>+IF(VLOOKUP($A13,'Dataset2 ad'!$D$3:$L$855,4,FALSE)="","",VLOOKUP($A13,'Dataset2 ad'!$D$3:$L$855,4,FALSE))</f>
        <v>52.040202046913706</v>
      </c>
      <c r="I13" s="5">
        <v>1</v>
      </c>
      <c r="J13" s="5">
        <v>0</v>
      </c>
      <c r="K13" s="5">
        <v>0</v>
      </c>
      <c r="L13" s="5"/>
      <c r="M13" s="7">
        <f>+IF(VLOOKUP($A13,'Dataset2 ad'!$D$3:$L$855,8,FALSE)="","",VLOOKUP($A13,'Dataset2 ad'!$D$3:$L$855,8,FALSE))</f>
        <v>19.776009222613233</v>
      </c>
      <c r="N13" s="7">
        <f>+IF(VLOOKUP($A13,'Dataset2 ad'!$D$3:$L$855,9,FALSE)="","",VLOOKUP($A13,'Dataset2 ad'!$D$3:$L$855,9,FALSE))</f>
        <v>526.62780115032967</v>
      </c>
      <c r="O13" s="5">
        <v>1</v>
      </c>
      <c r="P13" s="5">
        <v>1</v>
      </c>
      <c r="Q13" s="5">
        <v>0</v>
      </c>
      <c r="R13" s="5">
        <v>1</v>
      </c>
      <c r="S13" s="5">
        <v>0</v>
      </c>
      <c r="T13" s="5">
        <v>0</v>
      </c>
      <c r="U13" s="5">
        <v>1</v>
      </c>
      <c r="V13" s="107">
        <f>+AVERAGE(Dataset0!V151:V158)</f>
        <v>4.5</v>
      </c>
      <c r="W13" s="107">
        <f>+AVERAGE(Dataset0!W151:W158)</f>
        <v>2.5</v>
      </c>
      <c r="X13" s="3"/>
      <c r="Y13" s="3"/>
      <c r="Z13" s="3"/>
      <c r="AA13" s="5">
        <v>0</v>
      </c>
      <c r="AB13" s="5"/>
      <c r="AC13" s="5">
        <v>1</v>
      </c>
      <c r="AD13" s="5">
        <v>0</v>
      </c>
      <c r="AE13" s="5">
        <v>0</v>
      </c>
      <c r="AF13" s="5">
        <v>0</v>
      </c>
    </row>
    <row r="14" spans="1:32" x14ac:dyDescent="0.2">
      <c r="A14" s="3" t="str">
        <f>+VLOOKUP(B14,studies!$A$2:$C$102,3)</f>
        <v>Nordhaus &amp; Popp (1997)</v>
      </c>
      <c r="B14" s="87">
        <v>25</v>
      </c>
      <c r="C14" s="5">
        <v>1997</v>
      </c>
      <c r="D14" s="5">
        <v>1</v>
      </c>
      <c r="E14" s="5">
        <v>1990</v>
      </c>
      <c r="F14" s="5">
        <v>2000</v>
      </c>
      <c r="G14" s="5"/>
      <c r="H14" s="7">
        <f>+IF(VLOOKUP($A14,'Dataset2 ad'!$D$3:$L$855,4,FALSE)="","",VLOOKUP($A14,'Dataset2 ad'!$D$3:$L$855,4,FALSE))</f>
        <v>21.879918038992709</v>
      </c>
      <c r="I14" s="5">
        <v>1</v>
      </c>
      <c r="J14" s="5">
        <v>0</v>
      </c>
      <c r="K14" s="5">
        <v>0</v>
      </c>
      <c r="L14" s="5"/>
      <c r="M14" s="7">
        <f>+IF(VLOOKUP($A14,'Dataset2 ad'!$D$3:$L$855,8,FALSE)="","",VLOOKUP($A14,'Dataset2 ad'!$D$3:$L$855,8,FALSE))</f>
        <v>10.572390555526908</v>
      </c>
      <c r="N14" s="7">
        <f>+IF(VLOOKUP($A14,'Dataset2 ad'!$D$3:$L$855,9,FALSE)="","",VLOOKUP($A14,'Dataset2 ad'!$D$3:$L$855,9,FALSE))</f>
        <v>11.732778607873218</v>
      </c>
      <c r="O14" s="5">
        <v>0</v>
      </c>
      <c r="P14" s="5">
        <v>1</v>
      </c>
      <c r="Q14" s="5">
        <v>0</v>
      </c>
      <c r="R14" s="5">
        <v>1</v>
      </c>
      <c r="S14" s="5">
        <v>0</v>
      </c>
      <c r="T14" s="5">
        <v>1</v>
      </c>
      <c r="U14" s="5">
        <v>0</v>
      </c>
      <c r="V14" s="13">
        <v>5</v>
      </c>
      <c r="W14" s="13">
        <v>3</v>
      </c>
      <c r="X14" s="3">
        <v>1</v>
      </c>
      <c r="Y14" s="3">
        <v>2</v>
      </c>
      <c r="Z14" s="49">
        <f t="shared" ref="Z14" si="1">1/X14</f>
        <v>1</v>
      </c>
      <c r="AA14" s="5">
        <v>0</v>
      </c>
      <c r="AB14" s="5"/>
      <c r="AC14" s="5">
        <v>0</v>
      </c>
      <c r="AD14" s="5">
        <v>1</v>
      </c>
      <c r="AE14" s="5">
        <v>0</v>
      </c>
      <c r="AF14" s="5">
        <v>1</v>
      </c>
    </row>
    <row r="15" spans="1:32" x14ac:dyDescent="0.2">
      <c r="A15" s="3" t="str">
        <f>+VLOOKUP(B15,studies!$A$2:$C$102,3)</f>
        <v>Eyre et al. (1999)</v>
      </c>
      <c r="B15" s="87">
        <v>26</v>
      </c>
      <c r="C15" s="5">
        <v>1999</v>
      </c>
      <c r="D15" s="5">
        <v>0</v>
      </c>
      <c r="E15" s="5">
        <v>1995</v>
      </c>
      <c r="F15" s="5">
        <v>1995</v>
      </c>
      <c r="G15" s="5"/>
      <c r="H15" s="7">
        <f>+IF(VLOOKUP($A15,'Dataset2 ad'!$D$3:$L$855,4,FALSE)="","",VLOOKUP($A15,'Dataset2 ad'!$D$3:$L$855,4,FALSE))</f>
        <v>308.96675420794651</v>
      </c>
      <c r="I15" s="5">
        <v>0</v>
      </c>
      <c r="J15" s="5">
        <v>1</v>
      </c>
      <c r="K15" s="5">
        <v>0</v>
      </c>
      <c r="L15" s="5"/>
      <c r="M15" s="7">
        <f>+IF(VLOOKUP($A15,'Dataset2 ad'!$D$3:$L$855,8,FALSE)="","",VLOOKUP($A15,'Dataset2 ad'!$D$3:$L$855,8,FALSE))</f>
        <v>62.515512799793818</v>
      </c>
      <c r="N15" s="7">
        <f>+IF(VLOOKUP($A15,'Dataset2 ad'!$D$3:$L$855,9,FALSE)="","",VLOOKUP($A15,'Dataset2 ad'!$D$3:$L$855,9,FALSE))</f>
        <v>69.386829939426306</v>
      </c>
      <c r="O15" s="5">
        <v>0</v>
      </c>
      <c r="P15" s="5">
        <v>1</v>
      </c>
      <c r="Q15" s="5">
        <v>1</v>
      </c>
      <c r="R15" s="5">
        <v>1</v>
      </c>
      <c r="S15" s="110">
        <v>1</v>
      </c>
      <c r="T15" s="5">
        <v>0</v>
      </c>
      <c r="U15" s="5">
        <v>0</v>
      </c>
      <c r="V15" s="107">
        <f>+AVERAGE(Dataset0!V162:V165)</f>
        <v>2</v>
      </c>
      <c r="W15" s="107">
        <f>+AVERAGE(Dataset0!W162:W165)</f>
        <v>0</v>
      </c>
      <c r="X15" s="3"/>
      <c r="Y15" s="3"/>
      <c r="Z15" s="3"/>
      <c r="AA15" s="5">
        <v>1</v>
      </c>
      <c r="AB15" s="5"/>
      <c r="AC15" s="5">
        <v>0</v>
      </c>
      <c r="AD15" s="5">
        <v>0</v>
      </c>
      <c r="AE15" s="5">
        <v>0</v>
      </c>
      <c r="AF15" s="5">
        <v>0</v>
      </c>
    </row>
    <row r="16" spans="1:32" x14ac:dyDescent="0.2">
      <c r="A16" s="3" t="str">
        <f>+VLOOKUP(B16,studies!$A$2:$C$102,3)</f>
        <v>Tol (1999)</v>
      </c>
      <c r="B16" s="87">
        <v>28</v>
      </c>
      <c r="C16" s="5">
        <v>1999</v>
      </c>
      <c r="D16" s="5">
        <v>1</v>
      </c>
      <c r="E16" s="5">
        <v>1995</v>
      </c>
      <c r="F16" s="5">
        <v>2000</v>
      </c>
      <c r="G16" s="5"/>
      <c r="H16" s="7">
        <f>+IF(VLOOKUP($A16,'Dataset2 ad'!$D$3:$L$855,4,FALSE)="","",VLOOKUP($A16,'Dataset2 ad'!$D$3:$L$855,4,FALSE))</f>
        <v>143.86790199274489</v>
      </c>
      <c r="I16" s="5">
        <v>0</v>
      </c>
      <c r="J16" s="5">
        <v>0</v>
      </c>
      <c r="K16" s="5">
        <v>1</v>
      </c>
      <c r="L16" s="5"/>
      <c r="M16" s="7">
        <f>+IF(VLOOKUP($A16,'Dataset2 ad'!$D$3:$L$855,8,FALSE)="","",VLOOKUP($A16,'Dataset2 ad'!$D$3:$L$855,8,FALSE))</f>
        <v>66.466369633479275</v>
      </c>
      <c r="N16" s="7">
        <f>+IF(VLOOKUP($A16,'Dataset2 ad'!$D$3:$L$855,9,FALSE)="","",VLOOKUP($A16,'Dataset2 ad'!$D$3:$L$855,9,FALSE))</f>
        <v>336.49322087488378</v>
      </c>
      <c r="O16" s="5">
        <v>1</v>
      </c>
      <c r="P16" s="5">
        <v>1</v>
      </c>
      <c r="Q16" s="5">
        <v>1</v>
      </c>
      <c r="R16" s="5">
        <v>1</v>
      </c>
      <c r="S16" s="5">
        <v>1</v>
      </c>
      <c r="T16" s="5">
        <v>0</v>
      </c>
      <c r="U16" s="5">
        <v>0</v>
      </c>
      <c r="V16" s="107">
        <f>+AVERAGE(Dataset0!V167:V196)</f>
        <v>3.8</v>
      </c>
      <c r="W16" s="107">
        <f>+AVERAGE(Dataset0!W167:W196)</f>
        <v>1.8</v>
      </c>
      <c r="X16" s="3"/>
      <c r="Y16" s="3"/>
      <c r="Z16" s="3"/>
      <c r="AA16" s="5">
        <v>1</v>
      </c>
      <c r="AB16" s="5"/>
      <c r="AC16" s="5">
        <v>0</v>
      </c>
      <c r="AD16" s="5">
        <v>0</v>
      </c>
      <c r="AE16" s="5">
        <v>1</v>
      </c>
      <c r="AF16" s="5">
        <v>0</v>
      </c>
    </row>
    <row r="17" spans="1:32" x14ac:dyDescent="0.2">
      <c r="A17" s="3" t="str">
        <f>+VLOOKUP(B17,studies!$A$2:$C$102,3)</f>
        <v>Tol &amp; Downing (2001)</v>
      </c>
      <c r="B17" s="87">
        <v>30</v>
      </c>
      <c r="C17" s="5">
        <v>2001</v>
      </c>
      <c r="D17" s="5">
        <v>0</v>
      </c>
      <c r="E17" s="5">
        <v>1995</v>
      </c>
      <c r="F17" s="5">
        <v>1995</v>
      </c>
      <c r="G17" s="5"/>
      <c r="H17" s="7">
        <f>+IF(VLOOKUP($A17,'Dataset2 ad'!$D$3:$L$855,4,FALSE)="","",VLOOKUP($A17,'Dataset2 ad'!$D$3:$L$855,4,FALSE))</f>
        <v>39.743159408799968</v>
      </c>
      <c r="I17" s="5">
        <v>0</v>
      </c>
      <c r="J17" s="5">
        <v>1</v>
      </c>
      <c r="K17" s="5">
        <v>0</v>
      </c>
      <c r="L17" s="5"/>
      <c r="M17" s="7">
        <f>+IF(VLOOKUP($A17,'Dataset2 ad'!$D$3:$L$855,8,FALSE)="","",VLOOKUP($A17,'Dataset2 ad'!$D$3:$L$855,8,FALSE))</f>
        <v>15.460463564173153</v>
      </c>
      <c r="N17" s="7">
        <f>+IF(VLOOKUP($A17,'Dataset2 ad'!$D$3:$L$855,9,FALSE)="","",VLOOKUP($A17,'Dataset2 ad'!$D$3:$L$855,9,FALSE))</f>
        <v>37.448678410997168</v>
      </c>
      <c r="O17" s="5">
        <v>0</v>
      </c>
      <c r="P17" s="5">
        <v>1</v>
      </c>
      <c r="Q17" s="5">
        <v>1</v>
      </c>
      <c r="R17" s="5">
        <v>1</v>
      </c>
      <c r="S17" s="5">
        <v>1</v>
      </c>
      <c r="T17" s="5">
        <v>0</v>
      </c>
      <c r="U17" s="5">
        <v>0</v>
      </c>
      <c r="V17" s="13">
        <v>3</v>
      </c>
      <c r="W17" s="13">
        <v>1</v>
      </c>
      <c r="X17" s="3"/>
      <c r="Y17" s="3"/>
      <c r="Z17" s="3"/>
      <c r="AA17" s="5">
        <v>1</v>
      </c>
      <c r="AB17" s="5"/>
      <c r="AC17" s="5">
        <v>0</v>
      </c>
      <c r="AD17" s="5">
        <v>0</v>
      </c>
      <c r="AE17" s="5">
        <v>1</v>
      </c>
      <c r="AF17" s="5">
        <v>0</v>
      </c>
    </row>
    <row r="18" spans="1:32" s="91" customFormat="1" x14ac:dyDescent="0.2">
      <c r="A18" s="3" t="str">
        <f>+VLOOKUP(B18,studies!$A$2:$C$102,3)</f>
        <v>Newell &amp; Pizer (2003)</v>
      </c>
      <c r="B18" s="87">
        <v>32</v>
      </c>
      <c r="C18" s="5">
        <v>2003</v>
      </c>
      <c r="D18" s="5">
        <v>1</v>
      </c>
      <c r="E18" s="5">
        <v>1989</v>
      </c>
      <c r="F18" s="5">
        <v>2000</v>
      </c>
      <c r="G18" s="5"/>
      <c r="H18" s="7">
        <f>+IF(VLOOKUP($A18,'Dataset2 ad'!$D$3:$L$855,4,FALSE)="","",VLOOKUP($A18,'Dataset2 ad'!$D$3:$L$855,4,FALSE))</f>
        <v>18.15520105147155</v>
      </c>
      <c r="I18" s="5">
        <v>0</v>
      </c>
      <c r="J18" s="5">
        <v>1</v>
      </c>
      <c r="K18" s="5">
        <v>0</v>
      </c>
      <c r="L18" s="5"/>
      <c r="M18" s="7">
        <f>+IF(VLOOKUP($A18,'Dataset2 ad'!$D$3:$L$855,8,FALSE)="","",VLOOKUP($A18,'Dataset2 ad'!$D$3:$L$855,8,FALSE))</f>
        <v>6.9840810355135021</v>
      </c>
      <c r="N18" s="7">
        <f>+IF(VLOOKUP($A18,'Dataset2 ad'!$D$3:$L$855,9,FALSE)="","",VLOOKUP($A18,'Dataset2 ad'!$D$3:$L$855,9,FALSE))</f>
        <v>32.834841516026856</v>
      </c>
      <c r="O18" s="5">
        <v>0</v>
      </c>
      <c r="P18" s="5">
        <v>1</v>
      </c>
      <c r="Q18" s="5">
        <v>0</v>
      </c>
      <c r="R18" s="5">
        <v>1</v>
      </c>
      <c r="S18" s="5">
        <v>0</v>
      </c>
      <c r="T18" s="5">
        <v>0</v>
      </c>
      <c r="U18" s="5">
        <v>0</v>
      </c>
      <c r="V18" s="107">
        <f>+AVERAGE(Dataset0!V203:V211)</f>
        <v>4.333333333333333</v>
      </c>
      <c r="W18" s="107">
        <f>+AVERAGE(Dataset0!W203:W211)</f>
        <v>2.3333333333333335</v>
      </c>
      <c r="X18" s="3"/>
      <c r="Y18" s="3"/>
      <c r="Z18" s="3"/>
      <c r="AA18" s="5">
        <v>0</v>
      </c>
      <c r="AB18" s="5"/>
      <c r="AC18" s="5">
        <v>0</v>
      </c>
      <c r="AD18" s="5">
        <v>0</v>
      </c>
      <c r="AE18" s="5">
        <v>0</v>
      </c>
      <c r="AF18" s="5">
        <v>0</v>
      </c>
    </row>
    <row r="19" spans="1:32" s="91" customFormat="1" x14ac:dyDescent="0.2">
      <c r="A19" s="3" t="str">
        <f>+VLOOKUP(B19,studies!$A$2:$C$102,3)</f>
        <v>Cline (2004)</v>
      </c>
      <c r="B19" s="87">
        <v>35</v>
      </c>
      <c r="C19" s="5">
        <v>2004</v>
      </c>
      <c r="D19" s="5">
        <v>0</v>
      </c>
      <c r="E19" s="5">
        <v>1990</v>
      </c>
      <c r="F19" s="5">
        <v>1995</v>
      </c>
      <c r="G19" s="5"/>
      <c r="H19" s="7">
        <f>+IF(VLOOKUP($A19,'Dataset2 ad'!$D$3:$L$855,4,FALSE)="","",VLOOKUP($A19,'Dataset2 ad'!$D$3:$L$855,4,FALSE))</f>
        <v>110.52577166480931</v>
      </c>
      <c r="I19" s="5">
        <v>0</v>
      </c>
      <c r="J19" s="5">
        <v>1</v>
      </c>
      <c r="K19" s="5">
        <v>0</v>
      </c>
      <c r="L19" s="5"/>
      <c r="M19" s="7">
        <f>+IF(VLOOKUP($A19,'Dataset2 ad'!$D$3:$L$855,8,FALSE)="","",VLOOKUP($A19,'Dataset2 ad'!$D$3:$L$855,8,FALSE))</f>
        <v>35.338171892830182</v>
      </c>
      <c r="N19" s="7">
        <f>+IF(VLOOKUP($A19,'Dataset2 ad'!$D$3:$L$855,9,FALSE)="","",VLOOKUP($A19,'Dataset2 ad'!$D$3:$L$855,9,FALSE))</f>
        <v>340.79907692123402</v>
      </c>
      <c r="O19" s="5">
        <v>0</v>
      </c>
      <c r="P19" s="5">
        <v>1</v>
      </c>
      <c r="Q19" s="5">
        <v>0</v>
      </c>
      <c r="R19" s="5">
        <v>1</v>
      </c>
      <c r="S19" s="5">
        <v>0</v>
      </c>
      <c r="T19" s="5">
        <v>1</v>
      </c>
      <c r="U19" s="5">
        <v>0</v>
      </c>
      <c r="V19" s="13"/>
      <c r="W19" s="107">
        <f>+AVERAGE(Dataset0!W214:W222)</f>
        <v>1.3333333333333333</v>
      </c>
      <c r="X19" s="3"/>
      <c r="Y19" s="3"/>
      <c r="Z19" s="3"/>
      <c r="AA19" s="5">
        <v>0</v>
      </c>
      <c r="AB19" s="5"/>
      <c r="AC19" s="5">
        <v>0</v>
      </c>
      <c r="AD19" s="5">
        <v>0</v>
      </c>
      <c r="AE19" s="5">
        <v>0</v>
      </c>
      <c r="AF19" s="5">
        <v>0</v>
      </c>
    </row>
    <row r="20" spans="1:32" x14ac:dyDescent="0.2">
      <c r="A20" s="3" t="str">
        <f>+VLOOKUP(B20,studies!$A$2:$C$102,3)</f>
        <v>Hohmeyer (2004)</v>
      </c>
      <c r="B20" s="87">
        <v>36</v>
      </c>
      <c r="C20" s="5">
        <v>2004</v>
      </c>
      <c r="D20" s="5">
        <v>0</v>
      </c>
      <c r="E20" s="5">
        <v>1990</v>
      </c>
      <c r="F20" s="5">
        <v>1990</v>
      </c>
      <c r="G20" s="5"/>
      <c r="H20" s="7">
        <f>+IF(VLOOKUP($A20,'Dataset2 ad'!$D$3:$L$855,4,FALSE)="","",VLOOKUP($A20,'Dataset2 ad'!$D$3:$L$855,4,FALSE))</f>
        <v>1116.172609420011</v>
      </c>
      <c r="I20" s="5">
        <v>0</v>
      </c>
      <c r="J20" s="5">
        <v>1</v>
      </c>
      <c r="K20" s="5">
        <v>0</v>
      </c>
      <c r="L20" s="5"/>
      <c r="M20" s="7">
        <f>+IF(VLOOKUP($A20,'Dataset2 ad'!$D$3:$L$855,8,FALSE)="","",VLOOKUP($A20,'Dataset2 ad'!$D$3:$L$855,8,FALSE))</f>
        <v>1016.3487567921437</v>
      </c>
      <c r="N20" s="7">
        <f>+IF(VLOOKUP($A20,'Dataset2 ad'!$D$3:$L$855,9,FALSE)="","",VLOOKUP($A20,'Dataset2 ad'!$D$3:$L$855,9,FALSE))</f>
        <v>1147.334808664576</v>
      </c>
      <c r="O20" s="5">
        <v>0</v>
      </c>
      <c r="P20" s="5">
        <v>1</v>
      </c>
      <c r="Q20" s="5">
        <v>0</v>
      </c>
      <c r="R20" s="5">
        <v>1</v>
      </c>
      <c r="S20" s="5">
        <v>0</v>
      </c>
      <c r="T20" s="5">
        <v>0</v>
      </c>
      <c r="U20" s="5">
        <v>0</v>
      </c>
      <c r="V20" s="13"/>
      <c r="W20" s="107">
        <f>+AVERAGE(Dataset0!W223:W224)</f>
        <v>0.5</v>
      </c>
      <c r="X20" s="3"/>
      <c r="Y20" s="3"/>
      <c r="Z20" s="3"/>
      <c r="AA20" s="110">
        <v>1</v>
      </c>
      <c r="AB20" s="5"/>
      <c r="AC20" s="5">
        <v>0</v>
      </c>
      <c r="AD20" s="5">
        <v>0</v>
      </c>
      <c r="AE20" s="5">
        <v>0</v>
      </c>
      <c r="AF20" s="5">
        <v>0</v>
      </c>
    </row>
    <row r="21" spans="1:32" x14ac:dyDescent="0.2">
      <c r="A21" s="3" t="str">
        <f>+VLOOKUP(B21,studies!$A$2:$C$102,3)</f>
        <v>Link &amp; Tol (2004)</v>
      </c>
      <c r="B21" s="87">
        <v>37</v>
      </c>
      <c r="C21" s="5">
        <v>2004</v>
      </c>
      <c r="D21" s="5">
        <v>1</v>
      </c>
      <c r="E21" s="5">
        <v>1995</v>
      </c>
      <c r="F21" s="5">
        <v>2000</v>
      </c>
      <c r="G21" s="5"/>
      <c r="H21" s="7">
        <f>+IF(VLOOKUP($A21,'Dataset2 ad'!$D$3:$L$855,4,FALSE)="","",VLOOKUP($A21,'Dataset2 ad'!$D$3:$L$855,4,FALSE))</f>
        <v>136.731147799404</v>
      </c>
      <c r="I21" s="5">
        <v>0</v>
      </c>
      <c r="J21" s="5">
        <v>1</v>
      </c>
      <c r="K21" s="5">
        <v>0</v>
      </c>
      <c r="L21" s="5"/>
      <c r="M21" s="7">
        <f>+IF(VLOOKUP($A21,'Dataset2 ad'!$D$3:$L$855,8,FALSE)="","",VLOOKUP($A21,'Dataset2 ad'!$D$3:$L$855,8,FALSE))</f>
        <v>63.917528850143249</v>
      </c>
      <c r="N21" s="7">
        <f>+IF(VLOOKUP($A21,'Dataset2 ad'!$D$3:$L$855,9,FALSE)="","",VLOOKUP($A21,'Dataset2 ad'!$D$3:$L$855,9,FALSE))</f>
        <v>125.34979344442598</v>
      </c>
      <c r="O21" s="5">
        <v>1</v>
      </c>
      <c r="P21" s="5">
        <v>1</v>
      </c>
      <c r="Q21" s="5">
        <v>1</v>
      </c>
      <c r="R21" s="5">
        <v>1</v>
      </c>
      <c r="S21" s="5">
        <v>1</v>
      </c>
      <c r="T21" s="5">
        <v>0</v>
      </c>
      <c r="U21" s="5">
        <v>0</v>
      </c>
      <c r="V21" s="13"/>
      <c r="W21" s="107">
        <f>+AVERAGE(Dataset0!W225:W236)</f>
        <v>1.3333333333333333</v>
      </c>
      <c r="X21" s="3"/>
      <c r="Y21" s="3"/>
      <c r="Z21" s="3"/>
      <c r="AA21" s="110">
        <v>1</v>
      </c>
      <c r="AB21" s="5"/>
      <c r="AC21" s="5">
        <v>0</v>
      </c>
      <c r="AD21" s="5">
        <v>0</v>
      </c>
      <c r="AE21" s="5">
        <v>1</v>
      </c>
      <c r="AF21" s="5">
        <v>0</v>
      </c>
    </row>
    <row r="22" spans="1:32" x14ac:dyDescent="0.2">
      <c r="A22" s="3" t="str">
        <f>+VLOOKUP(B22,studies!$A$2:$C$102,3)</f>
        <v>Manne (2004)</v>
      </c>
      <c r="B22" s="87">
        <v>38</v>
      </c>
      <c r="C22" s="5">
        <v>2004</v>
      </c>
      <c r="D22" s="5">
        <v>0</v>
      </c>
      <c r="E22" s="5">
        <v>2000</v>
      </c>
      <c r="F22" s="5">
        <v>2000</v>
      </c>
      <c r="G22" s="5"/>
      <c r="H22" s="7">
        <f>+IF(VLOOKUP($A22,'Dataset2 ad'!$D$3:$L$855,4,FALSE)="","",VLOOKUP($A22,'Dataset2 ad'!$D$3:$L$855,4,FALSE))</f>
        <v>312.79989840931296</v>
      </c>
      <c r="I22" s="5">
        <v>0</v>
      </c>
      <c r="J22" s="5">
        <v>1</v>
      </c>
      <c r="K22" s="5">
        <v>0</v>
      </c>
      <c r="L22" s="5"/>
      <c r="M22" s="7">
        <f>+IF(VLOOKUP($A22,'Dataset2 ad'!$D$3:$L$855,8,FALSE)="","",VLOOKUP($A22,'Dataset2 ad'!$D$3:$L$855,8,FALSE))</f>
        <v>291.88592131511894</v>
      </c>
      <c r="N22" s="7">
        <f>+IF(VLOOKUP($A22,'Dataset2 ad'!$D$3:$L$855,9,FALSE)="","",VLOOKUP($A22,'Dataset2 ad'!$D$3:$L$855,9,FALSE))</f>
        <v>329.65656394723339</v>
      </c>
      <c r="O22" s="5">
        <v>0</v>
      </c>
      <c r="P22" s="5">
        <v>1</v>
      </c>
      <c r="Q22" s="5">
        <v>0</v>
      </c>
      <c r="R22" s="5">
        <v>1</v>
      </c>
      <c r="S22" s="5">
        <v>0</v>
      </c>
      <c r="T22" s="5">
        <v>0</v>
      </c>
      <c r="U22" s="5">
        <v>0</v>
      </c>
      <c r="V22" s="13"/>
      <c r="W22" s="107">
        <f>+AVERAGE(Dataset0!W237:W238)</f>
        <v>1.5</v>
      </c>
      <c r="X22" s="3"/>
      <c r="Y22" s="3"/>
      <c r="Z22" s="3"/>
      <c r="AA22" s="5">
        <v>0</v>
      </c>
      <c r="AB22" s="5"/>
      <c r="AC22" s="5">
        <v>0</v>
      </c>
      <c r="AD22" s="5">
        <v>0</v>
      </c>
      <c r="AE22" s="5">
        <v>0</v>
      </c>
      <c r="AF22" s="5">
        <v>0</v>
      </c>
    </row>
    <row r="23" spans="1:32" x14ac:dyDescent="0.2">
      <c r="A23" s="3" t="str">
        <f>+VLOOKUP(B23,studies!$A$2:$C$102,3)</f>
        <v>Hope (2005b)</v>
      </c>
      <c r="B23" s="87">
        <v>42</v>
      </c>
      <c r="C23" s="5">
        <v>2005</v>
      </c>
      <c r="D23" s="5">
        <v>0</v>
      </c>
      <c r="E23" s="5">
        <v>2000</v>
      </c>
      <c r="F23" s="5">
        <v>2000</v>
      </c>
      <c r="G23" s="5"/>
      <c r="H23" s="7">
        <f>+IF(VLOOKUP($A23,'Dataset2 ad'!$D$3:$L$855,4,FALSE)="","",VLOOKUP($A23,'Dataset2 ad'!$D$3:$L$855,4,FALSE))</f>
        <v>72.184591940610687</v>
      </c>
      <c r="I23" s="5">
        <v>1</v>
      </c>
      <c r="J23" s="5">
        <v>0</v>
      </c>
      <c r="K23" s="5">
        <v>0</v>
      </c>
      <c r="L23" s="5"/>
      <c r="M23" s="7">
        <f>+IF(VLOOKUP($A23,'Dataset2 ad'!$D$3:$L$855,8,FALSE)="","",VLOOKUP($A23,'Dataset2 ad'!$D$3:$L$855,8,FALSE))</f>
        <v>4.8593652454351011</v>
      </c>
      <c r="N23" s="7">
        <f>+IF(VLOOKUP($A23,'Dataset2 ad'!$D$3:$L$855,9,FALSE)="","",VLOOKUP($A23,'Dataset2 ad'!$D$3:$L$855,9,FALSE))</f>
        <v>9.46297442532099</v>
      </c>
      <c r="O23" s="5">
        <v>0</v>
      </c>
      <c r="P23" s="5">
        <v>1</v>
      </c>
      <c r="Q23" s="5">
        <v>0</v>
      </c>
      <c r="R23" s="5">
        <v>1</v>
      </c>
      <c r="S23" s="5">
        <v>0</v>
      </c>
      <c r="T23" s="5">
        <v>0</v>
      </c>
      <c r="U23" s="5">
        <v>1</v>
      </c>
      <c r="V23" s="13"/>
      <c r="W23" s="13">
        <v>3</v>
      </c>
      <c r="X23" s="3"/>
      <c r="Y23" s="3"/>
      <c r="Z23" s="3"/>
      <c r="AA23" s="5">
        <v>1</v>
      </c>
      <c r="AB23" s="5"/>
      <c r="AC23" s="5">
        <v>1</v>
      </c>
      <c r="AD23" s="5">
        <v>0</v>
      </c>
      <c r="AE23" s="5">
        <v>0</v>
      </c>
      <c r="AF23" s="5">
        <v>0</v>
      </c>
    </row>
    <row r="24" spans="1:32" x14ac:dyDescent="0.2">
      <c r="A24" s="3" t="str">
        <f>+VLOOKUP(B24,studies!$A$2:$C$102,3)</f>
        <v>Hope (2005a)</v>
      </c>
      <c r="B24" s="87">
        <v>43</v>
      </c>
      <c r="C24" s="5">
        <v>2005</v>
      </c>
      <c r="D24" s="5">
        <v>1</v>
      </c>
      <c r="E24" s="5">
        <v>2000</v>
      </c>
      <c r="F24" s="5">
        <v>2000</v>
      </c>
      <c r="G24" s="5"/>
      <c r="H24" s="7" t="str">
        <f>+IF(VLOOKUP($A24,'Dataset2 ad'!$D$3:$L$855,4,FALSE)="","",VLOOKUP($A24,'Dataset2 ad'!$D$3:$L$855,4,FALSE))</f>
        <v/>
      </c>
      <c r="I24" s="5">
        <v>1</v>
      </c>
      <c r="J24" s="5">
        <v>0</v>
      </c>
      <c r="K24" s="5">
        <v>0</v>
      </c>
      <c r="L24" s="5"/>
      <c r="M24" s="7" t="str">
        <f>+IF(VLOOKUP($A24,'Dataset2 ad'!$D$3:$L$855,8,FALSE)="","",VLOOKUP($A24,'Dataset2 ad'!$D$3:$L$855,8,FALSE))</f>
        <v/>
      </c>
      <c r="N24" s="7" t="str">
        <f>+IF(VLOOKUP($A24,'Dataset2 ad'!$D$3:$L$855,9,FALSE)="","",VLOOKUP($A24,'Dataset2 ad'!$D$3:$L$855,9,FALSE))</f>
        <v/>
      </c>
      <c r="O24" s="5">
        <v>0</v>
      </c>
      <c r="P24" s="5">
        <v>1</v>
      </c>
      <c r="Q24" s="5">
        <v>0</v>
      </c>
      <c r="R24" s="5">
        <v>1</v>
      </c>
      <c r="S24" s="5">
        <v>0</v>
      </c>
      <c r="T24" s="5">
        <v>0</v>
      </c>
      <c r="U24" s="5">
        <v>1</v>
      </c>
      <c r="V24" s="13"/>
      <c r="W24" s="13">
        <v>3</v>
      </c>
      <c r="X24" s="3"/>
      <c r="Y24" s="3"/>
      <c r="Z24" s="3"/>
      <c r="AA24" s="5">
        <v>0</v>
      </c>
      <c r="AB24" s="5"/>
      <c r="AC24" s="5">
        <v>1</v>
      </c>
      <c r="AD24" s="5">
        <v>0</v>
      </c>
      <c r="AE24" s="5">
        <v>0</v>
      </c>
      <c r="AF24" s="5">
        <v>0</v>
      </c>
    </row>
    <row r="25" spans="1:32" x14ac:dyDescent="0.2">
      <c r="A25" s="3" t="str">
        <f>+VLOOKUP(B25,studies!$A$2:$C$102,3)</f>
        <v>Tol (2005)</v>
      </c>
      <c r="B25" s="87">
        <v>44</v>
      </c>
      <c r="C25" s="5">
        <v>2005</v>
      </c>
      <c r="D25" s="5">
        <v>1</v>
      </c>
      <c r="E25" s="5">
        <v>1995</v>
      </c>
      <c r="F25" s="5">
        <v>2005</v>
      </c>
      <c r="G25" s="5"/>
      <c r="H25" s="7">
        <f>+IF(VLOOKUP($A25,'Dataset2 ad'!$D$3:$L$855,4,FALSE)="","",VLOOKUP($A25,'Dataset2 ad'!$D$3:$L$855,4,FALSE))</f>
        <v>10.10782757999857</v>
      </c>
      <c r="I25" s="5">
        <v>0</v>
      </c>
      <c r="J25" s="5">
        <v>1</v>
      </c>
      <c r="K25" s="5">
        <v>0</v>
      </c>
      <c r="L25" s="5"/>
      <c r="M25" s="7">
        <f>+IF(VLOOKUP($A25,'Dataset2 ad'!$D$3:$L$855,8,FALSE)="","",VLOOKUP($A25,'Dataset2 ad'!$D$3:$L$855,8,FALSE))</f>
        <v>10.190142109937726</v>
      </c>
      <c r="N25" s="7">
        <f>+IF(VLOOKUP($A25,'Dataset2 ad'!$D$3:$L$855,9,FALSE)="","",VLOOKUP($A25,'Dataset2 ad'!$D$3:$L$855,9,FALSE))</f>
        <v>13.63644321281204</v>
      </c>
      <c r="O25" s="5">
        <v>1</v>
      </c>
      <c r="P25" s="5">
        <v>1</v>
      </c>
      <c r="Q25" s="5">
        <v>1</v>
      </c>
      <c r="R25" s="5">
        <v>1</v>
      </c>
      <c r="S25" s="5">
        <v>1</v>
      </c>
      <c r="T25" s="5">
        <v>0</v>
      </c>
      <c r="U25" s="5">
        <v>0</v>
      </c>
      <c r="V25" s="107">
        <f>+AVERAGE(Dataset0!V248:V253)</f>
        <v>3.3333333333333335</v>
      </c>
      <c r="W25" s="107">
        <f>+AVERAGE(Dataset0!W248:W253)</f>
        <v>1.3333333333333333</v>
      </c>
      <c r="X25" s="3"/>
      <c r="Y25" s="3"/>
      <c r="Z25" s="3"/>
      <c r="AA25" s="5">
        <v>0</v>
      </c>
      <c r="AB25" s="5"/>
      <c r="AC25" s="5">
        <v>0</v>
      </c>
      <c r="AD25" s="5">
        <v>0</v>
      </c>
      <c r="AE25" s="5">
        <v>1</v>
      </c>
      <c r="AF25" s="5">
        <v>0</v>
      </c>
    </row>
    <row r="26" spans="1:32" x14ac:dyDescent="0.2">
      <c r="A26" s="3" t="str">
        <f>+VLOOKUP(B26,studies!$A$2:$C$102,3)</f>
        <v>Guo et al. (2006)</v>
      </c>
      <c r="B26" s="87">
        <v>45</v>
      </c>
      <c r="C26" s="5">
        <v>2006</v>
      </c>
      <c r="D26" s="5">
        <v>1</v>
      </c>
      <c r="E26" s="5">
        <v>1995</v>
      </c>
      <c r="F26" s="5">
        <v>2000</v>
      </c>
      <c r="G26" s="5"/>
      <c r="H26" s="7">
        <f>+IF(VLOOKUP($A26,'Dataset2 ad'!$D$3:$L$855,4,FALSE)="","",VLOOKUP($A26,'Dataset2 ad'!$D$3:$L$855,4,FALSE))</f>
        <v>37.382998155595132</v>
      </c>
      <c r="I26" s="5">
        <v>0</v>
      </c>
      <c r="J26" s="5">
        <v>1</v>
      </c>
      <c r="K26" s="5">
        <v>0</v>
      </c>
      <c r="L26" s="5"/>
      <c r="M26" s="7">
        <f>+IF(VLOOKUP($A26,'Dataset2 ad'!$D$3:$L$855,8,FALSE)="","",VLOOKUP($A26,'Dataset2 ad'!$D$3:$L$855,8,FALSE))</f>
        <v>21.558222498511107</v>
      </c>
      <c r="N26" s="7">
        <f>+IF(VLOOKUP($A26,'Dataset2 ad'!$D$3:$L$855,9,FALSE)="","",VLOOKUP($A26,'Dataset2 ad'!$D$3:$L$855,9,FALSE))</f>
        <v>110.6809546505329</v>
      </c>
      <c r="O26" s="5">
        <v>0</v>
      </c>
      <c r="P26" s="5">
        <v>1</v>
      </c>
      <c r="Q26" s="5">
        <v>1</v>
      </c>
      <c r="R26" s="5">
        <v>1</v>
      </c>
      <c r="S26" s="5">
        <v>1</v>
      </c>
      <c r="T26" s="5">
        <v>0</v>
      </c>
      <c r="U26" s="5">
        <v>0</v>
      </c>
      <c r="V26" s="107"/>
      <c r="W26" s="107">
        <f>+AVERAGE(Dataset0!W254:W269)</f>
        <v>1.3333333333333333</v>
      </c>
      <c r="X26" s="3"/>
      <c r="Y26" s="3"/>
      <c r="Z26" s="3"/>
      <c r="AA26" s="5">
        <v>0</v>
      </c>
      <c r="AB26" s="5"/>
      <c r="AC26" s="5">
        <v>0</v>
      </c>
      <c r="AD26" s="5">
        <v>0</v>
      </c>
      <c r="AE26" s="5">
        <v>1</v>
      </c>
      <c r="AF26" s="5">
        <v>0</v>
      </c>
    </row>
    <row r="27" spans="1:32" x14ac:dyDescent="0.2">
      <c r="A27" s="3" t="str">
        <f>+VLOOKUP(B27,studies!$A$2:$C$102,3)</f>
        <v>Wahba &amp; Hope (2006)</v>
      </c>
      <c r="B27" s="87">
        <v>48</v>
      </c>
      <c r="C27" s="5">
        <v>2006</v>
      </c>
      <c r="D27" s="5">
        <v>1</v>
      </c>
      <c r="E27" s="5">
        <v>2000</v>
      </c>
      <c r="F27" s="5">
        <v>2000</v>
      </c>
      <c r="G27" s="5"/>
      <c r="H27" s="7">
        <f>+IF(VLOOKUP($A27,'Dataset2 ad'!$D$3:$L$855,4,FALSE)="","",VLOOKUP($A27,'Dataset2 ad'!$D$3:$L$855,4,FALSE))</f>
        <v>59.151262840222643</v>
      </c>
      <c r="I27" s="5">
        <v>1</v>
      </c>
      <c r="J27" s="5">
        <v>0</v>
      </c>
      <c r="K27" s="5">
        <v>0</v>
      </c>
      <c r="L27" s="5"/>
      <c r="M27" s="7">
        <f>+IF(VLOOKUP($A27,'Dataset2 ad'!$D$3:$L$855,8,FALSE)="","",VLOOKUP($A27,'Dataset2 ad'!$D$3:$L$855,8,FALSE))</f>
        <v>15.090943856507932</v>
      </c>
      <c r="N27" s="7">
        <f>+IF(VLOOKUP($A27,'Dataset2 ad'!$D$3:$L$855,9,FALSE)="","",VLOOKUP($A27,'Dataset2 ad'!$D$3:$L$855,9,FALSE))</f>
        <v>98.824143728216981</v>
      </c>
      <c r="O27" s="5">
        <v>0</v>
      </c>
      <c r="P27" s="5">
        <v>1</v>
      </c>
      <c r="Q27" s="5">
        <v>0</v>
      </c>
      <c r="R27" s="5">
        <v>1</v>
      </c>
      <c r="S27" s="5">
        <v>0</v>
      </c>
      <c r="T27" s="5">
        <v>0</v>
      </c>
      <c r="U27" s="5">
        <v>1</v>
      </c>
      <c r="V27" s="13"/>
      <c r="W27" s="107">
        <f>+AVERAGE(Dataset0!W272:W279)</f>
        <v>2.25</v>
      </c>
      <c r="X27" s="3">
        <v>1</v>
      </c>
      <c r="Y27" s="3"/>
      <c r="Z27" s="49">
        <f t="shared" ref="Z27" si="2">1/X27</f>
        <v>1</v>
      </c>
      <c r="AA27" s="5">
        <v>0</v>
      </c>
      <c r="AB27" s="5"/>
      <c r="AC27" s="5">
        <v>1</v>
      </c>
      <c r="AD27" s="5">
        <v>0</v>
      </c>
      <c r="AE27" s="5">
        <v>0</v>
      </c>
      <c r="AF27" s="5">
        <v>0</v>
      </c>
    </row>
    <row r="28" spans="1:32" s="91" customFormat="1" x14ac:dyDescent="0.2">
      <c r="A28" s="3" t="str">
        <f>+VLOOKUP(B28,studies!$A$2:$C$102,3)</f>
        <v>Stern &amp; Taylor (2007)</v>
      </c>
      <c r="B28" s="87">
        <v>49</v>
      </c>
      <c r="C28" s="5">
        <v>2007</v>
      </c>
      <c r="D28" s="5">
        <v>1</v>
      </c>
      <c r="E28" s="5">
        <v>2000</v>
      </c>
      <c r="F28" s="5">
        <v>2000</v>
      </c>
      <c r="G28" s="5"/>
      <c r="H28" s="7">
        <f>+IF(VLOOKUP($A28,'Dataset2 ad'!$D$3:$L$855,4,FALSE)="","",VLOOKUP($A28,'Dataset2 ad'!$D$3:$L$855,4,FALSE))</f>
        <v>202.18369501884013</v>
      </c>
      <c r="I28" s="5">
        <v>0</v>
      </c>
      <c r="J28" s="5">
        <v>1</v>
      </c>
      <c r="K28" s="5">
        <v>0</v>
      </c>
      <c r="L28" s="5"/>
      <c r="M28" s="7">
        <f>+IF(VLOOKUP($A28,'Dataset2 ad'!$D$3:$L$855,8,FALSE)="","",VLOOKUP($A28,'Dataset2 ad'!$D$3:$L$855,8,FALSE))</f>
        <v>42.424147771524645</v>
      </c>
      <c r="N28" s="7">
        <f>+IF(VLOOKUP($A28,'Dataset2 ad'!$D$3:$L$855,9,FALSE)="","",VLOOKUP($A28,'Dataset2 ad'!$D$3:$L$855,9,FALSE))</f>
        <v>44.828528957596745</v>
      </c>
      <c r="O28" s="5">
        <v>0</v>
      </c>
      <c r="P28" s="5">
        <v>1</v>
      </c>
      <c r="Q28" s="5">
        <v>0</v>
      </c>
      <c r="R28" s="5">
        <v>1</v>
      </c>
      <c r="S28" s="5">
        <v>0</v>
      </c>
      <c r="T28" s="5">
        <v>0</v>
      </c>
      <c r="U28" s="5">
        <v>1</v>
      </c>
      <c r="V28" s="13"/>
      <c r="W28" s="13">
        <v>0</v>
      </c>
      <c r="X28" s="3"/>
      <c r="Y28" s="3"/>
      <c r="Z28" s="3"/>
      <c r="AA28" s="5">
        <v>0</v>
      </c>
      <c r="AB28" s="5"/>
      <c r="AC28" s="5">
        <v>0</v>
      </c>
      <c r="AD28" s="5">
        <v>0</v>
      </c>
      <c r="AE28" s="5">
        <v>0</v>
      </c>
      <c r="AF28" s="5">
        <v>1</v>
      </c>
    </row>
    <row r="29" spans="1:32" x14ac:dyDescent="0.2">
      <c r="A29" s="3" t="str">
        <f>+VLOOKUP(B29,studies!$A$2:$C$102,3)</f>
        <v>Hope (2008b)</v>
      </c>
      <c r="B29" s="87">
        <v>50</v>
      </c>
      <c r="C29" s="5">
        <v>2008</v>
      </c>
      <c r="D29" s="5">
        <v>1</v>
      </c>
      <c r="E29" s="5">
        <v>2000</v>
      </c>
      <c r="F29" s="5">
        <v>2000</v>
      </c>
      <c r="G29" s="5"/>
      <c r="H29" s="7">
        <f>+IF(VLOOKUP($A29,'Dataset2 ad'!$D$3:$L$855,4,FALSE)="","",VLOOKUP($A29,'Dataset2 ad'!$D$3:$L$855,4,FALSE))</f>
        <v>26.066658200776079</v>
      </c>
      <c r="I29" s="5">
        <v>1</v>
      </c>
      <c r="J29" s="5">
        <v>0</v>
      </c>
      <c r="K29" s="5">
        <v>0</v>
      </c>
      <c r="L29" s="5"/>
      <c r="M29" s="7">
        <f>+IF(VLOOKUP($A29,'Dataset2 ad'!$D$3:$L$855,8,FALSE)="","",VLOOKUP($A29,'Dataset2 ad'!$D$3:$L$855,8,FALSE))</f>
        <v>0.81841940975748984</v>
      </c>
      <c r="N29" s="7">
        <f>+IF(VLOOKUP($A29,'Dataset2 ad'!$D$3:$L$855,9,FALSE)="","",VLOOKUP($A29,'Dataset2 ad'!$D$3:$L$855,9,FALSE))</f>
        <v>0.81841940975749161</v>
      </c>
      <c r="O29" s="5">
        <v>0</v>
      </c>
      <c r="P29" s="5">
        <v>1</v>
      </c>
      <c r="Q29" s="5">
        <v>0</v>
      </c>
      <c r="R29" s="5">
        <v>1</v>
      </c>
      <c r="S29" s="5">
        <v>0</v>
      </c>
      <c r="T29" s="5">
        <v>0</v>
      </c>
      <c r="U29" s="5">
        <v>1</v>
      </c>
      <c r="V29" s="13"/>
      <c r="W29" s="13">
        <v>2</v>
      </c>
      <c r="X29" s="3">
        <v>1</v>
      </c>
      <c r="Y29" s="3"/>
      <c r="Z29" s="49">
        <f t="shared" ref="Z29" si="3">1/X29</f>
        <v>1</v>
      </c>
      <c r="AA29" s="5">
        <v>0</v>
      </c>
      <c r="AB29" s="108">
        <f>+AVERAGE(Dataset0!AB282:AB286)</f>
        <v>3.44</v>
      </c>
      <c r="AC29" s="5">
        <v>1</v>
      </c>
      <c r="AD29" s="5">
        <v>0</v>
      </c>
      <c r="AE29" s="5">
        <v>0</v>
      </c>
      <c r="AF29" s="5">
        <v>0</v>
      </c>
    </row>
    <row r="30" spans="1:32" x14ac:dyDescent="0.2">
      <c r="A30" s="3" t="str">
        <f>+VLOOKUP(B30,studies!$A$2:$C$102,3)</f>
        <v>Hope (2008a)</v>
      </c>
      <c r="B30" s="87">
        <v>51</v>
      </c>
      <c r="C30" s="5">
        <v>2008</v>
      </c>
      <c r="D30" s="5">
        <v>1</v>
      </c>
      <c r="E30" s="5">
        <v>2000</v>
      </c>
      <c r="F30" s="5">
        <v>2000</v>
      </c>
      <c r="G30" s="5"/>
      <c r="H30" s="7">
        <f>+IF(VLOOKUP($A30,'Dataset2 ad'!$D$3:$L$855,4,FALSE)="","",VLOOKUP($A30,'Dataset2 ad'!$D$3:$L$855,4,FALSE))</f>
        <v>134.34354611169209</v>
      </c>
      <c r="I30" s="5">
        <v>1</v>
      </c>
      <c r="J30" s="5">
        <v>0</v>
      </c>
      <c r="K30" s="5">
        <v>0</v>
      </c>
      <c r="L30" s="5"/>
      <c r="M30" s="7">
        <f>+IF(VLOOKUP($A30,'Dataset2 ad'!$D$3:$L$855,8,FALSE)="","",VLOOKUP($A30,'Dataset2 ad'!$D$3:$L$855,8,FALSE))</f>
        <v>48.030989110142727</v>
      </c>
      <c r="N30" s="7">
        <f>+IF(VLOOKUP($A30,'Dataset2 ad'!$D$3:$L$855,9,FALSE)="","",VLOOKUP($A30,'Dataset2 ad'!$D$3:$L$855,9,FALSE))</f>
        <v>484.40198815021421</v>
      </c>
      <c r="O30" s="5">
        <v>0</v>
      </c>
      <c r="P30" s="5">
        <v>1</v>
      </c>
      <c r="Q30" s="5">
        <v>0</v>
      </c>
      <c r="R30" s="5">
        <v>1</v>
      </c>
      <c r="S30" s="5">
        <v>0</v>
      </c>
      <c r="T30" s="5">
        <v>0</v>
      </c>
      <c r="U30" s="5">
        <v>1</v>
      </c>
      <c r="V30" s="13"/>
      <c r="W30" s="107">
        <f>+AVERAGE(Dataset0!W287:W296)</f>
        <v>1.5</v>
      </c>
      <c r="X30" s="3"/>
      <c r="Y30" s="3"/>
      <c r="Z30" s="3"/>
      <c r="AA30" s="5">
        <v>0</v>
      </c>
      <c r="AB30" s="5"/>
      <c r="AC30" s="5">
        <v>1</v>
      </c>
      <c r="AD30" s="5">
        <v>0</v>
      </c>
      <c r="AE30" s="5">
        <v>0</v>
      </c>
      <c r="AF30" s="5">
        <v>0</v>
      </c>
    </row>
    <row r="31" spans="1:32" s="91" customFormat="1" x14ac:dyDescent="0.2">
      <c r="A31" s="3" t="str">
        <f>+VLOOKUP(B31,studies!$A$2:$C$102,3)</f>
        <v>Nordhaus (2008)</v>
      </c>
      <c r="B31" s="87">
        <v>52</v>
      </c>
      <c r="C31" s="5">
        <v>2008</v>
      </c>
      <c r="D31" s="5">
        <v>0</v>
      </c>
      <c r="E31" s="5">
        <v>2005</v>
      </c>
      <c r="F31" s="5">
        <v>2005</v>
      </c>
      <c r="G31" s="5"/>
      <c r="H31" s="7">
        <f>+IF(VLOOKUP($A31,'Dataset2 ad'!$D$3:$L$855,4,FALSE)="","",VLOOKUP($A31,'Dataset2 ad'!$D$3:$L$855,4,FALSE))</f>
        <v>44.702531815790827</v>
      </c>
      <c r="I31" s="5">
        <v>0</v>
      </c>
      <c r="J31" s="5">
        <v>1</v>
      </c>
      <c r="K31" s="5">
        <v>0</v>
      </c>
      <c r="L31" s="5"/>
      <c r="M31" s="7">
        <f>+IF(VLOOKUP($A31,'Dataset2 ad'!$D$3:$L$855,8,FALSE)="","",VLOOKUP($A31,'Dataset2 ad'!$D$3:$L$855,8,FALSE))</f>
        <v>1.1596815122321236</v>
      </c>
      <c r="N31" s="7">
        <f>+IF(VLOOKUP($A31,'Dataset2 ad'!$D$3:$L$855,9,FALSE)="","",VLOOKUP($A31,'Dataset2 ad'!$D$3:$L$855,9,FALSE))</f>
        <v>129.5693303640453</v>
      </c>
      <c r="O31" s="5">
        <v>1</v>
      </c>
      <c r="P31" s="5">
        <v>1</v>
      </c>
      <c r="Q31" s="5">
        <v>0</v>
      </c>
      <c r="R31" s="5">
        <v>1</v>
      </c>
      <c r="S31" s="5">
        <v>0</v>
      </c>
      <c r="T31" s="5">
        <v>1</v>
      </c>
      <c r="U31" s="5">
        <v>0</v>
      </c>
      <c r="V31" s="107">
        <f>+AVERAGE(Dataset0!V297:V300)</f>
        <v>2.75</v>
      </c>
      <c r="W31" s="107">
        <f>+AVERAGE(Dataset0!W297:W300)</f>
        <v>0.8</v>
      </c>
      <c r="X31" s="107">
        <f>+AVERAGE(Dataset0!X297:X300)</f>
        <v>1.5</v>
      </c>
      <c r="Y31" s="107">
        <f>+AVERAGE(Dataset0!Y297:Y300)</f>
        <v>1.3</v>
      </c>
      <c r="Z31" s="107">
        <f>+AVERAGE(Dataset0!Z297:Z300)</f>
        <v>0.75</v>
      </c>
      <c r="AA31" s="5">
        <v>0</v>
      </c>
      <c r="AB31" s="5">
        <v>3</v>
      </c>
      <c r="AC31" s="5">
        <v>0</v>
      </c>
      <c r="AD31" s="5">
        <v>1</v>
      </c>
      <c r="AE31" s="5">
        <v>0</v>
      </c>
      <c r="AF31" s="5">
        <v>0</v>
      </c>
    </row>
    <row r="32" spans="1:32" x14ac:dyDescent="0.2">
      <c r="A32" s="3" t="str">
        <f>+VLOOKUP(B32,studies!$A$2:$C$102,3)</f>
        <v>Anthoff et al. (2009a)</v>
      </c>
      <c r="B32" s="87">
        <v>53</v>
      </c>
      <c r="C32" s="5">
        <v>2009</v>
      </c>
      <c r="D32" s="5">
        <v>1</v>
      </c>
      <c r="E32" s="5">
        <v>1995</v>
      </c>
      <c r="F32" s="5">
        <v>2010</v>
      </c>
      <c r="G32" s="5"/>
      <c r="H32" s="7">
        <f>+IF(VLOOKUP($A32,'Dataset2 ad'!$D$3:$L$855,4,FALSE)="","",VLOOKUP($A32,'Dataset2 ad'!$D$3:$L$855,4,FALSE))</f>
        <v>20.345979776437126</v>
      </c>
      <c r="I32" s="5">
        <v>0</v>
      </c>
      <c r="J32" s="5">
        <v>1</v>
      </c>
      <c r="K32" s="5">
        <v>0</v>
      </c>
      <c r="L32" s="5"/>
      <c r="M32" s="7">
        <f>+IF(VLOOKUP($A32,'Dataset2 ad'!$D$3:$L$855,8,FALSE)="","",VLOOKUP($A32,'Dataset2 ad'!$D$3:$L$855,8,FALSE))</f>
        <v>15.094416244312255</v>
      </c>
      <c r="N32" s="7">
        <f>+IF(VLOOKUP($A32,'Dataset2 ad'!$D$3:$L$855,9,FALSE)="","",VLOOKUP($A32,'Dataset2 ad'!$D$3:$L$855,9,FALSE))</f>
        <v>65.295687857301118</v>
      </c>
      <c r="O32" s="5">
        <v>0</v>
      </c>
      <c r="P32" s="5">
        <v>1</v>
      </c>
      <c r="Q32" s="5">
        <v>1</v>
      </c>
      <c r="R32" s="5">
        <v>1</v>
      </c>
      <c r="S32" s="5">
        <v>1</v>
      </c>
      <c r="T32" s="5">
        <v>0</v>
      </c>
      <c r="U32" s="5">
        <v>0</v>
      </c>
      <c r="V32" s="13"/>
      <c r="W32" s="107">
        <f>+AVERAGE(Dataset0!W301:W333)</f>
        <v>1.3333333333333333</v>
      </c>
      <c r="X32" s="3"/>
      <c r="Y32" s="3"/>
      <c r="Z32" s="3"/>
      <c r="AA32" s="5">
        <v>1</v>
      </c>
      <c r="AB32" s="5"/>
      <c r="AC32" s="5">
        <v>0</v>
      </c>
      <c r="AD32" s="5">
        <v>0</v>
      </c>
      <c r="AE32" s="5">
        <v>1</v>
      </c>
      <c r="AF32" s="5">
        <v>0</v>
      </c>
    </row>
    <row r="33" spans="1:32" x14ac:dyDescent="0.2">
      <c r="A33" s="3" t="str">
        <f>+VLOOKUP(B33,studies!$A$2:$C$102,3)</f>
        <v>Anthoff et al. (2009b)</v>
      </c>
      <c r="B33" s="87">
        <v>54</v>
      </c>
      <c r="C33" s="5">
        <v>2009</v>
      </c>
      <c r="D33" s="5">
        <v>1</v>
      </c>
      <c r="E33" s="5">
        <v>1995</v>
      </c>
      <c r="F33" s="5">
        <v>2010</v>
      </c>
      <c r="G33" s="5"/>
      <c r="H33" s="7">
        <f>+'Dataset2 ad'!G379</f>
        <v>7.1794625358657242</v>
      </c>
      <c r="I33" s="5">
        <v>0</v>
      </c>
      <c r="J33" s="5">
        <v>1</v>
      </c>
      <c r="K33" s="5">
        <v>0</v>
      </c>
      <c r="L33" s="5"/>
      <c r="M33" s="7">
        <f>+'Dataset2 ad'!K379</f>
        <v>5.0673503913755154</v>
      </c>
      <c r="N33" s="7">
        <f>+'Dataset2 ad'!L379</f>
        <v>29.556211379399805</v>
      </c>
      <c r="O33" s="5">
        <v>0</v>
      </c>
      <c r="P33" s="5">
        <v>1</v>
      </c>
      <c r="Q33" s="5">
        <v>1</v>
      </c>
      <c r="R33" s="5">
        <v>1</v>
      </c>
      <c r="S33" s="5">
        <v>1</v>
      </c>
      <c r="T33" s="5">
        <v>0</v>
      </c>
      <c r="U33" s="5">
        <v>0</v>
      </c>
      <c r="V33" s="13"/>
      <c r="W33" s="13" t="s">
        <v>25</v>
      </c>
      <c r="X33" s="3"/>
      <c r="Y33" s="3"/>
      <c r="Z33" s="3"/>
      <c r="AA33" s="108">
        <f>+AVERAGE(Dataset0!AA334:AA337)</f>
        <v>0.5</v>
      </c>
      <c r="AB33" s="5"/>
      <c r="AC33" s="5">
        <v>0</v>
      </c>
      <c r="AD33" s="5">
        <v>0</v>
      </c>
      <c r="AE33" s="5">
        <v>1</v>
      </c>
      <c r="AF33" s="5">
        <v>0</v>
      </c>
    </row>
    <row r="34" spans="1:32" x14ac:dyDescent="0.2">
      <c r="A34" s="3" t="str">
        <f>+VLOOKUP(B34,studies!$A$2:$C$102,3)</f>
        <v>Anthoff et al. (2009c)</v>
      </c>
      <c r="B34" s="87">
        <v>55</v>
      </c>
      <c r="C34" s="5">
        <v>2009</v>
      </c>
      <c r="D34" s="5">
        <v>1</v>
      </c>
      <c r="E34" s="5">
        <v>1995</v>
      </c>
      <c r="F34" s="5">
        <v>2010</v>
      </c>
      <c r="G34" s="5"/>
      <c r="H34" s="7">
        <f>+'Dataset2 ad'!G383</f>
        <v>99.56188464371283</v>
      </c>
      <c r="I34" s="5">
        <v>1</v>
      </c>
      <c r="J34" s="5">
        <v>0</v>
      </c>
      <c r="K34" s="5">
        <v>0</v>
      </c>
      <c r="L34" s="5"/>
      <c r="M34" s="7">
        <f>+'Dataset2 ad'!K383</f>
        <v>51.252094840820106</v>
      </c>
      <c r="N34" s="7">
        <f>+'Dataset2 ad'!L383</f>
        <v>134.74787083035568</v>
      </c>
      <c r="O34" s="5">
        <v>0</v>
      </c>
      <c r="P34" s="5">
        <v>1</v>
      </c>
      <c r="Q34" s="5">
        <v>1</v>
      </c>
      <c r="R34" s="5">
        <v>1</v>
      </c>
      <c r="S34" s="5">
        <v>1</v>
      </c>
      <c r="T34" s="5">
        <v>0</v>
      </c>
      <c r="U34" s="5">
        <v>0</v>
      </c>
      <c r="V34" s="13"/>
      <c r="W34" s="13" t="s">
        <v>25</v>
      </c>
      <c r="X34" s="3"/>
      <c r="Y34" s="3"/>
      <c r="Z34" s="3"/>
      <c r="AA34" s="5">
        <v>1</v>
      </c>
      <c r="AB34" s="5"/>
      <c r="AC34" s="5">
        <v>0</v>
      </c>
      <c r="AD34" s="5">
        <v>0</v>
      </c>
      <c r="AE34" s="5">
        <v>1</v>
      </c>
      <c r="AF34" s="5">
        <v>0</v>
      </c>
    </row>
    <row r="35" spans="1:32" s="91" customFormat="1" x14ac:dyDescent="0.2">
      <c r="A35" s="3" t="str">
        <f>+VLOOKUP(B35,studies!$A$2:$C$102,3)</f>
        <v>EPA &amp; NHTSA (2009)</v>
      </c>
      <c r="B35" s="87">
        <v>56</v>
      </c>
      <c r="C35" s="5">
        <v>2009</v>
      </c>
      <c r="D35" s="5">
        <v>0</v>
      </c>
      <c r="E35" s="5">
        <v>2007</v>
      </c>
      <c r="F35" s="5">
        <v>2015</v>
      </c>
      <c r="G35" s="5"/>
      <c r="H35" s="7">
        <f>+IF(VLOOKUP($A35,'Dataset2 ad'!$D$3:$L$855,4,FALSE)="","",VLOOKUP($A35,'Dataset2 ad'!$D$3:$L$855,4,FALSE))</f>
        <v>353.47900784425946</v>
      </c>
      <c r="I35" s="5">
        <v>0</v>
      </c>
      <c r="J35" s="5">
        <v>1</v>
      </c>
      <c r="K35" s="5">
        <v>0</v>
      </c>
      <c r="L35" s="5"/>
      <c r="M35" s="7">
        <f>+IF(VLOOKUP($A35,'Dataset2 ad'!$D$3:$L$855,8,FALSE)="","",VLOOKUP($A35,'Dataset2 ad'!$D$3:$L$855,8,FALSE))</f>
        <v>164.21362442338139</v>
      </c>
      <c r="N35" s="7">
        <f>+IF(VLOOKUP($A35,'Dataset2 ad'!$D$3:$L$855,9,FALSE)="","",VLOOKUP($A35,'Dataset2 ad'!$D$3:$L$855,9,FALSE))</f>
        <v>297.21092088129564</v>
      </c>
      <c r="O35" s="5">
        <v>0</v>
      </c>
      <c r="P35" s="5">
        <v>0</v>
      </c>
      <c r="Q35" s="5">
        <v>0</v>
      </c>
      <c r="R35" s="5">
        <v>0</v>
      </c>
      <c r="S35" s="5">
        <v>1</v>
      </c>
      <c r="T35" s="5">
        <v>1</v>
      </c>
      <c r="U35" s="5">
        <v>1</v>
      </c>
      <c r="V35" s="107">
        <f>+AVERAGE(Dataset0!V350:V354)</f>
        <v>4</v>
      </c>
      <c r="W35" s="13" t="s">
        <v>25</v>
      </c>
      <c r="X35" s="3"/>
      <c r="Y35" s="3"/>
      <c r="Z35" s="3"/>
      <c r="AA35" s="5">
        <v>0</v>
      </c>
      <c r="AB35" s="5"/>
      <c r="AC35" s="5">
        <v>0</v>
      </c>
      <c r="AD35" s="5">
        <v>0</v>
      </c>
      <c r="AE35" s="5">
        <v>0</v>
      </c>
      <c r="AF35" s="5">
        <v>0</v>
      </c>
    </row>
    <row r="36" spans="1:32" x14ac:dyDescent="0.2">
      <c r="A36" s="3" t="str">
        <f>+VLOOKUP(B36,studies!$A$2:$C$102,3)</f>
        <v>Narita et al. (2009)</v>
      </c>
      <c r="B36" s="87">
        <v>57</v>
      </c>
      <c r="C36" s="5">
        <v>2009</v>
      </c>
      <c r="D36" s="5">
        <v>1</v>
      </c>
      <c r="E36" s="5">
        <v>2005</v>
      </c>
      <c r="F36" s="5">
        <v>2010</v>
      </c>
      <c r="G36" s="5"/>
      <c r="H36" s="7">
        <f>+IF(VLOOKUP($A36,'Dataset2 ad'!$D$3:$L$855,4,FALSE)="","",VLOOKUP($A36,'Dataset2 ad'!$D$3:$L$855,4,FALSE))</f>
        <v>11.829472656600091</v>
      </c>
      <c r="I36" s="5">
        <v>0</v>
      </c>
      <c r="J36" s="5">
        <v>1</v>
      </c>
      <c r="K36" s="5">
        <v>0</v>
      </c>
      <c r="L36" s="5"/>
      <c r="M36" s="7">
        <f>+IF(VLOOKUP($A36,'Dataset2 ad'!$D$3:$L$855,8,FALSE)="","",VLOOKUP($A36,'Dataset2 ad'!$D$3:$L$855,8,FALSE))</f>
        <v>7.2066801494542885</v>
      </c>
      <c r="N36" s="7">
        <f>+IF(VLOOKUP($A36,'Dataset2 ad'!$D$3:$L$855,9,FALSE)="","",VLOOKUP($A36,'Dataset2 ad'!$D$3:$L$855,9,FALSE))</f>
        <v>59.906275703382448</v>
      </c>
      <c r="O36" s="5">
        <v>0</v>
      </c>
      <c r="P36" s="5">
        <v>1</v>
      </c>
      <c r="Q36" s="5">
        <v>1</v>
      </c>
      <c r="R36" s="5">
        <v>1</v>
      </c>
      <c r="S36" s="5">
        <v>1</v>
      </c>
      <c r="T36" s="5">
        <v>0</v>
      </c>
      <c r="U36" s="5">
        <v>0</v>
      </c>
      <c r="V36" s="13"/>
      <c r="W36" s="107">
        <f>+AVERAGE(Dataset0!W355:W357)</f>
        <v>1.3333333333333333</v>
      </c>
      <c r="X36" s="3"/>
      <c r="Y36" s="3"/>
      <c r="Z36" s="3"/>
      <c r="AA36" s="5">
        <v>0</v>
      </c>
      <c r="AB36" s="5"/>
      <c r="AC36" s="5">
        <v>0</v>
      </c>
      <c r="AD36" s="5">
        <v>0</v>
      </c>
      <c r="AE36" s="5">
        <v>1</v>
      </c>
      <c r="AF36" s="5">
        <v>0</v>
      </c>
    </row>
    <row r="37" spans="1:32" x14ac:dyDescent="0.2">
      <c r="A37" s="3" t="str">
        <f>+VLOOKUP(B37,studies!$A$2:$C$102,3)</f>
        <v>Anthoff &amp; Tol (2010)</v>
      </c>
      <c r="B37" s="87">
        <v>58</v>
      </c>
      <c r="C37" s="5">
        <v>2010</v>
      </c>
      <c r="D37" s="5">
        <v>1</v>
      </c>
      <c r="E37" s="5">
        <v>1995</v>
      </c>
      <c r="F37" s="5">
        <v>2010</v>
      </c>
      <c r="G37" s="5"/>
      <c r="H37" s="7">
        <f>+IF(VLOOKUP($A37,'Dataset2 ad'!$D$3:$L$855,4,FALSE)="","",VLOOKUP($A37,'Dataset2 ad'!$D$3:$L$855,4,FALSE))</f>
        <v>25.949462731259153</v>
      </c>
      <c r="I37" s="5">
        <v>0</v>
      </c>
      <c r="J37" s="5">
        <v>1</v>
      </c>
      <c r="K37" s="5">
        <v>0</v>
      </c>
      <c r="L37" s="5"/>
      <c r="M37" s="7">
        <f>+IF(VLOOKUP($A37,'Dataset2 ad'!$D$3:$L$855,8,FALSE)="","",VLOOKUP($A37,'Dataset2 ad'!$D$3:$L$855,8,FALSE))</f>
        <v>12.358872375909554</v>
      </c>
      <c r="N37" s="7">
        <f>+IF(VLOOKUP($A37,'Dataset2 ad'!$D$3:$L$855,9,FALSE)="","",VLOOKUP($A37,'Dataset2 ad'!$D$3:$L$855,9,FALSE))</f>
        <v>90.266566139711173</v>
      </c>
      <c r="O37" s="5">
        <v>0</v>
      </c>
      <c r="P37" s="5">
        <v>1</v>
      </c>
      <c r="Q37" s="5">
        <v>1</v>
      </c>
      <c r="R37" s="5">
        <v>1</v>
      </c>
      <c r="S37" s="5">
        <v>1</v>
      </c>
      <c r="T37" s="5">
        <v>0</v>
      </c>
      <c r="U37" s="5">
        <v>0</v>
      </c>
      <c r="V37" s="13"/>
      <c r="W37" s="107">
        <f>+AVERAGE(Dataset0!W358:W373)</f>
        <v>1.125</v>
      </c>
      <c r="X37" s="3"/>
      <c r="Y37" s="3"/>
      <c r="Z37" s="3"/>
      <c r="AA37" s="107">
        <f>+AVERAGE(Dataset0!AA358:AA373)</f>
        <v>0.5</v>
      </c>
      <c r="AB37" s="5"/>
      <c r="AC37" s="5">
        <v>0</v>
      </c>
      <c r="AD37" s="5">
        <v>0</v>
      </c>
      <c r="AE37" s="5">
        <v>1</v>
      </c>
      <c r="AF37" s="5">
        <v>0</v>
      </c>
    </row>
    <row r="38" spans="1:32" x14ac:dyDescent="0.2">
      <c r="A38" s="3" t="str">
        <f>+VLOOKUP(B38,studies!$A$2:$C$102,3)</f>
        <v>Kemfert &amp; Schill (2010)</v>
      </c>
      <c r="B38" s="87">
        <v>59</v>
      </c>
      <c r="C38" s="5">
        <v>2010</v>
      </c>
      <c r="D38" s="5">
        <v>0</v>
      </c>
      <c r="E38" s="5">
        <v>2000</v>
      </c>
      <c r="F38" s="5">
        <v>2010</v>
      </c>
      <c r="G38" s="5"/>
      <c r="H38" s="7">
        <f>+IF(VLOOKUP($A38,'Dataset2 ad'!$D$3:$L$855,4,FALSE)="","",VLOOKUP($A38,'Dataset2 ad'!$D$3:$L$855,4,FALSE))</f>
        <v>102.82426861749981</v>
      </c>
      <c r="I38" s="5">
        <v>0</v>
      </c>
      <c r="J38" s="5">
        <v>1</v>
      </c>
      <c r="K38" s="5">
        <v>0</v>
      </c>
      <c r="L38" s="5"/>
      <c r="M38" s="7">
        <f>+IF(VLOOKUP($A38,'Dataset2 ad'!$D$3:$L$855,8,FALSE)="","",VLOOKUP($A38,'Dataset2 ad'!$D$3:$L$855,8,FALSE))</f>
        <v>14.910071174395787</v>
      </c>
      <c r="N38" s="7">
        <f>+IF(VLOOKUP($A38,'Dataset2 ad'!$D$3:$L$855,9,FALSE)="","",VLOOKUP($A38,'Dataset2 ad'!$D$3:$L$855,9,FALSE))</f>
        <v>67.095320284780996</v>
      </c>
      <c r="O38" s="5">
        <v>0</v>
      </c>
      <c r="P38" s="5">
        <v>1</v>
      </c>
      <c r="Q38" s="5">
        <v>0</v>
      </c>
      <c r="R38" s="5">
        <v>1</v>
      </c>
      <c r="S38" s="5">
        <v>0</v>
      </c>
      <c r="T38" s="5">
        <v>0</v>
      </c>
      <c r="U38" s="5">
        <v>0</v>
      </c>
      <c r="V38" s="13"/>
      <c r="W38" s="13" t="s">
        <v>25</v>
      </c>
      <c r="X38" s="3"/>
      <c r="Y38" s="3"/>
      <c r="Z38" s="3"/>
      <c r="AA38" s="5">
        <v>0</v>
      </c>
      <c r="AB38" s="5"/>
      <c r="AC38" s="5">
        <v>0</v>
      </c>
      <c r="AD38" s="5">
        <v>0</v>
      </c>
      <c r="AE38" s="5">
        <v>0</v>
      </c>
      <c r="AF38" s="5">
        <v>0</v>
      </c>
    </row>
    <row r="39" spans="1:32" x14ac:dyDescent="0.2">
      <c r="A39" s="3" t="str">
        <f>+VLOOKUP(B39,studies!$A$2:$C$102,3)</f>
        <v>Narita et al. (2010)</v>
      </c>
      <c r="B39" s="87">
        <v>60</v>
      </c>
      <c r="C39" s="5">
        <v>2010</v>
      </c>
      <c r="D39" s="5">
        <v>1</v>
      </c>
      <c r="E39" s="5">
        <v>2005</v>
      </c>
      <c r="F39" s="5">
        <v>2010</v>
      </c>
      <c r="G39" s="5"/>
      <c r="H39" s="7">
        <f>+IF(VLOOKUP($A39,'Dataset2 ad'!$D$3:$L$855,4,FALSE)="","",VLOOKUP($A39,'Dataset2 ad'!$D$3:$L$855,4,FALSE))</f>
        <v>28.643200568951375</v>
      </c>
      <c r="I39" s="5">
        <v>0</v>
      </c>
      <c r="J39" s="5">
        <v>1</v>
      </c>
      <c r="K39" s="5">
        <v>0</v>
      </c>
      <c r="L39" s="5"/>
      <c r="M39" s="7">
        <f>+IF(VLOOKUP($A39,'Dataset2 ad'!$D$3:$L$855,8,FALSE)="","",VLOOKUP($A39,'Dataset2 ad'!$D$3:$L$855,8,FALSE))</f>
        <v>12.548945533875626</v>
      </c>
      <c r="N39" s="7">
        <f>+IF(VLOOKUP($A39,'Dataset2 ad'!$D$3:$L$855,9,FALSE)="","",VLOOKUP($A39,'Dataset2 ad'!$D$3:$L$855,9,FALSE))</f>
        <v>72.915349240166847</v>
      </c>
      <c r="O39" s="5">
        <v>0</v>
      </c>
      <c r="P39" s="5">
        <v>1</v>
      </c>
      <c r="Q39" s="5">
        <v>1</v>
      </c>
      <c r="R39" s="5">
        <v>1</v>
      </c>
      <c r="S39" s="5">
        <v>1</v>
      </c>
      <c r="T39" s="5">
        <v>0</v>
      </c>
      <c r="U39" s="5">
        <v>0</v>
      </c>
      <c r="V39" s="13"/>
      <c r="W39" s="107">
        <f>+AVERAGE(Dataset0!W377:W379)</f>
        <v>0.5</v>
      </c>
      <c r="X39" s="3"/>
      <c r="Y39" s="3"/>
      <c r="Z39" s="3"/>
      <c r="AA39" s="5">
        <v>0</v>
      </c>
      <c r="AB39" s="5"/>
      <c r="AC39" s="5">
        <v>0</v>
      </c>
      <c r="AD39" s="5">
        <v>0</v>
      </c>
      <c r="AE39" s="5">
        <v>1</v>
      </c>
      <c r="AF39" s="5">
        <v>0</v>
      </c>
    </row>
    <row r="40" spans="1:32" s="91" customFormat="1" x14ac:dyDescent="0.2">
      <c r="A40" s="3" t="str">
        <f>+VLOOKUP(B40,studies!$A$2:$C$102,3)</f>
        <v>Anthoff et al. (2011)</v>
      </c>
      <c r="B40" s="87">
        <v>64</v>
      </c>
      <c r="C40" s="5">
        <v>2011</v>
      </c>
      <c r="D40" s="5">
        <v>0</v>
      </c>
      <c r="E40" s="5">
        <v>1995</v>
      </c>
      <c r="F40" s="5">
        <v>2015</v>
      </c>
      <c r="G40" s="5"/>
      <c r="H40" s="7">
        <f>+IF(VLOOKUP($A40,'Dataset2 ad'!$D$3:$L$855,4,FALSE)="","",VLOOKUP($A40,'Dataset2 ad'!$D$3:$L$855,4,FALSE))</f>
        <v>42.495165354330709</v>
      </c>
      <c r="I40" s="5">
        <v>0</v>
      </c>
      <c r="J40" s="5">
        <v>1</v>
      </c>
      <c r="K40" s="5">
        <v>0</v>
      </c>
      <c r="L40" s="5"/>
      <c r="M40" s="7">
        <f>+IF(VLOOKUP($A40,'Dataset2 ad'!$D$3:$L$855,8,FALSE)="","",VLOOKUP($A40,'Dataset2 ad'!$D$3:$L$855,8,FALSE))</f>
        <v>21.141658666773797</v>
      </c>
      <c r="N40" s="7">
        <f>+IF(VLOOKUP($A40,'Dataset2 ad'!$D$3:$L$855,9,FALSE)="","",VLOOKUP($A40,'Dataset2 ad'!$D$3:$L$855,9,FALSE))</f>
        <v>1032.3028469655571</v>
      </c>
      <c r="O40" s="5">
        <v>0</v>
      </c>
      <c r="P40" s="5">
        <v>1</v>
      </c>
      <c r="Q40" s="5">
        <v>1</v>
      </c>
      <c r="R40" s="5">
        <v>1</v>
      </c>
      <c r="S40" s="5">
        <v>1</v>
      </c>
      <c r="T40" s="5">
        <v>0</v>
      </c>
      <c r="U40" s="5">
        <v>0</v>
      </c>
      <c r="V40" s="13"/>
      <c r="W40" s="107">
        <f>+AVERAGE(Dataset0!W383:W404)</f>
        <v>1.25</v>
      </c>
      <c r="X40" s="3"/>
      <c r="Y40" s="3"/>
      <c r="Z40" s="3"/>
      <c r="AA40" s="5">
        <v>0</v>
      </c>
      <c r="AB40" s="5"/>
      <c r="AC40" s="5">
        <v>0</v>
      </c>
      <c r="AD40" s="5">
        <v>0</v>
      </c>
      <c r="AE40" s="5">
        <v>1</v>
      </c>
      <c r="AF40" s="5">
        <v>0</v>
      </c>
    </row>
    <row r="41" spans="1:32" x14ac:dyDescent="0.2">
      <c r="A41" s="3" t="str">
        <f>+VLOOKUP(B41,studies!$A$2:$C$102,3)</f>
        <v>Ceronsky et al. (2011)</v>
      </c>
      <c r="B41" s="87">
        <v>65</v>
      </c>
      <c r="C41" s="5">
        <v>2011</v>
      </c>
      <c r="D41" s="5">
        <v>0</v>
      </c>
      <c r="E41" s="5">
        <v>2010</v>
      </c>
      <c r="F41" s="5">
        <v>2010</v>
      </c>
      <c r="G41" s="5"/>
      <c r="H41" s="7">
        <f>+IF(VLOOKUP($A41,'Dataset2 ad'!$D$3:$L$855,4,FALSE)="","",VLOOKUP($A41,'Dataset2 ad'!$D$3:$L$855,4,FALSE))</f>
        <v>155.01986152623127</v>
      </c>
      <c r="I41" s="108">
        <f>+AVERAGE(Dataset0!I405:I452)</f>
        <v>0.5</v>
      </c>
      <c r="J41" s="108">
        <f>+AVERAGE(Dataset0!J405:J452)</f>
        <v>0.5</v>
      </c>
      <c r="K41" s="5">
        <v>0</v>
      </c>
      <c r="L41" s="5"/>
      <c r="M41" s="7">
        <f>+IF(VLOOKUP($A41,'Dataset2 ad'!$D$3:$L$855,8,FALSE)="","",VLOOKUP($A41,'Dataset2 ad'!$D$3:$L$855,8,FALSE))</f>
        <v>75.910255193430345</v>
      </c>
      <c r="N41" s="7">
        <f>+IF(VLOOKUP($A41,'Dataset2 ad'!$D$3:$L$855,9,FALSE)="","",VLOOKUP($A41,'Dataset2 ad'!$D$3:$L$855,9,FALSE))</f>
        <v>839.26473289845842</v>
      </c>
      <c r="O41" s="5">
        <v>0</v>
      </c>
      <c r="P41" s="5">
        <v>1</v>
      </c>
      <c r="Q41" s="5">
        <v>1</v>
      </c>
      <c r="R41" s="5">
        <v>1</v>
      </c>
      <c r="S41" s="5">
        <v>1</v>
      </c>
      <c r="T41" s="5">
        <v>0</v>
      </c>
      <c r="U41" s="5">
        <v>0</v>
      </c>
      <c r="V41" s="13"/>
      <c r="W41" s="107">
        <f>+AVERAGE(Dataset0!W405:W452)</f>
        <v>1.3333333333333333</v>
      </c>
      <c r="X41" s="3"/>
      <c r="Y41" s="3"/>
      <c r="Z41" s="3"/>
      <c r="AA41" s="5">
        <v>0</v>
      </c>
      <c r="AB41" s="5"/>
      <c r="AC41" s="5">
        <v>0</v>
      </c>
      <c r="AD41" s="5">
        <v>0</v>
      </c>
      <c r="AE41" s="5">
        <v>1</v>
      </c>
      <c r="AF41" s="5">
        <v>0</v>
      </c>
    </row>
    <row r="42" spans="1:32" x14ac:dyDescent="0.2">
      <c r="A42" s="3" t="str">
        <f>+VLOOKUP(B42,studies!$A$2:$C$102,3)</f>
        <v>Dietz (2011)</v>
      </c>
      <c r="B42" s="87">
        <v>66</v>
      </c>
      <c r="C42" s="5">
        <v>2011</v>
      </c>
      <c r="D42" s="5">
        <v>1</v>
      </c>
      <c r="E42" s="5">
        <v>2008</v>
      </c>
      <c r="F42" s="5">
        <v>2000</v>
      </c>
      <c r="G42" s="5"/>
      <c r="H42" s="7">
        <f>+IF(VLOOKUP($A42,'Dataset2 ad'!$D$3:$L$855,4,FALSE)="","",VLOOKUP($A42,'Dataset2 ad'!$D$3:$L$855,4,FALSE))</f>
        <v>2325.2310625858522</v>
      </c>
      <c r="I42" s="5">
        <v>1</v>
      </c>
      <c r="J42" s="5">
        <v>0</v>
      </c>
      <c r="K42" s="5">
        <v>0</v>
      </c>
      <c r="L42" s="5"/>
      <c r="M42" s="7">
        <f>+IF(VLOOKUP($A42,'Dataset2 ad'!$D$3:$L$855,8,FALSE)="","",VLOOKUP($A42,'Dataset2 ad'!$D$3:$L$855,8,FALSE))</f>
        <v>555.73546592453158</v>
      </c>
      <c r="N42" s="7">
        <f>+IF(VLOOKUP($A42,'Dataset2 ad'!$D$3:$L$855,9,FALSE)="","",VLOOKUP($A42,'Dataset2 ad'!$D$3:$L$855,9,FALSE))</f>
        <v>593.59610910868128</v>
      </c>
      <c r="O42" s="5">
        <v>0</v>
      </c>
      <c r="P42" s="5">
        <v>1</v>
      </c>
      <c r="Q42" s="5">
        <v>0</v>
      </c>
      <c r="R42" s="5">
        <v>1</v>
      </c>
      <c r="S42" s="5">
        <v>0</v>
      </c>
      <c r="T42" s="5">
        <v>0</v>
      </c>
      <c r="U42" s="5">
        <v>1</v>
      </c>
      <c r="V42" s="13"/>
      <c r="W42" s="107">
        <f>+AVERAGE(Dataset0!W453:W454)</f>
        <v>2</v>
      </c>
      <c r="X42" s="107">
        <f>+AVERAGE(Dataset0!X453:X454)</f>
        <v>0.70000000000000007</v>
      </c>
      <c r="Y42" s="3"/>
      <c r="Z42" s="49">
        <f t="shared" ref="Z42" si="4">1/X42</f>
        <v>1.4285714285714284</v>
      </c>
      <c r="AA42" s="5">
        <v>0</v>
      </c>
      <c r="AB42" s="5"/>
      <c r="AC42" s="5">
        <v>0</v>
      </c>
      <c r="AD42" s="5">
        <v>0</v>
      </c>
      <c r="AE42" s="5">
        <v>0</v>
      </c>
      <c r="AF42" s="5">
        <v>0</v>
      </c>
    </row>
    <row r="43" spans="1:32" x14ac:dyDescent="0.2">
      <c r="A43" s="3" t="str">
        <f>+VLOOKUP(B43,studies!$A$2:$C$102,3)</f>
        <v>Hope (2011)</v>
      </c>
      <c r="B43" s="87">
        <v>67</v>
      </c>
      <c r="C43" s="5">
        <v>2011</v>
      </c>
      <c r="D43" s="5">
        <v>1</v>
      </c>
      <c r="E43" s="5">
        <v>2005</v>
      </c>
      <c r="F43" s="5">
        <v>2009</v>
      </c>
      <c r="G43" s="5"/>
      <c r="H43" s="7">
        <f>+IF(VLOOKUP($A43,'Dataset2 ad'!$D$3:$L$855,4,FALSE)="","",VLOOKUP($A43,'Dataset2 ad'!$D$3:$L$855,4,FALSE))</f>
        <v>381.21474006226663</v>
      </c>
      <c r="I43" s="5">
        <v>1</v>
      </c>
      <c r="J43" s="5">
        <v>0</v>
      </c>
      <c r="K43" s="5">
        <v>0</v>
      </c>
      <c r="L43" s="5"/>
      <c r="M43" s="7">
        <f>+IF(VLOOKUP($A43,'Dataset2 ad'!$D$3:$L$855,8,FALSE)="","",VLOOKUP($A43,'Dataset2 ad'!$D$3:$L$855,8,FALSE))</f>
        <v>155.02806490236463</v>
      </c>
      <c r="N43" s="7">
        <f>+IF(VLOOKUP($A43,'Dataset2 ad'!$D$3:$L$855,9,FALSE)="","",VLOOKUP($A43,'Dataset2 ad'!$D$3:$L$855,9,FALSE))</f>
        <v>170.85469595735401</v>
      </c>
      <c r="O43" s="5">
        <v>0</v>
      </c>
      <c r="P43" s="5">
        <v>1</v>
      </c>
      <c r="Q43" s="5">
        <v>0</v>
      </c>
      <c r="R43" s="5">
        <v>1</v>
      </c>
      <c r="S43" s="5">
        <v>0</v>
      </c>
      <c r="T43" s="5">
        <v>0</v>
      </c>
      <c r="U43" s="5">
        <v>1</v>
      </c>
      <c r="V43" s="13"/>
      <c r="W43" s="13">
        <v>1</v>
      </c>
      <c r="X43" s="3"/>
      <c r="Y43" s="3"/>
      <c r="Z43" s="3"/>
      <c r="AA43" s="5">
        <v>1</v>
      </c>
      <c r="AB43" s="5"/>
      <c r="AC43" s="5">
        <v>1</v>
      </c>
      <c r="AD43" s="5">
        <v>0</v>
      </c>
      <c r="AE43" s="5">
        <v>0</v>
      </c>
      <c r="AF43" s="5">
        <v>0</v>
      </c>
    </row>
    <row r="44" spans="1:32" x14ac:dyDescent="0.2">
      <c r="A44" s="3" t="str">
        <f>+VLOOKUP(B44,studies!$A$2:$C$102,3)</f>
        <v>Pycroft et al. (2011)</v>
      </c>
      <c r="B44" s="87">
        <v>69</v>
      </c>
      <c r="C44" s="5">
        <v>2011</v>
      </c>
      <c r="D44" s="5">
        <v>1</v>
      </c>
      <c r="E44" s="5">
        <v>2005</v>
      </c>
      <c r="F44" s="5">
        <v>2009</v>
      </c>
      <c r="G44" s="5"/>
      <c r="H44" s="7">
        <f>+IF(VLOOKUP($A44,'Dataset2 ad'!$D$3:$L$855,4,FALSE)="","",VLOOKUP($A44,'Dataset2 ad'!$D$3:$L$855,4,FALSE))</f>
        <v>265.68915801964891</v>
      </c>
      <c r="I44" s="5">
        <v>0</v>
      </c>
      <c r="J44" s="5">
        <v>0</v>
      </c>
      <c r="K44" s="5">
        <v>1</v>
      </c>
      <c r="L44" s="5"/>
      <c r="M44" s="7">
        <f>+IF(VLOOKUP($A44,'Dataset2 ad'!$D$3:$L$855,8,FALSE)="","",VLOOKUP($A44,'Dataset2 ad'!$D$3:$L$855,8,FALSE))</f>
        <v>13.806598347581897</v>
      </c>
      <c r="N44" s="7">
        <f>+IF(VLOOKUP($A44,'Dataset2 ad'!$D$3:$L$855,9,FALSE)="","",VLOOKUP($A44,'Dataset2 ad'!$D$3:$L$855,9,FALSE))</f>
        <v>8.7860171302793919</v>
      </c>
      <c r="O44" s="5">
        <v>0</v>
      </c>
      <c r="P44" s="5">
        <v>1</v>
      </c>
      <c r="Q44" s="5">
        <v>0</v>
      </c>
      <c r="R44" s="5">
        <v>1</v>
      </c>
      <c r="S44" s="5">
        <v>0</v>
      </c>
      <c r="T44" s="5">
        <v>0</v>
      </c>
      <c r="U44" s="5">
        <v>1</v>
      </c>
      <c r="V44" s="13" t="s">
        <v>25</v>
      </c>
      <c r="W44" s="13" t="s">
        <v>25</v>
      </c>
      <c r="X44" s="3"/>
      <c r="Y44" s="3"/>
      <c r="Z44" s="3"/>
      <c r="AA44" s="5">
        <v>1</v>
      </c>
      <c r="AB44" s="5"/>
      <c r="AC44" s="5">
        <v>1</v>
      </c>
      <c r="AD44" s="5">
        <v>0</v>
      </c>
      <c r="AE44" s="5">
        <v>0</v>
      </c>
      <c r="AF44" s="5">
        <v>0</v>
      </c>
    </row>
    <row r="45" spans="1:32" x14ac:dyDescent="0.2">
      <c r="A45" s="3" t="str">
        <f>+VLOOKUP(B45,studies!$A$2:$C$102,3)</f>
        <v>Waldhoff et al. (2011)</v>
      </c>
      <c r="B45" s="87">
        <v>70</v>
      </c>
      <c r="C45" s="5">
        <v>2011</v>
      </c>
      <c r="D45" s="5">
        <v>0</v>
      </c>
      <c r="E45" s="5">
        <v>1995</v>
      </c>
      <c r="F45" s="5">
        <v>2015</v>
      </c>
      <c r="G45" s="5"/>
      <c r="H45" s="7">
        <f>+IF(VLOOKUP($A45,'Dataset2 ad'!$D$3:$L$855,4,FALSE)="","",VLOOKUP($A45,'Dataset2 ad'!$D$3:$L$855,4,FALSE))</f>
        <v>41.970533683289588</v>
      </c>
      <c r="I45" s="5">
        <v>0</v>
      </c>
      <c r="J45" s="5">
        <v>1</v>
      </c>
      <c r="K45" s="5">
        <v>0</v>
      </c>
      <c r="L45" s="5"/>
      <c r="M45" s="7">
        <f>+IF(VLOOKUP($A45,'Dataset2 ad'!$D$3:$L$855,8,FALSE)="","",VLOOKUP($A45,'Dataset2 ad'!$D$3:$L$855,8,FALSE))</f>
        <v>17.880303890585104</v>
      </c>
      <c r="N45" s="7">
        <f>+IF(VLOOKUP($A45,'Dataset2 ad'!$D$3:$L$855,9,FALSE)="","",VLOOKUP($A45,'Dataset2 ad'!$D$3:$L$855,9,FALSE))</f>
        <v>73.341366257789119</v>
      </c>
      <c r="O45" s="5">
        <v>0</v>
      </c>
      <c r="P45" s="5">
        <v>1</v>
      </c>
      <c r="Q45" s="5">
        <v>1</v>
      </c>
      <c r="R45" s="5">
        <v>1</v>
      </c>
      <c r="S45" s="5">
        <v>1</v>
      </c>
      <c r="T45" s="5">
        <v>0</v>
      </c>
      <c r="U45" s="5">
        <v>0</v>
      </c>
      <c r="V45" s="13"/>
      <c r="W45" s="107">
        <f>+AVERAGE(Dataset0!W469:W481)</f>
        <v>1.0846153846153845</v>
      </c>
      <c r="X45" s="3"/>
      <c r="Y45" s="3"/>
      <c r="Z45" s="3"/>
      <c r="AA45" s="5">
        <v>0</v>
      </c>
      <c r="AB45" s="5"/>
      <c r="AC45" s="5">
        <v>0</v>
      </c>
      <c r="AD45" s="5">
        <v>0</v>
      </c>
      <c r="AE45" s="5">
        <v>1</v>
      </c>
      <c r="AF45" s="5">
        <v>0</v>
      </c>
    </row>
    <row r="46" spans="1:32" x14ac:dyDescent="0.2">
      <c r="A46" s="3" t="str">
        <f>+VLOOKUP(B46,studies!$A$2:$C$102,3)</f>
        <v>Ackerman &amp; Munitz (2012)</v>
      </c>
      <c r="B46" s="87">
        <v>71</v>
      </c>
      <c r="C46" s="5">
        <v>2012</v>
      </c>
      <c r="D46" s="5">
        <v>1</v>
      </c>
      <c r="E46" s="5">
        <v>2005</v>
      </c>
      <c r="F46" s="5">
        <v>2010</v>
      </c>
      <c r="G46" s="5"/>
      <c r="H46" s="7">
        <f>+IF(VLOOKUP($A46,'Dataset2 ad'!$D$3:$L$855,4,FALSE)="","",VLOOKUP($A46,'Dataset2 ad'!$D$3:$L$855,4,FALSE))</f>
        <v>77.349221466753278</v>
      </c>
      <c r="I46" s="5">
        <v>1</v>
      </c>
      <c r="J46" s="5">
        <v>0</v>
      </c>
      <c r="K46" s="5">
        <v>0</v>
      </c>
      <c r="L46" s="5"/>
      <c r="M46" s="7">
        <f>+IF(VLOOKUP($A46,'Dataset2 ad'!$D$3:$L$855,8,FALSE)="","",VLOOKUP($A46,'Dataset2 ad'!$D$3:$L$855,8,FALSE))</f>
        <v>22.699648143499463</v>
      </c>
      <c r="N46" s="7">
        <f>+IF(VLOOKUP($A46,'Dataset2 ad'!$D$3:$L$855,9,FALSE)="","",VLOOKUP($A46,'Dataset2 ad'!$D$3:$L$855,9,FALSE))</f>
        <v>3.878221738802516</v>
      </c>
      <c r="O46" s="5">
        <v>0</v>
      </c>
      <c r="P46" s="5">
        <v>1</v>
      </c>
      <c r="Q46" s="5">
        <v>0</v>
      </c>
      <c r="R46" s="5">
        <v>1</v>
      </c>
      <c r="S46" s="5">
        <v>1</v>
      </c>
      <c r="T46" s="5">
        <v>0</v>
      </c>
      <c r="U46" s="5">
        <v>0</v>
      </c>
      <c r="V46" s="13">
        <v>0</v>
      </c>
      <c r="W46" s="13">
        <v>3</v>
      </c>
      <c r="X46" s="3"/>
      <c r="Y46" s="3"/>
      <c r="Z46" s="3"/>
      <c r="AA46" s="5">
        <v>0</v>
      </c>
      <c r="AB46" s="5"/>
      <c r="AC46" s="5">
        <v>0</v>
      </c>
      <c r="AD46" s="5">
        <v>0</v>
      </c>
      <c r="AE46" s="5">
        <v>0</v>
      </c>
      <c r="AF46" s="5">
        <v>0</v>
      </c>
    </row>
    <row r="47" spans="1:32" s="91" customFormat="1" x14ac:dyDescent="0.2">
      <c r="A47" s="3" t="str">
        <f>+VLOOKUP(B47,studies!$A$2:$C$102,3)</f>
        <v>Ackerman &amp; Stanton (2012)</v>
      </c>
      <c r="B47" s="87">
        <v>72</v>
      </c>
      <c r="C47" s="5">
        <v>2012</v>
      </c>
      <c r="D47" s="5">
        <v>1</v>
      </c>
      <c r="E47" s="5">
        <v>2007</v>
      </c>
      <c r="F47" s="5">
        <v>2010</v>
      </c>
      <c r="G47" s="5"/>
      <c r="H47" s="7">
        <f>+IF(VLOOKUP($A47,'Dataset2 ad'!$D$3:$L$855,4,FALSE)="","",VLOOKUP($A47,'Dataset2 ad'!$D$3:$L$855,4,FALSE))</f>
        <v>480.91870562819952</v>
      </c>
      <c r="I47" s="5">
        <v>1</v>
      </c>
      <c r="J47" s="5">
        <v>0</v>
      </c>
      <c r="K47" s="5">
        <v>0</v>
      </c>
      <c r="L47" s="5"/>
      <c r="M47" s="7">
        <f>+IF(VLOOKUP($A47,'Dataset2 ad'!$D$3:$L$855,8,FALSE)="","",VLOOKUP($A47,'Dataset2 ad'!$D$3:$L$855,8,FALSE))</f>
        <v>153.87013707635032</v>
      </c>
      <c r="N47" s="7">
        <f>+IF(VLOOKUP($A47,'Dataset2 ad'!$D$3:$L$855,9,FALSE)="","",VLOOKUP($A47,'Dataset2 ad'!$D$3:$L$855,9,FALSE))</f>
        <v>747.79510731144308</v>
      </c>
      <c r="O47" s="5">
        <v>0</v>
      </c>
      <c r="P47" s="5">
        <v>1</v>
      </c>
      <c r="Q47" s="5">
        <v>0</v>
      </c>
      <c r="R47" s="5">
        <v>1</v>
      </c>
      <c r="S47" s="5">
        <v>0</v>
      </c>
      <c r="T47" s="5">
        <v>1</v>
      </c>
      <c r="U47" s="5">
        <v>0</v>
      </c>
      <c r="V47" s="107">
        <f>+AVERAGE(Dataset0!V485:V492)</f>
        <v>2.25</v>
      </c>
      <c r="W47" s="107">
        <f>+AVERAGE(Dataset0!W485:W492)</f>
        <v>0.25</v>
      </c>
      <c r="X47" s="3"/>
      <c r="Y47" s="3"/>
      <c r="Z47" s="3"/>
      <c r="AA47" s="5">
        <v>0</v>
      </c>
      <c r="AB47" s="5"/>
      <c r="AC47" s="5">
        <v>0</v>
      </c>
      <c r="AD47" s="5">
        <v>0</v>
      </c>
      <c r="AE47" s="5">
        <v>0</v>
      </c>
      <c r="AF47" s="5">
        <v>0</v>
      </c>
    </row>
    <row r="48" spans="1:32" x14ac:dyDescent="0.2">
      <c r="A48" s="3" t="str">
        <f>+VLOOKUP(B48,studies!$A$2:$C$102,3)</f>
        <v>Botzen &amp; van den Bergh (2012)</v>
      </c>
      <c r="B48" s="87">
        <v>73</v>
      </c>
      <c r="C48" s="5">
        <v>2012</v>
      </c>
      <c r="D48" s="5">
        <v>1</v>
      </c>
      <c r="E48" s="5">
        <v>2005</v>
      </c>
      <c r="F48" s="5">
        <v>2015</v>
      </c>
      <c r="G48" s="5"/>
      <c r="H48" s="7">
        <f>+IF(VLOOKUP($A48,'Dataset2 ad'!$D$3:$L$855,4,FALSE)="","",VLOOKUP($A48,'Dataset2 ad'!$D$3:$L$855,4,FALSE))</f>
        <v>47.050075985663078</v>
      </c>
      <c r="I48" s="5">
        <v>0</v>
      </c>
      <c r="J48" s="5">
        <v>1</v>
      </c>
      <c r="K48" s="5">
        <v>0</v>
      </c>
      <c r="L48" s="5"/>
      <c r="M48" s="7">
        <f>+IF(VLOOKUP($A48,'Dataset2 ad'!$D$3:$L$855,8,FALSE)="","",VLOOKUP($A48,'Dataset2 ad'!$D$3:$L$855,8,FALSE))</f>
        <v>6.3876582341255954</v>
      </c>
      <c r="N48" s="7">
        <f>+IF(VLOOKUP($A48,'Dataset2 ad'!$D$3:$L$855,9,FALSE)="","",VLOOKUP($A48,'Dataset2 ad'!$D$3:$L$855,9,FALSE))</f>
        <v>6.4227113732469689</v>
      </c>
      <c r="O48" s="5">
        <v>0</v>
      </c>
      <c r="P48" s="5">
        <v>1</v>
      </c>
      <c r="Q48" s="5">
        <v>0</v>
      </c>
      <c r="R48" s="5">
        <v>1</v>
      </c>
      <c r="S48" s="5">
        <v>0</v>
      </c>
      <c r="T48" s="5">
        <v>1</v>
      </c>
      <c r="U48" s="5">
        <v>0</v>
      </c>
      <c r="V48" s="13" t="s">
        <v>25</v>
      </c>
      <c r="W48" s="13">
        <v>3</v>
      </c>
      <c r="X48" s="3"/>
      <c r="Y48" s="3"/>
      <c r="Z48" s="3"/>
      <c r="AA48" s="5">
        <v>0</v>
      </c>
      <c r="AB48" s="5"/>
      <c r="AC48" s="5">
        <v>0</v>
      </c>
      <c r="AD48" s="5">
        <v>0</v>
      </c>
      <c r="AE48" s="5">
        <v>0</v>
      </c>
      <c r="AF48" s="5">
        <v>1</v>
      </c>
    </row>
    <row r="49" spans="1:32" x14ac:dyDescent="0.2">
      <c r="A49" s="3" t="str">
        <f>+VLOOKUP(B49,studies!$A$2:$C$102,3)</f>
        <v>Cai et al. (2012)</v>
      </c>
      <c r="B49" s="87">
        <v>74</v>
      </c>
      <c r="C49" s="5">
        <v>2012</v>
      </c>
      <c r="D49" s="5">
        <v>1</v>
      </c>
      <c r="E49" s="5">
        <v>2005</v>
      </c>
      <c r="F49" s="5">
        <v>2015</v>
      </c>
      <c r="G49" s="5"/>
      <c r="H49" s="7">
        <f>+IF(VLOOKUP($A49,'Dataset2 ad'!$D$3:$L$855,4,FALSE)="","",VLOOKUP($A49,'Dataset2 ad'!$D$3:$L$855,4,FALSE))</f>
        <v>40.752913466461848</v>
      </c>
      <c r="I49" s="5">
        <v>0</v>
      </c>
      <c r="J49" s="5">
        <v>1</v>
      </c>
      <c r="K49" s="5">
        <v>0</v>
      </c>
      <c r="L49" s="5"/>
      <c r="M49" s="7">
        <f>+IF(VLOOKUP($A49,'Dataset2 ad'!$D$3:$L$855,8,FALSE)="","",VLOOKUP($A49,'Dataset2 ad'!$D$3:$L$855,8,FALSE))</f>
        <v>9.6980836800847747</v>
      </c>
      <c r="N49" s="7">
        <f>+IF(VLOOKUP($A49,'Dataset2 ad'!$D$3:$L$855,9,FALSE)="","",VLOOKUP($A49,'Dataset2 ad'!$D$3:$L$855,9,FALSE))</f>
        <v>10.355330038610518</v>
      </c>
      <c r="O49" s="5">
        <v>0</v>
      </c>
      <c r="P49" s="5">
        <v>1</v>
      </c>
      <c r="Q49" s="5">
        <v>0</v>
      </c>
      <c r="R49" s="5">
        <v>1</v>
      </c>
      <c r="S49" s="5">
        <v>0</v>
      </c>
      <c r="T49" s="5">
        <v>1</v>
      </c>
      <c r="U49" s="5">
        <v>0</v>
      </c>
      <c r="V49" s="13"/>
      <c r="W49" s="13">
        <v>3</v>
      </c>
      <c r="X49" s="3"/>
      <c r="Y49" s="3"/>
      <c r="Z49" s="3"/>
      <c r="AA49" s="5">
        <v>0</v>
      </c>
      <c r="AB49" s="5"/>
      <c r="AC49" s="5">
        <v>0</v>
      </c>
      <c r="AD49" s="5">
        <v>0</v>
      </c>
      <c r="AE49" s="5">
        <v>0</v>
      </c>
      <c r="AF49" s="5">
        <v>1</v>
      </c>
    </row>
    <row r="50" spans="1:32" s="91" customFormat="1" x14ac:dyDescent="0.2">
      <c r="A50" s="3" t="str">
        <f>+VLOOKUP(B50,studies!$A$2:$C$102,3)</f>
        <v>Espagne et al. (2012)</v>
      </c>
      <c r="B50" s="87">
        <v>75</v>
      </c>
      <c r="C50" s="5">
        <v>2012</v>
      </c>
      <c r="D50" s="5">
        <v>0</v>
      </c>
      <c r="E50" s="5">
        <v>2005</v>
      </c>
      <c r="F50" s="5">
        <v>2010</v>
      </c>
      <c r="G50" s="5"/>
      <c r="H50" s="7">
        <f>+IF(VLOOKUP($A50,'Dataset2 ad'!$D$3:$L$855,4,FALSE)="","",VLOOKUP($A50,'Dataset2 ad'!$D$3:$L$855,4,FALSE))</f>
        <v>437.40563239475949</v>
      </c>
      <c r="I50" s="5">
        <v>1</v>
      </c>
      <c r="J50" s="5">
        <v>0</v>
      </c>
      <c r="K50" s="5">
        <v>0</v>
      </c>
      <c r="L50" s="5"/>
      <c r="M50" s="7">
        <f>+IF(VLOOKUP($A50,'Dataset2 ad'!$D$3:$L$855,8,FALSE)="","",VLOOKUP($A50,'Dataset2 ad'!$D$3:$L$855,8,FALSE))</f>
        <v>361.36814740653534</v>
      </c>
      <c r="N50" s="7">
        <f>+IF(VLOOKUP($A50,'Dataset2 ad'!$D$3:$L$855,9,FALSE)="","",VLOOKUP($A50,'Dataset2 ad'!$D$3:$L$855,9,FALSE))</f>
        <v>407.14271336944631</v>
      </c>
      <c r="O50" s="5">
        <v>1</v>
      </c>
      <c r="P50" s="5">
        <v>1</v>
      </c>
      <c r="Q50" s="5">
        <v>1</v>
      </c>
      <c r="R50" s="5">
        <v>0</v>
      </c>
      <c r="S50" s="5">
        <v>0</v>
      </c>
      <c r="T50" s="5">
        <v>0</v>
      </c>
      <c r="U50" s="5">
        <v>0</v>
      </c>
      <c r="V50" s="107">
        <f>+AVERAGE(Dataset0!V497:V498)</f>
        <v>2.75</v>
      </c>
      <c r="W50" s="107">
        <f>+AVERAGE(Dataset0!W497:W498)</f>
        <v>0.8</v>
      </c>
      <c r="X50" s="107">
        <f>+AVERAGE(Dataset0!X497:X498)</f>
        <v>1.5</v>
      </c>
      <c r="Y50" s="107">
        <f>+AVERAGE(Dataset0!Y497:Y498)</f>
        <v>1.3</v>
      </c>
      <c r="Z50" s="107">
        <f>+AVERAGE(Dataset0!Z497:Z498)</f>
        <v>0.75</v>
      </c>
      <c r="AA50" s="5">
        <v>0</v>
      </c>
      <c r="AB50" s="107">
        <f>+AVERAGE(Dataset0!AB497:AB498)</f>
        <v>3.5</v>
      </c>
      <c r="AC50" s="5">
        <v>0</v>
      </c>
      <c r="AD50" s="5">
        <v>0</v>
      </c>
      <c r="AE50" s="5">
        <v>0</v>
      </c>
      <c r="AF50" s="5">
        <v>1</v>
      </c>
    </row>
    <row r="51" spans="1:32" x14ac:dyDescent="0.2">
      <c r="A51" s="3" t="str">
        <f>+VLOOKUP(B51,studies!$A$2:$C$102,3)</f>
        <v>Gerlagh &amp; Liski (2012)</v>
      </c>
      <c r="B51" s="87">
        <v>76</v>
      </c>
      <c r="C51" s="5">
        <v>2012</v>
      </c>
      <c r="D51" s="5">
        <v>0</v>
      </c>
      <c r="E51" s="5">
        <v>2010</v>
      </c>
      <c r="F51" s="5">
        <v>2010</v>
      </c>
      <c r="G51" s="5"/>
      <c r="H51" s="7">
        <f>+IF(VLOOKUP($A51,'Dataset2 ad'!$D$3:$L$855,4,FALSE)="","",VLOOKUP($A51,'Dataset2 ad'!$D$3:$L$855,4,FALSE))</f>
        <v>163.34198040816577</v>
      </c>
      <c r="I51" s="5">
        <v>1</v>
      </c>
      <c r="J51" s="5">
        <v>0</v>
      </c>
      <c r="K51" s="5">
        <v>0</v>
      </c>
      <c r="L51" s="5"/>
      <c r="M51" s="7">
        <f>+IF(VLOOKUP($A51,'Dataset2 ad'!$D$3:$L$855,8,FALSE)="","",VLOOKUP($A51,'Dataset2 ad'!$D$3:$L$855,8,FALSE))</f>
        <v>53.574264711133075</v>
      </c>
      <c r="N51" s="7">
        <f>+IF(VLOOKUP($A51,'Dataset2 ad'!$D$3:$L$855,9,FALSE)="","",VLOOKUP($A51,'Dataset2 ad'!$D$3:$L$855,9,FALSE))</f>
        <v>9.1841596647656782</v>
      </c>
      <c r="O51" s="5">
        <v>0</v>
      </c>
      <c r="P51" s="5">
        <v>1</v>
      </c>
      <c r="Q51" s="5">
        <v>1</v>
      </c>
      <c r="R51" s="5">
        <v>0</v>
      </c>
      <c r="S51" s="5">
        <v>0</v>
      </c>
      <c r="T51" s="5">
        <v>0</v>
      </c>
      <c r="U51" s="5">
        <v>0</v>
      </c>
      <c r="V51" s="13"/>
      <c r="W51" s="13">
        <v>2</v>
      </c>
      <c r="X51" s="3"/>
      <c r="Y51" s="3"/>
      <c r="Z51" s="3"/>
      <c r="AA51" s="5">
        <v>0</v>
      </c>
      <c r="AB51" s="5">
        <v>3</v>
      </c>
      <c r="AC51" s="5">
        <v>0</v>
      </c>
      <c r="AD51" s="5">
        <v>0</v>
      </c>
      <c r="AE51" s="5">
        <v>0</v>
      </c>
      <c r="AF51" s="110">
        <f>+AVERAGE(Dataset0!AF499:AF501)</f>
        <v>0.33333333333333331</v>
      </c>
    </row>
    <row r="52" spans="1:32" x14ac:dyDescent="0.2">
      <c r="A52" s="3" t="str">
        <f>+VLOOKUP(B52,studies!$A$2:$C$102,3)</f>
        <v>Johnson &amp; Hope (2012)</v>
      </c>
      <c r="B52" s="87">
        <v>77</v>
      </c>
      <c r="C52" s="5">
        <v>2012</v>
      </c>
      <c r="D52" s="5">
        <v>1</v>
      </c>
      <c r="E52" s="5">
        <v>2007</v>
      </c>
      <c r="F52" s="5">
        <v>2010</v>
      </c>
      <c r="G52" s="5"/>
      <c r="H52" s="7">
        <f>+IF(VLOOKUP($A52,'Dataset2 ad'!$D$3:$L$855,4,FALSE)="","",VLOOKUP($A52,'Dataset2 ad'!$D$3:$L$855,4,FALSE))</f>
        <v>202.25553040438297</v>
      </c>
      <c r="I52" s="5">
        <v>0</v>
      </c>
      <c r="J52" s="5">
        <v>1</v>
      </c>
      <c r="K52" s="5">
        <v>0</v>
      </c>
      <c r="L52" s="5"/>
      <c r="M52" s="7">
        <f>+IF(VLOOKUP($A52,'Dataset2 ad'!$D$3:$L$855,8,FALSE)="","",VLOOKUP($A52,'Dataset2 ad'!$D$3:$L$855,8,FALSE))</f>
        <v>102.82469368857747</v>
      </c>
      <c r="N52" s="7">
        <f>+IF(VLOOKUP($A52,'Dataset2 ad'!$D$3:$L$855,9,FALSE)="","",VLOOKUP($A52,'Dataset2 ad'!$D$3:$L$855,9,FALSE))</f>
        <v>371.14577773185232</v>
      </c>
      <c r="O52" s="5">
        <v>0</v>
      </c>
      <c r="P52" s="5">
        <v>1</v>
      </c>
      <c r="Q52" s="5">
        <v>0</v>
      </c>
      <c r="R52" s="5">
        <v>1</v>
      </c>
      <c r="S52" s="5">
        <v>1</v>
      </c>
      <c r="T52" s="5">
        <v>1</v>
      </c>
      <c r="U52" s="5">
        <v>1</v>
      </c>
      <c r="V52" s="107">
        <f>+AVERAGE(Dataset0!V502:V515)</f>
        <v>3</v>
      </c>
      <c r="W52" s="13" t="s">
        <v>25</v>
      </c>
      <c r="X52" s="3"/>
      <c r="Y52" s="3"/>
      <c r="Z52" s="3"/>
      <c r="AA52" s="5">
        <v>0</v>
      </c>
      <c r="AB52" s="5"/>
      <c r="AC52" s="5">
        <v>0</v>
      </c>
      <c r="AD52" s="5">
        <v>0</v>
      </c>
      <c r="AE52" s="5">
        <v>0</v>
      </c>
      <c r="AF52" s="5">
        <v>0</v>
      </c>
    </row>
    <row r="53" spans="1:32" x14ac:dyDescent="0.2">
      <c r="A53" s="3" t="str">
        <f>+VLOOKUP(B53,studies!$A$2:$C$102,3)</f>
        <v>Kopp et al. (2012)</v>
      </c>
      <c r="B53" s="87">
        <v>78</v>
      </c>
      <c r="C53" s="5">
        <v>2012</v>
      </c>
      <c r="D53" s="5">
        <v>1</v>
      </c>
      <c r="E53" s="5">
        <v>2005</v>
      </c>
      <c r="F53" s="5">
        <v>2015</v>
      </c>
      <c r="G53" s="5"/>
      <c r="H53" s="7">
        <f>+IF(VLOOKUP($A53,'Dataset2 ad'!$D$3:$L$855,4,FALSE)="","",VLOOKUP($A53,'Dataset2 ad'!$D$3:$L$855,4,FALSE))</f>
        <v>450.32899812254641</v>
      </c>
      <c r="I53" s="5">
        <v>0</v>
      </c>
      <c r="J53" s="5">
        <v>0</v>
      </c>
      <c r="K53" s="5">
        <v>1</v>
      </c>
      <c r="L53" s="5"/>
      <c r="M53" s="7">
        <f>+IF(VLOOKUP($A53,'Dataset2 ad'!$D$3:$L$855,8,FALSE)="","",VLOOKUP($A53,'Dataset2 ad'!$D$3:$L$855,8,FALSE))</f>
        <v>176.14909790507767</v>
      </c>
      <c r="N53" s="7">
        <f>+IF(VLOOKUP($A53,'Dataset2 ad'!$D$3:$L$855,9,FALSE)="","",VLOOKUP($A53,'Dataset2 ad'!$D$3:$L$855,9,FALSE))</f>
        <v>581.29202308675576</v>
      </c>
      <c r="O53" s="5">
        <v>0</v>
      </c>
      <c r="P53" s="5">
        <v>1</v>
      </c>
      <c r="Q53" s="5">
        <v>0</v>
      </c>
      <c r="R53" s="5">
        <v>1</v>
      </c>
      <c r="S53" s="5">
        <v>0</v>
      </c>
      <c r="T53" s="5">
        <v>1</v>
      </c>
      <c r="U53" s="5">
        <v>0</v>
      </c>
      <c r="V53" s="107">
        <f>+AVERAGE(Dataset0!V516:V659)</f>
        <v>3</v>
      </c>
      <c r="W53" s="107">
        <f>+AVERAGE(Dataset0!W516:W659)</f>
        <v>0.74750000000000183</v>
      </c>
      <c r="X53" s="3"/>
      <c r="Y53" s="3"/>
      <c r="Z53" s="3"/>
      <c r="AA53" s="5">
        <v>0</v>
      </c>
      <c r="AB53" s="5"/>
      <c r="AC53" s="5">
        <v>0</v>
      </c>
      <c r="AD53" s="5">
        <v>0</v>
      </c>
      <c r="AE53" s="5">
        <v>0</v>
      </c>
      <c r="AF53" s="5">
        <v>1</v>
      </c>
    </row>
    <row r="54" spans="1:32" s="91" customFormat="1" x14ac:dyDescent="0.2">
      <c r="A54" s="3" t="str">
        <f>+VLOOKUP(B54,studies!$A$2:$C$102,3)</f>
        <v>Marten &amp; Newbold (2012)</v>
      </c>
      <c r="B54" s="87">
        <v>79</v>
      </c>
      <c r="C54" s="5">
        <v>2012</v>
      </c>
      <c r="D54" s="5">
        <v>1</v>
      </c>
      <c r="E54" s="5">
        <v>2007</v>
      </c>
      <c r="F54" s="5">
        <v>2015</v>
      </c>
      <c r="G54" s="5"/>
      <c r="H54" s="7">
        <f>+IF(VLOOKUP($A54,'Dataset2 ad'!$D$3:$L$855,4,FALSE)="","",VLOOKUP($A54,'Dataset2 ad'!$D$3:$L$855,4,FALSE))</f>
        <v>142.67698134804652</v>
      </c>
      <c r="I54" s="5">
        <v>1</v>
      </c>
      <c r="J54" s="5">
        <v>0</v>
      </c>
      <c r="K54" s="5">
        <v>0</v>
      </c>
      <c r="L54" s="5"/>
      <c r="M54" s="7">
        <f>+IF(VLOOKUP($A54,'Dataset2 ad'!$D$3:$L$855,8,FALSE)="","",VLOOKUP($A54,'Dataset2 ad'!$D$3:$L$855,8,FALSE))</f>
        <v>46.037525696970334</v>
      </c>
      <c r="N54" s="7">
        <f>+IF(VLOOKUP($A54,'Dataset2 ad'!$D$3:$L$855,9,FALSE)="","",VLOOKUP($A54,'Dataset2 ad'!$D$3:$L$855,9,FALSE))</f>
        <v>37.184155370629888</v>
      </c>
      <c r="O54" s="5">
        <v>0</v>
      </c>
      <c r="P54" s="5">
        <v>1</v>
      </c>
      <c r="Q54" s="5">
        <v>0</v>
      </c>
      <c r="R54" s="5">
        <v>1</v>
      </c>
      <c r="S54" s="5">
        <v>0</v>
      </c>
      <c r="T54" s="5">
        <v>1</v>
      </c>
      <c r="U54" s="5">
        <v>0</v>
      </c>
      <c r="V54" s="107">
        <f>+AVERAGE(Dataset0!V660:V662)</f>
        <v>3.5</v>
      </c>
      <c r="W54" s="13" t="s">
        <v>25</v>
      </c>
      <c r="X54" s="3"/>
      <c r="Y54" s="3"/>
      <c r="Z54" s="3"/>
      <c r="AA54" s="5">
        <v>0</v>
      </c>
      <c r="AB54" s="5"/>
      <c r="AC54" s="5">
        <v>0</v>
      </c>
      <c r="AD54" s="5">
        <v>0</v>
      </c>
      <c r="AE54" s="5">
        <v>0</v>
      </c>
      <c r="AF54" s="5">
        <v>0</v>
      </c>
    </row>
    <row r="55" spans="1:32" x14ac:dyDescent="0.2">
      <c r="A55" s="3" t="str">
        <f>+VLOOKUP(B55,studies!$A$2:$C$102,3)</f>
        <v>Anthoff &amp; Tol (2013)</v>
      </c>
      <c r="B55" s="87">
        <v>82</v>
      </c>
      <c r="C55" s="5">
        <v>2013</v>
      </c>
      <c r="D55" s="5">
        <v>1</v>
      </c>
      <c r="E55" s="5">
        <v>1995</v>
      </c>
      <c r="F55" s="5">
        <v>2015</v>
      </c>
      <c r="G55" s="5"/>
      <c r="H55" s="7">
        <f>+IF(VLOOKUP($A55,'Dataset2 ad'!$D$3:$L$855,4,FALSE)="","",VLOOKUP($A55,'Dataset2 ad'!$D$3:$L$855,4,FALSE))</f>
        <v>73.543821522309713</v>
      </c>
      <c r="I55" s="5">
        <v>1</v>
      </c>
      <c r="J55" s="5">
        <v>0</v>
      </c>
      <c r="K55" s="5">
        <v>0</v>
      </c>
      <c r="L55" s="5"/>
      <c r="M55" s="7">
        <f>+IF(VLOOKUP($A55,'Dataset2 ad'!$D$3:$L$855,8,FALSE)="","",VLOOKUP($A55,'Dataset2 ad'!$D$3:$L$855,8,FALSE))</f>
        <v>35.85064197332477</v>
      </c>
      <c r="N55" s="7">
        <f>+IF(VLOOKUP($A55,'Dataset2 ad'!$D$3:$L$855,9,FALSE)="","",VLOOKUP($A55,'Dataset2 ad'!$D$3:$L$855,9,FALSE))</f>
        <v>219.06413961647652</v>
      </c>
      <c r="O55" s="5">
        <v>0</v>
      </c>
      <c r="P55" s="5">
        <v>1</v>
      </c>
      <c r="Q55" s="5">
        <v>1</v>
      </c>
      <c r="R55" s="5">
        <v>1</v>
      </c>
      <c r="S55" s="5">
        <v>1</v>
      </c>
      <c r="T55" s="5">
        <v>0</v>
      </c>
      <c r="U55" s="5">
        <v>0</v>
      </c>
      <c r="V55" s="13"/>
      <c r="W55" s="107">
        <f>+AVERAGE(Dataset0!W665:W675)</f>
        <v>1.3</v>
      </c>
      <c r="X55" s="107">
        <f>+AVERAGE(Dataset0!X665:X675)</f>
        <v>1.5</v>
      </c>
      <c r="Y55" s="3"/>
      <c r="Z55" s="49">
        <f t="shared" ref="Z55" si="5">1/X55</f>
        <v>0.66666666666666663</v>
      </c>
      <c r="AA55" s="5">
        <v>0</v>
      </c>
      <c r="AB55" s="5"/>
      <c r="AC55" s="5">
        <v>0</v>
      </c>
      <c r="AD55" s="5">
        <v>0</v>
      </c>
      <c r="AE55" s="5">
        <v>1</v>
      </c>
      <c r="AF55" s="5">
        <v>0</v>
      </c>
    </row>
    <row r="56" spans="1:32" s="91" customFormat="1" x14ac:dyDescent="0.2">
      <c r="A56" s="3" t="str">
        <f>+VLOOKUP(B56,studies!$A$2:$C$102,3)</f>
        <v>van den Bijgaart et al. (2013)</v>
      </c>
      <c r="B56" s="87">
        <v>83</v>
      </c>
      <c r="C56" s="5">
        <v>2013</v>
      </c>
      <c r="D56" s="5">
        <v>0</v>
      </c>
      <c r="E56" s="5">
        <v>2010</v>
      </c>
      <c r="F56" s="5">
        <v>2015</v>
      </c>
      <c r="G56" s="5"/>
      <c r="H56" s="7">
        <f>+IF(VLOOKUP($A56,'Dataset2 ad'!$D$3:$L$855,4,FALSE)="","",VLOOKUP($A56,'Dataset2 ad'!$D$3:$L$855,4,FALSE))</f>
        <v>28.486055776892428</v>
      </c>
      <c r="I56" s="5">
        <v>0</v>
      </c>
      <c r="J56" s="5">
        <v>0</v>
      </c>
      <c r="K56" s="5">
        <v>1</v>
      </c>
      <c r="L56" s="5"/>
      <c r="M56" s="7">
        <f>+IF(VLOOKUP($A56,'Dataset2 ad'!$D$3:$L$855,8,FALSE)="","",VLOOKUP($A56,'Dataset2 ad'!$D$3:$L$855,8,FALSE))</f>
        <v>8.4187061278694753</v>
      </c>
      <c r="N56" s="7">
        <f>+IF(VLOOKUP($A56,'Dataset2 ad'!$D$3:$L$855,9,FALSE)="","",VLOOKUP($A56,'Dataset2 ad'!$D$3:$L$855,9,FALSE))</f>
        <v>89.739680732850886</v>
      </c>
      <c r="O56" s="5">
        <v>1</v>
      </c>
      <c r="P56" s="5">
        <v>1</v>
      </c>
      <c r="Q56" s="5">
        <v>1</v>
      </c>
      <c r="R56" s="5">
        <v>0</v>
      </c>
      <c r="S56" s="5">
        <v>0</v>
      </c>
      <c r="T56" s="5">
        <v>0</v>
      </c>
      <c r="U56" s="5">
        <v>0</v>
      </c>
      <c r="V56" s="107">
        <f>+AVERAGE(Dataset0!V676:V679)</f>
        <v>1.5249999999999999</v>
      </c>
      <c r="W56" s="13">
        <v>2</v>
      </c>
      <c r="X56" s="3"/>
      <c r="Y56" s="3"/>
      <c r="Z56" s="3"/>
      <c r="AA56" s="5">
        <v>0</v>
      </c>
      <c r="AB56" s="5">
        <v>3</v>
      </c>
      <c r="AC56" s="5">
        <v>0</v>
      </c>
      <c r="AD56" s="5">
        <v>0</v>
      </c>
      <c r="AE56" s="5">
        <v>0</v>
      </c>
      <c r="AF56" s="5">
        <v>1</v>
      </c>
    </row>
    <row r="57" spans="1:32" x14ac:dyDescent="0.2">
      <c r="A57" s="3" t="str">
        <f>+VLOOKUP(B57,studies!$A$2:$C$102,3)</f>
        <v>Cai et al. (2013)</v>
      </c>
      <c r="B57" s="87">
        <v>84</v>
      </c>
      <c r="C57" s="5">
        <v>2013</v>
      </c>
      <c r="D57" s="5">
        <v>0</v>
      </c>
      <c r="E57" s="5">
        <v>2005</v>
      </c>
      <c r="F57" s="5">
        <v>2015</v>
      </c>
      <c r="G57" s="5"/>
      <c r="H57" s="7">
        <f>+IF(VLOOKUP($A57,'Dataset2 ad'!$D$3:$L$855,4,FALSE)="","",VLOOKUP($A57,'Dataset2 ad'!$D$3:$L$855,4,FALSE))</f>
        <v>286.57299880525682</v>
      </c>
      <c r="I57" s="5">
        <v>0</v>
      </c>
      <c r="J57" s="5">
        <v>1</v>
      </c>
      <c r="K57" s="5">
        <v>0</v>
      </c>
      <c r="L57" s="5"/>
      <c r="M57" s="7">
        <f>+IF(VLOOKUP($A57,'Dataset2 ad'!$D$3:$L$855,8,FALSE)="","",VLOOKUP($A57,'Dataset2 ad'!$D$3:$L$855,8,FALSE))</f>
        <v>52.635856923414501</v>
      </c>
      <c r="N57" s="7">
        <f>+IF(VLOOKUP($A57,'Dataset2 ad'!$D$3:$L$855,9,FALSE)="","",VLOOKUP($A57,'Dataset2 ad'!$D$3:$L$855,9,FALSE))</f>
        <v>122.1903821436409</v>
      </c>
      <c r="O57" s="5">
        <v>0</v>
      </c>
      <c r="P57" s="5">
        <v>1</v>
      </c>
      <c r="Q57" s="5">
        <v>1</v>
      </c>
      <c r="R57" s="5">
        <v>1</v>
      </c>
      <c r="S57" s="5">
        <v>0</v>
      </c>
      <c r="T57" s="5">
        <v>1</v>
      </c>
      <c r="U57" s="5">
        <v>0</v>
      </c>
      <c r="V57" s="13"/>
      <c r="W57" s="13"/>
      <c r="X57" s="3">
        <v>10</v>
      </c>
      <c r="Y57" s="3"/>
      <c r="Z57" s="108">
        <f>+AVERAGE(Dataset0!Z680:Z682)</f>
        <v>1.1111111111111112</v>
      </c>
      <c r="AA57" s="5">
        <v>0</v>
      </c>
      <c r="AB57" s="5">
        <v>3</v>
      </c>
      <c r="AC57" s="5">
        <v>0</v>
      </c>
      <c r="AD57" s="5">
        <v>0</v>
      </c>
      <c r="AE57" s="5">
        <v>0</v>
      </c>
      <c r="AF57" s="5">
        <v>1</v>
      </c>
    </row>
    <row r="58" spans="1:32" x14ac:dyDescent="0.2">
      <c r="A58" s="3" t="str">
        <f>+VLOOKUP(B58,studies!$A$2:$C$102,3)</f>
        <v>Greenstone et al. (2013)</v>
      </c>
      <c r="B58" s="87">
        <v>87</v>
      </c>
      <c r="C58" s="5">
        <v>2013</v>
      </c>
      <c r="D58" s="5">
        <v>1</v>
      </c>
      <c r="E58" s="5">
        <v>2007</v>
      </c>
      <c r="F58" s="5">
        <v>2010</v>
      </c>
      <c r="G58" s="5"/>
      <c r="H58" s="7">
        <f>+IF(VLOOKUP($A58,'Dataset2 ad'!$D$3:$L$855,4,FALSE)="","",VLOOKUP($A58,'Dataset2 ad'!$D$3:$L$855,4,FALSE))</f>
        <v>86.7451497067687</v>
      </c>
      <c r="I58" s="5">
        <v>1</v>
      </c>
      <c r="J58" s="5">
        <v>0</v>
      </c>
      <c r="K58" s="5">
        <v>0</v>
      </c>
      <c r="L58" s="5"/>
      <c r="M58" s="7">
        <f>+IF(VLOOKUP($A58,'Dataset2 ad'!$D$3:$L$855,8,FALSE)="","",VLOOKUP($A58,'Dataset2 ad'!$D$3:$L$855,8,FALSE))</f>
        <v>46.757259239743412</v>
      </c>
      <c r="N58" s="7">
        <f>+IF(VLOOKUP($A58,'Dataset2 ad'!$D$3:$L$855,9,FALSE)="","",VLOOKUP($A58,'Dataset2 ad'!$D$3:$L$855,9,FALSE))</f>
        <v>76.591096547691464</v>
      </c>
      <c r="O58" s="5">
        <v>0</v>
      </c>
      <c r="P58" s="5">
        <v>1</v>
      </c>
      <c r="Q58" s="5">
        <v>1</v>
      </c>
      <c r="R58" s="5">
        <v>1</v>
      </c>
      <c r="S58" s="5">
        <v>1</v>
      </c>
      <c r="T58" s="5">
        <v>1</v>
      </c>
      <c r="U58" s="5">
        <v>1</v>
      </c>
      <c r="V58" s="107">
        <f>+AVERAGE(Dataset0!V685:V731)</f>
        <v>3.521276595744681</v>
      </c>
      <c r="W58" s="13" t="s">
        <v>25</v>
      </c>
      <c r="X58" s="3"/>
      <c r="Y58" s="41"/>
      <c r="Z58" s="41"/>
      <c r="AA58" s="5">
        <v>0</v>
      </c>
      <c r="AB58" s="5"/>
      <c r="AC58" s="5">
        <v>0</v>
      </c>
      <c r="AD58" s="5">
        <v>0</v>
      </c>
      <c r="AE58" s="5">
        <v>0</v>
      </c>
      <c r="AF58" s="5">
        <v>0</v>
      </c>
    </row>
    <row r="59" spans="1:32" x14ac:dyDescent="0.2">
      <c r="A59" s="3" t="str">
        <f>+VLOOKUP(B59,studies!$A$2:$C$102,3)</f>
        <v>Hwang et al. (2013)</v>
      </c>
      <c r="B59" s="87">
        <v>88</v>
      </c>
      <c r="C59" s="5">
        <v>2013</v>
      </c>
      <c r="D59" s="5">
        <v>1</v>
      </c>
      <c r="E59" s="5">
        <v>2005</v>
      </c>
      <c r="F59" s="5">
        <v>2005</v>
      </c>
      <c r="G59" s="5"/>
      <c r="H59" s="7">
        <f>+IF(VLOOKUP($A59,'Dataset2 ad'!$D$3:$L$855,4,FALSE)="","",VLOOKUP($A59,'Dataset2 ad'!$D$3:$L$855,4,FALSE))</f>
        <v>71.291058519451084</v>
      </c>
      <c r="I59" s="5">
        <v>0</v>
      </c>
      <c r="J59" s="5">
        <v>1</v>
      </c>
      <c r="K59" s="5">
        <v>0</v>
      </c>
      <c r="L59" s="5"/>
      <c r="M59" s="7">
        <f>+IF(VLOOKUP($A59,'Dataset2 ad'!$D$3:$L$855,8,FALSE)="","",VLOOKUP($A59,'Dataset2 ad'!$D$3:$L$855,8,FALSE))</f>
        <v>23.410274861196214</v>
      </c>
      <c r="N59" s="7">
        <f>+IF(VLOOKUP($A59,'Dataset2 ad'!$D$3:$L$855,9,FALSE)="","",VLOOKUP($A59,'Dataset2 ad'!$D$3:$L$855,9,FALSE))</f>
        <v>134.1157234196794</v>
      </c>
      <c r="O59" s="5">
        <v>1</v>
      </c>
      <c r="P59" s="5">
        <v>1</v>
      </c>
      <c r="Q59" s="5">
        <v>0</v>
      </c>
      <c r="R59" s="5">
        <v>1</v>
      </c>
      <c r="S59" s="5">
        <v>0</v>
      </c>
      <c r="T59" s="5">
        <v>1</v>
      </c>
      <c r="U59" s="5">
        <v>0</v>
      </c>
      <c r="V59" s="112">
        <f>+W59+X59*Y59</f>
        <v>5.5</v>
      </c>
      <c r="W59" s="107">
        <f>+AVERAGE(Dataset0!W732:W743)</f>
        <v>1.5</v>
      </c>
      <c r="X59" s="107">
        <f>+AVERAGE(Dataset0!X732:X743)</f>
        <v>2.5</v>
      </c>
      <c r="Y59" s="107">
        <f>+AVERAGE(Dataset0!Y732:Y743)</f>
        <v>1.6</v>
      </c>
      <c r="Z59" s="49">
        <f t="shared" ref="Z59" si="6">1/X59</f>
        <v>0.4</v>
      </c>
      <c r="AA59" s="5">
        <v>0</v>
      </c>
      <c r="AB59" s="5"/>
      <c r="AC59" s="5">
        <v>0</v>
      </c>
      <c r="AD59" s="5">
        <v>0</v>
      </c>
      <c r="AE59" s="5">
        <v>1</v>
      </c>
      <c r="AF59" s="5">
        <v>0</v>
      </c>
    </row>
    <row r="60" spans="1:32" x14ac:dyDescent="0.2">
      <c r="A60" s="3" t="str">
        <f>+VLOOKUP(B60,studies!$A$2:$C$102,3)</f>
        <v>Moyer et al. (2013)</v>
      </c>
      <c r="B60" s="87">
        <v>91</v>
      </c>
      <c r="C60" s="5">
        <v>2013</v>
      </c>
      <c r="D60" s="5">
        <v>0</v>
      </c>
      <c r="E60" s="5">
        <v>2007</v>
      </c>
      <c r="F60" s="5">
        <v>2010</v>
      </c>
      <c r="G60" s="5"/>
      <c r="H60" s="7">
        <f>+IF(VLOOKUP($A60,'Dataset2 ad'!$D$3:$L$855,4,FALSE)="","",VLOOKUP($A60,'Dataset2 ad'!$D$3:$L$855,4,FALSE))</f>
        <v>507.88610968211719</v>
      </c>
      <c r="I60" s="5">
        <v>0</v>
      </c>
      <c r="J60" s="5">
        <v>1</v>
      </c>
      <c r="K60" s="5">
        <v>0</v>
      </c>
      <c r="L60" s="5"/>
      <c r="M60" s="7">
        <f>+IF(VLOOKUP($A60,'Dataset2 ad'!$D$3:$L$855,8,FALSE)="","",VLOOKUP($A60,'Dataset2 ad'!$D$3:$L$855,8,FALSE))</f>
        <v>445.38017532565135</v>
      </c>
      <c r="N60" s="7">
        <f>+IF(VLOOKUP($A60,'Dataset2 ad'!$D$3:$L$855,9,FALSE)="","",VLOOKUP($A60,'Dataset2 ad'!$D$3:$L$855,9,FALSE))</f>
        <v>502.41098049458054</v>
      </c>
      <c r="O60" s="5">
        <v>0</v>
      </c>
      <c r="P60" s="5">
        <v>1</v>
      </c>
      <c r="Q60" s="5">
        <v>0</v>
      </c>
      <c r="R60" s="5">
        <v>1</v>
      </c>
      <c r="S60" s="5">
        <v>0</v>
      </c>
      <c r="T60" s="5">
        <v>1</v>
      </c>
      <c r="U60" s="5">
        <v>0</v>
      </c>
      <c r="V60" s="13"/>
      <c r="W60" s="13">
        <v>1</v>
      </c>
      <c r="X60" s="3">
        <v>2</v>
      </c>
      <c r="Y60" s="3"/>
      <c r="Z60" s="3"/>
      <c r="AA60" s="5">
        <v>0</v>
      </c>
      <c r="AB60" s="5"/>
      <c r="AC60" s="5">
        <v>0</v>
      </c>
      <c r="AD60" s="5">
        <v>0</v>
      </c>
      <c r="AE60" s="5">
        <v>0</v>
      </c>
      <c r="AF60" s="5">
        <v>0</v>
      </c>
    </row>
    <row r="61" spans="1:32" s="91" customFormat="1" x14ac:dyDescent="0.2">
      <c r="A61" s="3" t="str">
        <f>+VLOOKUP(B61,studies!$A$2:$C$102,3)</f>
        <v>Newbold et al. (2013)</v>
      </c>
      <c r="B61" s="87">
        <v>92</v>
      </c>
      <c r="C61" s="5">
        <v>2013</v>
      </c>
      <c r="D61" s="5">
        <v>1</v>
      </c>
      <c r="E61" s="5">
        <v>2005</v>
      </c>
      <c r="F61" s="5">
        <v>2015</v>
      </c>
      <c r="G61" s="5"/>
      <c r="H61" s="7">
        <f>+IF(VLOOKUP($A61,'Dataset2 ad'!$D$3:$L$855,4,FALSE)="","",VLOOKUP($A61,'Dataset2 ad'!$D$3:$L$855,4,FALSE))</f>
        <v>61.178851637259505</v>
      </c>
      <c r="I61" s="5">
        <v>0</v>
      </c>
      <c r="J61" s="5">
        <v>0</v>
      </c>
      <c r="K61" s="5">
        <v>1</v>
      </c>
      <c r="L61" s="5"/>
      <c r="M61" s="7">
        <f>+IF(VLOOKUP($A61,'Dataset2 ad'!$D$3:$L$855,8,FALSE)="","",VLOOKUP($A61,'Dataset2 ad'!$D$3:$L$855,8,FALSE))</f>
        <v>20.094413911306265</v>
      </c>
      <c r="N61" s="7">
        <f>+IF(VLOOKUP($A61,'Dataset2 ad'!$D$3:$L$855,9,FALSE)="","",VLOOKUP($A61,'Dataset2 ad'!$D$3:$L$855,9,FALSE))</f>
        <v>0.10545066125086394</v>
      </c>
      <c r="O61" s="5">
        <v>1</v>
      </c>
      <c r="P61" s="5">
        <v>1</v>
      </c>
      <c r="Q61" s="5">
        <v>1</v>
      </c>
      <c r="R61" s="5">
        <v>1</v>
      </c>
      <c r="S61" s="5">
        <v>0</v>
      </c>
      <c r="T61" s="5">
        <v>0</v>
      </c>
      <c r="U61" s="5">
        <v>0</v>
      </c>
      <c r="V61" s="13">
        <v>4.7</v>
      </c>
      <c r="W61" s="13">
        <v>1.34</v>
      </c>
      <c r="X61" s="3">
        <v>1.71</v>
      </c>
      <c r="Y61" s="49">
        <f>+(V61-W61)/X61</f>
        <v>1.9649122807017547</v>
      </c>
      <c r="Z61" s="49">
        <f t="shared" ref="Z61" si="7">1/X61</f>
        <v>0.58479532163742687</v>
      </c>
      <c r="AA61" s="5">
        <v>0</v>
      </c>
      <c r="AB61" s="5"/>
      <c r="AC61" s="5">
        <v>0</v>
      </c>
      <c r="AD61" s="5">
        <v>0</v>
      </c>
      <c r="AE61" s="5">
        <v>0</v>
      </c>
      <c r="AF61" s="5">
        <v>0</v>
      </c>
    </row>
    <row r="62" spans="1:32" x14ac:dyDescent="0.2">
      <c r="A62" s="3" t="str">
        <f>+VLOOKUP(B62,studies!$A$2:$C$102,3)</f>
        <v>Tol (2013)</v>
      </c>
      <c r="B62" s="87">
        <v>94</v>
      </c>
      <c r="C62" s="5">
        <v>2013</v>
      </c>
      <c r="D62" s="5">
        <v>1</v>
      </c>
      <c r="E62" s="5">
        <v>2010</v>
      </c>
      <c r="F62" s="5">
        <v>2013</v>
      </c>
      <c r="G62" s="5"/>
      <c r="H62" s="7">
        <f>+IF(VLOOKUP($A62,'Dataset2 ad'!$D$3:$L$855,4,FALSE)="","",VLOOKUP($A62,'Dataset2 ad'!$D$3:$L$855,4,FALSE))</f>
        <v>0.9037185715180629</v>
      </c>
      <c r="I62" s="5">
        <v>0</v>
      </c>
      <c r="J62" s="5">
        <v>1</v>
      </c>
      <c r="K62" s="5">
        <v>0</v>
      </c>
      <c r="L62" s="5"/>
      <c r="M62" s="7">
        <f>+IF(VLOOKUP($A62,'Dataset2 ad'!$D$3:$L$855,8,FALSE)="","",VLOOKUP($A62,'Dataset2 ad'!$D$3:$L$855,8,FALSE))</f>
        <v>0.62652758109445539</v>
      </c>
      <c r="N62" s="7">
        <f>+IF(VLOOKUP($A62,'Dataset2 ad'!$D$3:$L$855,9,FALSE)="","",VLOOKUP($A62,'Dataset2 ad'!$D$3:$L$855,9,FALSE))</f>
        <v>111.48393806626189</v>
      </c>
      <c r="O62" s="5">
        <v>0</v>
      </c>
      <c r="P62" s="5">
        <v>1</v>
      </c>
      <c r="Q62" s="5">
        <v>0</v>
      </c>
      <c r="R62" s="5">
        <v>0</v>
      </c>
      <c r="S62" s="5">
        <v>0</v>
      </c>
      <c r="T62" s="5">
        <v>0</v>
      </c>
      <c r="U62" s="5">
        <v>0</v>
      </c>
      <c r="V62" s="13" t="s">
        <v>25</v>
      </c>
      <c r="W62" s="13" t="s">
        <v>25</v>
      </c>
      <c r="X62" s="3">
        <v>1.5</v>
      </c>
      <c r="Y62" s="3"/>
      <c r="Z62" s="49">
        <f>1/X62</f>
        <v>0.66666666666666663</v>
      </c>
      <c r="AA62" s="5">
        <v>1</v>
      </c>
      <c r="AB62" s="110">
        <f>+AVERAGE(Dataset0!AB752:AB765)</f>
        <v>3</v>
      </c>
      <c r="AC62" s="5">
        <v>0</v>
      </c>
      <c r="AD62" s="5">
        <v>0</v>
      </c>
      <c r="AE62" s="5">
        <v>1</v>
      </c>
      <c r="AF62" s="5">
        <v>1</v>
      </c>
    </row>
    <row r="63" spans="1:32" x14ac:dyDescent="0.2">
      <c r="A63" s="3" t="str">
        <f>+VLOOKUP(B63,studies!$A$2:$C$102,3)</f>
        <v>Weitzman (2013)</v>
      </c>
      <c r="B63" s="87">
        <v>95</v>
      </c>
      <c r="C63" s="5">
        <v>2013</v>
      </c>
      <c r="D63" s="5">
        <v>1</v>
      </c>
      <c r="E63" s="5">
        <v>2007</v>
      </c>
      <c r="F63" s="5">
        <v>2010</v>
      </c>
      <c r="G63" s="5"/>
      <c r="H63" s="7">
        <f>+IF(VLOOKUP($A63,'Dataset2 ad'!$D$3:$L$855,4,FALSE)="","",VLOOKUP($A63,'Dataset2 ad'!$D$3:$L$855,4,FALSE))</f>
        <v>346.0816853586108</v>
      </c>
      <c r="I63" s="5">
        <v>0</v>
      </c>
      <c r="J63" s="5">
        <v>1</v>
      </c>
      <c r="K63" s="5">
        <v>0</v>
      </c>
      <c r="L63" s="5"/>
      <c r="M63" s="7">
        <f>+IF(VLOOKUP($A63,'Dataset2 ad'!$D$3:$L$855,8,FALSE)="","",VLOOKUP($A63,'Dataset2 ad'!$D$3:$L$855,8,FALSE))</f>
        <v>174.27914184504652</v>
      </c>
      <c r="N63" s="7">
        <f>+IF(VLOOKUP($A63,'Dataset2 ad'!$D$3:$L$855,9,FALSE)="","",VLOOKUP($A63,'Dataset2 ad'!$D$3:$L$855,9,FALSE))</f>
        <v>433.40470800939215</v>
      </c>
      <c r="O63" s="5">
        <v>0</v>
      </c>
      <c r="P63" s="5">
        <v>1</v>
      </c>
      <c r="Q63" s="5">
        <v>1</v>
      </c>
      <c r="R63" s="5">
        <v>1</v>
      </c>
      <c r="S63" s="5">
        <v>1</v>
      </c>
      <c r="T63" s="5">
        <v>1</v>
      </c>
      <c r="U63" s="5">
        <v>1</v>
      </c>
      <c r="V63" s="107">
        <f>+AVERAGE(Dataset0!V766:V779)</f>
        <v>2.0714285714285716</v>
      </c>
      <c r="W63" s="13"/>
      <c r="X63" s="3"/>
      <c r="Y63" s="3" t="s">
        <v>25</v>
      </c>
      <c r="Z63" s="3"/>
      <c r="AA63" s="5">
        <v>0</v>
      </c>
      <c r="AB63" s="5"/>
      <c r="AC63" s="5">
        <v>0</v>
      </c>
      <c r="AD63" s="5">
        <v>0</v>
      </c>
      <c r="AE63" s="5">
        <v>0</v>
      </c>
      <c r="AF63" s="5">
        <v>0</v>
      </c>
    </row>
    <row r="64" spans="1:32" x14ac:dyDescent="0.2">
      <c r="A64" s="3" t="str">
        <f>+VLOOKUP(B64,studies!$A$2:$C$102,3)</f>
        <v>Golosov et al. (2014)</v>
      </c>
      <c r="B64" s="87">
        <v>96</v>
      </c>
      <c r="C64" s="5">
        <v>2014</v>
      </c>
      <c r="D64" s="5">
        <v>1</v>
      </c>
      <c r="E64" s="5">
        <v>2013</v>
      </c>
      <c r="F64" s="5">
        <v>2013</v>
      </c>
      <c r="G64" s="5"/>
      <c r="H64" s="7">
        <f>+IF(VLOOKUP($A64,'Dataset2 ad'!$D$3:$L$855,4,FALSE)="","",VLOOKUP($A64,'Dataset2 ad'!$D$3:$L$855,4,FALSE))</f>
        <v>227.7769829866991</v>
      </c>
      <c r="I64" s="5">
        <v>1</v>
      </c>
      <c r="J64" s="5">
        <v>0</v>
      </c>
      <c r="K64" s="5">
        <v>0</v>
      </c>
      <c r="L64" s="5"/>
      <c r="M64" s="7">
        <f>+IF(VLOOKUP($A64,'Dataset2 ad'!$D$3:$L$855,8,FALSE)="","",VLOOKUP($A64,'Dataset2 ad'!$D$3:$L$855,8,FALSE))</f>
        <v>101.85179572142799</v>
      </c>
      <c r="N64" s="7">
        <f>+IF(VLOOKUP($A64,'Dataset2 ad'!$D$3:$L$855,9,FALSE)="","",VLOOKUP($A64,'Dataset2 ad'!$D$3:$L$855,9,FALSE))</f>
        <v>1531.2212502515663</v>
      </c>
      <c r="O64" s="5">
        <v>1</v>
      </c>
      <c r="P64" s="5">
        <v>1</v>
      </c>
      <c r="Q64" s="5">
        <v>0</v>
      </c>
      <c r="R64" s="5">
        <v>0</v>
      </c>
      <c r="S64" s="5">
        <v>0</v>
      </c>
      <c r="T64" s="5">
        <v>0</v>
      </c>
      <c r="U64" s="5">
        <v>0</v>
      </c>
      <c r="V64" s="13"/>
      <c r="W64" s="13">
        <v>0.1</v>
      </c>
      <c r="X64" s="49">
        <f>1/Z64</f>
        <v>2</v>
      </c>
      <c r="Y64" s="49"/>
      <c r="Z64" s="3">
        <v>0.5</v>
      </c>
      <c r="AA64" s="5">
        <v>0</v>
      </c>
      <c r="AB64" s="5"/>
      <c r="AC64" s="5">
        <v>0</v>
      </c>
      <c r="AD64" s="5">
        <v>0</v>
      </c>
      <c r="AE64" s="5">
        <v>0</v>
      </c>
      <c r="AF64" s="5">
        <v>1</v>
      </c>
    </row>
    <row r="65" spans="1:32" x14ac:dyDescent="0.2">
      <c r="A65" s="3" t="str">
        <f>+VLOOKUP(B65,studies!$A$2:$C$102,3)</f>
        <v>Howarth et al. (2014)</v>
      </c>
      <c r="B65" s="87">
        <v>97</v>
      </c>
      <c r="C65" s="5">
        <v>2014</v>
      </c>
      <c r="D65" s="5">
        <v>1</v>
      </c>
      <c r="E65" s="5">
        <v>2005</v>
      </c>
      <c r="F65" s="5">
        <v>2010</v>
      </c>
      <c r="G65" s="5"/>
      <c r="H65" s="7">
        <f>+IF(VLOOKUP($A65,'Dataset2 ad'!$D$3:$L$855,4,FALSE)="","",VLOOKUP($A65,'Dataset2 ad'!$D$3:$L$855,4,FALSE))</f>
        <v>128.83584081445642</v>
      </c>
      <c r="I65" s="5">
        <v>0</v>
      </c>
      <c r="J65" s="5">
        <v>1</v>
      </c>
      <c r="K65" s="5">
        <v>0</v>
      </c>
      <c r="L65" s="5"/>
      <c r="M65" s="7">
        <f>+IF(VLOOKUP($A65,'Dataset2 ad'!$D$3:$L$855,8,FALSE)="","",VLOOKUP($A65,'Dataset2 ad'!$D$3:$L$855,8,FALSE))</f>
        <v>87.36084900269779</v>
      </c>
      <c r="N65" s="7">
        <f>+IF(VLOOKUP($A65,'Dataset2 ad'!$D$3:$L$855,9,FALSE)="","",VLOOKUP($A65,'Dataset2 ad'!$D$3:$L$855,9,FALSE))</f>
        <v>97.97222565773626</v>
      </c>
      <c r="O65" s="5">
        <v>0</v>
      </c>
      <c r="P65" s="5">
        <v>1</v>
      </c>
      <c r="Q65" s="5">
        <v>0</v>
      </c>
      <c r="R65" s="5">
        <v>1</v>
      </c>
      <c r="S65" s="5">
        <v>0</v>
      </c>
      <c r="T65" s="5">
        <v>1</v>
      </c>
      <c r="U65" s="5">
        <v>0</v>
      </c>
      <c r="V65" s="13"/>
      <c r="W65" s="13"/>
      <c r="X65" s="108">
        <f>+AVERAGE(Dataset0!X787:X788)</f>
        <v>2.75</v>
      </c>
      <c r="Y65" s="3"/>
      <c r="Z65" s="49">
        <f>1/X65</f>
        <v>0.36363636363636365</v>
      </c>
      <c r="AA65" s="5">
        <v>0</v>
      </c>
      <c r="AB65" s="5"/>
      <c r="AC65" s="5">
        <v>0</v>
      </c>
      <c r="AD65" s="5">
        <v>0</v>
      </c>
      <c r="AE65" s="5">
        <v>0</v>
      </c>
      <c r="AF65" s="5">
        <v>0</v>
      </c>
    </row>
    <row r="66" spans="1:32" x14ac:dyDescent="0.2">
      <c r="A66" s="3" t="str">
        <f>+VLOOKUP(B66,studies!$A$2:$C$102,3)</f>
        <v>Jensen &amp; Traeger (2014a)</v>
      </c>
      <c r="B66" s="87">
        <v>98</v>
      </c>
      <c r="C66" s="5">
        <v>2014</v>
      </c>
      <c r="D66" s="5">
        <v>1</v>
      </c>
      <c r="E66" s="5">
        <v>2012</v>
      </c>
      <c r="F66" s="5">
        <v>2012</v>
      </c>
      <c r="G66" s="5"/>
      <c r="H66" s="7">
        <f>+IF(VLOOKUP($A66,'Dataset2 ad'!$D$3:$L$855,4,FALSE)="","",VLOOKUP($A66,'Dataset2 ad'!$D$3:$L$855,4,FALSE))</f>
        <v>53.668082829766362</v>
      </c>
      <c r="I66" s="5">
        <v>0</v>
      </c>
      <c r="J66" s="5">
        <v>1</v>
      </c>
      <c r="K66" s="5">
        <v>0</v>
      </c>
      <c r="L66" s="5"/>
      <c r="M66" s="7">
        <f>+IF(VLOOKUP($A66,'Dataset2 ad'!$D$3:$L$855,8,FALSE)="","",VLOOKUP($A66,'Dataset2 ad'!$D$3:$L$855,8,FALSE))</f>
        <v>7.3198536896529207</v>
      </c>
      <c r="N66" s="7">
        <f>+IF(VLOOKUP($A66,'Dataset2 ad'!$D$3:$L$855,9,FALSE)="","",VLOOKUP($A66,'Dataset2 ad'!$D$3:$L$855,9,FALSE))</f>
        <v>16.808552916980773</v>
      </c>
      <c r="O66" s="5">
        <v>0</v>
      </c>
      <c r="P66" s="5">
        <v>1</v>
      </c>
      <c r="Q66" s="5">
        <v>0</v>
      </c>
      <c r="R66" s="5">
        <v>0</v>
      </c>
      <c r="S66" s="5">
        <v>0</v>
      </c>
      <c r="T66" s="5">
        <v>1</v>
      </c>
      <c r="U66" s="5">
        <v>0</v>
      </c>
      <c r="V66" s="13"/>
      <c r="W66" s="13"/>
      <c r="X66" s="108">
        <f>+AVERAGE(Dataset0!X789:X794)</f>
        <v>7.333333333333333</v>
      </c>
      <c r="Y66" s="3"/>
      <c r="Z66" s="108">
        <f>+AVERAGE(Dataset0!Z789:Z794)</f>
        <v>1</v>
      </c>
      <c r="AA66" s="5">
        <v>0</v>
      </c>
      <c r="AB66" s="5">
        <v>3</v>
      </c>
      <c r="AC66" s="5">
        <v>0</v>
      </c>
      <c r="AD66" s="5">
        <v>0</v>
      </c>
      <c r="AE66" s="5">
        <v>0</v>
      </c>
      <c r="AF66" s="5">
        <v>0</v>
      </c>
    </row>
    <row r="67" spans="1:32" x14ac:dyDescent="0.2">
      <c r="A67" s="3" t="str">
        <f>+VLOOKUP(B67,studies!$A$2:$C$102,3)</f>
        <v>Lemoine &amp; Traeger (2014)</v>
      </c>
      <c r="B67" s="87">
        <v>99</v>
      </c>
      <c r="C67" s="5">
        <v>2014</v>
      </c>
      <c r="D67" s="5">
        <v>1</v>
      </c>
      <c r="E67" s="5">
        <v>2005</v>
      </c>
      <c r="F67" s="5">
        <v>2015</v>
      </c>
      <c r="G67" s="5"/>
      <c r="H67" s="7">
        <f>+IF(VLOOKUP($A67,'Dataset2 ad'!$D$3:$L$855,4,FALSE)="","",VLOOKUP($A67,'Dataset2 ad'!$D$3:$L$855,4,FALSE))</f>
        <v>49.126799795186884</v>
      </c>
      <c r="I67" s="5">
        <v>0</v>
      </c>
      <c r="J67" s="5">
        <v>1</v>
      </c>
      <c r="K67" s="5">
        <v>0</v>
      </c>
      <c r="L67" s="5"/>
      <c r="M67" s="7">
        <f>+IF(VLOOKUP($A67,'Dataset2 ad'!$D$3:$L$855,8,FALSE)="","",VLOOKUP($A67,'Dataset2 ad'!$D$3:$L$855,8,FALSE))</f>
        <v>3.3419591697406048</v>
      </c>
      <c r="N67" s="7">
        <f>+IF(VLOOKUP($A67,'Dataset2 ad'!$D$3:$L$855,9,FALSE)="","",VLOOKUP($A67,'Dataset2 ad'!$D$3:$L$855,9,FALSE))</f>
        <v>5.8484285470460602</v>
      </c>
      <c r="O67" s="5">
        <v>1</v>
      </c>
      <c r="P67" s="5">
        <v>1</v>
      </c>
      <c r="Q67" s="5">
        <v>1</v>
      </c>
      <c r="R67" s="5">
        <v>0</v>
      </c>
      <c r="S67" s="5">
        <v>0</v>
      </c>
      <c r="T67" s="5">
        <v>1</v>
      </c>
      <c r="U67" s="5">
        <v>0</v>
      </c>
      <c r="V67" s="13"/>
      <c r="W67" s="13"/>
      <c r="X67" s="3">
        <v>2</v>
      </c>
      <c r="Y67" s="3"/>
      <c r="Z67" s="3">
        <v>0.5</v>
      </c>
      <c r="AA67" s="5">
        <v>0</v>
      </c>
      <c r="AB67" s="5">
        <v>3</v>
      </c>
      <c r="AC67" s="5">
        <v>0</v>
      </c>
      <c r="AD67" s="5">
        <v>0</v>
      </c>
      <c r="AE67" s="5">
        <v>0</v>
      </c>
      <c r="AF67" s="5">
        <v>1</v>
      </c>
    </row>
    <row r="68" spans="1:32" x14ac:dyDescent="0.2">
      <c r="A68" s="3" t="str">
        <f>+VLOOKUP(B68,studies!$A$2:$C$102,3)</f>
        <v>Pycroft et al. (2014)</v>
      </c>
      <c r="B68" s="87">
        <v>101</v>
      </c>
      <c r="C68" s="5">
        <v>2014</v>
      </c>
      <c r="D68" s="5">
        <v>1</v>
      </c>
      <c r="E68" s="5">
        <v>2005</v>
      </c>
      <c r="F68" s="5">
        <v>2009</v>
      </c>
      <c r="G68" s="5"/>
      <c r="H68" s="7">
        <f>+IF(VLOOKUP($A68,'Dataset2 ad'!$D$3:$L$855,4,FALSE)="","",VLOOKUP($A68,'Dataset2 ad'!$D$3:$L$855,4,FALSE))</f>
        <v>292.75009078090943</v>
      </c>
      <c r="I68" s="5">
        <v>1</v>
      </c>
      <c r="J68" s="5">
        <v>0</v>
      </c>
      <c r="K68" s="5">
        <v>0</v>
      </c>
      <c r="L68" s="5"/>
      <c r="M68" s="7">
        <f>+IF(VLOOKUP($A68,'Dataset2 ad'!$D$3:$L$855,8,FALSE)="","",VLOOKUP($A68,'Dataset2 ad'!$D$3:$L$855,8,FALSE))</f>
        <v>22.718130008293851</v>
      </c>
      <c r="N68" s="7">
        <f>+IF(VLOOKUP($A68,'Dataset2 ad'!$D$3:$L$855,9,FALSE)="","",VLOOKUP($A68,'Dataset2 ad'!$D$3:$L$855,9,FALSE))</f>
        <v>22.969159069158998</v>
      </c>
      <c r="O68" s="5">
        <v>0</v>
      </c>
      <c r="P68" s="5">
        <v>1</v>
      </c>
      <c r="Q68" s="5">
        <v>0</v>
      </c>
      <c r="R68" s="5">
        <v>1</v>
      </c>
      <c r="S68" s="5">
        <v>0</v>
      </c>
      <c r="T68" s="5">
        <v>0</v>
      </c>
      <c r="U68" s="5">
        <v>1</v>
      </c>
      <c r="V68" s="13" t="s">
        <v>25</v>
      </c>
      <c r="W68" s="13" t="s">
        <v>25</v>
      </c>
      <c r="X68" s="3"/>
      <c r="Y68" s="3"/>
      <c r="Z68" s="3"/>
      <c r="AA68" s="5">
        <v>1</v>
      </c>
      <c r="AB68" s="5"/>
      <c r="AC68" s="5">
        <v>1</v>
      </c>
      <c r="AD68" s="5">
        <v>0</v>
      </c>
      <c r="AE68" s="5">
        <v>0</v>
      </c>
      <c r="AF68" s="5">
        <v>0</v>
      </c>
    </row>
    <row r="69" spans="1:32" x14ac:dyDescent="0.2">
      <c r="A69" s="3" t="str">
        <f>+VLOOKUP(B69,studies!$A$2:$C$102,3)</f>
        <v>Rezai &amp; van der Ploeg (2014)</v>
      </c>
      <c r="B69" s="87">
        <v>102</v>
      </c>
      <c r="C69" s="5">
        <v>2014</v>
      </c>
      <c r="D69" s="5">
        <v>0</v>
      </c>
      <c r="E69" s="5">
        <v>2010</v>
      </c>
      <c r="F69" s="5">
        <v>2010</v>
      </c>
      <c r="G69" s="5"/>
      <c r="H69" s="7">
        <f>+IF(VLOOKUP($A69,'Dataset2 ad'!$D$3:$L$855,4,FALSE)="","",VLOOKUP($A69,'Dataset2 ad'!$D$3:$L$855,4,FALSE))</f>
        <v>99.072843832553815</v>
      </c>
      <c r="I69" s="5">
        <v>0</v>
      </c>
      <c r="J69" s="5">
        <v>1</v>
      </c>
      <c r="K69" s="5">
        <v>0</v>
      </c>
      <c r="L69" s="5"/>
      <c r="M69" s="7">
        <f>+IF(VLOOKUP($A69,'Dataset2 ad'!$D$3:$L$855,8,FALSE)="","",VLOOKUP($A69,'Dataset2 ad'!$D$3:$L$855,8,FALSE))</f>
        <v>23.090909763565548</v>
      </c>
      <c r="N69" s="7">
        <f>+IF(VLOOKUP($A69,'Dataset2 ad'!$D$3:$L$855,9,FALSE)="","",VLOOKUP($A69,'Dataset2 ad'!$D$3:$L$855,9,FALSE))</f>
        <v>24.615613907216584</v>
      </c>
      <c r="O69" s="5">
        <v>1</v>
      </c>
      <c r="P69" s="5">
        <v>1</v>
      </c>
      <c r="Q69" s="5">
        <v>0</v>
      </c>
      <c r="R69" s="5">
        <v>0</v>
      </c>
      <c r="S69" s="5">
        <v>0</v>
      </c>
      <c r="T69" s="5">
        <v>0</v>
      </c>
      <c r="U69" s="5">
        <v>0</v>
      </c>
      <c r="V69" s="13"/>
      <c r="W69" s="13">
        <v>0.96</v>
      </c>
      <c r="X69" s="3">
        <v>2</v>
      </c>
      <c r="Y69" s="3"/>
      <c r="Z69" s="3">
        <v>0.5</v>
      </c>
      <c r="AA69" s="5">
        <v>0</v>
      </c>
      <c r="AB69" s="5">
        <v>2.2999999999999998</v>
      </c>
      <c r="AC69" s="5">
        <v>0</v>
      </c>
      <c r="AD69" s="5">
        <v>0</v>
      </c>
      <c r="AE69" s="5">
        <v>0</v>
      </c>
      <c r="AF69"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5"/>
  <sheetViews>
    <sheetView zoomScale="85" zoomScaleNormal="85" workbookViewId="0">
      <pane xSplit="3" ySplit="2" topLeftCell="D3" activePane="bottomRight" state="frozen"/>
      <selection pane="topRight" activeCell="D1" sqref="D1"/>
      <selection pane="bottomLeft" activeCell="A3" sqref="A3"/>
      <selection pane="bottomRight"/>
    </sheetView>
  </sheetViews>
  <sheetFormatPr defaultRowHeight="12.75" x14ac:dyDescent="0.2"/>
  <cols>
    <col min="1" max="1" width="26.140625" style="91" bestFit="1" customWidth="1"/>
    <col min="2" max="3" width="9.140625" style="91"/>
    <col min="4" max="4" width="22.7109375" style="90" customWidth="1"/>
    <col min="5" max="6" width="9.140625" style="90"/>
    <col min="7" max="7" width="9.140625" style="98"/>
    <col min="8" max="9" width="9.140625" style="90"/>
    <col min="10" max="12" width="9.140625" style="98"/>
    <col min="13" max="15" width="9.140625" style="91"/>
    <col min="16" max="16384" width="9.140625" style="90"/>
  </cols>
  <sheetData>
    <row r="1" spans="1:15" s="96" customFormat="1" x14ac:dyDescent="0.2">
      <c r="A1" s="94" t="s">
        <v>239</v>
      </c>
      <c r="B1" s="94" t="s">
        <v>168</v>
      </c>
      <c r="C1" s="100" t="s">
        <v>242</v>
      </c>
      <c r="E1" s="93" t="s">
        <v>243</v>
      </c>
      <c r="F1" s="93" t="s">
        <v>243</v>
      </c>
      <c r="G1" s="93" t="s">
        <v>243</v>
      </c>
      <c r="H1" s="93" t="s">
        <v>243</v>
      </c>
      <c r="I1" s="93" t="s">
        <v>243</v>
      </c>
      <c r="J1" s="100" t="s">
        <v>244</v>
      </c>
      <c r="K1" s="100" t="s">
        <v>189</v>
      </c>
      <c r="L1" s="100" t="s">
        <v>188</v>
      </c>
      <c r="M1" s="100" t="s">
        <v>62</v>
      </c>
      <c r="N1" s="100" t="s">
        <v>189</v>
      </c>
      <c r="O1" s="100" t="s">
        <v>188</v>
      </c>
    </row>
    <row r="2" spans="1:15" s="93" customFormat="1" x14ac:dyDescent="0.2">
      <c r="A2" s="92"/>
      <c r="B2" s="89"/>
      <c r="C2" s="101" t="s">
        <v>240</v>
      </c>
      <c r="D2" s="103"/>
      <c r="E2" s="103">
        <v>0.05</v>
      </c>
      <c r="F2" s="103">
        <v>0.25</v>
      </c>
      <c r="G2" s="104">
        <v>0.5</v>
      </c>
      <c r="H2" s="103">
        <v>0.75</v>
      </c>
      <c r="I2" s="103">
        <v>0.95</v>
      </c>
      <c r="J2" s="106"/>
      <c r="K2" s="106"/>
      <c r="L2" s="106"/>
      <c r="M2" s="101" t="s">
        <v>240</v>
      </c>
      <c r="N2" s="101" t="s">
        <v>240</v>
      </c>
      <c r="O2" s="101" t="s">
        <v>240</v>
      </c>
    </row>
    <row r="3" spans="1:15" x14ac:dyDescent="0.2">
      <c r="A3" s="3" t="str">
        <f>+VLOOKUP(B3,studies!$A$2:$C$102,3)</f>
        <v>Nordhaus (1982)</v>
      </c>
      <c r="B3" s="87">
        <v>1</v>
      </c>
      <c r="C3" s="3">
        <v>1984.9986943646254</v>
      </c>
      <c r="D3" s="1" t="str">
        <f>+A3</f>
        <v>Nordhaus (1982)</v>
      </c>
      <c r="F3" s="1">
        <f>+C4</f>
        <v>283.5712420520893</v>
      </c>
      <c r="G3" s="7">
        <f>+MEDIAN(C3:C4)</f>
        <v>1134.2849682083574</v>
      </c>
      <c r="H3" s="1">
        <f>+C3</f>
        <v>1984.9986943646254</v>
      </c>
      <c r="J3" s="98">
        <f>+STDEV(C3:C4)</f>
        <v>1203.0908892271455</v>
      </c>
      <c r="K3" s="98">
        <f>G3-F3/1.1505</f>
        <v>887.8084431739469</v>
      </c>
      <c r="L3" s="98">
        <f>H3-G3/1.1505</f>
        <v>999.09259422698324</v>
      </c>
      <c r="M3" s="3" t="s">
        <v>238</v>
      </c>
      <c r="N3" s="3" t="s">
        <v>238</v>
      </c>
      <c r="O3" s="3" t="s">
        <v>238</v>
      </c>
    </row>
    <row r="4" spans="1:15" x14ac:dyDescent="0.2">
      <c r="A4" s="3" t="str">
        <f>+VLOOKUP(B4,studies!$A$2:$C$102,3)</f>
        <v>Nordhaus (1982)</v>
      </c>
      <c r="B4" s="87">
        <v>1</v>
      </c>
      <c r="C4" s="3">
        <v>283.5712420520893</v>
      </c>
      <c r="D4" s="90" t="str">
        <f>+IF(B4=B3,"",A4)</f>
        <v/>
      </c>
      <c r="M4" s="3" t="s">
        <v>238</v>
      </c>
      <c r="N4" s="3" t="s">
        <v>238</v>
      </c>
      <c r="O4" s="3" t="s">
        <v>238</v>
      </c>
    </row>
    <row r="5" spans="1:15" x14ac:dyDescent="0.2">
      <c r="A5" s="3" t="str">
        <f>+VLOOKUP(B5,studies!$A$2:$C$102,3)</f>
        <v>Ayres &amp; Walter (1991)</v>
      </c>
      <c r="B5" s="87">
        <v>2</v>
      </c>
      <c r="C5" s="3">
        <v>450.79559708797814</v>
      </c>
      <c r="D5" s="90" t="str">
        <f t="shared" ref="D5:D68" si="0">+IF(B5=B4,"",A5)</f>
        <v>Ayres &amp; Walter (1991)</v>
      </c>
      <c r="F5" s="1"/>
      <c r="G5" s="7"/>
      <c r="H5" s="1"/>
      <c r="M5" s="3" t="s">
        <v>238</v>
      </c>
      <c r="N5" s="3" t="s">
        <v>238</v>
      </c>
      <c r="O5" s="3" t="s">
        <v>238</v>
      </c>
    </row>
    <row r="6" spans="1:15" x14ac:dyDescent="0.2">
      <c r="A6" s="3" t="str">
        <f>+VLOOKUP(B6,studies!$A$2:$C$102,3)</f>
        <v>Nordhaus (1991)</v>
      </c>
      <c r="B6" s="87">
        <v>3</v>
      </c>
      <c r="C6" s="3">
        <v>914.62958990711616</v>
      </c>
      <c r="D6" s="90" t="str">
        <f t="shared" si="0"/>
        <v>Nordhaus (1991)</v>
      </c>
      <c r="E6" s="90">
        <f>+PERCENTILE($C6:$C14,E$2)</f>
        <v>9.3488071519168372</v>
      </c>
      <c r="F6" s="90">
        <f t="shared" ref="F6:I6" si="1">+PERCENTILE($C6:$C14,F$2)</f>
        <v>25.383259774492309</v>
      </c>
      <c r="G6" s="98">
        <f t="shared" si="1"/>
        <v>101.67174543553476</v>
      </c>
      <c r="H6" s="90">
        <f t="shared" si="1"/>
        <v>203.20478453350398</v>
      </c>
      <c r="I6" s="90">
        <f t="shared" si="1"/>
        <v>731.70367192569279</v>
      </c>
      <c r="J6" s="98">
        <f>+STDEV($C6:$C14)</f>
        <v>300.68177923917881</v>
      </c>
      <c r="K6" s="98">
        <f>+IF(I6="","",(G6-E6)/1.96)</f>
        <v>47.103539940621395</v>
      </c>
      <c r="L6" s="98">
        <f>+IF(I6="","",(I6-G6)/1.96)</f>
        <v>321.44486045416227</v>
      </c>
      <c r="M6" s="3" t="s">
        <v>238</v>
      </c>
      <c r="N6" s="3" t="s">
        <v>238</v>
      </c>
      <c r="O6" s="3" t="s">
        <v>238</v>
      </c>
    </row>
    <row r="7" spans="1:15" x14ac:dyDescent="0.2">
      <c r="A7" s="3" t="str">
        <f>+VLOOKUP(B7,studies!$A$2:$C$102,3)</f>
        <v>Nordhaus (1991)</v>
      </c>
      <c r="B7" s="87">
        <v>3</v>
      </c>
      <c r="C7" s="3">
        <v>457.31479495355808</v>
      </c>
      <c r="D7" s="90" t="str">
        <f t="shared" si="0"/>
        <v/>
      </c>
      <c r="G7" s="105"/>
      <c r="K7" s="98" t="str">
        <f t="shared" ref="K7:K70" si="2">+IF(I7="","",(G7-E7)/1.96)</f>
        <v/>
      </c>
      <c r="L7" s="98" t="str">
        <f t="shared" ref="L7:L70" si="3">+IF(I7="","",(I7-G7)/1.96)</f>
        <v/>
      </c>
      <c r="M7" s="3" t="s">
        <v>238</v>
      </c>
      <c r="N7" s="3" t="s">
        <v>238</v>
      </c>
      <c r="O7" s="3" t="s">
        <v>238</v>
      </c>
    </row>
    <row r="8" spans="1:15" x14ac:dyDescent="0.2">
      <c r="A8" s="3" t="str">
        <f>+VLOOKUP(B8,studies!$A$2:$C$102,3)</f>
        <v>Nordhaus (1991)</v>
      </c>
      <c r="B8" s="87">
        <v>3</v>
      </c>
      <c r="C8" s="3">
        <v>114.29402215399814</v>
      </c>
      <c r="D8" s="90" t="str">
        <f t="shared" si="0"/>
        <v/>
      </c>
      <c r="K8" s="98" t="str">
        <f t="shared" si="2"/>
        <v/>
      </c>
      <c r="L8" s="98" t="str">
        <f t="shared" si="3"/>
        <v/>
      </c>
      <c r="M8" s="3" t="s">
        <v>238</v>
      </c>
      <c r="N8" s="3" t="s">
        <v>238</v>
      </c>
      <c r="O8" s="3" t="s">
        <v>238</v>
      </c>
    </row>
    <row r="9" spans="1:15" x14ac:dyDescent="0.2">
      <c r="A9" s="3" t="str">
        <f>+VLOOKUP(B9,studies!$A$2:$C$102,3)</f>
        <v>Nordhaus (1991)</v>
      </c>
      <c r="B9" s="87">
        <v>3</v>
      </c>
      <c r="C9" s="3">
        <v>203.20478453350398</v>
      </c>
      <c r="D9" s="90" t="str">
        <f t="shared" si="0"/>
        <v/>
      </c>
      <c r="K9" s="98" t="str">
        <f t="shared" si="2"/>
        <v/>
      </c>
      <c r="L9" s="98" t="str">
        <f t="shared" si="3"/>
        <v/>
      </c>
      <c r="M9" s="3" t="s">
        <v>238</v>
      </c>
      <c r="N9" s="3" t="s">
        <v>238</v>
      </c>
      <c r="O9" s="3" t="s">
        <v>238</v>
      </c>
    </row>
    <row r="10" spans="1:15" x14ac:dyDescent="0.2">
      <c r="A10" s="3" t="str">
        <f>+VLOOKUP(B10,studies!$A$2:$C$102,3)</f>
        <v>Nordhaus (1991)</v>
      </c>
      <c r="B10" s="87">
        <v>3</v>
      </c>
      <c r="C10" s="3">
        <v>101.67174543553476</v>
      </c>
      <c r="D10" s="90" t="str">
        <f t="shared" si="0"/>
        <v/>
      </c>
      <c r="K10" s="98" t="str">
        <f t="shared" si="2"/>
        <v/>
      </c>
      <c r="L10" s="98" t="str">
        <f t="shared" si="3"/>
        <v/>
      </c>
      <c r="M10" s="3" t="s">
        <v>238</v>
      </c>
      <c r="N10" s="3" t="s">
        <v>238</v>
      </c>
      <c r="O10" s="3" t="s">
        <v>238</v>
      </c>
    </row>
    <row r="11" spans="1:15" x14ac:dyDescent="0.2">
      <c r="A11" s="3" t="str">
        <f>+VLOOKUP(B11,studies!$A$2:$C$102,3)</f>
        <v>Nordhaus (1991)</v>
      </c>
      <c r="B11" s="87">
        <v>3</v>
      </c>
      <c r="C11" s="3">
        <v>25.383259774492309</v>
      </c>
      <c r="D11" s="90" t="str">
        <f t="shared" si="0"/>
        <v/>
      </c>
      <c r="K11" s="98" t="str">
        <f t="shared" si="2"/>
        <v/>
      </c>
      <c r="L11" s="98" t="str">
        <f t="shared" si="3"/>
        <v/>
      </c>
      <c r="M11" s="3" t="s">
        <v>238</v>
      </c>
      <c r="N11" s="3" t="s">
        <v>238</v>
      </c>
      <c r="O11" s="3" t="s">
        <v>238</v>
      </c>
    </row>
    <row r="12" spans="1:15" x14ac:dyDescent="0.2">
      <c r="A12" s="3" t="str">
        <f>+VLOOKUP(B12,studies!$A$2:$C$102,3)</f>
        <v>Nordhaus (1991)</v>
      </c>
      <c r="B12" s="87">
        <v>3</v>
      </c>
      <c r="C12" s="3">
        <v>33.844346365989743</v>
      </c>
      <c r="D12" s="90" t="str">
        <f t="shared" si="0"/>
        <v/>
      </c>
      <c r="K12" s="98" t="str">
        <f t="shared" si="2"/>
        <v/>
      </c>
      <c r="L12" s="98" t="str">
        <f t="shared" si="3"/>
        <v/>
      </c>
      <c r="M12" s="3" t="s">
        <v>238</v>
      </c>
      <c r="N12" s="3" t="s">
        <v>238</v>
      </c>
      <c r="O12" s="3" t="s">
        <v>238</v>
      </c>
    </row>
    <row r="13" spans="1:15" x14ac:dyDescent="0.2">
      <c r="A13" s="3" t="str">
        <f>+VLOOKUP(B13,studies!$A$2:$C$102,3)</f>
        <v>Nordhaus (1991)</v>
      </c>
      <c r="B13" s="87">
        <v>3</v>
      </c>
      <c r="C13" s="3">
        <v>16.922173182994872</v>
      </c>
      <c r="D13" s="90" t="str">
        <f t="shared" si="0"/>
        <v/>
      </c>
      <c r="K13" s="98" t="str">
        <f t="shared" si="2"/>
        <v/>
      </c>
      <c r="L13" s="98" t="str">
        <f t="shared" si="3"/>
        <v/>
      </c>
      <c r="M13" s="3" t="s">
        <v>238</v>
      </c>
      <c r="N13" s="3" t="s">
        <v>238</v>
      </c>
      <c r="O13" s="3" t="s">
        <v>238</v>
      </c>
    </row>
    <row r="14" spans="1:15" x14ac:dyDescent="0.2">
      <c r="A14" s="3" t="str">
        <f>+VLOOKUP(B14,studies!$A$2:$C$102,3)</f>
        <v>Nordhaus (1991)</v>
      </c>
      <c r="B14" s="87">
        <v>3</v>
      </c>
      <c r="C14" s="3">
        <v>4.2998964645314839</v>
      </c>
      <c r="D14" s="90" t="str">
        <f t="shared" si="0"/>
        <v/>
      </c>
      <c r="K14" s="98" t="str">
        <f t="shared" si="2"/>
        <v/>
      </c>
      <c r="L14" s="98" t="str">
        <f t="shared" si="3"/>
        <v/>
      </c>
      <c r="M14" s="3" t="s">
        <v>238</v>
      </c>
      <c r="N14" s="3" t="s">
        <v>238</v>
      </c>
      <c r="O14" s="3" t="s">
        <v>238</v>
      </c>
    </row>
    <row r="15" spans="1:15" x14ac:dyDescent="0.2">
      <c r="A15" s="3" t="str">
        <f>+VLOOKUP(B15,studies!$A$2:$C$102,3)</f>
        <v>Cline (1992)</v>
      </c>
      <c r="B15" s="87">
        <v>4</v>
      </c>
      <c r="C15" s="3">
        <v>245.51021749099118</v>
      </c>
      <c r="D15" s="90" t="str">
        <f t="shared" si="0"/>
        <v>Cline (1992)</v>
      </c>
      <c r="K15" s="98" t="str">
        <f t="shared" si="2"/>
        <v/>
      </c>
      <c r="L15" s="98" t="str">
        <f t="shared" si="3"/>
        <v/>
      </c>
      <c r="M15" s="3">
        <v>111.78469841076718</v>
      </c>
      <c r="N15" s="3">
        <v>114.06601878649712</v>
      </c>
      <c r="O15" s="3">
        <v>114.06601878649708</v>
      </c>
    </row>
    <row r="16" spans="1:15" x14ac:dyDescent="0.2">
      <c r="A16" s="3" t="str">
        <f>+VLOOKUP(B16,studies!$A$2:$C$102,3)</f>
        <v>Haraden (1992)</v>
      </c>
      <c r="B16" s="87">
        <v>5</v>
      </c>
      <c r="C16" s="3">
        <v>72.59117994842812</v>
      </c>
      <c r="D16" s="90" t="str">
        <f t="shared" si="0"/>
        <v>Haraden (1992)</v>
      </c>
      <c r="K16" s="98" t="str">
        <f t="shared" si="2"/>
        <v/>
      </c>
      <c r="L16" s="98" t="str">
        <f t="shared" si="3"/>
        <v/>
      </c>
      <c r="M16" s="3" t="s">
        <v>238</v>
      </c>
      <c r="N16" s="3" t="s">
        <v>238</v>
      </c>
      <c r="O16" s="3" t="s">
        <v>238</v>
      </c>
    </row>
    <row r="17" spans="1:15" x14ac:dyDescent="0.2">
      <c r="A17" s="3" t="str">
        <f>+VLOOKUP(B17,studies!$A$2:$C$102,3)</f>
        <v>Hohmeyer &amp; Gaertner (1992)</v>
      </c>
      <c r="B17" s="87">
        <v>6</v>
      </c>
      <c r="C17" s="3">
        <v>6383.0400952804375</v>
      </c>
      <c r="D17" s="90" t="str">
        <f t="shared" si="0"/>
        <v>Hohmeyer &amp; Gaertner (1992)</v>
      </c>
      <c r="K17" s="98" t="str">
        <f t="shared" si="2"/>
        <v/>
      </c>
      <c r="L17" s="98" t="str">
        <f t="shared" si="3"/>
        <v/>
      </c>
      <c r="M17" s="3" t="s">
        <v>238</v>
      </c>
      <c r="N17" s="3" t="s">
        <v>238</v>
      </c>
      <c r="O17" s="3" t="s">
        <v>238</v>
      </c>
    </row>
    <row r="18" spans="1:15" x14ac:dyDescent="0.2">
      <c r="A18" s="3" t="str">
        <f>+VLOOKUP(B18,studies!$A$2:$C$102,3)</f>
        <v>Penner et al. (1992)</v>
      </c>
      <c r="B18" s="87">
        <v>7</v>
      </c>
      <c r="C18" s="3">
        <v>65.023091613690866</v>
      </c>
      <c r="D18" s="90" t="str">
        <f t="shared" si="0"/>
        <v>Penner et al. (1992)</v>
      </c>
      <c r="K18" s="98" t="str">
        <f t="shared" si="2"/>
        <v/>
      </c>
      <c r="L18" s="98" t="str">
        <f t="shared" si="3"/>
        <v/>
      </c>
      <c r="M18" s="3" t="s">
        <v>238</v>
      </c>
      <c r="N18" s="3" t="s">
        <v>238</v>
      </c>
      <c r="O18" s="3" t="s">
        <v>238</v>
      </c>
    </row>
    <row r="19" spans="1:15" x14ac:dyDescent="0.2">
      <c r="A19" s="3" t="str">
        <f>+VLOOKUP(B19,studies!$A$2:$C$102,3)</f>
        <v>Haraden (1993)</v>
      </c>
      <c r="B19" s="87">
        <v>8</v>
      </c>
      <c r="C19" s="3">
        <v>7.2161199451306608</v>
      </c>
      <c r="D19" s="90" t="str">
        <f t="shared" si="0"/>
        <v>Haraden (1993)</v>
      </c>
      <c r="E19" s="90">
        <f>+PERCENTILE($C19:$C21,E$2)</f>
        <v>7.6568883525899931</v>
      </c>
      <c r="F19" s="90">
        <f t="shared" ref="F19:I19" si="4">+PERCENTILE($C19:$C21,F$2)</f>
        <v>9.4199619824273206</v>
      </c>
      <c r="G19" s="98">
        <f t="shared" si="4"/>
        <v>11.623804019723982</v>
      </c>
      <c r="H19" s="90">
        <f t="shared" si="4"/>
        <v>22.935559609388257</v>
      </c>
      <c r="I19" s="90">
        <f t="shared" si="4"/>
        <v>31.984964081119678</v>
      </c>
      <c r="J19" s="98">
        <f>+STDEV($C19:$C21)</f>
        <v>14.502508138469684</v>
      </c>
      <c r="K19" s="98">
        <f t="shared" si="2"/>
        <v>2.0239365648642802</v>
      </c>
      <c r="L19" s="98">
        <f t="shared" si="3"/>
        <v>10.388346970099844</v>
      </c>
      <c r="M19" s="3" t="s">
        <v>238</v>
      </c>
      <c r="N19" s="3" t="s">
        <v>238</v>
      </c>
      <c r="O19" s="3" t="s">
        <v>238</v>
      </c>
    </row>
    <row r="20" spans="1:15" x14ac:dyDescent="0.2">
      <c r="A20" s="3" t="str">
        <f>+VLOOKUP(B20,studies!$A$2:$C$102,3)</f>
        <v>Haraden (1993)</v>
      </c>
      <c r="B20" s="87">
        <v>8</v>
      </c>
      <c r="C20" s="3">
        <v>11.623804019723982</v>
      </c>
      <c r="D20" s="90" t="str">
        <f t="shared" si="0"/>
        <v/>
      </c>
      <c r="K20" s="98" t="str">
        <f t="shared" si="2"/>
        <v/>
      </c>
      <c r="L20" s="98" t="str">
        <f t="shared" si="3"/>
        <v/>
      </c>
      <c r="M20" s="3" t="s">
        <v>238</v>
      </c>
      <c r="N20" s="3" t="s">
        <v>238</v>
      </c>
      <c r="O20" s="3" t="s">
        <v>238</v>
      </c>
    </row>
    <row r="21" spans="1:15" x14ac:dyDescent="0.2">
      <c r="A21" s="3" t="str">
        <f>+VLOOKUP(B21,studies!$A$2:$C$102,3)</f>
        <v>Haraden (1993)</v>
      </c>
      <c r="B21" s="87">
        <v>8</v>
      </c>
      <c r="C21" s="3">
        <v>34.247315199052537</v>
      </c>
      <c r="D21" s="90" t="str">
        <f t="shared" si="0"/>
        <v/>
      </c>
      <c r="K21" s="98" t="str">
        <f t="shared" si="2"/>
        <v/>
      </c>
      <c r="L21" s="98" t="str">
        <f t="shared" si="3"/>
        <v/>
      </c>
      <c r="M21" s="3" t="s">
        <v>238</v>
      </c>
      <c r="N21" s="3" t="s">
        <v>238</v>
      </c>
      <c r="O21" s="3" t="s">
        <v>238</v>
      </c>
    </row>
    <row r="22" spans="1:15" x14ac:dyDescent="0.2">
      <c r="A22" s="3" t="str">
        <f>+VLOOKUP(B22,studies!$A$2:$C$102,3)</f>
        <v>Nordhaus (1993)</v>
      </c>
      <c r="B22" s="87">
        <v>9</v>
      </c>
      <c r="C22" s="3">
        <v>18.914500577117963</v>
      </c>
      <c r="D22" s="90" t="str">
        <f t="shared" si="0"/>
        <v>Nordhaus (1993)</v>
      </c>
      <c r="K22" s="98" t="str">
        <f t="shared" si="2"/>
        <v/>
      </c>
      <c r="L22" s="98" t="str">
        <f t="shared" si="3"/>
        <v/>
      </c>
      <c r="M22" s="3" t="s">
        <v>238</v>
      </c>
      <c r="N22" s="3" t="s">
        <v>238</v>
      </c>
      <c r="O22" s="3" t="s">
        <v>238</v>
      </c>
    </row>
    <row r="23" spans="1:15" x14ac:dyDescent="0.2">
      <c r="A23" s="3" t="str">
        <f>+VLOOKUP(B23,studies!$A$2:$C$102,3)</f>
        <v>Parry (1993)</v>
      </c>
      <c r="B23" s="87">
        <v>10</v>
      </c>
      <c r="C23" s="3">
        <v>2.525636689886334E-2</v>
      </c>
      <c r="D23" s="90" t="str">
        <f t="shared" si="0"/>
        <v>Parry (1993)</v>
      </c>
      <c r="E23" s="90">
        <f>+PERCENTILE($C23:$C82,E$2)</f>
        <v>6.2509508074686776E-2</v>
      </c>
      <c r="F23" s="90">
        <f t="shared" ref="F23:I23" si="5">+PERCENTILE($C23:$C82,F$2)</f>
        <v>0.32201867796050754</v>
      </c>
      <c r="G23" s="98">
        <f t="shared" si="5"/>
        <v>1.5406383808306636</v>
      </c>
      <c r="H23" s="90">
        <f t="shared" si="5"/>
        <v>12.287222496297012</v>
      </c>
      <c r="I23" s="90">
        <f t="shared" si="5"/>
        <v>1750.6640138698856</v>
      </c>
      <c r="J23" s="98">
        <f>+STDEV($C23:$C82)</f>
        <v>1460.2284740652819</v>
      </c>
      <c r="K23" s="98">
        <f t="shared" si="2"/>
        <v>0.75414738405917192</v>
      </c>
      <c r="L23" s="98">
        <f t="shared" si="3"/>
        <v>892.40988545359949</v>
      </c>
      <c r="M23" s="3" t="s">
        <v>238</v>
      </c>
      <c r="N23" s="3" t="s">
        <v>238</v>
      </c>
      <c r="O23" s="3" t="s">
        <v>238</v>
      </c>
    </row>
    <row r="24" spans="1:15" x14ac:dyDescent="0.2">
      <c r="A24" s="3" t="str">
        <f>+VLOOKUP(B24,studies!$A$2:$C$102,3)</f>
        <v>Parry (1993)</v>
      </c>
      <c r="B24" s="87">
        <v>10</v>
      </c>
      <c r="C24" s="3">
        <v>0.15153820139318003</v>
      </c>
      <c r="D24" s="90" t="str">
        <f t="shared" si="0"/>
        <v/>
      </c>
      <c r="K24" s="98" t="str">
        <f t="shared" si="2"/>
        <v/>
      </c>
      <c r="L24" s="98" t="str">
        <f t="shared" si="3"/>
        <v/>
      </c>
      <c r="M24" s="3" t="s">
        <v>238</v>
      </c>
      <c r="N24" s="3" t="s">
        <v>238</v>
      </c>
      <c r="O24" s="3" t="s">
        <v>238</v>
      </c>
    </row>
    <row r="25" spans="1:15" x14ac:dyDescent="0.2">
      <c r="A25" s="3" t="str">
        <f>+VLOOKUP(B25,studies!$A$2:$C$102,3)</f>
        <v>Parry (1993)</v>
      </c>
      <c r="B25" s="87">
        <v>10</v>
      </c>
      <c r="C25" s="3">
        <v>3.7884550348295007E-2</v>
      </c>
      <c r="D25" s="90" t="str">
        <f t="shared" si="0"/>
        <v/>
      </c>
      <c r="K25" s="98" t="str">
        <f t="shared" si="2"/>
        <v/>
      </c>
      <c r="L25" s="98" t="str">
        <f t="shared" si="3"/>
        <v/>
      </c>
      <c r="M25" s="3" t="s">
        <v>238</v>
      </c>
      <c r="N25" s="3" t="s">
        <v>238</v>
      </c>
      <c r="O25" s="3" t="s">
        <v>238</v>
      </c>
    </row>
    <row r="26" spans="1:15" x14ac:dyDescent="0.2">
      <c r="A26" s="3" t="str">
        <f>+VLOOKUP(B26,studies!$A$2:$C$102,3)</f>
        <v>Parry (1993)</v>
      </c>
      <c r="B26" s="87">
        <v>10</v>
      </c>
      <c r="C26" s="3">
        <v>0.22730730208977004</v>
      </c>
      <c r="D26" s="90" t="str">
        <f t="shared" si="0"/>
        <v/>
      </c>
      <c r="K26" s="98" t="str">
        <f t="shared" si="2"/>
        <v/>
      </c>
      <c r="L26" s="98" t="str">
        <f t="shared" si="3"/>
        <v/>
      </c>
      <c r="M26" s="3" t="s">
        <v>238</v>
      </c>
      <c r="N26" s="3" t="s">
        <v>238</v>
      </c>
      <c r="O26" s="3" t="s">
        <v>238</v>
      </c>
    </row>
    <row r="27" spans="1:15" x14ac:dyDescent="0.2">
      <c r="A27" s="3" t="str">
        <f>+VLOOKUP(B27,studies!$A$2:$C$102,3)</f>
        <v>Parry (1993)</v>
      </c>
      <c r="B27" s="87">
        <v>10</v>
      </c>
      <c r="C27" s="3">
        <v>7.5769100696590014E-2</v>
      </c>
      <c r="D27" s="90" t="str">
        <f t="shared" si="0"/>
        <v/>
      </c>
      <c r="K27" s="98" t="str">
        <f t="shared" si="2"/>
        <v/>
      </c>
      <c r="L27" s="98" t="str">
        <f t="shared" si="3"/>
        <v/>
      </c>
      <c r="M27" s="3" t="s">
        <v>238</v>
      </c>
      <c r="N27" s="3" t="s">
        <v>238</v>
      </c>
      <c r="O27" s="3" t="s">
        <v>238</v>
      </c>
    </row>
    <row r="28" spans="1:15" x14ac:dyDescent="0.2">
      <c r="A28" s="3" t="str">
        <f>+VLOOKUP(B28,studies!$A$2:$C$102,3)</f>
        <v>Parry (1993)</v>
      </c>
      <c r="B28" s="87">
        <v>10</v>
      </c>
      <c r="C28" s="3">
        <v>0.45461460417954008</v>
      </c>
      <c r="D28" s="90" t="str">
        <f t="shared" si="0"/>
        <v/>
      </c>
      <c r="K28" s="98" t="str">
        <f t="shared" si="2"/>
        <v/>
      </c>
      <c r="L28" s="98" t="str">
        <f t="shared" si="3"/>
        <v/>
      </c>
      <c r="M28" s="3" t="s">
        <v>238</v>
      </c>
      <c r="N28" s="3" t="s">
        <v>238</v>
      </c>
      <c r="O28" s="3" t="s">
        <v>238</v>
      </c>
    </row>
    <row r="29" spans="1:15" x14ac:dyDescent="0.2">
      <c r="A29" s="3" t="str">
        <f>+VLOOKUP(B29,studies!$A$2:$C$102,3)</f>
        <v>Parry (1993)</v>
      </c>
      <c r="B29" s="87">
        <v>10</v>
      </c>
      <c r="C29" s="3">
        <v>0.13891001794374835</v>
      </c>
      <c r="D29" s="90" t="str">
        <f t="shared" si="0"/>
        <v/>
      </c>
      <c r="K29" s="98" t="str">
        <f t="shared" si="2"/>
        <v/>
      </c>
      <c r="L29" s="98" t="str">
        <f t="shared" si="3"/>
        <v/>
      </c>
      <c r="M29" s="3" t="s">
        <v>238</v>
      </c>
      <c r="N29" s="3" t="s">
        <v>238</v>
      </c>
      <c r="O29" s="3" t="s">
        <v>238</v>
      </c>
    </row>
    <row r="30" spans="1:15" x14ac:dyDescent="0.2">
      <c r="A30" s="3" t="str">
        <f>+VLOOKUP(B30,studies!$A$2:$C$102,3)</f>
        <v>Parry (1993)</v>
      </c>
      <c r="B30" s="87">
        <v>10</v>
      </c>
      <c r="C30" s="3">
        <v>0.83346010766249012</v>
      </c>
      <c r="D30" s="90" t="str">
        <f t="shared" si="0"/>
        <v/>
      </c>
      <c r="K30" s="98" t="str">
        <f t="shared" si="2"/>
        <v/>
      </c>
      <c r="L30" s="98" t="str">
        <f t="shared" si="3"/>
        <v/>
      </c>
      <c r="M30" s="3" t="s">
        <v>238</v>
      </c>
      <c r="N30" s="3" t="s">
        <v>238</v>
      </c>
      <c r="O30" s="3" t="s">
        <v>238</v>
      </c>
    </row>
    <row r="31" spans="1:15" x14ac:dyDescent="0.2">
      <c r="A31" s="3" t="str">
        <f>+VLOOKUP(B31,studies!$A$2:$C$102,3)</f>
        <v>Parry (1993)</v>
      </c>
      <c r="B31" s="87">
        <v>10</v>
      </c>
      <c r="C31" s="3">
        <v>0.34096095313465508</v>
      </c>
      <c r="D31" s="90" t="str">
        <f t="shared" si="0"/>
        <v/>
      </c>
      <c r="K31" s="98" t="str">
        <f t="shared" si="2"/>
        <v/>
      </c>
      <c r="L31" s="98" t="str">
        <f t="shared" si="3"/>
        <v/>
      </c>
      <c r="M31" s="3" t="s">
        <v>238</v>
      </c>
      <c r="N31" s="3" t="s">
        <v>238</v>
      </c>
      <c r="O31" s="3" t="s">
        <v>238</v>
      </c>
    </row>
    <row r="32" spans="1:15" x14ac:dyDescent="0.2">
      <c r="A32" s="3" t="str">
        <f>+VLOOKUP(B32,studies!$A$2:$C$102,3)</f>
        <v>Parry (1993)</v>
      </c>
      <c r="B32" s="87">
        <v>10</v>
      </c>
      <c r="C32" s="3">
        <v>2.0457657188079303</v>
      </c>
      <c r="D32" s="90" t="str">
        <f t="shared" si="0"/>
        <v/>
      </c>
      <c r="K32" s="98" t="str">
        <f t="shared" si="2"/>
        <v/>
      </c>
      <c r="L32" s="98" t="str">
        <f t="shared" si="3"/>
        <v/>
      </c>
      <c r="M32" s="3" t="s">
        <v>238</v>
      </c>
      <c r="N32" s="3" t="s">
        <v>238</v>
      </c>
      <c r="O32" s="3" t="s">
        <v>238</v>
      </c>
    </row>
    <row r="33" spans="1:15" x14ac:dyDescent="0.2">
      <c r="A33" s="3" t="str">
        <f>+VLOOKUP(B33,studies!$A$2:$C$102,3)</f>
        <v>Parry (1993)</v>
      </c>
      <c r="B33" s="87">
        <v>10</v>
      </c>
      <c r="C33" s="3">
        <v>5.051273379772668E-2</v>
      </c>
      <c r="D33" s="90" t="str">
        <f t="shared" si="0"/>
        <v/>
      </c>
      <c r="K33" s="98" t="str">
        <f t="shared" si="2"/>
        <v/>
      </c>
      <c r="L33" s="98" t="str">
        <f t="shared" si="3"/>
        <v/>
      </c>
      <c r="M33" s="3" t="s">
        <v>238</v>
      </c>
      <c r="N33" s="3" t="s">
        <v>238</v>
      </c>
      <c r="O33" s="3" t="s">
        <v>238</v>
      </c>
    </row>
    <row r="34" spans="1:15" x14ac:dyDescent="0.2">
      <c r="A34" s="3" t="str">
        <f>+VLOOKUP(B34,studies!$A$2:$C$102,3)</f>
        <v>Parry (1993)</v>
      </c>
      <c r="B34" s="87">
        <v>10</v>
      </c>
      <c r="C34" s="3">
        <v>0.30307640278636006</v>
      </c>
      <c r="D34" s="90" t="str">
        <f t="shared" si="0"/>
        <v/>
      </c>
      <c r="K34" s="98" t="str">
        <f t="shared" si="2"/>
        <v/>
      </c>
      <c r="L34" s="98" t="str">
        <f t="shared" si="3"/>
        <v/>
      </c>
      <c r="M34" s="3" t="s">
        <v>238</v>
      </c>
      <c r="N34" s="3" t="s">
        <v>238</v>
      </c>
      <c r="O34" s="3" t="s">
        <v>238</v>
      </c>
    </row>
    <row r="35" spans="1:15" x14ac:dyDescent="0.2">
      <c r="A35" s="3" t="str">
        <f>+VLOOKUP(B35,studies!$A$2:$C$102,3)</f>
        <v>Parry (1993)</v>
      </c>
      <c r="B35" s="87">
        <v>10</v>
      </c>
      <c r="C35" s="3">
        <v>7.5769100696590014E-2</v>
      </c>
      <c r="D35" s="90" t="str">
        <f t="shared" si="0"/>
        <v/>
      </c>
      <c r="K35" s="98" t="str">
        <f t="shared" si="2"/>
        <v/>
      </c>
      <c r="L35" s="98" t="str">
        <f t="shared" si="3"/>
        <v/>
      </c>
      <c r="M35" s="3" t="s">
        <v>238</v>
      </c>
      <c r="N35" s="3" t="s">
        <v>238</v>
      </c>
      <c r="O35" s="3" t="s">
        <v>238</v>
      </c>
    </row>
    <row r="36" spans="1:15" x14ac:dyDescent="0.2">
      <c r="A36" s="3" t="str">
        <f>+VLOOKUP(B36,studies!$A$2:$C$102,3)</f>
        <v>Parry (1993)</v>
      </c>
      <c r="B36" s="87">
        <v>10</v>
      </c>
      <c r="C36" s="3">
        <v>0.45461460417954008</v>
      </c>
      <c r="D36" s="90" t="str">
        <f t="shared" si="0"/>
        <v/>
      </c>
      <c r="K36" s="98" t="str">
        <f t="shared" si="2"/>
        <v/>
      </c>
      <c r="L36" s="98" t="str">
        <f t="shared" si="3"/>
        <v/>
      </c>
      <c r="M36" s="3" t="s">
        <v>238</v>
      </c>
      <c r="N36" s="3" t="s">
        <v>238</v>
      </c>
      <c r="O36" s="3" t="s">
        <v>238</v>
      </c>
    </row>
    <row r="37" spans="1:15" x14ac:dyDescent="0.2">
      <c r="A37" s="3" t="str">
        <f>+VLOOKUP(B37,studies!$A$2:$C$102,3)</f>
        <v>Parry (1993)</v>
      </c>
      <c r="B37" s="87">
        <v>10</v>
      </c>
      <c r="C37" s="3">
        <v>0.13891001794374835</v>
      </c>
      <c r="D37" s="90" t="str">
        <f t="shared" si="0"/>
        <v/>
      </c>
      <c r="K37" s="98" t="str">
        <f t="shared" si="2"/>
        <v/>
      </c>
      <c r="L37" s="98" t="str">
        <f t="shared" si="3"/>
        <v/>
      </c>
      <c r="M37" s="3" t="s">
        <v>238</v>
      </c>
      <c r="N37" s="3" t="s">
        <v>238</v>
      </c>
      <c r="O37" s="3" t="s">
        <v>238</v>
      </c>
    </row>
    <row r="38" spans="1:15" x14ac:dyDescent="0.2">
      <c r="A38" s="3" t="str">
        <f>+VLOOKUP(B38,studies!$A$2:$C$102,3)</f>
        <v>Parry (1993)</v>
      </c>
      <c r="B38" s="87">
        <v>10</v>
      </c>
      <c r="C38" s="3">
        <v>0.83346010766249012</v>
      </c>
      <c r="D38" s="90" t="str">
        <f t="shared" si="0"/>
        <v/>
      </c>
      <c r="K38" s="98" t="str">
        <f t="shared" si="2"/>
        <v/>
      </c>
      <c r="L38" s="98" t="str">
        <f t="shared" si="3"/>
        <v/>
      </c>
      <c r="M38" s="3" t="s">
        <v>238</v>
      </c>
      <c r="N38" s="3" t="s">
        <v>238</v>
      </c>
      <c r="O38" s="3" t="s">
        <v>238</v>
      </c>
    </row>
    <row r="39" spans="1:15" x14ac:dyDescent="0.2">
      <c r="A39" s="3" t="str">
        <f>+VLOOKUP(B39,studies!$A$2:$C$102,3)</f>
        <v>Parry (1993)</v>
      </c>
      <c r="B39" s="87">
        <v>10</v>
      </c>
      <c r="C39" s="3">
        <v>0.26519185243806509</v>
      </c>
      <c r="D39" s="90" t="str">
        <f t="shared" si="0"/>
        <v/>
      </c>
      <c r="K39" s="98" t="str">
        <f t="shared" si="2"/>
        <v/>
      </c>
      <c r="L39" s="98" t="str">
        <f t="shared" si="3"/>
        <v/>
      </c>
      <c r="M39" s="3" t="s">
        <v>238</v>
      </c>
      <c r="N39" s="3" t="s">
        <v>238</v>
      </c>
      <c r="O39" s="3" t="s">
        <v>238</v>
      </c>
    </row>
    <row r="40" spans="1:15" x14ac:dyDescent="0.2">
      <c r="A40" s="3" t="str">
        <f>+VLOOKUP(B40,studies!$A$2:$C$102,3)</f>
        <v>Parry (1993)</v>
      </c>
      <c r="B40" s="87">
        <v>10</v>
      </c>
      <c r="C40" s="3">
        <v>1.5911511146283903</v>
      </c>
      <c r="D40" s="90" t="str">
        <f t="shared" si="0"/>
        <v/>
      </c>
      <c r="K40" s="98" t="str">
        <f t="shared" si="2"/>
        <v/>
      </c>
      <c r="L40" s="98" t="str">
        <f t="shared" si="3"/>
        <v/>
      </c>
      <c r="M40" s="3" t="s">
        <v>238</v>
      </c>
      <c r="N40" s="3" t="s">
        <v>238</v>
      </c>
      <c r="O40" s="3" t="s">
        <v>238</v>
      </c>
    </row>
    <row r="41" spans="1:15" x14ac:dyDescent="0.2">
      <c r="A41" s="3" t="str">
        <f>+VLOOKUP(B41,studies!$A$2:$C$102,3)</f>
        <v>Parry (1993)</v>
      </c>
      <c r="B41" s="87">
        <v>10</v>
      </c>
      <c r="C41" s="3">
        <v>0.69455008971874177</v>
      </c>
      <c r="D41" s="90" t="str">
        <f t="shared" si="0"/>
        <v/>
      </c>
      <c r="K41" s="98" t="str">
        <f t="shared" si="2"/>
        <v/>
      </c>
      <c r="L41" s="98" t="str">
        <f t="shared" si="3"/>
        <v/>
      </c>
      <c r="M41" s="3" t="s">
        <v>238</v>
      </c>
      <c r="N41" s="3" t="s">
        <v>238</v>
      </c>
      <c r="O41" s="3" t="s">
        <v>238</v>
      </c>
    </row>
    <row r="42" spans="1:15" x14ac:dyDescent="0.2">
      <c r="A42" s="3" t="str">
        <f>+VLOOKUP(B42,studies!$A$2:$C$102,3)</f>
        <v>Parry (1993)</v>
      </c>
      <c r="B42" s="87">
        <v>10</v>
      </c>
      <c r="C42" s="3">
        <v>4.1673005383124506</v>
      </c>
      <c r="D42" s="90" t="str">
        <f t="shared" si="0"/>
        <v/>
      </c>
      <c r="K42" s="98" t="str">
        <f t="shared" si="2"/>
        <v/>
      </c>
      <c r="L42" s="98" t="str">
        <f t="shared" si="3"/>
        <v/>
      </c>
      <c r="M42" s="3" t="s">
        <v>238</v>
      </c>
      <c r="N42" s="3" t="s">
        <v>238</v>
      </c>
      <c r="O42" s="3" t="s">
        <v>238</v>
      </c>
    </row>
    <row r="43" spans="1:15" x14ac:dyDescent="0.2">
      <c r="A43" s="3" t="str">
        <f>+VLOOKUP(B43,studies!$A$2:$C$102,3)</f>
        <v>Parry (1993)</v>
      </c>
      <c r="B43" s="87">
        <v>10</v>
      </c>
      <c r="C43" s="3">
        <v>6.3140917247158354E-2</v>
      </c>
      <c r="D43" s="90" t="str">
        <f t="shared" si="0"/>
        <v/>
      </c>
      <c r="K43" s="98" t="str">
        <f t="shared" si="2"/>
        <v/>
      </c>
      <c r="L43" s="98" t="str">
        <f t="shared" si="3"/>
        <v/>
      </c>
      <c r="M43" s="3" t="s">
        <v>238</v>
      </c>
      <c r="N43" s="3" t="s">
        <v>238</v>
      </c>
      <c r="O43" s="3" t="s">
        <v>238</v>
      </c>
    </row>
    <row r="44" spans="1:15" x14ac:dyDescent="0.2">
      <c r="A44" s="3" t="str">
        <f>+VLOOKUP(B44,studies!$A$2:$C$102,3)</f>
        <v>Parry (1993)</v>
      </c>
      <c r="B44" s="87">
        <v>10</v>
      </c>
      <c r="C44" s="3">
        <v>0.37884550348295004</v>
      </c>
      <c r="D44" s="90" t="str">
        <f t="shared" si="0"/>
        <v/>
      </c>
      <c r="K44" s="98" t="str">
        <f t="shared" si="2"/>
        <v/>
      </c>
      <c r="L44" s="98" t="str">
        <f t="shared" si="3"/>
        <v/>
      </c>
      <c r="M44" s="3" t="s">
        <v>238</v>
      </c>
      <c r="N44" s="3" t="s">
        <v>238</v>
      </c>
      <c r="O44" s="3" t="s">
        <v>238</v>
      </c>
    </row>
    <row r="45" spans="1:15" x14ac:dyDescent="0.2">
      <c r="A45" s="3" t="str">
        <f>+VLOOKUP(B45,studies!$A$2:$C$102,3)</f>
        <v>Parry (1993)</v>
      </c>
      <c r="B45" s="87">
        <v>10</v>
      </c>
      <c r="C45" s="3">
        <v>8.8397284146021687E-2</v>
      </c>
      <c r="D45" s="90" t="str">
        <f t="shared" si="0"/>
        <v/>
      </c>
      <c r="K45" s="98" t="str">
        <f t="shared" si="2"/>
        <v/>
      </c>
      <c r="L45" s="98" t="str">
        <f t="shared" si="3"/>
        <v/>
      </c>
      <c r="M45" s="3" t="s">
        <v>238</v>
      </c>
      <c r="N45" s="3" t="s">
        <v>238</v>
      </c>
      <c r="O45" s="3" t="s">
        <v>238</v>
      </c>
    </row>
    <row r="46" spans="1:15" x14ac:dyDescent="0.2">
      <c r="A46" s="3" t="str">
        <f>+VLOOKUP(B46,studies!$A$2:$C$102,3)</f>
        <v>Parry (1993)</v>
      </c>
      <c r="B46" s="87">
        <v>10</v>
      </c>
      <c r="C46" s="3">
        <v>0.53038370487613018</v>
      </c>
      <c r="D46" s="90" t="str">
        <f t="shared" si="0"/>
        <v/>
      </c>
      <c r="K46" s="98" t="str">
        <f t="shared" si="2"/>
        <v/>
      </c>
      <c r="L46" s="98" t="str">
        <f t="shared" si="3"/>
        <v/>
      </c>
      <c r="M46" s="3" t="s">
        <v>238</v>
      </c>
      <c r="N46" s="3" t="s">
        <v>238</v>
      </c>
      <c r="O46" s="3" t="s">
        <v>238</v>
      </c>
    </row>
    <row r="47" spans="1:15" x14ac:dyDescent="0.2">
      <c r="A47" s="3" t="str">
        <f>+VLOOKUP(B47,studies!$A$2:$C$102,3)</f>
        <v>Parry (1993)</v>
      </c>
      <c r="B47" s="87">
        <v>10</v>
      </c>
      <c r="C47" s="3">
        <v>0.17679456829204337</v>
      </c>
      <c r="D47" s="90" t="str">
        <f t="shared" si="0"/>
        <v/>
      </c>
      <c r="K47" s="98" t="str">
        <f t="shared" si="2"/>
        <v/>
      </c>
      <c r="L47" s="98" t="str">
        <f t="shared" si="3"/>
        <v/>
      </c>
      <c r="M47" s="3" t="s">
        <v>238</v>
      </c>
      <c r="N47" s="3" t="s">
        <v>238</v>
      </c>
      <c r="O47" s="3" t="s">
        <v>238</v>
      </c>
    </row>
    <row r="48" spans="1:15" x14ac:dyDescent="0.2">
      <c r="A48" s="3" t="str">
        <f>+VLOOKUP(B48,studies!$A$2:$C$102,3)</f>
        <v>Parry (1993)</v>
      </c>
      <c r="B48" s="87">
        <v>10</v>
      </c>
      <c r="C48" s="3">
        <v>1.0607674097522604</v>
      </c>
      <c r="D48" s="90" t="str">
        <f t="shared" si="0"/>
        <v/>
      </c>
      <c r="K48" s="98" t="str">
        <f t="shared" si="2"/>
        <v/>
      </c>
      <c r="L48" s="98" t="str">
        <f t="shared" si="3"/>
        <v/>
      </c>
      <c r="M48" s="3" t="s">
        <v>238</v>
      </c>
      <c r="N48" s="3" t="s">
        <v>238</v>
      </c>
      <c r="O48" s="3" t="s">
        <v>238</v>
      </c>
    </row>
    <row r="49" spans="1:15" x14ac:dyDescent="0.2">
      <c r="A49" s="3" t="str">
        <f>+VLOOKUP(B49,studies!$A$2:$C$102,3)</f>
        <v>Parry (1993)</v>
      </c>
      <c r="B49" s="87">
        <v>10</v>
      </c>
      <c r="C49" s="3">
        <v>0.32833276968522335</v>
      </c>
      <c r="D49" s="90" t="str">
        <f t="shared" si="0"/>
        <v/>
      </c>
      <c r="K49" s="98" t="str">
        <f t="shared" si="2"/>
        <v/>
      </c>
      <c r="L49" s="98" t="str">
        <f t="shared" si="3"/>
        <v/>
      </c>
      <c r="M49" s="3" t="s">
        <v>238</v>
      </c>
      <c r="N49" s="3" t="s">
        <v>238</v>
      </c>
      <c r="O49" s="3" t="s">
        <v>238</v>
      </c>
    </row>
    <row r="50" spans="1:15" x14ac:dyDescent="0.2">
      <c r="A50" s="3" t="str">
        <f>+VLOOKUP(B50,studies!$A$2:$C$102,3)</f>
        <v>Parry (1993)</v>
      </c>
      <c r="B50" s="87">
        <v>10</v>
      </c>
      <c r="C50" s="3">
        <v>1.9699966181113404</v>
      </c>
      <c r="D50" s="90" t="str">
        <f t="shared" si="0"/>
        <v/>
      </c>
      <c r="K50" s="98" t="str">
        <f t="shared" si="2"/>
        <v/>
      </c>
      <c r="L50" s="98" t="str">
        <f t="shared" si="3"/>
        <v/>
      </c>
      <c r="M50" s="3" t="s">
        <v>238</v>
      </c>
      <c r="N50" s="3" t="s">
        <v>238</v>
      </c>
      <c r="O50" s="3" t="s">
        <v>238</v>
      </c>
    </row>
    <row r="51" spans="1:15" x14ac:dyDescent="0.2">
      <c r="A51" s="3" t="str">
        <f>+VLOOKUP(B51,studies!$A$2:$C$102,3)</f>
        <v>Parry (1993)</v>
      </c>
      <c r="B51" s="87">
        <v>10</v>
      </c>
      <c r="C51" s="3">
        <v>0.8713446580107852</v>
      </c>
      <c r="D51" s="90" t="str">
        <f t="shared" si="0"/>
        <v/>
      </c>
      <c r="K51" s="98" t="str">
        <f t="shared" si="2"/>
        <v/>
      </c>
      <c r="L51" s="98" t="str">
        <f t="shared" si="3"/>
        <v/>
      </c>
      <c r="M51" s="3" t="s">
        <v>238</v>
      </c>
      <c r="N51" s="3" t="s">
        <v>238</v>
      </c>
      <c r="O51" s="3" t="s">
        <v>238</v>
      </c>
    </row>
    <row r="52" spans="1:15" x14ac:dyDescent="0.2">
      <c r="A52" s="3" t="str">
        <f>+VLOOKUP(B52,studies!$A$2:$C$102,3)</f>
        <v>Parry (1993)</v>
      </c>
      <c r="B52" s="87">
        <v>10</v>
      </c>
      <c r="C52" s="3">
        <v>5.2280679480647105</v>
      </c>
      <c r="D52" s="90" t="str">
        <f t="shared" si="0"/>
        <v/>
      </c>
      <c r="K52" s="98" t="str">
        <f t="shared" si="2"/>
        <v/>
      </c>
      <c r="L52" s="98" t="str">
        <f t="shared" si="3"/>
        <v/>
      </c>
      <c r="M52" s="3" t="s">
        <v>238</v>
      </c>
      <c r="N52" s="3" t="s">
        <v>238</v>
      </c>
      <c r="O52" s="3" t="s">
        <v>238</v>
      </c>
    </row>
    <row r="53" spans="1:15" x14ac:dyDescent="0.2">
      <c r="A53" s="3" t="str">
        <f>+VLOOKUP(B53,studies!$A$2:$C$102,3)</f>
        <v>Parry (1993)</v>
      </c>
      <c r="B53" s="87">
        <v>10</v>
      </c>
      <c r="C53" s="3">
        <v>0.26519185243806509</v>
      </c>
      <c r="D53" s="90" t="str">
        <f t="shared" si="0"/>
        <v/>
      </c>
      <c r="K53" s="98" t="str">
        <f t="shared" si="2"/>
        <v/>
      </c>
      <c r="L53" s="98" t="str">
        <f t="shared" si="3"/>
        <v/>
      </c>
      <c r="M53" s="3" t="s">
        <v>238</v>
      </c>
      <c r="N53" s="3" t="s">
        <v>238</v>
      </c>
      <c r="O53" s="3" t="s">
        <v>238</v>
      </c>
    </row>
    <row r="54" spans="1:15" x14ac:dyDescent="0.2">
      <c r="A54" s="3" t="str">
        <f>+VLOOKUP(B54,studies!$A$2:$C$102,3)</f>
        <v>Parry (1993)</v>
      </c>
      <c r="B54" s="87">
        <v>10</v>
      </c>
      <c r="C54" s="3">
        <v>1.5911511146283903</v>
      </c>
      <c r="D54" s="90" t="str">
        <f t="shared" si="0"/>
        <v/>
      </c>
      <c r="K54" s="98" t="str">
        <f t="shared" si="2"/>
        <v/>
      </c>
      <c r="L54" s="98" t="str">
        <f t="shared" si="3"/>
        <v/>
      </c>
      <c r="M54" s="3" t="s">
        <v>238</v>
      </c>
      <c r="N54" s="3" t="s">
        <v>238</v>
      </c>
      <c r="O54" s="3" t="s">
        <v>238</v>
      </c>
    </row>
    <row r="55" spans="1:15" x14ac:dyDescent="0.2">
      <c r="A55" s="3" t="str">
        <f>+VLOOKUP(B55,studies!$A$2:$C$102,3)</f>
        <v>Parry (1993)</v>
      </c>
      <c r="B55" s="87">
        <v>10</v>
      </c>
      <c r="C55" s="3">
        <v>0.39147368693238177</v>
      </c>
      <c r="D55" s="90" t="str">
        <f t="shared" si="0"/>
        <v/>
      </c>
      <c r="K55" s="98" t="str">
        <f t="shared" si="2"/>
        <v/>
      </c>
      <c r="L55" s="98" t="str">
        <f t="shared" si="3"/>
        <v/>
      </c>
      <c r="M55" s="3" t="s">
        <v>238</v>
      </c>
      <c r="N55" s="3" t="s">
        <v>238</v>
      </c>
      <c r="O55" s="3" t="s">
        <v>238</v>
      </c>
    </row>
    <row r="56" spans="1:15" x14ac:dyDescent="0.2">
      <c r="A56" s="3" t="str">
        <f>+VLOOKUP(B56,studies!$A$2:$C$102,3)</f>
        <v>Parry (1993)</v>
      </c>
      <c r="B56" s="87">
        <v>10</v>
      </c>
      <c r="C56" s="3">
        <v>2.3488421215942901</v>
      </c>
      <c r="D56" s="90" t="str">
        <f t="shared" si="0"/>
        <v/>
      </c>
      <c r="K56" s="98" t="str">
        <f t="shared" si="2"/>
        <v/>
      </c>
      <c r="L56" s="98" t="str">
        <f t="shared" si="3"/>
        <v/>
      </c>
      <c r="M56" s="3" t="s">
        <v>238</v>
      </c>
      <c r="N56" s="3" t="s">
        <v>238</v>
      </c>
      <c r="O56" s="3" t="s">
        <v>238</v>
      </c>
    </row>
    <row r="57" spans="1:15" x14ac:dyDescent="0.2">
      <c r="A57" s="3" t="str">
        <f>+VLOOKUP(B57,studies!$A$2:$C$102,3)</f>
        <v>Parry (1993)</v>
      </c>
      <c r="B57" s="87">
        <v>10</v>
      </c>
      <c r="C57" s="3">
        <v>0.78294737386476354</v>
      </c>
      <c r="D57" s="90" t="str">
        <f t="shared" si="0"/>
        <v/>
      </c>
      <c r="K57" s="98" t="str">
        <f t="shared" si="2"/>
        <v/>
      </c>
      <c r="L57" s="98" t="str">
        <f t="shared" si="3"/>
        <v/>
      </c>
      <c r="M57" s="3" t="s">
        <v>238</v>
      </c>
      <c r="N57" s="3" t="s">
        <v>238</v>
      </c>
      <c r="O57" s="3" t="s">
        <v>238</v>
      </c>
    </row>
    <row r="58" spans="1:15" x14ac:dyDescent="0.2">
      <c r="A58" s="3" t="str">
        <f>+VLOOKUP(B58,studies!$A$2:$C$102,3)</f>
        <v>Parry (1993)</v>
      </c>
      <c r="B58" s="87">
        <v>10</v>
      </c>
      <c r="C58" s="3">
        <v>4.6976842431885801</v>
      </c>
      <c r="D58" s="90" t="str">
        <f t="shared" si="0"/>
        <v/>
      </c>
      <c r="K58" s="98" t="str">
        <f t="shared" si="2"/>
        <v/>
      </c>
      <c r="L58" s="98" t="str">
        <f t="shared" si="3"/>
        <v/>
      </c>
      <c r="M58" s="3" t="s">
        <v>238</v>
      </c>
      <c r="N58" s="3" t="s">
        <v>238</v>
      </c>
      <c r="O58" s="3" t="s">
        <v>238</v>
      </c>
    </row>
    <row r="59" spans="1:15" x14ac:dyDescent="0.2">
      <c r="A59" s="3" t="str">
        <f>+VLOOKUP(B59,studies!$A$2:$C$102,3)</f>
        <v>Parry (1993)</v>
      </c>
      <c r="B59" s="87">
        <v>10</v>
      </c>
      <c r="C59" s="3">
        <v>1.4901256470329369</v>
      </c>
      <c r="D59" s="90" t="str">
        <f t="shared" si="0"/>
        <v/>
      </c>
      <c r="K59" s="98" t="str">
        <f t="shared" si="2"/>
        <v/>
      </c>
      <c r="L59" s="98" t="str">
        <f t="shared" si="3"/>
        <v/>
      </c>
      <c r="M59" s="3" t="s">
        <v>238</v>
      </c>
      <c r="N59" s="3" t="s">
        <v>238</v>
      </c>
      <c r="O59" s="3" t="s">
        <v>238</v>
      </c>
    </row>
    <row r="60" spans="1:15" x14ac:dyDescent="0.2">
      <c r="A60" s="3" t="str">
        <f>+VLOOKUP(B60,studies!$A$2:$C$102,3)</f>
        <v>Parry (1993)</v>
      </c>
      <c r="B60" s="87">
        <v>10</v>
      </c>
      <c r="C60" s="3">
        <v>8.9407538821976207</v>
      </c>
      <c r="D60" s="90" t="str">
        <f t="shared" si="0"/>
        <v/>
      </c>
      <c r="K60" s="98" t="str">
        <f t="shared" si="2"/>
        <v/>
      </c>
      <c r="L60" s="98" t="str">
        <f t="shared" si="3"/>
        <v/>
      </c>
      <c r="M60" s="3" t="s">
        <v>238</v>
      </c>
      <c r="N60" s="3" t="s">
        <v>238</v>
      </c>
      <c r="O60" s="3" t="s">
        <v>238</v>
      </c>
    </row>
    <row r="61" spans="1:15" x14ac:dyDescent="0.2">
      <c r="A61" s="3" t="str">
        <f>+VLOOKUP(B61,studies!$A$2:$C$102,3)</f>
        <v>Parry (1993)</v>
      </c>
      <c r="B61" s="87">
        <v>10</v>
      </c>
      <c r="C61" s="3">
        <v>3.9021086858743859</v>
      </c>
      <c r="D61" s="90" t="str">
        <f t="shared" si="0"/>
        <v/>
      </c>
      <c r="K61" s="98" t="str">
        <f t="shared" si="2"/>
        <v/>
      </c>
      <c r="L61" s="98" t="str">
        <f t="shared" si="3"/>
        <v/>
      </c>
      <c r="M61" s="3" t="s">
        <v>238</v>
      </c>
      <c r="N61" s="3" t="s">
        <v>238</v>
      </c>
      <c r="O61" s="3" t="s">
        <v>238</v>
      </c>
    </row>
    <row r="62" spans="1:15" x14ac:dyDescent="0.2">
      <c r="A62" s="3" t="str">
        <f>+VLOOKUP(B62,studies!$A$2:$C$102,3)</f>
        <v>Parry (1993)</v>
      </c>
      <c r="B62" s="87">
        <v>10</v>
      </c>
      <c r="C62" s="3">
        <v>23.412652115246317</v>
      </c>
      <c r="D62" s="90" t="str">
        <f t="shared" si="0"/>
        <v/>
      </c>
      <c r="K62" s="98" t="str">
        <f t="shared" si="2"/>
        <v/>
      </c>
      <c r="L62" s="98" t="str">
        <f t="shared" si="3"/>
        <v/>
      </c>
      <c r="M62" s="3" t="s">
        <v>238</v>
      </c>
      <c r="N62" s="3" t="s">
        <v>238</v>
      </c>
      <c r="O62" s="3" t="s">
        <v>238</v>
      </c>
    </row>
    <row r="63" spans="1:15" x14ac:dyDescent="0.2">
      <c r="A63" s="3" t="str">
        <f>+VLOOKUP(B63,studies!$A$2:$C$102,3)</f>
        <v>Parry (1993)</v>
      </c>
      <c r="B63" s="87">
        <v>10</v>
      </c>
      <c r="C63" s="3">
        <v>1.1617928773477137</v>
      </c>
      <c r="D63" s="90" t="str">
        <f t="shared" si="0"/>
        <v/>
      </c>
      <c r="K63" s="98" t="str">
        <f t="shared" si="2"/>
        <v/>
      </c>
      <c r="L63" s="98" t="str">
        <f t="shared" si="3"/>
        <v/>
      </c>
      <c r="M63" s="3" t="s">
        <v>238</v>
      </c>
      <c r="N63" s="3" t="s">
        <v>238</v>
      </c>
      <c r="O63" s="3" t="s">
        <v>238</v>
      </c>
    </row>
    <row r="64" spans="1:15" x14ac:dyDescent="0.2">
      <c r="A64" s="3" t="str">
        <f>+VLOOKUP(B64,studies!$A$2:$C$102,3)</f>
        <v>Parry (1993)</v>
      </c>
      <c r="B64" s="87">
        <v>10</v>
      </c>
      <c r="C64" s="3">
        <v>6.9707572640862816</v>
      </c>
      <c r="D64" s="90" t="str">
        <f t="shared" si="0"/>
        <v/>
      </c>
      <c r="K64" s="98" t="str">
        <f t="shared" si="2"/>
        <v/>
      </c>
      <c r="L64" s="98" t="str">
        <f t="shared" si="3"/>
        <v/>
      </c>
      <c r="M64" s="3" t="s">
        <v>238</v>
      </c>
      <c r="N64" s="3" t="s">
        <v>238</v>
      </c>
      <c r="O64" s="3" t="s">
        <v>238</v>
      </c>
    </row>
    <row r="65" spans="1:15" x14ac:dyDescent="0.2">
      <c r="A65" s="3" t="str">
        <f>+VLOOKUP(B65,studies!$A$2:$C$102,3)</f>
        <v>Parry (1993)</v>
      </c>
      <c r="B65" s="87">
        <v>10</v>
      </c>
      <c r="C65" s="3">
        <v>1.7679456829204339</v>
      </c>
      <c r="D65" s="90" t="str">
        <f t="shared" si="0"/>
        <v/>
      </c>
      <c r="K65" s="98" t="str">
        <f t="shared" si="2"/>
        <v/>
      </c>
      <c r="L65" s="98" t="str">
        <f t="shared" si="3"/>
        <v/>
      </c>
      <c r="M65" s="3" t="s">
        <v>238</v>
      </c>
      <c r="N65" s="3" t="s">
        <v>238</v>
      </c>
      <c r="O65" s="3" t="s">
        <v>238</v>
      </c>
    </row>
    <row r="66" spans="1:15" x14ac:dyDescent="0.2">
      <c r="A66" s="3" t="str">
        <f>+VLOOKUP(B66,studies!$A$2:$C$102,3)</f>
        <v>Parry (1993)</v>
      </c>
      <c r="B66" s="87">
        <v>10</v>
      </c>
      <c r="C66" s="3">
        <v>10.607674097522601</v>
      </c>
      <c r="D66" s="90" t="str">
        <f t="shared" si="0"/>
        <v/>
      </c>
      <c r="K66" s="98" t="str">
        <f t="shared" si="2"/>
        <v/>
      </c>
      <c r="L66" s="98" t="str">
        <f t="shared" si="3"/>
        <v/>
      </c>
      <c r="M66" s="3" t="s">
        <v>238</v>
      </c>
      <c r="N66" s="3" t="s">
        <v>238</v>
      </c>
      <c r="O66" s="3" t="s">
        <v>238</v>
      </c>
    </row>
    <row r="67" spans="1:15" x14ac:dyDescent="0.2">
      <c r="A67" s="3" t="str">
        <f>+VLOOKUP(B67,studies!$A$2:$C$102,3)</f>
        <v>Parry (1993)</v>
      </c>
      <c r="B67" s="87">
        <v>10</v>
      </c>
      <c r="C67" s="3">
        <v>3.4853786320431408</v>
      </c>
      <c r="D67" s="90" t="str">
        <f t="shared" si="0"/>
        <v/>
      </c>
      <c r="K67" s="98" t="str">
        <f t="shared" si="2"/>
        <v/>
      </c>
      <c r="L67" s="98" t="str">
        <f t="shared" si="3"/>
        <v/>
      </c>
      <c r="M67" s="3" t="s">
        <v>238</v>
      </c>
      <c r="N67" s="3" t="s">
        <v>238</v>
      </c>
      <c r="O67" s="3" t="s">
        <v>238</v>
      </c>
    </row>
    <row r="68" spans="1:15" x14ac:dyDescent="0.2">
      <c r="A68" s="3" t="str">
        <f>+VLOOKUP(B68,studies!$A$2:$C$102,3)</f>
        <v>Parry (1993)</v>
      </c>
      <c r="B68" s="87">
        <v>10</v>
      </c>
      <c r="C68" s="3">
        <v>20.912271792258842</v>
      </c>
      <c r="D68" s="90" t="str">
        <f t="shared" si="0"/>
        <v/>
      </c>
      <c r="K68" s="98" t="str">
        <f t="shared" si="2"/>
        <v/>
      </c>
      <c r="L68" s="98" t="str">
        <f t="shared" si="3"/>
        <v/>
      </c>
      <c r="M68" s="3" t="s">
        <v>238</v>
      </c>
      <c r="N68" s="3" t="s">
        <v>238</v>
      </c>
      <c r="O68" s="3" t="s">
        <v>238</v>
      </c>
    </row>
    <row r="69" spans="1:15" x14ac:dyDescent="0.2">
      <c r="A69" s="3" t="str">
        <f>+VLOOKUP(B69,studies!$A$2:$C$102,3)</f>
        <v>Parry (1993)</v>
      </c>
      <c r="B69" s="87">
        <v>10</v>
      </c>
      <c r="C69" s="3">
        <v>7.0970390985805984</v>
      </c>
      <c r="D69" s="90" t="str">
        <f t="shared" ref="D69:D132" si="6">+IF(B69=B68,"",A69)</f>
        <v/>
      </c>
      <c r="K69" s="98" t="str">
        <f t="shared" si="2"/>
        <v/>
      </c>
      <c r="L69" s="98" t="str">
        <f t="shared" si="3"/>
        <v/>
      </c>
      <c r="M69" s="3" t="s">
        <v>238</v>
      </c>
      <c r="N69" s="3" t="s">
        <v>238</v>
      </c>
      <c r="O69" s="3" t="s">
        <v>238</v>
      </c>
    </row>
    <row r="70" spans="1:15" x14ac:dyDescent="0.2">
      <c r="A70" s="3" t="str">
        <f>+VLOOKUP(B70,studies!$A$2:$C$102,3)</f>
        <v>Parry (1993)</v>
      </c>
      <c r="B70" s="87">
        <v>10</v>
      </c>
      <c r="C70" s="3">
        <v>39.854546966406353</v>
      </c>
      <c r="D70" s="90" t="str">
        <f t="shared" si="6"/>
        <v/>
      </c>
      <c r="K70" s="98" t="str">
        <f t="shared" si="2"/>
        <v/>
      </c>
      <c r="L70" s="98" t="str">
        <f t="shared" si="3"/>
        <v/>
      </c>
      <c r="M70" s="3" t="s">
        <v>238</v>
      </c>
      <c r="N70" s="3" t="s">
        <v>238</v>
      </c>
      <c r="O70" s="3" t="s">
        <v>238</v>
      </c>
    </row>
    <row r="71" spans="1:15" x14ac:dyDescent="0.2">
      <c r="A71" s="3" t="str">
        <f>+VLOOKUP(B71,studies!$A$2:$C$102,3)</f>
        <v>Parry (1993)</v>
      </c>
      <c r="B71" s="87">
        <v>10</v>
      </c>
      <c r="C71" s="3">
        <v>17.32586769262025</v>
      </c>
      <c r="D71" s="90" t="str">
        <f t="shared" si="6"/>
        <v/>
      </c>
      <c r="K71" s="98" t="str">
        <f t="shared" ref="K71:K134" si="7">+IF(I71="","",(G71-E71)/1.96)</f>
        <v/>
      </c>
      <c r="L71" s="98" t="str">
        <f t="shared" ref="L71:L134" si="8">+IF(I71="","",(I71-G71)/1.96)</f>
        <v/>
      </c>
      <c r="M71" s="3" t="s">
        <v>238</v>
      </c>
      <c r="N71" s="3" t="s">
        <v>238</v>
      </c>
      <c r="O71" s="3" t="s">
        <v>238</v>
      </c>
    </row>
    <row r="72" spans="1:15" x14ac:dyDescent="0.2">
      <c r="A72" s="3" t="str">
        <f>+VLOOKUP(B72,studies!$A$2:$C$102,3)</f>
        <v>Parry (1993)</v>
      </c>
      <c r="B72" s="87">
        <v>10</v>
      </c>
      <c r="C72" s="3">
        <v>103.9552061557215</v>
      </c>
      <c r="D72" s="90" t="str">
        <f t="shared" si="6"/>
        <v/>
      </c>
      <c r="K72" s="98" t="str">
        <f t="shared" si="7"/>
        <v/>
      </c>
      <c r="L72" s="98" t="str">
        <f t="shared" si="8"/>
        <v/>
      </c>
      <c r="M72" s="3" t="s">
        <v>238</v>
      </c>
      <c r="N72" s="3" t="s">
        <v>238</v>
      </c>
      <c r="O72" s="3" t="s">
        <v>238</v>
      </c>
    </row>
    <row r="73" spans="1:15" x14ac:dyDescent="0.2">
      <c r="A73" s="3" t="str">
        <f>+VLOOKUP(B73,studies!$A$2:$C$102,3)</f>
        <v>Parry (1993)</v>
      </c>
      <c r="B73" s="87">
        <v>10</v>
      </c>
      <c r="C73" s="3">
        <v>115.92672406578272</v>
      </c>
      <c r="D73" s="90" t="str">
        <f t="shared" si="6"/>
        <v/>
      </c>
      <c r="K73" s="98" t="str">
        <f t="shared" si="7"/>
        <v/>
      </c>
      <c r="L73" s="98" t="str">
        <f t="shared" si="8"/>
        <v/>
      </c>
      <c r="M73" s="3" t="s">
        <v>238</v>
      </c>
      <c r="N73" s="3" t="s">
        <v>238</v>
      </c>
      <c r="O73" s="3" t="s">
        <v>238</v>
      </c>
    </row>
    <row r="74" spans="1:15" x14ac:dyDescent="0.2">
      <c r="A74" s="3" t="str">
        <f>+VLOOKUP(B74,studies!$A$2:$C$102,3)</f>
        <v>Parry (1993)</v>
      </c>
      <c r="B74" s="87">
        <v>10</v>
      </c>
      <c r="C74" s="3">
        <v>695.81290806368497</v>
      </c>
      <c r="D74" s="90" t="str">
        <f t="shared" si="6"/>
        <v/>
      </c>
      <c r="K74" s="98" t="str">
        <f t="shared" si="7"/>
        <v/>
      </c>
      <c r="L74" s="98" t="str">
        <f t="shared" si="8"/>
        <v/>
      </c>
      <c r="M74" s="3" t="s">
        <v>238</v>
      </c>
      <c r="N74" s="3" t="s">
        <v>238</v>
      </c>
      <c r="O74" s="3" t="s">
        <v>238</v>
      </c>
    </row>
    <row r="75" spans="1:15" x14ac:dyDescent="0.2">
      <c r="A75" s="3" t="str">
        <f>+VLOOKUP(B75,studies!$A$2:$C$102,3)</f>
        <v>Parry (1993)</v>
      </c>
      <c r="B75" s="87">
        <v>10</v>
      </c>
      <c r="C75" s="3">
        <v>174.26893160215704</v>
      </c>
      <c r="D75" s="90" t="str">
        <f t="shared" si="6"/>
        <v/>
      </c>
      <c r="K75" s="98" t="str">
        <f t="shared" si="7"/>
        <v/>
      </c>
      <c r="L75" s="98" t="str">
        <f t="shared" si="8"/>
        <v/>
      </c>
      <c r="M75" s="3" t="s">
        <v>238</v>
      </c>
      <c r="N75" s="3" t="s">
        <v>238</v>
      </c>
      <c r="O75" s="3" t="s">
        <v>238</v>
      </c>
    </row>
    <row r="76" spans="1:15" x14ac:dyDescent="0.2">
      <c r="A76" s="3" t="str">
        <f>+VLOOKUP(B76,studies!$A$2:$C$102,3)</f>
        <v>Parry (1993)</v>
      </c>
      <c r="B76" s="87">
        <v>10</v>
      </c>
      <c r="C76" s="3">
        <v>1045.3610259439536</v>
      </c>
      <c r="D76" s="90" t="str">
        <f t="shared" si="6"/>
        <v/>
      </c>
      <c r="K76" s="98" t="str">
        <f t="shared" si="7"/>
        <v/>
      </c>
      <c r="L76" s="98" t="str">
        <f t="shared" si="8"/>
        <v/>
      </c>
      <c r="M76" s="3" t="s">
        <v>238</v>
      </c>
      <c r="N76" s="3" t="s">
        <v>238</v>
      </c>
      <c r="O76" s="3" t="s">
        <v>238</v>
      </c>
    </row>
    <row r="77" spans="1:15" x14ac:dyDescent="0.2">
      <c r="A77" s="3" t="str">
        <f>+VLOOKUP(B77,studies!$A$2:$C$102,3)</f>
        <v>Parry (1993)</v>
      </c>
      <c r="B77" s="87">
        <v>10</v>
      </c>
      <c r="C77" s="3">
        <v>348.28529953532541</v>
      </c>
      <c r="D77" s="90" t="str">
        <f t="shared" si="6"/>
        <v/>
      </c>
      <c r="K77" s="98" t="str">
        <f t="shared" si="7"/>
        <v/>
      </c>
      <c r="L77" s="98" t="str">
        <f t="shared" si="8"/>
        <v/>
      </c>
      <c r="M77" s="3" t="s">
        <v>238</v>
      </c>
      <c r="N77" s="3" t="s">
        <v>238</v>
      </c>
      <c r="O77" s="3" t="s">
        <v>238</v>
      </c>
    </row>
    <row r="78" spans="1:15" x14ac:dyDescent="0.2">
      <c r="A78" s="3" t="str">
        <f>+VLOOKUP(B78,studies!$A$2:$C$102,3)</f>
        <v>Parry (1993)</v>
      </c>
      <c r="B78" s="87">
        <v>10</v>
      </c>
      <c r="C78" s="3">
        <v>2089.3329517084699</v>
      </c>
      <c r="D78" s="90" t="str">
        <f t="shared" si="6"/>
        <v/>
      </c>
      <c r="K78" s="98" t="str">
        <f t="shared" si="7"/>
        <v/>
      </c>
      <c r="L78" s="98" t="str">
        <f t="shared" si="8"/>
        <v/>
      </c>
      <c r="M78" s="3" t="s">
        <v>238</v>
      </c>
      <c r="N78" s="3" t="s">
        <v>238</v>
      </c>
      <c r="O78" s="3" t="s">
        <v>238</v>
      </c>
    </row>
    <row r="79" spans="1:15" x14ac:dyDescent="0.2">
      <c r="A79" s="3" t="str">
        <f>+VLOOKUP(B79,studies!$A$2:$C$102,3)</f>
        <v>Parry (1993)</v>
      </c>
      <c r="B79" s="87">
        <v>10</v>
      </c>
      <c r="C79" s="3">
        <v>664.11616760561151</v>
      </c>
      <c r="D79" s="90" t="str">
        <f t="shared" si="6"/>
        <v/>
      </c>
      <c r="K79" s="98" t="str">
        <f t="shared" si="7"/>
        <v/>
      </c>
      <c r="L79" s="98" t="str">
        <f t="shared" si="8"/>
        <v/>
      </c>
      <c r="M79" s="3" t="s">
        <v>238</v>
      </c>
      <c r="N79" s="3" t="s">
        <v>238</v>
      </c>
      <c r="O79" s="3" t="s">
        <v>238</v>
      </c>
    </row>
    <row r="80" spans="1:15" x14ac:dyDescent="0.2">
      <c r="A80" s="3" t="str">
        <f>+VLOOKUP(B80,studies!$A$2:$C$102,3)</f>
        <v>Parry (1993)</v>
      </c>
      <c r="B80" s="87">
        <v>10</v>
      </c>
      <c r="C80" s="3">
        <v>3984.3181601301858</v>
      </c>
      <c r="D80" s="90" t="str">
        <f t="shared" si="6"/>
        <v/>
      </c>
      <c r="K80" s="98" t="str">
        <f t="shared" si="7"/>
        <v/>
      </c>
      <c r="L80" s="98" t="str">
        <f t="shared" si="8"/>
        <v/>
      </c>
      <c r="M80" s="3" t="s">
        <v>238</v>
      </c>
      <c r="N80" s="3" t="s">
        <v>238</v>
      </c>
      <c r="O80" s="3" t="s">
        <v>238</v>
      </c>
    </row>
    <row r="81" spans="1:15" x14ac:dyDescent="0.2">
      <c r="A81" s="3" t="str">
        <f>+VLOOKUP(B81,studies!$A$2:$C$102,3)</f>
        <v>Parry (1993)</v>
      </c>
      <c r="B81" s="87">
        <v>10</v>
      </c>
      <c r="C81" s="3">
        <v>1732.8393329310138</v>
      </c>
      <c r="D81" s="90" t="str">
        <f t="shared" si="6"/>
        <v/>
      </c>
      <c r="K81" s="98" t="str">
        <f t="shared" si="7"/>
        <v/>
      </c>
      <c r="L81" s="98" t="str">
        <f t="shared" si="8"/>
        <v/>
      </c>
      <c r="M81" s="3" t="s">
        <v>238</v>
      </c>
      <c r="N81" s="3" t="s">
        <v>238</v>
      </c>
      <c r="O81" s="3" t="s">
        <v>238</v>
      </c>
    </row>
    <row r="82" spans="1:15" x14ac:dyDescent="0.2">
      <c r="A82" s="3" t="str">
        <f>+VLOOKUP(B82,studies!$A$2:$C$102,3)</f>
        <v>Parry (1993)</v>
      </c>
      <c r="B82" s="87">
        <v>10</v>
      </c>
      <c r="C82" s="3">
        <v>10396.657152082598</v>
      </c>
      <c r="D82" s="90" t="str">
        <f t="shared" si="6"/>
        <v/>
      </c>
      <c r="K82" s="98" t="str">
        <f t="shared" si="7"/>
        <v/>
      </c>
      <c r="L82" s="98" t="str">
        <f t="shared" si="8"/>
        <v/>
      </c>
      <c r="M82" s="3" t="s">
        <v>238</v>
      </c>
      <c r="N82" s="3" t="s">
        <v>238</v>
      </c>
      <c r="O82" s="3" t="s">
        <v>238</v>
      </c>
    </row>
    <row r="83" spans="1:15" x14ac:dyDescent="0.2">
      <c r="A83" s="3" t="str">
        <f>+VLOOKUP(B83,studies!$A$2:$C$102,3)</f>
        <v>Peck &amp; Teisberg (1993)</v>
      </c>
      <c r="B83" s="87">
        <v>11</v>
      </c>
      <c r="C83" s="3">
        <v>11.105528860183005</v>
      </c>
      <c r="D83" s="90" t="str">
        <f t="shared" si="6"/>
        <v>Peck &amp; Teisberg (1993)</v>
      </c>
      <c r="E83" s="90">
        <f>+PERCENTILE($C83:$C109,E$2)</f>
        <v>7.6072872692253579</v>
      </c>
      <c r="F83" s="90">
        <f t="shared" ref="F83:I83" si="9">+PERCENTILE($C83:$C109,F$2)</f>
        <v>20.267590169833987</v>
      </c>
      <c r="G83" s="98">
        <f t="shared" si="9"/>
        <v>24.543218781004448</v>
      </c>
      <c r="H83" s="90">
        <f t="shared" si="9"/>
        <v>27.708294506156601</v>
      </c>
      <c r="I83" s="90">
        <f t="shared" si="9"/>
        <v>55.305533723711363</v>
      </c>
      <c r="J83" s="98">
        <f>+STDEV($C83:$C109)</f>
        <v>14.135645812320933</v>
      </c>
      <c r="K83" s="98">
        <f t="shared" si="7"/>
        <v>8.6407813835607588</v>
      </c>
      <c r="L83" s="98">
        <f t="shared" si="8"/>
        <v>15.695058644238223</v>
      </c>
      <c r="M83" s="3" t="s">
        <v>238</v>
      </c>
      <c r="N83" s="3" t="s">
        <v>238</v>
      </c>
      <c r="O83" s="3" t="s">
        <v>238</v>
      </c>
    </row>
    <row r="84" spans="1:15" x14ac:dyDescent="0.2">
      <c r="A84" s="3" t="str">
        <f>+VLOOKUP(B84,studies!$A$2:$C$102,3)</f>
        <v>Peck &amp; Teisberg (1993)</v>
      </c>
      <c r="B84" s="87">
        <v>11</v>
      </c>
      <c r="C84" s="3">
        <v>24.210052915198954</v>
      </c>
      <c r="D84" s="90" t="str">
        <f t="shared" si="6"/>
        <v/>
      </c>
      <c r="K84" s="98" t="str">
        <f t="shared" si="7"/>
        <v/>
      </c>
      <c r="L84" s="98" t="str">
        <f t="shared" si="8"/>
        <v/>
      </c>
      <c r="M84" s="3" t="s">
        <v>238</v>
      </c>
      <c r="N84" s="3" t="s">
        <v>238</v>
      </c>
      <c r="O84" s="3" t="s">
        <v>238</v>
      </c>
    </row>
    <row r="85" spans="1:15" x14ac:dyDescent="0.2">
      <c r="A85" s="3" t="str">
        <f>+VLOOKUP(B85,studies!$A$2:$C$102,3)</f>
        <v>Peck &amp; Teisberg (1993)</v>
      </c>
      <c r="B85" s="87">
        <v>11</v>
      </c>
      <c r="C85" s="3">
        <v>24.543218781004448</v>
      </c>
      <c r="D85" s="90" t="str">
        <f t="shared" si="6"/>
        <v/>
      </c>
      <c r="K85" s="98" t="str">
        <f t="shared" si="7"/>
        <v/>
      </c>
      <c r="L85" s="98" t="str">
        <f t="shared" si="8"/>
        <v/>
      </c>
      <c r="M85" s="3" t="s">
        <v>238</v>
      </c>
      <c r="N85" s="3" t="s">
        <v>238</v>
      </c>
      <c r="O85" s="3" t="s">
        <v>238</v>
      </c>
    </row>
    <row r="86" spans="1:15" x14ac:dyDescent="0.2">
      <c r="A86" s="3" t="str">
        <f>+VLOOKUP(B86,studies!$A$2:$C$102,3)</f>
        <v>Peck &amp; Teisberg (1993)</v>
      </c>
      <c r="B86" s="87">
        <v>11</v>
      </c>
      <c r="C86" s="3">
        <v>25.431661089819084</v>
      </c>
      <c r="D86" s="90" t="str">
        <f t="shared" si="6"/>
        <v/>
      </c>
      <c r="K86" s="98" t="str">
        <f t="shared" si="7"/>
        <v/>
      </c>
      <c r="L86" s="98" t="str">
        <f t="shared" si="8"/>
        <v/>
      </c>
      <c r="M86" s="3" t="s">
        <v>238</v>
      </c>
      <c r="N86" s="3" t="s">
        <v>238</v>
      </c>
      <c r="O86" s="3" t="s">
        <v>238</v>
      </c>
    </row>
    <row r="87" spans="1:15" x14ac:dyDescent="0.2">
      <c r="A87" s="3" t="str">
        <f>+VLOOKUP(B87,studies!$A$2:$C$102,3)</f>
        <v>Peck &amp; Teisberg (1993)</v>
      </c>
      <c r="B87" s="87">
        <v>11</v>
      </c>
      <c r="C87" s="3">
        <v>24.210052915198954</v>
      </c>
      <c r="D87" s="90" t="str">
        <f t="shared" si="6"/>
        <v/>
      </c>
      <c r="K87" s="98" t="str">
        <f t="shared" si="7"/>
        <v/>
      </c>
      <c r="L87" s="98" t="str">
        <f t="shared" si="8"/>
        <v/>
      </c>
      <c r="M87" s="3" t="s">
        <v>238</v>
      </c>
      <c r="N87" s="3" t="s">
        <v>238</v>
      </c>
      <c r="O87" s="3" t="s">
        <v>238</v>
      </c>
    </row>
    <row r="88" spans="1:15" x14ac:dyDescent="0.2">
      <c r="A88" s="3" t="str">
        <f>+VLOOKUP(B88,studies!$A$2:$C$102,3)</f>
        <v>Peck &amp; Teisberg (1993)</v>
      </c>
      <c r="B88" s="87">
        <v>11</v>
      </c>
      <c r="C88" s="3">
        <v>24.543218781004448</v>
      </c>
      <c r="D88" s="90" t="str">
        <f t="shared" si="6"/>
        <v/>
      </c>
      <c r="K88" s="98" t="str">
        <f t="shared" si="7"/>
        <v/>
      </c>
      <c r="L88" s="98" t="str">
        <f t="shared" si="8"/>
        <v/>
      </c>
      <c r="M88" s="3" t="s">
        <v>238</v>
      </c>
      <c r="N88" s="3" t="s">
        <v>238</v>
      </c>
      <c r="O88" s="3" t="s">
        <v>238</v>
      </c>
    </row>
    <row r="89" spans="1:15" x14ac:dyDescent="0.2">
      <c r="A89" s="3" t="str">
        <f>+VLOOKUP(B89,studies!$A$2:$C$102,3)</f>
        <v>Peck &amp; Teisberg (1993)</v>
      </c>
      <c r="B89" s="87">
        <v>11</v>
      </c>
      <c r="C89" s="3">
        <v>3.7758798124622222</v>
      </c>
      <c r="D89" s="90" t="str">
        <f t="shared" si="6"/>
        <v/>
      </c>
      <c r="K89" s="98" t="str">
        <f t="shared" si="7"/>
        <v/>
      </c>
      <c r="L89" s="98" t="str">
        <f t="shared" si="8"/>
        <v/>
      </c>
      <c r="M89" s="3" t="s">
        <v>238</v>
      </c>
      <c r="N89" s="3" t="s">
        <v>238</v>
      </c>
      <c r="O89" s="3" t="s">
        <v>238</v>
      </c>
    </row>
    <row r="90" spans="1:15" x14ac:dyDescent="0.2">
      <c r="A90" s="3" t="str">
        <f>+VLOOKUP(B90,studies!$A$2:$C$102,3)</f>
        <v>Peck &amp; Teisberg (1993)</v>
      </c>
      <c r="B90" s="87">
        <v>11</v>
      </c>
      <c r="C90" s="3">
        <v>6.1080408731006539</v>
      </c>
      <c r="D90" s="90" t="str">
        <f t="shared" si="6"/>
        <v/>
      </c>
      <c r="K90" s="98" t="str">
        <f t="shared" si="7"/>
        <v/>
      </c>
      <c r="L90" s="98" t="str">
        <f t="shared" si="8"/>
        <v/>
      </c>
      <c r="M90" s="3" t="s">
        <v>238</v>
      </c>
      <c r="N90" s="3" t="s">
        <v>238</v>
      </c>
      <c r="O90" s="3" t="s">
        <v>238</v>
      </c>
    </row>
    <row r="91" spans="1:15" x14ac:dyDescent="0.2">
      <c r="A91" s="3" t="str">
        <f>+VLOOKUP(B91,studies!$A$2:$C$102,3)</f>
        <v>Peck &amp; Teisberg (1993)</v>
      </c>
      <c r="B91" s="87">
        <v>11</v>
      </c>
      <c r="C91" s="3">
        <v>13.326634632219609</v>
      </c>
      <c r="D91" s="90" t="str">
        <f t="shared" si="6"/>
        <v/>
      </c>
      <c r="K91" s="98" t="str">
        <f t="shared" si="7"/>
        <v/>
      </c>
      <c r="L91" s="98" t="str">
        <f t="shared" si="8"/>
        <v/>
      </c>
      <c r="M91" s="3" t="s">
        <v>238</v>
      </c>
      <c r="N91" s="3" t="s">
        <v>238</v>
      </c>
      <c r="O91" s="3" t="s">
        <v>238</v>
      </c>
    </row>
    <row r="92" spans="1:15" x14ac:dyDescent="0.2">
      <c r="A92" s="3" t="str">
        <f>+VLOOKUP(B92,studies!$A$2:$C$102,3)</f>
        <v>Peck &amp; Teisberg (1993)</v>
      </c>
      <c r="B92" s="87">
        <v>11</v>
      </c>
      <c r="C92" s="3">
        <v>11.882915880395815</v>
      </c>
      <c r="D92" s="90" t="str">
        <f t="shared" si="6"/>
        <v/>
      </c>
      <c r="K92" s="98" t="str">
        <f t="shared" si="7"/>
        <v/>
      </c>
      <c r="L92" s="98" t="str">
        <f t="shared" si="8"/>
        <v/>
      </c>
      <c r="M92" s="3" t="s">
        <v>238</v>
      </c>
      <c r="N92" s="3" t="s">
        <v>238</v>
      </c>
      <c r="O92" s="3" t="s">
        <v>238</v>
      </c>
    </row>
    <row r="93" spans="1:15" x14ac:dyDescent="0.2">
      <c r="A93" s="3" t="str">
        <f>+VLOOKUP(B93,studies!$A$2:$C$102,3)</f>
        <v>Peck &amp; Teisberg (1993)</v>
      </c>
      <c r="B93" s="87">
        <v>11</v>
      </c>
      <c r="C93" s="3">
        <v>21.211560122949543</v>
      </c>
      <c r="D93" s="90" t="str">
        <f t="shared" si="6"/>
        <v/>
      </c>
      <c r="K93" s="98" t="str">
        <f t="shared" si="7"/>
        <v/>
      </c>
      <c r="L93" s="98" t="str">
        <f t="shared" si="8"/>
        <v/>
      </c>
      <c r="M93" s="3" t="s">
        <v>238</v>
      </c>
      <c r="N93" s="3" t="s">
        <v>238</v>
      </c>
      <c r="O93" s="3" t="s">
        <v>238</v>
      </c>
    </row>
    <row r="94" spans="1:15" x14ac:dyDescent="0.2">
      <c r="A94" s="3" t="str">
        <f>+VLOOKUP(B94,studies!$A$2:$C$102,3)</f>
        <v>Peck &amp; Teisberg (1993)</v>
      </c>
      <c r="B94" s="87">
        <v>11</v>
      </c>
      <c r="C94" s="3">
        <v>21.322615411551372</v>
      </c>
      <c r="D94" s="90" t="str">
        <f t="shared" si="6"/>
        <v/>
      </c>
      <c r="K94" s="98" t="str">
        <f t="shared" si="7"/>
        <v/>
      </c>
      <c r="L94" s="98" t="str">
        <f t="shared" si="8"/>
        <v/>
      </c>
      <c r="M94" s="3" t="s">
        <v>238</v>
      </c>
      <c r="N94" s="3" t="s">
        <v>238</v>
      </c>
      <c r="O94" s="3" t="s">
        <v>238</v>
      </c>
    </row>
    <row r="95" spans="1:15" x14ac:dyDescent="0.2">
      <c r="A95" s="3" t="str">
        <f>+VLOOKUP(B95,studies!$A$2:$C$102,3)</f>
        <v>Peck &amp; Teisberg (1993)</v>
      </c>
      <c r="B95" s="87">
        <v>11</v>
      </c>
      <c r="C95" s="3">
        <v>19.323620216718428</v>
      </c>
      <c r="D95" s="90" t="str">
        <f t="shared" si="6"/>
        <v/>
      </c>
      <c r="K95" s="98" t="str">
        <f t="shared" si="7"/>
        <v/>
      </c>
      <c r="L95" s="98" t="str">
        <f t="shared" si="8"/>
        <v/>
      </c>
      <c r="M95" s="3" t="s">
        <v>238</v>
      </c>
      <c r="N95" s="3" t="s">
        <v>238</v>
      </c>
      <c r="O95" s="3" t="s">
        <v>238</v>
      </c>
    </row>
    <row r="96" spans="1:15" x14ac:dyDescent="0.2">
      <c r="A96" s="3" t="str">
        <f>+VLOOKUP(B96,studies!$A$2:$C$102,3)</f>
        <v>Peck &amp; Teisberg (1993)</v>
      </c>
      <c r="B96" s="87">
        <v>11</v>
      </c>
      <c r="C96" s="3">
        <v>25.320605801217255</v>
      </c>
      <c r="D96" s="90" t="str">
        <f t="shared" si="6"/>
        <v/>
      </c>
      <c r="K96" s="98" t="str">
        <f t="shared" si="7"/>
        <v/>
      </c>
      <c r="L96" s="98" t="str">
        <f t="shared" si="8"/>
        <v/>
      </c>
      <c r="M96" s="3" t="s">
        <v>238</v>
      </c>
      <c r="N96" s="3" t="s">
        <v>238</v>
      </c>
      <c r="O96" s="3" t="s">
        <v>238</v>
      </c>
    </row>
    <row r="97" spans="1:15" x14ac:dyDescent="0.2">
      <c r="A97" s="3" t="str">
        <f>+VLOOKUP(B97,studies!$A$2:$C$102,3)</f>
        <v>Peck &amp; Teisberg (1993)</v>
      </c>
      <c r="B97" s="87">
        <v>11</v>
      </c>
      <c r="C97" s="3">
        <v>24.210052915198954</v>
      </c>
      <c r="D97" s="90" t="str">
        <f t="shared" si="6"/>
        <v/>
      </c>
      <c r="K97" s="98" t="str">
        <f t="shared" si="7"/>
        <v/>
      </c>
      <c r="L97" s="98" t="str">
        <f t="shared" si="8"/>
        <v/>
      </c>
      <c r="M97" s="3" t="s">
        <v>238</v>
      </c>
      <c r="N97" s="3" t="s">
        <v>238</v>
      </c>
      <c r="O97" s="3" t="s">
        <v>238</v>
      </c>
    </row>
    <row r="98" spans="1:15" x14ac:dyDescent="0.2">
      <c r="A98" s="3" t="str">
        <f>+VLOOKUP(B98,studies!$A$2:$C$102,3)</f>
        <v>Peck &amp; Teisberg (1993)</v>
      </c>
      <c r="B98" s="87">
        <v>11</v>
      </c>
      <c r="C98" s="3">
        <v>24.765329358208103</v>
      </c>
      <c r="D98" s="90" t="str">
        <f t="shared" si="6"/>
        <v/>
      </c>
      <c r="K98" s="98" t="str">
        <f t="shared" si="7"/>
        <v/>
      </c>
      <c r="L98" s="98" t="str">
        <f t="shared" si="8"/>
        <v/>
      </c>
      <c r="M98" s="3" t="s">
        <v>238</v>
      </c>
      <c r="N98" s="3" t="s">
        <v>238</v>
      </c>
      <c r="O98" s="3" t="s">
        <v>238</v>
      </c>
    </row>
    <row r="99" spans="1:15" x14ac:dyDescent="0.2">
      <c r="A99" s="3" t="str">
        <f>+VLOOKUP(B99,studies!$A$2:$C$102,3)</f>
        <v>Peck &amp; Teisberg (1993)</v>
      </c>
      <c r="B99" s="87">
        <v>11</v>
      </c>
      <c r="C99" s="3">
        <v>24.765329358208103</v>
      </c>
      <c r="D99" s="90" t="str">
        <f t="shared" si="6"/>
        <v/>
      </c>
      <c r="K99" s="98" t="str">
        <f t="shared" si="7"/>
        <v/>
      </c>
      <c r="L99" s="98" t="str">
        <f t="shared" si="8"/>
        <v/>
      </c>
      <c r="M99" s="3" t="s">
        <v>238</v>
      </c>
      <c r="N99" s="3" t="s">
        <v>238</v>
      </c>
      <c r="O99" s="3" t="s">
        <v>238</v>
      </c>
    </row>
    <row r="100" spans="1:15" x14ac:dyDescent="0.2">
      <c r="A100" s="3" t="str">
        <f>+VLOOKUP(B100,studies!$A$2:$C$102,3)</f>
        <v>Peck &amp; Teisberg (1993)</v>
      </c>
      <c r="B100" s="87">
        <v>11</v>
      </c>
      <c r="C100" s="3">
        <v>24.876384646809932</v>
      </c>
      <c r="D100" s="90" t="str">
        <f t="shared" si="6"/>
        <v/>
      </c>
      <c r="K100" s="98" t="str">
        <f t="shared" si="7"/>
        <v/>
      </c>
      <c r="L100" s="98" t="str">
        <f t="shared" si="8"/>
        <v/>
      </c>
      <c r="M100" s="3" t="s">
        <v>238</v>
      </c>
      <c r="N100" s="3" t="s">
        <v>238</v>
      </c>
      <c r="O100" s="3" t="s">
        <v>238</v>
      </c>
    </row>
    <row r="101" spans="1:15" x14ac:dyDescent="0.2">
      <c r="A101" s="3" t="str">
        <f>+VLOOKUP(B101,studies!$A$2:$C$102,3)</f>
        <v>Peck &amp; Teisberg (1993)</v>
      </c>
      <c r="B101" s="87">
        <v>11</v>
      </c>
      <c r="C101" s="3">
        <v>63.967846234654118</v>
      </c>
      <c r="D101" s="90" t="str">
        <f t="shared" si="6"/>
        <v/>
      </c>
      <c r="K101" s="98" t="str">
        <f t="shared" si="7"/>
        <v/>
      </c>
      <c r="L101" s="98" t="str">
        <f t="shared" si="8"/>
        <v/>
      </c>
      <c r="M101" s="3" t="s">
        <v>238</v>
      </c>
      <c r="N101" s="3" t="s">
        <v>238</v>
      </c>
      <c r="O101" s="3" t="s">
        <v>238</v>
      </c>
    </row>
    <row r="102" spans="1:15" x14ac:dyDescent="0.2">
      <c r="A102" s="3" t="str">
        <f>+VLOOKUP(B102,studies!$A$2:$C$102,3)</f>
        <v>Peck &amp; Teisberg (1993)</v>
      </c>
      <c r="B102" s="87">
        <v>11</v>
      </c>
      <c r="C102" s="3">
        <v>43.977894286324712</v>
      </c>
      <c r="D102" s="90" t="str">
        <f t="shared" si="6"/>
        <v/>
      </c>
      <c r="K102" s="98" t="str">
        <f t="shared" si="7"/>
        <v/>
      </c>
      <c r="L102" s="98" t="str">
        <f t="shared" si="8"/>
        <v/>
      </c>
      <c r="M102" s="3" t="s">
        <v>238</v>
      </c>
      <c r="N102" s="3" t="s">
        <v>238</v>
      </c>
      <c r="O102" s="3" t="s">
        <v>238</v>
      </c>
    </row>
    <row r="103" spans="1:15" x14ac:dyDescent="0.2">
      <c r="A103" s="3" t="str">
        <f>+VLOOKUP(B103,studies!$A$2:$C$102,3)</f>
        <v>Peck &amp; Teisberg (1993)</v>
      </c>
      <c r="B103" s="87">
        <v>11</v>
      </c>
      <c r="C103" s="3">
        <v>36.092968795594771</v>
      </c>
      <c r="D103" s="90" t="str">
        <f t="shared" si="6"/>
        <v/>
      </c>
      <c r="K103" s="98" t="str">
        <f t="shared" si="7"/>
        <v/>
      </c>
      <c r="L103" s="98" t="str">
        <f t="shared" si="8"/>
        <v/>
      </c>
      <c r="M103" s="3" t="s">
        <v>238</v>
      </c>
      <c r="N103" s="3" t="s">
        <v>238</v>
      </c>
      <c r="O103" s="3" t="s">
        <v>238</v>
      </c>
    </row>
    <row r="104" spans="1:15" x14ac:dyDescent="0.2">
      <c r="A104" s="3" t="str">
        <f>+VLOOKUP(B104,studies!$A$2:$C$102,3)</f>
        <v>Peck &amp; Teisberg (1993)</v>
      </c>
      <c r="B104" s="87">
        <v>11</v>
      </c>
      <c r="C104" s="3">
        <v>57.637694784349804</v>
      </c>
      <c r="D104" s="90" t="str">
        <f t="shared" si="6"/>
        <v/>
      </c>
      <c r="K104" s="98" t="str">
        <f t="shared" si="7"/>
        <v/>
      </c>
      <c r="L104" s="98" t="str">
        <f t="shared" si="8"/>
        <v/>
      </c>
      <c r="M104" s="3" t="s">
        <v>238</v>
      </c>
      <c r="N104" s="3" t="s">
        <v>238</v>
      </c>
      <c r="O104" s="3" t="s">
        <v>238</v>
      </c>
    </row>
    <row r="105" spans="1:15" x14ac:dyDescent="0.2">
      <c r="A105" s="3" t="str">
        <f>+VLOOKUP(B105,studies!$A$2:$C$102,3)</f>
        <v>Peck &amp; Teisberg (1993)</v>
      </c>
      <c r="B105" s="87">
        <v>11</v>
      </c>
      <c r="C105" s="3">
        <v>27.541711573253856</v>
      </c>
      <c r="D105" s="90" t="str">
        <f t="shared" si="6"/>
        <v/>
      </c>
      <c r="K105" s="98" t="str">
        <f t="shared" si="7"/>
        <v/>
      </c>
      <c r="L105" s="98" t="str">
        <f t="shared" si="8"/>
        <v/>
      </c>
      <c r="M105" s="3" t="s">
        <v>238</v>
      </c>
      <c r="N105" s="3" t="s">
        <v>238</v>
      </c>
      <c r="O105" s="3" t="s">
        <v>238</v>
      </c>
    </row>
    <row r="106" spans="1:15" x14ac:dyDescent="0.2">
      <c r="A106" s="3" t="str">
        <f>+VLOOKUP(B106,studies!$A$2:$C$102,3)</f>
        <v>Peck &amp; Teisberg (1993)</v>
      </c>
      <c r="B106" s="87">
        <v>11</v>
      </c>
      <c r="C106" s="3">
        <v>27.874877439059347</v>
      </c>
      <c r="D106" s="90" t="str">
        <f t="shared" si="6"/>
        <v/>
      </c>
      <c r="K106" s="98" t="str">
        <f t="shared" si="7"/>
        <v/>
      </c>
      <c r="L106" s="98" t="str">
        <f t="shared" si="8"/>
        <v/>
      </c>
      <c r="M106" s="3" t="s">
        <v>238</v>
      </c>
      <c r="N106" s="3" t="s">
        <v>238</v>
      </c>
      <c r="O106" s="3" t="s">
        <v>238</v>
      </c>
    </row>
    <row r="107" spans="1:15" x14ac:dyDescent="0.2">
      <c r="A107" s="3" t="str">
        <f>+VLOOKUP(B107,studies!$A$2:$C$102,3)</f>
        <v>Peck &amp; Teisberg (1993)</v>
      </c>
      <c r="B107" s="87">
        <v>11</v>
      </c>
      <c r="C107" s="3">
        <v>31.42864667431791</v>
      </c>
      <c r="D107" s="90" t="str">
        <f t="shared" si="6"/>
        <v/>
      </c>
      <c r="K107" s="98" t="str">
        <f t="shared" si="7"/>
        <v/>
      </c>
      <c r="L107" s="98" t="str">
        <f t="shared" si="8"/>
        <v/>
      </c>
      <c r="M107" s="3" t="s">
        <v>238</v>
      </c>
      <c r="N107" s="3" t="s">
        <v>238</v>
      </c>
      <c r="O107" s="3" t="s">
        <v>238</v>
      </c>
    </row>
    <row r="108" spans="1:15" x14ac:dyDescent="0.2">
      <c r="A108" s="3" t="str">
        <f>+VLOOKUP(B108,studies!$A$2:$C$102,3)</f>
        <v>Peck &amp; Teisberg (1993)</v>
      </c>
      <c r="B108" s="87">
        <v>11</v>
      </c>
      <c r="C108" s="3">
        <v>13.992966363830588</v>
      </c>
      <c r="D108" s="90" t="str">
        <f t="shared" si="6"/>
        <v/>
      </c>
      <c r="K108" s="98" t="str">
        <f t="shared" si="7"/>
        <v/>
      </c>
      <c r="L108" s="98" t="str">
        <f t="shared" si="8"/>
        <v/>
      </c>
      <c r="M108" s="3" t="s">
        <v>238</v>
      </c>
      <c r="N108" s="3" t="s">
        <v>238</v>
      </c>
      <c r="O108" s="3" t="s">
        <v>238</v>
      </c>
    </row>
    <row r="109" spans="1:15" x14ac:dyDescent="0.2">
      <c r="A109" s="3" t="str">
        <f>+VLOOKUP(B109,studies!$A$2:$C$102,3)</f>
        <v>Peck &amp; Teisberg (1993)</v>
      </c>
      <c r="B109" s="87">
        <v>11</v>
      </c>
      <c r="C109" s="3">
        <v>49.863824582221696</v>
      </c>
      <c r="D109" s="90" t="str">
        <f t="shared" si="6"/>
        <v/>
      </c>
      <c r="K109" s="98" t="str">
        <f t="shared" si="7"/>
        <v/>
      </c>
      <c r="L109" s="98" t="str">
        <f t="shared" si="8"/>
        <v/>
      </c>
      <c r="M109" s="3" t="s">
        <v>238</v>
      </c>
      <c r="N109" s="3" t="s">
        <v>238</v>
      </c>
      <c r="O109" s="3" t="s">
        <v>238</v>
      </c>
    </row>
    <row r="110" spans="1:15" x14ac:dyDescent="0.2">
      <c r="A110" s="3" t="str">
        <f>+VLOOKUP(B110,studies!$A$2:$C$102,3)</f>
        <v>Reilly &amp; Richards (1993)</v>
      </c>
      <c r="B110" s="87">
        <v>12</v>
      </c>
      <c r="C110" s="3">
        <v>51.322406156611436</v>
      </c>
      <c r="D110" s="90" t="str">
        <f t="shared" si="6"/>
        <v>Reilly &amp; Richards (1993)</v>
      </c>
      <c r="E110" s="90">
        <f>+PERCENTILE($C110:$C117,E$2)</f>
        <v>36.320472049294253</v>
      </c>
      <c r="F110" s="90">
        <f t="shared" ref="F110:I110" si="10">+PERCENTILE($C110:$C117,F$2)</f>
        <v>50.993416373556236</v>
      </c>
      <c r="G110" s="98">
        <f t="shared" si="10"/>
        <v>71.719772706033922</v>
      </c>
      <c r="H110" s="90">
        <f t="shared" si="10"/>
        <v>99.683904265726056</v>
      </c>
      <c r="I110" s="90">
        <f t="shared" si="10"/>
        <v>175.02256458536718</v>
      </c>
      <c r="J110" s="98">
        <f>+STDEV($C110:$C117)</f>
        <v>54.836361491504888</v>
      </c>
      <c r="K110" s="98">
        <f t="shared" si="7"/>
        <v>18.060867682010034</v>
      </c>
      <c r="L110" s="98">
        <f t="shared" si="8"/>
        <v>52.705506060884318</v>
      </c>
      <c r="M110" s="3" t="s">
        <v>238</v>
      </c>
      <c r="N110" s="3" t="s">
        <v>238</v>
      </c>
      <c r="O110" s="3" t="s">
        <v>238</v>
      </c>
    </row>
    <row r="111" spans="1:15" x14ac:dyDescent="0.2">
      <c r="A111" s="3" t="str">
        <f>+VLOOKUP(B111,studies!$A$2:$C$102,3)</f>
        <v>Reilly &amp; Richards (1993)</v>
      </c>
      <c r="B111" s="87">
        <v>12</v>
      </c>
      <c r="C111" s="3">
        <v>76.325629668806755</v>
      </c>
      <c r="D111" s="90" t="str">
        <f t="shared" si="6"/>
        <v/>
      </c>
      <c r="K111" s="98" t="str">
        <f t="shared" si="7"/>
        <v/>
      </c>
      <c r="L111" s="98" t="str">
        <f t="shared" si="8"/>
        <v/>
      </c>
      <c r="M111" s="3" t="s">
        <v>238</v>
      </c>
      <c r="N111" s="3" t="s">
        <v>238</v>
      </c>
      <c r="O111" s="3" t="s">
        <v>238</v>
      </c>
    </row>
    <row r="112" spans="1:15" x14ac:dyDescent="0.2">
      <c r="A112" s="3" t="str">
        <f>+VLOOKUP(B112,studies!$A$2:$C$102,3)</f>
        <v>Reilly &amp; Richards (1993)</v>
      </c>
      <c r="B112" s="87">
        <v>12</v>
      </c>
      <c r="C112" s="3">
        <v>184.23427851091284</v>
      </c>
      <c r="D112" s="90" t="str">
        <f t="shared" si="6"/>
        <v/>
      </c>
      <c r="K112" s="98" t="str">
        <f t="shared" si="7"/>
        <v/>
      </c>
      <c r="L112" s="98" t="str">
        <f t="shared" si="8"/>
        <v/>
      </c>
      <c r="M112" s="3" t="s">
        <v>238</v>
      </c>
      <c r="N112" s="3" t="s">
        <v>238</v>
      </c>
      <c r="O112" s="3" t="s">
        <v>238</v>
      </c>
    </row>
    <row r="113" spans="1:15" x14ac:dyDescent="0.2">
      <c r="A113" s="3" t="str">
        <f>+VLOOKUP(B113,studies!$A$2:$C$102,3)</f>
        <v>Reilly &amp; Richards (1993)</v>
      </c>
      <c r="B113" s="87">
        <v>12</v>
      </c>
      <c r="C113" s="3">
        <v>157.91509586649673</v>
      </c>
      <c r="D113" s="90" t="str">
        <f t="shared" si="6"/>
        <v/>
      </c>
      <c r="K113" s="98" t="str">
        <f t="shared" si="7"/>
        <v/>
      </c>
      <c r="L113" s="98" t="str">
        <f t="shared" si="8"/>
        <v/>
      </c>
      <c r="M113" s="3" t="s">
        <v>238</v>
      </c>
      <c r="N113" s="3" t="s">
        <v>238</v>
      </c>
      <c r="O113" s="3" t="s">
        <v>238</v>
      </c>
    </row>
    <row r="114" spans="1:15" x14ac:dyDescent="0.2">
      <c r="A114" s="3" t="str">
        <f>+VLOOKUP(B114,studies!$A$2:$C$102,3)</f>
        <v>Reilly &amp; Richards (1993)</v>
      </c>
      <c r="B114" s="87">
        <v>12</v>
      </c>
      <c r="C114" s="3">
        <v>28.95110090885774</v>
      </c>
      <c r="D114" s="90" t="str">
        <f t="shared" si="6"/>
        <v/>
      </c>
      <c r="K114" s="98" t="str">
        <f t="shared" si="7"/>
        <v/>
      </c>
      <c r="L114" s="98" t="str">
        <f t="shared" si="8"/>
        <v/>
      </c>
      <c r="M114" s="3" t="s">
        <v>238</v>
      </c>
      <c r="N114" s="3" t="s">
        <v>238</v>
      </c>
      <c r="O114" s="3" t="s">
        <v>238</v>
      </c>
    </row>
    <row r="115" spans="1:15" x14ac:dyDescent="0.2">
      <c r="A115" s="3" t="str">
        <f>+VLOOKUP(B115,studies!$A$2:$C$102,3)</f>
        <v>Reilly &amp; Richards (1993)</v>
      </c>
      <c r="B115" s="87">
        <v>12</v>
      </c>
      <c r="C115" s="3">
        <v>50.006447024390631</v>
      </c>
      <c r="D115" s="90" t="str">
        <f t="shared" si="6"/>
        <v/>
      </c>
      <c r="K115" s="98" t="str">
        <f t="shared" si="7"/>
        <v/>
      </c>
      <c r="L115" s="98" t="str">
        <f t="shared" si="8"/>
        <v/>
      </c>
      <c r="M115" s="3" t="s">
        <v>238</v>
      </c>
      <c r="N115" s="3" t="s">
        <v>238</v>
      </c>
      <c r="O115" s="3" t="s">
        <v>238</v>
      </c>
    </row>
    <row r="116" spans="1:15" x14ac:dyDescent="0.2">
      <c r="A116" s="3" t="str">
        <f>+VLOOKUP(B116,studies!$A$2:$C$102,3)</f>
        <v>Reilly &amp; Richards (1993)</v>
      </c>
      <c r="B116" s="87">
        <v>12</v>
      </c>
      <c r="C116" s="3">
        <v>67.113915743261103</v>
      </c>
      <c r="D116" s="90" t="str">
        <f t="shared" si="6"/>
        <v/>
      </c>
      <c r="K116" s="98" t="str">
        <f t="shared" si="7"/>
        <v/>
      </c>
      <c r="L116" s="98" t="str">
        <f t="shared" si="8"/>
        <v/>
      </c>
      <c r="M116" s="3" t="s">
        <v>238</v>
      </c>
      <c r="N116" s="3" t="s">
        <v>238</v>
      </c>
      <c r="O116" s="3" t="s">
        <v>238</v>
      </c>
    </row>
    <row r="117" spans="1:15" x14ac:dyDescent="0.2">
      <c r="A117" s="3" t="str">
        <f>+VLOOKUP(B117,studies!$A$2:$C$102,3)</f>
        <v>Reilly &amp; Richards (1993)</v>
      </c>
      <c r="B117" s="87">
        <v>12</v>
      </c>
      <c r="C117" s="3">
        <v>80.273507065469161</v>
      </c>
      <c r="D117" s="90" t="str">
        <f t="shared" si="6"/>
        <v/>
      </c>
      <c r="K117" s="98" t="str">
        <f t="shared" si="7"/>
        <v/>
      </c>
      <c r="L117" s="98" t="str">
        <f t="shared" si="8"/>
        <v/>
      </c>
      <c r="M117" s="3" t="s">
        <v>238</v>
      </c>
      <c r="N117" s="3" t="s">
        <v>238</v>
      </c>
      <c r="O117" s="3" t="s">
        <v>238</v>
      </c>
    </row>
    <row r="118" spans="1:15" x14ac:dyDescent="0.2">
      <c r="A118" s="3" t="str">
        <f>+VLOOKUP(B118,studies!$A$2:$C$102,3)</f>
        <v>Azar (1994)</v>
      </c>
      <c r="B118" s="87">
        <v>13</v>
      </c>
      <c r="C118" s="3">
        <v>179.44897257556445</v>
      </c>
      <c r="D118" s="90" t="str">
        <f t="shared" si="6"/>
        <v>Azar (1994)</v>
      </c>
      <c r="E118" s="90">
        <f>+PERCENTILE($C118:$C120,E$2)</f>
        <v>233.28366434823386</v>
      </c>
      <c r="F118" s="90">
        <f t="shared" ref="F118:I118" si="11">+PERCENTILE($C118:$C120,F$2)</f>
        <v>448.62243143891112</v>
      </c>
      <c r="G118" s="98">
        <f t="shared" si="11"/>
        <v>717.79589030225782</v>
      </c>
      <c r="H118" s="90">
        <f t="shared" si="11"/>
        <v>1256.1428080289511</v>
      </c>
      <c r="I118" s="90">
        <f t="shared" si="11"/>
        <v>1686.8203422103059</v>
      </c>
      <c r="J118" s="98">
        <f>+STDEV($C118:$C120)</f>
        <v>822.33850020957891</v>
      </c>
      <c r="K118" s="98">
        <f t="shared" si="7"/>
        <v>247.20011528266528</v>
      </c>
      <c r="L118" s="98">
        <f t="shared" si="8"/>
        <v>494.40023056533062</v>
      </c>
      <c r="M118" s="3" t="s">
        <v>238</v>
      </c>
      <c r="N118" s="3" t="s">
        <v>238</v>
      </c>
      <c r="O118" s="3" t="s">
        <v>238</v>
      </c>
    </row>
    <row r="119" spans="1:15" x14ac:dyDescent="0.2">
      <c r="A119" s="3" t="str">
        <f>+VLOOKUP(B119,studies!$A$2:$C$102,3)</f>
        <v>Azar (1994)</v>
      </c>
      <c r="B119" s="87">
        <v>13</v>
      </c>
      <c r="C119" s="3">
        <v>717.79589030225782</v>
      </c>
      <c r="D119" s="90" t="str">
        <f t="shared" si="6"/>
        <v/>
      </c>
      <c r="K119" s="98" t="str">
        <f t="shared" si="7"/>
        <v/>
      </c>
      <c r="L119" s="98" t="str">
        <f t="shared" si="8"/>
        <v/>
      </c>
      <c r="M119" s="3" t="s">
        <v>238</v>
      </c>
      <c r="N119" s="3" t="s">
        <v>238</v>
      </c>
      <c r="O119" s="3" t="s">
        <v>238</v>
      </c>
    </row>
    <row r="120" spans="1:15" x14ac:dyDescent="0.2">
      <c r="A120" s="3" t="str">
        <f>+VLOOKUP(B120,studies!$A$2:$C$102,3)</f>
        <v>Azar (1994)</v>
      </c>
      <c r="B120" s="87">
        <v>13</v>
      </c>
      <c r="C120" s="3">
        <v>1794.4897257556447</v>
      </c>
      <c r="D120" s="90" t="str">
        <f t="shared" si="6"/>
        <v/>
      </c>
      <c r="K120" s="98" t="str">
        <f t="shared" si="7"/>
        <v/>
      </c>
      <c r="L120" s="98" t="str">
        <f t="shared" si="8"/>
        <v/>
      </c>
      <c r="M120" s="3" t="s">
        <v>238</v>
      </c>
      <c r="N120" s="3" t="s">
        <v>238</v>
      </c>
      <c r="O120" s="3" t="s">
        <v>238</v>
      </c>
    </row>
    <row r="121" spans="1:15" x14ac:dyDescent="0.2">
      <c r="A121" s="3" t="str">
        <f>+VLOOKUP(B121,studies!$A$2:$C$102,3)</f>
        <v>Fankhauser (1994)</v>
      </c>
      <c r="B121" s="87">
        <v>14</v>
      </c>
      <c r="C121" s="3">
        <v>46.634123415046496</v>
      </c>
      <c r="D121" s="90" t="str">
        <f t="shared" si="6"/>
        <v>Fankhauser (1994)</v>
      </c>
      <c r="K121" s="98" t="str">
        <f t="shared" si="7"/>
        <v/>
      </c>
      <c r="L121" s="98" t="str">
        <f t="shared" si="8"/>
        <v/>
      </c>
      <c r="M121" s="3">
        <v>32.256804733727812</v>
      </c>
      <c r="N121" s="3">
        <v>15.987337623130403</v>
      </c>
      <c r="O121" s="3">
        <v>29.247423534079736</v>
      </c>
    </row>
    <row r="122" spans="1:15" x14ac:dyDescent="0.2">
      <c r="A122" s="3" t="str">
        <f>+VLOOKUP(B122,studies!$A$2:$C$102,3)</f>
        <v>Nordhaus (1994)</v>
      </c>
      <c r="B122" s="87">
        <v>15</v>
      </c>
      <c r="C122" s="3">
        <v>17.200863906607989</v>
      </c>
      <c r="D122" s="90" t="str">
        <f t="shared" si="6"/>
        <v>Nordhaus (1994)</v>
      </c>
      <c r="K122" s="98" t="str">
        <f t="shared" si="7"/>
        <v/>
      </c>
      <c r="L122" s="98" t="str">
        <f t="shared" si="8"/>
        <v/>
      </c>
      <c r="M122" s="3" t="s">
        <v>238</v>
      </c>
      <c r="N122" s="3" t="s">
        <v>238</v>
      </c>
      <c r="O122" s="3" t="s">
        <v>238</v>
      </c>
    </row>
    <row r="123" spans="1:15" x14ac:dyDescent="0.2">
      <c r="A123" s="3" t="str">
        <f>+VLOOKUP(B123,studies!$A$2:$C$102,3)</f>
        <v>Maddison (1995)</v>
      </c>
      <c r="B123" s="87">
        <v>16</v>
      </c>
      <c r="C123" s="3">
        <v>43.033787516004104</v>
      </c>
      <c r="D123" s="90" t="str">
        <f t="shared" si="6"/>
        <v>Maddison (1995)</v>
      </c>
      <c r="K123" s="98" t="str">
        <f t="shared" si="7"/>
        <v/>
      </c>
      <c r="L123" s="98" t="str">
        <f t="shared" si="8"/>
        <v/>
      </c>
      <c r="M123" s="3" t="s">
        <v>238</v>
      </c>
      <c r="N123" s="3" t="s">
        <v>238</v>
      </c>
      <c r="O123" s="3" t="s">
        <v>238</v>
      </c>
    </row>
    <row r="124" spans="1:15" x14ac:dyDescent="0.2">
      <c r="A124" s="3" t="str">
        <f>+VLOOKUP(B124,studies!$A$2:$C$102,3)</f>
        <v>Schauer (1995)</v>
      </c>
      <c r="B124" s="87">
        <v>17</v>
      </c>
      <c r="C124" s="3">
        <v>6.3273707730144029</v>
      </c>
      <c r="D124" s="90" t="str">
        <f t="shared" si="6"/>
        <v>Schauer (1995)</v>
      </c>
      <c r="F124" s="1">
        <f>+C124</f>
        <v>6.3273707730144029</v>
      </c>
      <c r="G124" s="7">
        <f>+MEDIAN(C124:C125)</f>
        <v>99.204775508949325</v>
      </c>
      <c r="H124" s="1">
        <f>+C125</f>
        <v>192.08218024488423</v>
      </c>
      <c r="J124" s="98">
        <f>+STDEV(C124:C125)</f>
        <v>131.34848541557429</v>
      </c>
      <c r="K124" s="98">
        <f>G124-F124/1.1505</f>
        <v>93.705105128232759</v>
      </c>
      <c r="L124" s="98">
        <f>H124-G124/1.1505</f>
        <v>105.85464829447196</v>
      </c>
      <c r="M124" s="3">
        <v>75.942805193978899</v>
      </c>
      <c r="N124" s="3">
        <v>75.942805193978899</v>
      </c>
      <c r="O124" s="3">
        <v>75.942805193978899</v>
      </c>
    </row>
    <row r="125" spans="1:15" x14ac:dyDescent="0.2">
      <c r="A125" s="3" t="str">
        <f>+VLOOKUP(B125,studies!$A$2:$C$102,3)</f>
        <v>Schauer (1995)</v>
      </c>
      <c r="B125" s="87">
        <v>17</v>
      </c>
      <c r="C125" s="3">
        <v>192.08218024488423</v>
      </c>
      <c r="D125" s="90" t="str">
        <f t="shared" si="6"/>
        <v/>
      </c>
      <c r="K125" s="98" t="str">
        <f t="shared" si="7"/>
        <v/>
      </c>
      <c r="L125" s="98" t="str">
        <f t="shared" si="8"/>
        <v/>
      </c>
      <c r="M125" s="3">
        <v>537.62912183639116</v>
      </c>
      <c r="N125" s="3">
        <v>537.62912183639116</v>
      </c>
      <c r="O125" s="3">
        <v>537.62912183639116</v>
      </c>
    </row>
    <row r="126" spans="1:15" x14ac:dyDescent="0.2">
      <c r="A126" s="3" t="str">
        <f>+VLOOKUP(B126,studies!$A$2:$C$102,3)</f>
        <v>Azar &amp; Sterner (1996)</v>
      </c>
      <c r="B126" s="87">
        <v>18</v>
      </c>
      <c r="C126" s="3">
        <v>305.06325337845959</v>
      </c>
      <c r="D126" s="90" t="str">
        <f t="shared" si="6"/>
        <v>Azar &amp; Sterner (1996)</v>
      </c>
      <c r="E126" s="90">
        <f>+PERCENTILE($C126:$C141,E$2)</f>
        <v>46.656732869646767</v>
      </c>
      <c r="F126" s="90">
        <f t="shared" ref="F126:I126" si="12">+PERCENTILE($C126:$C141,F$2)</f>
        <v>134.58672943167335</v>
      </c>
      <c r="G126" s="98">
        <f t="shared" si="12"/>
        <v>323.00815063601601</v>
      </c>
      <c r="H126" s="90">
        <f t="shared" si="12"/>
        <v>744.71323618859253</v>
      </c>
      <c r="I126" s="90">
        <f t="shared" si="12"/>
        <v>1632.9856504376367</v>
      </c>
      <c r="J126" s="98">
        <f>+STDEV($C126:$C141)</f>
        <v>576.86858088673159</v>
      </c>
      <c r="K126" s="98">
        <f t="shared" si="7"/>
        <v>140.99562130937207</v>
      </c>
      <c r="L126" s="98">
        <f t="shared" si="8"/>
        <v>668.35586724572477</v>
      </c>
      <c r="M126" s="3" t="s">
        <v>238</v>
      </c>
      <c r="N126" s="3" t="s">
        <v>238</v>
      </c>
      <c r="O126" s="3" t="s">
        <v>238</v>
      </c>
    </row>
    <row r="127" spans="1:15" x14ac:dyDescent="0.2">
      <c r="A127" s="3" t="str">
        <f>+VLOOKUP(B127,studies!$A$2:$C$102,3)</f>
        <v>Azar &amp; Sterner (1996)</v>
      </c>
      <c r="B127" s="87">
        <v>18</v>
      </c>
      <c r="C127" s="3">
        <v>717.79589030225782</v>
      </c>
      <c r="D127" s="90" t="str">
        <f t="shared" si="6"/>
        <v/>
      </c>
      <c r="K127" s="98" t="str">
        <f t="shared" si="7"/>
        <v/>
      </c>
      <c r="L127" s="98" t="str">
        <f t="shared" si="8"/>
        <v/>
      </c>
      <c r="M127" s="3" t="s">
        <v>238</v>
      </c>
      <c r="N127" s="3" t="s">
        <v>238</v>
      </c>
      <c r="O127" s="3" t="s">
        <v>238</v>
      </c>
    </row>
    <row r="128" spans="1:15" x14ac:dyDescent="0.2">
      <c r="A128" s="3" t="str">
        <f>+VLOOKUP(B128,studies!$A$2:$C$102,3)</f>
        <v>Azar &amp; Sterner (1996)</v>
      </c>
      <c r="B128" s="87">
        <v>18</v>
      </c>
      <c r="C128" s="3">
        <v>269.1734588633467</v>
      </c>
      <c r="D128" s="90" t="str">
        <f t="shared" si="6"/>
        <v/>
      </c>
      <c r="K128" s="98" t="str">
        <f t="shared" si="7"/>
        <v/>
      </c>
      <c r="L128" s="98" t="str">
        <f t="shared" si="8"/>
        <v/>
      </c>
      <c r="M128" s="3" t="s">
        <v>238</v>
      </c>
      <c r="N128" s="3" t="s">
        <v>238</v>
      </c>
      <c r="O128" s="3" t="s">
        <v>238</v>
      </c>
    </row>
    <row r="129" spans="1:15" x14ac:dyDescent="0.2">
      <c r="A129" s="3" t="str">
        <f>+VLOOKUP(B129,studies!$A$2:$C$102,3)</f>
        <v>Azar &amp; Sterner (1996)</v>
      </c>
      <c r="B129" s="87">
        <v>18</v>
      </c>
      <c r="C129" s="3">
        <v>502.45712321158049</v>
      </c>
      <c r="D129" s="90" t="str">
        <f t="shared" si="6"/>
        <v/>
      </c>
      <c r="K129" s="98" t="str">
        <f t="shared" si="7"/>
        <v/>
      </c>
      <c r="L129" s="98" t="str">
        <f t="shared" si="8"/>
        <v/>
      </c>
      <c r="M129" s="3" t="s">
        <v>238</v>
      </c>
      <c r="N129" s="3" t="s">
        <v>238</v>
      </c>
      <c r="O129" s="3" t="s">
        <v>238</v>
      </c>
    </row>
    <row r="130" spans="1:15" x14ac:dyDescent="0.2">
      <c r="A130" s="3" t="str">
        <f>+VLOOKUP(B130,studies!$A$2:$C$102,3)</f>
        <v>Azar &amp; Sterner (1996)</v>
      </c>
      <c r="B130" s="87">
        <v>18</v>
      </c>
      <c r="C130" s="3">
        <v>114.84734244836126</v>
      </c>
      <c r="D130" s="90" t="str">
        <f t="shared" si="6"/>
        <v/>
      </c>
      <c r="K130" s="98" t="str">
        <f t="shared" si="7"/>
        <v/>
      </c>
      <c r="L130" s="98" t="str">
        <f t="shared" si="8"/>
        <v/>
      </c>
      <c r="M130" s="3" t="s">
        <v>238</v>
      </c>
      <c r="N130" s="3" t="s">
        <v>238</v>
      </c>
      <c r="O130" s="3" t="s">
        <v>238</v>
      </c>
    </row>
    <row r="131" spans="1:15" x14ac:dyDescent="0.2">
      <c r="A131" s="3" t="str">
        <f>+VLOOKUP(B131,studies!$A$2:$C$102,3)</f>
        <v>Azar &amp; Sterner (1996)</v>
      </c>
      <c r="B131" s="87">
        <v>18</v>
      </c>
      <c r="C131" s="3">
        <v>118.43632189987254</v>
      </c>
      <c r="D131" s="90" t="str">
        <f t="shared" si="6"/>
        <v/>
      </c>
      <c r="K131" s="98" t="str">
        <f t="shared" si="7"/>
        <v/>
      </c>
      <c r="L131" s="98" t="str">
        <f t="shared" si="8"/>
        <v/>
      </c>
      <c r="M131" s="3" t="s">
        <v>238</v>
      </c>
      <c r="N131" s="3" t="s">
        <v>238</v>
      </c>
      <c r="O131" s="3" t="s">
        <v>238</v>
      </c>
    </row>
    <row r="132" spans="1:15" x14ac:dyDescent="0.2">
      <c r="A132" s="3" t="str">
        <f>+VLOOKUP(B132,studies!$A$2:$C$102,3)</f>
        <v>Azar &amp; Sterner (1996)</v>
      </c>
      <c r="B132" s="87">
        <v>18</v>
      </c>
      <c r="C132" s="3">
        <v>46.656732869646767</v>
      </c>
      <c r="D132" s="90" t="str">
        <f t="shared" si="6"/>
        <v/>
      </c>
      <c r="K132" s="98" t="str">
        <f t="shared" si="7"/>
        <v/>
      </c>
      <c r="L132" s="98" t="str">
        <f t="shared" si="8"/>
        <v/>
      </c>
      <c r="M132" s="3" t="s">
        <v>238</v>
      </c>
      <c r="N132" s="3" t="s">
        <v>238</v>
      </c>
      <c r="O132" s="3" t="s">
        <v>238</v>
      </c>
    </row>
    <row r="133" spans="1:15" x14ac:dyDescent="0.2">
      <c r="A133" s="3" t="str">
        <f>+VLOOKUP(B133,studies!$A$2:$C$102,3)</f>
        <v>Azar &amp; Sterner (1996)</v>
      </c>
      <c r="B133" s="87">
        <v>18</v>
      </c>
      <c r="C133" s="3">
        <v>46.656732869646767</v>
      </c>
      <c r="D133" s="90" t="str">
        <f t="shared" ref="D133:D196" si="13">+IF(B133=B132,"",A133)</f>
        <v/>
      </c>
      <c r="K133" s="98" t="str">
        <f t="shared" si="7"/>
        <v/>
      </c>
      <c r="L133" s="98" t="str">
        <f t="shared" si="8"/>
        <v/>
      </c>
      <c r="M133" s="3" t="s">
        <v>238</v>
      </c>
      <c r="N133" s="3" t="s">
        <v>238</v>
      </c>
      <c r="O133" s="3" t="s">
        <v>238</v>
      </c>
    </row>
    <row r="134" spans="1:15" x14ac:dyDescent="0.2">
      <c r="A134" s="3" t="str">
        <f>+VLOOKUP(B134,studies!$A$2:$C$102,3)</f>
        <v>Azar &amp; Sterner (1996)</v>
      </c>
      <c r="B134" s="87">
        <v>18</v>
      </c>
      <c r="C134" s="3">
        <v>933.13465739293531</v>
      </c>
      <c r="D134" s="90" t="str">
        <f t="shared" si="13"/>
        <v/>
      </c>
      <c r="K134" s="98" t="str">
        <f t="shared" si="7"/>
        <v/>
      </c>
      <c r="L134" s="98" t="str">
        <f t="shared" si="8"/>
        <v/>
      </c>
      <c r="M134" s="3" t="s">
        <v>238</v>
      </c>
      <c r="N134" s="3" t="s">
        <v>238</v>
      </c>
      <c r="O134" s="3" t="s">
        <v>238</v>
      </c>
    </row>
    <row r="135" spans="1:15" x14ac:dyDescent="0.2">
      <c r="A135" s="3" t="str">
        <f>+VLOOKUP(B135,studies!$A$2:$C$102,3)</f>
        <v>Azar &amp; Sterner (1996)</v>
      </c>
      <c r="B135" s="87">
        <v>18</v>
      </c>
      <c r="C135" s="3">
        <v>2117.4978763916606</v>
      </c>
      <c r="D135" s="90" t="str">
        <f t="shared" si="13"/>
        <v/>
      </c>
      <c r="K135" s="98" t="str">
        <f t="shared" ref="K135:K198" si="14">+IF(I135="","",(G135-E135)/1.96)</f>
        <v/>
      </c>
      <c r="L135" s="98" t="str">
        <f t="shared" ref="L135:L198" si="15">+IF(I135="","",(I135-G135)/1.96)</f>
        <v/>
      </c>
      <c r="M135" s="3" t="s">
        <v>238</v>
      </c>
      <c r="N135" s="3" t="s">
        <v>238</v>
      </c>
      <c r="O135" s="3" t="s">
        <v>238</v>
      </c>
    </row>
    <row r="136" spans="1:15" x14ac:dyDescent="0.2">
      <c r="A136" s="3" t="str">
        <f>+VLOOKUP(B136,studies!$A$2:$C$102,3)</f>
        <v>Azar &amp; Sterner (1996)</v>
      </c>
      <c r="B136" s="87">
        <v>18</v>
      </c>
      <c r="C136" s="3">
        <v>825.46527384759656</v>
      </c>
      <c r="D136" s="90" t="str">
        <f t="shared" si="13"/>
        <v/>
      </c>
      <c r="K136" s="98" t="str">
        <f t="shared" si="14"/>
        <v/>
      </c>
      <c r="L136" s="98" t="str">
        <f t="shared" si="15"/>
        <v/>
      </c>
      <c r="M136" s="3" t="s">
        <v>238</v>
      </c>
      <c r="N136" s="3" t="s">
        <v>238</v>
      </c>
      <c r="O136" s="3" t="s">
        <v>238</v>
      </c>
    </row>
    <row r="137" spans="1:15" x14ac:dyDescent="0.2">
      <c r="A137" s="3" t="str">
        <f>+VLOOKUP(B137,studies!$A$2:$C$102,3)</f>
        <v>Azar &amp; Sterner (1996)</v>
      </c>
      <c r="B137" s="87">
        <v>18</v>
      </c>
      <c r="C137" s="3">
        <v>1471.4815751196288</v>
      </c>
      <c r="D137" s="90" t="str">
        <f t="shared" si="13"/>
        <v/>
      </c>
      <c r="K137" s="98" t="str">
        <f t="shared" si="14"/>
        <v/>
      </c>
      <c r="L137" s="98" t="str">
        <f t="shared" si="15"/>
        <v/>
      </c>
      <c r="M137" s="3" t="s">
        <v>238</v>
      </c>
      <c r="N137" s="3" t="s">
        <v>238</v>
      </c>
      <c r="O137" s="3" t="s">
        <v>238</v>
      </c>
    </row>
    <row r="138" spans="1:15" x14ac:dyDescent="0.2">
      <c r="A138" s="3" t="str">
        <f>+VLOOKUP(B138,studies!$A$2:$C$102,3)</f>
        <v>Azar &amp; Sterner (1996)</v>
      </c>
      <c r="B138" s="87">
        <v>18</v>
      </c>
      <c r="C138" s="3">
        <v>340.95304789357249</v>
      </c>
      <c r="D138" s="90" t="str">
        <f t="shared" si="13"/>
        <v/>
      </c>
      <c r="K138" s="98" t="str">
        <f t="shared" si="14"/>
        <v/>
      </c>
      <c r="L138" s="98" t="str">
        <f t="shared" si="15"/>
        <v/>
      </c>
      <c r="M138" s="3" t="s">
        <v>238</v>
      </c>
      <c r="N138" s="3" t="s">
        <v>238</v>
      </c>
      <c r="O138" s="3" t="s">
        <v>238</v>
      </c>
    </row>
    <row r="139" spans="1:15" x14ac:dyDescent="0.2">
      <c r="A139" s="3" t="str">
        <f>+VLOOKUP(B139,studies!$A$2:$C$102,3)</f>
        <v>Azar &amp; Sterner (1996)</v>
      </c>
      <c r="B139" s="87">
        <v>18</v>
      </c>
      <c r="C139" s="3">
        <v>351.71998624810635</v>
      </c>
      <c r="D139" s="90" t="str">
        <f t="shared" si="13"/>
        <v/>
      </c>
      <c r="K139" s="98" t="str">
        <f t="shared" si="14"/>
        <v/>
      </c>
      <c r="L139" s="98" t="str">
        <f t="shared" si="15"/>
        <v/>
      </c>
      <c r="M139" s="3" t="s">
        <v>238</v>
      </c>
      <c r="N139" s="3" t="s">
        <v>238</v>
      </c>
      <c r="O139" s="3" t="s">
        <v>238</v>
      </c>
    </row>
    <row r="140" spans="1:15" x14ac:dyDescent="0.2">
      <c r="A140" s="3" t="str">
        <f>+VLOOKUP(B140,studies!$A$2:$C$102,3)</f>
        <v>Azar &amp; Sterner (1996)</v>
      </c>
      <c r="B140" s="87">
        <v>18</v>
      </c>
      <c r="C140" s="3">
        <v>139.97019860894028</v>
      </c>
      <c r="D140" s="90" t="str">
        <f t="shared" si="13"/>
        <v/>
      </c>
      <c r="K140" s="98" t="str">
        <f t="shared" si="14"/>
        <v/>
      </c>
      <c r="L140" s="98" t="str">
        <f t="shared" si="15"/>
        <v/>
      </c>
      <c r="M140" s="3" t="s">
        <v>238</v>
      </c>
      <c r="N140" s="3" t="s">
        <v>238</v>
      </c>
      <c r="O140" s="3" t="s">
        <v>238</v>
      </c>
    </row>
    <row r="141" spans="1:15" x14ac:dyDescent="0.2">
      <c r="A141" s="3" t="str">
        <f>+VLOOKUP(B141,studies!$A$2:$C$102,3)</f>
        <v>Azar &amp; Sterner (1996)</v>
      </c>
      <c r="B141" s="87">
        <v>18</v>
      </c>
      <c r="C141" s="3">
        <v>139.97019860894028</v>
      </c>
      <c r="D141" s="90" t="str">
        <f t="shared" si="13"/>
        <v/>
      </c>
      <c r="K141" s="98" t="str">
        <f t="shared" si="14"/>
        <v/>
      </c>
      <c r="L141" s="98" t="str">
        <f t="shared" si="15"/>
        <v/>
      </c>
      <c r="M141" s="3" t="s">
        <v>238</v>
      </c>
      <c r="N141" s="3" t="s">
        <v>238</v>
      </c>
      <c r="O141" s="3" t="s">
        <v>238</v>
      </c>
    </row>
    <row r="142" spans="1:15" x14ac:dyDescent="0.2">
      <c r="A142" s="3" t="str">
        <f>+VLOOKUP(B142,studies!$A$2:$C$102,3)</f>
        <v>Downing et al. (1996)</v>
      </c>
      <c r="B142" s="87">
        <v>19</v>
      </c>
      <c r="C142" s="3">
        <v>164.5945600759469</v>
      </c>
      <c r="D142" s="90" t="str">
        <f t="shared" si="13"/>
        <v>Downing et al. (1996)</v>
      </c>
      <c r="F142" s="1">
        <f>+C143</f>
        <v>56.349018771089689</v>
      </c>
      <c r="G142" s="7">
        <f>+MEDIAN(C142:C143)</f>
        <v>110.47178942351829</v>
      </c>
      <c r="H142" s="1">
        <f>+C142</f>
        <v>164.5945600759469</v>
      </c>
      <c r="J142" s="98">
        <f>+STDEV(C142:C143)</f>
        <v>76.541156289873072</v>
      </c>
      <c r="K142" s="98">
        <f>G142-F142/1.1505</f>
        <v>61.493937384326905</v>
      </c>
      <c r="L142" s="98">
        <f>H142-G142/1.1505</f>
        <v>68.573882610915803</v>
      </c>
      <c r="M142" s="3" t="s">
        <v>238</v>
      </c>
      <c r="N142" s="3" t="s">
        <v>238</v>
      </c>
      <c r="O142" s="3" t="s">
        <v>238</v>
      </c>
    </row>
    <row r="143" spans="1:15" x14ac:dyDescent="0.2">
      <c r="A143" s="3" t="str">
        <f>+VLOOKUP(B143,studies!$A$2:$C$102,3)</f>
        <v>Downing et al. (1996)</v>
      </c>
      <c r="B143" s="87">
        <v>19</v>
      </c>
      <c r="C143" s="3">
        <v>56.349018771089689</v>
      </c>
      <c r="D143" s="90" t="str">
        <f t="shared" si="13"/>
        <v/>
      </c>
      <c r="K143" s="98" t="str">
        <f t="shared" si="14"/>
        <v/>
      </c>
      <c r="L143" s="98" t="str">
        <f t="shared" si="15"/>
        <v/>
      </c>
      <c r="M143" s="3" t="s">
        <v>238</v>
      </c>
      <c r="N143" s="3" t="s">
        <v>238</v>
      </c>
      <c r="O143" s="3" t="s">
        <v>238</v>
      </c>
    </row>
    <row r="144" spans="1:15" x14ac:dyDescent="0.2">
      <c r="A144" s="3" t="str">
        <f>+VLOOKUP(B144,studies!$A$2:$C$102,3)</f>
        <v>Hohmeyer (1996)</v>
      </c>
      <c r="B144" s="87">
        <v>20</v>
      </c>
      <c r="C144" s="3">
        <v>2463.3450828891664</v>
      </c>
      <c r="D144" s="90" t="str">
        <f t="shared" si="13"/>
        <v>Hohmeyer (1996)</v>
      </c>
      <c r="K144" s="98" t="str">
        <f t="shared" si="14"/>
        <v/>
      </c>
      <c r="L144" s="98" t="str">
        <f t="shared" si="15"/>
        <v/>
      </c>
      <c r="M144" s="3" t="s">
        <v>238</v>
      </c>
      <c r="N144" s="3" t="s">
        <v>238</v>
      </c>
      <c r="O144" s="3" t="s">
        <v>238</v>
      </c>
    </row>
    <row r="145" spans="1:15" x14ac:dyDescent="0.2">
      <c r="A145" s="3" t="str">
        <f>+VLOOKUP(B145,studies!$A$2:$C$102,3)</f>
        <v>Hope &amp; Maul (1996)</v>
      </c>
      <c r="B145" s="87">
        <v>21</v>
      </c>
      <c r="C145" s="3">
        <v>25.122856160579026</v>
      </c>
      <c r="D145" s="90" t="str">
        <f t="shared" si="13"/>
        <v>Hope &amp; Maul (1996)</v>
      </c>
      <c r="E145" s="90">
        <f>+PERCENTILE($C145:$C150,E$2)</f>
        <v>19.739386983312095</v>
      </c>
      <c r="F145" s="90">
        <f t="shared" ref="F145:I145" si="16">+PERCENTILE($C145:$C150,F$2)</f>
        <v>26.917345886334672</v>
      </c>
      <c r="G145" s="98">
        <f t="shared" si="16"/>
        <v>50.245712321158052</v>
      </c>
      <c r="H145" s="90">
        <f t="shared" si="16"/>
        <v>81.649282521881844</v>
      </c>
      <c r="I145" s="90">
        <f t="shared" si="16"/>
        <v>99.594179779438292</v>
      </c>
      <c r="J145" s="98">
        <f>+STDEV($C145:$C150)</f>
        <v>35.583423603994284</v>
      </c>
      <c r="K145" s="98">
        <f t="shared" si="14"/>
        <v>15.564451702982632</v>
      </c>
      <c r="L145" s="98">
        <f t="shared" si="15"/>
        <v>25.177789519530734</v>
      </c>
      <c r="M145" s="3" t="s">
        <v>238</v>
      </c>
      <c r="N145" s="3">
        <v>7.3244478602271217</v>
      </c>
      <c r="O145" s="3">
        <v>7.3244478602271217</v>
      </c>
    </row>
    <row r="146" spans="1:15" x14ac:dyDescent="0.2">
      <c r="A146" s="3" t="str">
        <f>+VLOOKUP(B146,studies!$A$2:$C$102,3)</f>
        <v>Hope &amp; Maul (1996)</v>
      </c>
      <c r="B146" s="87">
        <v>21</v>
      </c>
      <c r="C146" s="3">
        <v>86.135506836270949</v>
      </c>
      <c r="D146" s="90" t="str">
        <f t="shared" si="13"/>
        <v/>
      </c>
      <c r="K146" s="98" t="str">
        <f t="shared" si="14"/>
        <v/>
      </c>
      <c r="L146" s="98" t="str">
        <f t="shared" si="15"/>
        <v/>
      </c>
      <c r="M146" s="3" t="s">
        <v>238</v>
      </c>
      <c r="N146" s="3">
        <v>43.946687161362725</v>
      </c>
      <c r="O146" s="3">
        <v>450.45354340396796</v>
      </c>
    </row>
    <row r="147" spans="1:15" x14ac:dyDescent="0.2">
      <c r="A147" s="3" t="str">
        <f>+VLOOKUP(B147,studies!$A$2:$C$102,3)</f>
        <v>Hope &amp; Maul (1996)</v>
      </c>
      <c r="B147" s="87">
        <v>21</v>
      </c>
      <c r="C147" s="3">
        <v>32.300815063601604</v>
      </c>
      <c r="D147" s="90" t="str">
        <f t="shared" si="13"/>
        <v/>
      </c>
      <c r="K147" s="98" t="str">
        <f t="shared" si="14"/>
        <v/>
      </c>
      <c r="L147" s="98" t="str">
        <f t="shared" si="15"/>
        <v/>
      </c>
      <c r="M147" s="3" t="s">
        <v>238</v>
      </c>
      <c r="N147" s="3">
        <v>9.1555598252839019</v>
      </c>
      <c r="O147" s="3">
        <v>9.1555598252839019</v>
      </c>
    </row>
    <row r="148" spans="1:15" x14ac:dyDescent="0.2">
      <c r="A148" s="3" t="str">
        <f>+VLOOKUP(B148,studies!$A$2:$C$102,3)</f>
        <v>Hope &amp; Maul (1996)</v>
      </c>
      <c r="B148" s="87">
        <v>21</v>
      </c>
      <c r="C148" s="3">
        <v>68.190609578714501</v>
      </c>
      <c r="D148" s="90" t="str">
        <f t="shared" si="13"/>
        <v/>
      </c>
      <c r="K148" s="98" t="str">
        <f t="shared" si="14"/>
        <v/>
      </c>
      <c r="L148" s="98" t="str">
        <f t="shared" si="15"/>
        <v/>
      </c>
      <c r="M148" s="3" t="s">
        <v>238</v>
      </c>
      <c r="N148" s="3">
        <v>20.142231615624585</v>
      </c>
      <c r="O148" s="3">
        <v>23.804455545738143</v>
      </c>
    </row>
    <row r="149" spans="1:15" x14ac:dyDescent="0.2">
      <c r="A149" s="3" t="str">
        <f>+VLOOKUP(B149,studies!$A$2:$C$102,3)</f>
        <v>Hope &amp; Maul (1996)</v>
      </c>
      <c r="B149" s="87">
        <v>21</v>
      </c>
      <c r="C149" s="3">
        <v>17.944897257556448</v>
      </c>
      <c r="D149" s="90" t="str">
        <f t="shared" si="13"/>
        <v/>
      </c>
      <c r="K149" s="98" t="str">
        <f t="shared" si="14"/>
        <v/>
      </c>
      <c r="L149" s="98" t="str">
        <f t="shared" si="15"/>
        <v/>
      </c>
      <c r="M149" s="3" t="s">
        <v>238</v>
      </c>
      <c r="N149" s="3">
        <v>5.4933358951703406</v>
      </c>
      <c r="O149" s="3">
        <v>3.6622239301135608</v>
      </c>
    </row>
    <row r="150" spans="1:15" x14ac:dyDescent="0.2">
      <c r="A150" s="3" t="str">
        <f>+VLOOKUP(B150,studies!$A$2:$C$102,3)</f>
        <v>Hope &amp; Maul (1996)</v>
      </c>
      <c r="B150" s="87">
        <v>21</v>
      </c>
      <c r="C150" s="3">
        <v>104.0804040938274</v>
      </c>
      <c r="D150" s="90" t="str">
        <f t="shared" si="13"/>
        <v/>
      </c>
      <c r="K150" s="98" t="str">
        <f t="shared" si="14"/>
        <v/>
      </c>
      <c r="L150" s="98" t="str">
        <f t="shared" si="15"/>
        <v/>
      </c>
      <c r="M150" s="3" t="s">
        <v>238</v>
      </c>
      <c r="N150" s="3">
        <v>31.128903405965264</v>
      </c>
      <c r="O150" s="3">
        <v>29.297791440908487</v>
      </c>
    </row>
    <row r="151" spans="1:15" x14ac:dyDescent="0.2">
      <c r="A151" s="3" t="str">
        <f>+VLOOKUP(B151,studies!$A$2:$C$102,3)</f>
        <v>Nordhaus &amp; Yang (1996)</v>
      </c>
      <c r="B151" s="87">
        <v>22</v>
      </c>
      <c r="C151" s="3">
        <v>14.973346763363379</v>
      </c>
      <c r="D151" s="90" t="str">
        <f t="shared" si="13"/>
        <v>Nordhaus &amp; Yang (1996)</v>
      </c>
      <c r="K151" s="98" t="str">
        <f t="shared" si="14"/>
        <v/>
      </c>
      <c r="L151" s="98" t="str">
        <f t="shared" si="15"/>
        <v/>
      </c>
      <c r="M151" s="3" t="s">
        <v>238</v>
      </c>
      <c r="N151" s="3" t="s">
        <v>238</v>
      </c>
      <c r="O151" s="3" t="s">
        <v>238</v>
      </c>
    </row>
    <row r="152" spans="1:15" x14ac:dyDescent="0.2">
      <c r="A152" s="3" t="str">
        <f>+VLOOKUP(B152,studies!$A$2:$C$102,3)</f>
        <v>Plambeck &amp; Hope (1996)</v>
      </c>
      <c r="B152" s="87">
        <v>23</v>
      </c>
      <c r="C152" s="3">
        <v>10.766938354533869</v>
      </c>
      <c r="D152" s="90" t="str">
        <f t="shared" si="13"/>
        <v>Plambeck &amp; Hope (1996)</v>
      </c>
      <c r="E152" s="90">
        <f>+PERCENTILE($C152:$C159,E$2)</f>
        <v>13.279223970591772</v>
      </c>
      <c r="F152" s="90">
        <f t="shared" ref="F152:I152" si="17">+PERCENTILE($C152:$C159,F$2)</f>
        <v>26.020101023456849</v>
      </c>
      <c r="G152" s="98">
        <f t="shared" si="17"/>
        <v>52.040202046913706</v>
      </c>
      <c r="H152" s="90">
        <f t="shared" si="17"/>
        <v>127.40877052865078</v>
      </c>
      <c r="I152" s="90">
        <f t="shared" si="17"/>
        <v>1084.2306923015599</v>
      </c>
      <c r="J152" s="98">
        <f>+STDEV($C152:$C159)</f>
        <v>538.72597704503312</v>
      </c>
      <c r="K152" s="98">
        <f t="shared" si="14"/>
        <v>19.776009222613233</v>
      </c>
      <c r="L152" s="98">
        <f t="shared" si="15"/>
        <v>526.62780115032967</v>
      </c>
      <c r="M152" s="3" t="s">
        <v>238</v>
      </c>
      <c r="N152" s="3">
        <v>3.6622239301135608</v>
      </c>
      <c r="O152" s="3">
        <v>5.4933358951703406</v>
      </c>
    </row>
    <row r="153" spans="1:15" x14ac:dyDescent="0.2">
      <c r="A153" s="3" t="str">
        <f>+VLOOKUP(B153,studies!$A$2:$C$102,3)</f>
        <v>Plambeck &amp; Hope (1996)</v>
      </c>
      <c r="B153" s="87">
        <v>23</v>
      </c>
      <c r="C153" s="3">
        <v>17.944897257556448</v>
      </c>
      <c r="D153" s="90" t="str">
        <f t="shared" si="13"/>
        <v/>
      </c>
      <c r="K153" s="98" t="str">
        <f t="shared" si="14"/>
        <v/>
      </c>
      <c r="L153" s="98" t="str">
        <f t="shared" si="15"/>
        <v/>
      </c>
      <c r="M153" s="3" t="s">
        <v>238</v>
      </c>
      <c r="N153" s="3">
        <v>5.4933358951703406</v>
      </c>
      <c r="O153" s="3">
        <v>12.817783755397462</v>
      </c>
    </row>
    <row r="154" spans="1:15" x14ac:dyDescent="0.2">
      <c r="A154" s="3" t="str">
        <f>+VLOOKUP(B154,studies!$A$2:$C$102,3)</f>
        <v>Plambeck &amp; Hope (1996)</v>
      </c>
      <c r="B154" s="87">
        <v>23</v>
      </c>
      <c r="C154" s="3">
        <v>28.711835612090315</v>
      </c>
      <c r="D154" s="90" t="str">
        <f t="shared" si="13"/>
        <v/>
      </c>
      <c r="K154" s="98" t="str">
        <f t="shared" si="14"/>
        <v/>
      </c>
      <c r="L154" s="98" t="str">
        <f t="shared" si="15"/>
        <v/>
      </c>
      <c r="M154" s="3" t="s">
        <v>238</v>
      </c>
      <c r="N154" s="3">
        <v>9.1555598252839019</v>
      </c>
      <c r="O154" s="3">
        <v>7.3244478602271217</v>
      </c>
    </row>
    <row r="155" spans="1:15" x14ac:dyDescent="0.2">
      <c r="A155" s="3" t="str">
        <f>+VLOOKUP(B155,studies!$A$2:$C$102,3)</f>
        <v>Plambeck &amp; Hope (1996)</v>
      </c>
      <c r="B155" s="87">
        <v>23</v>
      </c>
      <c r="C155" s="3">
        <v>28.711835612090315</v>
      </c>
      <c r="D155" s="90" t="str">
        <f t="shared" si="13"/>
        <v/>
      </c>
      <c r="K155" s="98" t="str">
        <f t="shared" si="14"/>
        <v/>
      </c>
      <c r="L155" s="98" t="str">
        <f t="shared" si="15"/>
        <v/>
      </c>
      <c r="M155" s="3" t="s">
        <v>238</v>
      </c>
      <c r="N155" s="3">
        <v>3.6622239301135608</v>
      </c>
      <c r="O155" s="3">
        <v>18.311119650567804</v>
      </c>
    </row>
    <row r="156" spans="1:15" x14ac:dyDescent="0.2">
      <c r="A156" s="3" t="str">
        <f>+VLOOKUP(B156,studies!$A$2:$C$102,3)</f>
        <v>Plambeck &amp; Hope (1996)</v>
      </c>
      <c r="B156" s="87">
        <v>23</v>
      </c>
      <c r="C156" s="3">
        <v>75.368568481737086</v>
      </c>
      <c r="D156" s="90" t="str">
        <f t="shared" si="13"/>
        <v/>
      </c>
      <c r="K156" s="98" t="str">
        <f t="shared" si="14"/>
        <v/>
      </c>
      <c r="L156" s="98" t="str">
        <f t="shared" si="15"/>
        <v/>
      </c>
      <c r="M156" s="3" t="s">
        <v>238</v>
      </c>
      <c r="N156" s="3">
        <v>20.142231615624585</v>
      </c>
      <c r="O156" s="3">
        <v>49.440023056533065</v>
      </c>
    </row>
    <row r="157" spans="1:15" x14ac:dyDescent="0.2">
      <c r="A157" s="3" t="str">
        <f>+VLOOKUP(B157,studies!$A$2:$C$102,3)</f>
        <v>Plambeck &amp; Hope (1996)</v>
      </c>
      <c r="B157" s="87">
        <v>23</v>
      </c>
      <c r="C157" s="3">
        <v>165.09305476951931</v>
      </c>
      <c r="D157" s="90" t="str">
        <f t="shared" si="13"/>
        <v/>
      </c>
      <c r="K157" s="98" t="str">
        <f t="shared" si="14"/>
        <v/>
      </c>
      <c r="L157" s="98" t="str">
        <f t="shared" si="15"/>
        <v/>
      </c>
      <c r="M157" s="3" t="s">
        <v>238</v>
      </c>
      <c r="N157" s="3">
        <v>47.608911091476287</v>
      </c>
      <c r="O157" s="3">
        <v>87.89337432272545</v>
      </c>
    </row>
    <row r="158" spans="1:15" x14ac:dyDescent="0.2">
      <c r="A158" s="3" t="str">
        <f>+VLOOKUP(B158,studies!$A$2:$C$102,3)</f>
        <v>Plambeck &amp; Hope (1996)</v>
      </c>
      <c r="B158" s="87">
        <v>23</v>
      </c>
      <c r="C158" s="3">
        <v>1579.1509586649674</v>
      </c>
      <c r="D158" s="90" t="str">
        <f t="shared" si="13"/>
        <v/>
      </c>
      <c r="K158" s="98" t="str">
        <f t="shared" si="14"/>
        <v/>
      </c>
      <c r="L158" s="98" t="str">
        <f t="shared" si="15"/>
        <v/>
      </c>
      <c r="M158" s="3" t="s">
        <v>238</v>
      </c>
      <c r="N158" s="3">
        <v>91.555598252839019</v>
      </c>
      <c r="O158" s="3">
        <v>73.244478602271215</v>
      </c>
    </row>
    <row r="159" spans="1:15" x14ac:dyDescent="0.2">
      <c r="A159" s="3" t="str">
        <f>+VLOOKUP(B159,studies!$A$2:$C$102,3)</f>
        <v>Plambeck &amp; Hope (1996)</v>
      </c>
      <c r="B159" s="87">
        <v>23</v>
      </c>
      <c r="C159" s="3">
        <v>114.84734244836126</v>
      </c>
      <c r="D159" s="90" t="str">
        <f t="shared" si="13"/>
        <v/>
      </c>
      <c r="K159" s="98" t="str">
        <f t="shared" si="14"/>
        <v/>
      </c>
      <c r="L159" s="98" t="str">
        <f t="shared" si="15"/>
        <v/>
      </c>
      <c r="M159" s="3" t="s">
        <v>238</v>
      </c>
      <c r="N159" s="3">
        <v>18.311119650567804</v>
      </c>
      <c r="O159" s="3">
        <v>43.946687161362725</v>
      </c>
    </row>
    <row r="160" spans="1:15" x14ac:dyDescent="0.2">
      <c r="A160" s="3" t="str">
        <f>+VLOOKUP(B160,studies!$A$2:$C$102,3)</f>
        <v>Cline (1997)</v>
      </c>
      <c r="B160" s="87">
        <v>24</v>
      </c>
      <c r="C160" s="3">
        <v>231.7250656559599</v>
      </c>
      <c r="D160" s="90" t="str">
        <f t="shared" si="13"/>
        <v>Cline (1997)</v>
      </c>
      <c r="K160" s="98" t="str">
        <f t="shared" si="14"/>
        <v/>
      </c>
      <c r="L160" s="98" t="str">
        <f t="shared" si="15"/>
        <v/>
      </c>
      <c r="M160" s="3">
        <v>105.29956687215271</v>
      </c>
      <c r="N160" s="3">
        <v>107.44853762464562</v>
      </c>
      <c r="O160" s="3">
        <v>107.44853762464562</v>
      </c>
    </row>
    <row r="161" spans="1:15" x14ac:dyDescent="0.2">
      <c r="A161" s="3" t="str">
        <f>+VLOOKUP(B161,studies!$A$2:$C$102,3)</f>
        <v>Nordhaus &amp; Popp (1997)</v>
      </c>
      <c r="B161" s="87">
        <v>25</v>
      </c>
      <c r="C161" s="3">
        <v>30.750525708258014</v>
      </c>
      <c r="D161" s="90" t="str">
        <f t="shared" si="13"/>
        <v>Nordhaus &amp; Popp (1997)</v>
      </c>
      <c r="F161" s="1">
        <f>+C162</f>
        <v>13.009310369727405</v>
      </c>
      <c r="G161" s="7">
        <f>+MEDIAN(C161:C162)</f>
        <v>21.879918038992709</v>
      </c>
      <c r="H161" s="1">
        <f>+C161</f>
        <v>30.750525708258014</v>
      </c>
      <c r="J161" s="98">
        <f>+STDEV(C161:C162)</f>
        <v>12.544933672365781</v>
      </c>
      <c r="K161" s="98">
        <f>G161-F161/1.1505</f>
        <v>10.572390555526908</v>
      </c>
      <c r="L161" s="98">
        <f>H161-G161/1.1505</f>
        <v>11.732778607873218</v>
      </c>
      <c r="M161" s="3">
        <v>2.0632440359234971</v>
      </c>
      <c r="N161" s="3">
        <v>18.629090455080632</v>
      </c>
      <c r="O161" s="3">
        <v>35.668284397184557</v>
      </c>
    </row>
    <row r="162" spans="1:15" x14ac:dyDescent="0.2">
      <c r="A162" s="3" t="str">
        <f>+VLOOKUP(B162,studies!$A$2:$C$102,3)</f>
        <v>Nordhaus &amp; Popp (1997)</v>
      </c>
      <c r="B162" s="87">
        <v>25</v>
      </c>
      <c r="C162" s="3">
        <v>13.009310369727405</v>
      </c>
      <c r="D162" s="90" t="str">
        <f t="shared" si="13"/>
        <v/>
      </c>
      <c r="K162" s="98" t="str">
        <f t="shared" si="14"/>
        <v/>
      </c>
      <c r="L162" s="98" t="str">
        <f t="shared" si="15"/>
        <v/>
      </c>
      <c r="M162" s="3" t="s">
        <v>238</v>
      </c>
      <c r="N162" s="3" t="s">
        <v>238</v>
      </c>
      <c r="O162" s="3" t="s">
        <v>238</v>
      </c>
    </row>
    <row r="163" spans="1:15" x14ac:dyDescent="0.2">
      <c r="A163" s="3" t="str">
        <f>+VLOOKUP(B163,studies!$A$2:$C$102,3)</f>
        <v>Eyre et al. (1999)</v>
      </c>
      <c r="B163" s="87">
        <v>26</v>
      </c>
      <c r="C163" s="3">
        <v>448.92605312265732</v>
      </c>
      <c r="D163" s="90" t="str">
        <f t="shared" si="13"/>
        <v>Eyre et al. (1999)</v>
      </c>
      <c r="E163" s="90">
        <f>+PERCENTILE($C163:$C166,E$2)</f>
        <v>186.43634912035063</v>
      </c>
      <c r="F163" s="90">
        <f t="shared" ref="F163:I163" si="18">+PERCENTILE($C163:$C166,F$2)</f>
        <v>192.77412869384699</v>
      </c>
      <c r="G163" s="98">
        <f t="shared" si="18"/>
        <v>308.96675420794651</v>
      </c>
      <c r="H163" s="90">
        <f t="shared" si="18"/>
        <v>429.12049195548127</v>
      </c>
      <c r="I163" s="90">
        <f t="shared" si="18"/>
        <v>444.96494088922208</v>
      </c>
      <c r="J163" s="98">
        <f>+STDEV($C163:$C166)</f>
        <v>142.26548003563801</v>
      </c>
      <c r="K163" s="98">
        <f t="shared" si="14"/>
        <v>62.515512799793818</v>
      </c>
      <c r="L163" s="98">
        <f t="shared" si="15"/>
        <v>69.386829939426306</v>
      </c>
      <c r="M163" s="3" t="s">
        <v>238</v>
      </c>
      <c r="N163" s="3" t="s">
        <v>238</v>
      </c>
      <c r="O163" s="3" t="s">
        <v>238</v>
      </c>
    </row>
    <row r="164" spans="1:15" x14ac:dyDescent="0.2">
      <c r="A164" s="3" t="str">
        <f>+VLOOKUP(B164,studies!$A$2:$C$102,3)</f>
        <v>Eyre et al. (1999)</v>
      </c>
      <c r="B164" s="87">
        <v>26</v>
      </c>
      <c r="C164" s="3">
        <v>184.85190422697656</v>
      </c>
      <c r="D164" s="90" t="str">
        <f t="shared" si="13"/>
        <v/>
      </c>
      <c r="K164" s="98" t="str">
        <f t="shared" si="14"/>
        <v/>
      </c>
      <c r="L164" s="98" t="str">
        <f t="shared" si="15"/>
        <v/>
      </c>
      <c r="M164" s="3" t="s">
        <v>238</v>
      </c>
      <c r="N164" s="3" t="s">
        <v>238</v>
      </c>
      <c r="O164" s="3" t="s">
        <v>238</v>
      </c>
    </row>
    <row r="165" spans="1:15" x14ac:dyDescent="0.2">
      <c r="A165" s="3" t="str">
        <f>+VLOOKUP(B165,studies!$A$2:$C$102,3)</f>
        <v>Eyre et al. (1999)</v>
      </c>
      <c r="B165" s="87">
        <v>26</v>
      </c>
      <c r="C165" s="3">
        <v>422.51863823308923</v>
      </c>
      <c r="D165" s="90" t="str">
        <f t="shared" si="13"/>
        <v/>
      </c>
      <c r="K165" s="98" t="str">
        <f t="shared" si="14"/>
        <v/>
      </c>
      <c r="L165" s="98" t="str">
        <f t="shared" si="15"/>
        <v/>
      </c>
      <c r="M165" s="3" t="s">
        <v>238</v>
      </c>
      <c r="N165" s="3" t="s">
        <v>238</v>
      </c>
      <c r="O165" s="3" t="s">
        <v>238</v>
      </c>
    </row>
    <row r="166" spans="1:15" x14ac:dyDescent="0.2">
      <c r="A166" s="3" t="str">
        <f>+VLOOKUP(B166,studies!$A$2:$C$102,3)</f>
        <v>Eyre et al. (1999)</v>
      </c>
      <c r="B166" s="87">
        <v>26</v>
      </c>
      <c r="C166" s="3">
        <v>195.41487018280378</v>
      </c>
      <c r="D166" s="90" t="str">
        <f t="shared" si="13"/>
        <v/>
      </c>
      <c r="K166" s="98" t="str">
        <f t="shared" si="14"/>
        <v/>
      </c>
      <c r="L166" s="98" t="str">
        <f t="shared" si="15"/>
        <v/>
      </c>
      <c r="M166" s="3" t="s">
        <v>238</v>
      </c>
      <c r="N166" s="3" t="s">
        <v>238</v>
      </c>
      <c r="O166" s="3" t="s">
        <v>238</v>
      </c>
    </row>
    <row r="167" spans="1:15" x14ac:dyDescent="0.2">
      <c r="A167" s="3" t="str">
        <f>+VLOOKUP(B167,studies!$A$2:$C$102,3)</f>
        <v>Roughgarden &amp; Schneider (1999)</v>
      </c>
      <c r="B167" s="87">
        <v>27</v>
      </c>
      <c r="C167" s="3">
        <v>70.359293930021835</v>
      </c>
      <c r="D167" s="90" t="str">
        <f t="shared" si="13"/>
        <v>Roughgarden &amp; Schneider (1999)</v>
      </c>
      <c r="K167" s="98" t="str">
        <f t="shared" si="14"/>
        <v/>
      </c>
      <c r="L167" s="98" t="str">
        <f t="shared" si="15"/>
        <v/>
      </c>
      <c r="M167" s="3" t="s">
        <v>238</v>
      </c>
      <c r="N167" s="3">
        <v>35.897598943888688</v>
      </c>
      <c r="O167" s="3">
        <v>267.76309689262087</v>
      </c>
    </row>
    <row r="168" spans="1:15" x14ac:dyDescent="0.2">
      <c r="A168" s="3" t="str">
        <f>+VLOOKUP(B168,studies!$A$2:$C$102,3)</f>
        <v>Tol (1999)</v>
      </c>
      <c r="B168" s="87">
        <v>28</v>
      </c>
      <c r="C168" s="3">
        <v>158.59453762979751</v>
      </c>
      <c r="D168" s="90" t="str">
        <f t="shared" si="13"/>
        <v>Tol (1999)</v>
      </c>
      <c r="E168" s="90">
        <f>+PERCENTILE($C168:$C197,E$2)</f>
        <v>13.593817511125502</v>
      </c>
      <c r="F168" s="90">
        <f t="shared" ref="F168:I168" si="19">+PERCENTILE($C168:$C197,F$2)</f>
        <v>53.242451918574886</v>
      </c>
      <c r="G168" s="98">
        <f t="shared" si="19"/>
        <v>143.86790199274489</v>
      </c>
      <c r="H168" s="90">
        <f t="shared" si="19"/>
        <v>415.17784315229136</v>
      </c>
      <c r="I168" s="90">
        <f t="shared" si="19"/>
        <v>803.39461490751705</v>
      </c>
      <c r="J168" s="98">
        <f>+STDEV($C168:$C197)</f>
        <v>271.07182471000544</v>
      </c>
      <c r="K168" s="98">
        <f t="shared" si="14"/>
        <v>66.466369633479275</v>
      </c>
      <c r="L168" s="98">
        <f t="shared" si="15"/>
        <v>336.49322087488378</v>
      </c>
      <c r="M168" s="3">
        <v>115.54744884456677</v>
      </c>
      <c r="N168" s="3">
        <v>50.861221980401538</v>
      </c>
      <c r="O168" s="3">
        <v>124.84118122462195</v>
      </c>
    </row>
    <row r="169" spans="1:15" x14ac:dyDescent="0.2">
      <c r="A169" s="3" t="str">
        <f>+VLOOKUP(B169,studies!$A$2:$C$102,3)</f>
        <v>Tol (1999)</v>
      </c>
      <c r="B169" s="87">
        <v>28</v>
      </c>
      <c r="C169" s="3">
        <v>140.46944761496351</v>
      </c>
      <c r="D169" s="90" t="str">
        <f t="shared" si="13"/>
        <v/>
      </c>
      <c r="K169" s="98" t="str">
        <f t="shared" si="14"/>
        <v/>
      </c>
      <c r="L169" s="98" t="str">
        <f t="shared" si="15"/>
        <v/>
      </c>
      <c r="M169" s="3" t="s">
        <v>238</v>
      </c>
      <c r="N169" s="3" t="s">
        <v>238</v>
      </c>
      <c r="O169" s="3" t="s">
        <v>238</v>
      </c>
    </row>
    <row r="170" spans="1:15" x14ac:dyDescent="0.2">
      <c r="A170" s="3" t="str">
        <f>+VLOOKUP(B170,studies!$A$2:$C$102,3)</f>
        <v>Tol (1999)</v>
      </c>
      <c r="B170" s="87">
        <v>28</v>
      </c>
      <c r="C170" s="3">
        <v>52.109633792647763</v>
      </c>
      <c r="D170" s="90" t="str">
        <f t="shared" si="13"/>
        <v/>
      </c>
      <c r="K170" s="98" t="str">
        <f t="shared" si="14"/>
        <v/>
      </c>
      <c r="L170" s="98" t="str">
        <f t="shared" si="15"/>
        <v/>
      </c>
      <c r="M170" s="3" t="s">
        <v>238</v>
      </c>
      <c r="N170" s="3" t="s">
        <v>238</v>
      </c>
      <c r="O170" s="3" t="s">
        <v>238</v>
      </c>
    </row>
    <row r="171" spans="1:15" x14ac:dyDescent="0.2">
      <c r="A171" s="3" t="str">
        <f>+VLOOKUP(B171,studies!$A$2:$C$102,3)</f>
        <v>Tol (1999)</v>
      </c>
      <c r="B171" s="87">
        <v>28</v>
      </c>
      <c r="C171" s="3">
        <v>149.53199262238053</v>
      </c>
      <c r="D171" s="90" t="str">
        <f t="shared" si="13"/>
        <v/>
      </c>
      <c r="K171" s="98" t="str">
        <f t="shared" si="14"/>
        <v/>
      </c>
      <c r="L171" s="98" t="str">
        <f t="shared" si="15"/>
        <v/>
      </c>
      <c r="M171" s="3" t="s">
        <v>238</v>
      </c>
      <c r="N171" s="3" t="s">
        <v>238</v>
      </c>
      <c r="O171" s="3" t="s">
        <v>238</v>
      </c>
    </row>
    <row r="172" spans="1:15" x14ac:dyDescent="0.2">
      <c r="A172" s="3" t="str">
        <f>+VLOOKUP(B172,studies!$A$2:$C$102,3)</f>
        <v>Tol (1999)</v>
      </c>
      <c r="B172" s="87">
        <v>28</v>
      </c>
      <c r="C172" s="3">
        <v>147.26635637052627</v>
      </c>
      <c r="D172" s="90" t="str">
        <f t="shared" si="13"/>
        <v/>
      </c>
      <c r="K172" s="98" t="str">
        <f t="shared" si="14"/>
        <v/>
      </c>
      <c r="L172" s="98" t="str">
        <f t="shared" si="15"/>
        <v/>
      </c>
      <c r="M172" s="3" t="s">
        <v>238</v>
      </c>
      <c r="N172" s="3" t="s">
        <v>238</v>
      </c>
      <c r="O172" s="3" t="s">
        <v>238</v>
      </c>
    </row>
    <row r="173" spans="1:15" x14ac:dyDescent="0.2">
      <c r="A173" s="3" t="str">
        <f>+VLOOKUP(B173,studies!$A$2:$C$102,3)</f>
        <v>Tol (1999)</v>
      </c>
      <c r="B173" s="87">
        <v>28</v>
      </c>
      <c r="C173" s="3">
        <v>126.87563010383802</v>
      </c>
      <c r="D173" s="90" t="str">
        <f t="shared" si="13"/>
        <v/>
      </c>
      <c r="K173" s="98" t="str">
        <f t="shared" si="14"/>
        <v/>
      </c>
      <c r="L173" s="98" t="str">
        <f t="shared" si="15"/>
        <v/>
      </c>
      <c r="M173" s="3" t="s">
        <v>238</v>
      </c>
      <c r="N173" s="3" t="s">
        <v>238</v>
      </c>
      <c r="O173" s="3" t="s">
        <v>238</v>
      </c>
    </row>
    <row r="174" spans="1:15" x14ac:dyDescent="0.2">
      <c r="A174" s="3" t="str">
        <f>+VLOOKUP(B174,studies!$A$2:$C$102,3)</f>
        <v>Tol (1999)</v>
      </c>
      <c r="B174" s="87">
        <v>28</v>
      </c>
      <c r="C174" s="3">
        <v>917.58268200097132</v>
      </c>
      <c r="D174" s="90" t="str">
        <f t="shared" si="13"/>
        <v/>
      </c>
      <c r="K174" s="98" t="str">
        <f t="shared" si="14"/>
        <v/>
      </c>
      <c r="L174" s="98" t="str">
        <f t="shared" si="15"/>
        <v/>
      </c>
      <c r="M174" s="3">
        <v>604.92487924508487</v>
      </c>
      <c r="N174" s="3">
        <v>285.51640520816312</v>
      </c>
      <c r="O174" s="3">
        <v>643.85683279735588</v>
      </c>
    </row>
    <row r="175" spans="1:15" x14ac:dyDescent="0.2">
      <c r="A175" s="3" t="str">
        <f>+VLOOKUP(B175,studies!$A$2:$C$102,3)</f>
        <v>Tol (1999)</v>
      </c>
      <c r="B175" s="87">
        <v>28</v>
      </c>
      <c r="C175" s="3">
        <v>550.54960920058284</v>
      </c>
      <c r="D175" s="90" t="str">
        <f t="shared" si="13"/>
        <v/>
      </c>
      <c r="K175" s="98" t="str">
        <f t="shared" si="14"/>
        <v/>
      </c>
      <c r="L175" s="98" t="str">
        <f t="shared" si="15"/>
        <v/>
      </c>
      <c r="M175" s="3" t="s">
        <v>238</v>
      </c>
      <c r="N175" s="3" t="s">
        <v>238</v>
      </c>
      <c r="O175" s="3" t="s">
        <v>238</v>
      </c>
    </row>
    <row r="176" spans="1:15" x14ac:dyDescent="0.2">
      <c r="A176" s="3" t="str">
        <f>+VLOOKUP(B176,studies!$A$2:$C$102,3)</f>
        <v>Tol (1999)</v>
      </c>
      <c r="B176" s="87">
        <v>28</v>
      </c>
      <c r="C176" s="3">
        <v>321.72034776330355</v>
      </c>
      <c r="D176" s="90" t="str">
        <f t="shared" si="13"/>
        <v/>
      </c>
      <c r="K176" s="98" t="str">
        <f t="shared" si="14"/>
        <v/>
      </c>
      <c r="L176" s="98" t="str">
        <f t="shared" si="15"/>
        <v/>
      </c>
      <c r="M176" s="3" t="s">
        <v>238</v>
      </c>
      <c r="N176" s="3" t="s">
        <v>238</v>
      </c>
      <c r="O176" s="3" t="s">
        <v>238</v>
      </c>
    </row>
    <row r="177" spans="1:15" x14ac:dyDescent="0.2">
      <c r="A177" s="3" t="str">
        <f>+VLOOKUP(B177,studies!$A$2:$C$102,3)</f>
        <v>Tol (1999)</v>
      </c>
      <c r="B177" s="87">
        <v>28</v>
      </c>
      <c r="C177" s="3">
        <v>815.62905066753012</v>
      </c>
      <c r="D177" s="90" t="str">
        <f t="shared" si="13"/>
        <v/>
      </c>
      <c r="K177" s="98" t="str">
        <f t="shared" si="14"/>
        <v/>
      </c>
      <c r="L177" s="98" t="str">
        <f t="shared" si="15"/>
        <v/>
      </c>
      <c r="M177" s="3" t="s">
        <v>238</v>
      </c>
      <c r="N177" s="3" t="s">
        <v>238</v>
      </c>
      <c r="O177" s="3" t="s">
        <v>238</v>
      </c>
    </row>
    <row r="178" spans="1:15" x14ac:dyDescent="0.2">
      <c r="A178" s="3" t="str">
        <f>+VLOOKUP(B178,studies!$A$2:$C$102,3)</f>
        <v>Tol (1999)</v>
      </c>
      <c r="B178" s="87">
        <v>28</v>
      </c>
      <c r="C178" s="3">
        <v>788.44141564527911</v>
      </c>
      <c r="D178" s="90" t="str">
        <f t="shared" si="13"/>
        <v/>
      </c>
      <c r="K178" s="98" t="str">
        <f t="shared" si="14"/>
        <v/>
      </c>
      <c r="L178" s="98" t="str">
        <f t="shared" si="15"/>
        <v/>
      </c>
      <c r="M178" s="3" t="s">
        <v>238</v>
      </c>
      <c r="N178" s="3" t="s">
        <v>238</v>
      </c>
      <c r="O178" s="3" t="s">
        <v>238</v>
      </c>
    </row>
    <row r="179" spans="1:15" x14ac:dyDescent="0.2">
      <c r="A179" s="3" t="str">
        <f>+VLOOKUP(B179,studies!$A$2:$C$102,3)</f>
        <v>Tol (1999)</v>
      </c>
      <c r="B179" s="87">
        <v>28</v>
      </c>
      <c r="C179" s="3">
        <v>652.50324053402403</v>
      </c>
      <c r="D179" s="90" t="str">
        <f t="shared" si="13"/>
        <v/>
      </c>
      <c r="K179" s="98" t="str">
        <f t="shared" si="14"/>
        <v/>
      </c>
      <c r="L179" s="98" t="str">
        <f t="shared" si="15"/>
        <v/>
      </c>
      <c r="M179" s="3" t="s">
        <v>238</v>
      </c>
      <c r="N179" s="3" t="s">
        <v>238</v>
      </c>
      <c r="O179" s="3" t="s">
        <v>238</v>
      </c>
    </row>
    <row r="180" spans="1:15" x14ac:dyDescent="0.2">
      <c r="A180" s="3" t="str">
        <f>+VLOOKUP(B180,studies!$A$2:$C$102,3)</f>
        <v>Tol (1999)</v>
      </c>
      <c r="B180" s="87">
        <v>28</v>
      </c>
      <c r="C180" s="3">
        <v>475.7836128893926</v>
      </c>
      <c r="D180" s="90" t="str">
        <f t="shared" si="13"/>
        <v/>
      </c>
      <c r="K180" s="98" t="str">
        <f t="shared" si="14"/>
        <v/>
      </c>
      <c r="L180" s="98" t="str">
        <f t="shared" si="15"/>
        <v/>
      </c>
      <c r="M180" s="3">
        <v>323.98598401515778</v>
      </c>
      <c r="N180" s="3">
        <v>149.11585535163178</v>
      </c>
      <c r="O180" s="3">
        <v>349.09293268366508</v>
      </c>
    </row>
    <row r="181" spans="1:15" x14ac:dyDescent="0.2">
      <c r="A181" s="3" t="str">
        <f>+VLOOKUP(B181,studies!$A$2:$C$102,3)</f>
        <v>Tol (1999)</v>
      </c>
      <c r="B181" s="87">
        <v>28</v>
      </c>
      <c r="C181" s="3">
        <v>389.68943531893103</v>
      </c>
      <c r="D181" s="90" t="str">
        <f t="shared" si="13"/>
        <v/>
      </c>
      <c r="K181" s="98" t="str">
        <f t="shared" si="14"/>
        <v/>
      </c>
      <c r="L181" s="98" t="str">
        <f t="shared" si="15"/>
        <v/>
      </c>
      <c r="M181" s="3" t="s">
        <v>238</v>
      </c>
      <c r="N181" s="3" t="s">
        <v>238</v>
      </c>
      <c r="O181" s="3" t="s">
        <v>238</v>
      </c>
    </row>
    <row r="182" spans="1:15" x14ac:dyDescent="0.2">
      <c r="A182" s="3" t="str">
        <f>+VLOOKUP(B182,studies!$A$2:$C$102,3)</f>
        <v>Tol (1999)</v>
      </c>
      <c r="B182" s="87">
        <v>28</v>
      </c>
      <c r="C182" s="3">
        <v>165.39144638536027</v>
      </c>
      <c r="D182" s="90" t="str">
        <f t="shared" si="13"/>
        <v/>
      </c>
      <c r="K182" s="98" t="str">
        <f t="shared" si="14"/>
        <v/>
      </c>
      <c r="L182" s="98" t="str">
        <f t="shared" si="15"/>
        <v/>
      </c>
      <c r="M182" s="3" t="s">
        <v>238</v>
      </c>
      <c r="N182" s="3" t="s">
        <v>238</v>
      </c>
      <c r="O182" s="3" t="s">
        <v>238</v>
      </c>
    </row>
    <row r="183" spans="1:15" x14ac:dyDescent="0.2">
      <c r="A183" s="3" t="str">
        <f>+VLOOKUP(B183,studies!$A$2:$C$102,3)</f>
        <v>Tol (1999)</v>
      </c>
      <c r="B183" s="87">
        <v>28</v>
      </c>
      <c r="C183" s="3">
        <v>435.00216035601608</v>
      </c>
      <c r="D183" s="90" t="str">
        <f t="shared" si="13"/>
        <v/>
      </c>
      <c r="K183" s="98" t="str">
        <f t="shared" si="14"/>
        <v/>
      </c>
      <c r="L183" s="98" t="str">
        <f t="shared" si="15"/>
        <v/>
      </c>
      <c r="M183" s="3" t="s">
        <v>238</v>
      </c>
      <c r="N183" s="3" t="s">
        <v>238</v>
      </c>
      <c r="O183" s="3" t="s">
        <v>238</v>
      </c>
    </row>
    <row r="184" spans="1:15" x14ac:dyDescent="0.2">
      <c r="A184" s="3" t="str">
        <f>+VLOOKUP(B184,studies!$A$2:$C$102,3)</f>
        <v>Tol (1999)</v>
      </c>
      <c r="B184" s="87">
        <v>28</v>
      </c>
      <c r="C184" s="3">
        <v>423.6739790967448</v>
      </c>
      <c r="D184" s="90" t="str">
        <f t="shared" si="13"/>
        <v/>
      </c>
      <c r="K184" s="98" t="str">
        <f t="shared" si="14"/>
        <v/>
      </c>
      <c r="L184" s="98" t="str">
        <f t="shared" si="15"/>
        <v/>
      </c>
      <c r="M184" s="3" t="s">
        <v>238</v>
      </c>
      <c r="N184" s="3" t="s">
        <v>238</v>
      </c>
      <c r="O184" s="3" t="s">
        <v>238</v>
      </c>
    </row>
    <row r="185" spans="1:15" x14ac:dyDescent="0.2">
      <c r="A185" s="3" t="str">
        <f>+VLOOKUP(B185,studies!$A$2:$C$102,3)</f>
        <v>Tol (1999)</v>
      </c>
      <c r="B185" s="87">
        <v>28</v>
      </c>
      <c r="C185" s="3">
        <v>353.43925528926303</v>
      </c>
      <c r="D185" s="90" t="str">
        <f t="shared" si="13"/>
        <v/>
      </c>
      <c r="K185" s="98" t="str">
        <f t="shared" si="14"/>
        <v/>
      </c>
      <c r="L185" s="98" t="str">
        <f t="shared" si="15"/>
        <v/>
      </c>
      <c r="M185" s="3" t="s">
        <v>238</v>
      </c>
      <c r="N185" s="3" t="s">
        <v>238</v>
      </c>
      <c r="O185" s="3" t="s">
        <v>238</v>
      </c>
    </row>
    <row r="186" spans="1:15" x14ac:dyDescent="0.2">
      <c r="A186" s="3" t="str">
        <f>+VLOOKUP(B186,studies!$A$2:$C$102,3)</f>
        <v>Tol (1999)</v>
      </c>
      <c r="B186" s="87">
        <v>28</v>
      </c>
      <c r="C186" s="3">
        <v>65.703451303773264</v>
      </c>
      <c r="D186" s="90" t="str">
        <f t="shared" si="13"/>
        <v/>
      </c>
      <c r="K186" s="98" t="str">
        <f t="shared" si="14"/>
        <v/>
      </c>
      <c r="L186" s="98" t="str">
        <f t="shared" si="15"/>
        <v/>
      </c>
      <c r="M186" s="3">
        <v>49.843997540793502</v>
      </c>
      <c r="N186" s="3">
        <v>20.806863537436996</v>
      </c>
      <c r="O186" s="3">
        <v>55.484969433165311</v>
      </c>
    </row>
    <row r="187" spans="1:15" x14ac:dyDescent="0.2">
      <c r="A187" s="3" t="str">
        <f>+VLOOKUP(B187,studies!$A$2:$C$102,3)</f>
        <v>Tol (1999)</v>
      </c>
      <c r="B187" s="87">
        <v>28</v>
      </c>
      <c r="C187" s="3">
        <v>58.90654254821051</v>
      </c>
      <c r="D187" s="90" t="str">
        <f t="shared" si="13"/>
        <v/>
      </c>
      <c r="K187" s="98" t="str">
        <f t="shared" si="14"/>
        <v/>
      </c>
      <c r="L187" s="98" t="str">
        <f t="shared" si="15"/>
        <v/>
      </c>
      <c r="M187" s="3" t="s">
        <v>238</v>
      </c>
      <c r="N187" s="3" t="s">
        <v>238</v>
      </c>
      <c r="O187" s="3" t="s">
        <v>238</v>
      </c>
    </row>
    <row r="188" spans="1:15" x14ac:dyDescent="0.2">
      <c r="A188" s="3" t="str">
        <f>+VLOOKUP(B188,studies!$A$2:$C$102,3)</f>
        <v>Tol (1999)</v>
      </c>
      <c r="B188" s="87">
        <v>28</v>
      </c>
      <c r="C188" s="3">
        <v>20.390726266688251</v>
      </c>
      <c r="D188" s="90" t="str">
        <f t="shared" si="13"/>
        <v/>
      </c>
      <c r="K188" s="98" t="str">
        <f t="shared" si="14"/>
        <v/>
      </c>
      <c r="L188" s="98" t="str">
        <f t="shared" si="15"/>
        <v/>
      </c>
      <c r="M188" s="3" t="s">
        <v>238</v>
      </c>
      <c r="N188" s="3" t="s">
        <v>238</v>
      </c>
      <c r="O188" s="3" t="s">
        <v>238</v>
      </c>
    </row>
    <row r="189" spans="1:15" x14ac:dyDescent="0.2">
      <c r="A189" s="3" t="str">
        <f>+VLOOKUP(B189,studies!$A$2:$C$102,3)</f>
        <v>Tol (1999)</v>
      </c>
      <c r="B189" s="87">
        <v>28</v>
      </c>
      <c r="C189" s="3">
        <v>63.43781505191901</v>
      </c>
      <c r="D189" s="90" t="str">
        <f t="shared" si="13"/>
        <v/>
      </c>
      <c r="K189" s="98" t="str">
        <f t="shared" si="14"/>
        <v/>
      </c>
      <c r="L189" s="98" t="str">
        <f t="shared" si="15"/>
        <v/>
      </c>
      <c r="M189" s="3" t="s">
        <v>238</v>
      </c>
      <c r="N189" s="3" t="s">
        <v>238</v>
      </c>
      <c r="O189" s="3" t="s">
        <v>238</v>
      </c>
    </row>
    <row r="190" spans="1:15" x14ac:dyDescent="0.2">
      <c r="A190" s="3" t="str">
        <f>+VLOOKUP(B190,studies!$A$2:$C$102,3)</f>
        <v>Tol (1999)</v>
      </c>
      <c r="B190" s="87">
        <v>28</v>
      </c>
      <c r="C190" s="3">
        <v>63.43781505191901</v>
      </c>
      <c r="D190" s="90" t="str">
        <f t="shared" si="13"/>
        <v/>
      </c>
      <c r="K190" s="98" t="str">
        <f t="shared" si="14"/>
        <v/>
      </c>
      <c r="L190" s="98" t="str">
        <f t="shared" si="15"/>
        <v/>
      </c>
      <c r="M190" s="3" t="s">
        <v>238</v>
      </c>
      <c r="N190" s="3" t="s">
        <v>238</v>
      </c>
      <c r="O190" s="3" t="s">
        <v>238</v>
      </c>
    </row>
    <row r="191" spans="1:15" x14ac:dyDescent="0.2">
      <c r="A191" s="3" t="str">
        <f>+VLOOKUP(B191,studies!$A$2:$C$102,3)</f>
        <v>Tol (1999)</v>
      </c>
      <c r="B191" s="87">
        <v>28</v>
      </c>
      <c r="C191" s="3">
        <v>56.640906296356263</v>
      </c>
      <c r="D191" s="90" t="str">
        <f t="shared" si="13"/>
        <v/>
      </c>
      <c r="K191" s="98" t="str">
        <f t="shared" si="14"/>
        <v/>
      </c>
      <c r="L191" s="98" t="str">
        <f t="shared" si="15"/>
        <v/>
      </c>
      <c r="M191" s="3" t="s">
        <v>238</v>
      </c>
      <c r="N191" s="3" t="s">
        <v>238</v>
      </c>
      <c r="O191" s="3" t="s">
        <v>238</v>
      </c>
    </row>
    <row r="192" spans="1:15" x14ac:dyDescent="0.2">
      <c r="A192" s="3" t="str">
        <f>+VLOOKUP(B192,studies!$A$2:$C$102,3)</f>
        <v>Tol (1999)</v>
      </c>
      <c r="B192" s="87">
        <v>28</v>
      </c>
      <c r="C192" s="3">
        <v>13.593817511125502</v>
      </c>
      <c r="D192" s="90" t="str">
        <f t="shared" si="13"/>
        <v/>
      </c>
      <c r="K192" s="98" t="str">
        <f t="shared" si="14"/>
        <v/>
      </c>
      <c r="L192" s="98" t="str">
        <f t="shared" si="15"/>
        <v/>
      </c>
      <c r="M192" s="3">
        <v>11.328181259271251</v>
      </c>
      <c r="N192" s="3">
        <v>4.6237474527637756</v>
      </c>
      <c r="O192" s="3">
        <v>12.715305495100385</v>
      </c>
    </row>
    <row r="193" spans="1:15" x14ac:dyDescent="0.2">
      <c r="A193" s="3" t="str">
        <f>+VLOOKUP(B193,studies!$A$2:$C$102,3)</f>
        <v>Tol (1999)</v>
      </c>
      <c r="B193" s="87">
        <v>28</v>
      </c>
      <c r="C193" s="3">
        <v>13.593817511125502</v>
      </c>
      <c r="D193" s="90" t="str">
        <f t="shared" si="13"/>
        <v/>
      </c>
      <c r="K193" s="98" t="str">
        <f t="shared" si="14"/>
        <v/>
      </c>
      <c r="L193" s="98" t="str">
        <f t="shared" si="15"/>
        <v/>
      </c>
      <c r="M193" s="3" t="s">
        <v>238</v>
      </c>
      <c r="N193" s="3" t="s">
        <v>238</v>
      </c>
      <c r="O193" s="3" t="s">
        <v>238</v>
      </c>
    </row>
    <row r="194" spans="1:15" x14ac:dyDescent="0.2">
      <c r="A194" s="3" t="str">
        <f>+VLOOKUP(B194,studies!$A$2:$C$102,3)</f>
        <v>Tol (1999)</v>
      </c>
      <c r="B194" s="87">
        <v>28</v>
      </c>
      <c r="C194" s="3">
        <v>4.5312725037085002</v>
      </c>
      <c r="D194" s="90" t="str">
        <f t="shared" si="13"/>
        <v/>
      </c>
      <c r="K194" s="98" t="str">
        <f t="shared" si="14"/>
        <v/>
      </c>
      <c r="L194" s="98" t="str">
        <f t="shared" si="15"/>
        <v/>
      </c>
      <c r="M194" s="3" t="s">
        <v>238</v>
      </c>
      <c r="N194" s="3" t="s">
        <v>238</v>
      </c>
      <c r="O194" s="3" t="s">
        <v>238</v>
      </c>
    </row>
    <row r="195" spans="1:15" x14ac:dyDescent="0.2">
      <c r="A195" s="3" t="str">
        <f>+VLOOKUP(B195,studies!$A$2:$C$102,3)</f>
        <v>Tol (1999)</v>
      </c>
      <c r="B195" s="87">
        <v>28</v>
      </c>
      <c r="C195" s="3">
        <v>13.593817511125502</v>
      </c>
      <c r="D195" s="90" t="str">
        <f t="shared" si="13"/>
        <v/>
      </c>
      <c r="K195" s="98" t="str">
        <f t="shared" si="14"/>
        <v/>
      </c>
      <c r="L195" s="98" t="str">
        <f t="shared" si="15"/>
        <v/>
      </c>
      <c r="M195" s="3" t="s">
        <v>238</v>
      </c>
      <c r="N195" s="3" t="s">
        <v>238</v>
      </c>
      <c r="O195" s="3" t="s">
        <v>238</v>
      </c>
    </row>
    <row r="196" spans="1:15" x14ac:dyDescent="0.2">
      <c r="A196" s="3" t="str">
        <f>+VLOOKUP(B196,studies!$A$2:$C$102,3)</f>
        <v>Tol (1999)</v>
      </c>
      <c r="B196" s="87">
        <v>28</v>
      </c>
      <c r="C196" s="3">
        <v>13.593817511125502</v>
      </c>
      <c r="D196" s="90" t="str">
        <f t="shared" si="13"/>
        <v/>
      </c>
      <c r="K196" s="98" t="str">
        <f t="shared" si="14"/>
        <v/>
      </c>
      <c r="L196" s="98" t="str">
        <f t="shared" si="15"/>
        <v/>
      </c>
      <c r="M196" s="3" t="s">
        <v>238</v>
      </c>
      <c r="N196" s="3" t="s">
        <v>238</v>
      </c>
      <c r="O196" s="3" t="s">
        <v>238</v>
      </c>
    </row>
    <row r="197" spans="1:15" x14ac:dyDescent="0.2">
      <c r="A197" s="3" t="str">
        <f>+VLOOKUP(B197,studies!$A$2:$C$102,3)</f>
        <v>Tol (1999)</v>
      </c>
      <c r="B197" s="87">
        <v>28</v>
      </c>
      <c r="C197" s="3">
        <v>13.593817511125502</v>
      </c>
      <c r="D197" s="90" t="str">
        <f t="shared" ref="D197:D260" si="20">+IF(B197=B196,"",A197)</f>
        <v/>
      </c>
      <c r="K197" s="98" t="str">
        <f t="shared" si="14"/>
        <v/>
      </c>
      <c r="L197" s="98" t="str">
        <f t="shared" si="15"/>
        <v/>
      </c>
      <c r="M197" s="3" t="s">
        <v>238</v>
      </c>
      <c r="N197" s="3" t="s">
        <v>238</v>
      </c>
      <c r="O197" s="3" t="s">
        <v>238</v>
      </c>
    </row>
    <row r="198" spans="1:15" x14ac:dyDescent="0.2">
      <c r="A198" s="3" t="str">
        <f>+VLOOKUP(B198,studies!$A$2:$C$102,3)</f>
        <v>Nordhaus &amp; Boyer (2000)</v>
      </c>
      <c r="B198" s="87">
        <v>29</v>
      </c>
      <c r="C198" s="3">
        <v>21.204986687069631</v>
      </c>
      <c r="D198" s="90" t="str">
        <f t="shared" si="20"/>
        <v>Nordhaus &amp; Boyer (2000)</v>
      </c>
      <c r="K198" s="98" t="str">
        <f t="shared" si="14"/>
        <v/>
      </c>
      <c r="L198" s="98" t="str">
        <f t="shared" si="15"/>
        <v/>
      </c>
      <c r="M198" s="3" t="s">
        <v>238</v>
      </c>
      <c r="N198" s="3" t="s">
        <v>238</v>
      </c>
      <c r="O198" s="3" t="s">
        <v>238</v>
      </c>
    </row>
    <row r="199" spans="1:15" x14ac:dyDescent="0.2">
      <c r="A199" s="3" t="str">
        <f>+VLOOKUP(B199,studies!$A$2:$C$102,3)</f>
        <v>Tol &amp; Downing (2001)</v>
      </c>
      <c r="B199" s="87">
        <v>30</v>
      </c>
      <c r="C199" s="3">
        <v>68.923352861772699</v>
      </c>
      <c r="D199" s="90" t="str">
        <f t="shared" si="20"/>
        <v>Tol &amp; Downing (2001)</v>
      </c>
      <c r="E199" s="90">
        <f>+PERCENTILE($C199:$C202,E$2)</f>
        <v>9.4406508230205883</v>
      </c>
      <c r="F199" s="90">
        <f t="shared" ref="F199:I199" si="21">+PERCENTILE($C199:$C202,F$2)</f>
        <v>10.23287326970763</v>
      </c>
      <c r="G199" s="98">
        <f t="shared" si="21"/>
        <v>39.743159408799968</v>
      </c>
      <c r="H199" s="90">
        <f t="shared" si="21"/>
        <v>81.929004694884981</v>
      </c>
      <c r="I199" s="90">
        <f t="shared" si="21"/>
        <v>113.14256909435441</v>
      </c>
      <c r="J199" s="98">
        <f>+STDEV($C199:$C202)</f>
        <v>53.492888788791142</v>
      </c>
      <c r="K199" s="98">
        <f t="shared" ref="K199:K262" si="22">+IF(I199="","",(G199-E199)/1.96)</f>
        <v>15.460463564173153</v>
      </c>
      <c r="L199" s="98">
        <f t="shared" ref="L199:L262" si="23">+IF(I199="","",(I199-G199)/1.96)</f>
        <v>37.448678410997168</v>
      </c>
      <c r="M199" s="3" t="s">
        <v>238</v>
      </c>
      <c r="N199" s="3" t="s">
        <v>238</v>
      </c>
      <c r="O199" s="3" t="s">
        <v>238</v>
      </c>
    </row>
    <row r="200" spans="1:15" x14ac:dyDescent="0.2">
      <c r="A200" s="3" t="str">
        <f>+VLOOKUP(B200,studies!$A$2:$C$102,3)</f>
        <v>Tol &amp; Downing (2001)</v>
      </c>
      <c r="B200" s="87">
        <v>30</v>
      </c>
      <c r="C200" s="3">
        <v>9.2425952113488279</v>
      </c>
      <c r="D200" s="90" t="str">
        <f t="shared" si="20"/>
        <v/>
      </c>
      <c r="K200" s="98" t="str">
        <f t="shared" si="22"/>
        <v/>
      </c>
      <c r="L200" s="98" t="str">
        <f t="shared" si="23"/>
        <v/>
      </c>
      <c r="M200" s="3" t="s">
        <v>238</v>
      </c>
      <c r="N200" s="3" t="s">
        <v>238</v>
      </c>
      <c r="O200" s="3" t="s">
        <v>238</v>
      </c>
    </row>
    <row r="201" spans="1:15" x14ac:dyDescent="0.2">
      <c r="A201" s="3" t="str">
        <f>+VLOOKUP(B201,studies!$A$2:$C$102,3)</f>
        <v>Tol &amp; Downing (2001)</v>
      </c>
      <c r="B201" s="87">
        <v>30</v>
      </c>
      <c r="C201" s="3">
        <v>120.9459601942218</v>
      </c>
      <c r="D201" s="90" t="str">
        <f t="shared" si="20"/>
        <v/>
      </c>
      <c r="K201" s="98" t="str">
        <f t="shared" si="22"/>
        <v/>
      </c>
      <c r="L201" s="98" t="str">
        <f t="shared" si="23"/>
        <v/>
      </c>
      <c r="M201" s="3" t="s">
        <v>238</v>
      </c>
      <c r="N201" s="3" t="s">
        <v>238</v>
      </c>
      <c r="O201" s="3" t="s">
        <v>238</v>
      </c>
    </row>
    <row r="202" spans="1:15" x14ac:dyDescent="0.2">
      <c r="A202" s="3" t="str">
        <f>+VLOOKUP(B202,studies!$A$2:$C$102,3)</f>
        <v>Tol &amp; Downing (2001)</v>
      </c>
      <c r="B202" s="87">
        <v>30</v>
      </c>
      <c r="C202" s="3">
        <v>10.562965955827231</v>
      </c>
      <c r="D202" s="90" t="str">
        <f t="shared" si="20"/>
        <v/>
      </c>
      <c r="K202" s="98" t="str">
        <f t="shared" si="22"/>
        <v/>
      </c>
      <c r="L202" s="98" t="str">
        <f t="shared" si="23"/>
        <v/>
      </c>
      <c r="M202" s="3">
        <v>8.4503727646617861</v>
      </c>
      <c r="N202" s="3">
        <v>8.4503727646617861</v>
      </c>
      <c r="O202" s="3">
        <v>8.4503727646617861</v>
      </c>
    </row>
    <row r="203" spans="1:15" x14ac:dyDescent="0.2">
      <c r="A203" s="3" t="str">
        <f>+VLOOKUP(B203,studies!$A$2:$C$102,3)</f>
        <v>Clarkson &amp; Deyes (2002)</v>
      </c>
      <c r="B203" s="87">
        <v>31</v>
      </c>
      <c r="C203" s="3">
        <v>203.52044672144405</v>
      </c>
      <c r="D203" s="90" t="str">
        <f t="shared" si="20"/>
        <v>Clarkson &amp; Deyes (2002)</v>
      </c>
      <c r="K203" s="98" t="str">
        <f t="shared" si="22"/>
        <v/>
      </c>
      <c r="L203" s="98" t="str">
        <f t="shared" si="23"/>
        <v/>
      </c>
      <c r="M203" s="3"/>
      <c r="N203" s="3">
        <v>51.662725240941604</v>
      </c>
      <c r="O203" s="3">
        <v>103.83696261298164</v>
      </c>
    </row>
    <row r="204" spans="1:15" x14ac:dyDescent="0.2">
      <c r="A204" s="3" t="str">
        <f>+VLOOKUP(B204,studies!$A$2:$C$102,3)</f>
        <v>Newell &amp; Pizer (2003)</v>
      </c>
      <c r="B204" s="87">
        <v>32</v>
      </c>
      <c r="C204" s="3">
        <v>15.983259821387531</v>
      </c>
      <c r="D204" s="90" t="str">
        <f t="shared" si="20"/>
        <v>Newell &amp; Pizer (2003)</v>
      </c>
      <c r="E204" s="90">
        <f>+PERCENTILE($C204:$C212,E$2)</f>
        <v>4.4664022218650867</v>
      </c>
      <c r="F204" s="90">
        <f t="shared" ref="F204:I204" si="24">+PERCENTILE($C204:$C212,F$2)</f>
        <v>8.0194753110794572</v>
      </c>
      <c r="G204" s="98">
        <f t="shared" si="24"/>
        <v>18.15520105147155</v>
      </c>
      <c r="H204" s="90">
        <f t="shared" si="24"/>
        <v>60.508055038109937</v>
      </c>
      <c r="I204" s="90">
        <f t="shared" si="24"/>
        <v>82.511490422884194</v>
      </c>
      <c r="J204" s="98">
        <f>+STDEV($C204:$C212)</f>
        <v>32.196283915347486</v>
      </c>
      <c r="K204" s="98">
        <f t="shared" si="22"/>
        <v>6.9840810355135021</v>
      </c>
      <c r="L204" s="98">
        <f t="shared" si="23"/>
        <v>32.834841516026856</v>
      </c>
      <c r="M204" s="3" t="s">
        <v>238</v>
      </c>
      <c r="N204" s="3" t="s">
        <v>238</v>
      </c>
      <c r="O204" s="3" t="s">
        <v>238</v>
      </c>
    </row>
    <row r="205" spans="1:15" x14ac:dyDescent="0.2">
      <c r="A205" s="3" t="str">
        <f>+VLOOKUP(B205,studies!$A$2:$C$102,3)</f>
        <v>Newell &amp; Pizer (2003)</v>
      </c>
      <c r="B205" s="87">
        <v>32</v>
      </c>
      <c r="C205" s="3">
        <v>29.070598002663033</v>
      </c>
      <c r="D205" s="90" t="str">
        <f t="shared" si="20"/>
        <v/>
      </c>
      <c r="K205" s="98" t="str">
        <f t="shared" si="22"/>
        <v/>
      </c>
      <c r="L205" s="98" t="str">
        <f t="shared" si="23"/>
        <v/>
      </c>
      <c r="M205" s="3" t="s">
        <v>238</v>
      </c>
      <c r="N205" s="3" t="s">
        <v>238</v>
      </c>
      <c r="O205" s="3" t="s">
        <v>238</v>
      </c>
    </row>
    <row r="206" spans="1:15" x14ac:dyDescent="0.2">
      <c r="A206" s="3" t="str">
        <f>+VLOOKUP(B206,studies!$A$2:$C$102,3)</f>
        <v>Newell &amp; Pizer (2003)</v>
      </c>
      <c r="B206" s="87">
        <v>32</v>
      </c>
      <c r="C206" s="3">
        <v>18.15520105147155</v>
      </c>
      <c r="D206" s="90" t="str">
        <f t="shared" si="20"/>
        <v/>
      </c>
      <c r="K206" s="98" t="str">
        <f t="shared" si="22"/>
        <v/>
      </c>
      <c r="L206" s="98" t="str">
        <f t="shared" si="23"/>
        <v/>
      </c>
      <c r="M206" s="3" t="s">
        <v>238</v>
      </c>
      <c r="N206" s="3" t="s">
        <v>238</v>
      </c>
      <c r="O206" s="3" t="s">
        <v>238</v>
      </c>
    </row>
    <row r="207" spans="1:15" x14ac:dyDescent="0.2">
      <c r="A207" s="3" t="str">
        <f>+VLOOKUP(B207,studies!$A$2:$C$102,3)</f>
        <v>Newell &amp; Pizer (2003)</v>
      </c>
      <c r="B207" s="87">
        <v>32</v>
      </c>
      <c r="C207" s="3">
        <v>60.508055038109937</v>
      </c>
      <c r="D207" s="90" t="str">
        <f t="shared" si="20"/>
        <v/>
      </c>
      <c r="K207" s="98" t="str">
        <f t="shared" si="22"/>
        <v/>
      </c>
      <c r="L207" s="98" t="str">
        <f t="shared" si="23"/>
        <v/>
      </c>
      <c r="M207" s="3" t="s">
        <v>238</v>
      </c>
      <c r="N207" s="3" t="s">
        <v>238</v>
      </c>
      <c r="O207" s="3" t="s">
        <v>238</v>
      </c>
    </row>
    <row r="208" spans="1:15" x14ac:dyDescent="0.2">
      <c r="A208" s="3" t="str">
        <f>+VLOOKUP(B208,studies!$A$2:$C$102,3)</f>
        <v>Newell &amp; Pizer (2003)</v>
      </c>
      <c r="B208" s="87">
        <v>32</v>
      </c>
      <c r="C208" s="3">
        <v>94.228834905183632</v>
      </c>
      <c r="D208" s="90" t="str">
        <f t="shared" si="20"/>
        <v/>
      </c>
      <c r="K208" s="98" t="str">
        <f t="shared" si="22"/>
        <v/>
      </c>
      <c r="L208" s="98" t="str">
        <f t="shared" si="23"/>
        <v/>
      </c>
      <c r="M208" s="3" t="s">
        <v>238</v>
      </c>
      <c r="N208" s="3" t="s">
        <v>238</v>
      </c>
      <c r="O208" s="3" t="s">
        <v>238</v>
      </c>
    </row>
    <row r="209" spans="1:15" x14ac:dyDescent="0.2">
      <c r="A209" s="3" t="str">
        <f>+VLOOKUP(B209,studies!$A$2:$C$102,3)</f>
        <v>Newell &amp; Pizer (2003)</v>
      </c>
      <c r="B209" s="87">
        <v>32</v>
      </c>
      <c r="C209" s="3">
        <v>64.93547369943505</v>
      </c>
      <c r="D209" s="90" t="str">
        <f t="shared" si="20"/>
        <v/>
      </c>
      <c r="K209" s="98" t="str">
        <f t="shared" si="22"/>
        <v/>
      </c>
      <c r="L209" s="98" t="str">
        <f t="shared" si="23"/>
        <v/>
      </c>
      <c r="M209" s="3" t="s">
        <v>238</v>
      </c>
      <c r="N209" s="3" t="s">
        <v>238</v>
      </c>
      <c r="O209" s="3" t="s">
        <v>238</v>
      </c>
    </row>
    <row r="210" spans="1:15" x14ac:dyDescent="0.2">
      <c r="A210" s="3" t="str">
        <f>+VLOOKUP(B210,studies!$A$2:$C$102,3)</f>
        <v>Newell &amp; Pizer (2003)</v>
      </c>
      <c r="B210" s="87">
        <v>32</v>
      </c>
      <c r="C210" s="3">
        <v>4.1211192570824995</v>
      </c>
      <c r="D210" s="90" t="str">
        <f t="shared" si="20"/>
        <v/>
      </c>
      <c r="K210" s="98" t="str">
        <f t="shared" si="22"/>
        <v/>
      </c>
      <c r="L210" s="98" t="str">
        <f t="shared" si="23"/>
        <v/>
      </c>
      <c r="M210" s="3" t="s">
        <v>238</v>
      </c>
      <c r="N210" s="3" t="s">
        <v>238</v>
      </c>
      <c r="O210" s="3" t="s">
        <v>238</v>
      </c>
    </row>
    <row r="211" spans="1:15" x14ac:dyDescent="0.2">
      <c r="A211" s="3" t="str">
        <f>+VLOOKUP(B211,studies!$A$2:$C$102,3)</f>
        <v>Newell &amp; Pizer (2003)</v>
      </c>
      <c r="B211" s="87">
        <v>32</v>
      </c>
      <c r="C211" s="3">
        <v>8.0194753110794572</v>
      </c>
      <c r="D211" s="90" t="str">
        <f t="shared" si="20"/>
        <v/>
      </c>
      <c r="K211" s="98" t="str">
        <f t="shared" si="22"/>
        <v/>
      </c>
      <c r="L211" s="98" t="str">
        <f t="shared" si="23"/>
        <v/>
      </c>
      <c r="M211" s="3" t="s">
        <v>238</v>
      </c>
      <c r="N211" s="3" t="s">
        <v>238</v>
      </c>
      <c r="O211" s="3" t="s">
        <v>238</v>
      </c>
    </row>
    <row r="212" spans="1:15" x14ac:dyDescent="0.2">
      <c r="A212" s="3" t="str">
        <f>+VLOOKUP(B212,studies!$A$2:$C$102,3)</f>
        <v>Newell &amp; Pizer (2003)</v>
      </c>
      <c r="B212" s="87">
        <v>32</v>
      </c>
      <c r="C212" s="3">
        <v>4.9843266690389685</v>
      </c>
      <c r="D212" s="90" t="str">
        <f t="shared" si="20"/>
        <v/>
      </c>
      <c r="K212" s="98" t="str">
        <f t="shared" si="22"/>
        <v/>
      </c>
      <c r="L212" s="98" t="str">
        <f t="shared" si="23"/>
        <v/>
      </c>
      <c r="M212" s="3" t="s">
        <v>238</v>
      </c>
      <c r="N212" s="3" t="s">
        <v>238</v>
      </c>
      <c r="O212" s="3" t="s">
        <v>238</v>
      </c>
    </row>
    <row r="213" spans="1:15" x14ac:dyDescent="0.2">
      <c r="A213" s="3" t="str">
        <f>+VLOOKUP(B213,studies!$A$2:$C$102,3)</f>
        <v>Pearce (2003)</v>
      </c>
      <c r="B213" s="87">
        <v>33</v>
      </c>
      <c r="C213" s="3">
        <v>51.799128475901185</v>
      </c>
      <c r="D213" s="90" t="str">
        <f t="shared" si="20"/>
        <v>Pearce (2003)</v>
      </c>
      <c r="K213" s="98" t="str">
        <f t="shared" si="22"/>
        <v/>
      </c>
      <c r="L213" s="98" t="str">
        <f t="shared" si="23"/>
        <v/>
      </c>
      <c r="M213" s="3" t="s">
        <v>238</v>
      </c>
      <c r="N213" s="3">
        <v>19.607965025439881</v>
      </c>
      <c r="O213" s="3">
        <v>19.607965025439885</v>
      </c>
    </row>
    <row r="214" spans="1:15" x14ac:dyDescent="0.2">
      <c r="A214" s="3" t="str">
        <f>+VLOOKUP(B214,studies!$A$2:$C$102,3)</f>
        <v>Uzawa (2003)</v>
      </c>
      <c r="B214" s="87">
        <v>34</v>
      </c>
      <c r="C214" s="3">
        <v>322.22399791267043</v>
      </c>
      <c r="D214" s="90" t="str">
        <f t="shared" si="20"/>
        <v>Uzawa (2003)</v>
      </c>
      <c r="K214" s="98" t="str">
        <f t="shared" si="22"/>
        <v/>
      </c>
      <c r="L214" s="98" t="str">
        <f t="shared" si="23"/>
        <v/>
      </c>
      <c r="M214" s="3" t="s">
        <v>238</v>
      </c>
      <c r="N214" s="3" t="s">
        <v>238</v>
      </c>
      <c r="O214" s="3" t="s">
        <v>238</v>
      </c>
    </row>
    <row r="215" spans="1:15" x14ac:dyDescent="0.2">
      <c r="A215" s="3" t="str">
        <f>+VLOOKUP(B215,studies!$A$2:$C$102,3)</f>
        <v>Cline (2004)</v>
      </c>
      <c r="B215" s="87">
        <v>35</v>
      </c>
      <c r="C215" s="3">
        <v>394.13521326226663</v>
      </c>
      <c r="D215" s="90" t="str">
        <f t="shared" si="20"/>
        <v>Cline (2004)</v>
      </c>
      <c r="E215" s="90">
        <f>+PERCENTILE($C215:$C223,E$2)</f>
        <v>41.262954754862143</v>
      </c>
      <c r="F215" s="90">
        <f t="shared" ref="F215:I215" si="25">+PERCENTILE($C215:$C223,F$2)</f>
        <v>72.529358987312449</v>
      </c>
      <c r="G215" s="98">
        <f t="shared" si="25"/>
        <v>110.52577166480931</v>
      </c>
      <c r="H215" s="90">
        <f t="shared" si="25"/>
        <v>394.13521326226663</v>
      </c>
      <c r="I215" s="90">
        <f t="shared" si="25"/>
        <v>778.49196243042798</v>
      </c>
      <c r="J215" s="98">
        <f>+STDEV($C215:$C223)</f>
        <v>317.94906393505016</v>
      </c>
      <c r="K215" s="98">
        <f t="shared" si="22"/>
        <v>35.338171892830182</v>
      </c>
      <c r="L215" s="98">
        <f t="shared" si="23"/>
        <v>340.79907692123402</v>
      </c>
      <c r="M215" s="3" t="s">
        <v>238</v>
      </c>
      <c r="N215" s="3" t="s">
        <v>238</v>
      </c>
      <c r="O215" s="3" t="s">
        <v>238</v>
      </c>
    </row>
    <row r="216" spans="1:15" x14ac:dyDescent="0.2">
      <c r="A216" s="3" t="str">
        <f>+VLOOKUP(B216,studies!$A$2:$C$102,3)</f>
        <v>Cline (2004)</v>
      </c>
      <c r="B216" s="87">
        <v>35</v>
      </c>
      <c r="C216" s="3">
        <v>1019.9441107590814</v>
      </c>
      <c r="D216" s="90" t="str">
        <f t="shared" si="20"/>
        <v/>
      </c>
      <c r="K216" s="98" t="str">
        <f t="shared" si="22"/>
        <v/>
      </c>
      <c r="L216" s="98" t="str">
        <f t="shared" si="23"/>
        <v/>
      </c>
      <c r="M216" s="3" t="s">
        <v>238</v>
      </c>
      <c r="N216" s="3" t="s">
        <v>238</v>
      </c>
      <c r="O216" s="3" t="s">
        <v>238</v>
      </c>
    </row>
    <row r="217" spans="1:15" x14ac:dyDescent="0.2">
      <c r="A217" s="3" t="str">
        <f>+VLOOKUP(B217,studies!$A$2:$C$102,3)</f>
        <v>Cline (2004)</v>
      </c>
      <c r="B217" s="87">
        <v>35</v>
      </c>
      <c r="C217" s="3">
        <v>72.529358987312449</v>
      </c>
      <c r="D217" s="90" t="str">
        <f t="shared" si="20"/>
        <v/>
      </c>
      <c r="K217" s="98" t="str">
        <f t="shared" si="22"/>
        <v/>
      </c>
      <c r="L217" s="98" t="str">
        <f t="shared" si="23"/>
        <v/>
      </c>
      <c r="M217" s="3" t="s">
        <v>238</v>
      </c>
      <c r="N217" s="3" t="s">
        <v>238</v>
      </c>
      <c r="O217" s="3" t="s">
        <v>238</v>
      </c>
    </row>
    <row r="218" spans="1:15" x14ac:dyDescent="0.2">
      <c r="A218" s="3" t="str">
        <f>+VLOOKUP(B218,studies!$A$2:$C$102,3)</f>
        <v>Cline (2004)</v>
      </c>
      <c r="B218" s="87">
        <v>35</v>
      </c>
      <c r="C218" s="3">
        <v>110.52577166480931</v>
      </c>
      <c r="D218" s="90" t="str">
        <f t="shared" si="20"/>
        <v/>
      </c>
      <c r="K218" s="98" t="str">
        <f t="shared" si="22"/>
        <v/>
      </c>
      <c r="L218" s="98" t="str">
        <f t="shared" si="23"/>
        <v/>
      </c>
      <c r="M218" s="3" t="s">
        <v>238</v>
      </c>
      <c r="N218" s="3" t="s">
        <v>238</v>
      </c>
      <c r="O218" s="3" t="s">
        <v>238</v>
      </c>
    </row>
    <row r="219" spans="1:15" x14ac:dyDescent="0.2">
      <c r="A219" s="3" t="str">
        <f>+VLOOKUP(B219,studies!$A$2:$C$102,3)</f>
        <v>Cline (2004)</v>
      </c>
      <c r="B219" s="87">
        <v>35</v>
      </c>
      <c r="C219" s="3">
        <v>55.262885832404656</v>
      </c>
      <c r="D219" s="90" t="str">
        <f t="shared" si="20"/>
        <v/>
      </c>
      <c r="K219" s="98" t="str">
        <f t="shared" si="22"/>
        <v/>
      </c>
      <c r="L219" s="98" t="str">
        <f t="shared" si="23"/>
        <v/>
      </c>
      <c r="M219" s="3" t="s">
        <v>238</v>
      </c>
      <c r="N219" s="3" t="s">
        <v>238</v>
      </c>
      <c r="O219" s="3" t="s">
        <v>238</v>
      </c>
    </row>
    <row r="220" spans="1:15" x14ac:dyDescent="0.2">
      <c r="A220" s="3" t="str">
        <f>+VLOOKUP(B220,studies!$A$2:$C$102,3)</f>
        <v>Cline (2004)</v>
      </c>
      <c r="B220" s="87">
        <v>35</v>
      </c>
      <c r="C220" s="3">
        <v>31.929667369833801</v>
      </c>
      <c r="D220" s="90" t="str">
        <f t="shared" si="20"/>
        <v/>
      </c>
      <c r="K220" s="98" t="str">
        <f t="shared" si="22"/>
        <v/>
      </c>
      <c r="L220" s="98" t="str">
        <f t="shared" si="23"/>
        <v/>
      </c>
      <c r="M220" s="3" t="s">
        <v>238</v>
      </c>
      <c r="N220" s="3" t="s">
        <v>238</v>
      </c>
      <c r="O220" s="3" t="s">
        <v>238</v>
      </c>
    </row>
    <row r="221" spans="1:15" x14ac:dyDescent="0.2">
      <c r="A221" s="3" t="str">
        <f>+VLOOKUP(B221,studies!$A$2:$C$102,3)</f>
        <v>Cline (2004)</v>
      </c>
      <c r="B221" s="87">
        <v>35</v>
      </c>
      <c r="C221" s="3">
        <v>416.31373993744836</v>
      </c>
      <c r="D221" s="90" t="str">
        <f t="shared" si="20"/>
        <v/>
      </c>
      <c r="K221" s="98" t="str">
        <f t="shared" si="22"/>
        <v/>
      </c>
      <c r="L221" s="98" t="str">
        <f t="shared" si="23"/>
        <v/>
      </c>
      <c r="M221" s="3" t="s">
        <v>238</v>
      </c>
      <c r="N221" s="3" t="s">
        <v>238</v>
      </c>
      <c r="O221" s="3" t="s">
        <v>238</v>
      </c>
    </row>
    <row r="222" spans="1:15" x14ac:dyDescent="0.2">
      <c r="A222" s="3" t="str">
        <f>+VLOOKUP(B222,studies!$A$2:$C$102,3)</f>
        <v>Cline (2004)</v>
      </c>
      <c r="B222" s="87">
        <v>35</v>
      </c>
      <c r="C222" s="3">
        <v>170.70091401564991</v>
      </c>
      <c r="D222" s="90" t="str">
        <f t="shared" si="20"/>
        <v/>
      </c>
      <c r="K222" s="98" t="str">
        <f t="shared" si="22"/>
        <v/>
      </c>
      <c r="L222" s="98" t="str">
        <f t="shared" si="23"/>
        <v/>
      </c>
      <c r="M222" s="3" t="s">
        <v>238</v>
      </c>
      <c r="N222" s="3" t="s">
        <v>238</v>
      </c>
      <c r="O222" s="3" t="s">
        <v>238</v>
      </c>
    </row>
    <row r="223" spans="1:15" x14ac:dyDescent="0.2">
      <c r="A223" s="3" t="str">
        <f>+VLOOKUP(B223,studies!$A$2:$C$102,3)</f>
        <v>Cline (2004)</v>
      </c>
      <c r="B223" s="87">
        <v>35</v>
      </c>
      <c r="C223" s="3">
        <v>88.420617331847438</v>
      </c>
      <c r="D223" s="90" t="str">
        <f t="shared" si="20"/>
        <v/>
      </c>
      <c r="K223" s="98" t="str">
        <f t="shared" si="22"/>
        <v/>
      </c>
      <c r="L223" s="98" t="str">
        <f t="shared" si="23"/>
        <v/>
      </c>
      <c r="M223" s="3" t="s">
        <v>238</v>
      </c>
      <c r="N223" s="3" t="s">
        <v>238</v>
      </c>
      <c r="O223" s="3" t="s">
        <v>238</v>
      </c>
    </row>
    <row r="224" spans="1:15" x14ac:dyDescent="0.2">
      <c r="A224" s="3" t="str">
        <f>+VLOOKUP(B224,studies!$A$2:$C$102,3)</f>
        <v>Hohmeyer (2004)</v>
      </c>
      <c r="B224" s="87">
        <v>36</v>
      </c>
      <c r="C224" s="3">
        <v>114.84734244836126</v>
      </c>
      <c r="D224" s="90" t="str">
        <f t="shared" si="20"/>
        <v>Hohmeyer (2004)</v>
      </c>
      <c r="F224" s="1">
        <f>+C224</f>
        <v>114.84734244836126</v>
      </c>
      <c r="G224" s="7">
        <f>+MEDIAN(C224:C225)</f>
        <v>1116.172609420011</v>
      </c>
      <c r="H224" s="1">
        <f>+C225</f>
        <v>2117.4978763916606</v>
      </c>
      <c r="J224" s="98">
        <f>+STDEV(C224:C225)</f>
        <v>1416.0877728981673</v>
      </c>
      <c r="K224" s="98">
        <f>G224-F224/1.1505</f>
        <v>1016.3487567921437</v>
      </c>
      <c r="L224" s="98">
        <f>H224-G224/1.1505</f>
        <v>1147.334808664576</v>
      </c>
      <c r="M224" s="3" t="s">
        <v>238</v>
      </c>
      <c r="N224" s="3" t="s">
        <v>238</v>
      </c>
      <c r="O224" s="3" t="s">
        <v>238</v>
      </c>
    </row>
    <row r="225" spans="1:15" x14ac:dyDescent="0.2">
      <c r="A225" s="3" t="str">
        <f>+VLOOKUP(B225,studies!$A$2:$C$102,3)</f>
        <v>Hohmeyer (2004)</v>
      </c>
      <c r="B225" s="87">
        <v>36</v>
      </c>
      <c r="C225" s="3">
        <v>2117.4978763916606</v>
      </c>
      <c r="D225" s="90" t="str">
        <f t="shared" si="20"/>
        <v/>
      </c>
      <c r="K225" s="98" t="str">
        <f t="shared" si="22"/>
        <v/>
      </c>
      <c r="L225" s="98" t="str">
        <f t="shared" si="23"/>
        <v/>
      </c>
      <c r="M225" s="3" t="s">
        <v>238</v>
      </c>
      <c r="N225" s="3" t="s">
        <v>238</v>
      </c>
      <c r="O225" s="3" t="s">
        <v>238</v>
      </c>
    </row>
    <row r="226" spans="1:15" x14ac:dyDescent="0.2">
      <c r="A226" s="3" t="str">
        <f>+VLOOKUP(B226,studies!$A$2:$C$102,3)</f>
        <v>Link &amp; Tol (2004)</v>
      </c>
      <c r="B226" s="87">
        <v>37</v>
      </c>
      <c r="C226" s="3">
        <v>178.98526389648578</v>
      </c>
      <c r="D226" s="90" t="str">
        <f t="shared" si="20"/>
        <v>Link &amp; Tol (2004)</v>
      </c>
      <c r="E226" s="90">
        <f>+PERCENTILE($C226:$C237,E$2)</f>
        <v>11.452791253123234</v>
      </c>
      <c r="F226" s="90">
        <f t="shared" ref="F226:I226" si="26">+PERCENTILE($C226:$C237,F$2)</f>
        <v>56.640906296356256</v>
      </c>
      <c r="G226" s="98">
        <f t="shared" si="26"/>
        <v>136.731147799404</v>
      </c>
      <c r="H226" s="90">
        <f t="shared" si="26"/>
        <v>212.34675770503961</v>
      </c>
      <c r="I226" s="90">
        <f t="shared" si="26"/>
        <v>382.41674295047892</v>
      </c>
      <c r="J226" s="98">
        <f>+STDEV($C226:$C237)</f>
        <v>127.02062367967443</v>
      </c>
      <c r="K226" s="98">
        <f t="shared" si="22"/>
        <v>63.917528850143249</v>
      </c>
      <c r="L226" s="98">
        <f t="shared" si="23"/>
        <v>125.34979344442598</v>
      </c>
      <c r="M226" s="3" t="s">
        <v>238</v>
      </c>
      <c r="N226" s="3" t="s">
        <v>238</v>
      </c>
      <c r="O226" s="3" t="s">
        <v>238</v>
      </c>
    </row>
    <row r="227" spans="1:15" x14ac:dyDescent="0.2">
      <c r="A227" s="3" t="str">
        <f>+VLOOKUP(B227,studies!$A$2:$C$102,3)</f>
        <v>Link &amp; Tol (2004)</v>
      </c>
      <c r="B227" s="87">
        <v>37</v>
      </c>
      <c r="C227" s="3">
        <v>385.15816281522251</v>
      </c>
      <c r="D227" s="90" t="str">
        <f t="shared" si="20"/>
        <v/>
      </c>
      <c r="K227" s="98" t="str">
        <f t="shared" si="22"/>
        <v/>
      </c>
      <c r="L227" s="98" t="str">
        <f t="shared" si="23"/>
        <v/>
      </c>
      <c r="M227" s="3" t="s">
        <v>238</v>
      </c>
      <c r="N227" s="3" t="s">
        <v>238</v>
      </c>
      <c r="O227" s="3" t="s">
        <v>238</v>
      </c>
    </row>
    <row r="228" spans="1:15" x14ac:dyDescent="0.2">
      <c r="A228" s="3" t="str">
        <f>+VLOOKUP(B228,studies!$A$2:$C$102,3)</f>
        <v>Link &amp; Tol (2004)</v>
      </c>
      <c r="B228" s="87">
        <v>37</v>
      </c>
      <c r="C228" s="3">
        <v>57.094033546727104</v>
      </c>
      <c r="D228" s="90" t="str">
        <f t="shared" si="20"/>
        <v/>
      </c>
      <c r="K228" s="98" t="str">
        <f t="shared" si="22"/>
        <v/>
      </c>
      <c r="L228" s="98" t="str">
        <f t="shared" si="23"/>
        <v/>
      </c>
      <c r="M228" s="3" t="s">
        <v>238</v>
      </c>
      <c r="N228" s="3" t="s">
        <v>238</v>
      </c>
      <c r="O228" s="3" t="s">
        <v>238</v>
      </c>
    </row>
    <row r="229" spans="1:15" x14ac:dyDescent="0.2">
      <c r="A229" s="3" t="str">
        <f>+VLOOKUP(B229,studies!$A$2:$C$102,3)</f>
        <v>Link &amp; Tol (2004)</v>
      </c>
      <c r="B229" s="87">
        <v>37</v>
      </c>
      <c r="C229" s="3">
        <v>213.19637129948495</v>
      </c>
      <c r="D229" s="90" t="str">
        <f t="shared" si="20"/>
        <v/>
      </c>
      <c r="K229" s="98" t="str">
        <f t="shared" si="22"/>
        <v/>
      </c>
      <c r="L229" s="98" t="str">
        <f t="shared" si="23"/>
        <v/>
      </c>
      <c r="M229" s="3" t="s">
        <v>238</v>
      </c>
      <c r="N229" s="3" t="s">
        <v>238</v>
      </c>
      <c r="O229" s="3" t="s">
        <v>238</v>
      </c>
    </row>
    <row r="230" spans="1:15" x14ac:dyDescent="0.2">
      <c r="A230" s="3" t="str">
        <f>+VLOOKUP(B230,studies!$A$2:$C$102,3)</f>
        <v>Link &amp; Tol (2004)</v>
      </c>
      <c r="B230" s="87">
        <v>37</v>
      </c>
      <c r="C230" s="3">
        <v>11.554744884456676</v>
      </c>
      <c r="D230" s="90" t="str">
        <f t="shared" si="20"/>
        <v/>
      </c>
      <c r="K230" s="98" t="str">
        <f t="shared" si="22"/>
        <v/>
      </c>
      <c r="L230" s="98" t="str">
        <f t="shared" si="23"/>
        <v/>
      </c>
      <c r="M230" s="3" t="s">
        <v>238</v>
      </c>
      <c r="N230" s="3" t="s">
        <v>238</v>
      </c>
      <c r="O230" s="3" t="s">
        <v>238</v>
      </c>
    </row>
    <row r="231" spans="1:15" x14ac:dyDescent="0.2">
      <c r="A231" s="3" t="str">
        <f>+VLOOKUP(B231,studies!$A$2:$C$102,3)</f>
        <v>Link &amp; Tol (2004)</v>
      </c>
      <c r="B231" s="87">
        <v>37</v>
      </c>
      <c r="C231" s="3">
        <v>102.1801949586267</v>
      </c>
      <c r="D231" s="90" t="str">
        <f t="shared" si="20"/>
        <v/>
      </c>
      <c r="K231" s="98" t="str">
        <f t="shared" si="22"/>
        <v/>
      </c>
      <c r="L231" s="98" t="str">
        <f t="shared" si="23"/>
        <v/>
      </c>
      <c r="M231" s="3" t="s">
        <v>238</v>
      </c>
      <c r="N231" s="3" t="s">
        <v>238</v>
      </c>
      <c r="O231" s="3" t="s">
        <v>238</v>
      </c>
    </row>
    <row r="232" spans="1:15" x14ac:dyDescent="0.2">
      <c r="A232" s="3" t="str">
        <f>+VLOOKUP(B232,studies!$A$2:$C$102,3)</f>
        <v>Link &amp; Tol (2004)</v>
      </c>
      <c r="B232" s="87">
        <v>37</v>
      </c>
      <c r="C232" s="3">
        <v>171.28210064018131</v>
      </c>
      <c r="D232" s="90" t="str">
        <f t="shared" si="20"/>
        <v/>
      </c>
      <c r="K232" s="98" t="str">
        <f t="shared" si="22"/>
        <v/>
      </c>
      <c r="L232" s="98" t="str">
        <f t="shared" si="23"/>
        <v/>
      </c>
      <c r="M232" s="3" t="s">
        <v>238</v>
      </c>
      <c r="N232" s="3" t="s">
        <v>238</v>
      </c>
      <c r="O232" s="3" t="s">
        <v>238</v>
      </c>
    </row>
    <row r="233" spans="1:15" x14ac:dyDescent="0.2">
      <c r="A233" s="3" t="str">
        <f>+VLOOKUP(B233,studies!$A$2:$C$102,3)</f>
        <v>Link &amp; Tol (2004)</v>
      </c>
      <c r="B233" s="87">
        <v>37</v>
      </c>
      <c r="C233" s="3">
        <v>380.17376306114323</v>
      </c>
      <c r="D233" s="90" t="str">
        <f t="shared" si="20"/>
        <v/>
      </c>
      <c r="K233" s="98" t="str">
        <f t="shared" si="22"/>
        <v/>
      </c>
      <c r="L233" s="98" t="str">
        <f t="shared" si="23"/>
        <v/>
      </c>
      <c r="M233" s="3" t="s">
        <v>238</v>
      </c>
      <c r="N233" s="3" t="s">
        <v>238</v>
      </c>
      <c r="O233" s="3" t="s">
        <v>238</v>
      </c>
    </row>
    <row r="234" spans="1:15" x14ac:dyDescent="0.2">
      <c r="A234" s="3" t="str">
        <f>+VLOOKUP(B234,studies!$A$2:$C$102,3)</f>
        <v>Link &amp; Tol (2004)</v>
      </c>
      <c r="B234" s="87">
        <v>37</v>
      </c>
      <c r="C234" s="3">
        <v>55.281524545243705</v>
      </c>
      <c r="D234" s="90" t="str">
        <f t="shared" si="20"/>
        <v/>
      </c>
      <c r="K234" s="98" t="str">
        <f t="shared" si="22"/>
        <v/>
      </c>
      <c r="L234" s="98" t="str">
        <f t="shared" si="23"/>
        <v/>
      </c>
      <c r="M234" s="3" t="s">
        <v>238</v>
      </c>
      <c r="N234" s="3" t="s">
        <v>238</v>
      </c>
      <c r="O234" s="3" t="s">
        <v>238</v>
      </c>
    </row>
    <row r="235" spans="1:15" x14ac:dyDescent="0.2">
      <c r="A235" s="3" t="str">
        <f>+VLOOKUP(B235,studies!$A$2:$C$102,3)</f>
        <v>Link &amp; Tol (2004)</v>
      </c>
      <c r="B235" s="87">
        <v>37</v>
      </c>
      <c r="C235" s="3">
        <v>212.06355317355784</v>
      </c>
      <c r="D235" s="90" t="str">
        <f t="shared" si="20"/>
        <v/>
      </c>
      <c r="K235" s="98" t="str">
        <f t="shared" si="22"/>
        <v/>
      </c>
      <c r="L235" s="98" t="str">
        <f t="shared" si="23"/>
        <v/>
      </c>
      <c r="M235" s="3" t="s">
        <v>238</v>
      </c>
      <c r="N235" s="3" t="s">
        <v>238</v>
      </c>
      <c r="O235" s="3" t="s">
        <v>238</v>
      </c>
    </row>
    <row r="236" spans="1:15" x14ac:dyDescent="0.2">
      <c r="A236" s="3" t="str">
        <f>+VLOOKUP(B236,studies!$A$2:$C$102,3)</f>
        <v>Link &amp; Tol (2004)</v>
      </c>
      <c r="B236" s="87">
        <v>37</v>
      </c>
      <c r="C236" s="3">
        <v>11.328181259271251</v>
      </c>
      <c r="D236" s="90" t="str">
        <f t="shared" si="20"/>
        <v/>
      </c>
      <c r="K236" s="98" t="str">
        <f t="shared" si="22"/>
        <v/>
      </c>
      <c r="L236" s="98" t="str">
        <f t="shared" si="23"/>
        <v/>
      </c>
      <c r="M236" s="3" t="s">
        <v>238</v>
      </c>
      <c r="N236" s="3" t="s">
        <v>238</v>
      </c>
      <c r="O236" s="3" t="s">
        <v>238</v>
      </c>
    </row>
    <row r="237" spans="1:15" x14ac:dyDescent="0.2">
      <c r="A237" s="3" t="str">
        <f>+VLOOKUP(B237,studies!$A$2:$C$102,3)</f>
        <v>Link &amp; Tol (2004)</v>
      </c>
      <c r="B237" s="87">
        <v>37</v>
      </c>
      <c r="C237" s="3">
        <v>101.95363133344127</v>
      </c>
      <c r="D237" s="90" t="str">
        <f t="shared" si="20"/>
        <v/>
      </c>
      <c r="K237" s="98" t="str">
        <f t="shared" si="22"/>
        <v/>
      </c>
      <c r="L237" s="98" t="str">
        <f t="shared" si="23"/>
        <v/>
      </c>
      <c r="M237" s="3" t="s">
        <v>238</v>
      </c>
      <c r="N237" s="3" t="s">
        <v>238</v>
      </c>
      <c r="O237" s="3" t="s">
        <v>238</v>
      </c>
    </row>
    <row r="238" spans="1:15" x14ac:dyDescent="0.2">
      <c r="A238" s="3" t="str">
        <f>+VLOOKUP(B238,studies!$A$2:$C$102,3)</f>
        <v>Manne (2004)</v>
      </c>
      <c r="B238" s="87">
        <v>38</v>
      </c>
      <c r="C238" s="3">
        <v>601.53826617175571</v>
      </c>
      <c r="D238" s="90" t="str">
        <f t="shared" si="20"/>
        <v>Manne (2004)</v>
      </c>
      <c r="F238" s="1">
        <f>+C239</f>
        <v>24.061530646870228</v>
      </c>
      <c r="G238" s="7">
        <f>+MEDIAN(C238:C239)</f>
        <v>312.79989840931296</v>
      </c>
      <c r="H238" s="1">
        <f>+C238</f>
        <v>601.53826617175571</v>
      </c>
      <c r="J238" s="98">
        <f>+STDEV(C238:C239)</f>
        <v>408.33771566711698</v>
      </c>
      <c r="K238" s="98">
        <f>G238-F238/1.1505</f>
        <v>291.88592131511894</v>
      </c>
      <c r="L238" s="98">
        <f>H238-G238/1.1505</f>
        <v>329.65656394723339</v>
      </c>
      <c r="M238" s="3" t="s">
        <v>238</v>
      </c>
      <c r="N238" s="3" t="s">
        <v>238</v>
      </c>
      <c r="O238" s="3" t="s">
        <v>238</v>
      </c>
    </row>
    <row r="239" spans="1:15" x14ac:dyDescent="0.2">
      <c r="A239" s="3" t="str">
        <f>+VLOOKUP(B239,studies!$A$2:$C$102,3)</f>
        <v>Manne (2004)</v>
      </c>
      <c r="B239" s="87">
        <v>38</v>
      </c>
      <c r="C239" s="3">
        <v>24.061530646870228</v>
      </c>
      <c r="D239" s="90" t="str">
        <f t="shared" si="20"/>
        <v/>
      </c>
      <c r="K239" s="98" t="str">
        <f t="shared" si="22"/>
        <v/>
      </c>
      <c r="L239" s="98" t="str">
        <f t="shared" si="23"/>
        <v/>
      </c>
      <c r="M239" s="3" t="s">
        <v>238</v>
      </c>
      <c r="N239" s="3" t="s">
        <v>238</v>
      </c>
      <c r="O239" s="3" t="s">
        <v>238</v>
      </c>
    </row>
    <row r="240" spans="1:15" x14ac:dyDescent="0.2">
      <c r="A240" s="3" t="str">
        <f>+VLOOKUP(B240,studies!$A$2:$C$102,3)</f>
        <v>Mendelsohn (2004)</v>
      </c>
      <c r="B240" s="87">
        <v>39</v>
      </c>
      <c r="C240" s="3">
        <v>3.9626966118889193</v>
      </c>
      <c r="D240" s="90" t="str">
        <f t="shared" si="20"/>
        <v>Mendelsohn (2004)</v>
      </c>
      <c r="K240" s="98" t="str">
        <f t="shared" si="22"/>
        <v/>
      </c>
      <c r="L240" s="98" t="str">
        <f t="shared" si="23"/>
        <v/>
      </c>
      <c r="M240" s="3">
        <v>0.66044943531481981</v>
      </c>
      <c r="N240" s="3">
        <v>0.67392799521920388</v>
      </c>
      <c r="O240" s="3">
        <v>0.67392799521920388</v>
      </c>
    </row>
    <row r="241" spans="1:15" x14ac:dyDescent="0.2">
      <c r="A241" s="3" t="str">
        <f>+VLOOKUP(B241,studies!$A$2:$C$102,3)</f>
        <v>Mendelsohn (2004)</v>
      </c>
      <c r="B241" s="87">
        <v>40</v>
      </c>
      <c r="C241" s="3">
        <v>131.40690260754653</v>
      </c>
      <c r="D241" s="90" t="str">
        <f t="shared" si="20"/>
        <v>Mendelsohn (2004)</v>
      </c>
      <c r="E241" s="90">
        <f>+PERCENTILE($C241:$C284,E$2)</f>
        <v>-5.5961215420799979</v>
      </c>
      <c r="F241" s="90">
        <f t="shared" ref="F241:I241" si="27">+PERCENTILE($C241:$C284,F$2)</f>
        <v>24.921998770396751</v>
      </c>
      <c r="G241" s="98">
        <f t="shared" si="27"/>
        <v>46.445543163012132</v>
      </c>
      <c r="H241" s="90">
        <f t="shared" si="27"/>
        <v>177.85244577055863</v>
      </c>
      <c r="I241" s="90">
        <f t="shared" si="27"/>
        <v>1239.3030297642756</v>
      </c>
      <c r="J241" s="98">
        <f>+STDEV($C241:$C284)</f>
        <v>962.73889466509263</v>
      </c>
      <c r="K241" s="98">
        <f t="shared" si="22"/>
        <v>26.551869747495985</v>
      </c>
      <c r="L241" s="98">
        <f t="shared" si="23"/>
        <v>608.60075847003236</v>
      </c>
      <c r="M241" s="3" t="s">
        <v>238</v>
      </c>
      <c r="N241" s="3" t="s">
        <v>238</v>
      </c>
      <c r="O241" s="3" t="s">
        <v>238</v>
      </c>
    </row>
    <row r="242" spans="1:15" x14ac:dyDescent="0.2">
      <c r="A242" s="3" t="str">
        <f>+VLOOKUP(B242,studies!$A$2:$C$102,3)</f>
        <v>Mendelsohn (2004)</v>
      </c>
      <c r="B242" s="87">
        <v>40</v>
      </c>
      <c r="C242" s="3">
        <v>24.921998770396751</v>
      </c>
      <c r="D242" s="90" t="str">
        <f t="shared" si="20"/>
        <v/>
      </c>
      <c r="K242" s="98" t="str">
        <f t="shared" si="22"/>
        <v/>
      </c>
      <c r="L242" s="98" t="str">
        <f t="shared" si="23"/>
        <v/>
      </c>
      <c r="M242" s="3" t="s">
        <v>238</v>
      </c>
      <c r="N242" s="3" t="s">
        <v>238</v>
      </c>
      <c r="O242" s="3" t="s">
        <v>238</v>
      </c>
    </row>
    <row r="243" spans="1:15" x14ac:dyDescent="0.2">
      <c r="A243" s="3" t="str">
        <f>+VLOOKUP(B243,studies!$A$2:$C$102,3)</f>
        <v>Mendelsohn (2004)</v>
      </c>
      <c r="B243" s="87">
        <v>40</v>
      </c>
      <c r="C243" s="3">
        <v>-5.2109633792647747</v>
      </c>
      <c r="D243" s="90" t="str">
        <f t="shared" si="20"/>
        <v/>
      </c>
      <c r="K243" s="98" t="str">
        <f t="shared" si="22"/>
        <v/>
      </c>
      <c r="L243" s="98" t="str">
        <f t="shared" si="23"/>
        <v/>
      </c>
      <c r="M243" s="3" t="s">
        <v>238</v>
      </c>
      <c r="N243" s="3" t="s">
        <v>238</v>
      </c>
      <c r="O243" s="3" t="s">
        <v>238</v>
      </c>
    </row>
    <row r="244" spans="1:15" x14ac:dyDescent="0.2">
      <c r="A244" s="3" t="str">
        <f>+VLOOKUP(B244,studies!$A$2:$C$102,3)</f>
        <v>Mendelsohn (2004)</v>
      </c>
      <c r="B244" s="87">
        <v>40</v>
      </c>
      <c r="C244" s="3">
        <v>40.781452533376502</v>
      </c>
      <c r="D244" s="90" t="str">
        <f t="shared" si="20"/>
        <v/>
      </c>
      <c r="K244" s="98" t="str">
        <f t="shared" si="22"/>
        <v/>
      </c>
      <c r="L244" s="98" t="str">
        <f t="shared" si="23"/>
        <v/>
      </c>
      <c r="M244" s="3" t="s">
        <v>238</v>
      </c>
      <c r="N244" s="3" t="s">
        <v>238</v>
      </c>
      <c r="O244" s="3" t="s">
        <v>238</v>
      </c>
    </row>
    <row r="245" spans="1:15" x14ac:dyDescent="0.2">
      <c r="A245" s="3" t="str">
        <f>+VLOOKUP(B245,studies!$A$2:$C$102,3)</f>
        <v>Mendelsohn (2004)</v>
      </c>
      <c r="B245" s="87">
        <v>40</v>
      </c>
      <c r="C245" s="3">
        <v>122.34435760012951</v>
      </c>
      <c r="D245" s="90" t="str">
        <f t="shared" si="20"/>
        <v/>
      </c>
      <c r="K245" s="98" t="str">
        <f t="shared" si="22"/>
        <v/>
      </c>
      <c r="L245" s="98" t="str">
        <f t="shared" si="23"/>
        <v/>
      </c>
      <c r="M245" s="3" t="s">
        <v>238</v>
      </c>
      <c r="N245" s="3" t="s">
        <v>238</v>
      </c>
      <c r="O245" s="3" t="s">
        <v>238</v>
      </c>
    </row>
    <row r="246" spans="1:15" x14ac:dyDescent="0.2">
      <c r="A246" s="3" t="str">
        <f>+VLOOKUP(B246,studies!$A$2:$C$102,3)</f>
        <v>Mendelsohn (2004)</v>
      </c>
      <c r="B246" s="87">
        <v>40</v>
      </c>
      <c r="C246" s="3">
        <v>24.921998770396751</v>
      </c>
      <c r="D246" s="90" t="str">
        <f t="shared" si="20"/>
        <v/>
      </c>
      <c r="K246" s="98" t="str">
        <f t="shared" si="22"/>
        <v/>
      </c>
      <c r="L246" s="98" t="str">
        <f t="shared" si="23"/>
        <v/>
      </c>
      <c r="M246" s="3" t="s">
        <v>238</v>
      </c>
      <c r="N246" s="3" t="s">
        <v>238</v>
      </c>
      <c r="O246" s="3" t="s">
        <v>238</v>
      </c>
    </row>
    <row r="247" spans="1:15" x14ac:dyDescent="0.2">
      <c r="A247" s="3" t="str">
        <f>+VLOOKUP(B247,studies!$A$2:$C$102,3)</f>
        <v>Mendelsohn (2004)</v>
      </c>
      <c r="B247" s="87">
        <v>40</v>
      </c>
      <c r="C247" s="3">
        <v>-5.6640906296356253</v>
      </c>
      <c r="D247" s="90" t="str">
        <f t="shared" si="20"/>
        <v/>
      </c>
      <c r="K247" s="98" t="str">
        <f t="shared" si="22"/>
        <v/>
      </c>
      <c r="L247" s="98" t="str">
        <f t="shared" si="23"/>
        <v/>
      </c>
      <c r="M247" s="3" t="s">
        <v>238</v>
      </c>
      <c r="N247" s="3" t="s">
        <v>238</v>
      </c>
      <c r="O247" s="3" t="s">
        <v>238</v>
      </c>
    </row>
    <row r="248" spans="1:15" x14ac:dyDescent="0.2">
      <c r="A248" s="3" t="str">
        <f>+VLOOKUP(B248,studies!$A$2:$C$102,3)</f>
        <v>Mendelsohn (2004)</v>
      </c>
      <c r="B248" s="87">
        <v>40</v>
      </c>
      <c r="C248" s="3">
        <v>38.515816281522255</v>
      </c>
      <c r="D248" s="90" t="str">
        <f t="shared" si="20"/>
        <v/>
      </c>
      <c r="K248" s="98" t="str">
        <f t="shared" si="22"/>
        <v/>
      </c>
      <c r="L248" s="98" t="str">
        <f t="shared" si="23"/>
        <v/>
      </c>
      <c r="M248" s="3" t="s">
        <v>238</v>
      </c>
      <c r="N248" s="3" t="s">
        <v>238</v>
      </c>
      <c r="O248" s="3" t="s">
        <v>238</v>
      </c>
    </row>
    <row r="249" spans="1:15" x14ac:dyDescent="0.2">
      <c r="A249" s="3" t="str">
        <f>+VLOOKUP(B249,studies!$A$2:$C$102,3)</f>
        <v>Mendelsohn (2004)</v>
      </c>
      <c r="B249" s="87">
        <v>40</v>
      </c>
      <c r="C249" s="3">
        <v>122.34435760012951</v>
      </c>
      <c r="D249" s="90" t="str">
        <f t="shared" si="20"/>
        <v/>
      </c>
      <c r="K249" s="98" t="str">
        <f t="shared" si="22"/>
        <v/>
      </c>
      <c r="L249" s="98" t="str">
        <f t="shared" si="23"/>
        <v/>
      </c>
      <c r="M249" s="3" t="s">
        <v>238</v>
      </c>
      <c r="N249" s="3" t="s">
        <v>238</v>
      </c>
      <c r="O249" s="3" t="s">
        <v>238</v>
      </c>
    </row>
    <row r="250" spans="1:15" x14ac:dyDescent="0.2">
      <c r="A250" s="3" t="str">
        <f>+VLOOKUP(B250,studies!$A$2:$C$102,3)</f>
        <v>Mendelsohn (2004)</v>
      </c>
      <c r="B250" s="87">
        <v>40</v>
      </c>
      <c r="C250" s="3">
        <v>29.453271274105255</v>
      </c>
      <c r="D250" s="90" t="str">
        <f t="shared" si="20"/>
        <v/>
      </c>
      <c r="K250" s="98" t="str">
        <f t="shared" si="22"/>
        <v/>
      </c>
      <c r="L250" s="98" t="str">
        <f t="shared" si="23"/>
        <v/>
      </c>
      <c r="M250" s="3" t="s">
        <v>238</v>
      </c>
      <c r="N250" s="3" t="s">
        <v>238</v>
      </c>
      <c r="O250" s="3" t="s">
        <v>238</v>
      </c>
    </row>
    <row r="251" spans="1:15" x14ac:dyDescent="0.2">
      <c r="A251" s="3" t="str">
        <f>+VLOOKUP(B251,studies!$A$2:$C$102,3)</f>
        <v>Mendelsohn (2004)</v>
      </c>
      <c r="B251" s="87">
        <v>40</v>
      </c>
      <c r="C251" s="3">
        <v>-0.19257908140761129</v>
      </c>
      <c r="D251" s="90" t="str">
        <f t="shared" si="20"/>
        <v/>
      </c>
      <c r="K251" s="98" t="str">
        <f t="shared" si="22"/>
        <v/>
      </c>
      <c r="L251" s="98" t="str">
        <f t="shared" si="23"/>
        <v/>
      </c>
      <c r="M251" s="3" t="s">
        <v>238</v>
      </c>
      <c r="N251" s="3" t="s">
        <v>238</v>
      </c>
      <c r="O251" s="3" t="s">
        <v>238</v>
      </c>
    </row>
    <row r="252" spans="1:15" x14ac:dyDescent="0.2">
      <c r="A252" s="3" t="str">
        <f>+VLOOKUP(B252,studies!$A$2:$C$102,3)</f>
        <v>Mendelsohn (2004)</v>
      </c>
      <c r="B252" s="87">
        <v>40</v>
      </c>
      <c r="C252" s="3">
        <v>45.312725037085002</v>
      </c>
      <c r="D252" s="90" t="str">
        <f t="shared" si="20"/>
        <v/>
      </c>
      <c r="K252" s="98" t="str">
        <f t="shared" si="22"/>
        <v/>
      </c>
      <c r="L252" s="98" t="str">
        <f t="shared" si="23"/>
        <v/>
      </c>
      <c r="M252" s="3" t="s">
        <v>238</v>
      </c>
      <c r="N252" s="3" t="s">
        <v>238</v>
      </c>
      <c r="O252" s="3" t="s">
        <v>238</v>
      </c>
    </row>
    <row r="253" spans="1:15" x14ac:dyDescent="0.2">
      <c r="A253" s="3" t="str">
        <f>+VLOOKUP(B253,studies!$A$2:$C$102,3)</f>
        <v>Mendelsohn (2004)</v>
      </c>
      <c r="B253" s="87">
        <v>40</v>
      </c>
      <c r="C253" s="3">
        <v>122.34435760012951</v>
      </c>
      <c r="D253" s="90" t="str">
        <f t="shared" si="20"/>
        <v/>
      </c>
      <c r="K253" s="98" t="str">
        <f t="shared" si="22"/>
        <v/>
      </c>
      <c r="L253" s="98" t="str">
        <f t="shared" si="23"/>
        <v/>
      </c>
      <c r="M253" s="3" t="s">
        <v>238</v>
      </c>
      <c r="N253" s="3" t="s">
        <v>238</v>
      </c>
      <c r="O253" s="3" t="s">
        <v>238</v>
      </c>
    </row>
    <row r="254" spans="1:15" x14ac:dyDescent="0.2">
      <c r="A254" s="3" t="str">
        <f>+VLOOKUP(B254,studies!$A$2:$C$102,3)</f>
        <v>Mendelsohn (2004)</v>
      </c>
      <c r="B254" s="87">
        <v>40</v>
      </c>
      <c r="C254" s="3">
        <v>22.656362518542501</v>
      </c>
      <c r="D254" s="90" t="str">
        <f t="shared" si="20"/>
        <v/>
      </c>
      <c r="K254" s="98" t="str">
        <f t="shared" si="22"/>
        <v/>
      </c>
      <c r="L254" s="98" t="str">
        <f t="shared" si="23"/>
        <v/>
      </c>
      <c r="M254" s="3" t="s">
        <v>238</v>
      </c>
      <c r="N254" s="3" t="s">
        <v>238</v>
      </c>
      <c r="O254" s="3" t="s">
        <v>238</v>
      </c>
    </row>
    <row r="255" spans="1:15" x14ac:dyDescent="0.2">
      <c r="A255" s="3" t="str">
        <f>+VLOOKUP(B255,studies!$A$2:$C$102,3)</f>
        <v>Mendelsohn (2004)</v>
      </c>
      <c r="B255" s="87">
        <v>40</v>
      </c>
      <c r="C255" s="3">
        <v>-5.6640906296356253</v>
      </c>
      <c r="D255" s="90" t="str">
        <f t="shared" si="20"/>
        <v/>
      </c>
      <c r="K255" s="98" t="str">
        <f t="shared" si="22"/>
        <v/>
      </c>
      <c r="L255" s="98" t="str">
        <f t="shared" si="23"/>
        <v/>
      </c>
      <c r="M255" s="3" t="s">
        <v>238</v>
      </c>
      <c r="N255" s="3" t="s">
        <v>238</v>
      </c>
      <c r="O255" s="3" t="s">
        <v>238</v>
      </c>
    </row>
    <row r="256" spans="1:15" x14ac:dyDescent="0.2">
      <c r="A256" s="3" t="str">
        <f>+VLOOKUP(B256,studies!$A$2:$C$102,3)</f>
        <v>Mendelsohn (2004)</v>
      </c>
      <c r="B256" s="87">
        <v>40</v>
      </c>
      <c r="C256" s="3">
        <v>38.515816281522255</v>
      </c>
      <c r="D256" s="90" t="str">
        <f t="shared" si="20"/>
        <v/>
      </c>
      <c r="K256" s="98" t="str">
        <f t="shared" si="22"/>
        <v/>
      </c>
      <c r="L256" s="98" t="str">
        <f t="shared" si="23"/>
        <v/>
      </c>
      <c r="M256" s="3" t="s">
        <v>238</v>
      </c>
      <c r="N256" s="3" t="s">
        <v>238</v>
      </c>
      <c r="O256" s="3" t="s">
        <v>238</v>
      </c>
    </row>
    <row r="257" spans="1:15" x14ac:dyDescent="0.2">
      <c r="A257" s="3" t="str">
        <f>+VLOOKUP(B257,studies!$A$2:$C$102,3)</f>
        <v>Mendelsohn (2004)</v>
      </c>
      <c r="B257" s="87">
        <v>40</v>
      </c>
      <c r="C257" s="3">
        <v>124.60999385198377</v>
      </c>
      <c r="D257" s="90" t="str">
        <f t="shared" si="20"/>
        <v/>
      </c>
      <c r="K257" s="98" t="str">
        <f t="shared" si="22"/>
        <v/>
      </c>
      <c r="L257" s="98" t="str">
        <f t="shared" si="23"/>
        <v/>
      </c>
      <c r="M257" s="3" t="s">
        <v>238</v>
      </c>
      <c r="N257" s="3" t="s">
        <v>238</v>
      </c>
      <c r="O257" s="3" t="s">
        <v>238</v>
      </c>
    </row>
    <row r="258" spans="1:15" x14ac:dyDescent="0.2">
      <c r="A258" s="3" t="str">
        <f>+VLOOKUP(B258,studies!$A$2:$C$102,3)</f>
        <v>Mendelsohn (2004)</v>
      </c>
      <c r="B258" s="87">
        <v>40</v>
      </c>
      <c r="C258" s="3">
        <v>24.921998770396751</v>
      </c>
      <c r="D258" s="90" t="str">
        <f t="shared" si="20"/>
        <v/>
      </c>
      <c r="K258" s="98" t="str">
        <f t="shared" si="22"/>
        <v/>
      </c>
      <c r="L258" s="98" t="str">
        <f t="shared" si="23"/>
        <v/>
      </c>
      <c r="M258" s="3" t="s">
        <v>238</v>
      </c>
      <c r="N258" s="3" t="s">
        <v>238</v>
      </c>
      <c r="O258" s="3" t="s">
        <v>238</v>
      </c>
    </row>
    <row r="259" spans="1:15" x14ac:dyDescent="0.2">
      <c r="A259" s="3" t="str">
        <f>+VLOOKUP(B259,studies!$A$2:$C$102,3)</f>
        <v>Mendelsohn (2004)</v>
      </c>
      <c r="B259" s="87">
        <v>40</v>
      </c>
      <c r="C259" s="3">
        <v>-5.6640906296356253</v>
      </c>
      <c r="D259" s="90" t="str">
        <f t="shared" si="20"/>
        <v/>
      </c>
      <c r="K259" s="98" t="str">
        <f t="shared" si="22"/>
        <v/>
      </c>
      <c r="L259" s="98" t="str">
        <f t="shared" si="23"/>
        <v/>
      </c>
      <c r="M259" s="3" t="s">
        <v>238</v>
      </c>
      <c r="N259" s="3" t="s">
        <v>238</v>
      </c>
      <c r="O259" s="3" t="s">
        <v>238</v>
      </c>
    </row>
    <row r="260" spans="1:15" x14ac:dyDescent="0.2">
      <c r="A260" s="3" t="str">
        <f>+VLOOKUP(B260,studies!$A$2:$C$102,3)</f>
        <v>Mendelsohn (2004)</v>
      </c>
      <c r="B260" s="87">
        <v>40</v>
      </c>
      <c r="C260" s="3">
        <v>40.781452533376502</v>
      </c>
      <c r="D260" s="90" t="str">
        <f t="shared" si="20"/>
        <v/>
      </c>
      <c r="K260" s="98" t="str">
        <f t="shared" si="22"/>
        <v/>
      </c>
      <c r="L260" s="98" t="str">
        <f t="shared" si="23"/>
        <v/>
      </c>
      <c r="M260" s="3" t="s">
        <v>238</v>
      </c>
      <c r="N260" s="3" t="s">
        <v>238</v>
      </c>
      <c r="O260" s="3" t="s">
        <v>238</v>
      </c>
    </row>
    <row r="261" spans="1:15" x14ac:dyDescent="0.2">
      <c r="A261" s="3" t="str">
        <f>+VLOOKUP(B261,studies!$A$2:$C$102,3)</f>
        <v>Mendelsohn (2004)</v>
      </c>
      <c r="B261" s="87">
        <v>40</v>
      </c>
      <c r="C261" s="3">
        <v>131.40690260754653</v>
      </c>
      <c r="D261" s="90" t="str">
        <f t="shared" ref="D261:D324" si="28">+IF(B261=B260,"",A261)</f>
        <v/>
      </c>
      <c r="K261" s="98" t="str">
        <f t="shared" si="22"/>
        <v/>
      </c>
      <c r="L261" s="98" t="str">
        <f t="shared" si="23"/>
        <v/>
      </c>
      <c r="M261" s="3" t="s">
        <v>238</v>
      </c>
      <c r="N261" s="3" t="s">
        <v>238</v>
      </c>
      <c r="O261" s="3" t="s">
        <v>238</v>
      </c>
    </row>
    <row r="262" spans="1:15" x14ac:dyDescent="0.2">
      <c r="A262" s="3" t="str">
        <f>+VLOOKUP(B262,studies!$A$2:$C$102,3)</f>
        <v>Mendelsohn (2004)</v>
      </c>
      <c r="B262" s="87">
        <v>40</v>
      </c>
      <c r="C262" s="3">
        <v>27.187635022251005</v>
      </c>
      <c r="D262" s="90" t="str">
        <f t="shared" si="28"/>
        <v/>
      </c>
      <c r="K262" s="98" t="str">
        <f t="shared" si="22"/>
        <v/>
      </c>
      <c r="L262" s="98" t="str">
        <f t="shared" si="23"/>
        <v/>
      </c>
      <c r="M262" s="3" t="s">
        <v>238</v>
      </c>
      <c r="N262" s="3" t="s">
        <v>238</v>
      </c>
      <c r="O262" s="3" t="s">
        <v>238</v>
      </c>
    </row>
    <row r="263" spans="1:15" x14ac:dyDescent="0.2">
      <c r="A263" s="3" t="str">
        <f>+VLOOKUP(B263,studies!$A$2:$C$102,3)</f>
        <v>Mendelsohn (2004)</v>
      </c>
      <c r="B263" s="87">
        <v>40</v>
      </c>
      <c r="C263" s="3">
        <v>-5.2109633792647747</v>
      </c>
      <c r="D263" s="90" t="str">
        <f t="shared" si="28"/>
        <v/>
      </c>
      <c r="K263" s="98" t="str">
        <f t="shared" ref="K263:K326" si="29">+IF(I263="","",(G263-E263)/1.96)</f>
        <v/>
      </c>
      <c r="L263" s="98" t="str">
        <f t="shared" ref="L263:L326" si="30">+IF(I263="","",(I263-G263)/1.96)</f>
        <v/>
      </c>
      <c r="M263" s="3" t="s">
        <v>238</v>
      </c>
      <c r="N263" s="3" t="s">
        <v>238</v>
      </c>
      <c r="O263" s="3" t="s">
        <v>238</v>
      </c>
    </row>
    <row r="264" spans="1:15" x14ac:dyDescent="0.2">
      <c r="A264" s="3" t="str">
        <f>+VLOOKUP(B264,studies!$A$2:$C$102,3)</f>
        <v>Mendelsohn (2004)</v>
      </c>
      <c r="B264" s="87">
        <v>40</v>
      </c>
      <c r="C264" s="3">
        <v>40.781452533376502</v>
      </c>
      <c r="D264" s="90" t="str">
        <f t="shared" si="28"/>
        <v/>
      </c>
      <c r="K264" s="98" t="str">
        <f t="shared" si="29"/>
        <v/>
      </c>
      <c r="L264" s="98" t="str">
        <f t="shared" si="30"/>
        <v/>
      </c>
      <c r="M264" s="3" t="s">
        <v>238</v>
      </c>
      <c r="N264" s="3" t="s">
        <v>238</v>
      </c>
      <c r="O264" s="3" t="s">
        <v>238</v>
      </c>
    </row>
    <row r="265" spans="1:15" x14ac:dyDescent="0.2">
      <c r="A265" s="3" t="str">
        <f>+VLOOKUP(B265,studies!$A$2:$C$102,3)</f>
        <v>Mendelsohn (2004)</v>
      </c>
      <c r="B265" s="87">
        <v>40</v>
      </c>
      <c r="C265" s="3">
        <v>165.39144638536027</v>
      </c>
      <c r="D265" s="90" t="str">
        <f t="shared" si="28"/>
        <v/>
      </c>
      <c r="K265" s="98" t="str">
        <f t="shared" si="29"/>
        <v/>
      </c>
      <c r="L265" s="98" t="str">
        <f t="shared" si="30"/>
        <v/>
      </c>
      <c r="M265" s="3" t="s">
        <v>238</v>
      </c>
      <c r="N265" s="3" t="s">
        <v>238</v>
      </c>
      <c r="O265" s="3" t="s">
        <v>238</v>
      </c>
    </row>
    <row r="266" spans="1:15" x14ac:dyDescent="0.2">
      <c r="A266" s="3" t="str">
        <f>+VLOOKUP(B266,studies!$A$2:$C$102,3)</f>
        <v>Mendelsohn (2004)</v>
      </c>
      <c r="B266" s="87">
        <v>40</v>
      </c>
      <c r="C266" s="3">
        <v>36.250180029668002</v>
      </c>
      <c r="D266" s="90" t="str">
        <f t="shared" si="28"/>
        <v/>
      </c>
      <c r="K266" s="98" t="str">
        <f t="shared" si="29"/>
        <v/>
      </c>
      <c r="L266" s="98" t="str">
        <f t="shared" si="30"/>
        <v/>
      </c>
      <c r="M266" s="3" t="s">
        <v>238</v>
      </c>
      <c r="N266" s="3" t="s">
        <v>238</v>
      </c>
      <c r="O266" s="3" t="s">
        <v>238</v>
      </c>
    </row>
    <row r="267" spans="1:15" x14ac:dyDescent="0.2">
      <c r="A267" s="3" t="str">
        <f>+VLOOKUP(B267,studies!$A$2:$C$102,3)</f>
        <v>Mendelsohn (2004)</v>
      </c>
      <c r="B267" s="87">
        <v>40</v>
      </c>
      <c r="C267" s="3">
        <v>-3.6250180029668009</v>
      </c>
      <c r="D267" s="90" t="str">
        <f t="shared" si="28"/>
        <v/>
      </c>
      <c r="K267" s="98" t="str">
        <f t="shared" si="29"/>
        <v/>
      </c>
      <c r="L267" s="98" t="str">
        <f t="shared" si="30"/>
        <v/>
      </c>
      <c r="M267" s="3" t="s">
        <v>238</v>
      </c>
      <c r="N267" s="3" t="s">
        <v>238</v>
      </c>
      <c r="O267" s="3" t="s">
        <v>238</v>
      </c>
    </row>
    <row r="268" spans="1:15" x14ac:dyDescent="0.2">
      <c r="A268" s="3" t="str">
        <f>+VLOOKUP(B268,studies!$A$2:$C$102,3)</f>
        <v>Mendelsohn (2004)</v>
      </c>
      <c r="B268" s="87">
        <v>40</v>
      </c>
      <c r="C268" s="3">
        <v>54.37527004450201</v>
      </c>
      <c r="D268" s="90" t="str">
        <f t="shared" si="28"/>
        <v/>
      </c>
      <c r="K268" s="98" t="str">
        <f t="shared" si="29"/>
        <v/>
      </c>
      <c r="L268" s="98" t="str">
        <f t="shared" si="30"/>
        <v/>
      </c>
      <c r="M268" s="3" t="s">
        <v>238</v>
      </c>
      <c r="N268" s="3" t="s">
        <v>238</v>
      </c>
      <c r="O268" s="3" t="s">
        <v>238</v>
      </c>
    </row>
    <row r="269" spans="1:15" x14ac:dyDescent="0.2">
      <c r="A269" s="3" t="str">
        <f>+VLOOKUP(B269,studies!$A$2:$C$102,3)</f>
        <v>Mendelsohn (2004)</v>
      </c>
      <c r="B269" s="87">
        <v>40</v>
      </c>
      <c r="C269" s="3">
        <v>212.96980767429955</v>
      </c>
      <c r="D269" s="90" t="str">
        <f t="shared" si="28"/>
        <v/>
      </c>
      <c r="K269" s="98" t="str">
        <f t="shared" si="29"/>
        <v/>
      </c>
      <c r="L269" s="98" t="str">
        <f t="shared" si="30"/>
        <v/>
      </c>
      <c r="M269" s="3" t="s">
        <v>238</v>
      </c>
      <c r="N269" s="3" t="s">
        <v>238</v>
      </c>
      <c r="O269" s="3" t="s">
        <v>238</v>
      </c>
    </row>
    <row r="270" spans="1:15" x14ac:dyDescent="0.2">
      <c r="A270" s="3" t="str">
        <f>+VLOOKUP(B270,studies!$A$2:$C$102,3)</f>
        <v>Mendelsohn (2004)</v>
      </c>
      <c r="B270" s="87">
        <v>40</v>
      </c>
      <c r="C270" s="3">
        <v>47.578361288939256</v>
      </c>
      <c r="D270" s="90" t="str">
        <f t="shared" si="28"/>
        <v/>
      </c>
      <c r="K270" s="98" t="str">
        <f t="shared" si="29"/>
        <v/>
      </c>
      <c r="L270" s="98" t="str">
        <f t="shared" si="30"/>
        <v/>
      </c>
      <c r="M270" s="3" t="s">
        <v>238</v>
      </c>
      <c r="N270" s="3" t="s">
        <v>238</v>
      </c>
      <c r="O270" s="3" t="s">
        <v>238</v>
      </c>
    </row>
    <row r="271" spans="1:15" x14ac:dyDescent="0.2">
      <c r="A271" s="3" t="str">
        <f>+VLOOKUP(B271,studies!$A$2:$C$102,3)</f>
        <v>Mendelsohn (2004)</v>
      </c>
      <c r="B271" s="87">
        <v>40</v>
      </c>
      <c r="C271" s="3">
        <v>-1.6765708263721453</v>
      </c>
      <c r="D271" s="90" t="str">
        <f t="shared" si="28"/>
        <v/>
      </c>
      <c r="K271" s="98" t="str">
        <f t="shared" si="29"/>
        <v/>
      </c>
      <c r="L271" s="98" t="str">
        <f t="shared" si="30"/>
        <v/>
      </c>
      <c r="M271" s="3" t="s">
        <v>238</v>
      </c>
      <c r="N271" s="3" t="s">
        <v>238</v>
      </c>
      <c r="O271" s="3" t="s">
        <v>238</v>
      </c>
    </row>
    <row r="272" spans="1:15" x14ac:dyDescent="0.2">
      <c r="A272" s="3" t="str">
        <f>+VLOOKUP(B272,studies!$A$2:$C$102,3)</f>
        <v>Mendelsohn (2004)</v>
      </c>
      <c r="B272" s="87">
        <v>40</v>
      </c>
      <c r="C272" s="3">
        <v>67.96908755562751</v>
      </c>
      <c r="D272" s="90" t="str">
        <f t="shared" si="28"/>
        <v/>
      </c>
      <c r="K272" s="98" t="str">
        <f t="shared" si="29"/>
        <v/>
      </c>
      <c r="L272" s="98" t="str">
        <f t="shared" si="30"/>
        <v/>
      </c>
      <c r="M272" s="3" t="s">
        <v>238</v>
      </c>
      <c r="N272" s="3" t="s">
        <v>238</v>
      </c>
      <c r="O272" s="3" t="s">
        <v>238</v>
      </c>
    </row>
    <row r="273" spans="1:15" x14ac:dyDescent="0.2">
      <c r="A273" s="3" t="str">
        <f>+VLOOKUP(B273,studies!$A$2:$C$102,3)</f>
        <v>Mendelsohn (2004)</v>
      </c>
      <c r="B273" s="87">
        <v>40</v>
      </c>
      <c r="C273" s="3">
        <v>747.65996311190258</v>
      </c>
      <c r="D273" s="90" t="str">
        <f t="shared" si="28"/>
        <v/>
      </c>
      <c r="K273" s="98" t="str">
        <f t="shared" si="29"/>
        <v/>
      </c>
      <c r="L273" s="98" t="str">
        <f t="shared" si="30"/>
        <v/>
      </c>
      <c r="M273" s="3" t="s">
        <v>238</v>
      </c>
      <c r="N273" s="3" t="s">
        <v>238</v>
      </c>
      <c r="O273" s="3" t="s">
        <v>238</v>
      </c>
    </row>
    <row r="274" spans="1:15" x14ac:dyDescent="0.2">
      <c r="A274" s="3" t="str">
        <f>+VLOOKUP(B274,studies!$A$2:$C$102,3)</f>
        <v>Mendelsohn (2004)</v>
      </c>
      <c r="B274" s="87">
        <v>40</v>
      </c>
      <c r="C274" s="3">
        <v>201.64162641502827</v>
      </c>
      <c r="D274" s="90" t="str">
        <f t="shared" si="28"/>
        <v/>
      </c>
      <c r="K274" s="98" t="str">
        <f t="shared" si="29"/>
        <v/>
      </c>
      <c r="L274" s="98" t="str">
        <f t="shared" si="30"/>
        <v/>
      </c>
      <c r="M274" s="3" t="s">
        <v>238</v>
      </c>
      <c r="N274" s="3" t="s">
        <v>238</v>
      </c>
      <c r="O274" s="3" t="s">
        <v>238</v>
      </c>
    </row>
    <row r="275" spans="1:15" x14ac:dyDescent="0.2">
      <c r="A275" s="3" t="str">
        <f>+VLOOKUP(B275,studies!$A$2:$C$102,3)</f>
        <v>Mendelsohn (2004)</v>
      </c>
      <c r="B275" s="87">
        <v>40</v>
      </c>
      <c r="C275" s="3">
        <v>38.515816281522255</v>
      </c>
      <c r="D275" s="90" t="str">
        <f t="shared" si="28"/>
        <v/>
      </c>
      <c r="K275" s="98" t="str">
        <f t="shared" si="29"/>
        <v/>
      </c>
      <c r="L275" s="98" t="str">
        <f t="shared" si="30"/>
        <v/>
      </c>
      <c r="M275" s="3" t="s">
        <v>238</v>
      </c>
      <c r="N275" s="3" t="s">
        <v>238</v>
      </c>
      <c r="O275" s="3" t="s">
        <v>238</v>
      </c>
    </row>
    <row r="276" spans="1:15" x14ac:dyDescent="0.2">
      <c r="A276" s="3" t="str">
        <f>+VLOOKUP(B276,studies!$A$2:$C$102,3)</f>
        <v>Mendelsohn (2004)</v>
      </c>
      <c r="B276" s="87">
        <v>40</v>
      </c>
      <c r="C276" s="3">
        <v>226.56362518542505</v>
      </c>
      <c r="D276" s="90" t="str">
        <f t="shared" si="28"/>
        <v/>
      </c>
      <c r="K276" s="98" t="str">
        <f t="shared" si="29"/>
        <v/>
      </c>
      <c r="L276" s="98" t="str">
        <f t="shared" si="30"/>
        <v/>
      </c>
      <c r="M276" s="3" t="s">
        <v>238</v>
      </c>
      <c r="N276" s="3" t="s">
        <v>238</v>
      </c>
      <c r="O276" s="3" t="s">
        <v>238</v>
      </c>
    </row>
    <row r="277" spans="1:15" x14ac:dyDescent="0.2">
      <c r="A277" s="3" t="str">
        <f>+VLOOKUP(B277,studies!$A$2:$C$102,3)</f>
        <v>Mendelsohn (2004)</v>
      </c>
      <c r="B277" s="87">
        <v>40</v>
      </c>
      <c r="C277" s="3">
        <v>3398.4543777813751</v>
      </c>
      <c r="D277" s="90" t="str">
        <f t="shared" si="28"/>
        <v/>
      </c>
      <c r="K277" s="98" t="str">
        <f t="shared" si="29"/>
        <v/>
      </c>
      <c r="L277" s="98" t="str">
        <f t="shared" si="30"/>
        <v/>
      </c>
      <c r="M277" s="3" t="s">
        <v>238</v>
      </c>
      <c r="N277" s="3" t="s">
        <v>238</v>
      </c>
      <c r="O277" s="3" t="s">
        <v>238</v>
      </c>
    </row>
    <row r="278" spans="1:15" x14ac:dyDescent="0.2">
      <c r="A278" s="3" t="str">
        <f>+VLOOKUP(B278,studies!$A$2:$C$102,3)</f>
        <v>Mendelsohn (2004)</v>
      </c>
      <c r="B278" s="87">
        <v>40</v>
      </c>
      <c r="C278" s="3">
        <v>815.62905066753012</v>
      </c>
      <c r="D278" s="90" t="str">
        <f t="shared" si="28"/>
        <v/>
      </c>
      <c r="K278" s="98" t="str">
        <f t="shared" si="29"/>
        <v/>
      </c>
      <c r="L278" s="98" t="str">
        <f t="shared" si="30"/>
        <v/>
      </c>
      <c r="M278" s="3" t="s">
        <v>238</v>
      </c>
      <c r="N278" s="3" t="s">
        <v>238</v>
      </c>
      <c r="O278" s="3" t="s">
        <v>238</v>
      </c>
    </row>
    <row r="279" spans="1:15" x14ac:dyDescent="0.2">
      <c r="A279" s="3" t="str">
        <f>+VLOOKUP(B279,studies!$A$2:$C$102,3)</f>
        <v>Mendelsohn (2004)</v>
      </c>
      <c r="B279" s="87">
        <v>40</v>
      </c>
      <c r="C279" s="3">
        <v>169.92271888906876</v>
      </c>
      <c r="D279" s="90" t="str">
        <f t="shared" si="28"/>
        <v/>
      </c>
      <c r="K279" s="98" t="str">
        <f t="shared" si="29"/>
        <v/>
      </c>
      <c r="L279" s="98" t="str">
        <f t="shared" si="30"/>
        <v/>
      </c>
      <c r="M279" s="3" t="s">
        <v>238</v>
      </c>
      <c r="N279" s="3" t="s">
        <v>238</v>
      </c>
      <c r="O279" s="3" t="s">
        <v>238</v>
      </c>
    </row>
    <row r="280" spans="1:15" x14ac:dyDescent="0.2">
      <c r="A280" s="3" t="str">
        <f>+VLOOKUP(B280,studies!$A$2:$C$102,3)</f>
        <v>Mendelsohn (2004)</v>
      </c>
      <c r="B280" s="87">
        <v>40</v>
      </c>
      <c r="C280" s="3">
        <v>611.72178800064762</v>
      </c>
      <c r="D280" s="90" t="str">
        <f t="shared" si="28"/>
        <v/>
      </c>
      <c r="K280" s="98" t="str">
        <f t="shared" si="29"/>
        <v/>
      </c>
      <c r="L280" s="98" t="str">
        <f t="shared" si="30"/>
        <v/>
      </c>
      <c r="M280" s="3" t="s">
        <v>238</v>
      </c>
      <c r="N280" s="3" t="s">
        <v>238</v>
      </c>
      <c r="O280" s="3" t="s">
        <v>238</v>
      </c>
    </row>
    <row r="281" spans="1:15" x14ac:dyDescent="0.2">
      <c r="A281" s="3" t="str">
        <f>+VLOOKUP(B281,studies!$A$2:$C$102,3)</f>
        <v>Mendelsohn (2004)</v>
      </c>
      <c r="B281" s="87">
        <v>40</v>
      </c>
      <c r="C281" s="3">
        <v>5437.5270044502004</v>
      </c>
      <c r="D281" s="90" t="str">
        <f t="shared" si="28"/>
        <v/>
      </c>
      <c r="K281" s="98" t="str">
        <f t="shared" si="29"/>
        <v/>
      </c>
      <c r="L281" s="98" t="str">
        <f t="shared" si="30"/>
        <v/>
      </c>
      <c r="M281" s="3" t="s">
        <v>238</v>
      </c>
      <c r="N281" s="3" t="s">
        <v>238</v>
      </c>
      <c r="O281" s="3" t="s">
        <v>238</v>
      </c>
    </row>
    <row r="282" spans="1:15" x14ac:dyDescent="0.2">
      <c r="A282" s="3" t="str">
        <f>+VLOOKUP(B282,studies!$A$2:$C$102,3)</f>
        <v>Mendelsohn (2004)</v>
      </c>
      <c r="B282" s="87">
        <v>40</v>
      </c>
      <c r="C282" s="3">
        <v>1314.0690260754652</v>
      </c>
      <c r="D282" s="90" t="str">
        <f t="shared" si="28"/>
        <v/>
      </c>
      <c r="K282" s="98" t="str">
        <f t="shared" si="29"/>
        <v/>
      </c>
      <c r="L282" s="98" t="str">
        <f t="shared" si="30"/>
        <v/>
      </c>
      <c r="M282" s="3" t="s">
        <v>238</v>
      </c>
      <c r="N282" s="3" t="s">
        <v>238</v>
      </c>
      <c r="O282" s="3" t="s">
        <v>238</v>
      </c>
    </row>
    <row r="283" spans="1:15" x14ac:dyDescent="0.2">
      <c r="A283" s="3" t="str">
        <f>+VLOOKUP(B283,studies!$A$2:$C$102,3)</f>
        <v>Mendelsohn (2004)</v>
      </c>
      <c r="B283" s="87">
        <v>40</v>
      </c>
      <c r="C283" s="3">
        <v>271.87635022251004</v>
      </c>
      <c r="D283" s="90" t="str">
        <f t="shared" si="28"/>
        <v/>
      </c>
      <c r="K283" s="98" t="str">
        <f t="shared" si="29"/>
        <v/>
      </c>
      <c r="L283" s="98" t="str">
        <f t="shared" si="30"/>
        <v/>
      </c>
      <c r="M283" s="3" t="s">
        <v>238</v>
      </c>
      <c r="N283" s="3" t="s">
        <v>238</v>
      </c>
      <c r="O283" s="3" t="s">
        <v>238</v>
      </c>
    </row>
    <row r="284" spans="1:15" x14ac:dyDescent="0.2">
      <c r="A284" s="3" t="str">
        <f>+VLOOKUP(B284,studies!$A$2:$C$102,3)</f>
        <v>Mendelsohn (2004)</v>
      </c>
      <c r="B284" s="87">
        <v>40</v>
      </c>
      <c r="C284" s="3">
        <v>815.62905066753012</v>
      </c>
      <c r="D284" s="90" t="str">
        <f t="shared" si="28"/>
        <v/>
      </c>
      <c r="K284" s="98" t="str">
        <f t="shared" si="29"/>
        <v/>
      </c>
      <c r="L284" s="98" t="str">
        <f t="shared" si="30"/>
        <v/>
      </c>
      <c r="M284" s="3" t="s">
        <v>238</v>
      </c>
      <c r="N284" s="3" t="s">
        <v>238</v>
      </c>
      <c r="O284" s="3" t="s">
        <v>238</v>
      </c>
    </row>
    <row r="285" spans="1:15" x14ac:dyDescent="0.2">
      <c r="A285" s="3" t="str">
        <f>+VLOOKUP(B285,studies!$A$2:$C$102,3)</f>
        <v>Downing et al. (2005)</v>
      </c>
      <c r="B285" s="87">
        <v>41</v>
      </c>
      <c r="C285" s="3">
        <v>101.76022336072202</v>
      </c>
      <c r="D285" s="90" t="str">
        <f t="shared" si="28"/>
        <v>Downing et al. (2005)</v>
      </c>
      <c r="K285" s="98" t="str">
        <f t="shared" si="29"/>
        <v/>
      </c>
      <c r="L285" s="98" t="str">
        <f t="shared" si="30"/>
        <v/>
      </c>
      <c r="M285" s="3" t="s">
        <v>238</v>
      </c>
      <c r="N285" s="3" t="s">
        <v>238</v>
      </c>
      <c r="O285" s="3" t="s">
        <v>238</v>
      </c>
    </row>
    <row r="286" spans="1:15" x14ac:dyDescent="0.2">
      <c r="A286" s="3" t="str">
        <f>+VLOOKUP(B286,studies!$A$2:$C$102,3)</f>
        <v>Hope (2005b)</v>
      </c>
      <c r="B286" s="87">
        <v>42</v>
      </c>
      <c r="C286" s="3">
        <v>86.220484817951657</v>
      </c>
      <c r="D286" s="90" t="str">
        <f t="shared" si="28"/>
        <v>Hope (2005b)</v>
      </c>
      <c r="E286" s="90">
        <f>+PERCENTILE($C286:$C291,E$2)</f>
        <v>62.660236059557889</v>
      </c>
      <c r="F286" s="90">
        <f t="shared" ref="F286:I286" si="31">+PERCENTILE($C286:$C291,F$2)</f>
        <v>65.667927390416679</v>
      </c>
      <c r="G286" s="98">
        <f t="shared" si="31"/>
        <v>72.184591940610687</v>
      </c>
      <c r="H286" s="90">
        <f t="shared" si="31"/>
        <v>83.212793487092881</v>
      </c>
      <c r="I286" s="90">
        <f t="shared" si="31"/>
        <v>90.732021814239829</v>
      </c>
      <c r="J286" s="98">
        <f>+STDEV($C286:$C291)</f>
        <v>12.075241502190202</v>
      </c>
      <c r="K286" s="98">
        <f t="shared" si="29"/>
        <v>4.8593652454351011</v>
      </c>
      <c r="L286" s="98">
        <f t="shared" si="30"/>
        <v>9.46297442532099</v>
      </c>
      <c r="M286" s="3" t="s">
        <v>238</v>
      </c>
      <c r="N286" s="3">
        <v>33.759800652496494</v>
      </c>
      <c r="O286" s="3">
        <v>82.864965237945952</v>
      </c>
    </row>
    <row r="287" spans="1:15" x14ac:dyDescent="0.2">
      <c r="A287" s="3" t="str">
        <f>+VLOOKUP(B287,studies!$A$2:$C$102,3)</f>
        <v>Hope (2005b)</v>
      </c>
      <c r="B287" s="87">
        <v>42</v>
      </c>
      <c r="C287" s="3">
        <v>70.179464386704836</v>
      </c>
      <c r="D287" s="90" t="str">
        <f t="shared" si="28"/>
        <v/>
      </c>
      <c r="K287" s="98" t="str">
        <f t="shared" si="29"/>
        <v/>
      </c>
      <c r="L287" s="98" t="str">
        <f t="shared" si="30"/>
        <v/>
      </c>
      <c r="M287" s="3" t="s">
        <v>238</v>
      </c>
      <c r="N287" s="3">
        <v>27.621655079315314</v>
      </c>
      <c r="O287" s="3">
        <v>70.588674091583584</v>
      </c>
    </row>
    <row r="288" spans="1:15" x14ac:dyDescent="0.2">
      <c r="A288" s="3" t="str">
        <f>+VLOOKUP(B288,studies!$A$2:$C$102,3)</f>
        <v>Hope (2005b)</v>
      </c>
      <c r="B288" s="87">
        <v>42</v>
      </c>
      <c r="C288" s="3">
        <v>62.158954171081426</v>
      </c>
      <c r="D288" s="90" t="str">
        <f t="shared" si="28"/>
        <v/>
      </c>
      <c r="K288" s="98" t="str">
        <f t="shared" si="29"/>
        <v/>
      </c>
      <c r="L288" s="98" t="str">
        <f t="shared" si="30"/>
        <v/>
      </c>
      <c r="M288" s="3" t="s">
        <v>238</v>
      </c>
      <c r="N288" s="3">
        <v>23.529558030527859</v>
      </c>
      <c r="O288" s="3">
        <v>62.404479994008675</v>
      </c>
    </row>
    <row r="289" spans="1:15" x14ac:dyDescent="0.2">
      <c r="A289" s="3" t="str">
        <f>+VLOOKUP(B289,studies!$A$2:$C$102,3)</f>
        <v>Hope (2005b)</v>
      </c>
      <c r="B289" s="87">
        <v>42</v>
      </c>
      <c r="C289" s="3">
        <v>92.23586747966921</v>
      </c>
      <c r="D289" s="90" t="str">
        <f t="shared" si="28"/>
        <v/>
      </c>
      <c r="K289" s="98" t="str">
        <f t="shared" si="29"/>
        <v/>
      </c>
      <c r="L289" s="98" t="str">
        <f t="shared" si="30"/>
        <v/>
      </c>
      <c r="M289" s="3" t="s">
        <v>238</v>
      </c>
      <c r="N289" s="3">
        <v>36.82887343908709</v>
      </c>
      <c r="O289" s="3">
        <v>73.65774687817418</v>
      </c>
    </row>
    <row r="290" spans="1:15" x14ac:dyDescent="0.2">
      <c r="A290" s="3" t="str">
        <f>+VLOOKUP(B290,studies!$A$2:$C$102,3)</f>
        <v>Hope (2005b)</v>
      </c>
      <c r="B290" s="87">
        <v>42</v>
      </c>
      <c r="C290" s="3">
        <v>74.189719494516538</v>
      </c>
      <c r="D290" s="90" t="str">
        <f t="shared" si="28"/>
        <v/>
      </c>
      <c r="K290" s="98" t="str">
        <f t="shared" si="29"/>
        <v/>
      </c>
      <c r="L290" s="98" t="str">
        <f t="shared" si="30"/>
        <v/>
      </c>
      <c r="M290" s="3" t="s">
        <v>238</v>
      </c>
      <c r="N290" s="3">
        <v>28.64467934151218</v>
      </c>
      <c r="O290" s="3">
        <v>68.542625567189845</v>
      </c>
    </row>
    <row r="291" spans="1:15" x14ac:dyDescent="0.2">
      <c r="A291" s="3" t="str">
        <f>+VLOOKUP(B291,studies!$A$2:$C$102,3)</f>
        <v>Hope (2005b)</v>
      </c>
      <c r="B291" s="87">
        <v>42</v>
      </c>
      <c r="C291" s="3">
        <v>64.164081724987284</v>
      </c>
      <c r="D291" s="90" t="str">
        <f t="shared" si="28"/>
        <v/>
      </c>
      <c r="K291" s="98" t="str">
        <f t="shared" si="29"/>
        <v/>
      </c>
      <c r="L291" s="98" t="str">
        <f t="shared" si="30"/>
        <v/>
      </c>
      <c r="M291" s="3" t="s">
        <v>238</v>
      </c>
      <c r="N291" s="3">
        <v>24.552582292724722</v>
      </c>
      <c r="O291" s="3">
        <v>59.335407207418086</v>
      </c>
    </row>
    <row r="292" spans="1:15" x14ac:dyDescent="0.2">
      <c r="A292" s="3" t="str">
        <f>+VLOOKUP(B292,studies!$A$2:$C$102,3)</f>
        <v>Hope (2005a)</v>
      </c>
      <c r="B292" s="87">
        <v>43</v>
      </c>
      <c r="C292" s="3">
        <v>42.107678632022903</v>
      </c>
      <c r="D292" s="90" t="str">
        <f t="shared" si="28"/>
        <v>Hope (2005a)</v>
      </c>
      <c r="K292" s="98" t="str">
        <f t="shared" si="29"/>
        <v/>
      </c>
      <c r="L292" s="98" t="str">
        <f t="shared" si="30"/>
        <v/>
      </c>
      <c r="M292" s="3" t="s">
        <v>238</v>
      </c>
      <c r="N292" s="3">
        <v>11.2532668841655</v>
      </c>
      <c r="O292" s="3">
        <v>27.621655079315314</v>
      </c>
    </row>
    <row r="293" spans="1:15" x14ac:dyDescent="0.2">
      <c r="A293" s="3" t="str">
        <f>+VLOOKUP(B293,studies!$A$2:$C$102,3)</f>
        <v>Tol (2005)</v>
      </c>
      <c r="B293" s="87">
        <v>44</v>
      </c>
      <c r="C293" s="3">
        <v>38.681878623456058</v>
      </c>
      <c r="D293" s="90" t="str">
        <f t="shared" si="28"/>
        <v>Tol (2005)</v>
      </c>
      <c r="E293" s="90">
        <f>+PERCENTILE($C293:$C298,E$2)</f>
        <v>-9.8648509554793726</v>
      </c>
      <c r="F293" s="90">
        <f t="shared" ref="F293:I293" si="32">+PERCENTILE($C293:$C298,F$2)</f>
        <v>1.1176924727883033</v>
      </c>
      <c r="G293" s="98">
        <f t="shared" si="32"/>
        <v>10.10782757999857</v>
      </c>
      <c r="H293" s="90">
        <f t="shared" si="32"/>
        <v>26.67883337220777</v>
      </c>
      <c r="I293" s="90">
        <f t="shared" si="32"/>
        <v>36.835256277110169</v>
      </c>
      <c r="J293" s="98">
        <f>+STDEV($C293:$C298)</f>
        <v>19.430644840337209</v>
      </c>
      <c r="K293" s="98">
        <f t="shared" si="29"/>
        <v>10.190142109937726</v>
      </c>
      <c r="L293" s="98">
        <f t="shared" si="30"/>
        <v>13.63644321281204</v>
      </c>
      <c r="M293" s="3" t="s">
        <v>238</v>
      </c>
      <c r="N293" s="3" t="s">
        <v>238</v>
      </c>
      <c r="O293" s="3" t="s">
        <v>238</v>
      </c>
    </row>
    <row r="294" spans="1:15" x14ac:dyDescent="0.2">
      <c r="A294" s="3" t="str">
        <f>+VLOOKUP(B294,studies!$A$2:$C$102,3)</f>
        <v>Tol (2005)</v>
      </c>
      <c r="B294" s="87">
        <v>44</v>
      </c>
      <c r="C294" s="3">
        <v>31.295389238072499</v>
      </c>
      <c r="D294" s="90" t="str">
        <f t="shared" si="28"/>
        <v/>
      </c>
      <c r="K294" s="98" t="str">
        <f t="shared" si="29"/>
        <v/>
      </c>
      <c r="L294" s="98" t="str">
        <f t="shared" si="30"/>
        <v/>
      </c>
      <c r="M294" s="3" t="s">
        <v>238</v>
      </c>
      <c r="N294" s="3" t="s">
        <v>238</v>
      </c>
      <c r="O294" s="3" t="s">
        <v>238</v>
      </c>
    </row>
    <row r="295" spans="1:15" x14ac:dyDescent="0.2">
      <c r="A295" s="3" t="str">
        <f>+VLOOKUP(B295,studies!$A$2:$C$102,3)</f>
        <v>Tol (2005)</v>
      </c>
      <c r="B295" s="87">
        <v>44</v>
      </c>
      <c r="C295" s="3">
        <v>7.3864893853835696</v>
      </c>
      <c r="D295" s="90" t="str">
        <f t="shared" si="28"/>
        <v/>
      </c>
      <c r="K295" s="98" t="str">
        <f t="shared" si="29"/>
        <v/>
      </c>
      <c r="L295" s="98" t="str">
        <f t="shared" si="30"/>
        <v/>
      </c>
      <c r="M295" s="3" t="s">
        <v>238</v>
      </c>
      <c r="N295" s="3" t="s">
        <v>238</v>
      </c>
      <c r="O295" s="3" t="s">
        <v>238</v>
      </c>
    </row>
    <row r="296" spans="1:15" x14ac:dyDescent="0.2">
      <c r="A296" s="3" t="str">
        <f>+VLOOKUP(B296,studies!$A$2:$C$102,3)</f>
        <v>Tol (2005)</v>
      </c>
      <c r="B296" s="87">
        <v>44</v>
      </c>
      <c r="C296" s="3">
        <v>12.829165774613569</v>
      </c>
      <c r="D296" s="90" t="str">
        <f t="shared" si="28"/>
        <v/>
      </c>
      <c r="K296" s="98" t="str">
        <f t="shared" si="29"/>
        <v/>
      </c>
      <c r="L296" s="98" t="str">
        <f t="shared" si="30"/>
        <v/>
      </c>
      <c r="M296" s="3" t="s">
        <v>238</v>
      </c>
      <c r="N296" s="3" t="s">
        <v>238</v>
      </c>
      <c r="O296" s="3" t="s">
        <v>238</v>
      </c>
    </row>
    <row r="297" spans="1:15" x14ac:dyDescent="0.2">
      <c r="A297" s="3" t="str">
        <f>+VLOOKUP(B297,studies!$A$2:$C$102,3)</f>
        <v>Tol (2005)</v>
      </c>
      <c r="B297" s="87">
        <v>44</v>
      </c>
      <c r="C297" s="3">
        <v>-12.829165774613569</v>
      </c>
      <c r="D297" s="90" t="str">
        <f t="shared" si="28"/>
        <v/>
      </c>
      <c r="K297" s="98" t="str">
        <f t="shared" si="29"/>
        <v/>
      </c>
      <c r="L297" s="98" t="str">
        <f t="shared" si="30"/>
        <v/>
      </c>
      <c r="M297" s="3" t="s">
        <v>238</v>
      </c>
      <c r="N297" s="3" t="s">
        <v>238</v>
      </c>
      <c r="O297" s="3" t="s">
        <v>238</v>
      </c>
    </row>
    <row r="298" spans="1:15" x14ac:dyDescent="0.2">
      <c r="A298" s="3" t="str">
        <f>+VLOOKUP(B298,studies!$A$2:$C$102,3)</f>
        <v>Tol (2005)</v>
      </c>
      <c r="B298" s="87">
        <v>44</v>
      </c>
      <c r="C298" s="3">
        <v>-0.97190649807678553</v>
      </c>
      <c r="D298" s="90" t="str">
        <f t="shared" si="28"/>
        <v/>
      </c>
      <c r="K298" s="98" t="str">
        <f t="shared" si="29"/>
        <v/>
      </c>
      <c r="L298" s="98" t="str">
        <f t="shared" si="30"/>
        <v/>
      </c>
      <c r="M298" s="3" t="s">
        <v>238</v>
      </c>
      <c r="N298" s="3" t="s">
        <v>238</v>
      </c>
      <c r="O298" s="3" t="s">
        <v>238</v>
      </c>
    </row>
    <row r="299" spans="1:15" x14ac:dyDescent="0.2">
      <c r="A299" s="3" t="str">
        <f>+VLOOKUP(B299,studies!$A$2:$C$102,3)</f>
        <v>Guo et al. (2006)</v>
      </c>
      <c r="B299" s="87">
        <v>45</v>
      </c>
      <c r="C299" s="3">
        <v>131.40690260754653</v>
      </c>
      <c r="D299" s="90" t="str">
        <f t="shared" si="28"/>
        <v>Guo et al. (2006)</v>
      </c>
      <c r="E299" s="90">
        <f>+PERCENTILE($C299:$C314,E$2)</f>
        <v>-4.8711179414866379</v>
      </c>
      <c r="F299" s="90">
        <f t="shared" ref="F299:I299" si="33">+PERCENTILE($C299:$C314,F$2)</f>
        <v>4.7578361288939259</v>
      </c>
      <c r="G299" s="98">
        <f t="shared" si="33"/>
        <v>37.382998155595132</v>
      </c>
      <c r="H299" s="90">
        <f t="shared" si="33"/>
        <v>146.6999473075627</v>
      </c>
      <c r="I299" s="90">
        <f t="shared" si="33"/>
        <v>254.31766927063958</v>
      </c>
      <c r="J299" s="98">
        <f>+STDEV($C299:$C314)</f>
        <v>115.97017832889652</v>
      </c>
      <c r="K299" s="98">
        <f t="shared" si="29"/>
        <v>21.558222498511107</v>
      </c>
      <c r="L299" s="98">
        <f t="shared" si="30"/>
        <v>110.6809546505329</v>
      </c>
      <c r="M299" s="3" t="s">
        <v>238</v>
      </c>
      <c r="N299" s="3" t="s">
        <v>238</v>
      </c>
      <c r="O299" s="3" t="s">
        <v>238</v>
      </c>
    </row>
    <row r="300" spans="1:15" x14ac:dyDescent="0.2">
      <c r="A300" s="3" t="str">
        <f>+VLOOKUP(B300,studies!$A$2:$C$102,3)</f>
        <v>Guo et al. (2006)</v>
      </c>
      <c r="B300" s="87">
        <v>45</v>
      </c>
      <c r="C300" s="3">
        <v>24.921998770396751</v>
      </c>
      <c r="D300" s="90" t="str">
        <f t="shared" si="28"/>
        <v/>
      </c>
      <c r="K300" s="98" t="str">
        <f t="shared" si="29"/>
        <v/>
      </c>
      <c r="L300" s="98" t="str">
        <f t="shared" si="30"/>
        <v/>
      </c>
      <c r="M300" s="3" t="s">
        <v>238</v>
      </c>
      <c r="N300" s="3" t="s">
        <v>238</v>
      </c>
      <c r="O300" s="3" t="s">
        <v>238</v>
      </c>
    </row>
    <row r="301" spans="1:15" x14ac:dyDescent="0.2">
      <c r="A301" s="3" t="str">
        <f>+VLOOKUP(B301,studies!$A$2:$C$102,3)</f>
        <v>Guo et al. (2006)</v>
      </c>
      <c r="B301" s="87">
        <v>45</v>
      </c>
      <c r="C301" s="3">
        <v>-5.2109633792647747</v>
      </c>
      <c r="D301" s="90" t="str">
        <f t="shared" si="28"/>
        <v/>
      </c>
      <c r="K301" s="98" t="str">
        <f t="shared" si="29"/>
        <v/>
      </c>
      <c r="L301" s="98" t="str">
        <f t="shared" si="30"/>
        <v/>
      </c>
      <c r="M301" s="3" t="s">
        <v>238</v>
      </c>
      <c r="N301" s="3" t="s">
        <v>238</v>
      </c>
      <c r="O301" s="3" t="s">
        <v>238</v>
      </c>
    </row>
    <row r="302" spans="1:15" x14ac:dyDescent="0.2">
      <c r="A302" s="3" t="str">
        <f>+VLOOKUP(B302,studies!$A$2:$C$102,3)</f>
        <v>Guo et al. (2006)</v>
      </c>
      <c r="B302" s="87">
        <v>45</v>
      </c>
      <c r="C302" s="3">
        <v>40.781452533376502</v>
      </c>
      <c r="D302" s="90" t="str">
        <f t="shared" si="28"/>
        <v/>
      </c>
      <c r="K302" s="98" t="str">
        <f t="shared" si="29"/>
        <v/>
      </c>
      <c r="L302" s="98" t="str">
        <f t="shared" si="30"/>
        <v/>
      </c>
      <c r="M302" s="3" t="s">
        <v>238</v>
      </c>
      <c r="N302" s="3" t="s">
        <v>238</v>
      </c>
      <c r="O302" s="3" t="s">
        <v>238</v>
      </c>
    </row>
    <row r="303" spans="1:15" x14ac:dyDescent="0.2">
      <c r="A303" s="3" t="str">
        <f>+VLOOKUP(B303,studies!$A$2:$C$102,3)</f>
        <v>Guo et al. (2006)</v>
      </c>
      <c r="B303" s="87">
        <v>45</v>
      </c>
      <c r="C303" s="3">
        <v>14.953199262238051</v>
      </c>
      <c r="D303" s="90" t="str">
        <f t="shared" si="28"/>
        <v/>
      </c>
      <c r="K303" s="98" t="str">
        <f t="shared" si="29"/>
        <v/>
      </c>
      <c r="L303" s="98" t="str">
        <f t="shared" si="30"/>
        <v/>
      </c>
      <c r="M303" s="3" t="s">
        <v>238</v>
      </c>
      <c r="N303" s="3" t="s">
        <v>238</v>
      </c>
      <c r="O303" s="3" t="s">
        <v>238</v>
      </c>
    </row>
    <row r="304" spans="1:15" x14ac:dyDescent="0.2">
      <c r="A304" s="3" t="str">
        <f>+VLOOKUP(B304,studies!$A$2:$C$102,3)</f>
        <v>Guo et al. (2006)</v>
      </c>
      <c r="B304" s="87">
        <v>45</v>
      </c>
      <c r="C304" s="3">
        <v>199.37599016317401</v>
      </c>
      <c r="D304" s="90" t="str">
        <f t="shared" si="28"/>
        <v/>
      </c>
      <c r="K304" s="98" t="str">
        <f t="shared" si="29"/>
        <v/>
      </c>
      <c r="L304" s="98" t="str">
        <f t="shared" si="30"/>
        <v/>
      </c>
      <c r="M304" s="3" t="s">
        <v>238</v>
      </c>
      <c r="N304" s="3" t="s">
        <v>238</v>
      </c>
      <c r="O304" s="3" t="s">
        <v>238</v>
      </c>
    </row>
    <row r="305" spans="1:15" x14ac:dyDescent="0.2">
      <c r="A305" s="3" t="str">
        <f>+VLOOKUP(B305,studies!$A$2:$C$102,3)</f>
        <v>Guo et al. (2006)</v>
      </c>
      <c r="B305" s="87">
        <v>45</v>
      </c>
      <c r="C305" s="3">
        <v>4.7578361288939259</v>
      </c>
      <c r="D305" s="90" t="str">
        <f t="shared" si="28"/>
        <v/>
      </c>
      <c r="K305" s="98" t="str">
        <f t="shared" si="29"/>
        <v/>
      </c>
      <c r="L305" s="98" t="str">
        <f t="shared" si="30"/>
        <v/>
      </c>
      <c r="M305" s="3" t="s">
        <v>238</v>
      </c>
      <c r="N305" s="3" t="s">
        <v>238</v>
      </c>
      <c r="O305" s="3" t="s">
        <v>238</v>
      </c>
    </row>
    <row r="306" spans="1:15" x14ac:dyDescent="0.2">
      <c r="A306" s="3" t="str">
        <f>+VLOOKUP(B306,studies!$A$2:$C$102,3)</f>
        <v>Guo et al. (2006)</v>
      </c>
      <c r="B306" s="87">
        <v>45</v>
      </c>
      <c r="C306" s="3">
        <v>199.37599016317401</v>
      </c>
      <c r="D306" s="90" t="str">
        <f t="shared" si="28"/>
        <v/>
      </c>
      <c r="K306" s="98" t="str">
        <f t="shared" si="29"/>
        <v/>
      </c>
      <c r="L306" s="98" t="str">
        <f t="shared" si="30"/>
        <v/>
      </c>
      <c r="M306" s="3" t="s">
        <v>238</v>
      </c>
      <c r="N306" s="3" t="s">
        <v>238</v>
      </c>
      <c r="O306" s="3" t="s">
        <v>238</v>
      </c>
    </row>
    <row r="307" spans="1:15" x14ac:dyDescent="0.2">
      <c r="A307" s="3" t="str">
        <f>+VLOOKUP(B307,studies!$A$2:$C$102,3)</f>
        <v>Guo et al. (2006)</v>
      </c>
      <c r="B307" s="87">
        <v>45</v>
      </c>
      <c r="C307" s="3">
        <v>4.7578361288939259</v>
      </c>
      <c r="D307" s="90" t="str">
        <f t="shared" si="28"/>
        <v/>
      </c>
      <c r="K307" s="98" t="str">
        <f t="shared" si="29"/>
        <v/>
      </c>
      <c r="L307" s="98" t="str">
        <f t="shared" si="30"/>
        <v/>
      </c>
      <c r="M307" s="3" t="s">
        <v>238</v>
      </c>
      <c r="N307" s="3" t="s">
        <v>238</v>
      </c>
      <c r="O307" s="3" t="s">
        <v>238</v>
      </c>
    </row>
    <row r="308" spans="1:15" x14ac:dyDescent="0.2">
      <c r="A308" s="3" t="str">
        <f>+VLOOKUP(B308,studies!$A$2:$C$102,3)</f>
        <v>Guo et al. (2006)</v>
      </c>
      <c r="B308" s="87">
        <v>45</v>
      </c>
      <c r="C308" s="3">
        <v>419.14270659303634</v>
      </c>
      <c r="D308" s="90" t="str">
        <f t="shared" si="28"/>
        <v/>
      </c>
      <c r="K308" s="98" t="str">
        <f t="shared" si="29"/>
        <v/>
      </c>
      <c r="L308" s="98" t="str">
        <f t="shared" si="30"/>
        <v/>
      </c>
      <c r="M308" s="3" t="s">
        <v>238</v>
      </c>
      <c r="N308" s="3" t="s">
        <v>238</v>
      </c>
      <c r="O308" s="3" t="s">
        <v>238</v>
      </c>
    </row>
    <row r="309" spans="1:15" x14ac:dyDescent="0.2">
      <c r="A309" s="3" t="str">
        <f>+VLOOKUP(B309,studies!$A$2:$C$102,3)</f>
        <v>Guo et al. (2006)</v>
      </c>
      <c r="B309" s="87">
        <v>45</v>
      </c>
      <c r="C309" s="3">
        <v>65.703451303773264</v>
      </c>
      <c r="D309" s="90" t="str">
        <f t="shared" si="28"/>
        <v/>
      </c>
      <c r="K309" s="98" t="str">
        <f t="shared" si="29"/>
        <v/>
      </c>
      <c r="L309" s="98" t="str">
        <f t="shared" si="30"/>
        <v/>
      </c>
      <c r="M309" s="3" t="s">
        <v>238</v>
      </c>
      <c r="N309" s="3" t="s">
        <v>238</v>
      </c>
      <c r="O309" s="3" t="s">
        <v>238</v>
      </c>
    </row>
    <row r="310" spans="1:15" x14ac:dyDescent="0.2">
      <c r="A310" s="3" t="str">
        <f>+VLOOKUP(B310,studies!$A$2:$C$102,3)</f>
        <v>Guo et al. (2006)</v>
      </c>
      <c r="B310" s="87">
        <v>45</v>
      </c>
      <c r="C310" s="3">
        <v>-2.9453271274105255</v>
      </c>
      <c r="D310" s="90" t="str">
        <f t="shared" si="28"/>
        <v/>
      </c>
      <c r="K310" s="98" t="str">
        <f t="shared" si="29"/>
        <v/>
      </c>
      <c r="L310" s="98" t="str">
        <f t="shared" si="30"/>
        <v/>
      </c>
      <c r="M310" s="3" t="s">
        <v>238</v>
      </c>
      <c r="N310" s="3" t="s">
        <v>238</v>
      </c>
      <c r="O310" s="3" t="s">
        <v>238</v>
      </c>
    </row>
    <row r="311" spans="1:15" x14ac:dyDescent="0.2">
      <c r="A311" s="3" t="str">
        <f>+VLOOKUP(B311,studies!$A$2:$C$102,3)</f>
        <v>Guo et al. (2006)</v>
      </c>
      <c r="B311" s="87">
        <v>45</v>
      </c>
      <c r="C311" s="3">
        <v>192.57908140761126</v>
      </c>
      <c r="D311" s="90" t="str">
        <f t="shared" si="28"/>
        <v/>
      </c>
      <c r="K311" s="98" t="str">
        <f t="shared" si="29"/>
        <v/>
      </c>
      <c r="L311" s="98" t="str">
        <f t="shared" si="30"/>
        <v/>
      </c>
      <c r="M311" s="3" t="s">
        <v>238</v>
      </c>
      <c r="N311" s="3" t="s">
        <v>238</v>
      </c>
      <c r="O311" s="3" t="s">
        <v>238</v>
      </c>
    </row>
    <row r="312" spans="1:15" x14ac:dyDescent="0.2">
      <c r="A312" s="3" t="str">
        <f>+VLOOKUP(B312,studies!$A$2:$C$102,3)</f>
        <v>Guo et al. (2006)</v>
      </c>
      <c r="B312" s="87">
        <v>45</v>
      </c>
      <c r="C312" s="3">
        <v>33.984543777813755</v>
      </c>
      <c r="D312" s="90" t="str">
        <f t="shared" si="28"/>
        <v/>
      </c>
      <c r="K312" s="98" t="str">
        <f t="shared" si="29"/>
        <v/>
      </c>
      <c r="L312" s="98" t="str">
        <f t="shared" si="30"/>
        <v/>
      </c>
      <c r="M312" s="3" t="s">
        <v>238</v>
      </c>
      <c r="N312" s="3" t="s">
        <v>238</v>
      </c>
      <c r="O312" s="3" t="s">
        <v>238</v>
      </c>
    </row>
    <row r="313" spans="1:15" x14ac:dyDescent="0.2">
      <c r="A313" s="3" t="str">
        <f>+VLOOKUP(B313,studies!$A$2:$C$102,3)</f>
        <v>Guo et al. (2006)</v>
      </c>
      <c r="B313" s="87">
        <v>45</v>
      </c>
      <c r="C313" s="3">
        <v>-4.7578361288939259</v>
      </c>
      <c r="D313" s="90" t="str">
        <f t="shared" si="28"/>
        <v/>
      </c>
      <c r="K313" s="98" t="str">
        <f t="shared" si="29"/>
        <v/>
      </c>
      <c r="L313" s="98" t="str">
        <f t="shared" si="30"/>
        <v/>
      </c>
      <c r="M313" s="3" t="s">
        <v>238</v>
      </c>
      <c r="N313" s="3" t="s">
        <v>238</v>
      </c>
      <c r="O313" s="3" t="s">
        <v>238</v>
      </c>
    </row>
    <row r="314" spans="1:15" x14ac:dyDescent="0.2">
      <c r="A314" s="3" t="str">
        <f>+VLOOKUP(B314,studies!$A$2:$C$102,3)</f>
        <v>Guo et al. (2006)</v>
      </c>
      <c r="B314" s="87">
        <v>45</v>
      </c>
      <c r="C314" s="3">
        <v>79.297268814898757</v>
      </c>
      <c r="D314" s="90" t="str">
        <f t="shared" si="28"/>
        <v/>
      </c>
      <c r="K314" s="98" t="str">
        <f t="shared" si="29"/>
        <v/>
      </c>
      <c r="L314" s="98" t="str">
        <f t="shared" si="30"/>
        <v/>
      </c>
      <c r="M314" s="3" t="s">
        <v>238</v>
      </c>
      <c r="N314" s="3" t="s">
        <v>238</v>
      </c>
      <c r="O314" s="3" t="s">
        <v>238</v>
      </c>
    </row>
    <row r="315" spans="1:15" x14ac:dyDescent="0.2">
      <c r="A315" s="3" t="str">
        <f>+VLOOKUP(B315,studies!$A$2:$C$102,3)</f>
        <v>Hope (2006)</v>
      </c>
      <c r="B315" s="87">
        <v>46</v>
      </c>
      <c r="C315" s="3">
        <v>38.097423524211194</v>
      </c>
      <c r="D315" s="90" t="str">
        <f t="shared" si="28"/>
        <v>Hope (2006)</v>
      </c>
      <c r="K315" s="98" t="str">
        <f t="shared" si="29"/>
        <v/>
      </c>
      <c r="L315" s="98" t="str">
        <f t="shared" si="30"/>
        <v/>
      </c>
      <c r="M315" s="3" t="s">
        <v>238</v>
      </c>
      <c r="N315" s="3">
        <v>15.345363932952951</v>
      </c>
      <c r="O315" s="3">
        <v>32.736776390299632</v>
      </c>
    </row>
    <row r="316" spans="1:15" x14ac:dyDescent="0.2">
      <c r="A316" s="3" t="str">
        <f>+VLOOKUP(B316,studies!$A$2:$C$102,3)</f>
        <v>Stern et al. (2006)</v>
      </c>
      <c r="B316" s="87">
        <v>47</v>
      </c>
      <c r="C316" s="3">
        <v>629.61005192643768</v>
      </c>
      <c r="D316" s="90" t="str">
        <f t="shared" si="28"/>
        <v>Stern et al. (2006)</v>
      </c>
      <c r="K316" s="98" t="str">
        <f t="shared" si="29"/>
        <v/>
      </c>
      <c r="L316" s="98" t="str">
        <f t="shared" si="30"/>
        <v/>
      </c>
      <c r="M316" s="3" t="s">
        <v>238</v>
      </c>
      <c r="N316" s="3" t="s">
        <v>238</v>
      </c>
      <c r="O316" s="3" t="s">
        <v>238</v>
      </c>
    </row>
    <row r="317" spans="1:15" x14ac:dyDescent="0.2">
      <c r="A317" s="3" t="str">
        <f>+VLOOKUP(B317,studies!$A$2:$C$102,3)</f>
        <v>Wahba &amp; Hope (2006)</v>
      </c>
      <c r="B317" s="87">
        <v>48</v>
      </c>
      <c r="C317" s="3">
        <v>38.097423524211194</v>
      </c>
      <c r="D317" s="90" t="str">
        <f t="shared" si="28"/>
        <v>Wahba &amp; Hope (2006)</v>
      </c>
      <c r="E317" s="90">
        <f>+PERCENTILE($C317:$C324,E$2)</f>
        <v>29.573012881467097</v>
      </c>
      <c r="F317" s="90">
        <f t="shared" ref="F317:I317" si="34">+PERCENTILE($C317:$C324,F$2)</f>
        <v>36.663319172389706</v>
      </c>
      <c r="G317" s="98">
        <f t="shared" si="34"/>
        <v>59.151262840222643</v>
      </c>
      <c r="H317" s="90">
        <f t="shared" si="34"/>
        <v>116.29739812653945</v>
      </c>
      <c r="I317" s="90">
        <f t="shared" si="34"/>
        <v>252.84658454752793</v>
      </c>
      <c r="J317" s="98">
        <f>+STDEV($C317:$C324)</f>
        <v>92.663749393134822</v>
      </c>
      <c r="K317" s="98">
        <f t="shared" si="29"/>
        <v>15.090943856507932</v>
      </c>
      <c r="L317" s="98">
        <f t="shared" si="30"/>
        <v>98.824143728216981</v>
      </c>
      <c r="M317" s="3" t="s">
        <v>238</v>
      </c>
      <c r="N317" s="3">
        <v>14.32233967075609</v>
      </c>
      <c r="O317" s="3">
        <v>30.690727865905902</v>
      </c>
    </row>
    <row r="318" spans="1:15" x14ac:dyDescent="0.2">
      <c r="A318" s="3" t="str">
        <f>+VLOOKUP(B318,studies!$A$2:$C$102,3)</f>
        <v>Wahba &amp; Hope (2006)</v>
      </c>
      <c r="B318" s="87">
        <v>48</v>
      </c>
      <c r="C318" s="3">
        <v>28.071785754681933</v>
      </c>
      <c r="D318" s="90" t="str">
        <f t="shared" si="28"/>
        <v/>
      </c>
      <c r="K318" s="98" t="str">
        <f t="shared" si="29"/>
        <v/>
      </c>
      <c r="L318" s="98" t="str">
        <f t="shared" si="30"/>
        <v/>
      </c>
      <c r="M318" s="3" t="s">
        <v>238</v>
      </c>
      <c r="N318" s="3">
        <v>11.2532668841655</v>
      </c>
      <c r="O318" s="3">
        <v>27.621655079315314</v>
      </c>
    </row>
    <row r="319" spans="1:15" x14ac:dyDescent="0.2">
      <c r="A319" s="3" t="str">
        <f>+VLOOKUP(B319,studies!$A$2:$C$102,3)</f>
        <v>Wahba &amp; Hope (2006)</v>
      </c>
      <c r="B319" s="87">
        <v>48</v>
      </c>
      <c r="C319" s="3">
        <v>94.240995033575075</v>
      </c>
      <c r="D319" s="90" t="str">
        <f t="shared" si="28"/>
        <v/>
      </c>
      <c r="K319" s="98" t="str">
        <f t="shared" si="29"/>
        <v/>
      </c>
      <c r="L319" s="98" t="str">
        <f t="shared" si="30"/>
        <v/>
      </c>
      <c r="M319" s="3" t="s">
        <v>238</v>
      </c>
      <c r="N319" s="3" t="s">
        <v>238</v>
      </c>
      <c r="O319" s="3" t="s">
        <v>238</v>
      </c>
    </row>
    <row r="320" spans="1:15" x14ac:dyDescent="0.2">
      <c r="A320" s="3" t="str">
        <f>+VLOOKUP(B320,studies!$A$2:$C$102,3)</f>
        <v>Wahba &amp; Hope (2006)</v>
      </c>
      <c r="B320" s="87">
        <v>48</v>
      </c>
      <c r="C320" s="3">
        <v>290.74349531634857</v>
      </c>
      <c r="D320" s="90" t="str">
        <f t="shared" si="28"/>
        <v/>
      </c>
      <c r="K320" s="98" t="str">
        <f t="shared" si="29"/>
        <v/>
      </c>
      <c r="L320" s="98" t="str">
        <f t="shared" si="30"/>
        <v/>
      </c>
      <c r="M320" s="3" t="s">
        <v>238</v>
      </c>
      <c r="N320" s="3" t="s">
        <v>238</v>
      </c>
      <c r="O320" s="3" t="s">
        <v>238</v>
      </c>
    </row>
    <row r="321" spans="1:15" x14ac:dyDescent="0.2">
      <c r="A321" s="3" t="str">
        <f>+VLOOKUP(B321,studies!$A$2:$C$102,3)</f>
        <v>Wahba &amp; Hope (2006)</v>
      </c>
      <c r="B321" s="87">
        <v>48</v>
      </c>
      <c r="C321" s="3">
        <v>60.153826617175575</v>
      </c>
      <c r="D321" s="90" t="str">
        <f t="shared" si="28"/>
        <v/>
      </c>
      <c r="K321" s="98" t="str">
        <f t="shared" si="29"/>
        <v/>
      </c>
      <c r="L321" s="98" t="str">
        <f t="shared" si="30"/>
        <v/>
      </c>
      <c r="M321" s="3" t="s">
        <v>238</v>
      </c>
      <c r="N321" s="3" t="s">
        <v>238</v>
      </c>
      <c r="O321" s="3" t="s">
        <v>238</v>
      </c>
    </row>
    <row r="322" spans="1:15" x14ac:dyDescent="0.2">
      <c r="A322" s="3" t="str">
        <f>+VLOOKUP(B322,studies!$A$2:$C$102,3)</f>
        <v>Wahba &amp; Hope (2006)</v>
      </c>
      <c r="B322" s="87">
        <v>48</v>
      </c>
      <c r="C322" s="3">
        <v>182.46660740543257</v>
      </c>
      <c r="D322" s="90" t="str">
        <f t="shared" si="28"/>
        <v/>
      </c>
      <c r="K322" s="98" t="str">
        <f t="shared" si="29"/>
        <v/>
      </c>
      <c r="L322" s="98" t="str">
        <f t="shared" si="30"/>
        <v/>
      </c>
      <c r="M322" s="3" t="s">
        <v>238</v>
      </c>
      <c r="N322" s="3" t="s">
        <v>238</v>
      </c>
      <c r="O322" s="3" t="s">
        <v>238</v>
      </c>
    </row>
    <row r="323" spans="1:15" x14ac:dyDescent="0.2">
      <c r="A323" s="3" t="str">
        <f>+VLOOKUP(B323,studies!$A$2:$C$102,3)</f>
        <v>Wahba &amp; Hope (2006)</v>
      </c>
      <c r="B323" s="87">
        <v>48</v>
      </c>
      <c r="C323" s="3">
        <v>58.148699063269717</v>
      </c>
      <c r="D323" s="90" t="str">
        <f t="shared" si="28"/>
        <v/>
      </c>
      <c r="K323" s="98" t="str">
        <f t="shared" si="29"/>
        <v/>
      </c>
      <c r="L323" s="98" t="str">
        <f t="shared" si="30"/>
        <v/>
      </c>
      <c r="M323" s="3" t="s">
        <v>238</v>
      </c>
      <c r="N323" s="3" t="s">
        <v>238</v>
      </c>
      <c r="O323" s="3" t="s">
        <v>238</v>
      </c>
    </row>
    <row r="324" spans="1:15" x14ac:dyDescent="0.2">
      <c r="A324" s="3" t="str">
        <f>+VLOOKUP(B324,studies!$A$2:$C$102,3)</f>
        <v>Wahba &amp; Hope (2006)</v>
      </c>
      <c r="B324" s="87">
        <v>48</v>
      </c>
      <c r="C324" s="3">
        <v>32.361006116925253</v>
      </c>
      <c r="D324" s="90" t="str">
        <f t="shared" si="28"/>
        <v/>
      </c>
      <c r="K324" s="98" t="str">
        <f t="shared" si="29"/>
        <v/>
      </c>
      <c r="L324" s="98" t="str">
        <f t="shared" si="30"/>
        <v/>
      </c>
      <c r="M324" s="3" t="s">
        <v>238</v>
      </c>
      <c r="N324" s="3" t="s">
        <v>238</v>
      </c>
      <c r="O324" s="3" t="s">
        <v>238</v>
      </c>
    </row>
    <row r="325" spans="1:15" x14ac:dyDescent="0.2">
      <c r="A325" s="3" t="str">
        <f>+VLOOKUP(B325,studies!$A$2:$C$102,3)</f>
        <v>Stern &amp; Taylor (2007)</v>
      </c>
      <c r="B325" s="87">
        <v>49</v>
      </c>
      <c r="C325" s="3">
        <v>183.80335910803649</v>
      </c>
      <c r="D325" s="90" t="str">
        <f t="shared" ref="D325:D388" si="35">+IF(B325=B324,"",A325)</f>
        <v>Stern &amp; Taylor (2007)</v>
      </c>
      <c r="F325" s="1">
        <f>+C325</f>
        <v>183.80335910803649</v>
      </c>
      <c r="G325" s="7">
        <f>+MEDIAN(C325:C326)</f>
        <v>202.18369501884013</v>
      </c>
      <c r="H325" s="1">
        <f>+C326</f>
        <v>220.56403092964379</v>
      </c>
      <c r="J325" s="98">
        <f>+STDEV(C325:C326)</f>
        <v>25.99372032603176</v>
      </c>
      <c r="K325" s="98">
        <f>G325-F325/1.1505</f>
        <v>42.424147771524645</v>
      </c>
      <c r="L325" s="98">
        <f>H325-G325/1.1505</f>
        <v>44.828528957596745</v>
      </c>
      <c r="M325" s="3" t="s">
        <v>238</v>
      </c>
      <c r="N325" s="3" t="s">
        <v>238</v>
      </c>
      <c r="O325" s="3" t="s">
        <v>238</v>
      </c>
    </row>
    <row r="326" spans="1:15" x14ac:dyDescent="0.2">
      <c r="A326" s="3" t="str">
        <f>+VLOOKUP(B326,studies!$A$2:$C$102,3)</f>
        <v>Stern &amp; Taylor (2007)</v>
      </c>
      <c r="B326" s="87">
        <v>49</v>
      </c>
      <c r="C326" s="3">
        <v>220.56403092964379</v>
      </c>
      <c r="D326" s="90" t="str">
        <f t="shared" si="35"/>
        <v/>
      </c>
      <c r="K326" s="98" t="str">
        <f t="shared" si="29"/>
        <v/>
      </c>
      <c r="L326" s="98" t="str">
        <f t="shared" si="30"/>
        <v/>
      </c>
      <c r="M326" s="3" t="s">
        <v>238</v>
      </c>
      <c r="N326" s="3" t="s">
        <v>238</v>
      </c>
      <c r="O326" s="3" t="s">
        <v>238</v>
      </c>
    </row>
    <row r="327" spans="1:15" x14ac:dyDescent="0.2">
      <c r="A327" s="3" t="str">
        <f>+VLOOKUP(B327,studies!$A$2:$C$102,3)</f>
        <v>Hope (2008b)</v>
      </c>
      <c r="B327" s="87">
        <v>50</v>
      </c>
      <c r="C327" s="3">
        <v>28.071785754681933</v>
      </c>
      <c r="D327" s="90" t="str">
        <f t="shared" si="35"/>
        <v>Hope (2008b)</v>
      </c>
      <c r="E327" s="90">
        <f>+PERCENTILE($C327:$C331,E$2)</f>
        <v>24.462556157651399</v>
      </c>
      <c r="F327" s="90">
        <f t="shared" ref="F327:I327" si="36">+PERCENTILE($C327:$C331,F$2)</f>
        <v>26.066658200776079</v>
      </c>
      <c r="G327" s="98">
        <f t="shared" si="36"/>
        <v>26.066658200776079</v>
      </c>
      <c r="H327" s="90">
        <f t="shared" si="36"/>
        <v>26.066658200776079</v>
      </c>
      <c r="I327" s="90">
        <f t="shared" si="36"/>
        <v>27.670760243900762</v>
      </c>
      <c r="J327" s="98">
        <f>+STDEV($C327:$C331)</f>
        <v>1.417839290510823</v>
      </c>
      <c r="K327" s="98">
        <f t="shared" ref="K327:K390" si="37">+IF(I327="","",(G327-E327)/1.96)</f>
        <v>0.81841940975748984</v>
      </c>
      <c r="L327" s="98">
        <f t="shared" ref="L327:L390" si="38">+IF(I327="","",(I327-G327)/1.96)</f>
        <v>0.81841940975749161</v>
      </c>
      <c r="M327" s="3" t="s">
        <v>238</v>
      </c>
      <c r="N327" s="3">
        <v>11.2532668841655</v>
      </c>
      <c r="O327" s="3">
        <v>27.621655079315314</v>
      </c>
    </row>
    <row r="328" spans="1:15" x14ac:dyDescent="0.2">
      <c r="A328" s="3" t="str">
        <f>+VLOOKUP(B328,studies!$A$2:$C$102,3)</f>
        <v>Hope (2008b)</v>
      </c>
      <c r="B328" s="87">
        <v>50</v>
      </c>
      <c r="C328" s="3">
        <v>26.066658200776079</v>
      </c>
      <c r="D328" s="90" t="str">
        <f t="shared" si="35"/>
        <v/>
      </c>
      <c r="K328" s="98" t="str">
        <f t="shared" si="37"/>
        <v/>
      </c>
      <c r="L328" s="98" t="str">
        <f t="shared" si="38"/>
        <v/>
      </c>
      <c r="M328" s="3" t="s">
        <v>238</v>
      </c>
      <c r="N328" s="3">
        <v>10.230242621968634</v>
      </c>
      <c r="O328" s="3">
        <v>24.552582292724722</v>
      </c>
    </row>
    <row r="329" spans="1:15" x14ac:dyDescent="0.2">
      <c r="A329" s="3" t="str">
        <f>+VLOOKUP(B329,studies!$A$2:$C$102,3)</f>
        <v>Hope (2008b)</v>
      </c>
      <c r="B329" s="87">
        <v>50</v>
      </c>
      <c r="C329" s="3">
        <v>26.066658200776079</v>
      </c>
      <c r="D329" s="90" t="str">
        <f t="shared" si="35"/>
        <v/>
      </c>
      <c r="K329" s="98" t="str">
        <f t="shared" si="37"/>
        <v/>
      </c>
      <c r="L329" s="98" t="str">
        <f t="shared" si="38"/>
        <v/>
      </c>
      <c r="M329" s="3" t="s">
        <v>238</v>
      </c>
      <c r="N329" s="3">
        <v>11.2532668841655</v>
      </c>
      <c r="O329" s="3">
        <v>30.690727865905902</v>
      </c>
    </row>
    <row r="330" spans="1:15" x14ac:dyDescent="0.2">
      <c r="A330" s="3" t="str">
        <f>+VLOOKUP(B330,studies!$A$2:$C$102,3)</f>
        <v>Hope (2008b)</v>
      </c>
      <c r="B330" s="87">
        <v>50</v>
      </c>
      <c r="C330" s="3">
        <v>26.066658200776079</v>
      </c>
      <c r="D330" s="90" t="str">
        <f t="shared" si="35"/>
        <v/>
      </c>
      <c r="K330" s="98" t="str">
        <f t="shared" si="37"/>
        <v/>
      </c>
      <c r="L330" s="98" t="str">
        <f t="shared" si="38"/>
        <v/>
      </c>
      <c r="M330" s="3" t="s">
        <v>238</v>
      </c>
      <c r="N330" s="3">
        <v>11.2532668841655</v>
      </c>
      <c r="O330" s="3">
        <v>24.552582292724722</v>
      </c>
    </row>
    <row r="331" spans="1:15" x14ac:dyDescent="0.2">
      <c r="A331" s="3" t="str">
        <f>+VLOOKUP(B331,studies!$A$2:$C$102,3)</f>
        <v>Hope (2008b)</v>
      </c>
      <c r="B331" s="87">
        <v>50</v>
      </c>
      <c r="C331" s="3">
        <v>24.061530646870228</v>
      </c>
      <c r="D331" s="90" t="str">
        <f t="shared" si="35"/>
        <v/>
      </c>
      <c r="K331" s="98" t="str">
        <f t="shared" si="37"/>
        <v/>
      </c>
      <c r="L331" s="98" t="str">
        <f t="shared" si="38"/>
        <v/>
      </c>
      <c r="M331" s="3" t="s">
        <v>238</v>
      </c>
      <c r="N331" s="3">
        <v>10.230242621968634</v>
      </c>
      <c r="O331" s="3">
        <v>23.529558030527859</v>
      </c>
    </row>
    <row r="332" spans="1:15" x14ac:dyDescent="0.2">
      <c r="A332" s="3" t="str">
        <f>+VLOOKUP(B332,studies!$A$2:$C$102,3)</f>
        <v>Hope (2008a)</v>
      </c>
      <c r="B332" s="87">
        <v>51</v>
      </c>
      <c r="C332" s="3">
        <v>32.082040862493642</v>
      </c>
      <c r="D332" s="90" t="str">
        <f t="shared" si="35"/>
        <v>Hope (2008a)</v>
      </c>
      <c r="E332" s="90">
        <f>+PERCENTILE($C332:$C341,E$2)</f>
        <v>40.202807455812341</v>
      </c>
      <c r="F332" s="90">
        <f t="shared" ref="F332:I332" si="39">+PERCENTILE($C332:$C341,F$2)</f>
        <v>118.30252568044529</v>
      </c>
      <c r="G332" s="98">
        <f t="shared" si="39"/>
        <v>134.34354611169209</v>
      </c>
      <c r="H332" s="90">
        <f t="shared" si="39"/>
        <v>342.87681171790075</v>
      </c>
      <c r="I332" s="90">
        <f t="shared" si="39"/>
        <v>1083.771442886112</v>
      </c>
      <c r="J332" s="98">
        <f>+STDEV($C332:$C341)</f>
        <v>480.02719207318461</v>
      </c>
      <c r="K332" s="98">
        <f t="shared" si="37"/>
        <v>48.030989110142727</v>
      </c>
      <c r="L332" s="98">
        <f t="shared" si="38"/>
        <v>484.40198815021421</v>
      </c>
      <c r="M332" s="3" t="s">
        <v>238</v>
      </c>
      <c r="N332" s="3">
        <v>12.276291146362361</v>
      </c>
      <c r="O332" s="3">
        <v>28.64467934151218</v>
      </c>
    </row>
    <row r="333" spans="1:15" x14ac:dyDescent="0.2">
      <c r="A333" s="3" t="str">
        <f>+VLOOKUP(B333,studies!$A$2:$C$102,3)</f>
        <v>Hope (2008a)</v>
      </c>
      <c r="B333" s="87">
        <v>51</v>
      </c>
      <c r="C333" s="3">
        <v>116.29739812653943</v>
      </c>
      <c r="D333" s="90" t="str">
        <f t="shared" si="35"/>
        <v/>
      </c>
      <c r="K333" s="98" t="str">
        <f t="shared" si="37"/>
        <v/>
      </c>
      <c r="L333" s="98" t="str">
        <f t="shared" si="38"/>
        <v/>
      </c>
      <c r="M333" s="3" t="s">
        <v>238</v>
      </c>
      <c r="N333" s="3">
        <v>46.036091798858855</v>
      </c>
      <c r="O333" s="3">
        <v>100.25637769529261</v>
      </c>
    </row>
    <row r="334" spans="1:15" x14ac:dyDescent="0.2">
      <c r="A334" s="3" t="str">
        <f>+VLOOKUP(B334,studies!$A$2:$C$102,3)</f>
        <v>Hope (2008a)</v>
      </c>
      <c r="B334" s="87">
        <v>51</v>
      </c>
      <c r="C334" s="3">
        <v>156.39994920465648</v>
      </c>
      <c r="D334" s="90" t="str">
        <f t="shared" si="35"/>
        <v/>
      </c>
      <c r="K334" s="98" t="str">
        <f t="shared" si="37"/>
        <v/>
      </c>
      <c r="L334" s="98" t="str">
        <f t="shared" si="38"/>
        <v/>
      </c>
      <c r="M334" s="3" t="s">
        <v>238</v>
      </c>
      <c r="N334" s="3">
        <v>61.381455731811805</v>
      </c>
      <c r="O334" s="3">
        <v>145.26944523195462</v>
      </c>
    </row>
    <row r="335" spans="1:15" x14ac:dyDescent="0.2">
      <c r="A335" s="3" t="str">
        <f>+VLOOKUP(B335,studies!$A$2:$C$102,3)</f>
        <v>Hope (2008a)</v>
      </c>
      <c r="B335" s="87">
        <v>51</v>
      </c>
      <c r="C335" s="3">
        <v>130.33329100388039</v>
      </c>
      <c r="D335" s="90" t="str">
        <f t="shared" si="35"/>
        <v/>
      </c>
      <c r="K335" s="98" t="str">
        <f t="shared" si="37"/>
        <v/>
      </c>
      <c r="L335" s="98" t="str">
        <f t="shared" si="38"/>
        <v/>
      </c>
      <c r="M335" s="3" t="s">
        <v>238</v>
      </c>
      <c r="N335" s="3">
        <v>51.151213109843177</v>
      </c>
      <c r="O335" s="3">
        <v>121.73988720142675</v>
      </c>
    </row>
    <row r="336" spans="1:15" x14ac:dyDescent="0.2">
      <c r="A336" s="3" t="str">
        <f>+VLOOKUP(B336,studies!$A$2:$C$102,3)</f>
        <v>Hope (2008a)</v>
      </c>
      <c r="B336" s="87">
        <v>51</v>
      </c>
      <c r="C336" s="3">
        <v>50.128188847646307</v>
      </c>
      <c r="D336" s="90" t="str">
        <f t="shared" si="35"/>
        <v/>
      </c>
      <c r="K336" s="98" t="str">
        <f t="shared" si="37"/>
        <v/>
      </c>
      <c r="L336" s="98" t="str">
        <f t="shared" si="38"/>
        <v/>
      </c>
      <c r="M336" s="3" t="s">
        <v>238</v>
      </c>
      <c r="N336" s="3">
        <v>18.414436719543545</v>
      </c>
      <c r="O336" s="3">
        <v>37.851897701283946</v>
      </c>
    </row>
    <row r="337" spans="1:15" x14ac:dyDescent="0.2">
      <c r="A337" s="3" t="str">
        <f>+VLOOKUP(B337,studies!$A$2:$C$102,3)</f>
        <v>Hope (2008a)</v>
      </c>
      <c r="B337" s="87">
        <v>51</v>
      </c>
      <c r="C337" s="3">
        <v>138.35380121950379</v>
      </c>
      <c r="D337" s="90" t="str">
        <f t="shared" si="35"/>
        <v/>
      </c>
      <c r="K337" s="98" t="str">
        <f t="shared" si="37"/>
        <v/>
      </c>
      <c r="L337" s="98" t="str">
        <f t="shared" si="38"/>
        <v/>
      </c>
      <c r="M337" s="3" t="s">
        <v>238</v>
      </c>
      <c r="N337" s="3">
        <v>55.243310158630628</v>
      </c>
      <c r="O337" s="3">
        <v>126.85500851241108</v>
      </c>
    </row>
    <row r="338" spans="1:15" x14ac:dyDescent="0.2">
      <c r="A338" s="3" t="str">
        <f>+VLOOKUP(B338,studies!$A$2:$C$102,3)</f>
        <v>Hope (2008a)</v>
      </c>
      <c r="B338" s="87">
        <v>51</v>
      </c>
      <c r="C338" s="3">
        <v>124.31790834216285</v>
      </c>
      <c r="D338" s="90" t="str">
        <f t="shared" si="35"/>
        <v/>
      </c>
      <c r="K338" s="98" t="str">
        <f t="shared" si="37"/>
        <v/>
      </c>
      <c r="L338" s="98" t="str">
        <f t="shared" si="38"/>
        <v/>
      </c>
      <c r="M338" s="3" t="s">
        <v>238</v>
      </c>
      <c r="N338" s="3">
        <v>49.105164585449444</v>
      </c>
      <c r="O338" s="3">
        <v>129.92408129900167</v>
      </c>
    </row>
    <row r="339" spans="1:15" x14ac:dyDescent="0.2">
      <c r="A339" s="3" t="str">
        <f>+VLOOKUP(B339,studies!$A$2:$C$102,3)</f>
        <v>Hope (2008a)</v>
      </c>
      <c r="B339" s="87">
        <v>51</v>
      </c>
      <c r="C339" s="3">
        <v>411.05114855069974</v>
      </c>
      <c r="D339" s="90" t="str">
        <f t="shared" si="35"/>
        <v/>
      </c>
      <c r="K339" s="98" t="str">
        <f t="shared" si="37"/>
        <v/>
      </c>
      <c r="L339" s="98" t="str">
        <f t="shared" si="38"/>
        <v/>
      </c>
      <c r="M339" s="3" t="s">
        <v>238</v>
      </c>
      <c r="N339" s="3">
        <v>166.75295473808876</v>
      </c>
      <c r="O339" s="3">
        <v>401.02551078117045</v>
      </c>
    </row>
    <row r="340" spans="1:15" x14ac:dyDescent="0.2">
      <c r="A340" s="3" t="str">
        <f>+VLOOKUP(B340,studies!$A$2:$C$102,3)</f>
        <v>Hope (2008a)</v>
      </c>
      <c r="B340" s="87">
        <v>51</v>
      </c>
      <c r="C340" s="3">
        <v>405.03576588898221</v>
      </c>
      <c r="D340" s="90" t="str">
        <f t="shared" si="35"/>
        <v/>
      </c>
      <c r="K340" s="98" t="str">
        <f t="shared" si="37"/>
        <v/>
      </c>
      <c r="L340" s="98" t="str">
        <f t="shared" si="38"/>
        <v/>
      </c>
      <c r="M340" s="3" t="s">
        <v>238</v>
      </c>
      <c r="N340" s="3">
        <v>165.7299304758919</v>
      </c>
      <c r="O340" s="3">
        <v>435.80833569586389</v>
      </c>
    </row>
    <row r="341" spans="1:15" x14ac:dyDescent="0.2">
      <c r="A341" s="3" t="str">
        <f>+VLOOKUP(B341,studies!$A$2:$C$102,3)</f>
        <v>Hope (2008a)</v>
      </c>
      <c r="B341" s="87">
        <v>51</v>
      </c>
      <c r="C341" s="3">
        <v>1634.1789564332698</v>
      </c>
      <c r="D341" s="90" t="str">
        <f t="shared" si="35"/>
        <v/>
      </c>
      <c r="K341" s="98" t="str">
        <f t="shared" si="37"/>
        <v/>
      </c>
      <c r="L341" s="98" t="str">
        <f t="shared" si="38"/>
        <v/>
      </c>
      <c r="M341" s="3" t="s">
        <v>238</v>
      </c>
      <c r="N341" s="3">
        <v>685.4262556718985</v>
      </c>
      <c r="O341" s="3">
        <v>1592.8487762405164</v>
      </c>
    </row>
    <row r="342" spans="1:15" x14ac:dyDescent="0.2">
      <c r="A342" s="3" t="str">
        <f>+VLOOKUP(B342,studies!$A$2:$C$102,3)</f>
        <v>Nordhaus (2008)</v>
      </c>
      <c r="B342" s="87">
        <v>52</v>
      </c>
      <c r="C342" s="3">
        <v>42.622952008437778</v>
      </c>
      <c r="D342" s="90" t="str">
        <f t="shared" si="35"/>
        <v>Nordhaus (2008)</v>
      </c>
      <c r="E342" s="90">
        <f>+PERCENTILE($C342:$C345,E$2)</f>
        <v>42.429556051815865</v>
      </c>
      <c r="F342" s="90">
        <f t="shared" ref="F342:I342" si="40">+PERCENTILE($C342:$C345,F$2)</f>
        <v>42.566070844725452</v>
      </c>
      <c r="G342" s="98">
        <f t="shared" si="40"/>
        <v>44.702531815790827</v>
      </c>
      <c r="H342" s="90">
        <f t="shared" si="40"/>
        <v>120.86337859554853</v>
      </c>
      <c r="I342" s="90">
        <f t="shared" si="40"/>
        <v>298.6584193293196</v>
      </c>
      <c r="J342" s="98">
        <f>+STDEV($C342:$C345)</f>
        <v>149.6004311770603</v>
      </c>
      <c r="K342" s="98">
        <f t="shared" si="37"/>
        <v>1.1596815122321236</v>
      </c>
      <c r="L342" s="98">
        <f t="shared" si="38"/>
        <v>129.5693303640453</v>
      </c>
      <c r="M342" s="3" t="s">
        <v>238</v>
      </c>
      <c r="N342" s="3" t="s">
        <v>238</v>
      </c>
      <c r="O342" s="3" t="s">
        <v>238</v>
      </c>
    </row>
    <row r="343" spans="1:15" x14ac:dyDescent="0.2">
      <c r="A343" s="3" t="str">
        <f>+VLOOKUP(B343,studies!$A$2:$C$102,3)</f>
        <v>Nordhaus (2008)</v>
      </c>
      <c r="B343" s="87">
        <v>52</v>
      </c>
      <c r="C343" s="3">
        <v>46.782111623143876</v>
      </c>
      <c r="D343" s="90" t="str">
        <f t="shared" si="35"/>
        <v/>
      </c>
      <c r="K343" s="98" t="str">
        <f t="shared" si="37"/>
        <v/>
      </c>
      <c r="L343" s="98" t="str">
        <f t="shared" si="38"/>
        <v/>
      </c>
      <c r="M343" s="3" t="s">
        <v>238</v>
      </c>
      <c r="N343" s="3" t="s">
        <v>238</v>
      </c>
      <c r="O343" s="3" t="s">
        <v>238</v>
      </c>
    </row>
    <row r="344" spans="1:15" x14ac:dyDescent="0.2">
      <c r="A344" s="3" t="str">
        <f>+VLOOKUP(B344,studies!$A$2:$C$102,3)</f>
        <v>Nordhaus (2008)</v>
      </c>
      <c r="B344" s="87">
        <v>52</v>
      </c>
      <c r="C344" s="3">
        <v>343.10717951276246</v>
      </c>
      <c r="D344" s="90" t="str">
        <f t="shared" si="35"/>
        <v/>
      </c>
      <c r="K344" s="98" t="str">
        <f t="shared" si="37"/>
        <v/>
      </c>
      <c r="L344" s="98" t="str">
        <f t="shared" si="38"/>
        <v/>
      </c>
      <c r="M344" s="3" t="s">
        <v>238</v>
      </c>
      <c r="N344" s="3" t="s">
        <v>238</v>
      </c>
      <c r="O344" s="3" t="s">
        <v>238</v>
      </c>
    </row>
    <row r="345" spans="1:15" x14ac:dyDescent="0.2">
      <c r="A345" s="3" t="str">
        <f>+VLOOKUP(B345,studies!$A$2:$C$102,3)</f>
        <v>Nordhaus (2008)</v>
      </c>
      <c r="B345" s="87">
        <v>52</v>
      </c>
      <c r="C345" s="3">
        <v>42.395427353588467</v>
      </c>
      <c r="D345" s="90" t="str">
        <f t="shared" si="35"/>
        <v/>
      </c>
      <c r="K345" s="98" t="str">
        <f t="shared" si="37"/>
        <v/>
      </c>
      <c r="L345" s="98" t="str">
        <f t="shared" si="38"/>
        <v/>
      </c>
      <c r="M345" s="3" t="s">
        <v>238</v>
      </c>
      <c r="N345" s="3" t="s">
        <v>238</v>
      </c>
      <c r="O345" s="3" t="s">
        <v>238</v>
      </c>
    </row>
    <row r="346" spans="1:15" x14ac:dyDescent="0.2">
      <c r="A346" s="3" t="str">
        <f>+VLOOKUP(B346,studies!$A$2:$C$102,3)</f>
        <v>Anthoff et al. (2009a)</v>
      </c>
      <c r="B346" s="87">
        <v>53</v>
      </c>
      <c r="C346" s="3">
        <v>83.885473996294053</v>
      </c>
      <c r="D346" s="90" t="str">
        <f t="shared" si="35"/>
        <v>Anthoff et al. (2009a)</v>
      </c>
      <c r="E346" s="90">
        <f>+PERCENTILE($C346:$C378,E$2)</f>
        <v>-9.2390760624148918</v>
      </c>
      <c r="F346" s="90">
        <f t="shared" ref="F346:I346" si="41">+PERCENTILE($C346:$C378,F$2)</f>
        <v>-4.336028476945617</v>
      </c>
      <c r="G346" s="98">
        <f t="shared" si="41"/>
        <v>20.345979776437126</v>
      </c>
      <c r="H346" s="90">
        <f t="shared" si="41"/>
        <v>43.860595747565284</v>
      </c>
      <c r="I346" s="90">
        <f t="shared" si="41"/>
        <v>148.32552797674731</v>
      </c>
      <c r="J346" s="98">
        <f>+STDEV($C346:$C378)</f>
        <v>58.589391778817202</v>
      </c>
      <c r="K346" s="98">
        <f t="shared" si="37"/>
        <v>15.094416244312255</v>
      </c>
      <c r="L346" s="98">
        <f t="shared" si="38"/>
        <v>65.295687857301118</v>
      </c>
      <c r="M346" s="3" t="s">
        <v>238</v>
      </c>
      <c r="N346" s="3" t="s">
        <v>238</v>
      </c>
      <c r="O346" s="3" t="s">
        <v>238</v>
      </c>
    </row>
    <row r="347" spans="1:15" x14ac:dyDescent="0.2">
      <c r="A347" s="3" t="str">
        <f>+VLOOKUP(B347,studies!$A$2:$C$102,3)</f>
        <v>Anthoff et al. (2009a)</v>
      </c>
      <c r="B347" s="87">
        <v>53</v>
      </c>
      <c r="C347" s="3">
        <v>14.675788691200552</v>
      </c>
      <c r="D347" s="90" t="str">
        <f t="shared" si="35"/>
        <v/>
      </c>
      <c r="K347" s="98" t="str">
        <f t="shared" si="37"/>
        <v/>
      </c>
      <c r="L347" s="98" t="str">
        <f t="shared" si="38"/>
        <v/>
      </c>
      <c r="M347" s="3" t="s">
        <v>238</v>
      </c>
      <c r="N347" s="3" t="s">
        <v>238</v>
      </c>
      <c r="O347" s="3" t="s">
        <v>238</v>
      </c>
    </row>
    <row r="348" spans="1:15" x14ac:dyDescent="0.2">
      <c r="A348" s="3" t="str">
        <f>+VLOOKUP(B348,studies!$A$2:$C$102,3)</f>
        <v>Anthoff et al. (2009a)</v>
      </c>
      <c r="B348" s="87">
        <v>53</v>
      </c>
      <c r="C348" s="3">
        <v>-9.8394492361458248</v>
      </c>
      <c r="D348" s="90" t="str">
        <f t="shared" si="35"/>
        <v/>
      </c>
      <c r="K348" s="98" t="str">
        <f t="shared" si="37"/>
        <v/>
      </c>
      <c r="L348" s="98" t="str">
        <f t="shared" si="38"/>
        <v/>
      </c>
      <c r="M348" s="3" t="s">
        <v>238</v>
      </c>
      <c r="N348" s="3" t="s">
        <v>238</v>
      </c>
      <c r="O348" s="3" t="s">
        <v>238</v>
      </c>
    </row>
    <row r="349" spans="1:15" x14ac:dyDescent="0.2">
      <c r="A349" s="3" t="str">
        <f>+VLOOKUP(B349,studies!$A$2:$C$102,3)</f>
        <v>Anthoff et al. (2009a)</v>
      </c>
      <c r="B349" s="87">
        <v>53</v>
      </c>
      <c r="C349" s="3">
        <v>123.24327094087735</v>
      </c>
      <c r="D349" s="90" t="str">
        <f t="shared" si="35"/>
        <v/>
      </c>
      <c r="K349" s="98" t="str">
        <f t="shared" si="37"/>
        <v/>
      </c>
      <c r="L349" s="98" t="str">
        <f t="shared" si="38"/>
        <v/>
      </c>
      <c r="M349" s="3" t="s">
        <v>238</v>
      </c>
      <c r="N349" s="3" t="s">
        <v>238</v>
      </c>
      <c r="O349" s="3" t="s">
        <v>238</v>
      </c>
    </row>
    <row r="350" spans="1:15" x14ac:dyDescent="0.2">
      <c r="A350" s="3" t="str">
        <f>+VLOOKUP(B350,studies!$A$2:$C$102,3)</f>
        <v>Anthoff et al. (2009a)</v>
      </c>
      <c r="B350" s="87">
        <v>53</v>
      </c>
      <c r="C350" s="3">
        <v>43.860595747565284</v>
      </c>
      <c r="D350" s="90" t="str">
        <f t="shared" si="35"/>
        <v/>
      </c>
      <c r="K350" s="98" t="str">
        <f t="shared" si="37"/>
        <v/>
      </c>
      <c r="L350" s="98" t="str">
        <f t="shared" si="38"/>
        <v/>
      </c>
      <c r="M350" s="3" t="s">
        <v>238</v>
      </c>
      <c r="N350" s="3" t="s">
        <v>238</v>
      </c>
      <c r="O350" s="3" t="s">
        <v>238</v>
      </c>
    </row>
    <row r="351" spans="1:15" x14ac:dyDescent="0.2">
      <c r="A351" s="3" t="str">
        <f>+VLOOKUP(B351,studies!$A$2:$C$102,3)</f>
        <v>Anthoff et al. (2009a)</v>
      </c>
      <c r="B351" s="87">
        <v>53</v>
      </c>
      <c r="C351" s="3">
        <v>185.94891353055243</v>
      </c>
      <c r="D351" s="90" t="str">
        <f t="shared" si="35"/>
        <v/>
      </c>
      <c r="K351" s="98" t="str">
        <f t="shared" si="37"/>
        <v/>
      </c>
      <c r="L351" s="98" t="str">
        <f t="shared" si="38"/>
        <v/>
      </c>
      <c r="M351" s="3" t="s">
        <v>238</v>
      </c>
      <c r="N351" s="3" t="s">
        <v>238</v>
      </c>
      <c r="O351" s="3" t="s">
        <v>238</v>
      </c>
    </row>
    <row r="352" spans="1:15" x14ac:dyDescent="0.2">
      <c r="A352" s="3" t="str">
        <f>+VLOOKUP(B352,studies!$A$2:$C$102,3)</f>
        <v>Anthoff et al. (2009a)</v>
      </c>
      <c r="B352" s="87">
        <v>53</v>
      </c>
      <c r="C352" s="3">
        <v>21.846912710764457</v>
      </c>
      <c r="D352" s="90" t="str">
        <f t="shared" si="35"/>
        <v/>
      </c>
      <c r="K352" s="98" t="str">
        <f t="shared" si="37"/>
        <v/>
      </c>
      <c r="L352" s="98" t="str">
        <f t="shared" si="38"/>
        <v/>
      </c>
      <c r="M352" s="3" t="s">
        <v>238</v>
      </c>
      <c r="N352" s="3" t="s">
        <v>238</v>
      </c>
      <c r="O352" s="3" t="s">
        <v>238</v>
      </c>
    </row>
    <row r="353" spans="1:15" x14ac:dyDescent="0.2">
      <c r="A353" s="3" t="str">
        <f>+VLOOKUP(B353,studies!$A$2:$C$102,3)</f>
        <v>Anthoff et al. (2009a)</v>
      </c>
      <c r="B353" s="87">
        <v>53</v>
      </c>
      <c r="C353" s="3">
        <v>116.40568757338617</v>
      </c>
      <c r="D353" s="90" t="str">
        <f t="shared" si="35"/>
        <v/>
      </c>
      <c r="K353" s="98" t="str">
        <f t="shared" si="37"/>
        <v/>
      </c>
      <c r="L353" s="98" t="str">
        <f t="shared" si="38"/>
        <v/>
      </c>
      <c r="M353" s="3" t="s">
        <v>238</v>
      </c>
      <c r="N353" s="3" t="s">
        <v>238</v>
      </c>
      <c r="O353" s="3" t="s">
        <v>238</v>
      </c>
    </row>
    <row r="354" spans="1:15" x14ac:dyDescent="0.2">
      <c r="A354" s="3" t="str">
        <f>+VLOOKUP(B354,studies!$A$2:$C$102,3)</f>
        <v>Anthoff et al. (2009a)</v>
      </c>
      <c r="B354" s="87">
        <v>53</v>
      </c>
      <c r="C354" s="3">
        <v>25.015548905455482</v>
      </c>
      <c r="D354" s="90" t="str">
        <f t="shared" si="35"/>
        <v/>
      </c>
      <c r="K354" s="98" t="str">
        <f t="shared" si="37"/>
        <v/>
      </c>
      <c r="L354" s="98" t="str">
        <f t="shared" si="38"/>
        <v/>
      </c>
      <c r="M354" s="3" t="s">
        <v>238</v>
      </c>
      <c r="N354" s="3" t="s">
        <v>238</v>
      </c>
      <c r="O354" s="3" t="s">
        <v>238</v>
      </c>
    </row>
    <row r="355" spans="1:15" x14ac:dyDescent="0.2">
      <c r="A355" s="3" t="str">
        <f>+VLOOKUP(B355,studies!$A$2:$C$102,3)</f>
        <v>Anthoff et al. (2009a)</v>
      </c>
      <c r="B355" s="87">
        <v>53</v>
      </c>
      <c r="C355" s="3">
        <v>5.836961411272946</v>
      </c>
      <c r="D355" s="90" t="str">
        <f t="shared" si="35"/>
        <v/>
      </c>
      <c r="K355" s="98" t="str">
        <f t="shared" si="37"/>
        <v/>
      </c>
      <c r="L355" s="98" t="str">
        <f t="shared" si="38"/>
        <v/>
      </c>
      <c r="M355" s="3" t="s">
        <v>238</v>
      </c>
      <c r="N355" s="3" t="s">
        <v>238</v>
      </c>
      <c r="O355" s="3" t="s">
        <v>238</v>
      </c>
    </row>
    <row r="356" spans="1:15" x14ac:dyDescent="0.2">
      <c r="A356" s="3" t="str">
        <f>+VLOOKUP(B356,studies!$A$2:$C$102,3)</f>
        <v>Anthoff et al. (2009a)</v>
      </c>
      <c r="B356" s="87">
        <v>53</v>
      </c>
      <c r="C356" s="3">
        <v>36.355931075928638</v>
      </c>
      <c r="D356" s="90" t="str">
        <f t="shared" si="35"/>
        <v/>
      </c>
      <c r="K356" s="98" t="str">
        <f t="shared" si="37"/>
        <v/>
      </c>
      <c r="L356" s="98" t="str">
        <f t="shared" si="38"/>
        <v/>
      </c>
      <c r="M356" s="3" t="s">
        <v>238</v>
      </c>
      <c r="N356" s="3" t="s">
        <v>238</v>
      </c>
      <c r="O356" s="3" t="s">
        <v>238</v>
      </c>
    </row>
    <row r="357" spans="1:15" x14ac:dyDescent="0.2">
      <c r="A357" s="3" t="str">
        <f>+VLOOKUP(B357,studies!$A$2:$C$102,3)</f>
        <v>Anthoff et al. (2009a)</v>
      </c>
      <c r="B357" s="87">
        <v>53</v>
      </c>
      <c r="C357" s="3">
        <v>-2.6683252165819185</v>
      </c>
      <c r="D357" s="90" t="str">
        <f t="shared" si="35"/>
        <v/>
      </c>
      <c r="K357" s="98" t="str">
        <f t="shared" si="37"/>
        <v/>
      </c>
      <c r="L357" s="98" t="str">
        <f t="shared" si="38"/>
        <v/>
      </c>
      <c r="M357" s="3" t="s">
        <v>238</v>
      </c>
      <c r="N357" s="3" t="s">
        <v>238</v>
      </c>
      <c r="O357" s="3" t="s">
        <v>238</v>
      </c>
    </row>
    <row r="358" spans="1:15" x14ac:dyDescent="0.2">
      <c r="A358" s="3" t="str">
        <f>+VLOOKUP(B358,studies!$A$2:$C$102,3)</f>
        <v>Anthoff et al. (2009a)</v>
      </c>
      <c r="B358" s="87">
        <v>53</v>
      </c>
      <c r="C358" s="3">
        <v>21.179831406618973</v>
      </c>
      <c r="D358" s="90" t="str">
        <f t="shared" si="35"/>
        <v/>
      </c>
      <c r="K358" s="98" t="str">
        <f t="shared" si="37"/>
        <v/>
      </c>
      <c r="L358" s="98" t="str">
        <f t="shared" si="38"/>
        <v/>
      </c>
      <c r="M358" s="3" t="s">
        <v>238</v>
      </c>
      <c r="N358" s="3" t="s">
        <v>238</v>
      </c>
      <c r="O358" s="3" t="s">
        <v>238</v>
      </c>
    </row>
    <row r="359" spans="1:15" x14ac:dyDescent="0.2">
      <c r="A359" s="3" t="str">
        <f>+VLOOKUP(B359,studies!$A$2:$C$102,3)</f>
        <v>Anthoff et al. (2009a)</v>
      </c>
      <c r="B359" s="87">
        <v>53</v>
      </c>
      <c r="C359" s="3">
        <v>-4.336028476945617</v>
      </c>
      <c r="D359" s="90" t="str">
        <f t="shared" si="35"/>
        <v/>
      </c>
      <c r="K359" s="98" t="str">
        <f t="shared" si="37"/>
        <v/>
      </c>
      <c r="L359" s="98" t="str">
        <f t="shared" si="38"/>
        <v/>
      </c>
      <c r="M359" s="3" t="s">
        <v>238</v>
      </c>
      <c r="N359" s="3" t="s">
        <v>238</v>
      </c>
      <c r="O359" s="3" t="s">
        <v>238</v>
      </c>
    </row>
    <row r="360" spans="1:15" x14ac:dyDescent="0.2">
      <c r="A360" s="3" t="str">
        <f>+VLOOKUP(B360,studies!$A$2:$C$102,3)</f>
        <v>Anthoff et al. (2009a)</v>
      </c>
      <c r="B360" s="87">
        <v>53</v>
      </c>
      <c r="C360" s="3">
        <v>-6.3372723893820551</v>
      </c>
      <c r="D360" s="90" t="str">
        <f t="shared" si="35"/>
        <v/>
      </c>
      <c r="K360" s="98" t="str">
        <f t="shared" si="37"/>
        <v/>
      </c>
      <c r="L360" s="98" t="str">
        <f t="shared" si="38"/>
        <v/>
      </c>
      <c r="M360" s="3" t="s">
        <v>238</v>
      </c>
      <c r="N360" s="3" t="s">
        <v>238</v>
      </c>
      <c r="O360" s="3" t="s">
        <v>238</v>
      </c>
    </row>
    <row r="361" spans="1:15" x14ac:dyDescent="0.2">
      <c r="A361" s="3" t="str">
        <f>+VLOOKUP(B361,studies!$A$2:$C$102,3)</f>
        <v>Anthoff et al. (2009a)</v>
      </c>
      <c r="B361" s="87">
        <v>53</v>
      </c>
      <c r="C361" s="3">
        <v>-4.002487824872877</v>
      </c>
      <c r="D361" s="90" t="str">
        <f t="shared" si="35"/>
        <v/>
      </c>
      <c r="K361" s="98" t="str">
        <f t="shared" si="37"/>
        <v/>
      </c>
      <c r="L361" s="98" t="str">
        <f t="shared" si="38"/>
        <v/>
      </c>
      <c r="M361" s="3" t="s">
        <v>238</v>
      </c>
      <c r="N361" s="3" t="s">
        <v>238</v>
      </c>
      <c r="O361" s="3" t="s">
        <v>238</v>
      </c>
    </row>
    <row r="362" spans="1:15" x14ac:dyDescent="0.2">
      <c r="A362" s="3" t="str">
        <f>+VLOOKUP(B362,studies!$A$2:$C$102,3)</f>
        <v>Anthoff et al. (2009a)</v>
      </c>
      <c r="B362" s="87">
        <v>53</v>
      </c>
      <c r="C362" s="3">
        <v>-8.8388272799276031</v>
      </c>
      <c r="D362" s="90" t="str">
        <f t="shared" si="35"/>
        <v/>
      </c>
      <c r="K362" s="98" t="str">
        <f t="shared" si="37"/>
        <v/>
      </c>
      <c r="L362" s="98" t="str">
        <f t="shared" si="38"/>
        <v/>
      </c>
      <c r="M362" s="3" t="s">
        <v>238</v>
      </c>
      <c r="N362" s="3" t="s">
        <v>238</v>
      </c>
      <c r="O362" s="3" t="s">
        <v>238</v>
      </c>
    </row>
    <row r="363" spans="1:15" x14ac:dyDescent="0.2">
      <c r="A363" s="3" t="str">
        <f>+VLOOKUP(B363,studies!$A$2:$C$102,3)</f>
        <v>Anthoff et al. (2009a)</v>
      </c>
      <c r="B363" s="87">
        <v>53</v>
      </c>
      <c r="C363" s="3">
        <v>-5.1698801071274669</v>
      </c>
      <c r="D363" s="90" t="str">
        <f t="shared" si="35"/>
        <v/>
      </c>
      <c r="K363" s="98" t="str">
        <f t="shared" si="37"/>
        <v/>
      </c>
      <c r="L363" s="98" t="str">
        <f t="shared" si="38"/>
        <v/>
      </c>
      <c r="M363" s="3" t="s">
        <v>238</v>
      </c>
      <c r="N363" s="3" t="s">
        <v>238</v>
      </c>
      <c r="O363" s="3" t="s">
        <v>238</v>
      </c>
    </row>
    <row r="364" spans="1:15" x14ac:dyDescent="0.2">
      <c r="A364" s="3" t="str">
        <f>+VLOOKUP(B364,studies!$A$2:$C$102,3)</f>
        <v>Anthoff et al. (2009a)</v>
      </c>
      <c r="B364" s="87">
        <v>53</v>
      </c>
      <c r="C364" s="3">
        <v>122.57618963673187</v>
      </c>
      <c r="D364" s="90" t="str">
        <f t="shared" si="35"/>
        <v/>
      </c>
      <c r="K364" s="98" t="str">
        <f t="shared" si="37"/>
        <v/>
      </c>
      <c r="L364" s="98" t="str">
        <f t="shared" si="38"/>
        <v/>
      </c>
      <c r="M364" s="3" t="s">
        <v>238</v>
      </c>
      <c r="N364" s="3" t="s">
        <v>238</v>
      </c>
      <c r="O364" s="3" t="s">
        <v>238</v>
      </c>
    </row>
    <row r="365" spans="1:15" x14ac:dyDescent="0.2">
      <c r="A365" s="3" t="str">
        <f>+VLOOKUP(B365,studies!$A$2:$C$102,3)</f>
        <v>Anthoff et al. (2009a)</v>
      </c>
      <c r="B365" s="87">
        <v>53</v>
      </c>
      <c r="C365" s="3">
        <v>43.693825421528913</v>
      </c>
      <c r="D365" s="90" t="str">
        <f t="shared" si="35"/>
        <v/>
      </c>
      <c r="K365" s="98" t="str">
        <f t="shared" si="37"/>
        <v/>
      </c>
      <c r="L365" s="98" t="str">
        <f t="shared" si="38"/>
        <v/>
      </c>
      <c r="M365" s="3" t="s">
        <v>238</v>
      </c>
      <c r="N365" s="3" t="s">
        <v>238</v>
      </c>
      <c r="O365" s="3" t="s">
        <v>238</v>
      </c>
    </row>
    <row r="366" spans="1:15" x14ac:dyDescent="0.2">
      <c r="A366" s="3" t="str">
        <f>+VLOOKUP(B366,studies!$A$2:$C$102,3)</f>
        <v>Anthoff et al. (2009a)</v>
      </c>
      <c r="B366" s="87">
        <v>53</v>
      </c>
      <c r="C366" s="3">
        <v>214.46663928277167</v>
      </c>
      <c r="D366" s="90" t="str">
        <f t="shared" si="35"/>
        <v/>
      </c>
      <c r="K366" s="98" t="str">
        <f t="shared" si="37"/>
        <v/>
      </c>
      <c r="L366" s="98" t="str">
        <f t="shared" si="38"/>
        <v/>
      </c>
      <c r="M366" s="3" t="s">
        <v>238</v>
      </c>
      <c r="N366" s="3" t="s">
        <v>238</v>
      </c>
      <c r="O366" s="3" t="s">
        <v>238</v>
      </c>
    </row>
    <row r="367" spans="1:15" x14ac:dyDescent="0.2">
      <c r="A367" s="3" t="str">
        <f>+VLOOKUP(B367,studies!$A$2:$C$102,3)</f>
        <v>Anthoff et al. (2009a)</v>
      </c>
      <c r="B367" s="87">
        <v>53</v>
      </c>
      <c r="C367" s="3">
        <v>20.345979776437126</v>
      </c>
      <c r="D367" s="90" t="str">
        <f t="shared" si="35"/>
        <v/>
      </c>
      <c r="K367" s="98" t="str">
        <f t="shared" si="37"/>
        <v/>
      </c>
      <c r="L367" s="98" t="str">
        <f t="shared" si="38"/>
        <v/>
      </c>
      <c r="M367" s="3" t="s">
        <v>238</v>
      </c>
      <c r="N367" s="3" t="s">
        <v>238</v>
      </c>
      <c r="O367" s="3" t="s">
        <v>238</v>
      </c>
    </row>
    <row r="368" spans="1:15" x14ac:dyDescent="0.2">
      <c r="A368" s="3" t="str">
        <f>+VLOOKUP(B368,studies!$A$2:$C$102,3)</f>
        <v>Anthoff et al. (2009a)</v>
      </c>
      <c r="B368" s="87">
        <v>53</v>
      </c>
      <c r="C368" s="3">
        <v>108.23394159760407</v>
      </c>
      <c r="D368" s="90" t="str">
        <f t="shared" si="35"/>
        <v/>
      </c>
      <c r="K368" s="98" t="str">
        <f t="shared" si="37"/>
        <v/>
      </c>
      <c r="L368" s="98" t="str">
        <f t="shared" si="38"/>
        <v/>
      </c>
      <c r="M368" s="3" t="s">
        <v>238</v>
      </c>
      <c r="N368" s="3" t="s">
        <v>238</v>
      </c>
      <c r="O368" s="3" t="s">
        <v>238</v>
      </c>
    </row>
    <row r="369" spans="1:15" x14ac:dyDescent="0.2">
      <c r="A369" s="3" t="str">
        <f>+VLOOKUP(B369,studies!$A$2:$C$102,3)</f>
        <v>Anthoff et al. (2009a)</v>
      </c>
      <c r="B369" s="87">
        <v>53</v>
      </c>
      <c r="C369" s="3">
        <v>28.517725752219253</v>
      </c>
      <c r="D369" s="90" t="str">
        <f t="shared" si="35"/>
        <v/>
      </c>
      <c r="K369" s="98" t="str">
        <f t="shared" si="37"/>
        <v/>
      </c>
      <c r="L369" s="98" t="str">
        <f t="shared" si="38"/>
        <v/>
      </c>
      <c r="M369" s="3" t="s">
        <v>238</v>
      </c>
      <c r="N369" s="3" t="s">
        <v>238</v>
      </c>
      <c r="O369" s="3" t="s">
        <v>238</v>
      </c>
    </row>
    <row r="370" spans="1:15" x14ac:dyDescent="0.2">
      <c r="A370" s="3" t="str">
        <f>+VLOOKUP(B370,studies!$A$2:$C$102,3)</f>
        <v>Anthoff et al. (2009a)</v>
      </c>
      <c r="B370" s="87">
        <v>53</v>
      </c>
      <c r="C370" s="3">
        <v>5.670191085236576</v>
      </c>
      <c r="D370" s="90" t="str">
        <f t="shared" si="35"/>
        <v/>
      </c>
      <c r="K370" s="98" t="str">
        <f t="shared" si="37"/>
        <v/>
      </c>
      <c r="L370" s="98" t="str">
        <f t="shared" si="38"/>
        <v/>
      </c>
      <c r="M370" s="3" t="s">
        <v>238</v>
      </c>
      <c r="N370" s="3" t="s">
        <v>238</v>
      </c>
      <c r="O370" s="3" t="s">
        <v>238</v>
      </c>
    </row>
    <row r="371" spans="1:15" x14ac:dyDescent="0.2">
      <c r="A371" s="3" t="str">
        <f>+VLOOKUP(B371,studies!$A$2:$C$102,3)</f>
        <v>Anthoff et al. (2009a)</v>
      </c>
      <c r="B371" s="87">
        <v>53</v>
      </c>
      <c r="C371" s="3">
        <v>46.028609986038092</v>
      </c>
      <c r="D371" s="90" t="str">
        <f t="shared" si="35"/>
        <v/>
      </c>
      <c r="K371" s="98" t="str">
        <f t="shared" si="37"/>
        <v/>
      </c>
      <c r="L371" s="98" t="str">
        <f t="shared" si="38"/>
        <v/>
      </c>
      <c r="M371" s="3" t="s">
        <v>238</v>
      </c>
      <c r="N371" s="3" t="s">
        <v>238</v>
      </c>
      <c r="O371" s="3" t="s">
        <v>238</v>
      </c>
    </row>
    <row r="372" spans="1:15" x14ac:dyDescent="0.2">
      <c r="A372" s="3" t="str">
        <f>+VLOOKUP(B372,studies!$A$2:$C$102,3)</f>
        <v>Anthoff et al. (2009a)</v>
      </c>
      <c r="B372" s="87">
        <v>53</v>
      </c>
      <c r="C372" s="3">
        <v>-3.835717498836507</v>
      </c>
      <c r="D372" s="90" t="str">
        <f t="shared" si="35"/>
        <v/>
      </c>
      <c r="K372" s="98" t="str">
        <f t="shared" si="37"/>
        <v/>
      </c>
      <c r="L372" s="98" t="str">
        <f t="shared" si="38"/>
        <v/>
      </c>
      <c r="M372" s="3" t="s">
        <v>238</v>
      </c>
      <c r="N372" s="3" t="s">
        <v>238</v>
      </c>
      <c r="O372" s="3" t="s">
        <v>238</v>
      </c>
    </row>
    <row r="373" spans="1:15" x14ac:dyDescent="0.2">
      <c r="A373" s="3" t="str">
        <f>+VLOOKUP(B373,studies!$A$2:$C$102,3)</f>
        <v>Anthoff et al. (2009a)</v>
      </c>
      <c r="B373" s="87">
        <v>53</v>
      </c>
      <c r="C373" s="3">
        <v>21.179831406618973</v>
      </c>
      <c r="D373" s="90" t="str">
        <f t="shared" si="35"/>
        <v/>
      </c>
      <c r="K373" s="98" t="str">
        <f t="shared" si="37"/>
        <v/>
      </c>
      <c r="L373" s="98" t="str">
        <f t="shared" si="38"/>
        <v/>
      </c>
      <c r="M373" s="3" t="s">
        <v>238</v>
      </c>
      <c r="N373" s="3" t="s">
        <v>238</v>
      </c>
      <c r="O373" s="3" t="s">
        <v>238</v>
      </c>
    </row>
    <row r="374" spans="1:15" x14ac:dyDescent="0.2">
      <c r="A374" s="3" t="str">
        <f>+VLOOKUP(B374,studies!$A$2:$C$102,3)</f>
        <v>Anthoff et al. (2009a)</v>
      </c>
      <c r="B374" s="87">
        <v>53</v>
      </c>
      <c r="C374" s="3">
        <v>-4.836339455054727</v>
      </c>
      <c r="D374" s="90" t="str">
        <f t="shared" si="35"/>
        <v/>
      </c>
      <c r="K374" s="98" t="str">
        <f t="shared" si="37"/>
        <v/>
      </c>
      <c r="L374" s="98" t="str">
        <f t="shared" si="38"/>
        <v/>
      </c>
      <c r="M374" s="3" t="s">
        <v>238</v>
      </c>
      <c r="N374" s="3" t="s">
        <v>238</v>
      </c>
      <c r="O374" s="3" t="s">
        <v>238</v>
      </c>
    </row>
    <row r="375" spans="1:15" x14ac:dyDescent="0.2">
      <c r="A375" s="3" t="str">
        <f>+VLOOKUP(B375,studies!$A$2:$C$102,3)</f>
        <v>Anthoff et al. (2009a)</v>
      </c>
      <c r="B375" s="87">
        <v>53</v>
      </c>
      <c r="C375" s="3">
        <v>-7.504664671636645</v>
      </c>
      <c r="D375" s="90" t="str">
        <f t="shared" si="35"/>
        <v/>
      </c>
      <c r="K375" s="98" t="str">
        <f t="shared" si="37"/>
        <v/>
      </c>
      <c r="L375" s="98" t="str">
        <f t="shared" si="38"/>
        <v/>
      </c>
      <c r="M375" s="3" t="s">
        <v>238</v>
      </c>
      <c r="N375" s="3" t="s">
        <v>238</v>
      </c>
      <c r="O375" s="3" t="s">
        <v>238</v>
      </c>
    </row>
    <row r="376" spans="1:15" x14ac:dyDescent="0.2">
      <c r="A376" s="3" t="str">
        <f>+VLOOKUP(B376,studies!$A$2:$C$102,3)</f>
        <v>Anthoff et al. (2009a)</v>
      </c>
      <c r="B376" s="87">
        <v>53</v>
      </c>
      <c r="C376" s="3">
        <v>-3.1686361946910275</v>
      </c>
      <c r="D376" s="90" t="str">
        <f t="shared" si="35"/>
        <v/>
      </c>
      <c r="K376" s="98" t="str">
        <f t="shared" si="37"/>
        <v/>
      </c>
      <c r="L376" s="98" t="str">
        <f t="shared" si="38"/>
        <v/>
      </c>
      <c r="M376" s="3" t="s">
        <v>238</v>
      </c>
      <c r="N376" s="3" t="s">
        <v>238</v>
      </c>
      <c r="O376" s="3" t="s">
        <v>238</v>
      </c>
    </row>
    <row r="377" spans="1:15" x14ac:dyDescent="0.2">
      <c r="A377" s="3" t="str">
        <f>+VLOOKUP(B377,studies!$A$2:$C$102,3)</f>
        <v>Anthoff et al. (2009a)</v>
      </c>
      <c r="B377" s="87">
        <v>53</v>
      </c>
      <c r="C377" s="3">
        <v>-11.006841518400412</v>
      </c>
      <c r="D377" s="90" t="str">
        <f t="shared" si="35"/>
        <v/>
      </c>
      <c r="K377" s="98" t="str">
        <f t="shared" si="37"/>
        <v/>
      </c>
      <c r="L377" s="98" t="str">
        <f t="shared" si="38"/>
        <v/>
      </c>
      <c r="M377" s="3" t="s">
        <v>238</v>
      </c>
      <c r="N377" s="3" t="s">
        <v>238</v>
      </c>
      <c r="O377" s="3" t="s">
        <v>238</v>
      </c>
    </row>
    <row r="378" spans="1:15" x14ac:dyDescent="0.2">
      <c r="A378" s="3" t="str">
        <f>+VLOOKUP(B378,studies!$A$2:$C$102,3)</f>
        <v>Anthoff et al. (2009a)</v>
      </c>
      <c r="B378" s="87">
        <v>53</v>
      </c>
      <c r="C378" s="3">
        <v>-4.836339455054727</v>
      </c>
      <c r="D378" s="90" t="str">
        <f t="shared" si="35"/>
        <v/>
      </c>
      <c r="K378" s="98" t="str">
        <f t="shared" si="37"/>
        <v/>
      </c>
      <c r="L378" s="98" t="str">
        <f t="shared" si="38"/>
        <v/>
      </c>
      <c r="M378" s="3" t="s">
        <v>238</v>
      </c>
      <c r="N378" s="3" t="s">
        <v>238</v>
      </c>
      <c r="O378" s="3" t="s">
        <v>238</v>
      </c>
    </row>
    <row r="379" spans="1:15" x14ac:dyDescent="0.2">
      <c r="A379" s="3" t="str">
        <f>+VLOOKUP(B379,studies!$A$2:$C$102,3)</f>
        <v>Anthoff et al. (2009b)</v>
      </c>
      <c r="B379" s="87">
        <v>54</v>
      </c>
      <c r="C379" s="3">
        <v>-3.1352821294837536</v>
      </c>
      <c r="D379" s="90" t="str">
        <f t="shared" si="35"/>
        <v>Anthoff et al. (2009b)</v>
      </c>
      <c r="E379" s="90">
        <f>+PERCENTILE($C379:$C382,E$2)</f>
        <v>-2.752544231230285</v>
      </c>
      <c r="F379" s="90">
        <f t="shared" ref="F379:I379" si="42">+PERCENTILE($C379:$C382,F$2)</f>
        <v>-1.2215926382164093</v>
      </c>
      <c r="G379" s="98">
        <f t="shared" si="42"/>
        <v>7.1794625358657242</v>
      </c>
      <c r="H379" s="90">
        <f t="shared" si="42"/>
        <v>29.697625808926571</v>
      </c>
      <c r="I379" s="90">
        <f t="shared" si="42"/>
        <v>65.10963683948934</v>
      </c>
      <c r="J379" s="98">
        <f>+STDEV($C379:$C382)</f>
        <v>36.00809629737401</v>
      </c>
      <c r="K379" s="98">
        <f t="shared" si="37"/>
        <v>5.0673503913755154</v>
      </c>
      <c r="L379" s="98">
        <f t="shared" si="38"/>
        <v>29.556211379399805</v>
      </c>
      <c r="M379" s="3">
        <v>3.6689471728001379</v>
      </c>
      <c r="N379" s="3">
        <v>3.6689471728001379</v>
      </c>
      <c r="O379" s="3">
        <v>3.6689471728001379</v>
      </c>
    </row>
    <row r="380" spans="1:15" x14ac:dyDescent="0.2">
      <c r="A380" s="3" t="str">
        <f>+VLOOKUP(B380,studies!$A$2:$C$102,3)</f>
        <v>Anthoff et al. (2009b)</v>
      </c>
      <c r="B380" s="87">
        <v>54</v>
      </c>
      <c r="C380" s="3">
        <v>-0.58369614112729462</v>
      </c>
      <c r="D380" s="90" t="str">
        <f t="shared" si="35"/>
        <v/>
      </c>
      <c r="K380" s="98" t="str">
        <f t="shared" si="37"/>
        <v/>
      </c>
      <c r="L380" s="98" t="str">
        <f t="shared" si="38"/>
        <v/>
      </c>
      <c r="M380" s="3">
        <v>8.0883608127639377</v>
      </c>
      <c r="N380" s="3">
        <v>8.0883608127639377</v>
      </c>
      <c r="O380" s="3">
        <v>8.0883608127639377</v>
      </c>
    </row>
    <row r="381" spans="1:15" x14ac:dyDescent="0.2">
      <c r="A381" s="3" t="str">
        <f>+VLOOKUP(B381,studies!$A$2:$C$102,3)</f>
        <v>Anthoff et al. (2009b)</v>
      </c>
      <c r="B381" s="87">
        <v>54</v>
      </c>
      <c r="C381" s="3">
        <v>14.942621212858743</v>
      </c>
      <c r="D381" s="90" t="str">
        <f t="shared" si="35"/>
        <v/>
      </c>
      <c r="K381" s="98" t="str">
        <f t="shared" si="37"/>
        <v/>
      </c>
      <c r="L381" s="98" t="str">
        <f t="shared" si="38"/>
        <v/>
      </c>
      <c r="M381" s="3">
        <v>11.473798431302248</v>
      </c>
      <c r="N381" s="3">
        <v>11.473798431302248</v>
      </c>
      <c r="O381" s="3">
        <v>11.473798431302248</v>
      </c>
    </row>
    <row r="382" spans="1:15" x14ac:dyDescent="0.2">
      <c r="A382" s="3" t="str">
        <f>+VLOOKUP(B382,studies!$A$2:$C$102,3)</f>
        <v>Anthoff et al. (2009b)</v>
      </c>
      <c r="B382" s="87">
        <v>54</v>
      </c>
      <c r="C382" s="3">
        <v>73.96263959713005</v>
      </c>
      <c r="D382" s="90" t="str">
        <f t="shared" si="35"/>
        <v/>
      </c>
      <c r="K382" s="98" t="str">
        <f t="shared" si="37"/>
        <v/>
      </c>
      <c r="L382" s="98" t="str">
        <f t="shared" si="38"/>
        <v/>
      </c>
      <c r="M382" s="3">
        <v>19.762283635309831</v>
      </c>
      <c r="N382" s="3">
        <v>19.762283635309831</v>
      </c>
      <c r="O382" s="3">
        <v>19.762283635309831</v>
      </c>
    </row>
    <row r="383" spans="1:15" x14ac:dyDescent="0.2">
      <c r="A383" s="3" t="str">
        <f>+VLOOKUP(B383,studies!$A$2:$C$102,3)</f>
        <v>Anthoff et al. (2009c)</v>
      </c>
      <c r="B383" s="87">
        <v>55</v>
      </c>
      <c r="C383" s="3">
        <v>-1.1673922822545892</v>
      </c>
      <c r="D383" s="90" t="str">
        <f t="shared" si="35"/>
        <v>Anthoff et al. (2009c)</v>
      </c>
      <c r="E383" s="90">
        <f>+PERCENTILE($C383:$C394,E$2)</f>
        <v>-0.89222124429457894</v>
      </c>
      <c r="F383" s="90">
        <f t="shared" ref="F383:I383" si="43">+PERCENTILE($C383:$C394,F$2)</f>
        <v>21.763527547746271</v>
      </c>
      <c r="G383" s="98">
        <f t="shared" si="43"/>
        <v>99.56188464371283</v>
      </c>
      <c r="H383" s="90">
        <f t="shared" si="43"/>
        <v>232.51952707620873</v>
      </c>
      <c r="I383" s="90">
        <f t="shared" si="43"/>
        <v>363.66771147121</v>
      </c>
      <c r="J383" s="98">
        <f>+STDEV($C383:$C394)</f>
        <v>142.59956608708623</v>
      </c>
      <c r="K383" s="98">
        <f t="shared" si="37"/>
        <v>51.252094840820106</v>
      </c>
      <c r="L383" s="98">
        <f t="shared" si="38"/>
        <v>134.74787083035568</v>
      </c>
      <c r="M383" s="3" t="s">
        <v>238</v>
      </c>
      <c r="N383" s="3" t="s">
        <v>238</v>
      </c>
      <c r="O383" s="3" t="s">
        <v>238</v>
      </c>
    </row>
    <row r="384" spans="1:15" x14ac:dyDescent="0.2">
      <c r="A384" s="3" t="str">
        <f>+VLOOKUP(B384,studies!$A$2:$C$102,3)</f>
        <v>Anthoff et al. (2009c)</v>
      </c>
      <c r="B384" s="87">
        <v>55</v>
      </c>
      <c r="C384" s="3">
        <v>21.013061080582606</v>
      </c>
      <c r="D384" s="90" t="str">
        <f t="shared" si="35"/>
        <v/>
      </c>
      <c r="K384" s="98" t="str">
        <f t="shared" si="37"/>
        <v/>
      </c>
      <c r="L384" s="98" t="str">
        <f t="shared" si="38"/>
        <v/>
      </c>
      <c r="M384" s="3" t="s">
        <v>238</v>
      </c>
      <c r="N384" s="3" t="s">
        <v>238</v>
      </c>
      <c r="O384" s="3" t="s">
        <v>238</v>
      </c>
    </row>
    <row r="385" spans="1:15" x14ac:dyDescent="0.2">
      <c r="A385" s="3" t="str">
        <f>+VLOOKUP(B385,studies!$A$2:$C$102,3)</f>
        <v>Anthoff et al. (2009c)</v>
      </c>
      <c r="B385" s="87">
        <v>55</v>
      </c>
      <c r="C385" s="3">
        <v>350.38445500241312</v>
      </c>
      <c r="D385" s="90" t="str">
        <f t="shared" si="35"/>
        <v/>
      </c>
      <c r="K385" s="98" t="str">
        <f t="shared" si="37"/>
        <v/>
      </c>
      <c r="L385" s="98" t="str">
        <f t="shared" si="38"/>
        <v/>
      </c>
      <c r="M385" s="3" t="s">
        <v>238</v>
      </c>
      <c r="N385" s="3" t="s">
        <v>238</v>
      </c>
      <c r="O385" s="3" t="s">
        <v>238</v>
      </c>
    </row>
    <row r="386" spans="1:15" x14ac:dyDescent="0.2">
      <c r="A386" s="3" t="str">
        <f>+VLOOKUP(B386,studies!$A$2:$C$102,3)</f>
        <v>Anthoff et al. (2009c)</v>
      </c>
      <c r="B386" s="87">
        <v>55</v>
      </c>
      <c r="C386" s="3">
        <v>102.73052083840385</v>
      </c>
      <c r="D386" s="90" t="str">
        <f t="shared" si="35"/>
        <v/>
      </c>
      <c r="K386" s="98" t="str">
        <f t="shared" si="37"/>
        <v/>
      </c>
      <c r="L386" s="98" t="str">
        <f t="shared" si="38"/>
        <v/>
      </c>
      <c r="M386" s="3" t="s">
        <v>238</v>
      </c>
      <c r="N386" s="3" t="s">
        <v>238</v>
      </c>
      <c r="O386" s="3" t="s">
        <v>238</v>
      </c>
    </row>
    <row r="387" spans="1:15" x14ac:dyDescent="0.2">
      <c r="A387" s="3" t="str">
        <f>+VLOOKUP(B387,studies!$A$2:$C$102,3)</f>
        <v>Anthoff et al. (2009c)</v>
      </c>
      <c r="B387" s="87">
        <v>55</v>
      </c>
      <c r="C387" s="3">
        <v>67.875522696802548</v>
      </c>
      <c r="D387" s="90" t="str">
        <f t="shared" si="35"/>
        <v/>
      </c>
      <c r="K387" s="98" t="str">
        <f t="shared" si="37"/>
        <v/>
      </c>
      <c r="L387" s="98" t="str">
        <f t="shared" si="38"/>
        <v/>
      </c>
      <c r="M387" s="3" t="s">
        <v>238</v>
      </c>
      <c r="N387" s="3" t="s">
        <v>238</v>
      </c>
      <c r="O387" s="3" t="s">
        <v>238</v>
      </c>
    </row>
    <row r="388" spans="1:15" x14ac:dyDescent="0.2">
      <c r="A388" s="3" t="str">
        <f>+VLOOKUP(B388,studies!$A$2:$C$102,3)</f>
        <v>Anthoff et al. (2009c)</v>
      </c>
      <c r="B388" s="87">
        <v>55</v>
      </c>
      <c r="C388" s="3">
        <v>97.894181383349135</v>
      </c>
      <c r="D388" s="90" t="str">
        <f t="shared" si="35"/>
        <v/>
      </c>
      <c r="K388" s="98" t="str">
        <f t="shared" si="37"/>
        <v/>
      </c>
      <c r="L388" s="98" t="str">
        <f t="shared" si="38"/>
        <v/>
      </c>
      <c r="M388" s="3" t="s">
        <v>238</v>
      </c>
      <c r="N388" s="3" t="s">
        <v>238</v>
      </c>
      <c r="O388" s="3" t="s">
        <v>238</v>
      </c>
    </row>
    <row r="389" spans="1:15" x14ac:dyDescent="0.2">
      <c r="A389" s="3" t="str">
        <f>+VLOOKUP(B389,studies!$A$2:$C$102,3)</f>
        <v>Anthoff et al. (2009c)</v>
      </c>
      <c r="B389" s="87">
        <v>55</v>
      </c>
      <c r="C389" s="3">
        <v>379.90280271085066</v>
      </c>
      <c r="D389" s="90" t="str">
        <f t="shared" ref="D389:D452" si="44">+IF(B389=B388,"",A389)</f>
        <v/>
      </c>
      <c r="K389" s="98" t="str">
        <f t="shared" si="37"/>
        <v/>
      </c>
      <c r="L389" s="98" t="str">
        <f t="shared" si="38"/>
        <v/>
      </c>
      <c r="M389" s="3" t="s">
        <v>238</v>
      </c>
      <c r="N389" s="3" t="s">
        <v>238</v>
      </c>
      <c r="O389" s="3" t="s">
        <v>238</v>
      </c>
    </row>
    <row r="390" spans="1:15" x14ac:dyDescent="0.2">
      <c r="A390" s="3" t="str">
        <f>+VLOOKUP(B390,studies!$A$2:$C$102,3)</f>
        <v>Anthoff et al. (2009c)</v>
      </c>
      <c r="B390" s="87">
        <v>55</v>
      </c>
      <c r="C390" s="3">
        <v>195.78836276669827</v>
      </c>
      <c r="D390" s="90" t="str">
        <f t="shared" si="44"/>
        <v/>
      </c>
      <c r="K390" s="98" t="str">
        <f t="shared" si="37"/>
        <v/>
      </c>
      <c r="L390" s="98" t="str">
        <f t="shared" si="38"/>
        <v/>
      </c>
      <c r="M390" s="3" t="s">
        <v>238</v>
      </c>
      <c r="N390" s="3" t="s">
        <v>238</v>
      </c>
      <c r="O390" s="3" t="s">
        <v>238</v>
      </c>
    </row>
    <row r="391" spans="1:15" x14ac:dyDescent="0.2">
      <c r="A391" s="3" t="str">
        <f>+VLOOKUP(B391,studies!$A$2:$C$102,3)</f>
        <v>Anthoff et al. (2009c)</v>
      </c>
      <c r="B391" s="87">
        <v>55</v>
      </c>
      <c r="C391" s="3">
        <v>-0.66708130414547961</v>
      </c>
      <c r="D391" s="90" t="str">
        <f t="shared" si="44"/>
        <v/>
      </c>
      <c r="K391" s="98" t="str">
        <f t="shared" ref="K391:K454" si="45">+IF(I391="","",(G391-E391)/1.96)</f>
        <v/>
      </c>
      <c r="L391" s="98" t="str">
        <f t="shared" ref="L391:L454" si="46">+IF(I391="","",(I391-G391)/1.96)</f>
        <v/>
      </c>
      <c r="M391" s="3" t="s">
        <v>238</v>
      </c>
      <c r="N391" s="3" t="s">
        <v>238</v>
      </c>
      <c r="O391" s="3" t="s">
        <v>238</v>
      </c>
    </row>
    <row r="392" spans="1:15" x14ac:dyDescent="0.2">
      <c r="A392" s="3" t="str">
        <f>+VLOOKUP(B392,studies!$A$2:$C$102,3)</f>
        <v>Anthoff et al. (2009c)</v>
      </c>
      <c r="B392" s="87">
        <v>55</v>
      </c>
      <c r="C392" s="3">
        <v>22.013683036800824</v>
      </c>
      <c r="D392" s="90" t="str">
        <f t="shared" si="44"/>
        <v/>
      </c>
      <c r="K392" s="98" t="str">
        <f t="shared" si="45"/>
        <v/>
      </c>
      <c r="L392" s="98" t="str">
        <f t="shared" si="46"/>
        <v/>
      </c>
      <c r="M392" s="3" t="s">
        <v>238</v>
      </c>
      <c r="N392" s="3" t="s">
        <v>238</v>
      </c>
      <c r="O392" s="3" t="s">
        <v>238</v>
      </c>
    </row>
    <row r="393" spans="1:15" x14ac:dyDescent="0.2">
      <c r="A393" s="3" t="str">
        <f>+VLOOKUP(B393,studies!$A$2:$C$102,3)</f>
        <v>Anthoff et al. (2009c)</v>
      </c>
      <c r="B393" s="87">
        <v>55</v>
      </c>
      <c r="C393" s="3">
        <v>342.71302000474009</v>
      </c>
      <c r="D393" s="90" t="str">
        <f t="shared" si="44"/>
        <v/>
      </c>
      <c r="K393" s="98" t="str">
        <f t="shared" si="45"/>
        <v/>
      </c>
      <c r="L393" s="98" t="str">
        <f t="shared" si="46"/>
        <v/>
      </c>
      <c r="M393" s="3" t="s">
        <v>238</v>
      </c>
      <c r="N393" s="3" t="s">
        <v>238</v>
      </c>
      <c r="O393" s="3" t="s">
        <v>238</v>
      </c>
    </row>
    <row r="394" spans="1:15" x14ac:dyDescent="0.2">
      <c r="A394" s="3" t="str">
        <f>+VLOOKUP(B394,studies!$A$2:$C$102,3)</f>
        <v>Anthoff et al. (2009c)</v>
      </c>
      <c r="B394" s="87">
        <v>55</v>
      </c>
      <c r="C394" s="3">
        <v>101.22958790407652</v>
      </c>
      <c r="D394" s="90" t="str">
        <f t="shared" si="44"/>
        <v/>
      </c>
      <c r="K394" s="98" t="str">
        <f t="shared" si="45"/>
        <v/>
      </c>
      <c r="L394" s="98" t="str">
        <f t="shared" si="46"/>
        <v/>
      </c>
      <c r="M394" s="3" t="s">
        <v>238</v>
      </c>
      <c r="N394" s="3" t="s">
        <v>238</v>
      </c>
      <c r="O394" s="3" t="s">
        <v>238</v>
      </c>
    </row>
    <row r="395" spans="1:15" x14ac:dyDescent="0.2">
      <c r="A395" s="3" t="str">
        <f>+VLOOKUP(B395,studies!$A$2:$C$102,3)</f>
        <v>EPA &amp; NHTSA (2009)</v>
      </c>
      <c r="B395" s="87">
        <v>56</v>
      </c>
      <c r="C395" s="3">
        <v>26.992942417197998</v>
      </c>
      <c r="D395" s="90" t="str">
        <f t="shared" si="44"/>
        <v>EPA &amp; NHTSA (2009)</v>
      </c>
      <c r="E395" s="90">
        <f>+PERCENTILE($C395:$C399,E$2)</f>
        <v>31.620303974431938</v>
      </c>
      <c r="F395" s="90">
        <f t="shared" ref="F395:I395" si="47">+PERCENTILE($C395:$C399,F$2)</f>
        <v>50.129750203367706</v>
      </c>
      <c r="G395" s="98">
        <f t="shared" si="47"/>
        <v>353.47900784425946</v>
      </c>
      <c r="H395" s="90">
        <f t="shared" si="47"/>
        <v>607.9838934921263</v>
      </c>
      <c r="I395" s="90">
        <f t="shared" si="47"/>
        <v>936.01241277159897</v>
      </c>
      <c r="J395" s="98">
        <f>+STDEV($C395:$C399)</f>
        <v>414.81088645636748</v>
      </c>
      <c r="K395" s="98">
        <f t="shared" si="45"/>
        <v>164.21362442338139</v>
      </c>
      <c r="L395" s="98">
        <f t="shared" si="46"/>
        <v>297.21092088129564</v>
      </c>
      <c r="M395" s="3" t="s">
        <v>238</v>
      </c>
      <c r="N395" s="3" t="s">
        <v>238</v>
      </c>
      <c r="O395" s="3" t="s">
        <v>238</v>
      </c>
    </row>
    <row r="396" spans="1:15" x14ac:dyDescent="0.2">
      <c r="A396" s="3" t="str">
        <f>+VLOOKUP(B396,studies!$A$2:$C$102,3)</f>
        <v>EPA &amp; NHTSA (2009)</v>
      </c>
      <c r="B396" s="87">
        <v>56</v>
      </c>
      <c r="C396" s="3">
        <v>50.129750203367706</v>
      </c>
      <c r="D396" s="90" t="str">
        <f t="shared" si="44"/>
        <v/>
      </c>
      <c r="K396" s="98" t="str">
        <f t="shared" si="45"/>
        <v/>
      </c>
      <c r="L396" s="98" t="str">
        <f t="shared" si="46"/>
        <v/>
      </c>
      <c r="M396" s="3" t="s">
        <v>238</v>
      </c>
      <c r="N396" s="3" t="s">
        <v>238</v>
      </c>
      <c r="O396" s="3" t="s">
        <v>238</v>
      </c>
    </row>
    <row r="397" spans="1:15" x14ac:dyDescent="0.2">
      <c r="A397" s="3" t="str">
        <f>+VLOOKUP(B397,studies!$A$2:$C$102,3)</f>
        <v>EPA &amp; NHTSA (2009)</v>
      </c>
      <c r="B397" s="87">
        <v>56</v>
      </c>
      <c r="C397" s="3">
        <v>353.47900784425946</v>
      </c>
      <c r="D397" s="90" t="str">
        <f t="shared" si="44"/>
        <v/>
      </c>
      <c r="K397" s="98" t="str">
        <f t="shared" si="45"/>
        <v/>
      </c>
      <c r="L397" s="98" t="str">
        <f t="shared" si="46"/>
        <v/>
      </c>
      <c r="M397" s="3" t="s">
        <v>238</v>
      </c>
      <c r="N397" s="3" t="s">
        <v>238</v>
      </c>
      <c r="O397" s="3" t="s">
        <v>238</v>
      </c>
    </row>
    <row r="398" spans="1:15" x14ac:dyDescent="0.2">
      <c r="A398" s="3" t="str">
        <f>+VLOOKUP(B398,studies!$A$2:$C$102,3)</f>
        <v>EPA &amp; NHTSA (2009)</v>
      </c>
      <c r="B398" s="87">
        <v>56</v>
      </c>
      <c r="C398" s="3">
        <v>607.9838934921263</v>
      </c>
      <c r="D398" s="90" t="str">
        <f t="shared" si="44"/>
        <v/>
      </c>
      <c r="K398" s="98" t="str">
        <f t="shared" si="45"/>
        <v/>
      </c>
      <c r="L398" s="98" t="str">
        <f t="shared" si="46"/>
        <v/>
      </c>
      <c r="M398" s="3" t="s">
        <v>238</v>
      </c>
      <c r="N398" s="3" t="s">
        <v>238</v>
      </c>
      <c r="O398" s="3" t="s">
        <v>238</v>
      </c>
    </row>
    <row r="399" spans="1:15" x14ac:dyDescent="0.2">
      <c r="A399" s="3" t="str">
        <f>+VLOOKUP(B399,studies!$A$2:$C$102,3)</f>
        <v>EPA &amp; NHTSA (2009)</v>
      </c>
      <c r="B399" s="87">
        <v>56</v>
      </c>
      <c r="C399" s="3">
        <v>1018.0195425914671</v>
      </c>
      <c r="D399" s="90" t="str">
        <f t="shared" si="44"/>
        <v/>
      </c>
      <c r="K399" s="98" t="str">
        <f t="shared" si="45"/>
        <v/>
      </c>
      <c r="L399" s="98" t="str">
        <f t="shared" si="46"/>
        <v/>
      </c>
      <c r="M399" s="3" t="s">
        <v>238</v>
      </c>
      <c r="N399" s="3" t="s">
        <v>238</v>
      </c>
      <c r="O399" s="3" t="s">
        <v>238</v>
      </c>
    </row>
    <row r="400" spans="1:15" x14ac:dyDescent="0.2">
      <c r="A400" s="3" t="str">
        <f>+VLOOKUP(B400,studies!$A$2:$C$102,3)</f>
        <v>Narita et al. (2009)</v>
      </c>
      <c r="B400" s="87">
        <v>57</v>
      </c>
      <c r="C400" s="3">
        <v>142.29202863285522</v>
      </c>
      <c r="D400" s="90" t="str">
        <f t="shared" si="44"/>
        <v>Narita et al. (2009)</v>
      </c>
      <c r="E400" s="90">
        <f>+PERCENTILE($C400:$C402,E$2)</f>
        <v>-2.2956204363303137</v>
      </c>
      <c r="F400" s="90">
        <f t="shared" ref="F400:I400" si="48">+PERCENTILE($C400:$C402,F$2)</f>
        <v>3.9821987160831989</v>
      </c>
      <c r="G400" s="98">
        <f t="shared" si="48"/>
        <v>11.829472656600091</v>
      </c>
      <c r="H400" s="90">
        <f t="shared" si="48"/>
        <v>77.060750644727648</v>
      </c>
      <c r="I400" s="90">
        <f t="shared" si="48"/>
        <v>129.24577303522969</v>
      </c>
      <c r="J400" s="98">
        <f>+STDEV($C400:$C402)</f>
        <v>80.237871724223737</v>
      </c>
      <c r="K400" s="98">
        <f t="shared" si="45"/>
        <v>7.2066801494542885</v>
      </c>
      <c r="L400" s="98">
        <f t="shared" si="46"/>
        <v>59.906275703382448</v>
      </c>
      <c r="M400" s="3" t="s">
        <v>238</v>
      </c>
      <c r="N400" s="3" t="s">
        <v>238</v>
      </c>
      <c r="O400" s="3" t="s">
        <v>238</v>
      </c>
    </row>
    <row r="401" spans="1:15" x14ac:dyDescent="0.2">
      <c r="A401" s="3" t="str">
        <f>+VLOOKUP(B401,studies!$A$2:$C$102,3)</f>
        <v>Narita et al. (2009)</v>
      </c>
      <c r="B401" s="87">
        <v>57</v>
      </c>
      <c r="C401" s="3">
        <v>11.829472656600091</v>
      </c>
      <c r="D401" s="90" t="str">
        <f t="shared" si="44"/>
        <v/>
      </c>
      <c r="K401" s="98" t="str">
        <f t="shared" si="45"/>
        <v/>
      </c>
      <c r="L401" s="98" t="str">
        <f t="shared" si="46"/>
        <v/>
      </c>
      <c r="M401" s="3" t="s">
        <v>238</v>
      </c>
      <c r="N401" s="3" t="s">
        <v>238</v>
      </c>
      <c r="O401" s="3" t="s">
        <v>238</v>
      </c>
    </row>
    <row r="402" spans="1:15" x14ac:dyDescent="0.2">
      <c r="A402" s="3" t="str">
        <f>+VLOOKUP(B402,studies!$A$2:$C$102,3)</f>
        <v>Narita et al. (2009)</v>
      </c>
      <c r="B402" s="87">
        <v>57</v>
      </c>
      <c r="C402" s="3">
        <v>-3.8650752244336934</v>
      </c>
      <c r="D402" s="90" t="str">
        <f t="shared" si="44"/>
        <v/>
      </c>
      <c r="K402" s="98" t="str">
        <f t="shared" si="45"/>
        <v/>
      </c>
      <c r="L402" s="98" t="str">
        <f t="shared" si="46"/>
        <v/>
      </c>
      <c r="M402" s="3" t="s">
        <v>238</v>
      </c>
      <c r="N402" s="3" t="s">
        <v>238</v>
      </c>
      <c r="O402" s="3" t="s">
        <v>238</v>
      </c>
    </row>
    <row r="403" spans="1:15" x14ac:dyDescent="0.2">
      <c r="A403" s="3" t="str">
        <f>+VLOOKUP(B403,studies!$A$2:$C$102,3)</f>
        <v>Anthoff &amp; Tol (2010)</v>
      </c>
      <c r="B403" s="87">
        <v>58</v>
      </c>
      <c r="C403" s="3">
        <v>25.949462731259153</v>
      </c>
      <c r="D403" s="90" t="str">
        <f t="shared" si="44"/>
        <v>Anthoff &amp; Tol (2010)</v>
      </c>
      <c r="E403" s="90">
        <f>+PERCENTILE($C403:$C418,E$2)</f>
        <v>1.7260728744764284</v>
      </c>
      <c r="F403" s="90">
        <f t="shared" ref="F403:I403" si="49">+PERCENTILE($C403:$C418,F$2)</f>
        <v>11.019349292853139</v>
      </c>
      <c r="G403" s="98">
        <f t="shared" si="49"/>
        <v>25.949462731259153</v>
      </c>
      <c r="H403" s="90">
        <f t="shared" si="49"/>
        <v>79.716215845384809</v>
      </c>
      <c r="I403" s="90">
        <f t="shared" si="49"/>
        <v>202.87193236509304</v>
      </c>
      <c r="J403" s="98">
        <f>+STDEV($C403:$C418)</f>
        <v>80.541841611312549</v>
      </c>
      <c r="K403" s="98">
        <f t="shared" si="45"/>
        <v>12.358872375909554</v>
      </c>
      <c r="L403" s="98">
        <f t="shared" si="46"/>
        <v>90.266566139711173</v>
      </c>
      <c r="M403" s="3" t="s">
        <v>238</v>
      </c>
      <c r="N403" s="3" t="s">
        <v>238</v>
      </c>
      <c r="O403" s="3" t="s">
        <v>238</v>
      </c>
    </row>
    <row r="404" spans="1:15" x14ac:dyDescent="0.2">
      <c r="A404" s="3" t="str">
        <f>+VLOOKUP(B404,studies!$A$2:$C$102,3)</f>
        <v>Anthoff &amp; Tol (2010)</v>
      </c>
      <c r="B404" s="87">
        <v>58</v>
      </c>
      <c r="C404" s="3">
        <v>46.462212833732657</v>
      </c>
      <c r="D404" s="90" t="str">
        <f t="shared" si="44"/>
        <v/>
      </c>
      <c r="K404" s="98" t="str">
        <f t="shared" si="45"/>
        <v/>
      </c>
      <c r="L404" s="98" t="str">
        <f t="shared" si="46"/>
        <v/>
      </c>
      <c r="M404" s="3" t="s">
        <v>238</v>
      </c>
      <c r="N404" s="3" t="s">
        <v>238</v>
      </c>
      <c r="O404" s="3" t="s">
        <v>238</v>
      </c>
    </row>
    <row r="405" spans="1:15" x14ac:dyDescent="0.2">
      <c r="A405" s="3" t="str">
        <f>+VLOOKUP(B405,studies!$A$2:$C$102,3)</f>
        <v>Anthoff &amp; Tol (2010)</v>
      </c>
      <c r="B405" s="87">
        <v>58</v>
      </c>
      <c r="C405" s="3">
        <v>169.25520389431179</v>
      </c>
      <c r="D405" s="90" t="str">
        <f t="shared" si="44"/>
        <v/>
      </c>
      <c r="K405" s="98" t="str">
        <f t="shared" si="45"/>
        <v/>
      </c>
      <c r="L405" s="98" t="str">
        <f t="shared" si="46"/>
        <v/>
      </c>
      <c r="M405" s="3" t="s">
        <v>238</v>
      </c>
      <c r="N405" s="3" t="s">
        <v>238</v>
      </c>
      <c r="O405" s="3" t="s">
        <v>238</v>
      </c>
    </row>
    <row r="406" spans="1:15" x14ac:dyDescent="0.2">
      <c r="A406" s="3" t="str">
        <f>+VLOOKUP(B406,studies!$A$2:$C$102,3)</f>
        <v>Anthoff &amp; Tol (2010)</v>
      </c>
      <c r="B406" s="87">
        <v>58</v>
      </c>
      <c r="C406" s="3">
        <v>303.72211777743684</v>
      </c>
      <c r="D406" s="90" t="str">
        <f t="shared" si="44"/>
        <v/>
      </c>
      <c r="K406" s="98" t="str">
        <f t="shared" si="45"/>
        <v/>
      </c>
      <c r="L406" s="98" t="str">
        <f t="shared" si="46"/>
        <v/>
      </c>
      <c r="M406" s="3" t="s">
        <v>238</v>
      </c>
      <c r="N406" s="3" t="s">
        <v>238</v>
      </c>
      <c r="O406" s="3" t="s">
        <v>238</v>
      </c>
    </row>
    <row r="407" spans="1:15" x14ac:dyDescent="0.2">
      <c r="A407" s="3" t="str">
        <f>+VLOOKUP(B407,studies!$A$2:$C$102,3)</f>
        <v>Anthoff &amp; Tol (2010)</v>
      </c>
      <c r="B407" s="87">
        <v>58</v>
      </c>
      <c r="C407" s="3">
        <v>1.1006841518400414</v>
      </c>
      <c r="D407" s="90" t="str">
        <f t="shared" si="44"/>
        <v/>
      </c>
      <c r="K407" s="98" t="str">
        <f t="shared" si="45"/>
        <v/>
      </c>
      <c r="L407" s="98" t="str">
        <f t="shared" si="46"/>
        <v/>
      </c>
      <c r="M407" s="3" t="s">
        <v>238</v>
      </c>
      <c r="N407" s="3" t="s">
        <v>238</v>
      </c>
      <c r="O407" s="3" t="s">
        <v>238</v>
      </c>
    </row>
    <row r="408" spans="1:15" x14ac:dyDescent="0.2">
      <c r="A408" s="3" t="str">
        <f>+VLOOKUP(B408,studies!$A$2:$C$102,3)</f>
        <v>Anthoff &amp; Tol (2010)</v>
      </c>
      <c r="B408" s="87">
        <v>58</v>
      </c>
      <c r="C408" s="3">
        <v>1.9345357820218907</v>
      </c>
      <c r="D408" s="90" t="str">
        <f t="shared" si="44"/>
        <v/>
      </c>
      <c r="K408" s="98" t="str">
        <f t="shared" si="45"/>
        <v/>
      </c>
      <c r="L408" s="98" t="str">
        <f t="shared" si="46"/>
        <v/>
      </c>
      <c r="M408" s="3" t="s">
        <v>238</v>
      </c>
      <c r="N408" s="3" t="s">
        <v>238</v>
      </c>
      <c r="O408" s="3" t="s">
        <v>238</v>
      </c>
    </row>
    <row r="409" spans="1:15" x14ac:dyDescent="0.2">
      <c r="A409" s="3" t="str">
        <f>+VLOOKUP(B409,studies!$A$2:$C$102,3)</f>
        <v>Anthoff &amp; Tol (2010)</v>
      </c>
      <c r="B409" s="87">
        <v>58</v>
      </c>
      <c r="C409" s="3">
        <v>93.174581156519864</v>
      </c>
      <c r="D409" s="90" t="str">
        <f t="shared" si="44"/>
        <v/>
      </c>
      <c r="K409" s="98" t="str">
        <f t="shared" si="45"/>
        <v/>
      </c>
      <c r="L409" s="98" t="str">
        <f t="shared" si="46"/>
        <v/>
      </c>
      <c r="M409" s="3" t="s">
        <v>238</v>
      </c>
      <c r="N409" s="3" t="s">
        <v>238</v>
      </c>
      <c r="O409" s="3" t="s">
        <v>238</v>
      </c>
    </row>
    <row r="410" spans="1:15" x14ac:dyDescent="0.2">
      <c r="A410" s="3" t="str">
        <f>+VLOOKUP(B410,studies!$A$2:$C$102,3)</f>
        <v>Anthoff &amp; Tol (2010)</v>
      </c>
      <c r="B410" s="87">
        <v>58</v>
      </c>
      <c r="C410" s="3">
        <v>119.67438596369904</v>
      </c>
      <c r="D410" s="90" t="str">
        <f t="shared" si="44"/>
        <v/>
      </c>
      <c r="K410" s="98" t="str">
        <f t="shared" si="45"/>
        <v/>
      </c>
      <c r="L410" s="98" t="str">
        <f t="shared" si="46"/>
        <v/>
      </c>
      <c r="M410" s="3" t="s">
        <v>238</v>
      </c>
      <c r="N410" s="3" t="s">
        <v>238</v>
      </c>
      <c r="O410" s="3" t="s">
        <v>238</v>
      </c>
    </row>
    <row r="411" spans="1:15" x14ac:dyDescent="0.2">
      <c r="A411" s="3" t="str">
        <f>+VLOOKUP(B411,studies!$A$2:$C$102,3)</f>
        <v>Anthoff &amp; Tol (2010)</v>
      </c>
      <c r="B411" s="87">
        <v>58</v>
      </c>
      <c r="C411" s="3">
        <v>7.7548201606912004</v>
      </c>
      <c r="D411" s="90" t="str">
        <f t="shared" si="44"/>
        <v/>
      </c>
      <c r="K411" s="98" t="str">
        <f t="shared" si="45"/>
        <v/>
      </c>
      <c r="L411" s="98" t="str">
        <f t="shared" si="46"/>
        <v/>
      </c>
      <c r="M411" s="3" t="s">
        <v>238</v>
      </c>
      <c r="N411" s="3" t="s">
        <v>238</v>
      </c>
      <c r="O411" s="3" t="s">
        <v>238</v>
      </c>
    </row>
    <row r="412" spans="1:15" x14ac:dyDescent="0.2">
      <c r="A412" s="3" t="str">
        <f>+VLOOKUP(B412,studies!$A$2:$C$102,3)</f>
        <v>Anthoff &amp; Tol (2010)</v>
      </c>
      <c r="B412" s="87">
        <v>58</v>
      </c>
      <c r="C412" s="3">
        <v>21.5967572217099</v>
      </c>
      <c r="D412" s="90" t="str">
        <f t="shared" si="44"/>
        <v/>
      </c>
      <c r="K412" s="98" t="str">
        <f t="shared" si="45"/>
        <v/>
      </c>
      <c r="L412" s="98" t="str">
        <f t="shared" si="46"/>
        <v/>
      </c>
      <c r="M412" s="3" t="s">
        <v>238</v>
      </c>
      <c r="N412" s="3" t="s">
        <v>238</v>
      </c>
      <c r="O412" s="3" t="s">
        <v>238</v>
      </c>
    </row>
    <row r="413" spans="1:15" x14ac:dyDescent="0.2">
      <c r="A413" s="3" t="str">
        <f>+VLOOKUP(B413,studies!$A$2:$C$102,3)</f>
        <v>Anthoff &amp; Tol (2010)</v>
      </c>
      <c r="B413" s="87">
        <v>58</v>
      </c>
      <c r="C413" s="3">
        <v>2.4848778579419113</v>
      </c>
      <c r="D413" s="90" t="str">
        <f t="shared" si="44"/>
        <v/>
      </c>
      <c r="K413" s="98" t="str">
        <f t="shared" si="45"/>
        <v/>
      </c>
      <c r="L413" s="98" t="str">
        <f t="shared" si="46"/>
        <v/>
      </c>
      <c r="M413" s="3" t="s">
        <v>238</v>
      </c>
      <c r="N413" s="3" t="s">
        <v>238</v>
      </c>
      <c r="O413" s="3" t="s">
        <v>238</v>
      </c>
    </row>
    <row r="414" spans="1:15" x14ac:dyDescent="0.2">
      <c r="A414" s="3" t="str">
        <f>+VLOOKUP(B414,studies!$A$2:$C$102,3)</f>
        <v>Anthoff &amp; Tol (2010)</v>
      </c>
      <c r="B414" s="87">
        <v>58</v>
      </c>
      <c r="C414" s="3">
        <v>12.107525670240452</v>
      </c>
      <c r="D414" s="90" t="str">
        <f t="shared" si="44"/>
        <v/>
      </c>
      <c r="K414" s="98" t="str">
        <f t="shared" si="45"/>
        <v/>
      </c>
      <c r="L414" s="98" t="str">
        <f t="shared" si="46"/>
        <v/>
      </c>
      <c r="M414" s="3" t="s">
        <v>238</v>
      </c>
      <c r="N414" s="3" t="s">
        <v>238</v>
      </c>
      <c r="O414" s="3" t="s">
        <v>238</v>
      </c>
    </row>
    <row r="415" spans="1:15" x14ac:dyDescent="0.2">
      <c r="A415" s="3" t="str">
        <f>+VLOOKUP(B415,studies!$A$2:$C$102,3)</f>
        <v>Anthoff &amp; Tol (2010)</v>
      </c>
      <c r="B415" s="87">
        <v>58</v>
      </c>
      <c r="C415" s="3">
        <v>25.949462731259153</v>
      </c>
      <c r="D415" s="90" t="str">
        <f t="shared" si="44"/>
        <v/>
      </c>
      <c r="K415" s="98" t="str">
        <f t="shared" si="45"/>
        <v/>
      </c>
      <c r="L415" s="98" t="str">
        <f t="shared" si="46"/>
        <v/>
      </c>
      <c r="M415" s="3" t="s">
        <v>238</v>
      </c>
      <c r="N415" s="3" t="s">
        <v>238</v>
      </c>
      <c r="O415" s="3" t="s">
        <v>238</v>
      </c>
    </row>
    <row r="416" spans="1:15" x14ac:dyDescent="0.2">
      <c r="A416" s="3" t="str">
        <f>+VLOOKUP(B416,studies!$A$2:$C$102,3)</f>
        <v>Anthoff &amp; Tol (2010)</v>
      </c>
      <c r="B416" s="87">
        <v>58</v>
      </c>
      <c r="C416" s="3">
        <v>32.303412153244849</v>
      </c>
      <c r="D416" s="90" t="str">
        <f t="shared" si="44"/>
        <v/>
      </c>
      <c r="K416" s="98" t="str">
        <f t="shared" si="45"/>
        <v/>
      </c>
      <c r="L416" s="98" t="str">
        <f t="shared" si="46"/>
        <v/>
      </c>
      <c r="M416" s="3" t="s">
        <v>238</v>
      </c>
      <c r="N416" s="3" t="s">
        <v>238</v>
      </c>
      <c r="O416" s="3" t="s">
        <v>238</v>
      </c>
    </row>
    <row r="417" spans="1:15" x14ac:dyDescent="0.2">
      <c r="A417" s="3" t="str">
        <f>+VLOOKUP(B417,studies!$A$2:$C$102,3)</f>
        <v>Anthoff &amp; Tol (2010)</v>
      </c>
      <c r="B417" s="87">
        <v>58</v>
      </c>
      <c r="C417" s="3">
        <v>25.949462731259153</v>
      </c>
      <c r="D417" s="90" t="str">
        <f t="shared" si="44"/>
        <v/>
      </c>
      <c r="K417" s="98" t="str">
        <f t="shared" si="45"/>
        <v/>
      </c>
      <c r="L417" s="98" t="str">
        <f t="shared" si="46"/>
        <v/>
      </c>
      <c r="M417" s="3" t="s">
        <v>238</v>
      </c>
      <c r="N417" s="3" t="s">
        <v>238</v>
      </c>
      <c r="O417" s="3" t="s">
        <v>238</v>
      </c>
    </row>
    <row r="418" spans="1:15" x14ac:dyDescent="0.2">
      <c r="A418" s="3" t="str">
        <f>+VLOOKUP(B418,studies!$A$2:$C$102,3)</f>
        <v>Anthoff &amp; Tol (2010)</v>
      </c>
      <c r="B418" s="87">
        <v>58</v>
      </c>
      <c r="C418" s="3">
        <v>75.230094075006463</v>
      </c>
      <c r="D418" s="90" t="str">
        <f t="shared" si="44"/>
        <v/>
      </c>
      <c r="K418" s="98" t="str">
        <f t="shared" si="45"/>
        <v/>
      </c>
      <c r="L418" s="98" t="str">
        <f t="shared" si="46"/>
        <v/>
      </c>
      <c r="M418" s="3" t="s">
        <v>238</v>
      </c>
      <c r="N418" s="3" t="s">
        <v>238</v>
      </c>
      <c r="O418" s="3" t="s">
        <v>238</v>
      </c>
    </row>
    <row r="419" spans="1:15" x14ac:dyDescent="0.2">
      <c r="A419" s="3" t="str">
        <f>+VLOOKUP(B419,studies!$A$2:$C$102,3)</f>
        <v>Kemfert &amp; Schill (2010)</v>
      </c>
      <c r="B419" s="87">
        <v>59</v>
      </c>
      <c r="C419" s="3">
        <v>70.353446948815645</v>
      </c>
      <c r="D419" s="90" t="str">
        <f t="shared" si="44"/>
        <v>Kemfert &amp; Schill (2010)</v>
      </c>
      <c r="E419" s="90">
        <f>+PERCENTILE($C419:$C421,E$2)</f>
        <v>73.600529115684068</v>
      </c>
      <c r="F419" s="90">
        <f t="shared" ref="F419:I419" si="50">+PERCENTILE($C419:$C421,F$2)</f>
        <v>86.588857783157721</v>
      </c>
      <c r="G419" s="98">
        <f t="shared" si="50"/>
        <v>102.82426861749981</v>
      </c>
      <c r="H419" s="90">
        <f t="shared" si="50"/>
        <v>175.88361737203911</v>
      </c>
      <c r="I419" s="90">
        <f t="shared" si="50"/>
        <v>234.33109637567054</v>
      </c>
      <c r="J419" s="98">
        <f>+STDEV($C419:$C421)</f>
        <v>95.130826042993419</v>
      </c>
      <c r="K419" s="98">
        <f t="shared" si="45"/>
        <v>14.910071174395787</v>
      </c>
      <c r="L419" s="98">
        <f t="shared" si="46"/>
        <v>67.095320284780996</v>
      </c>
      <c r="M419" s="3" t="s">
        <v>238</v>
      </c>
      <c r="N419" s="3" t="s">
        <v>238</v>
      </c>
      <c r="O419" s="3" t="s">
        <v>238</v>
      </c>
    </row>
    <row r="420" spans="1:15" x14ac:dyDescent="0.2">
      <c r="A420" s="3" t="str">
        <f>+VLOOKUP(B420,studies!$A$2:$C$102,3)</f>
        <v>Kemfert &amp; Schill (2010)</v>
      </c>
      <c r="B420" s="87">
        <v>59</v>
      </c>
      <c r="C420" s="3">
        <v>102.82426861749981</v>
      </c>
      <c r="D420" s="90" t="str">
        <f t="shared" si="44"/>
        <v/>
      </c>
      <c r="K420" s="98" t="str">
        <f t="shared" si="45"/>
        <v/>
      </c>
      <c r="L420" s="98" t="str">
        <f t="shared" si="46"/>
        <v/>
      </c>
      <c r="M420" s="3" t="s">
        <v>238</v>
      </c>
      <c r="N420" s="3" t="s">
        <v>238</v>
      </c>
      <c r="O420" s="3" t="s">
        <v>238</v>
      </c>
    </row>
    <row r="421" spans="1:15" x14ac:dyDescent="0.2">
      <c r="A421" s="3" t="str">
        <f>+VLOOKUP(B421,studies!$A$2:$C$102,3)</f>
        <v>Kemfert &amp; Schill (2010)</v>
      </c>
      <c r="B421" s="87">
        <v>59</v>
      </c>
      <c r="C421" s="3">
        <v>248.94296612657845</v>
      </c>
      <c r="D421" s="90" t="str">
        <f t="shared" si="44"/>
        <v/>
      </c>
      <c r="K421" s="98" t="str">
        <f t="shared" si="45"/>
        <v/>
      </c>
      <c r="L421" s="98" t="str">
        <f t="shared" si="46"/>
        <v/>
      </c>
      <c r="M421" s="3" t="s">
        <v>238</v>
      </c>
      <c r="N421" s="3" t="s">
        <v>238</v>
      </c>
      <c r="O421" s="3" t="s">
        <v>238</v>
      </c>
    </row>
    <row r="422" spans="1:15" x14ac:dyDescent="0.2">
      <c r="A422" s="3" t="str">
        <f>+VLOOKUP(B422,studies!$A$2:$C$102,3)</f>
        <v>Narita et al. (2010)</v>
      </c>
      <c r="B422" s="87">
        <v>60</v>
      </c>
      <c r="C422" s="3">
        <v>187.43662780309251</v>
      </c>
      <c r="D422" s="90" t="str">
        <f t="shared" si="44"/>
        <v>Narita et al. (2010)</v>
      </c>
      <c r="E422" s="90">
        <f>+PERCENTILE($C422:$C424,E$2)</f>
        <v>4.0472673225551485</v>
      </c>
      <c r="F422" s="90">
        <f t="shared" ref="F422:I422" si="51">+PERCENTILE($C422:$C424,F$2)</f>
        <v>14.978793209842358</v>
      </c>
      <c r="G422" s="98">
        <f t="shared" si="51"/>
        <v>28.643200568951375</v>
      </c>
      <c r="H422" s="90">
        <f t="shared" si="51"/>
        <v>108.03991418602193</v>
      </c>
      <c r="I422" s="90">
        <f t="shared" si="51"/>
        <v>171.55728507967839</v>
      </c>
      <c r="J422" s="98">
        <f>+STDEV($C422:$C424)</f>
        <v>100.50182883579754</v>
      </c>
      <c r="K422" s="98">
        <f t="shared" si="45"/>
        <v>12.548945533875626</v>
      </c>
      <c r="L422" s="98">
        <f t="shared" si="46"/>
        <v>72.915349240166847</v>
      </c>
      <c r="M422" s="3" t="s">
        <v>238</v>
      </c>
      <c r="N422" s="3" t="s">
        <v>238</v>
      </c>
      <c r="O422" s="3" t="s">
        <v>238</v>
      </c>
    </row>
    <row r="423" spans="1:15" x14ac:dyDescent="0.2">
      <c r="A423" s="3" t="str">
        <f>+VLOOKUP(B423,studies!$A$2:$C$102,3)</f>
        <v>Narita et al. (2010)</v>
      </c>
      <c r="B423" s="87">
        <v>60</v>
      </c>
      <c r="C423" s="3">
        <v>28.643200568951375</v>
      </c>
      <c r="D423" s="90" t="str">
        <f t="shared" si="44"/>
        <v/>
      </c>
      <c r="K423" s="98" t="str">
        <f t="shared" si="45"/>
        <v/>
      </c>
      <c r="L423" s="98" t="str">
        <f t="shared" si="46"/>
        <v/>
      </c>
      <c r="M423" s="3" t="s">
        <v>238</v>
      </c>
      <c r="N423" s="3" t="s">
        <v>238</v>
      </c>
      <c r="O423" s="3" t="s">
        <v>238</v>
      </c>
    </row>
    <row r="424" spans="1:15" x14ac:dyDescent="0.2">
      <c r="A424" s="3" t="str">
        <f>+VLOOKUP(B424,studies!$A$2:$C$102,3)</f>
        <v>Narita et al. (2010)</v>
      </c>
      <c r="B424" s="87">
        <v>60</v>
      </c>
      <c r="C424" s="3">
        <v>1.3143858507333432</v>
      </c>
      <c r="D424" s="90" t="str">
        <f t="shared" si="44"/>
        <v/>
      </c>
      <c r="K424" s="98" t="str">
        <f t="shared" si="45"/>
        <v/>
      </c>
      <c r="L424" s="98" t="str">
        <f t="shared" si="46"/>
        <v/>
      </c>
      <c r="M424" s="3" t="s">
        <v>238</v>
      </c>
      <c r="N424" s="3" t="s">
        <v>238</v>
      </c>
      <c r="O424" s="3" t="s">
        <v>238</v>
      </c>
    </row>
    <row r="425" spans="1:15" x14ac:dyDescent="0.2">
      <c r="A425" s="3" t="str">
        <f>+VLOOKUP(B425,studies!$A$2:$C$102,3)</f>
        <v>Nordhaus (2010)</v>
      </c>
      <c r="B425" s="87">
        <v>61</v>
      </c>
      <c r="C425" s="3">
        <v>42.383030005120325</v>
      </c>
      <c r="D425" s="90" t="str">
        <f t="shared" si="44"/>
        <v>Nordhaus (2010)</v>
      </c>
      <c r="K425" s="98" t="str">
        <f t="shared" si="45"/>
        <v/>
      </c>
      <c r="L425" s="98" t="str">
        <f t="shared" si="46"/>
        <v/>
      </c>
      <c r="M425" s="3" t="s">
        <v>238</v>
      </c>
      <c r="N425" s="3" t="s">
        <v>238</v>
      </c>
      <c r="O425" s="3" t="s">
        <v>238</v>
      </c>
    </row>
    <row r="426" spans="1:15" x14ac:dyDescent="0.2">
      <c r="A426" s="3" t="str">
        <f>+VLOOKUP(B426,studies!$A$2:$C$102,3)</f>
        <v>Sohngen (2010)</v>
      </c>
      <c r="B426" s="87">
        <v>62</v>
      </c>
      <c r="C426" s="3">
        <v>34.499375151426669</v>
      </c>
      <c r="D426" s="90" t="str">
        <f t="shared" si="44"/>
        <v>Sohngen (2010)</v>
      </c>
      <c r="K426" s="98" t="str">
        <f t="shared" si="45"/>
        <v/>
      </c>
      <c r="L426" s="98" t="str">
        <f t="shared" si="46"/>
        <v/>
      </c>
      <c r="M426" s="3" t="s">
        <v>238</v>
      </c>
      <c r="N426" s="3" t="s">
        <v>238</v>
      </c>
      <c r="O426" s="3" t="s">
        <v>238</v>
      </c>
    </row>
    <row r="427" spans="1:15" x14ac:dyDescent="0.2">
      <c r="A427" s="3" t="str">
        <f>+VLOOKUP(B427,studies!$A$2:$C$102,3)</f>
        <v>Tol (2010)</v>
      </c>
      <c r="B427" s="87">
        <v>63</v>
      </c>
      <c r="C427" s="3">
        <v>3.335406520727398</v>
      </c>
      <c r="D427" s="90" t="str">
        <f t="shared" si="44"/>
        <v>Tol (2010)</v>
      </c>
      <c r="K427" s="98" t="str">
        <f t="shared" si="45"/>
        <v/>
      </c>
      <c r="L427" s="98" t="str">
        <f t="shared" si="46"/>
        <v/>
      </c>
      <c r="M427" s="3" t="s">
        <v>238</v>
      </c>
      <c r="N427" s="3" t="s">
        <v>238</v>
      </c>
      <c r="O427" s="3" t="s">
        <v>238</v>
      </c>
    </row>
    <row r="428" spans="1:15" x14ac:dyDescent="0.2">
      <c r="A428" s="3" t="str">
        <f>+VLOOKUP(B428,studies!$A$2:$C$102,3)</f>
        <v>Anthoff et al. (2011)</v>
      </c>
      <c r="B428" s="87">
        <v>64</v>
      </c>
      <c r="C428" s="3">
        <v>1.9029821522309713</v>
      </c>
      <c r="D428" s="90" t="str">
        <f t="shared" si="44"/>
        <v>Anthoff et al. (2011)</v>
      </c>
      <c r="E428" s="90">
        <f>+PERCENTILE($C428:$C449,E$2)</f>
        <v>1.0575143674540679</v>
      </c>
      <c r="F428" s="90">
        <f t="shared" ref="F428:I428" si="52">+PERCENTILE($C428:$C449,F$2)</f>
        <v>4.9756544619422574</v>
      </c>
      <c r="G428" s="98">
        <f t="shared" si="52"/>
        <v>42.495165354330709</v>
      </c>
      <c r="H428" s="90">
        <f t="shared" si="52"/>
        <v>89.998178477690288</v>
      </c>
      <c r="I428" s="90">
        <f t="shared" si="52"/>
        <v>2065.8087454068227</v>
      </c>
      <c r="J428" s="98">
        <f>+STDEV($C428:$C449)</f>
        <v>705.76661346938056</v>
      </c>
      <c r="K428" s="98">
        <f t="shared" si="45"/>
        <v>21.141658666773797</v>
      </c>
      <c r="L428" s="98">
        <f t="shared" si="46"/>
        <v>1032.3028469655571</v>
      </c>
      <c r="M428" s="3" t="s">
        <v>238</v>
      </c>
      <c r="N428" s="3" t="s">
        <v>238</v>
      </c>
      <c r="O428" s="3" t="s">
        <v>238</v>
      </c>
    </row>
    <row r="429" spans="1:15" x14ac:dyDescent="0.2">
      <c r="A429" s="3" t="str">
        <f>+VLOOKUP(B429,studies!$A$2:$C$102,3)</f>
        <v>Anthoff et al. (2011)</v>
      </c>
      <c r="B429" s="87">
        <v>64</v>
      </c>
      <c r="C429" s="3">
        <v>43.35365354330709</v>
      </c>
      <c r="D429" s="90" t="str">
        <f t="shared" si="44"/>
        <v/>
      </c>
      <c r="K429" s="98" t="str">
        <f t="shared" si="45"/>
        <v/>
      </c>
      <c r="L429" s="98" t="str">
        <f t="shared" si="46"/>
        <v/>
      </c>
      <c r="M429" s="3" t="s">
        <v>238</v>
      </c>
      <c r="N429" s="3" t="s">
        <v>238</v>
      </c>
      <c r="O429" s="3" t="s">
        <v>238</v>
      </c>
    </row>
    <row r="430" spans="1:15" x14ac:dyDescent="0.2">
      <c r="A430" s="3" t="str">
        <f>+VLOOKUP(B430,studies!$A$2:$C$102,3)</f>
        <v>Anthoff et al. (2011)</v>
      </c>
      <c r="B430" s="87">
        <v>64</v>
      </c>
      <c r="C430" s="3">
        <v>266.13133858267719</v>
      </c>
      <c r="D430" s="90" t="str">
        <f t="shared" si="44"/>
        <v/>
      </c>
      <c r="K430" s="98" t="str">
        <f t="shared" si="45"/>
        <v/>
      </c>
      <c r="L430" s="98" t="str">
        <f t="shared" si="46"/>
        <v/>
      </c>
      <c r="M430" s="3" t="s">
        <v>238</v>
      </c>
      <c r="N430" s="3" t="s">
        <v>238</v>
      </c>
      <c r="O430" s="3" t="s">
        <v>238</v>
      </c>
    </row>
    <row r="431" spans="1:15" x14ac:dyDescent="0.2">
      <c r="A431" s="3" t="str">
        <f>+VLOOKUP(B431,studies!$A$2:$C$102,3)</f>
        <v>Anthoff et al. (2011)</v>
      </c>
      <c r="B431" s="87">
        <v>64</v>
      </c>
      <c r="C431" s="3">
        <v>-3.2765632545931758</v>
      </c>
      <c r="D431" s="90" t="str">
        <f t="shared" si="44"/>
        <v/>
      </c>
      <c r="K431" s="98" t="str">
        <f t="shared" si="45"/>
        <v/>
      </c>
      <c r="L431" s="98" t="str">
        <f t="shared" si="46"/>
        <v/>
      </c>
      <c r="M431" s="3" t="s">
        <v>238</v>
      </c>
      <c r="N431" s="3" t="s">
        <v>238</v>
      </c>
      <c r="O431" s="3" t="s">
        <v>238</v>
      </c>
    </row>
    <row r="432" spans="1:15" x14ac:dyDescent="0.2">
      <c r="A432" s="3" t="str">
        <f>+VLOOKUP(B432,studies!$A$2:$C$102,3)</f>
        <v>Anthoff et al. (2011)</v>
      </c>
      <c r="B432" s="87">
        <v>64</v>
      </c>
      <c r="C432" s="3">
        <v>2.2177611548556433</v>
      </c>
      <c r="D432" s="90" t="str">
        <f t="shared" si="44"/>
        <v/>
      </c>
      <c r="K432" s="98" t="str">
        <f t="shared" si="45"/>
        <v/>
      </c>
      <c r="L432" s="98" t="str">
        <f t="shared" si="46"/>
        <v/>
      </c>
      <c r="M432" s="3" t="s">
        <v>238</v>
      </c>
      <c r="N432" s="3" t="s">
        <v>238</v>
      </c>
      <c r="O432" s="3" t="s">
        <v>238</v>
      </c>
    </row>
    <row r="433" spans="1:15" x14ac:dyDescent="0.2">
      <c r="A433" s="3" t="str">
        <f>+VLOOKUP(B433,studies!$A$2:$C$102,3)</f>
        <v>Anthoff et al. (2011)</v>
      </c>
      <c r="B433" s="87">
        <v>64</v>
      </c>
      <c r="C433" s="3">
        <v>11.575282414698163</v>
      </c>
      <c r="D433" s="90" t="str">
        <f t="shared" si="44"/>
        <v/>
      </c>
      <c r="K433" s="98" t="str">
        <f t="shared" si="45"/>
        <v/>
      </c>
      <c r="L433" s="98" t="str">
        <f t="shared" si="46"/>
        <v/>
      </c>
      <c r="M433" s="3" t="s">
        <v>238</v>
      </c>
      <c r="N433" s="3" t="s">
        <v>238</v>
      </c>
      <c r="O433" s="3" t="s">
        <v>238</v>
      </c>
    </row>
    <row r="434" spans="1:15" x14ac:dyDescent="0.2">
      <c r="A434" s="3" t="str">
        <f>+VLOOKUP(B434,studies!$A$2:$C$102,3)</f>
        <v>Anthoff et al. (2011)</v>
      </c>
      <c r="B434" s="87">
        <v>64</v>
      </c>
      <c r="C434" s="3">
        <v>64.958939632545935</v>
      </c>
      <c r="D434" s="90" t="str">
        <f t="shared" si="44"/>
        <v/>
      </c>
      <c r="K434" s="98" t="str">
        <f t="shared" si="45"/>
        <v/>
      </c>
      <c r="L434" s="98" t="str">
        <f t="shared" si="46"/>
        <v/>
      </c>
      <c r="M434" s="3" t="s">
        <v>238</v>
      </c>
      <c r="N434" s="3" t="s">
        <v>238</v>
      </c>
      <c r="O434" s="3" t="s">
        <v>238</v>
      </c>
    </row>
    <row r="435" spans="1:15" x14ac:dyDescent="0.2">
      <c r="A435" s="3" t="str">
        <f>+VLOOKUP(B435,studies!$A$2:$C$102,3)</f>
        <v>Anthoff et al. (2011)</v>
      </c>
      <c r="B435" s="87">
        <v>64</v>
      </c>
      <c r="C435" s="3">
        <v>83.130272965879271</v>
      </c>
      <c r="D435" s="90" t="str">
        <f t="shared" si="44"/>
        <v/>
      </c>
      <c r="K435" s="98" t="str">
        <f t="shared" si="45"/>
        <v/>
      </c>
      <c r="L435" s="98" t="str">
        <f t="shared" si="46"/>
        <v/>
      </c>
      <c r="M435" s="3" t="s">
        <v>238</v>
      </c>
      <c r="N435" s="3" t="s">
        <v>238</v>
      </c>
      <c r="O435" s="3" t="s">
        <v>238</v>
      </c>
    </row>
    <row r="436" spans="1:15" x14ac:dyDescent="0.2">
      <c r="A436" s="3" t="str">
        <f>+VLOOKUP(B436,studies!$A$2:$C$102,3)</f>
        <v>Anthoff et al. (2011)</v>
      </c>
      <c r="B436" s="87">
        <v>64</v>
      </c>
      <c r="C436" s="3">
        <v>2689.929658792651</v>
      </c>
      <c r="D436" s="90" t="str">
        <f t="shared" si="44"/>
        <v/>
      </c>
      <c r="K436" s="98" t="str">
        <f t="shared" si="45"/>
        <v/>
      </c>
      <c r="L436" s="98" t="str">
        <f t="shared" si="46"/>
        <v/>
      </c>
      <c r="M436" s="3" t="s">
        <v>238</v>
      </c>
      <c r="N436" s="3" t="s">
        <v>238</v>
      </c>
      <c r="O436" s="3" t="s">
        <v>238</v>
      </c>
    </row>
    <row r="437" spans="1:15" x14ac:dyDescent="0.2">
      <c r="A437" s="3" t="str">
        <f>+VLOOKUP(B437,studies!$A$2:$C$102,3)</f>
        <v>Anthoff et al. (2011)</v>
      </c>
      <c r="B437" s="87">
        <v>64</v>
      </c>
      <c r="C437" s="3">
        <v>1.0130160629921259</v>
      </c>
      <c r="D437" s="90" t="str">
        <f t="shared" si="44"/>
        <v/>
      </c>
      <c r="K437" s="98" t="str">
        <f t="shared" si="45"/>
        <v/>
      </c>
      <c r="L437" s="98" t="str">
        <f t="shared" si="46"/>
        <v/>
      </c>
      <c r="M437" s="3" t="s">
        <v>238</v>
      </c>
      <c r="N437" s="3" t="s">
        <v>238</v>
      </c>
      <c r="O437" s="3" t="s">
        <v>238</v>
      </c>
    </row>
    <row r="438" spans="1:15" x14ac:dyDescent="0.2">
      <c r="A438" s="3" t="str">
        <f>+VLOOKUP(B438,studies!$A$2:$C$102,3)</f>
        <v>Anthoff et al. (2011)</v>
      </c>
      <c r="B438" s="87">
        <v>64</v>
      </c>
      <c r="C438" s="3">
        <v>4.1779758530183724</v>
      </c>
      <c r="D438" s="90" t="str">
        <f t="shared" si="44"/>
        <v/>
      </c>
      <c r="K438" s="98" t="str">
        <f t="shared" si="45"/>
        <v/>
      </c>
      <c r="L438" s="98" t="str">
        <f t="shared" si="46"/>
        <v/>
      </c>
      <c r="M438" s="3" t="s">
        <v>238</v>
      </c>
      <c r="N438" s="3" t="s">
        <v>238</v>
      </c>
      <c r="O438" s="3" t="s">
        <v>238</v>
      </c>
    </row>
    <row r="439" spans="1:15" x14ac:dyDescent="0.2">
      <c r="A439" s="3" t="str">
        <f>+VLOOKUP(B439,studies!$A$2:$C$102,3)</f>
        <v>Anthoff et al. (2011)</v>
      </c>
      <c r="B439" s="87">
        <v>64</v>
      </c>
      <c r="C439" s="3">
        <v>16.454356955380579</v>
      </c>
      <c r="D439" s="90" t="str">
        <f t="shared" si="44"/>
        <v/>
      </c>
      <c r="K439" s="98" t="str">
        <f t="shared" si="45"/>
        <v/>
      </c>
      <c r="L439" s="98" t="str">
        <f t="shared" si="46"/>
        <v/>
      </c>
      <c r="M439" s="3" t="s">
        <v>238</v>
      </c>
      <c r="N439" s="3" t="s">
        <v>238</v>
      </c>
      <c r="O439" s="3" t="s">
        <v>238</v>
      </c>
    </row>
    <row r="440" spans="1:15" x14ac:dyDescent="0.2">
      <c r="A440" s="3" t="str">
        <f>+VLOOKUP(B440,studies!$A$2:$C$102,3)</f>
        <v>Anthoff et al. (2011)</v>
      </c>
      <c r="B440" s="87">
        <v>64</v>
      </c>
      <c r="C440" s="3">
        <v>92.287480314960632</v>
      </c>
      <c r="D440" s="90" t="str">
        <f t="shared" si="44"/>
        <v/>
      </c>
      <c r="K440" s="98" t="str">
        <f t="shared" si="45"/>
        <v/>
      </c>
      <c r="L440" s="98" t="str">
        <f t="shared" si="46"/>
        <v/>
      </c>
      <c r="M440" s="3" t="s">
        <v>238</v>
      </c>
      <c r="N440" s="3" t="s">
        <v>238</v>
      </c>
      <c r="O440" s="3" t="s">
        <v>238</v>
      </c>
    </row>
    <row r="441" spans="1:15" x14ac:dyDescent="0.2">
      <c r="A441" s="3" t="str">
        <f>+VLOOKUP(B441,studies!$A$2:$C$102,3)</f>
        <v>Anthoff et al. (2011)</v>
      </c>
      <c r="B441" s="87">
        <v>64</v>
      </c>
      <c r="C441" s="3">
        <v>75.546960629921259</v>
      </c>
      <c r="D441" s="90" t="str">
        <f t="shared" si="44"/>
        <v/>
      </c>
      <c r="K441" s="98" t="str">
        <f t="shared" si="45"/>
        <v/>
      </c>
      <c r="L441" s="98" t="str">
        <f t="shared" si="46"/>
        <v/>
      </c>
      <c r="M441" s="3" t="s">
        <v>238</v>
      </c>
      <c r="N441" s="3" t="s">
        <v>238</v>
      </c>
      <c r="O441" s="3" t="s">
        <v>238</v>
      </c>
    </row>
    <row r="442" spans="1:15" x14ac:dyDescent="0.2">
      <c r="A442" s="3" t="str">
        <f>+VLOOKUP(B442,studies!$A$2:$C$102,3)</f>
        <v>Anthoff et al. (2011)</v>
      </c>
      <c r="B442" s="87">
        <v>64</v>
      </c>
      <c r="C442" s="3">
        <v>2160.5286089238843</v>
      </c>
      <c r="D442" s="90" t="str">
        <f t="shared" si="44"/>
        <v/>
      </c>
      <c r="K442" s="98" t="str">
        <f t="shared" si="45"/>
        <v/>
      </c>
      <c r="L442" s="98" t="str">
        <f t="shared" si="46"/>
        <v/>
      </c>
      <c r="M442" s="3" t="s">
        <v>238</v>
      </c>
      <c r="N442" s="3" t="s">
        <v>238</v>
      </c>
      <c r="O442" s="3" t="s">
        <v>238</v>
      </c>
    </row>
    <row r="443" spans="1:15" x14ac:dyDescent="0.2">
      <c r="A443" s="3" t="str">
        <f>+VLOOKUP(B443,studies!$A$2:$C$102,3)</f>
        <v>Anthoff et al. (2011)</v>
      </c>
      <c r="B443" s="87">
        <v>64</v>
      </c>
      <c r="C443" s="3">
        <v>130.91944881889765</v>
      </c>
      <c r="D443" s="90" t="str">
        <f t="shared" si="44"/>
        <v/>
      </c>
      <c r="K443" s="98" t="str">
        <f t="shared" si="45"/>
        <v/>
      </c>
      <c r="L443" s="98" t="str">
        <f t="shared" si="46"/>
        <v/>
      </c>
      <c r="M443" s="3" t="s">
        <v>238</v>
      </c>
      <c r="N443" s="3" t="s">
        <v>238</v>
      </c>
      <c r="O443" s="3" t="s">
        <v>238</v>
      </c>
    </row>
    <row r="444" spans="1:15" x14ac:dyDescent="0.2">
      <c r="A444" s="3" t="str">
        <f>+VLOOKUP(B444,studies!$A$2:$C$102,3)</f>
        <v>Anthoff et al. (2011)</v>
      </c>
      <c r="B444" s="87">
        <v>64</v>
      </c>
      <c r="C444" s="3">
        <v>17.312845144356956</v>
      </c>
      <c r="D444" s="90" t="str">
        <f t="shared" si="44"/>
        <v/>
      </c>
      <c r="K444" s="98" t="str">
        <f t="shared" si="45"/>
        <v/>
      </c>
      <c r="L444" s="98" t="str">
        <f t="shared" si="46"/>
        <v/>
      </c>
      <c r="M444" s="3" t="s">
        <v>238</v>
      </c>
      <c r="N444" s="3" t="s">
        <v>238</v>
      </c>
      <c r="O444" s="3" t="s">
        <v>238</v>
      </c>
    </row>
    <row r="445" spans="1:15" x14ac:dyDescent="0.2">
      <c r="A445" s="3" t="str">
        <f>+VLOOKUP(B445,studies!$A$2:$C$102,3)</f>
        <v>Anthoff et al. (2011)</v>
      </c>
      <c r="B445" s="87">
        <v>64</v>
      </c>
      <c r="C445" s="3">
        <v>41.636677165354335</v>
      </c>
      <c r="D445" s="90" t="str">
        <f t="shared" si="44"/>
        <v/>
      </c>
      <c r="K445" s="98" t="str">
        <f t="shared" si="45"/>
        <v/>
      </c>
      <c r="L445" s="98" t="str">
        <f t="shared" si="46"/>
        <v/>
      </c>
      <c r="M445" s="3" t="s">
        <v>238</v>
      </c>
      <c r="N445" s="3" t="s">
        <v>238</v>
      </c>
      <c r="O445" s="3" t="s">
        <v>238</v>
      </c>
    </row>
    <row r="446" spans="1:15" x14ac:dyDescent="0.2">
      <c r="A446" s="3" t="str">
        <f>+VLOOKUP(B446,studies!$A$2:$C$102,3)</f>
        <v>Anthoff et al. (2011)</v>
      </c>
      <c r="B446" s="87">
        <v>64</v>
      </c>
      <c r="C446" s="3">
        <v>3.4482608923884519</v>
      </c>
      <c r="D446" s="90" t="str">
        <f t="shared" si="44"/>
        <v/>
      </c>
      <c r="K446" s="98" t="str">
        <f t="shared" si="45"/>
        <v/>
      </c>
      <c r="L446" s="98" t="str">
        <f t="shared" si="46"/>
        <v/>
      </c>
      <c r="M446" s="3" t="s">
        <v>238</v>
      </c>
      <c r="N446" s="3" t="s">
        <v>238</v>
      </c>
      <c r="O446" s="3" t="s">
        <v>238</v>
      </c>
    </row>
    <row r="447" spans="1:15" x14ac:dyDescent="0.2">
      <c r="A447" s="3" t="str">
        <f>+VLOOKUP(B447,studies!$A$2:$C$102,3)</f>
        <v>Anthoff et al. (2011)</v>
      </c>
      <c r="B447" s="87">
        <v>64</v>
      </c>
      <c r="C447" s="3">
        <v>107.31102362204724</v>
      </c>
      <c r="D447" s="90" t="str">
        <f t="shared" si="44"/>
        <v/>
      </c>
      <c r="K447" s="98" t="str">
        <f t="shared" si="45"/>
        <v/>
      </c>
      <c r="L447" s="98" t="str">
        <f t="shared" si="46"/>
        <v/>
      </c>
      <c r="M447" s="3" t="s">
        <v>238</v>
      </c>
      <c r="N447" s="3" t="s">
        <v>238</v>
      </c>
      <c r="O447" s="3" t="s">
        <v>238</v>
      </c>
    </row>
    <row r="448" spans="1:15" x14ac:dyDescent="0.2">
      <c r="A448" s="3" t="str">
        <f>+VLOOKUP(B448,studies!$A$2:$C$102,3)</f>
        <v>Anthoff et al. (2011)</v>
      </c>
      <c r="B448" s="87">
        <v>64</v>
      </c>
      <c r="C448" s="3">
        <v>7.3686902887139114</v>
      </c>
      <c r="D448" s="90" t="str">
        <f t="shared" si="44"/>
        <v/>
      </c>
      <c r="K448" s="98" t="str">
        <f t="shared" si="45"/>
        <v/>
      </c>
      <c r="L448" s="98" t="str">
        <f t="shared" si="46"/>
        <v/>
      </c>
      <c r="M448" s="3" t="s">
        <v>238</v>
      </c>
      <c r="N448" s="3" t="s">
        <v>238</v>
      </c>
      <c r="O448" s="3" t="s">
        <v>238</v>
      </c>
    </row>
    <row r="449" spans="1:15" x14ac:dyDescent="0.2">
      <c r="A449" s="3" t="str">
        <f>+VLOOKUP(B449,studies!$A$2:$C$102,3)</f>
        <v>Anthoff et al. (2011)</v>
      </c>
      <c r="B449" s="87">
        <v>64</v>
      </c>
      <c r="C449" s="3">
        <v>74.402309711286094</v>
      </c>
      <c r="D449" s="90" t="str">
        <f t="shared" si="44"/>
        <v/>
      </c>
      <c r="K449" s="98" t="str">
        <f t="shared" si="45"/>
        <v/>
      </c>
      <c r="L449" s="98" t="str">
        <f t="shared" si="46"/>
        <v/>
      </c>
      <c r="M449" s="3" t="s">
        <v>238</v>
      </c>
      <c r="N449" s="3" t="s">
        <v>238</v>
      </c>
      <c r="O449" s="3" t="s">
        <v>238</v>
      </c>
    </row>
    <row r="450" spans="1:15" x14ac:dyDescent="0.2">
      <c r="A450" s="3" t="str">
        <f>+VLOOKUP(B450,studies!$A$2:$C$102,3)</f>
        <v>Ceronsky et al. (2011)</v>
      </c>
      <c r="B450" s="87">
        <v>65</v>
      </c>
      <c r="C450" s="3">
        <v>644.55626634590897</v>
      </c>
      <c r="D450" s="90" t="str">
        <f t="shared" si="44"/>
        <v>Ceronsky et al. (2011)</v>
      </c>
      <c r="E450" s="90">
        <f>+PERCENTILE($C450:$C497,E$2)</f>
        <v>6.2357613471077986</v>
      </c>
      <c r="F450" s="90">
        <f t="shared" ref="F450:I450" si="53">+PERCENTILE($C450:$C497,F$2)</f>
        <v>17.192052312119632</v>
      </c>
      <c r="G450" s="98">
        <f t="shared" si="53"/>
        <v>155.01986152623127</v>
      </c>
      <c r="H450" s="90">
        <f t="shared" si="53"/>
        <v>525.96024446399895</v>
      </c>
      <c r="I450" s="90">
        <f t="shared" si="53"/>
        <v>1799.9787380072098</v>
      </c>
      <c r="J450" s="98">
        <f>+STDEV($C450:$C497)</f>
        <v>550.40666711032475</v>
      </c>
      <c r="K450" s="98">
        <f t="shared" si="45"/>
        <v>75.910255193430345</v>
      </c>
      <c r="L450" s="98">
        <f t="shared" si="46"/>
        <v>839.26473289845842</v>
      </c>
      <c r="M450" s="3" t="s">
        <v>238</v>
      </c>
      <c r="N450" s="3" t="s">
        <v>238</v>
      </c>
      <c r="O450" s="3" t="s">
        <v>238</v>
      </c>
    </row>
    <row r="451" spans="1:15" x14ac:dyDescent="0.2">
      <c r="A451" s="3" t="str">
        <f>+VLOOKUP(B451,studies!$A$2:$C$102,3)</f>
        <v>Ceronsky et al. (2011)</v>
      </c>
      <c r="B451" s="87">
        <v>65</v>
      </c>
      <c r="C451" s="3">
        <v>624.74169757939819</v>
      </c>
      <c r="D451" s="90" t="str">
        <f t="shared" si="44"/>
        <v/>
      </c>
      <c r="K451" s="98" t="str">
        <f t="shared" si="45"/>
        <v/>
      </c>
      <c r="L451" s="98" t="str">
        <f t="shared" si="46"/>
        <v/>
      </c>
      <c r="M451" s="3" t="s">
        <v>238</v>
      </c>
      <c r="N451" s="3" t="s">
        <v>238</v>
      </c>
      <c r="O451" s="3" t="s">
        <v>238</v>
      </c>
    </row>
    <row r="452" spans="1:15" x14ac:dyDescent="0.2">
      <c r="A452" s="3" t="str">
        <f>+VLOOKUP(B452,studies!$A$2:$C$102,3)</f>
        <v>Ceronsky et al. (2011)</v>
      </c>
      <c r="B452" s="87">
        <v>65</v>
      </c>
      <c r="C452" s="3">
        <v>673.69533806136599</v>
      </c>
      <c r="D452" s="90" t="str">
        <f t="shared" si="44"/>
        <v/>
      </c>
      <c r="K452" s="98" t="str">
        <f t="shared" si="45"/>
        <v/>
      </c>
      <c r="L452" s="98" t="str">
        <f t="shared" si="46"/>
        <v/>
      </c>
      <c r="M452" s="3" t="s">
        <v>238</v>
      </c>
      <c r="N452" s="3" t="s">
        <v>238</v>
      </c>
      <c r="O452" s="3" t="s">
        <v>238</v>
      </c>
    </row>
    <row r="453" spans="1:15" x14ac:dyDescent="0.2">
      <c r="A453" s="3" t="str">
        <f>+VLOOKUP(B453,studies!$A$2:$C$102,3)</f>
        <v>Ceronsky et al. (2011)</v>
      </c>
      <c r="B453" s="87">
        <v>65</v>
      </c>
      <c r="C453" s="3">
        <v>828.71519958759723</v>
      </c>
      <c r="D453" s="90" t="str">
        <f t="shared" ref="D453:D516" si="54">+IF(B453=B452,"",A453)</f>
        <v/>
      </c>
      <c r="K453" s="98" t="str">
        <f t="shared" si="45"/>
        <v/>
      </c>
      <c r="L453" s="98" t="str">
        <f t="shared" si="46"/>
        <v/>
      </c>
      <c r="M453" s="3" t="s">
        <v>238</v>
      </c>
      <c r="N453" s="3" t="s">
        <v>238</v>
      </c>
      <c r="O453" s="3" t="s">
        <v>238</v>
      </c>
    </row>
    <row r="454" spans="1:15" x14ac:dyDescent="0.2">
      <c r="A454" s="3" t="str">
        <f>+VLOOKUP(B454,studies!$A$2:$C$102,3)</f>
        <v>Ceronsky et al. (2011)</v>
      </c>
      <c r="B454" s="87">
        <v>65</v>
      </c>
      <c r="C454" s="3">
        <v>1190.0396888592641</v>
      </c>
      <c r="D454" s="90" t="str">
        <f t="shared" si="54"/>
        <v/>
      </c>
      <c r="K454" s="98" t="str">
        <f t="shared" si="45"/>
        <v/>
      </c>
      <c r="L454" s="98" t="str">
        <f t="shared" si="46"/>
        <v/>
      </c>
      <c r="M454" s="3" t="s">
        <v>238</v>
      </c>
      <c r="N454" s="3" t="s">
        <v>238</v>
      </c>
      <c r="O454" s="3" t="s">
        <v>238</v>
      </c>
    </row>
    <row r="455" spans="1:15" x14ac:dyDescent="0.2">
      <c r="A455" s="3" t="str">
        <f>+VLOOKUP(B455,studies!$A$2:$C$102,3)</f>
        <v>Ceronsky et al. (2011)</v>
      </c>
      <c r="B455" s="87">
        <v>65</v>
      </c>
      <c r="C455" s="3">
        <v>968.58274382179081</v>
      </c>
      <c r="D455" s="90" t="str">
        <f t="shared" si="54"/>
        <v/>
      </c>
      <c r="K455" s="98" t="str">
        <f t="shared" ref="K455:K518" si="55">+IF(I455="","",(G455-E455)/1.96)</f>
        <v/>
      </c>
      <c r="L455" s="98" t="str">
        <f t="shared" ref="L455:L518" si="56">+IF(I455="","",(I455-G455)/1.96)</f>
        <v/>
      </c>
      <c r="M455" s="3" t="s">
        <v>238</v>
      </c>
      <c r="N455" s="3" t="s">
        <v>238</v>
      </c>
      <c r="O455" s="3" t="s">
        <v>238</v>
      </c>
    </row>
    <row r="456" spans="1:15" x14ac:dyDescent="0.2">
      <c r="A456" s="3" t="str">
        <f>+VLOOKUP(B456,studies!$A$2:$C$102,3)</f>
        <v>Ceronsky et al. (2011)</v>
      </c>
      <c r="B456" s="87">
        <v>65</v>
      </c>
      <c r="C456" s="3">
        <v>1874.2250927381945</v>
      </c>
      <c r="D456" s="90" t="str">
        <f t="shared" si="54"/>
        <v/>
      </c>
      <c r="K456" s="98" t="str">
        <f t="shared" si="55"/>
        <v/>
      </c>
      <c r="L456" s="98" t="str">
        <f t="shared" si="56"/>
        <v/>
      </c>
      <c r="M456" s="3" t="s">
        <v>238</v>
      </c>
      <c r="N456" s="3" t="s">
        <v>238</v>
      </c>
      <c r="O456" s="3" t="s">
        <v>238</v>
      </c>
    </row>
    <row r="457" spans="1:15" x14ac:dyDescent="0.2">
      <c r="A457" s="3" t="str">
        <f>+VLOOKUP(B457,studies!$A$2:$C$102,3)</f>
        <v>Ceronsky et al. (2011)</v>
      </c>
      <c r="B457" s="87">
        <v>65</v>
      </c>
      <c r="C457" s="3">
        <v>2190.0926301337486</v>
      </c>
      <c r="D457" s="90" t="str">
        <f t="shared" si="54"/>
        <v/>
      </c>
      <c r="K457" s="98" t="str">
        <f t="shared" si="55"/>
        <v/>
      </c>
      <c r="L457" s="98" t="str">
        <f t="shared" si="56"/>
        <v/>
      </c>
      <c r="M457" s="3" t="s">
        <v>238</v>
      </c>
      <c r="N457" s="3" t="s">
        <v>238</v>
      </c>
      <c r="O457" s="3" t="s">
        <v>238</v>
      </c>
    </row>
    <row r="458" spans="1:15" x14ac:dyDescent="0.2">
      <c r="A458" s="3" t="str">
        <f>+VLOOKUP(B458,studies!$A$2:$C$102,3)</f>
        <v>Ceronsky et al. (2011)</v>
      </c>
      <c r="B458" s="87">
        <v>65</v>
      </c>
      <c r="C458" s="3">
        <v>418.4370698339626</v>
      </c>
      <c r="D458" s="90" t="str">
        <f t="shared" si="54"/>
        <v/>
      </c>
      <c r="K458" s="98" t="str">
        <f t="shared" si="55"/>
        <v/>
      </c>
      <c r="L458" s="98" t="str">
        <f t="shared" si="56"/>
        <v/>
      </c>
      <c r="M458" s="3" t="s">
        <v>238</v>
      </c>
      <c r="N458" s="3" t="s">
        <v>238</v>
      </c>
      <c r="O458" s="3" t="s">
        <v>238</v>
      </c>
    </row>
    <row r="459" spans="1:15" x14ac:dyDescent="0.2">
      <c r="A459" s="3" t="str">
        <f>+VLOOKUP(B459,studies!$A$2:$C$102,3)</f>
        <v>Ceronsky et al. (2011)</v>
      </c>
      <c r="B459" s="87">
        <v>65</v>
      </c>
      <c r="C459" s="3">
        <v>397.45693819883354</v>
      </c>
      <c r="D459" s="90" t="str">
        <f t="shared" si="54"/>
        <v/>
      </c>
      <c r="K459" s="98" t="str">
        <f t="shared" si="55"/>
        <v/>
      </c>
      <c r="L459" s="98" t="str">
        <f t="shared" si="56"/>
        <v/>
      </c>
      <c r="M459" s="3" t="s">
        <v>238</v>
      </c>
      <c r="N459" s="3" t="s">
        <v>238</v>
      </c>
      <c r="O459" s="3" t="s">
        <v>238</v>
      </c>
    </row>
    <row r="460" spans="1:15" x14ac:dyDescent="0.2">
      <c r="A460" s="3" t="str">
        <f>+VLOOKUP(B460,studies!$A$2:$C$102,3)</f>
        <v>Ceronsky et al. (2011)</v>
      </c>
      <c r="B460" s="87">
        <v>65</v>
      </c>
      <c r="C460" s="3">
        <v>427.76157278290884</v>
      </c>
      <c r="D460" s="90" t="str">
        <f t="shared" si="54"/>
        <v/>
      </c>
      <c r="K460" s="98" t="str">
        <f t="shared" si="55"/>
        <v/>
      </c>
      <c r="L460" s="98" t="str">
        <f t="shared" si="56"/>
        <v/>
      </c>
      <c r="M460" s="3" t="s">
        <v>238</v>
      </c>
      <c r="N460" s="3" t="s">
        <v>238</v>
      </c>
      <c r="O460" s="3" t="s">
        <v>238</v>
      </c>
    </row>
    <row r="461" spans="1:15" x14ac:dyDescent="0.2">
      <c r="A461" s="3" t="str">
        <f>+VLOOKUP(B461,studies!$A$2:$C$102,3)</f>
        <v>Ceronsky et al. (2011)</v>
      </c>
      <c r="B461" s="87">
        <v>65</v>
      </c>
      <c r="C461" s="3">
        <v>493.03309342553251</v>
      </c>
      <c r="D461" s="90" t="str">
        <f t="shared" si="54"/>
        <v/>
      </c>
      <c r="K461" s="98" t="str">
        <f t="shared" si="55"/>
        <v/>
      </c>
      <c r="L461" s="98" t="str">
        <f t="shared" si="56"/>
        <v/>
      </c>
      <c r="M461" s="3" t="s">
        <v>238</v>
      </c>
      <c r="N461" s="3" t="s">
        <v>238</v>
      </c>
      <c r="O461" s="3" t="s">
        <v>238</v>
      </c>
    </row>
    <row r="462" spans="1:15" x14ac:dyDescent="0.2">
      <c r="A462" s="3" t="str">
        <f>+VLOOKUP(B462,studies!$A$2:$C$102,3)</f>
        <v>Ceronsky et al. (2011)</v>
      </c>
      <c r="B462" s="87">
        <v>65</v>
      </c>
      <c r="C462" s="3">
        <v>679.52315240445739</v>
      </c>
      <c r="D462" s="90" t="str">
        <f t="shared" si="54"/>
        <v/>
      </c>
      <c r="K462" s="98" t="str">
        <f t="shared" si="55"/>
        <v/>
      </c>
      <c r="L462" s="98" t="str">
        <f t="shared" si="56"/>
        <v/>
      </c>
      <c r="M462" s="3" t="s">
        <v>238</v>
      </c>
      <c r="N462" s="3" t="s">
        <v>238</v>
      </c>
      <c r="O462" s="3" t="s">
        <v>238</v>
      </c>
    </row>
    <row r="463" spans="1:15" x14ac:dyDescent="0.2">
      <c r="A463" s="3" t="str">
        <f>+VLOOKUP(B463,studies!$A$2:$C$102,3)</f>
        <v>Ceronsky et al. (2011)</v>
      </c>
      <c r="B463" s="87">
        <v>65</v>
      </c>
      <c r="C463" s="3">
        <v>841.53639114239832</v>
      </c>
      <c r="D463" s="90" t="str">
        <f t="shared" si="54"/>
        <v/>
      </c>
      <c r="K463" s="98" t="str">
        <f t="shared" si="55"/>
        <v/>
      </c>
      <c r="L463" s="98" t="str">
        <f t="shared" si="56"/>
        <v/>
      </c>
      <c r="M463" s="3" t="s">
        <v>238</v>
      </c>
      <c r="N463" s="3" t="s">
        <v>238</v>
      </c>
      <c r="O463" s="3" t="s">
        <v>238</v>
      </c>
    </row>
    <row r="464" spans="1:15" x14ac:dyDescent="0.2">
      <c r="A464" s="3" t="str">
        <f>+VLOOKUP(B464,studies!$A$2:$C$102,3)</f>
        <v>Ceronsky et al. (2011)</v>
      </c>
      <c r="B464" s="87">
        <v>65</v>
      </c>
      <c r="C464" s="3">
        <v>1662.0926506496676</v>
      </c>
      <c r="D464" s="90" t="str">
        <f t="shared" si="54"/>
        <v/>
      </c>
      <c r="K464" s="98" t="str">
        <f t="shared" si="55"/>
        <v/>
      </c>
      <c r="L464" s="98" t="str">
        <f t="shared" si="56"/>
        <v/>
      </c>
      <c r="M464" s="3" t="s">
        <v>238</v>
      </c>
      <c r="N464" s="3" t="s">
        <v>238</v>
      </c>
      <c r="O464" s="3" t="s">
        <v>238</v>
      </c>
    </row>
    <row r="465" spans="1:15" x14ac:dyDescent="0.2">
      <c r="A465" s="3" t="str">
        <f>+VLOOKUP(B465,studies!$A$2:$C$102,3)</f>
        <v>Ceronsky et al. (2011)</v>
      </c>
      <c r="B465" s="87">
        <v>65</v>
      </c>
      <c r="C465" s="3">
        <v>1946.4899905925279</v>
      </c>
      <c r="D465" s="90" t="str">
        <f t="shared" si="54"/>
        <v/>
      </c>
      <c r="K465" s="98" t="str">
        <f t="shared" si="55"/>
        <v/>
      </c>
      <c r="L465" s="98" t="str">
        <f t="shared" si="56"/>
        <v/>
      </c>
      <c r="M465" s="3" t="s">
        <v>238</v>
      </c>
      <c r="N465" s="3" t="s">
        <v>238</v>
      </c>
      <c r="O465" s="3" t="s">
        <v>238</v>
      </c>
    </row>
    <row r="466" spans="1:15" x14ac:dyDescent="0.2">
      <c r="A466" s="3" t="str">
        <f>+VLOOKUP(B466,studies!$A$2:$C$102,3)</f>
        <v>Ceronsky et al. (2011)</v>
      </c>
      <c r="B466" s="87">
        <v>65</v>
      </c>
      <c r="C466" s="3">
        <v>125.88078981077426</v>
      </c>
      <c r="D466" s="90" t="str">
        <f t="shared" si="54"/>
        <v/>
      </c>
      <c r="K466" s="98" t="str">
        <f t="shared" si="55"/>
        <v/>
      </c>
      <c r="L466" s="98" t="str">
        <f t="shared" si="56"/>
        <v/>
      </c>
      <c r="M466" s="3" t="s">
        <v>238</v>
      </c>
      <c r="N466" s="3" t="s">
        <v>238</v>
      </c>
      <c r="O466" s="3" t="s">
        <v>238</v>
      </c>
    </row>
    <row r="467" spans="1:15" x14ac:dyDescent="0.2">
      <c r="A467" s="3" t="str">
        <f>+VLOOKUP(B467,studies!$A$2:$C$102,3)</f>
        <v>Ceronsky et al. (2011)</v>
      </c>
      <c r="B467" s="87">
        <v>65</v>
      </c>
      <c r="C467" s="3">
        <v>122.38410120491942</v>
      </c>
      <c r="D467" s="90" t="str">
        <f t="shared" si="54"/>
        <v/>
      </c>
      <c r="K467" s="98" t="str">
        <f t="shared" si="55"/>
        <v/>
      </c>
      <c r="L467" s="98" t="str">
        <f t="shared" si="56"/>
        <v/>
      </c>
      <c r="M467" s="3" t="s">
        <v>238</v>
      </c>
      <c r="N467" s="3" t="s">
        <v>238</v>
      </c>
      <c r="O467" s="3" t="s">
        <v>238</v>
      </c>
    </row>
    <row r="468" spans="1:15" x14ac:dyDescent="0.2">
      <c r="A468" s="3" t="str">
        <f>+VLOOKUP(B468,studies!$A$2:$C$102,3)</f>
        <v>Ceronsky et al. (2011)</v>
      </c>
      <c r="B468" s="87">
        <v>65</v>
      </c>
      <c r="C468" s="3">
        <v>130.54304128524737</v>
      </c>
      <c r="D468" s="90" t="str">
        <f t="shared" si="54"/>
        <v/>
      </c>
      <c r="K468" s="98" t="str">
        <f t="shared" si="55"/>
        <v/>
      </c>
      <c r="L468" s="98" t="str">
        <f t="shared" si="56"/>
        <v/>
      </c>
      <c r="M468" s="3" t="s">
        <v>238</v>
      </c>
      <c r="N468" s="3" t="s">
        <v>238</v>
      </c>
      <c r="O468" s="3" t="s">
        <v>238</v>
      </c>
    </row>
    <row r="469" spans="1:15" x14ac:dyDescent="0.2">
      <c r="A469" s="3" t="str">
        <f>+VLOOKUP(B469,studies!$A$2:$C$102,3)</f>
        <v>Ceronsky et al. (2011)</v>
      </c>
      <c r="B469" s="87">
        <v>65</v>
      </c>
      <c r="C469" s="3">
        <v>157.35098726346783</v>
      </c>
      <c r="D469" s="90" t="str">
        <f t="shared" si="54"/>
        <v/>
      </c>
      <c r="K469" s="98" t="str">
        <f t="shared" si="55"/>
        <v/>
      </c>
      <c r="L469" s="98" t="str">
        <f t="shared" si="56"/>
        <v/>
      </c>
      <c r="M469" s="3" t="s">
        <v>238</v>
      </c>
      <c r="N469" s="3" t="s">
        <v>238</v>
      </c>
      <c r="O469" s="3" t="s">
        <v>238</v>
      </c>
    </row>
    <row r="470" spans="1:15" x14ac:dyDescent="0.2">
      <c r="A470" s="3" t="str">
        <f>+VLOOKUP(B470,studies!$A$2:$C$102,3)</f>
        <v>Ceronsky et al. (2011)</v>
      </c>
      <c r="B470" s="87">
        <v>65</v>
      </c>
      <c r="C470" s="3">
        <v>217.9602564316184</v>
      </c>
      <c r="D470" s="90" t="str">
        <f t="shared" si="54"/>
        <v/>
      </c>
      <c r="K470" s="98" t="str">
        <f t="shared" si="55"/>
        <v/>
      </c>
      <c r="L470" s="98" t="str">
        <f t="shared" si="56"/>
        <v/>
      </c>
      <c r="M470" s="3" t="s">
        <v>238</v>
      </c>
      <c r="N470" s="3" t="s">
        <v>238</v>
      </c>
      <c r="O470" s="3" t="s">
        <v>238</v>
      </c>
    </row>
    <row r="471" spans="1:15" x14ac:dyDescent="0.2">
      <c r="A471" s="3" t="str">
        <f>+VLOOKUP(B471,studies!$A$2:$C$102,3)</f>
        <v>Ceronsky et al. (2011)</v>
      </c>
      <c r="B471" s="87">
        <v>65</v>
      </c>
      <c r="C471" s="3">
        <v>180.66224463583342</v>
      </c>
      <c r="D471" s="90" t="str">
        <f t="shared" si="54"/>
        <v/>
      </c>
      <c r="K471" s="98" t="str">
        <f t="shared" si="55"/>
        <v/>
      </c>
      <c r="L471" s="98" t="str">
        <f t="shared" si="56"/>
        <v/>
      </c>
      <c r="M471" s="3" t="s">
        <v>238</v>
      </c>
      <c r="N471" s="3" t="s">
        <v>238</v>
      </c>
      <c r="O471" s="3" t="s">
        <v>238</v>
      </c>
    </row>
    <row r="472" spans="1:15" x14ac:dyDescent="0.2">
      <c r="A472" s="3" t="str">
        <f>+VLOOKUP(B472,studies!$A$2:$C$102,3)</f>
        <v>Ceronsky et al. (2011)</v>
      </c>
      <c r="B472" s="87">
        <v>65</v>
      </c>
      <c r="C472" s="3">
        <v>300.71522010351629</v>
      </c>
      <c r="D472" s="90" t="str">
        <f t="shared" si="54"/>
        <v/>
      </c>
      <c r="K472" s="98" t="str">
        <f t="shared" si="55"/>
        <v/>
      </c>
      <c r="L472" s="98" t="str">
        <f t="shared" si="56"/>
        <v/>
      </c>
      <c r="M472" s="3" t="s">
        <v>238</v>
      </c>
      <c r="N472" s="3" t="s">
        <v>238</v>
      </c>
      <c r="O472" s="3" t="s">
        <v>238</v>
      </c>
    </row>
    <row r="473" spans="1:15" x14ac:dyDescent="0.2">
      <c r="A473" s="3" t="str">
        <f>+VLOOKUP(B473,studies!$A$2:$C$102,3)</f>
        <v>Ceronsky et al. (2011)</v>
      </c>
      <c r="B473" s="87">
        <v>65</v>
      </c>
      <c r="C473" s="3">
        <v>338.01323189930127</v>
      </c>
      <c r="D473" s="90" t="str">
        <f t="shared" si="54"/>
        <v/>
      </c>
      <c r="K473" s="98" t="str">
        <f t="shared" si="55"/>
        <v/>
      </c>
      <c r="L473" s="98" t="str">
        <f t="shared" si="56"/>
        <v/>
      </c>
      <c r="M473" s="3" t="s">
        <v>238</v>
      </c>
      <c r="N473" s="3" t="s">
        <v>238</v>
      </c>
      <c r="O473" s="3" t="s">
        <v>238</v>
      </c>
    </row>
    <row r="474" spans="1:15" x14ac:dyDescent="0.2">
      <c r="A474" s="3" t="str">
        <f>+VLOOKUP(B474,studies!$A$2:$C$102,3)</f>
        <v>Ceronsky et al. (2011)</v>
      </c>
      <c r="B474" s="87">
        <v>65</v>
      </c>
      <c r="C474" s="3">
        <v>99.072843832553815</v>
      </c>
      <c r="D474" s="90" t="str">
        <f t="shared" si="54"/>
        <v/>
      </c>
      <c r="K474" s="98" t="str">
        <f t="shared" si="55"/>
        <v/>
      </c>
      <c r="L474" s="98" t="str">
        <f t="shared" si="56"/>
        <v/>
      </c>
      <c r="M474" s="3" t="s">
        <v>238</v>
      </c>
      <c r="N474" s="3" t="s">
        <v>238</v>
      </c>
      <c r="O474" s="3" t="s">
        <v>238</v>
      </c>
    </row>
    <row r="475" spans="1:15" x14ac:dyDescent="0.2">
      <c r="A475" s="3" t="str">
        <f>+VLOOKUP(B475,studies!$A$2:$C$102,3)</f>
        <v>Ceronsky et al. (2011)</v>
      </c>
      <c r="B475" s="87">
        <v>65</v>
      </c>
      <c r="C475" s="3">
        <v>94.410592358080692</v>
      </c>
      <c r="D475" s="90" t="str">
        <f t="shared" si="54"/>
        <v/>
      </c>
      <c r="K475" s="98" t="str">
        <f t="shared" si="55"/>
        <v/>
      </c>
      <c r="L475" s="98" t="str">
        <f t="shared" si="56"/>
        <v/>
      </c>
      <c r="M475" s="3" t="s">
        <v>238</v>
      </c>
      <c r="N475" s="3" t="s">
        <v>238</v>
      </c>
      <c r="O475" s="3" t="s">
        <v>238</v>
      </c>
    </row>
    <row r="476" spans="1:15" x14ac:dyDescent="0.2">
      <c r="A476" s="3" t="str">
        <f>+VLOOKUP(B476,studies!$A$2:$C$102,3)</f>
        <v>Ceronsky et al. (2011)</v>
      </c>
      <c r="B476" s="87">
        <v>65</v>
      </c>
      <c r="C476" s="3">
        <v>101.40396956979038</v>
      </c>
      <c r="D476" s="90" t="str">
        <f t="shared" si="54"/>
        <v/>
      </c>
      <c r="K476" s="98" t="str">
        <f t="shared" si="55"/>
        <v/>
      </c>
      <c r="L476" s="98" t="str">
        <f t="shared" si="56"/>
        <v/>
      </c>
      <c r="M476" s="3" t="s">
        <v>238</v>
      </c>
      <c r="N476" s="3" t="s">
        <v>238</v>
      </c>
      <c r="O476" s="3" t="s">
        <v>238</v>
      </c>
    </row>
    <row r="477" spans="1:15" x14ac:dyDescent="0.2">
      <c r="A477" s="3" t="str">
        <f>+VLOOKUP(B477,studies!$A$2:$C$102,3)</f>
        <v>Ceronsky et al. (2011)</v>
      </c>
      <c r="B477" s="87">
        <v>65</v>
      </c>
      <c r="C477" s="3">
        <v>115.39072399320973</v>
      </c>
      <c r="D477" s="90" t="str">
        <f t="shared" si="54"/>
        <v/>
      </c>
      <c r="K477" s="98" t="str">
        <f t="shared" si="55"/>
        <v/>
      </c>
      <c r="L477" s="98" t="str">
        <f t="shared" si="56"/>
        <v/>
      </c>
      <c r="M477" s="3" t="s">
        <v>238</v>
      </c>
      <c r="N477" s="3" t="s">
        <v>238</v>
      </c>
      <c r="O477" s="3" t="s">
        <v>238</v>
      </c>
    </row>
    <row r="478" spans="1:15" x14ac:dyDescent="0.2">
      <c r="A478" s="3" t="str">
        <f>+VLOOKUP(B478,studies!$A$2:$C$102,3)</f>
        <v>Ceronsky et al. (2011)</v>
      </c>
      <c r="B478" s="87">
        <v>65</v>
      </c>
      <c r="C478" s="3">
        <v>152.68873578899471</v>
      </c>
      <c r="D478" s="90" t="str">
        <f t="shared" si="54"/>
        <v/>
      </c>
      <c r="K478" s="98" t="str">
        <f t="shared" si="55"/>
        <v/>
      </c>
      <c r="L478" s="98" t="str">
        <f t="shared" si="56"/>
        <v/>
      </c>
      <c r="M478" s="3" t="s">
        <v>238</v>
      </c>
      <c r="N478" s="3" t="s">
        <v>238</v>
      </c>
      <c r="O478" s="3" t="s">
        <v>238</v>
      </c>
    </row>
    <row r="479" spans="1:15" x14ac:dyDescent="0.2">
      <c r="A479" s="3" t="str">
        <f>+VLOOKUP(B479,studies!$A$2:$C$102,3)</f>
        <v>Ceronsky et al. (2011)</v>
      </c>
      <c r="B479" s="87">
        <v>65</v>
      </c>
      <c r="C479" s="3">
        <v>169.00661594965064</v>
      </c>
      <c r="D479" s="90" t="str">
        <f t="shared" si="54"/>
        <v/>
      </c>
      <c r="K479" s="98" t="str">
        <f t="shared" si="55"/>
        <v/>
      </c>
      <c r="L479" s="98" t="str">
        <f t="shared" si="56"/>
        <v/>
      </c>
      <c r="M479" s="3" t="s">
        <v>238</v>
      </c>
      <c r="N479" s="3" t="s">
        <v>238</v>
      </c>
      <c r="O479" s="3" t="s">
        <v>238</v>
      </c>
    </row>
    <row r="480" spans="1:15" x14ac:dyDescent="0.2">
      <c r="A480" s="3" t="str">
        <f>+VLOOKUP(B480,studies!$A$2:$C$102,3)</f>
        <v>Ceronsky et al. (2011)</v>
      </c>
      <c r="B480" s="87">
        <v>65</v>
      </c>
      <c r="C480" s="3">
        <v>275.07283699391411</v>
      </c>
      <c r="D480" s="90" t="str">
        <f t="shared" si="54"/>
        <v/>
      </c>
      <c r="K480" s="98" t="str">
        <f t="shared" si="55"/>
        <v/>
      </c>
      <c r="L480" s="98" t="str">
        <f t="shared" si="56"/>
        <v/>
      </c>
      <c r="M480" s="3" t="s">
        <v>238</v>
      </c>
      <c r="N480" s="3" t="s">
        <v>238</v>
      </c>
      <c r="O480" s="3" t="s">
        <v>238</v>
      </c>
    </row>
    <row r="481" spans="1:15" x14ac:dyDescent="0.2">
      <c r="A481" s="3" t="str">
        <f>+VLOOKUP(B481,studies!$A$2:$C$102,3)</f>
        <v>Ceronsky et al. (2011)</v>
      </c>
      <c r="B481" s="87">
        <v>65</v>
      </c>
      <c r="C481" s="3">
        <v>308.87416018384425</v>
      </c>
      <c r="D481" s="90" t="str">
        <f t="shared" si="54"/>
        <v/>
      </c>
      <c r="K481" s="98" t="str">
        <f t="shared" si="55"/>
        <v/>
      </c>
      <c r="L481" s="98" t="str">
        <f t="shared" si="56"/>
        <v/>
      </c>
      <c r="M481" s="3" t="s">
        <v>238</v>
      </c>
      <c r="N481" s="3" t="s">
        <v>238</v>
      </c>
      <c r="O481" s="3" t="s">
        <v>238</v>
      </c>
    </row>
    <row r="482" spans="1:15" x14ac:dyDescent="0.2">
      <c r="A482" s="3" t="str">
        <f>+VLOOKUP(B482,studies!$A$2:$C$102,3)</f>
        <v>Ceronsky et al. (2011)</v>
      </c>
      <c r="B482" s="87">
        <v>65</v>
      </c>
      <c r="C482" s="3">
        <v>9.3245029489462414</v>
      </c>
      <c r="D482" s="90" t="str">
        <f t="shared" si="54"/>
        <v/>
      </c>
      <c r="K482" s="98" t="str">
        <f t="shared" si="55"/>
        <v/>
      </c>
      <c r="L482" s="98" t="str">
        <f t="shared" si="56"/>
        <v/>
      </c>
      <c r="M482" s="3" t="s">
        <v>238</v>
      </c>
      <c r="N482" s="3" t="s">
        <v>238</v>
      </c>
      <c r="O482" s="3" t="s">
        <v>238</v>
      </c>
    </row>
    <row r="483" spans="1:15" x14ac:dyDescent="0.2">
      <c r="A483" s="3" t="str">
        <f>+VLOOKUP(B483,studies!$A$2:$C$102,3)</f>
        <v>Ceronsky et al. (2011)</v>
      </c>
      <c r="B483" s="87">
        <v>65</v>
      </c>
      <c r="C483" s="3">
        <v>9.3245029489462414</v>
      </c>
      <c r="D483" s="90" t="str">
        <f t="shared" si="54"/>
        <v/>
      </c>
      <c r="K483" s="98" t="str">
        <f t="shared" si="55"/>
        <v/>
      </c>
      <c r="L483" s="98" t="str">
        <f t="shared" si="56"/>
        <v/>
      </c>
      <c r="M483" s="3" t="s">
        <v>238</v>
      </c>
      <c r="N483" s="3" t="s">
        <v>238</v>
      </c>
      <c r="O483" s="3" t="s">
        <v>238</v>
      </c>
    </row>
    <row r="484" spans="1:15" x14ac:dyDescent="0.2">
      <c r="A484" s="3" t="str">
        <f>+VLOOKUP(B484,studies!$A$2:$C$102,3)</f>
        <v>Ceronsky et al. (2011)</v>
      </c>
      <c r="B484" s="87">
        <v>65</v>
      </c>
      <c r="C484" s="3">
        <v>9.3245029489462414</v>
      </c>
      <c r="D484" s="90" t="str">
        <f t="shared" si="54"/>
        <v/>
      </c>
      <c r="K484" s="98" t="str">
        <f t="shared" si="55"/>
        <v/>
      </c>
      <c r="L484" s="98" t="str">
        <f t="shared" si="56"/>
        <v/>
      </c>
      <c r="M484" s="3" t="s">
        <v>238</v>
      </c>
      <c r="N484" s="3" t="s">
        <v>238</v>
      </c>
      <c r="O484" s="3" t="s">
        <v>238</v>
      </c>
    </row>
    <row r="485" spans="1:15" x14ac:dyDescent="0.2">
      <c r="A485" s="3" t="str">
        <f>+VLOOKUP(B485,studies!$A$2:$C$102,3)</f>
        <v>Ceronsky et al. (2011)</v>
      </c>
      <c r="B485" s="87">
        <v>65</v>
      </c>
      <c r="C485" s="3">
        <v>12.821191554801082</v>
      </c>
      <c r="D485" s="90" t="str">
        <f t="shared" si="54"/>
        <v/>
      </c>
      <c r="K485" s="98" t="str">
        <f t="shared" si="55"/>
        <v/>
      </c>
      <c r="L485" s="98" t="str">
        <f t="shared" si="56"/>
        <v/>
      </c>
      <c r="M485" s="3" t="s">
        <v>238</v>
      </c>
      <c r="N485" s="3" t="s">
        <v>238</v>
      </c>
      <c r="O485" s="3" t="s">
        <v>238</v>
      </c>
    </row>
    <row r="486" spans="1:15" x14ac:dyDescent="0.2">
      <c r="A486" s="3" t="str">
        <f>+VLOOKUP(B486,studies!$A$2:$C$102,3)</f>
        <v>Ceronsky et al. (2011)</v>
      </c>
      <c r="B486" s="87">
        <v>65</v>
      </c>
      <c r="C486" s="3">
        <v>17.483443029274202</v>
      </c>
      <c r="D486" s="90" t="str">
        <f t="shared" si="54"/>
        <v/>
      </c>
      <c r="K486" s="98" t="str">
        <f t="shared" si="55"/>
        <v/>
      </c>
      <c r="L486" s="98" t="str">
        <f t="shared" si="56"/>
        <v/>
      </c>
      <c r="M486" s="3" t="s">
        <v>238</v>
      </c>
      <c r="N486" s="3" t="s">
        <v>238</v>
      </c>
      <c r="O486" s="3" t="s">
        <v>238</v>
      </c>
    </row>
    <row r="487" spans="1:15" x14ac:dyDescent="0.2">
      <c r="A487" s="3" t="str">
        <f>+VLOOKUP(B487,studies!$A$2:$C$102,3)</f>
        <v>Ceronsky et al. (2011)</v>
      </c>
      <c r="B487" s="87">
        <v>65</v>
      </c>
      <c r="C487" s="3">
        <v>13.986754423419363</v>
      </c>
      <c r="D487" s="90" t="str">
        <f t="shared" si="54"/>
        <v/>
      </c>
      <c r="K487" s="98" t="str">
        <f t="shared" si="55"/>
        <v/>
      </c>
      <c r="L487" s="98" t="str">
        <f t="shared" si="56"/>
        <v/>
      </c>
      <c r="M487" s="3" t="s">
        <v>238</v>
      </c>
      <c r="N487" s="3" t="s">
        <v>238</v>
      </c>
      <c r="O487" s="3" t="s">
        <v>238</v>
      </c>
    </row>
    <row r="488" spans="1:15" x14ac:dyDescent="0.2">
      <c r="A488" s="3" t="str">
        <f>+VLOOKUP(B488,studies!$A$2:$C$102,3)</f>
        <v>Ceronsky et al. (2011)</v>
      </c>
      <c r="B488" s="87">
        <v>65</v>
      </c>
      <c r="C488" s="3">
        <v>20.980131635129045</v>
      </c>
      <c r="D488" s="90" t="str">
        <f t="shared" si="54"/>
        <v/>
      </c>
      <c r="K488" s="98" t="str">
        <f t="shared" si="55"/>
        <v/>
      </c>
      <c r="L488" s="98" t="str">
        <f t="shared" si="56"/>
        <v/>
      </c>
      <c r="M488" s="3" t="s">
        <v>238</v>
      </c>
      <c r="N488" s="3" t="s">
        <v>238</v>
      </c>
      <c r="O488" s="3" t="s">
        <v>238</v>
      </c>
    </row>
    <row r="489" spans="1:15" x14ac:dyDescent="0.2">
      <c r="A489" s="3" t="str">
        <f>+VLOOKUP(B489,studies!$A$2:$C$102,3)</f>
        <v>Ceronsky et al. (2011)</v>
      </c>
      <c r="B489" s="87">
        <v>65</v>
      </c>
      <c r="C489" s="3">
        <v>22.145694503747322</v>
      </c>
      <c r="D489" s="90" t="str">
        <f t="shared" si="54"/>
        <v/>
      </c>
      <c r="K489" s="98" t="str">
        <f t="shared" si="55"/>
        <v/>
      </c>
      <c r="L489" s="98" t="str">
        <f t="shared" si="56"/>
        <v/>
      </c>
      <c r="M489" s="3" t="s">
        <v>238</v>
      </c>
      <c r="N489" s="3" t="s">
        <v>238</v>
      </c>
      <c r="O489" s="3" t="s">
        <v>238</v>
      </c>
    </row>
    <row r="490" spans="1:15" x14ac:dyDescent="0.2">
      <c r="A490" s="3" t="str">
        <f>+VLOOKUP(B490,studies!$A$2:$C$102,3)</f>
        <v>Ceronsky et al. (2011)</v>
      </c>
      <c r="B490" s="87">
        <v>65</v>
      </c>
      <c r="C490" s="3">
        <v>5.8278143430914007</v>
      </c>
      <c r="D490" s="90" t="str">
        <f t="shared" si="54"/>
        <v/>
      </c>
      <c r="K490" s="98" t="str">
        <f t="shared" si="55"/>
        <v/>
      </c>
      <c r="L490" s="98" t="str">
        <f t="shared" si="56"/>
        <v/>
      </c>
      <c r="M490" s="3" t="s">
        <v>238</v>
      </c>
      <c r="N490" s="3" t="s">
        <v>238</v>
      </c>
      <c r="O490" s="3" t="s">
        <v>238</v>
      </c>
    </row>
    <row r="491" spans="1:15" x14ac:dyDescent="0.2">
      <c r="A491" s="3" t="str">
        <f>+VLOOKUP(B491,studies!$A$2:$C$102,3)</f>
        <v>Ceronsky et al. (2011)</v>
      </c>
      <c r="B491" s="87">
        <v>65</v>
      </c>
      <c r="C491" s="3">
        <v>4.6622514744731207</v>
      </c>
      <c r="D491" s="90" t="str">
        <f t="shared" si="54"/>
        <v/>
      </c>
      <c r="K491" s="98" t="str">
        <f t="shared" si="55"/>
        <v/>
      </c>
      <c r="L491" s="98" t="str">
        <f t="shared" si="56"/>
        <v/>
      </c>
      <c r="M491" s="3" t="s">
        <v>238</v>
      </c>
      <c r="N491" s="3" t="s">
        <v>238</v>
      </c>
      <c r="O491" s="3" t="s">
        <v>238</v>
      </c>
    </row>
    <row r="492" spans="1:15" x14ac:dyDescent="0.2">
      <c r="A492" s="3" t="str">
        <f>+VLOOKUP(B492,studies!$A$2:$C$102,3)</f>
        <v>Ceronsky et al. (2011)</v>
      </c>
      <c r="B492" s="87">
        <v>65</v>
      </c>
      <c r="C492" s="3">
        <v>5.8278143430914007</v>
      </c>
      <c r="D492" s="90" t="str">
        <f t="shared" si="54"/>
        <v/>
      </c>
      <c r="K492" s="98" t="str">
        <f t="shared" si="55"/>
        <v/>
      </c>
      <c r="L492" s="98" t="str">
        <f t="shared" si="56"/>
        <v/>
      </c>
      <c r="M492" s="3" t="s">
        <v>238</v>
      </c>
      <c r="N492" s="3" t="s">
        <v>238</v>
      </c>
      <c r="O492" s="3" t="s">
        <v>238</v>
      </c>
    </row>
    <row r="493" spans="1:15" x14ac:dyDescent="0.2">
      <c r="A493" s="3" t="str">
        <f>+VLOOKUP(B493,studies!$A$2:$C$102,3)</f>
        <v>Ceronsky et al. (2011)</v>
      </c>
      <c r="B493" s="87">
        <v>65</v>
      </c>
      <c r="C493" s="3">
        <v>6.9933772117096815</v>
      </c>
      <c r="D493" s="90" t="str">
        <f t="shared" si="54"/>
        <v/>
      </c>
      <c r="K493" s="98" t="str">
        <f t="shared" si="55"/>
        <v/>
      </c>
      <c r="L493" s="98" t="str">
        <f t="shared" si="56"/>
        <v/>
      </c>
      <c r="M493" s="3" t="s">
        <v>238</v>
      </c>
      <c r="N493" s="3" t="s">
        <v>238</v>
      </c>
      <c r="O493" s="3" t="s">
        <v>238</v>
      </c>
    </row>
    <row r="494" spans="1:15" x14ac:dyDescent="0.2">
      <c r="A494" s="3" t="str">
        <f>+VLOOKUP(B494,studies!$A$2:$C$102,3)</f>
        <v>Ceronsky et al. (2011)</v>
      </c>
      <c r="B494" s="87">
        <v>65</v>
      </c>
      <c r="C494" s="3">
        <v>11.655628686182801</v>
      </c>
      <c r="D494" s="90" t="str">
        <f t="shared" si="54"/>
        <v/>
      </c>
      <c r="K494" s="98" t="str">
        <f t="shared" si="55"/>
        <v/>
      </c>
      <c r="L494" s="98" t="str">
        <f t="shared" si="56"/>
        <v/>
      </c>
      <c r="M494" s="3" t="s">
        <v>238</v>
      </c>
      <c r="N494" s="3" t="s">
        <v>238</v>
      </c>
      <c r="O494" s="3" t="s">
        <v>238</v>
      </c>
    </row>
    <row r="495" spans="1:15" x14ac:dyDescent="0.2">
      <c r="A495" s="3" t="str">
        <f>+VLOOKUP(B495,studies!$A$2:$C$102,3)</f>
        <v>Ceronsky et al. (2011)</v>
      </c>
      <c r="B495" s="87">
        <v>65</v>
      </c>
      <c r="C495" s="3">
        <v>10.490065817564522</v>
      </c>
      <c r="D495" s="90" t="str">
        <f t="shared" si="54"/>
        <v/>
      </c>
      <c r="K495" s="98" t="str">
        <f t="shared" si="55"/>
        <v/>
      </c>
      <c r="L495" s="98" t="str">
        <f t="shared" si="56"/>
        <v/>
      </c>
      <c r="M495" s="3" t="s">
        <v>238</v>
      </c>
      <c r="N495" s="3" t="s">
        <v>238</v>
      </c>
      <c r="O495" s="3" t="s">
        <v>238</v>
      </c>
    </row>
    <row r="496" spans="1:15" x14ac:dyDescent="0.2">
      <c r="A496" s="3" t="str">
        <f>+VLOOKUP(B496,studies!$A$2:$C$102,3)</f>
        <v>Ceronsky et al. (2011)</v>
      </c>
      <c r="B496" s="87">
        <v>65</v>
      </c>
      <c r="C496" s="3">
        <v>16.317880160655921</v>
      </c>
      <c r="D496" s="90" t="str">
        <f t="shared" si="54"/>
        <v/>
      </c>
      <c r="K496" s="98" t="str">
        <f t="shared" si="55"/>
        <v/>
      </c>
      <c r="L496" s="98" t="str">
        <f t="shared" si="56"/>
        <v/>
      </c>
      <c r="M496" s="3" t="s">
        <v>238</v>
      </c>
      <c r="N496" s="3" t="s">
        <v>238</v>
      </c>
      <c r="O496" s="3" t="s">
        <v>238</v>
      </c>
    </row>
    <row r="497" spans="1:15" x14ac:dyDescent="0.2">
      <c r="A497" s="3" t="str">
        <f>+VLOOKUP(B497,studies!$A$2:$C$102,3)</f>
        <v>Ceronsky et al. (2011)</v>
      </c>
      <c r="B497" s="87">
        <v>65</v>
      </c>
      <c r="C497" s="3">
        <v>17.483443029274202</v>
      </c>
      <c r="D497" s="90" t="str">
        <f t="shared" si="54"/>
        <v/>
      </c>
      <c r="K497" s="98" t="str">
        <f t="shared" si="55"/>
        <v/>
      </c>
      <c r="L497" s="98" t="str">
        <f t="shared" si="56"/>
        <v/>
      </c>
      <c r="M497" s="3" t="s">
        <v>238</v>
      </c>
      <c r="N497" s="3" t="s">
        <v>238</v>
      </c>
      <c r="O497" s="3" t="s">
        <v>238</v>
      </c>
    </row>
    <row r="498" spans="1:15" x14ac:dyDescent="0.2">
      <c r="A498" s="3" t="str">
        <f>+VLOOKUP(B498,studies!$A$2:$C$102,3)</f>
        <v>Dietz (2011)</v>
      </c>
      <c r="B498" s="87">
        <v>66</v>
      </c>
      <c r="C498" s="3">
        <v>2614.6574412128552</v>
      </c>
      <c r="D498" s="90" t="str">
        <f t="shared" si="54"/>
        <v>Dietz (2011)</v>
      </c>
      <c r="F498" s="1">
        <f>+C499</f>
        <v>2035.8046839588494</v>
      </c>
      <c r="G498" s="7">
        <f>+MEDIAN(C498:C499)</f>
        <v>2325.2310625858522</v>
      </c>
      <c r="H498" s="1">
        <f>+C498</f>
        <v>2614.6574412128552</v>
      </c>
      <c r="J498" s="98">
        <f>+STDEV(C498:C499)</f>
        <v>409.31070996283887</v>
      </c>
      <c r="K498" s="98">
        <f>G498-F498/1.1505</f>
        <v>555.73546592453158</v>
      </c>
      <c r="L498" s="98">
        <f>H498-G498/1.1505</f>
        <v>593.59610910868128</v>
      </c>
      <c r="M498" s="3" t="s">
        <v>238</v>
      </c>
      <c r="N498" s="3">
        <v>1270.6160996868305</v>
      </c>
      <c r="O498" s="3">
        <v>4251.1576952569931</v>
      </c>
    </row>
    <row r="499" spans="1:15" x14ac:dyDescent="0.2">
      <c r="A499" s="3" t="str">
        <f>+VLOOKUP(B499,studies!$A$2:$C$102,3)</f>
        <v>Dietz (2011)</v>
      </c>
      <c r="B499" s="87">
        <v>66</v>
      </c>
      <c r="C499" s="3">
        <v>2035.8046839588494</v>
      </c>
      <c r="D499" s="90" t="str">
        <f t="shared" si="54"/>
        <v/>
      </c>
      <c r="K499" s="98" t="str">
        <f t="shared" si="55"/>
        <v/>
      </c>
      <c r="L499" s="98" t="str">
        <f t="shared" si="56"/>
        <v/>
      </c>
      <c r="M499" s="3"/>
      <c r="N499" s="3">
        <v>1024.6652405719685</v>
      </c>
      <c r="O499" s="3">
        <v>3037.1240937758994</v>
      </c>
    </row>
    <row r="500" spans="1:15" x14ac:dyDescent="0.2">
      <c r="A500" s="3" t="str">
        <f>+VLOOKUP(B500,studies!$A$2:$C$102,3)</f>
        <v>Hope (2011)</v>
      </c>
      <c r="B500" s="87">
        <v>67</v>
      </c>
      <c r="C500" s="3">
        <v>502.20171035306595</v>
      </c>
      <c r="D500" s="90" t="str">
        <f t="shared" si="54"/>
        <v>Hope (2011)</v>
      </c>
      <c r="F500" s="1">
        <f>+C501</f>
        <v>260.22776977146725</v>
      </c>
      <c r="G500" s="7">
        <f>+MEDIAN(C500:C501)</f>
        <v>381.21474006226663</v>
      </c>
      <c r="H500" s="1">
        <f>+C500</f>
        <v>502.20171035306595</v>
      </c>
      <c r="J500" s="98">
        <f>+STDEV(C500:C501)</f>
        <v>171.10141425567903</v>
      </c>
      <c r="K500" s="98">
        <f>G500-F500/1.1505</f>
        <v>155.02806490236463</v>
      </c>
      <c r="L500" s="98">
        <f>H500-G500/1.1505</f>
        <v>170.85469595735401</v>
      </c>
      <c r="M500" s="3">
        <v>1279.24409416868</v>
      </c>
      <c r="N500" s="3">
        <v>231.12245633852109</v>
      </c>
      <c r="O500" s="3">
        <v>421.55310191080542</v>
      </c>
    </row>
    <row r="501" spans="1:15" x14ac:dyDescent="0.2">
      <c r="A501" s="3" t="str">
        <f>+VLOOKUP(B501,studies!$A$2:$C$102,3)</f>
        <v>Hope (2011)</v>
      </c>
      <c r="B501" s="87">
        <v>67</v>
      </c>
      <c r="C501" s="3">
        <v>260.22776977146725</v>
      </c>
      <c r="D501" s="90" t="str">
        <f t="shared" si="54"/>
        <v/>
      </c>
      <c r="K501" s="98" t="str">
        <f t="shared" si="55"/>
        <v/>
      </c>
      <c r="L501" s="98" t="str">
        <f t="shared" si="56"/>
        <v/>
      </c>
      <c r="M501" s="3">
        <v>984.03391859129226</v>
      </c>
      <c r="N501" s="3">
        <v>120.21781724830863</v>
      </c>
      <c r="O501" s="3">
        <v>193.56850883309829</v>
      </c>
    </row>
    <row r="502" spans="1:15" x14ac:dyDescent="0.2">
      <c r="A502" s="3" t="str">
        <f>+VLOOKUP(B502,studies!$A$2:$C$102,3)</f>
        <v>Nordhaus (2011)</v>
      </c>
      <c r="B502" s="87">
        <v>68</v>
      </c>
      <c r="C502" s="3">
        <v>45.229849896978997</v>
      </c>
      <c r="D502" s="90" t="str">
        <f t="shared" si="54"/>
        <v>Nordhaus (2011)</v>
      </c>
      <c r="K502" s="98" t="str">
        <f t="shared" si="55"/>
        <v/>
      </c>
      <c r="L502" s="98" t="str">
        <f t="shared" si="56"/>
        <v/>
      </c>
      <c r="M502" s="3">
        <v>21.606703451920119</v>
      </c>
      <c r="N502" s="3"/>
      <c r="O502" s="3"/>
    </row>
    <row r="503" spans="1:15" x14ac:dyDescent="0.2">
      <c r="A503" s="3" t="str">
        <f>+VLOOKUP(B503,studies!$A$2:$C$102,3)</f>
        <v>Pycroft et al. (2011)</v>
      </c>
      <c r="B503" s="87">
        <v>69</v>
      </c>
      <c r="C503" s="3">
        <v>241.08831005486661</v>
      </c>
      <c r="D503" s="90" t="str">
        <f t="shared" si="54"/>
        <v>Pycroft et al. (2011)</v>
      </c>
      <c r="E503" s="90">
        <f>+PERCENTILE($C503:$C513,E$2)</f>
        <v>238.6282252583884</v>
      </c>
      <c r="F503" s="90">
        <f t="shared" ref="F503:I503" si="57">+PERCENTILE($C503:$C513,F$2)</f>
        <v>246.00847964782312</v>
      </c>
      <c r="G503" s="98">
        <f t="shared" si="57"/>
        <v>265.68915801964891</v>
      </c>
      <c r="H503" s="90">
        <f t="shared" si="57"/>
        <v>280.44966679851831</v>
      </c>
      <c r="I503" s="90">
        <f t="shared" si="57"/>
        <v>282.90975159499652</v>
      </c>
      <c r="J503" s="98">
        <f>+STDEV($C503:$C513)</f>
        <v>18.776514889900533</v>
      </c>
      <c r="K503" s="98">
        <f t="shared" si="55"/>
        <v>13.806598347581897</v>
      </c>
      <c r="L503" s="98">
        <f t="shared" si="56"/>
        <v>8.7860171302793919</v>
      </c>
      <c r="M503" s="3" t="s">
        <v>238</v>
      </c>
      <c r="N503" s="3">
        <v>95.391043128747711</v>
      </c>
      <c r="O503" s="3">
        <v>456.87289077452857</v>
      </c>
    </row>
    <row r="504" spans="1:15" x14ac:dyDescent="0.2">
      <c r="A504" s="3" t="str">
        <f>+VLOOKUP(B504,studies!$A$2:$C$102,3)</f>
        <v>Pycroft et al. (2011)</v>
      </c>
      <c r="B504" s="87">
        <v>69</v>
      </c>
      <c r="C504" s="3">
        <v>280.44966679851831</v>
      </c>
      <c r="D504" s="90" t="str">
        <f t="shared" si="54"/>
        <v/>
      </c>
      <c r="K504" s="98" t="str">
        <f t="shared" si="55"/>
        <v/>
      </c>
      <c r="L504" s="98" t="str">
        <f t="shared" si="56"/>
        <v/>
      </c>
      <c r="M504" s="3" t="s">
        <v>238</v>
      </c>
      <c r="N504" s="3">
        <v>112.96307738930652</v>
      </c>
      <c r="O504" s="3">
        <v>795.76212294244817</v>
      </c>
    </row>
    <row r="505" spans="1:15" x14ac:dyDescent="0.2">
      <c r="A505" s="3" t="str">
        <f>+VLOOKUP(B505,studies!$A$2:$C$102,3)</f>
        <v>Pycroft et al. (2011)</v>
      </c>
      <c r="B505" s="87">
        <v>69</v>
      </c>
      <c r="C505" s="3">
        <v>280.44966679851831</v>
      </c>
      <c r="D505" s="90" t="str">
        <f t="shared" si="54"/>
        <v/>
      </c>
      <c r="K505" s="98" t="str">
        <f t="shared" si="55"/>
        <v/>
      </c>
      <c r="L505" s="98" t="str">
        <f t="shared" si="56"/>
        <v/>
      </c>
      <c r="M505" s="3" t="s">
        <v>238</v>
      </c>
      <c r="N505" s="3">
        <v>115.47336799795778</v>
      </c>
      <c r="O505" s="3">
        <v>883.62229424524207</v>
      </c>
    </row>
    <row r="506" spans="1:15" x14ac:dyDescent="0.2">
      <c r="A506" s="3" t="str">
        <f>+VLOOKUP(B506,studies!$A$2:$C$102,3)</f>
        <v>Pycroft et al. (2011)</v>
      </c>
      <c r="B506" s="87">
        <v>69</v>
      </c>
      <c r="C506" s="3">
        <v>265.68915801964891</v>
      </c>
      <c r="D506" s="90" t="str">
        <f t="shared" si="54"/>
        <v/>
      </c>
      <c r="K506" s="98" t="str">
        <f t="shared" si="55"/>
        <v/>
      </c>
      <c r="L506" s="98" t="str">
        <f t="shared" si="56"/>
        <v/>
      </c>
      <c r="M506" s="3" t="s">
        <v>238</v>
      </c>
      <c r="N506" s="3">
        <v>105.43220556335275</v>
      </c>
      <c r="O506" s="3">
        <v>1280.2482104121405</v>
      </c>
    </row>
    <row r="507" spans="1:15" x14ac:dyDescent="0.2">
      <c r="A507" s="3" t="str">
        <f>+VLOOKUP(B507,studies!$A$2:$C$102,3)</f>
        <v>Pycroft et al. (2011)</v>
      </c>
      <c r="B507" s="87">
        <v>69</v>
      </c>
      <c r="C507" s="3">
        <v>236.16814046191016</v>
      </c>
      <c r="D507" s="90" t="str">
        <f t="shared" si="54"/>
        <v/>
      </c>
      <c r="K507" s="98" t="str">
        <f t="shared" si="55"/>
        <v/>
      </c>
      <c r="L507" s="98" t="str">
        <f t="shared" si="56"/>
        <v/>
      </c>
      <c r="M507" s="3" t="s">
        <v>238</v>
      </c>
      <c r="N507" s="3">
        <v>92.880752520096451</v>
      </c>
      <c r="O507" s="3">
        <v>446.83172833992353</v>
      </c>
    </row>
    <row r="508" spans="1:15" x14ac:dyDescent="0.2">
      <c r="A508" s="3" t="str">
        <f>+VLOOKUP(B508,studies!$A$2:$C$102,3)</f>
        <v>Pycroft et al. (2011)</v>
      </c>
      <c r="B508" s="87">
        <v>69</v>
      </c>
      <c r="C508" s="3">
        <v>246.00847964782312</v>
      </c>
      <c r="D508" s="90" t="str">
        <f t="shared" si="54"/>
        <v/>
      </c>
      <c r="K508" s="98" t="str">
        <f t="shared" si="55"/>
        <v/>
      </c>
      <c r="L508" s="98" t="str">
        <f t="shared" si="56"/>
        <v/>
      </c>
      <c r="M508" s="3" t="s">
        <v>238</v>
      </c>
      <c r="N508" s="3">
        <v>97.901333737398971</v>
      </c>
      <c r="O508" s="3">
        <v>627.57265216281405</v>
      </c>
    </row>
    <row r="509" spans="1:15" x14ac:dyDescent="0.2">
      <c r="A509" s="3" t="str">
        <f>+VLOOKUP(B509,studies!$A$2:$C$102,3)</f>
        <v>Pycroft et al. (2011)</v>
      </c>
      <c r="B509" s="87">
        <v>69</v>
      </c>
      <c r="C509" s="3">
        <v>246.00847964782312</v>
      </c>
      <c r="D509" s="90" t="str">
        <f t="shared" si="54"/>
        <v/>
      </c>
      <c r="K509" s="98" t="str">
        <f t="shared" si="55"/>
        <v/>
      </c>
      <c r="L509" s="98" t="str">
        <f t="shared" si="56"/>
        <v/>
      </c>
      <c r="M509" s="3" t="s">
        <v>238</v>
      </c>
      <c r="N509" s="3">
        <v>97.901333737398971</v>
      </c>
      <c r="O509" s="3">
        <v>627.57265216281405</v>
      </c>
    </row>
    <row r="510" spans="1:15" x14ac:dyDescent="0.2">
      <c r="A510" s="3" t="str">
        <f>+VLOOKUP(B510,studies!$A$2:$C$102,3)</f>
        <v>Pycroft et al. (2011)</v>
      </c>
      <c r="B510" s="87">
        <v>69</v>
      </c>
      <c r="C510" s="3">
        <v>246.00847964782312</v>
      </c>
      <c r="D510" s="90" t="str">
        <f t="shared" si="54"/>
        <v/>
      </c>
      <c r="K510" s="98" t="str">
        <f t="shared" si="55"/>
        <v/>
      </c>
      <c r="L510" s="98" t="str">
        <f t="shared" si="56"/>
        <v/>
      </c>
      <c r="M510" s="3" t="s">
        <v>238</v>
      </c>
      <c r="N510" s="3">
        <v>97.901333737398971</v>
      </c>
      <c r="O510" s="3">
        <v>773.1695074645869</v>
      </c>
    </row>
    <row r="511" spans="1:15" x14ac:dyDescent="0.2">
      <c r="A511" s="3" t="str">
        <f>+VLOOKUP(B511,studies!$A$2:$C$102,3)</f>
        <v>Pycroft et al. (2011)</v>
      </c>
      <c r="B511" s="87">
        <v>69</v>
      </c>
      <c r="C511" s="3">
        <v>285.36983639147473</v>
      </c>
      <c r="D511" s="90" t="str">
        <f t="shared" si="54"/>
        <v/>
      </c>
      <c r="K511" s="98" t="str">
        <f t="shared" si="55"/>
        <v/>
      </c>
      <c r="L511" s="98" t="str">
        <f t="shared" si="56"/>
        <v/>
      </c>
      <c r="M511" s="3" t="s">
        <v>238</v>
      </c>
      <c r="N511" s="3">
        <v>115.47336799795778</v>
      </c>
      <c r="O511" s="3">
        <v>1081.9352523286911</v>
      </c>
    </row>
    <row r="512" spans="1:15" x14ac:dyDescent="0.2">
      <c r="A512" s="3" t="str">
        <f>+VLOOKUP(B512,studies!$A$2:$C$102,3)</f>
        <v>Pycroft et al. (2011)</v>
      </c>
      <c r="B512" s="87">
        <v>69</v>
      </c>
      <c r="C512" s="3">
        <v>280.44966679851831</v>
      </c>
      <c r="D512" s="90" t="str">
        <f t="shared" si="54"/>
        <v/>
      </c>
      <c r="K512" s="98" t="str">
        <f t="shared" si="55"/>
        <v/>
      </c>
      <c r="L512" s="98" t="str">
        <f t="shared" si="56"/>
        <v/>
      </c>
      <c r="M512" s="3" t="s">
        <v>238</v>
      </c>
      <c r="N512" s="3">
        <v>112.96307738930652</v>
      </c>
      <c r="O512" s="3">
        <v>1240.0835606737205</v>
      </c>
    </row>
    <row r="513" spans="1:15" x14ac:dyDescent="0.2">
      <c r="A513" s="3" t="str">
        <f>+VLOOKUP(B513,studies!$A$2:$C$102,3)</f>
        <v>Pycroft et al. (2011)</v>
      </c>
      <c r="B513" s="87">
        <v>69</v>
      </c>
      <c r="C513" s="3">
        <v>270.6093276126054</v>
      </c>
      <c r="D513" s="90" t="str">
        <f t="shared" si="54"/>
        <v/>
      </c>
      <c r="K513" s="98" t="str">
        <f t="shared" si="55"/>
        <v/>
      </c>
      <c r="L513" s="98" t="str">
        <f t="shared" si="56"/>
        <v/>
      </c>
      <c r="M513" s="3" t="s">
        <v>238</v>
      </c>
      <c r="N513" s="3">
        <v>110.45278678065525</v>
      </c>
      <c r="O513" s="3">
        <v>1968.067837182585</v>
      </c>
    </row>
    <row r="514" spans="1:15" x14ac:dyDescent="0.2">
      <c r="A514" s="3" t="str">
        <f>+VLOOKUP(B514,studies!$A$2:$C$102,3)</f>
        <v>Waldhoff et al. (2011)</v>
      </c>
      <c r="B514" s="87">
        <v>70</v>
      </c>
      <c r="C514" s="3">
        <v>41.970533683289588</v>
      </c>
      <c r="D514" s="90" t="str">
        <f t="shared" si="54"/>
        <v>Waldhoff et al. (2011)</v>
      </c>
      <c r="E514" s="90">
        <f>+PERCENTILE($C514:$C526,E$2)</f>
        <v>6.9251380577427835</v>
      </c>
      <c r="F514" s="90">
        <f t="shared" ref="F514:I514" si="58">+PERCENTILE($C514:$C526,F$2)</f>
        <v>15.738950131233596</v>
      </c>
      <c r="G514" s="98">
        <f t="shared" si="58"/>
        <v>41.970533683289588</v>
      </c>
      <c r="H514" s="90">
        <f t="shared" si="58"/>
        <v>73.448433945756776</v>
      </c>
      <c r="I514" s="90">
        <f t="shared" si="58"/>
        <v>185.71961154855626</v>
      </c>
      <c r="J514" s="98">
        <f>+STDEV($C514:$C526)</f>
        <v>71.052450933914784</v>
      </c>
      <c r="K514" s="98">
        <f t="shared" si="55"/>
        <v>17.880303890585104</v>
      </c>
      <c r="L514" s="98">
        <f t="shared" si="56"/>
        <v>73.341366257789119</v>
      </c>
      <c r="M514" s="3" t="s">
        <v>238</v>
      </c>
      <c r="N514" s="3" t="s">
        <v>238</v>
      </c>
      <c r="O514" s="3" t="s">
        <v>238</v>
      </c>
    </row>
    <row r="515" spans="1:15" x14ac:dyDescent="0.2">
      <c r="A515" s="3" t="str">
        <f>+VLOOKUP(B515,studies!$A$2:$C$102,3)</f>
        <v>Waldhoff et al. (2011)</v>
      </c>
      <c r="B515" s="87">
        <v>70</v>
      </c>
      <c r="C515" s="3">
        <v>73.448433945756776</v>
      </c>
      <c r="D515" s="90" t="str">
        <f t="shared" si="54"/>
        <v/>
      </c>
      <c r="K515" s="98" t="str">
        <f t="shared" si="55"/>
        <v/>
      </c>
      <c r="L515" s="98" t="str">
        <f t="shared" si="56"/>
        <v/>
      </c>
      <c r="M515" s="3" t="s">
        <v>238</v>
      </c>
      <c r="N515" s="3" t="s">
        <v>238</v>
      </c>
      <c r="O515" s="3" t="s">
        <v>238</v>
      </c>
    </row>
    <row r="516" spans="1:15" x14ac:dyDescent="0.2">
      <c r="A516" s="3" t="str">
        <f>+VLOOKUP(B516,studies!$A$2:$C$102,3)</f>
        <v>Waldhoff et al. (2011)</v>
      </c>
      <c r="B516" s="87">
        <v>70</v>
      </c>
      <c r="C516" s="3">
        <v>36.724216972878388</v>
      </c>
      <c r="D516" s="90" t="str">
        <f t="shared" si="54"/>
        <v/>
      </c>
      <c r="K516" s="98" t="str">
        <f t="shared" si="55"/>
        <v/>
      </c>
      <c r="L516" s="98" t="str">
        <f t="shared" si="56"/>
        <v/>
      </c>
      <c r="M516" s="3" t="s">
        <v>238</v>
      </c>
      <c r="N516" s="3" t="s">
        <v>238</v>
      </c>
      <c r="O516" s="3" t="s">
        <v>238</v>
      </c>
    </row>
    <row r="517" spans="1:15" x14ac:dyDescent="0.2">
      <c r="A517" s="3" t="str">
        <f>+VLOOKUP(B517,studies!$A$2:$C$102,3)</f>
        <v>Waldhoff et al. (2011)</v>
      </c>
      <c r="B517" s="87">
        <v>70</v>
      </c>
      <c r="C517" s="3">
        <v>15.738950131233596</v>
      </c>
      <c r="D517" s="90" t="str">
        <f t="shared" ref="D517:D580" si="59">+IF(B517=B516,"",A517)</f>
        <v/>
      </c>
      <c r="K517" s="98" t="str">
        <f t="shared" si="55"/>
        <v/>
      </c>
      <c r="L517" s="98" t="str">
        <f t="shared" si="56"/>
        <v/>
      </c>
      <c r="M517" s="3" t="s">
        <v>238</v>
      </c>
      <c r="N517" s="3" t="s">
        <v>238</v>
      </c>
      <c r="O517" s="3" t="s">
        <v>238</v>
      </c>
    </row>
    <row r="518" spans="1:15" x14ac:dyDescent="0.2">
      <c r="A518" s="3" t="str">
        <f>+VLOOKUP(B518,studies!$A$2:$C$102,3)</f>
        <v>Waldhoff et al. (2011)</v>
      </c>
      <c r="B518" s="87">
        <v>70</v>
      </c>
      <c r="C518" s="3">
        <v>94.433700787401577</v>
      </c>
      <c r="D518" s="90" t="str">
        <f t="shared" si="59"/>
        <v/>
      </c>
      <c r="K518" s="98" t="str">
        <f t="shared" si="55"/>
        <v/>
      </c>
      <c r="L518" s="98" t="str">
        <f t="shared" si="56"/>
        <v/>
      </c>
      <c r="M518" s="3" t="s">
        <v>238</v>
      </c>
      <c r="N518" s="3" t="s">
        <v>238</v>
      </c>
      <c r="O518" s="3" t="s">
        <v>238</v>
      </c>
    </row>
    <row r="519" spans="1:15" x14ac:dyDescent="0.2">
      <c r="A519" s="3" t="str">
        <f>+VLOOKUP(B519,studies!$A$2:$C$102,3)</f>
        <v>Waldhoff et al. (2011)</v>
      </c>
      <c r="B519" s="87">
        <v>70</v>
      </c>
      <c r="C519" s="3">
        <v>267.56215223097115</v>
      </c>
      <c r="D519" s="90" t="str">
        <f t="shared" si="59"/>
        <v/>
      </c>
      <c r="K519" s="98" t="str">
        <f t="shared" ref="K519:K582" si="60">+IF(I519="","",(G519-E519)/1.96)</f>
        <v/>
      </c>
      <c r="L519" s="98" t="str">
        <f t="shared" ref="L519:L582" si="61">+IF(I519="","",(I519-G519)/1.96)</f>
        <v/>
      </c>
      <c r="M519" s="3" t="s">
        <v>238</v>
      </c>
      <c r="N519" s="3" t="s">
        <v>238</v>
      </c>
      <c r="O519" s="3" t="s">
        <v>238</v>
      </c>
    </row>
    <row r="520" spans="1:15" x14ac:dyDescent="0.2">
      <c r="A520" s="3" t="str">
        <f>+VLOOKUP(B520,studies!$A$2:$C$102,3)</f>
        <v>Waldhoff et al. (2011)</v>
      </c>
      <c r="B520" s="87">
        <v>70</v>
      </c>
      <c r="C520" s="3">
        <v>1.5738950131233593</v>
      </c>
      <c r="D520" s="90" t="str">
        <f t="shared" si="59"/>
        <v/>
      </c>
      <c r="K520" s="98" t="str">
        <f t="shared" si="60"/>
        <v/>
      </c>
      <c r="L520" s="98" t="str">
        <f t="shared" si="61"/>
        <v/>
      </c>
      <c r="M520" s="3" t="s">
        <v>238</v>
      </c>
      <c r="N520" s="3" t="s">
        <v>238</v>
      </c>
      <c r="O520" s="3" t="s">
        <v>238</v>
      </c>
    </row>
    <row r="521" spans="1:15" x14ac:dyDescent="0.2">
      <c r="A521" s="3" t="str">
        <f>+VLOOKUP(B521,studies!$A$2:$C$102,3)</f>
        <v>Waldhoff et al. (2011)</v>
      </c>
      <c r="B521" s="87">
        <v>70</v>
      </c>
      <c r="C521" s="3">
        <v>131.15791776027996</v>
      </c>
      <c r="D521" s="90" t="str">
        <f t="shared" si="59"/>
        <v/>
      </c>
      <c r="K521" s="98" t="str">
        <f t="shared" si="60"/>
        <v/>
      </c>
      <c r="L521" s="98" t="str">
        <f t="shared" si="61"/>
        <v/>
      </c>
      <c r="M521" s="3" t="s">
        <v>238</v>
      </c>
      <c r="N521" s="3" t="s">
        <v>238</v>
      </c>
      <c r="O521" s="3" t="s">
        <v>238</v>
      </c>
    </row>
    <row r="522" spans="1:15" x14ac:dyDescent="0.2">
      <c r="A522" s="3" t="str">
        <f>+VLOOKUP(B522,studies!$A$2:$C$102,3)</f>
        <v>Waldhoff et al. (2011)</v>
      </c>
      <c r="B522" s="87">
        <v>70</v>
      </c>
      <c r="C522" s="3">
        <v>10.492633420822397</v>
      </c>
      <c r="D522" s="90" t="str">
        <f t="shared" si="59"/>
        <v/>
      </c>
      <c r="K522" s="98" t="str">
        <f t="shared" si="60"/>
        <v/>
      </c>
      <c r="L522" s="98" t="str">
        <f t="shared" si="61"/>
        <v/>
      </c>
      <c r="M522" s="3" t="s">
        <v>238</v>
      </c>
      <c r="N522" s="3" t="s">
        <v>238</v>
      </c>
      <c r="O522" s="3" t="s">
        <v>238</v>
      </c>
    </row>
    <row r="523" spans="1:15" x14ac:dyDescent="0.2">
      <c r="A523" s="3" t="str">
        <f>+VLOOKUP(B523,studies!$A$2:$C$102,3)</f>
        <v>Waldhoff et al. (2011)</v>
      </c>
      <c r="B523" s="87">
        <v>70</v>
      </c>
      <c r="C523" s="3">
        <v>15.738950131233596</v>
      </c>
      <c r="D523" s="90" t="str">
        <f t="shared" si="59"/>
        <v/>
      </c>
      <c r="K523" s="98" t="str">
        <f t="shared" si="60"/>
        <v/>
      </c>
      <c r="L523" s="98" t="str">
        <f t="shared" si="61"/>
        <v/>
      </c>
      <c r="M523" s="3" t="s">
        <v>238</v>
      </c>
      <c r="N523" s="3" t="s">
        <v>238</v>
      </c>
      <c r="O523" s="3" t="s">
        <v>238</v>
      </c>
    </row>
    <row r="524" spans="1:15" x14ac:dyDescent="0.2">
      <c r="A524" s="3" t="str">
        <f>+VLOOKUP(B524,studies!$A$2:$C$102,3)</f>
        <v>Waldhoff et al. (2011)</v>
      </c>
      <c r="B524" s="87">
        <v>70</v>
      </c>
      <c r="C524" s="3">
        <v>41.970533683289588</v>
      </c>
      <c r="D524" s="90" t="str">
        <f t="shared" si="59"/>
        <v/>
      </c>
      <c r="K524" s="98" t="str">
        <f t="shared" si="60"/>
        <v/>
      </c>
      <c r="L524" s="98" t="str">
        <f t="shared" si="61"/>
        <v/>
      </c>
      <c r="M524" s="3" t="s">
        <v>238</v>
      </c>
      <c r="N524" s="3" t="s">
        <v>238</v>
      </c>
      <c r="O524" s="3" t="s">
        <v>238</v>
      </c>
    </row>
    <row r="525" spans="1:15" x14ac:dyDescent="0.2">
      <c r="A525" s="3" t="str">
        <f>+VLOOKUP(B525,studies!$A$2:$C$102,3)</f>
        <v>Waldhoff et al. (2011)</v>
      </c>
      <c r="B525" s="87">
        <v>70</v>
      </c>
      <c r="C525" s="3">
        <v>62.955800524934382</v>
      </c>
      <c r="D525" s="90" t="str">
        <f t="shared" si="59"/>
        <v/>
      </c>
      <c r="K525" s="98" t="str">
        <f t="shared" si="60"/>
        <v/>
      </c>
      <c r="L525" s="98" t="str">
        <f t="shared" si="61"/>
        <v/>
      </c>
      <c r="M525" s="3" t="s">
        <v>238</v>
      </c>
      <c r="N525" s="3" t="s">
        <v>238</v>
      </c>
      <c r="O525" s="3" t="s">
        <v>238</v>
      </c>
    </row>
    <row r="526" spans="1:15" x14ac:dyDescent="0.2">
      <c r="A526" s="3" t="str">
        <f>+VLOOKUP(B526,studies!$A$2:$C$102,3)</f>
        <v>Waldhoff et al. (2011)</v>
      </c>
      <c r="B526" s="87">
        <v>70</v>
      </c>
      <c r="C526" s="3">
        <v>41.970533683289588</v>
      </c>
      <c r="D526" s="90" t="str">
        <f t="shared" si="59"/>
        <v/>
      </c>
      <c r="K526" s="98" t="str">
        <f t="shared" si="60"/>
        <v/>
      </c>
      <c r="L526" s="98" t="str">
        <f t="shared" si="61"/>
        <v/>
      </c>
      <c r="M526" s="3" t="s">
        <v>238</v>
      </c>
      <c r="N526" s="3" t="s">
        <v>238</v>
      </c>
      <c r="O526" s="3" t="s">
        <v>238</v>
      </c>
    </row>
    <row r="527" spans="1:15" x14ac:dyDescent="0.2">
      <c r="A527" s="3" t="str">
        <f>+VLOOKUP(B527,studies!$A$2:$C$102,3)</f>
        <v>Ackerman &amp; Munitz (2012)</v>
      </c>
      <c r="B527" s="87">
        <v>71</v>
      </c>
      <c r="C527" s="3">
        <v>27.914432176465557</v>
      </c>
      <c r="D527" s="90" t="str">
        <f t="shared" si="59"/>
        <v>Ackerman &amp; Munitz (2012)</v>
      </c>
      <c r="E527" s="90">
        <f>+PERCENTILE($C527:$C529,E$2)</f>
        <v>32.857911105494331</v>
      </c>
      <c r="F527" s="90">
        <f t="shared" ref="F527:I527" si="62">+PERCENTILE($C527:$C529,F$2)</f>
        <v>52.631826821609422</v>
      </c>
      <c r="G527" s="98">
        <f t="shared" si="62"/>
        <v>77.349221466753278</v>
      </c>
      <c r="H527" s="90">
        <f t="shared" si="62"/>
        <v>81.572174026782676</v>
      </c>
      <c r="I527" s="90">
        <f t="shared" si="62"/>
        <v>84.950536074806209</v>
      </c>
      <c r="J527" s="98">
        <f>+STDEV($C527:$C529)</f>
        <v>31.265813308084876</v>
      </c>
      <c r="K527" s="98">
        <f t="shared" si="60"/>
        <v>22.699648143499463</v>
      </c>
      <c r="L527" s="98">
        <f t="shared" si="61"/>
        <v>3.878221738802516</v>
      </c>
      <c r="M527" s="3" t="s">
        <v>238</v>
      </c>
      <c r="N527" s="3" t="s">
        <v>238</v>
      </c>
      <c r="O527" s="3" t="s">
        <v>238</v>
      </c>
    </row>
    <row r="528" spans="1:15" x14ac:dyDescent="0.2">
      <c r="A528" s="3" t="str">
        <f>+VLOOKUP(B528,studies!$A$2:$C$102,3)</f>
        <v>Ackerman &amp; Munitz (2012)</v>
      </c>
      <c r="B528" s="87">
        <v>71</v>
      </c>
      <c r="C528" s="3">
        <v>77.349221466753278</v>
      </c>
      <c r="D528" s="90" t="str">
        <f t="shared" si="59"/>
        <v/>
      </c>
      <c r="K528" s="98" t="str">
        <f t="shared" si="60"/>
        <v/>
      </c>
      <c r="L528" s="98" t="str">
        <f t="shared" si="61"/>
        <v/>
      </c>
      <c r="M528" s="3" t="s">
        <v>238</v>
      </c>
      <c r="N528" s="3" t="s">
        <v>238</v>
      </c>
      <c r="O528" s="3" t="s">
        <v>238</v>
      </c>
    </row>
    <row r="529" spans="1:15" x14ac:dyDescent="0.2">
      <c r="A529" s="3" t="str">
        <f>+VLOOKUP(B529,studies!$A$2:$C$102,3)</f>
        <v>Ackerman &amp; Munitz (2012)</v>
      </c>
      <c r="B529" s="87">
        <v>71</v>
      </c>
      <c r="C529" s="3">
        <v>85.795126586812088</v>
      </c>
      <c r="D529" s="90" t="str">
        <f t="shared" si="59"/>
        <v/>
      </c>
      <c r="K529" s="98" t="str">
        <f t="shared" si="60"/>
        <v/>
      </c>
      <c r="L529" s="98" t="str">
        <f t="shared" si="61"/>
        <v/>
      </c>
      <c r="M529" s="3" t="s">
        <v>238</v>
      </c>
      <c r="N529" s="3" t="s">
        <v>238</v>
      </c>
      <c r="O529" s="3" t="s">
        <v>238</v>
      </c>
    </row>
    <row r="530" spans="1:15" x14ac:dyDescent="0.2">
      <c r="A530" s="3" t="str">
        <f>+VLOOKUP(B530,studies!$A$2:$C$102,3)</f>
        <v>Ackerman &amp; Stanton (2012)</v>
      </c>
      <c r="B530" s="87">
        <v>72</v>
      </c>
      <c r="C530" s="3">
        <v>530.35894639371531</v>
      </c>
      <c r="D530" s="90" t="str">
        <f t="shared" si="59"/>
        <v>Ackerman &amp; Stanton (2012)</v>
      </c>
      <c r="E530" s="90">
        <f>+PERCENTILE($C530:$C537,E$2)</f>
        <v>179.3332369585529</v>
      </c>
      <c r="F530" s="90">
        <f t="shared" ref="F530:I530" si="63">+PERCENTILE($C530:$C537,F$2)</f>
        <v>329.22705782491227</v>
      </c>
      <c r="G530" s="98">
        <f t="shared" si="63"/>
        <v>480.91870562819952</v>
      </c>
      <c r="H530" s="90">
        <f t="shared" si="63"/>
        <v>1274.2098415476125</v>
      </c>
      <c r="I530" s="90">
        <f t="shared" si="63"/>
        <v>1946.5971159586279</v>
      </c>
      <c r="J530" s="98">
        <f>+STDEV($C530:$C537)</f>
        <v>731.98492748695389</v>
      </c>
      <c r="K530" s="98">
        <f t="shared" si="60"/>
        <v>153.87013707635032</v>
      </c>
      <c r="L530" s="98">
        <f t="shared" si="61"/>
        <v>747.79510731144308</v>
      </c>
      <c r="M530" s="3" t="s">
        <v>238</v>
      </c>
      <c r="N530" s="3">
        <v>334.79940407074736</v>
      </c>
      <c r="O530" s="3">
        <v>334.79940407074736</v>
      </c>
    </row>
    <row r="531" spans="1:15" x14ac:dyDescent="0.2">
      <c r="A531" s="3" t="str">
        <f>+VLOOKUP(B531,studies!$A$2:$C$102,3)</f>
        <v>Ackerman &amp; Stanton (2012)</v>
      </c>
      <c r="B531" s="87">
        <v>72</v>
      </c>
      <c r="C531" s="3">
        <v>125.8478855849494</v>
      </c>
      <c r="D531" s="90" t="str">
        <f t="shared" si="59"/>
        <v/>
      </c>
      <c r="K531" s="98" t="str">
        <f t="shared" si="60"/>
        <v/>
      </c>
      <c r="L531" s="98" t="str">
        <f t="shared" si="61"/>
        <v/>
      </c>
      <c r="M531" s="3" t="s">
        <v>238</v>
      </c>
      <c r="N531" s="3">
        <v>64.208104890280296</v>
      </c>
      <c r="O531" s="3">
        <v>64.208104890280296</v>
      </c>
    </row>
    <row r="532" spans="1:15" x14ac:dyDescent="0.2">
      <c r="A532" s="3" t="str">
        <f>+VLOOKUP(B532,studies!$A$2:$C$102,3)</f>
        <v>Ackerman &amp; Stanton (2012)</v>
      </c>
      <c r="B532" s="87">
        <v>72</v>
      </c>
      <c r="C532" s="3">
        <v>1083.1907294990287</v>
      </c>
      <c r="D532" s="90" t="str">
        <f t="shared" si="59"/>
        <v/>
      </c>
      <c r="K532" s="98" t="str">
        <f t="shared" si="60"/>
        <v/>
      </c>
      <c r="L532" s="98" t="str">
        <f t="shared" si="61"/>
        <v/>
      </c>
      <c r="M532" s="3" t="s">
        <v>238</v>
      </c>
      <c r="N532" s="3">
        <v>538.88945175770959</v>
      </c>
      <c r="O532" s="3">
        <v>538.88945175770959</v>
      </c>
    </row>
    <row r="533" spans="1:15" x14ac:dyDescent="0.2">
      <c r="A533" s="3" t="str">
        <f>+VLOOKUP(B533,studies!$A$2:$C$102,3)</f>
        <v>Ackerman &amp; Stanton (2012)</v>
      </c>
      <c r="B533" s="87">
        <v>72</v>
      </c>
      <c r="C533" s="3">
        <v>278.66317522381649</v>
      </c>
      <c r="D533" s="90" t="str">
        <f t="shared" si="59"/>
        <v/>
      </c>
      <c r="K533" s="98" t="str">
        <f t="shared" si="60"/>
        <v/>
      </c>
      <c r="L533" s="98" t="str">
        <f t="shared" si="61"/>
        <v/>
      </c>
      <c r="M533" s="3" t="s">
        <v>238</v>
      </c>
      <c r="N533" s="3">
        <v>121.5367699708877</v>
      </c>
      <c r="O533" s="3">
        <v>121.5367699708877</v>
      </c>
    </row>
    <row r="534" spans="1:15" x14ac:dyDescent="0.2">
      <c r="A534" s="3" t="str">
        <f>+VLOOKUP(B534,studies!$A$2:$C$102,3)</f>
        <v>Ackerman &amp; Stanton (2012)</v>
      </c>
      <c r="B534" s="87">
        <v>72</v>
      </c>
      <c r="C534" s="3">
        <v>1847.2671776933644</v>
      </c>
      <c r="D534" s="90" t="str">
        <f t="shared" si="59"/>
        <v/>
      </c>
      <c r="K534" s="98" t="str">
        <f t="shared" si="60"/>
        <v/>
      </c>
      <c r="L534" s="98" t="str">
        <f t="shared" si="61"/>
        <v/>
      </c>
      <c r="M534" s="3" t="s">
        <v>238</v>
      </c>
      <c r="N534" s="3">
        <v>1093.8309297379894</v>
      </c>
      <c r="O534" s="3">
        <v>1093.8309297379894</v>
      </c>
    </row>
    <row r="535" spans="1:15" x14ac:dyDescent="0.2">
      <c r="A535" s="3" t="str">
        <f>+VLOOKUP(B535,studies!$A$2:$C$102,3)</f>
        <v>Ackerman &amp; Stanton (2012)</v>
      </c>
      <c r="B535" s="87">
        <v>72</v>
      </c>
      <c r="C535" s="3">
        <v>346.08168535861086</v>
      </c>
      <c r="D535" s="90" t="str">
        <f t="shared" si="59"/>
        <v/>
      </c>
      <c r="K535" s="98" t="str">
        <f t="shared" si="60"/>
        <v/>
      </c>
      <c r="L535" s="98" t="str">
        <f t="shared" si="61"/>
        <v/>
      </c>
      <c r="M535" s="3" t="s">
        <v>238</v>
      </c>
      <c r="N535" s="3">
        <v>282.05703219658847</v>
      </c>
      <c r="O535" s="3">
        <v>282.05703219658847</v>
      </c>
    </row>
    <row r="536" spans="1:15" x14ac:dyDescent="0.2">
      <c r="A536" s="3" t="str">
        <f>+VLOOKUP(B536,studies!$A$2:$C$102,3)</f>
        <v>Ackerman &amp; Stanton (2012)</v>
      </c>
      <c r="B536" s="87">
        <v>72</v>
      </c>
      <c r="C536" s="3">
        <v>2000.0824673322313</v>
      </c>
      <c r="D536" s="90" t="str">
        <f t="shared" si="59"/>
        <v/>
      </c>
      <c r="K536" s="98" t="str">
        <f t="shared" si="60"/>
        <v/>
      </c>
      <c r="L536" s="98" t="str">
        <f t="shared" si="61"/>
        <v/>
      </c>
      <c r="M536" s="3" t="s">
        <v>238</v>
      </c>
      <c r="N536" s="3">
        <v>1025.0365316412606</v>
      </c>
      <c r="O536" s="3">
        <v>1025.0365316412606</v>
      </c>
    </row>
    <row r="537" spans="1:15" x14ac:dyDescent="0.2">
      <c r="A537" s="3" t="str">
        <f>+VLOOKUP(B537,studies!$A$2:$C$102,3)</f>
        <v>Ackerman &amp; Stanton (2012)</v>
      </c>
      <c r="B537" s="87">
        <v>72</v>
      </c>
      <c r="C537" s="3">
        <v>431.47846486268367</v>
      </c>
      <c r="D537" s="90" t="str">
        <f t="shared" si="59"/>
        <v/>
      </c>
      <c r="K537" s="98" t="str">
        <f t="shared" si="60"/>
        <v/>
      </c>
      <c r="L537" s="98" t="str">
        <f t="shared" si="61"/>
        <v/>
      </c>
      <c r="M537" s="3" t="s">
        <v>238</v>
      </c>
      <c r="N537" s="3">
        <v>275.17759238691559</v>
      </c>
      <c r="O537" s="3">
        <v>275.17759238691559</v>
      </c>
    </row>
    <row r="538" spans="1:15" x14ac:dyDescent="0.2">
      <c r="A538" s="3" t="str">
        <f>+VLOOKUP(B538,studies!$A$2:$C$102,3)</f>
        <v>Botzen &amp; van den Bergh (2012)</v>
      </c>
      <c r="B538" s="87">
        <v>73</v>
      </c>
      <c r="C538" s="3">
        <v>46.782111623143876</v>
      </c>
      <c r="D538" s="90" t="str">
        <f t="shared" si="59"/>
        <v>Botzen &amp; van den Bergh (2012)</v>
      </c>
      <c r="F538" s="1">
        <f>+C538</f>
        <v>46.782111623143876</v>
      </c>
      <c r="G538" s="7">
        <f>+MEDIAN(C538:C539)</f>
        <v>47.050075985663078</v>
      </c>
      <c r="H538" s="1">
        <f>+C539</f>
        <v>47.318040348182279</v>
      </c>
      <c r="J538" s="98">
        <f>+STDEV(C538:C539)</f>
        <v>0.37895883570731531</v>
      </c>
      <c r="K538" s="98">
        <f>G538-F538/1.1505</f>
        <v>6.3876582341255954</v>
      </c>
      <c r="L538" s="98">
        <f>H538-G538/1.1505</f>
        <v>6.4227113732469689</v>
      </c>
      <c r="M538" s="3" t="s">
        <v>238</v>
      </c>
      <c r="N538" s="3" t="s">
        <v>238</v>
      </c>
      <c r="O538" s="3" t="s">
        <v>238</v>
      </c>
    </row>
    <row r="539" spans="1:15" x14ac:dyDescent="0.2">
      <c r="A539" s="3" t="str">
        <f>+VLOOKUP(B539,studies!$A$2:$C$102,3)</f>
        <v>Botzen &amp; van den Bergh (2012)</v>
      </c>
      <c r="B539" s="87">
        <v>73</v>
      </c>
      <c r="C539" s="3">
        <v>47.318040348182279</v>
      </c>
      <c r="D539" s="90" t="str">
        <f t="shared" si="59"/>
        <v/>
      </c>
      <c r="K539" s="98" t="str">
        <f t="shared" si="60"/>
        <v/>
      </c>
      <c r="L539" s="98" t="str">
        <f t="shared" si="61"/>
        <v/>
      </c>
      <c r="M539" s="3" t="s">
        <v>238</v>
      </c>
      <c r="N539" s="3" t="s">
        <v>238</v>
      </c>
      <c r="O539" s="3" t="s">
        <v>238</v>
      </c>
    </row>
    <row r="540" spans="1:15" x14ac:dyDescent="0.2">
      <c r="A540" s="3" t="str">
        <f>+VLOOKUP(B540,studies!$A$2:$C$102,3)</f>
        <v>Cai et al. (2012)</v>
      </c>
      <c r="B540" s="87">
        <v>74</v>
      </c>
      <c r="C540" s="3">
        <v>35.728581669226827</v>
      </c>
      <c r="D540" s="90" t="str">
        <f t="shared" si="59"/>
        <v>Cai et al. (2012)</v>
      </c>
      <c r="F540" s="1">
        <f>+C540</f>
        <v>35.728581669226827</v>
      </c>
      <c r="G540" s="7">
        <f>+MEDIAN(C540:C541)</f>
        <v>40.752913466461848</v>
      </c>
      <c r="H540" s="1">
        <f>+C541</f>
        <v>45.777245263696869</v>
      </c>
      <c r="J540" s="98">
        <f>+STDEV(C540:C541)</f>
        <v>7.1054781695121312</v>
      </c>
      <c r="K540" s="98">
        <f>G540-F540/1.1505</f>
        <v>9.6980836800847747</v>
      </c>
      <c r="L540" s="98">
        <f>H540-G540/1.1505</f>
        <v>10.355330038610518</v>
      </c>
      <c r="M540" s="3" t="s">
        <v>238</v>
      </c>
      <c r="N540" s="3" t="s">
        <v>238</v>
      </c>
      <c r="O540" s="3" t="s">
        <v>238</v>
      </c>
    </row>
    <row r="541" spans="1:15" x14ac:dyDescent="0.2">
      <c r="A541" s="3" t="str">
        <f>+VLOOKUP(B541,studies!$A$2:$C$102,3)</f>
        <v>Cai et al. (2012)</v>
      </c>
      <c r="B541" s="87">
        <v>74</v>
      </c>
      <c r="C541" s="3">
        <v>45.777245263696869</v>
      </c>
      <c r="D541" s="90" t="str">
        <f t="shared" si="59"/>
        <v/>
      </c>
      <c r="K541" s="98" t="str">
        <f t="shared" si="60"/>
        <v/>
      </c>
      <c r="L541" s="98" t="str">
        <f t="shared" si="61"/>
        <v/>
      </c>
      <c r="M541" s="3" t="s">
        <v>238</v>
      </c>
      <c r="N541" s="3" t="s">
        <v>238</v>
      </c>
      <c r="O541" s="3" t="s">
        <v>238</v>
      </c>
    </row>
    <row r="542" spans="1:15" x14ac:dyDescent="0.2">
      <c r="A542" s="3" t="str">
        <f>+VLOOKUP(B542,studies!$A$2:$C$102,3)</f>
        <v>Espagne et al. (2012)</v>
      </c>
      <c r="B542" s="87">
        <v>75</v>
      </c>
      <c r="C542" s="3">
        <v>87.481126478951879</v>
      </c>
      <c r="D542" s="90" t="str">
        <f t="shared" si="59"/>
        <v>Espagne et al. (2012)</v>
      </c>
      <c r="F542" s="1">
        <f>+C542</f>
        <v>87.481126478951879</v>
      </c>
      <c r="G542" s="7">
        <f>+MEDIAN(C542:C543)</f>
        <v>437.40563239475949</v>
      </c>
      <c r="H542" s="1">
        <f>+C543</f>
        <v>787.33013831056712</v>
      </c>
      <c r="J542" s="98">
        <f>+STDEV(C542:C543)</f>
        <v>494.86798207283942</v>
      </c>
      <c r="K542" s="98">
        <f>G542-F542/1.1505</f>
        <v>361.36814740653534</v>
      </c>
      <c r="L542" s="98">
        <f>H542-G542/1.1505</f>
        <v>407.14271336944631</v>
      </c>
      <c r="M542" s="3"/>
      <c r="N542" s="41"/>
      <c r="O542" s="41"/>
    </row>
    <row r="543" spans="1:15" x14ac:dyDescent="0.2">
      <c r="A543" s="3" t="str">
        <f>+VLOOKUP(B543,studies!$A$2:$C$102,3)</f>
        <v>Espagne et al. (2012)</v>
      </c>
      <c r="B543" s="87">
        <v>75</v>
      </c>
      <c r="C543" s="3">
        <v>787.33013831056712</v>
      </c>
      <c r="D543" s="90" t="str">
        <f t="shared" si="59"/>
        <v/>
      </c>
      <c r="K543" s="98" t="str">
        <f t="shared" si="60"/>
        <v/>
      </c>
      <c r="L543" s="98" t="str">
        <f t="shared" si="61"/>
        <v/>
      </c>
      <c r="M543" s="3"/>
      <c r="N543" s="41"/>
      <c r="O543" s="41"/>
    </row>
    <row r="544" spans="1:15" x14ac:dyDescent="0.2">
      <c r="A544" s="3" t="str">
        <f>+VLOOKUP(B544,studies!$A$2:$C$102,3)</f>
        <v>Gerlagh &amp; Liski (2012)</v>
      </c>
      <c r="B544" s="87">
        <v>76</v>
      </c>
      <c r="C544" s="3">
        <v>46.669137259475939</v>
      </c>
      <c r="D544" s="90" t="str">
        <f t="shared" si="59"/>
        <v>Gerlagh &amp; Liski (2012)</v>
      </c>
      <c r="E544" s="90">
        <f>+PERCENTILE($C544:$C546,E$2)</f>
        <v>58.336421574344932</v>
      </c>
      <c r="F544" s="90">
        <f t="shared" ref="F544:I544" si="64">+PERCENTILE($C544:$C546,F$2)</f>
        <v>105.00555883382086</v>
      </c>
      <c r="G544" s="98">
        <f t="shared" si="64"/>
        <v>163.34198040816577</v>
      </c>
      <c r="H544" s="90">
        <f t="shared" si="64"/>
        <v>173.34250982091061</v>
      </c>
      <c r="I544" s="90">
        <f t="shared" si="64"/>
        <v>181.3429333511065</v>
      </c>
      <c r="J544" s="98">
        <f>+STDEV($C544:$C546)</f>
        <v>73.815479590877075</v>
      </c>
      <c r="K544" s="98">
        <f t="shared" si="60"/>
        <v>53.574264711133075</v>
      </c>
      <c r="L544" s="98">
        <f t="shared" si="61"/>
        <v>9.1841596647656782</v>
      </c>
      <c r="M544" s="3"/>
      <c r="N544" s="41"/>
      <c r="O544" s="41"/>
    </row>
    <row r="545" spans="1:15" x14ac:dyDescent="0.2">
      <c r="A545" s="3" t="str">
        <f>+VLOOKUP(B545,studies!$A$2:$C$102,3)</f>
        <v>Gerlagh &amp; Liski (2012)</v>
      </c>
      <c r="B545" s="87">
        <v>76</v>
      </c>
      <c r="C545" s="3">
        <v>163.34198040816577</v>
      </c>
      <c r="D545" s="90" t="str">
        <f t="shared" si="59"/>
        <v/>
      </c>
      <c r="K545" s="98" t="str">
        <f t="shared" si="60"/>
        <v/>
      </c>
      <c r="L545" s="98" t="str">
        <f t="shared" si="61"/>
        <v/>
      </c>
      <c r="M545" s="3"/>
      <c r="N545" s="41"/>
      <c r="O545" s="41"/>
    </row>
    <row r="546" spans="1:15" x14ac:dyDescent="0.2">
      <c r="A546" s="3" t="str">
        <f>+VLOOKUP(B546,studies!$A$2:$C$102,3)</f>
        <v>Gerlagh &amp; Liski (2012)</v>
      </c>
      <c r="B546" s="87">
        <v>76</v>
      </c>
      <c r="C546" s="3">
        <v>183.34303923365547</v>
      </c>
      <c r="D546" s="90" t="str">
        <f t="shared" si="59"/>
        <v/>
      </c>
      <c r="K546" s="98" t="str">
        <f t="shared" si="60"/>
        <v/>
      </c>
      <c r="L546" s="98" t="str">
        <f t="shared" si="61"/>
        <v/>
      </c>
      <c r="M546" s="3"/>
      <c r="N546" s="41"/>
      <c r="O546" s="41"/>
    </row>
    <row r="547" spans="1:15" x14ac:dyDescent="0.2">
      <c r="A547" s="3" t="str">
        <f>+VLOOKUP(B547,studies!$A$2:$C$102,3)</f>
        <v>Johnson &amp; Hope (2012)</v>
      </c>
      <c r="B547" s="87">
        <v>77</v>
      </c>
      <c r="C547" s="3">
        <v>1195.5549130570193</v>
      </c>
      <c r="D547" s="90" t="str">
        <f t="shared" si="59"/>
        <v>Johnson &amp; Hope (2012)</v>
      </c>
      <c r="E547" s="90">
        <f>+PERCENTILE($C547:$C560,E$2)</f>
        <v>0.71913077477113863</v>
      </c>
      <c r="F547" s="90">
        <f t="shared" ref="F547:I547" si="65">+PERCENTILE($C547:$C560,F$2)</f>
        <v>35.956538738556972</v>
      </c>
      <c r="G547" s="98">
        <f t="shared" si="65"/>
        <v>202.25553040438297</v>
      </c>
      <c r="H547" s="90">
        <f t="shared" si="65"/>
        <v>489.90784031283869</v>
      </c>
      <c r="I547" s="90">
        <f t="shared" si="65"/>
        <v>929.70125475881355</v>
      </c>
      <c r="J547" s="98">
        <f>+STDEV($C547:$C560)</f>
        <v>359.13204258656134</v>
      </c>
      <c r="K547" s="98">
        <f t="shared" si="60"/>
        <v>102.82469368857747</v>
      </c>
      <c r="L547" s="98">
        <f t="shared" si="61"/>
        <v>371.14577773185232</v>
      </c>
      <c r="M547" s="3" t="s">
        <v>238</v>
      </c>
      <c r="N547" s="3">
        <v>1128.2281287863539</v>
      </c>
      <c r="O547" s="3">
        <v>1128.2281287863539</v>
      </c>
    </row>
    <row r="548" spans="1:15" x14ac:dyDescent="0.2">
      <c r="A548" s="3" t="str">
        <f>+VLOOKUP(B548,studies!$A$2:$C$102,3)</f>
        <v>Johnson &amp; Hope (2012)</v>
      </c>
      <c r="B548" s="87">
        <v>77</v>
      </c>
      <c r="C548" s="3">
        <v>548.33721576299376</v>
      </c>
      <c r="D548" s="90" t="str">
        <f t="shared" si="59"/>
        <v/>
      </c>
      <c r="K548" s="98" t="str">
        <f t="shared" si="60"/>
        <v/>
      </c>
      <c r="L548" s="98" t="str">
        <f t="shared" si="61"/>
        <v/>
      </c>
      <c r="M548" s="3" t="s">
        <v>238</v>
      </c>
      <c r="N548" s="3">
        <v>538.88945175770971</v>
      </c>
      <c r="O548" s="3">
        <v>538.88945175770971</v>
      </c>
    </row>
    <row r="549" spans="1:15" x14ac:dyDescent="0.2">
      <c r="A549" s="3" t="str">
        <f>+VLOOKUP(B549,studies!$A$2:$C$102,3)</f>
        <v>Johnson &amp; Hope (2012)</v>
      </c>
      <c r="B549" s="87">
        <v>77</v>
      </c>
      <c r="C549" s="3">
        <v>278.66317522381649</v>
      </c>
      <c r="D549" s="90" t="str">
        <f t="shared" si="59"/>
        <v/>
      </c>
      <c r="K549" s="98" t="str">
        <f t="shared" si="60"/>
        <v/>
      </c>
      <c r="L549" s="98" t="str">
        <f t="shared" si="61"/>
        <v/>
      </c>
      <c r="M549" s="3" t="s">
        <v>238</v>
      </c>
      <c r="N549" s="3">
        <v>286.64332540303707</v>
      </c>
      <c r="O549" s="3">
        <v>286.64332540303707</v>
      </c>
    </row>
    <row r="550" spans="1:15" x14ac:dyDescent="0.2">
      <c r="A550" s="3" t="str">
        <f>+VLOOKUP(B550,studies!$A$2:$C$102,3)</f>
        <v>Johnson &amp; Hope (2012)</v>
      </c>
      <c r="B550" s="87">
        <v>77</v>
      </c>
      <c r="C550" s="3">
        <v>157.30985698118673</v>
      </c>
      <c r="D550" s="90" t="str">
        <f t="shared" si="59"/>
        <v/>
      </c>
      <c r="K550" s="98" t="str">
        <f t="shared" si="60"/>
        <v/>
      </c>
      <c r="L550" s="98" t="str">
        <f t="shared" si="61"/>
        <v/>
      </c>
      <c r="M550" s="3" t="s">
        <v>238</v>
      </c>
      <c r="N550" s="3">
        <v>165.10655543214938</v>
      </c>
      <c r="O550" s="3">
        <v>165.10655543214938</v>
      </c>
    </row>
    <row r="551" spans="1:15" x14ac:dyDescent="0.2">
      <c r="A551" s="3" t="str">
        <f>+VLOOKUP(B551,studies!$A$2:$C$102,3)</f>
        <v>Johnson &amp; Hope (2012)</v>
      </c>
      <c r="B551" s="87">
        <v>77</v>
      </c>
      <c r="C551" s="3">
        <v>94.38591418871205</v>
      </c>
      <c r="D551" s="90" t="str">
        <f t="shared" si="59"/>
        <v/>
      </c>
      <c r="K551" s="98" t="str">
        <f t="shared" si="60"/>
        <v/>
      </c>
      <c r="L551" s="98" t="str">
        <f t="shared" si="61"/>
        <v/>
      </c>
      <c r="M551" s="3" t="s">
        <v>238</v>
      </c>
      <c r="N551" s="3">
        <v>100.89845054186904</v>
      </c>
      <c r="O551" s="3">
        <v>100.89845054186904</v>
      </c>
    </row>
    <row r="552" spans="1:15" x14ac:dyDescent="0.2">
      <c r="A552" s="3" t="str">
        <f>+VLOOKUP(B552,studies!$A$2:$C$102,3)</f>
        <v>Johnson &amp; Hope (2012)</v>
      </c>
      <c r="B552" s="87">
        <v>77</v>
      </c>
      <c r="C552" s="3">
        <v>22.472836711598106</v>
      </c>
      <c r="D552" s="90" t="str">
        <f t="shared" si="59"/>
        <v/>
      </c>
      <c r="K552" s="98" t="str">
        <f t="shared" si="60"/>
        <v/>
      </c>
      <c r="L552" s="98" t="str">
        <f t="shared" si="61"/>
        <v/>
      </c>
      <c r="M552" s="3" t="s">
        <v>238</v>
      </c>
      <c r="N552" s="3">
        <v>25.22461263546726</v>
      </c>
      <c r="O552" s="3">
        <v>25.22461263546726</v>
      </c>
    </row>
    <row r="553" spans="1:15" x14ac:dyDescent="0.2">
      <c r="A553" s="3" t="str">
        <f>+VLOOKUP(B553,studies!$A$2:$C$102,3)</f>
        <v>Johnson &amp; Hope (2012)</v>
      </c>
      <c r="B553" s="87">
        <v>77</v>
      </c>
      <c r="C553" s="3">
        <v>247.20120382757918</v>
      </c>
      <c r="D553" s="90" t="str">
        <f t="shared" si="59"/>
        <v/>
      </c>
      <c r="K553" s="98" t="str">
        <f t="shared" si="60"/>
        <v/>
      </c>
      <c r="L553" s="98" t="str">
        <f t="shared" si="61"/>
        <v/>
      </c>
      <c r="M553" s="3" t="s">
        <v>238</v>
      </c>
      <c r="N553" s="3">
        <v>231.60780692565396</v>
      </c>
      <c r="O553" s="3">
        <v>231.60780692565396</v>
      </c>
    </row>
    <row r="554" spans="1:15" x14ac:dyDescent="0.2">
      <c r="A554" s="3" t="str">
        <f>+VLOOKUP(B554,studies!$A$2:$C$102,3)</f>
        <v>Johnson &amp; Hope (2012)</v>
      </c>
      <c r="B554" s="87">
        <v>77</v>
      </c>
      <c r="C554" s="3">
        <v>786.54928490593363</v>
      </c>
      <c r="D554" s="90" t="str">
        <f t="shared" si="59"/>
        <v/>
      </c>
      <c r="K554" s="98" t="str">
        <f t="shared" si="60"/>
        <v/>
      </c>
      <c r="L554" s="98" t="str">
        <f t="shared" si="61"/>
        <v/>
      </c>
      <c r="M554" s="3" t="s">
        <v>238</v>
      </c>
      <c r="N554" s="3">
        <v>470.0950536609808</v>
      </c>
      <c r="O554" s="3">
        <v>470.0950536609808</v>
      </c>
    </row>
    <row r="555" spans="1:15" x14ac:dyDescent="0.2">
      <c r="A555" s="3" t="str">
        <f>+VLOOKUP(B555,studies!$A$2:$C$102,3)</f>
        <v>Johnson &amp; Hope (2012)</v>
      </c>
      <c r="B555" s="87">
        <v>77</v>
      </c>
      <c r="C555" s="3">
        <v>62.923942792474698</v>
      </c>
      <c r="D555" s="90" t="str">
        <f t="shared" si="59"/>
        <v/>
      </c>
      <c r="K555" s="98" t="str">
        <f t="shared" si="60"/>
        <v/>
      </c>
      <c r="L555" s="98" t="str">
        <f t="shared" si="61"/>
        <v/>
      </c>
      <c r="M555" s="3" t="s">
        <v>238</v>
      </c>
      <c r="N555" s="3" t="s">
        <v>238</v>
      </c>
      <c r="O555" s="3" t="s">
        <v>238</v>
      </c>
    </row>
    <row r="556" spans="1:15" x14ac:dyDescent="0.2">
      <c r="A556" s="3" t="str">
        <f>+VLOOKUP(B556,studies!$A$2:$C$102,3)</f>
        <v>Johnson &amp; Hope (2012)</v>
      </c>
      <c r="B556" s="87">
        <v>77</v>
      </c>
      <c r="C556" s="3">
        <v>26.967404053917729</v>
      </c>
      <c r="D556" s="90" t="str">
        <f t="shared" si="59"/>
        <v/>
      </c>
      <c r="K556" s="98" t="str">
        <f t="shared" si="60"/>
        <v/>
      </c>
      <c r="L556" s="98" t="str">
        <f t="shared" si="61"/>
        <v/>
      </c>
      <c r="M556" s="3" t="s">
        <v>238</v>
      </c>
      <c r="N556" s="3" t="s">
        <v>238</v>
      </c>
      <c r="O556" s="3" t="s">
        <v>238</v>
      </c>
    </row>
    <row r="557" spans="1:15" x14ac:dyDescent="0.2">
      <c r="A557" s="3" t="str">
        <f>+VLOOKUP(B557,studies!$A$2:$C$102,3)</f>
        <v>Johnson &amp; Hope (2012)</v>
      </c>
      <c r="B557" s="87">
        <v>77</v>
      </c>
      <c r="C557" s="3">
        <v>-6.2923942792474694</v>
      </c>
      <c r="D557" s="90" t="str">
        <f t="shared" si="59"/>
        <v/>
      </c>
      <c r="K557" s="98" t="str">
        <f t="shared" si="60"/>
        <v/>
      </c>
      <c r="L557" s="98" t="str">
        <f t="shared" si="61"/>
        <v/>
      </c>
      <c r="M557" s="3" t="s">
        <v>238</v>
      </c>
      <c r="N557" s="3" t="s">
        <v>238</v>
      </c>
      <c r="O557" s="3" t="s">
        <v>238</v>
      </c>
    </row>
    <row r="558" spans="1:15" x14ac:dyDescent="0.2">
      <c r="A558" s="3" t="str">
        <f>+VLOOKUP(B558,studies!$A$2:$C$102,3)</f>
        <v>Johnson &amp; Hope (2012)</v>
      </c>
      <c r="B558" s="87">
        <v>77</v>
      </c>
      <c r="C558" s="3">
        <v>651.71226463634503</v>
      </c>
      <c r="D558" s="90" t="str">
        <f t="shared" si="59"/>
        <v/>
      </c>
      <c r="K558" s="98" t="str">
        <f t="shared" si="60"/>
        <v/>
      </c>
      <c r="L558" s="98" t="str">
        <f t="shared" si="61"/>
        <v/>
      </c>
      <c r="M558" s="3" t="s">
        <v>238</v>
      </c>
      <c r="N558" s="3" t="s">
        <v>238</v>
      </c>
      <c r="O558" s="3" t="s">
        <v>238</v>
      </c>
    </row>
    <row r="559" spans="1:15" x14ac:dyDescent="0.2">
      <c r="A559" s="3" t="str">
        <f>+VLOOKUP(B559,studies!$A$2:$C$102,3)</f>
        <v>Johnson &amp; Hope (2012)</v>
      </c>
      <c r="B559" s="87">
        <v>77</v>
      </c>
      <c r="C559" s="3">
        <v>314.61971396237345</v>
      </c>
      <c r="D559" s="90" t="str">
        <f t="shared" si="59"/>
        <v/>
      </c>
      <c r="K559" s="98" t="str">
        <f t="shared" si="60"/>
        <v/>
      </c>
      <c r="L559" s="98" t="str">
        <f t="shared" si="61"/>
        <v/>
      </c>
      <c r="M559" s="3" t="s">
        <v>238</v>
      </c>
      <c r="N559" s="3" t="s">
        <v>238</v>
      </c>
      <c r="O559" s="3" t="s">
        <v>238</v>
      </c>
    </row>
    <row r="560" spans="1:15" x14ac:dyDescent="0.2">
      <c r="A560" s="3" t="str">
        <f>+VLOOKUP(B560,studies!$A$2:$C$102,3)</f>
        <v>Johnson &amp; Hope (2012)</v>
      </c>
      <c r="B560" s="87">
        <v>77</v>
      </c>
      <c r="C560" s="3">
        <v>4.4945673423196206</v>
      </c>
      <c r="D560" s="90" t="str">
        <f t="shared" si="59"/>
        <v/>
      </c>
      <c r="K560" s="98" t="str">
        <f t="shared" si="60"/>
        <v/>
      </c>
      <c r="L560" s="98" t="str">
        <f t="shared" si="61"/>
        <v/>
      </c>
      <c r="M560" s="3" t="s">
        <v>238</v>
      </c>
      <c r="N560" s="3" t="s">
        <v>238</v>
      </c>
      <c r="O560" s="3" t="s">
        <v>238</v>
      </c>
    </row>
    <row r="561" spans="1:15" x14ac:dyDescent="0.2">
      <c r="A561" s="3" t="str">
        <f>+VLOOKUP(B561,studies!$A$2:$C$102,3)</f>
        <v>Kopp et al. (2012)</v>
      </c>
      <c r="B561" s="87">
        <v>78</v>
      </c>
      <c r="C561" s="3">
        <v>495.36189793480105</v>
      </c>
      <c r="D561" s="90" t="str">
        <f t="shared" si="59"/>
        <v>Kopp et al. (2012)</v>
      </c>
      <c r="E561" s="90">
        <f>+PERCENTILE($C561:$C704,E$2)</f>
        <v>105.07676622859417</v>
      </c>
      <c r="F561" s="90">
        <f t="shared" ref="F561:I561" si="66">+PERCENTILE($C561:$C704,F$2)</f>
        <v>165.12063264493366</v>
      </c>
      <c r="G561" s="98">
        <f t="shared" si="66"/>
        <v>450.32899812254641</v>
      </c>
      <c r="H561" s="90">
        <f t="shared" si="66"/>
        <v>664.23527223075587</v>
      </c>
      <c r="I561" s="90">
        <f t="shared" si="66"/>
        <v>1589.6613633725876</v>
      </c>
      <c r="J561" s="98">
        <f>+STDEV($C561:$C704)</f>
        <v>550.69750129421675</v>
      </c>
      <c r="K561" s="98">
        <f t="shared" si="60"/>
        <v>176.14909790507767</v>
      </c>
      <c r="L561" s="98">
        <f t="shared" si="61"/>
        <v>581.29202308675576</v>
      </c>
      <c r="M561" s="3" t="s">
        <v>238</v>
      </c>
      <c r="N561" s="3">
        <v>219.31607051422716</v>
      </c>
      <c r="O561" s="3">
        <v>268.05297507294432</v>
      </c>
    </row>
    <row r="562" spans="1:15" x14ac:dyDescent="0.2">
      <c r="A562" s="3" t="str">
        <f>+VLOOKUP(B562,studies!$A$2:$C$102,3)</f>
        <v>Kopp et al. (2012)</v>
      </c>
      <c r="B562" s="87">
        <v>78</v>
      </c>
      <c r="C562" s="3">
        <v>525.38383114297085</v>
      </c>
      <c r="D562" s="90" t="str">
        <f t="shared" si="59"/>
        <v/>
      </c>
      <c r="K562" s="98" t="str">
        <f t="shared" si="60"/>
        <v/>
      </c>
      <c r="L562" s="98" t="str">
        <f t="shared" si="61"/>
        <v/>
      </c>
      <c r="M562" s="3" t="s">
        <v>238</v>
      </c>
      <c r="N562" s="3">
        <v>145.51447218245548</v>
      </c>
      <c r="O562" s="3">
        <v>306.34625722622212</v>
      </c>
    </row>
    <row r="563" spans="1:15" x14ac:dyDescent="0.2">
      <c r="A563" s="3" t="str">
        <f>+VLOOKUP(B563,studies!$A$2:$C$102,3)</f>
        <v>Kopp et al. (2012)</v>
      </c>
      <c r="B563" s="87">
        <v>78</v>
      </c>
      <c r="C563" s="3">
        <v>480.35093133071615</v>
      </c>
      <c r="D563" s="90" t="str">
        <f t="shared" si="59"/>
        <v/>
      </c>
      <c r="K563" s="98" t="str">
        <f t="shared" si="60"/>
        <v/>
      </c>
      <c r="L563" s="98" t="str">
        <f t="shared" si="61"/>
        <v/>
      </c>
      <c r="M563" s="3" t="s">
        <v>238</v>
      </c>
      <c r="N563" s="3">
        <v>137.85581575179992</v>
      </c>
      <c r="O563" s="3">
        <v>314.00491365687765</v>
      </c>
    </row>
    <row r="564" spans="1:15" x14ac:dyDescent="0.2">
      <c r="A564" s="3" t="str">
        <f>+VLOOKUP(B564,studies!$A$2:$C$102,3)</f>
        <v>Kopp et al. (2012)</v>
      </c>
      <c r="B564" s="87">
        <v>78</v>
      </c>
      <c r="C564" s="3">
        <v>690.50446378790446</v>
      </c>
      <c r="D564" s="90" t="str">
        <f t="shared" si="59"/>
        <v/>
      </c>
      <c r="K564" s="98" t="str">
        <f t="shared" si="60"/>
        <v/>
      </c>
      <c r="L564" s="98" t="str">
        <f t="shared" si="61"/>
        <v/>
      </c>
      <c r="M564" s="3" t="s">
        <v>238</v>
      </c>
      <c r="N564" s="3">
        <v>176.14909790507767</v>
      </c>
      <c r="O564" s="3">
        <v>306.34625722622212</v>
      </c>
    </row>
    <row r="565" spans="1:15" x14ac:dyDescent="0.2">
      <c r="A565" s="3" t="str">
        <f>+VLOOKUP(B565,studies!$A$2:$C$102,3)</f>
        <v>Kopp et al. (2012)</v>
      </c>
      <c r="B565" s="87">
        <v>78</v>
      </c>
      <c r="C565" s="3">
        <v>360.26319849803713</v>
      </c>
      <c r="D565" s="90" t="str">
        <f t="shared" si="59"/>
        <v/>
      </c>
      <c r="K565" s="98" t="str">
        <f t="shared" si="60"/>
        <v/>
      </c>
      <c r="L565" s="98" t="str">
        <f t="shared" si="61"/>
        <v/>
      </c>
      <c r="M565" s="3" t="s">
        <v>238</v>
      </c>
      <c r="N565" s="3">
        <v>91.903877167866611</v>
      </c>
      <c r="O565" s="3">
        <v>168.49044147442211</v>
      </c>
    </row>
    <row r="566" spans="1:15" x14ac:dyDescent="0.2">
      <c r="A566" s="3" t="str">
        <f>+VLOOKUP(B566,studies!$A$2:$C$102,3)</f>
        <v>Kopp et al. (2012)</v>
      </c>
      <c r="B566" s="87">
        <v>78</v>
      </c>
      <c r="C566" s="3">
        <v>705.51543039198941</v>
      </c>
      <c r="D566" s="90" t="str">
        <f t="shared" si="59"/>
        <v/>
      </c>
      <c r="K566" s="98" t="str">
        <f t="shared" si="60"/>
        <v/>
      </c>
      <c r="L566" s="98" t="str">
        <f t="shared" si="61"/>
        <v/>
      </c>
      <c r="M566" s="3" t="s">
        <v>238</v>
      </c>
      <c r="N566" s="3">
        <v>176.14909790507767</v>
      </c>
      <c r="O566" s="3">
        <v>260.39431864228868</v>
      </c>
    </row>
    <row r="567" spans="1:15" x14ac:dyDescent="0.2">
      <c r="A567" s="3" t="str">
        <f>+VLOOKUP(B567,studies!$A$2:$C$102,3)</f>
        <v>Kopp et al. (2012)</v>
      </c>
      <c r="B567" s="87">
        <v>78</v>
      </c>
      <c r="C567" s="3">
        <v>405.29609831029177</v>
      </c>
      <c r="D567" s="90" t="str">
        <f t="shared" si="59"/>
        <v/>
      </c>
      <c r="K567" s="98" t="str">
        <f t="shared" si="60"/>
        <v/>
      </c>
      <c r="L567" s="98" t="str">
        <f t="shared" si="61"/>
        <v/>
      </c>
      <c r="M567" s="3" t="s">
        <v>238</v>
      </c>
      <c r="N567" s="3">
        <v>99.562533598522165</v>
      </c>
      <c r="O567" s="3">
        <v>214.44238005835544</v>
      </c>
    </row>
    <row r="568" spans="1:15" x14ac:dyDescent="0.2">
      <c r="A568" s="3" t="str">
        <f>+VLOOKUP(B568,studies!$A$2:$C$102,3)</f>
        <v>Kopp et al. (2012)</v>
      </c>
      <c r="B568" s="87">
        <v>78</v>
      </c>
      <c r="C568" s="3">
        <v>525.38383114297085</v>
      </c>
      <c r="D568" s="90" t="str">
        <f t="shared" si="59"/>
        <v/>
      </c>
      <c r="K568" s="98" t="str">
        <f t="shared" si="60"/>
        <v/>
      </c>
      <c r="L568" s="98" t="str">
        <f t="shared" si="61"/>
        <v/>
      </c>
      <c r="M568" s="3" t="s">
        <v>238</v>
      </c>
      <c r="N568" s="3">
        <v>145.51447218245548</v>
      </c>
      <c r="O568" s="3">
        <v>283.37028793425543</v>
      </c>
    </row>
    <row r="569" spans="1:15" x14ac:dyDescent="0.2">
      <c r="A569" s="3" t="str">
        <f>+VLOOKUP(B569,studies!$A$2:$C$102,3)</f>
        <v>Kopp et al. (2012)</v>
      </c>
      <c r="B569" s="87">
        <v>78</v>
      </c>
      <c r="C569" s="3">
        <v>495.36189793480105</v>
      </c>
      <c r="D569" s="90" t="str">
        <f t="shared" si="59"/>
        <v/>
      </c>
      <c r="K569" s="98" t="str">
        <f t="shared" si="60"/>
        <v/>
      </c>
      <c r="L569" s="98" t="str">
        <f t="shared" si="61"/>
        <v/>
      </c>
      <c r="M569" s="3" t="s">
        <v>238</v>
      </c>
      <c r="N569" s="3">
        <v>130.19715932114437</v>
      </c>
      <c r="O569" s="3">
        <v>268.05297507294432</v>
      </c>
    </row>
    <row r="570" spans="1:15" x14ac:dyDescent="0.2">
      <c r="A570" s="3" t="str">
        <f>+VLOOKUP(B570,studies!$A$2:$C$102,3)</f>
        <v>Kopp et al. (2012)</v>
      </c>
      <c r="B570" s="87">
        <v>78</v>
      </c>
      <c r="C570" s="3">
        <v>675.49349718381961</v>
      </c>
      <c r="D570" s="90" t="str">
        <f t="shared" si="59"/>
        <v/>
      </c>
      <c r="K570" s="98" t="str">
        <f t="shared" si="60"/>
        <v/>
      </c>
      <c r="L570" s="98" t="str">
        <f t="shared" si="61"/>
        <v/>
      </c>
      <c r="M570" s="3" t="s">
        <v>238</v>
      </c>
      <c r="N570" s="3">
        <v>222.10103648901097</v>
      </c>
      <c r="O570" s="3">
        <v>1072.2119002917771</v>
      </c>
    </row>
    <row r="571" spans="1:15" x14ac:dyDescent="0.2">
      <c r="A571" s="3" t="str">
        <f>+VLOOKUP(B571,studies!$A$2:$C$102,3)</f>
        <v>Kopp et al. (2012)</v>
      </c>
      <c r="B571" s="87">
        <v>78</v>
      </c>
      <c r="C571" s="3">
        <v>225.1644990612732</v>
      </c>
      <c r="D571" s="90" t="str">
        <f t="shared" si="59"/>
        <v/>
      </c>
      <c r="K571" s="98" t="str">
        <f t="shared" si="60"/>
        <v/>
      </c>
      <c r="L571" s="98" t="str">
        <f t="shared" si="61"/>
        <v/>
      </c>
      <c r="M571" s="3" t="s">
        <v>238</v>
      </c>
      <c r="N571" s="3">
        <v>68.927907875899962</v>
      </c>
      <c r="O571" s="3">
        <v>1026.2599617078438</v>
      </c>
    </row>
    <row r="572" spans="1:15" x14ac:dyDescent="0.2">
      <c r="A572" s="3" t="str">
        <f>+VLOOKUP(B572,studies!$A$2:$C$102,3)</f>
        <v>Kopp et al. (2012)</v>
      </c>
      <c r="B572" s="87">
        <v>78</v>
      </c>
      <c r="C572" s="3">
        <v>165.12063264493366</v>
      </c>
      <c r="D572" s="90" t="str">
        <f t="shared" si="59"/>
        <v/>
      </c>
      <c r="K572" s="98" t="str">
        <f t="shared" si="60"/>
        <v/>
      </c>
      <c r="L572" s="98" t="str">
        <f t="shared" si="61"/>
        <v/>
      </c>
      <c r="M572" s="3" t="s">
        <v>238</v>
      </c>
      <c r="N572" s="3">
        <v>45.951938583933298</v>
      </c>
      <c r="O572" s="3">
        <v>1049.2359309998105</v>
      </c>
    </row>
    <row r="573" spans="1:15" x14ac:dyDescent="0.2">
      <c r="A573" s="3" t="str">
        <f>+VLOOKUP(B573,studies!$A$2:$C$102,3)</f>
        <v>Kopp et al. (2012)</v>
      </c>
      <c r="B573" s="87">
        <v>78</v>
      </c>
      <c r="C573" s="3">
        <v>300.21933208169759</v>
      </c>
      <c r="D573" s="90" t="str">
        <f t="shared" si="59"/>
        <v/>
      </c>
      <c r="K573" s="98" t="str">
        <f t="shared" si="60"/>
        <v/>
      </c>
      <c r="L573" s="98" t="str">
        <f t="shared" si="61"/>
        <v/>
      </c>
      <c r="M573" s="3" t="s">
        <v>238</v>
      </c>
      <c r="N573" s="3">
        <v>91.903877167866611</v>
      </c>
      <c r="O573" s="3">
        <v>1256.0196546275106</v>
      </c>
    </row>
    <row r="574" spans="1:15" x14ac:dyDescent="0.2">
      <c r="A574" s="3" t="str">
        <f>+VLOOKUP(B574,studies!$A$2:$C$102,3)</f>
        <v>Kopp et al. (2012)</v>
      </c>
      <c r="B574" s="87">
        <v>78</v>
      </c>
      <c r="C574" s="3">
        <v>120.08773283267904</v>
      </c>
      <c r="D574" s="90" t="str">
        <f t="shared" si="59"/>
        <v/>
      </c>
      <c r="K574" s="98" t="str">
        <f t="shared" si="60"/>
        <v/>
      </c>
      <c r="L574" s="98" t="str">
        <f t="shared" si="61"/>
        <v/>
      </c>
      <c r="M574" s="3" t="s">
        <v>238</v>
      </c>
      <c r="N574" s="3">
        <v>30.634625722622204</v>
      </c>
      <c r="O574" s="3">
        <v>850.11086380276618</v>
      </c>
    </row>
    <row r="575" spans="1:15" x14ac:dyDescent="0.2">
      <c r="A575" s="3" t="str">
        <f>+VLOOKUP(B575,studies!$A$2:$C$102,3)</f>
        <v>Kopp et al. (2012)</v>
      </c>
      <c r="B575" s="87">
        <v>78</v>
      </c>
      <c r="C575" s="3">
        <v>120.08773283267904</v>
      </c>
      <c r="D575" s="90" t="str">
        <f t="shared" si="59"/>
        <v/>
      </c>
      <c r="K575" s="98" t="str">
        <f t="shared" si="60"/>
        <v/>
      </c>
      <c r="L575" s="98" t="str">
        <f t="shared" si="61"/>
        <v/>
      </c>
      <c r="M575" s="3" t="s">
        <v>238</v>
      </c>
      <c r="N575" s="3">
        <v>53.61059501458886</v>
      </c>
      <c r="O575" s="3">
        <v>1547.0485989924214</v>
      </c>
    </row>
    <row r="576" spans="1:15" x14ac:dyDescent="0.2">
      <c r="A576" s="3" t="str">
        <f>+VLOOKUP(B576,studies!$A$2:$C$102,3)</f>
        <v>Kopp et al. (2012)</v>
      </c>
      <c r="B576" s="87">
        <v>78</v>
      </c>
      <c r="C576" s="3">
        <v>105.07676622859417</v>
      </c>
      <c r="D576" s="90" t="str">
        <f t="shared" si="59"/>
        <v/>
      </c>
      <c r="K576" s="98" t="str">
        <f t="shared" si="60"/>
        <v/>
      </c>
      <c r="L576" s="98" t="str">
        <f t="shared" si="61"/>
        <v/>
      </c>
      <c r="M576" s="3" t="s">
        <v>238</v>
      </c>
      <c r="N576" s="3">
        <v>45.951938583933305</v>
      </c>
      <c r="O576" s="3">
        <v>1531.7312861311102</v>
      </c>
    </row>
    <row r="577" spans="1:15" x14ac:dyDescent="0.2">
      <c r="A577" s="3" t="str">
        <f>+VLOOKUP(B577,studies!$A$2:$C$102,3)</f>
        <v>Kopp et al. (2012)</v>
      </c>
      <c r="B577" s="87">
        <v>78</v>
      </c>
      <c r="C577" s="3">
        <v>135.09869943676392</v>
      </c>
      <c r="D577" s="90" t="str">
        <f t="shared" si="59"/>
        <v/>
      </c>
      <c r="K577" s="98" t="str">
        <f t="shared" si="60"/>
        <v/>
      </c>
      <c r="L577" s="98" t="str">
        <f t="shared" si="61"/>
        <v/>
      </c>
      <c r="M577" s="3" t="s">
        <v>238</v>
      </c>
      <c r="N577" s="3">
        <v>61.269251445244407</v>
      </c>
      <c r="O577" s="3">
        <v>1700.2217276055326</v>
      </c>
    </row>
    <row r="578" spans="1:15" x14ac:dyDescent="0.2">
      <c r="A578" s="3" t="str">
        <f>+VLOOKUP(B578,studies!$A$2:$C$102,3)</f>
        <v>Kopp et al. (2012)</v>
      </c>
      <c r="B578" s="87">
        <v>78</v>
      </c>
      <c r="C578" s="3">
        <v>90.065799624509282</v>
      </c>
      <c r="D578" s="90" t="str">
        <f t="shared" si="59"/>
        <v/>
      </c>
      <c r="K578" s="98" t="str">
        <f t="shared" si="60"/>
        <v/>
      </c>
      <c r="L578" s="98" t="str">
        <f t="shared" si="61"/>
        <v/>
      </c>
      <c r="M578" s="3" t="s">
        <v>238</v>
      </c>
      <c r="N578" s="3">
        <v>38.293282153277758</v>
      </c>
      <c r="O578" s="3">
        <v>1439.8274089632437</v>
      </c>
    </row>
    <row r="579" spans="1:15" x14ac:dyDescent="0.2">
      <c r="A579" s="3" t="str">
        <f>+VLOOKUP(B579,studies!$A$2:$C$102,3)</f>
        <v>Kopp et al. (2012)</v>
      </c>
      <c r="B579" s="87">
        <v>78</v>
      </c>
      <c r="C579" s="3">
        <v>585.42769755931033</v>
      </c>
      <c r="D579" s="90" t="str">
        <f t="shared" si="59"/>
        <v/>
      </c>
      <c r="K579" s="98" t="str">
        <f t="shared" si="60"/>
        <v/>
      </c>
      <c r="L579" s="98" t="str">
        <f t="shared" si="61"/>
        <v/>
      </c>
      <c r="M579" s="3" t="s">
        <v>238</v>
      </c>
      <c r="N579" s="3">
        <v>160.83178504376656</v>
      </c>
      <c r="O579" s="3">
        <v>413.56744725539983</v>
      </c>
    </row>
    <row r="580" spans="1:15" x14ac:dyDescent="0.2">
      <c r="A580" s="3" t="str">
        <f>+VLOOKUP(B580,studies!$A$2:$C$102,3)</f>
        <v>Kopp et al. (2012)</v>
      </c>
      <c r="B580" s="87">
        <v>78</v>
      </c>
      <c r="C580" s="3">
        <v>615.44963076748013</v>
      </c>
      <c r="D580" s="90" t="str">
        <f t="shared" si="59"/>
        <v/>
      </c>
      <c r="K580" s="98" t="str">
        <f t="shared" si="60"/>
        <v/>
      </c>
      <c r="L580" s="98" t="str">
        <f t="shared" si="61"/>
        <v/>
      </c>
      <c r="M580" s="3" t="s">
        <v>238</v>
      </c>
      <c r="N580" s="3">
        <v>176.14909790507767</v>
      </c>
      <c r="O580" s="3">
        <v>513.12998085392189</v>
      </c>
    </row>
    <row r="581" spans="1:15" x14ac:dyDescent="0.2">
      <c r="A581" s="3" t="str">
        <f>+VLOOKUP(B581,studies!$A$2:$C$102,3)</f>
        <v>Kopp et al. (2012)</v>
      </c>
      <c r="B581" s="87">
        <v>78</v>
      </c>
      <c r="C581" s="3">
        <v>555.40576435114065</v>
      </c>
      <c r="D581" s="90" t="str">
        <f t="shared" ref="D581:D644" si="67">+IF(B581=B580,"",A581)</f>
        <v/>
      </c>
      <c r="K581" s="98" t="str">
        <f t="shared" si="60"/>
        <v/>
      </c>
      <c r="L581" s="98" t="str">
        <f t="shared" si="61"/>
        <v/>
      </c>
      <c r="M581" s="3" t="s">
        <v>238</v>
      </c>
      <c r="N581" s="3">
        <v>168.49044147442214</v>
      </c>
      <c r="O581" s="3">
        <v>428.88476011671094</v>
      </c>
    </row>
    <row r="582" spans="1:15" x14ac:dyDescent="0.2">
      <c r="A582" s="3" t="str">
        <f>+VLOOKUP(B582,studies!$A$2:$C$102,3)</f>
        <v>Kopp et al. (2012)</v>
      </c>
      <c r="B582" s="87">
        <v>78</v>
      </c>
      <c r="C582" s="3">
        <v>930.6799294532625</v>
      </c>
      <c r="D582" s="90" t="str">
        <f t="shared" si="67"/>
        <v/>
      </c>
      <c r="K582" s="98" t="str">
        <f t="shared" si="60"/>
        <v/>
      </c>
      <c r="L582" s="98" t="str">
        <f t="shared" si="61"/>
        <v/>
      </c>
      <c r="M582" s="3" t="s">
        <v>238</v>
      </c>
      <c r="N582" s="3">
        <v>252.73566221163316</v>
      </c>
      <c r="O582" s="3">
        <v>574.39923229916644</v>
      </c>
    </row>
    <row r="583" spans="1:15" x14ac:dyDescent="0.2">
      <c r="A583" s="3" t="str">
        <f>+VLOOKUP(B583,studies!$A$2:$C$102,3)</f>
        <v>Kopp et al. (2012)</v>
      </c>
      <c r="B583" s="87">
        <v>78</v>
      </c>
      <c r="C583" s="3">
        <v>585.42769755931033</v>
      </c>
      <c r="D583" s="90" t="str">
        <f t="shared" si="67"/>
        <v/>
      </c>
      <c r="K583" s="98" t="str">
        <f t="shared" ref="K583:K646" si="68">+IF(I583="","",(G583-E583)/1.96)</f>
        <v/>
      </c>
      <c r="L583" s="98" t="str">
        <f t="shared" ref="L583:L646" si="69">+IF(I583="","",(I583-G583)/1.96)</f>
        <v/>
      </c>
      <c r="M583" s="3" t="s">
        <v>238</v>
      </c>
      <c r="N583" s="3">
        <v>160.83178504376656</v>
      </c>
      <c r="O583" s="3">
        <v>398.25013439408872</v>
      </c>
    </row>
    <row r="584" spans="1:15" x14ac:dyDescent="0.2">
      <c r="A584" s="3" t="str">
        <f>+VLOOKUP(B584,studies!$A$2:$C$102,3)</f>
        <v>Kopp et al. (2012)</v>
      </c>
      <c r="B584" s="87">
        <v>78</v>
      </c>
      <c r="C584" s="3">
        <v>1155.8444285145358</v>
      </c>
      <c r="D584" s="90" t="str">
        <f t="shared" si="67"/>
        <v/>
      </c>
      <c r="K584" s="98" t="str">
        <f t="shared" si="68"/>
        <v/>
      </c>
      <c r="L584" s="98" t="str">
        <f t="shared" si="69"/>
        <v/>
      </c>
      <c r="M584" s="3" t="s">
        <v>238</v>
      </c>
      <c r="N584" s="3">
        <v>314.00491365687765</v>
      </c>
      <c r="O584" s="3">
        <v>643.32714017506623</v>
      </c>
    </row>
    <row r="585" spans="1:15" x14ac:dyDescent="0.2">
      <c r="A585" s="3" t="str">
        <f>+VLOOKUP(B585,studies!$A$2:$C$102,3)</f>
        <v>Kopp et al. (2012)</v>
      </c>
      <c r="B585" s="87">
        <v>78</v>
      </c>
      <c r="C585" s="3">
        <v>450.32899812254641</v>
      </c>
      <c r="D585" s="90" t="str">
        <f t="shared" si="67"/>
        <v/>
      </c>
      <c r="K585" s="98" t="str">
        <f t="shared" si="68"/>
        <v/>
      </c>
      <c r="L585" s="98" t="str">
        <f t="shared" si="69"/>
        <v/>
      </c>
      <c r="M585" s="3" t="s">
        <v>238</v>
      </c>
      <c r="N585" s="3">
        <v>114.87984645983326</v>
      </c>
      <c r="O585" s="3">
        <v>283.37028793425543</v>
      </c>
    </row>
    <row r="586" spans="1:15" x14ac:dyDescent="0.2">
      <c r="A586" s="3" t="str">
        <f>+VLOOKUP(B586,studies!$A$2:$C$102,3)</f>
        <v>Kopp et al. (2012)</v>
      </c>
      <c r="B586" s="87">
        <v>78</v>
      </c>
      <c r="C586" s="3">
        <v>615.44963076748013</v>
      </c>
      <c r="D586" s="90" t="str">
        <f t="shared" si="67"/>
        <v/>
      </c>
      <c r="K586" s="98" t="str">
        <f t="shared" si="68"/>
        <v/>
      </c>
      <c r="L586" s="98" t="str">
        <f t="shared" si="69"/>
        <v/>
      </c>
      <c r="M586" s="3" t="s">
        <v>238</v>
      </c>
      <c r="N586" s="3">
        <v>176.14909790507767</v>
      </c>
      <c r="O586" s="3">
        <v>451.86072940867751</v>
      </c>
    </row>
    <row r="587" spans="1:15" x14ac:dyDescent="0.2">
      <c r="A587" s="3" t="str">
        <f>+VLOOKUP(B587,studies!$A$2:$C$102,3)</f>
        <v>Kopp et al. (2012)</v>
      </c>
      <c r="B587" s="87">
        <v>78</v>
      </c>
      <c r="C587" s="3">
        <v>585.42769755931033</v>
      </c>
      <c r="D587" s="90" t="str">
        <f t="shared" si="67"/>
        <v/>
      </c>
      <c r="K587" s="98" t="str">
        <f t="shared" si="68"/>
        <v/>
      </c>
      <c r="L587" s="98" t="str">
        <f t="shared" si="69"/>
        <v/>
      </c>
      <c r="M587" s="3" t="s">
        <v>238</v>
      </c>
      <c r="N587" s="3">
        <v>160.83178504376656</v>
      </c>
      <c r="O587" s="3">
        <v>413.56744725539983</v>
      </c>
    </row>
    <row r="588" spans="1:15" x14ac:dyDescent="0.2">
      <c r="A588" s="3" t="str">
        <f>+VLOOKUP(B588,studies!$A$2:$C$102,3)</f>
        <v>Kopp et al. (2012)</v>
      </c>
      <c r="B588" s="87">
        <v>78</v>
      </c>
      <c r="C588" s="3">
        <v>855.62509643283818</v>
      </c>
      <c r="D588" s="90" t="str">
        <f t="shared" si="67"/>
        <v/>
      </c>
      <c r="K588" s="98" t="str">
        <f t="shared" si="68"/>
        <v/>
      </c>
      <c r="L588" s="98" t="str">
        <f t="shared" si="69"/>
        <v/>
      </c>
      <c r="M588" s="3" t="s">
        <v>238</v>
      </c>
      <c r="N588" s="3">
        <v>298.68760079556648</v>
      </c>
      <c r="O588" s="3">
        <v>2297.5969291966658</v>
      </c>
    </row>
    <row r="589" spans="1:15" x14ac:dyDescent="0.2">
      <c r="A589" s="3" t="str">
        <f>+VLOOKUP(B589,studies!$A$2:$C$102,3)</f>
        <v>Kopp et al. (2012)</v>
      </c>
      <c r="B589" s="87">
        <v>78</v>
      </c>
      <c r="C589" s="3">
        <v>270.19739887352785</v>
      </c>
      <c r="D589" s="90" t="str">
        <f t="shared" si="67"/>
        <v/>
      </c>
      <c r="K589" s="98" t="str">
        <f t="shared" si="68"/>
        <v/>
      </c>
      <c r="L589" s="98" t="str">
        <f t="shared" si="69"/>
        <v/>
      </c>
      <c r="M589" s="3" t="s">
        <v>238</v>
      </c>
      <c r="N589" s="3">
        <v>84.245220737211056</v>
      </c>
      <c r="O589" s="3">
        <v>1332.606218934066</v>
      </c>
    </row>
    <row r="590" spans="1:15" x14ac:dyDescent="0.2">
      <c r="A590" s="3" t="str">
        <f>+VLOOKUP(B590,studies!$A$2:$C$102,3)</f>
        <v>Kopp et al. (2012)</v>
      </c>
      <c r="B590" s="87">
        <v>78</v>
      </c>
      <c r="C590" s="3">
        <v>195.14256585310346</v>
      </c>
      <c r="D590" s="90" t="str">
        <f t="shared" si="67"/>
        <v/>
      </c>
      <c r="K590" s="98" t="str">
        <f t="shared" si="68"/>
        <v/>
      </c>
      <c r="L590" s="98" t="str">
        <f t="shared" si="69"/>
        <v/>
      </c>
      <c r="M590" s="3" t="s">
        <v>238</v>
      </c>
      <c r="N590" s="3">
        <v>61.269251445244414</v>
      </c>
      <c r="O590" s="3">
        <v>1332.606218934066</v>
      </c>
    </row>
    <row r="591" spans="1:15" x14ac:dyDescent="0.2">
      <c r="A591" s="3" t="str">
        <f>+VLOOKUP(B591,studies!$A$2:$C$102,3)</f>
        <v>Kopp et al. (2012)</v>
      </c>
      <c r="B591" s="87">
        <v>78</v>
      </c>
      <c r="C591" s="3">
        <v>390.28513170620693</v>
      </c>
      <c r="D591" s="90" t="str">
        <f t="shared" si="67"/>
        <v/>
      </c>
      <c r="K591" s="98" t="str">
        <f t="shared" si="68"/>
        <v/>
      </c>
      <c r="L591" s="98" t="str">
        <f t="shared" si="69"/>
        <v/>
      </c>
      <c r="M591" s="3" t="s">
        <v>238</v>
      </c>
      <c r="N591" s="3">
        <v>130.19715932114437</v>
      </c>
      <c r="O591" s="3">
        <v>1799.7842612040545</v>
      </c>
    </row>
    <row r="592" spans="1:15" x14ac:dyDescent="0.2">
      <c r="A592" s="3" t="str">
        <f>+VLOOKUP(B592,studies!$A$2:$C$102,3)</f>
        <v>Kopp et al. (2012)</v>
      </c>
      <c r="B592" s="87">
        <v>78</v>
      </c>
      <c r="C592" s="3">
        <v>210.15353245718833</v>
      </c>
      <c r="D592" s="90" t="str">
        <f t="shared" si="67"/>
        <v/>
      </c>
      <c r="K592" s="98" t="str">
        <f t="shared" si="68"/>
        <v/>
      </c>
      <c r="L592" s="98" t="str">
        <f t="shared" si="69"/>
        <v/>
      </c>
      <c r="M592" s="3" t="s">
        <v>238</v>
      </c>
      <c r="N592" s="3">
        <v>61.269251445244407</v>
      </c>
      <c r="O592" s="3">
        <v>1462.8033782552104</v>
      </c>
    </row>
    <row r="593" spans="1:15" x14ac:dyDescent="0.2">
      <c r="A593" s="3" t="str">
        <f>+VLOOKUP(B593,studies!$A$2:$C$102,3)</f>
        <v>Kopp et al. (2012)</v>
      </c>
      <c r="B593" s="87">
        <v>78</v>
      </c>
      <c r="C593" s="3">
        <v>135.09869943676392</v>
      </c>
      <c r="D593" s="90" t="str">
        <f t="shared" si="67"/>
        <v/>
      </c>
      <c r="K593" s="98" t="str">
        <f t="shared" si="68"/>
        <v/>
      </c>
      <c r="L593" s="98" t="str">
        <f t="shared" si="69"/>
        <v/>
      </c>
      <c r="M593" s="3" t="s">
        <v>238</v>
      </c>
      <c r="N593" s="3">
        <v>61.269251445244407</v>
      </c>
      <c r="O593" s="3">
        <v>2672.8710942987873</v>
      </c>
    </row>
    <row r="594" spans="1:15" x14ac:dyDescent="0.2">
      <c r="A594" s="3" t="str">
        <f>+VLOOKUP(B594,studies!$A$2:$C$102,3)</f>
        <v>Kopp et al. (2012)</v>
      </c>
      <c r="B594" s="87">
        <v>78</v>
      </c>
      <c r="C594" s="3">
        <v>105.07676622859417</v>
      </c>
      <c r="D594" s="90" t="str">
        <f t="shared" si="67"/>
        <v/>
      </c>
      <c r="K594" s="98" t="str">
        <f t="shared" si="68"/>
        <v/>
      </c>
      <c r="L594" s="98" t="str">
        <f t="shared" si="69"/>
        <v/>
      </c>
      <c r="M594" s="3" t="s">
        <v>238</v>
      </c>
      <c r="N594" s="3">
        <v>45.951938583933305</v>
      </c>
      <c r="O594" s="3">
        <v>2374.1834935032211</v>
      </c>
    </row>
    <row r="595" spans="1:15" x14ac:dyDescent="0.2">
      <c r="A595" s="3" t="str">
        <f>+VLOOKUP(B595,studies!$A$2:$C$102,3)</f>
        <v>Kopp et al. (2012)</v>
      </c>
      <c r="B595" s="87">
        <v>78</v>
      </c>
      <c r="C595" s="3">
        <v>150.10966604084879</v>
      </c>
      <c r="D595" s="90" t="str">
        <f t="shared" si="67"/>
        <v/>
      </c>
      <c r="K595" s="98" t="str">
        <f t="shared" si="68"/>
        <v/>
      </c>
      <c r="L595" s="98" t="str">
        <f t="shared" si="69"/>
        <v/>
      </c>
      <c r="M595" s="3" t="s">
        <v>238</v>
      </c>
      <c r="N595" s="3">
        <v>68.927907875899962</v>
      </c>
      <c r="O595" s="3">
        <v>2887.3134743571427</v>
      </c>
    </row>
    <row r="596" spans="1:15" x14ac:dyDescent="0.2">
      <c r="A596" s="3" t="str">
        <f>+VLOOKUP(B596,studies!$A$2:$C$102,3)</f>
        <v>Kopp et al. (2012)</v>
      </c>
      <c r="B596" s="87">
        <v>78</v>
      </c>
      <c r="C596" s="3">
        <v>120.08773283267904</v>
      </c>
      <c r="D596" s="90" t="str">
        <f t="shared" si="67"/>
        <v/>
      </c>
      <c r="K596" s="98" t="str">
        <f t="shared" si="68"/>
        <v/>
      </c>
      <c r="L596" s="98" t="str">
        <f t="shared" si="69"/>
        <v/>
      </c>
      <c r="M596" s="3" t="s">
        <v>238</v>
      </c>
      <c r="N596" s="3">
        <v>53.61059501458886</v>
      </c>
      <c r="O596" s="3">
        <v>2711.1643764520654</v>
      </c>
    </row>
    <row r="597" spans="1:15" x14ac:dyDescent="0.2">
      <c r="A597" s="3" t="str">
        <f>+VLOOKUP(B597,studies!$A$2:$C$102,3)</f>
        <v>Kopp et al. (2012)</v>
      </c>
      <c r="B597" s="87">
        <v>78</v>
      </c>
      <c r="C597" s="3">
        <v>660.48253057973466</v>
      </c>
      <c r="D597" s="90" t="str">
        <f t="shared" si="67"/>
        <v/>
      </c>
      <c r="K597" s="98" t="str">
        <f t="shared" si="68"/>
        <v/>
      </c>
      <c r="L597" s="98" t="str">
        <f t="shared" si="69"/>
        <v/>
      </c>
      <c r="M597" s="3" t="s">
        <v>238</v>
      </c>
      <c r="N597" s="3">
        <v>183.80775433573319</v>
      </c>
      <c r="O597" s="3">
        <v>536.10595014588864</v>
      </c>
    </row>
    <row r="598" spans="1:15" x14ac:dyDescent="0.2">
      <c r="A598" s="3" t="str">
        <f>+VLOOKUP(B598,studies!$A$2:$C$102,3)</f>
        <v>Kopp et al. (2012)</v>
      </c>
      <c r="B598" s="87">
        <v>78</v>
      </c>
      <c r="C598" s="3">
        <v>690.50446378790446</v>
      </c>
      <c r="D598" s="90" t="str">
        <f t="shared" si="67"/>
        <v/>
      </c>
      <c r="K598" s="98" t="str">
        <f t="shared" si="68"/>
        <v/>
      </c>
      <c r="L598" s="98" t="str">
        <f t="shared" si="69"/>
        <v/>
      </c>
      <c r="M598" s="3" t="s">
        <v>238</v>
      </c>
      <c r="N598" s="3">
        <v>199.12506719704433</v>
      </c>
      <c r="O598" s="3">
        <v>704.59639162031067</v>
      </c>
    </row>
    <row r="599" spans="1:15" x14ac:dyDescent="0.2">
      <c r="A599" s="3" t="str">
        <f>+VLOOKUP(B599,studies!$A$2:$C$102,3)</f>
        <v>Kopp et al. (2012)</v>
      </c>
      <c r="B599" s="87">
        <v>78</v>
      </c>
      <c r="C599" s="3">
        <v>600.43866416339517</v>
      </c>
      <c r="D599" s="90" t="str">
        <f t="shared" si="67"/>
        <v/>
      </c>
      <c r="K599" s="98" t="str">
        <f t="shared" si="68"/>
        <v/>
      </c>
      <c r="L599" s="98" t="str">
        <f t="shared" si="69"/>
        <v/>
      </c>
      <c r="M599" s="3" t="s">
        <v>238</v>
      </c>
      <c r="N599" s="3">
        <v>176.14909790507767</v>
      </c>
      <c r="O599" s="3">
        <v>528.44729371523306</v>
      </c>
    </row>
    <row r="600" spans="1:15" x14ac:dyDescent="0.2">
      <c r="A600" s="3" t="str">
        <f>+VLOOKUP(B600,studies!$A$2:$C$102,3)</f>
        <v>Kopp et al. (2012)</v>
      </c>
      <c r="B600" s="87">
        <v>78</v>
      </c>
      <c r="C600" s="3">
        <v>1140.8334619104508</v>
      </c>
      <c r="D600" s="90" t="str">
        <f t="shared" si="67"/>
        <v/>
      </c>
      <c r="K600" s="98" t="str">
        <f t="shared" si="68"/>
        <v/>
      </c>
      <c r="L600" s="98" t="str">
        <f t="shared" si="69"/>
        <v/>
      </c>
      <c r="M600" s="3" t="s">
        <v>238</v>
      </c>
      <c r="N600" s="3">
        <v>329.3222265181887</v>
      </c>
      <c r="O600" s="3">
        <v>903.72145881735491</v>
      </c>
    </row>
    <row r="601" spans="1:15" x14ac:dyDescent="0.2">
      <c r="A601" s="3" t="str">
        <f>+VLOOKUP(B601,studies!$A$2:$C$102,3)</f>
        <v>Kopp et al. (2012)</v>
      </c>
      <c r="B601" s="87">
        <v>78</v>
      </c>
      <c r="C601" s="3">
        <v>810.59219662058354</v>
      </c>
      <c r="D601" s="90" t="str">
        <f t="shared" si="67"/>
        <v/>
      </c>
      <c r="K601" s="98" t="str">
        <f t="shared" si="68"/>
        <v/>
      </c>
      <c r="L601" s="98" t="str">
        <f t="shared" si="69"/>
        <v/>
      </c>
      <c r="M601" s="3" t="s">
        <v>238</v>
      </c>
      <c r="N601" s="3">
        <v>229.75969291966652</v>
      </c>
      <c r="O601" s="3">
        <v>704.59639162031067</v>
      </c>
    </row>
    <row r="602" spans="1:15" x14ac:dyDescent="0.2">
      <c r="A602" s="3" t="str">
        <f>+VLOOKUP(B602,studies!$A$2:$C$102,3)</f>
        <v>Kopp et al. (2012)</v>
      </c>
      <c r="B602" s="87">
        <v>78</v>
      </c>
      <c r="C602" s="3">
        <v>1666.2172930534218</v>
      </c>
      <c r="D602" s="90" t="str">
        <f t="shared" si="67"/>
        <v/>
      </c>
      <c r="K602" s="98" t="str">
        <f t="shared" si="68"/>
        <v/>
      </c>
      <c r="L602" s="98" t="str">
        <f t="shared" si="69"/>
        <v/>
      </c>
      <c r="M602" s="3" t="s">
        <v>238</v>
      </c>
      <c r="N602" s="3">
        <v>474.83669870064421</v>
      </c>
      <c r="O602" s="3">
        <v>1286.6542803501325</v>
      </c>
    </row>
    <row r="603" spans="1:15" x14ac:dyDescent="0.2">
      <c r="A603" s="3" t="str">
        <f>+VLOOKUP(B603,studies!$A$2:$C$102,3)</f>
        <v>Kopp et al. (2012)</v>
      </c>
      <c r="B603" s="87">
        <v>78</v>
      </c>
      <c r="C603" s="3">
        <v>480.35093133071615</v>
      </c>
      <c r="D603" s="90" t="str">
        <f t="shared" si="67"/>
        <v/>
      </c>
      <c r="K603" s="98" t="str">
        <f t="shared" si="68"/>
        <v/>
      </c>
      <c r="L603" s="98" t="str">
        <f t="shared" si="69"/>
        <v/>
      </c>
      <c r="M603" s="3" t="s">
        <v>238</v>
      </c>
      <c r="N603" s="3">
        <v>130.19715932114437</v>
      </c>
      <c r="O603" s="3">
        <v>329.32222651818876</v>
      </c>
    </row>
    <row r="604" spans="1:15" x14ac:dyDescent="0.2">
      <c r="A604" s="3" t="str">
        <f>+VLOOKUP(B604,studies!$A$2:$C$102,3)</f>
        <v>Kopp et al. (2012)</v>
      </c>
      <c r="B604" s="87">
        <v>78</v>
      </c>
      <c r="C604" s="3">
        <v>690.50446378790446</v>
      </c>
      <c r="D604" s="90" t="str">
        <f t="shared" si="67"/>
        <v/>
      </c>
      <c r="K604" s="98" t="str">
        <f t="shared" si="68"/>
        <v/>
      </c>
      <c r="L604" s="98" t="str">
        <f t="shared" si="69"/>
        <v/>
      </c>
      <c r="M604" s="3" t="s">
        <v>238</v>
      </c>
      <c r="N604" s="3">
        <v>199.12506719704433</v>
      </c>
      <c r="O604" s="3">
        <v>589.71654516047749</v>
      </c>
    </row>
    <row r="605" spans="1:15" x14ac:dyDescent="0.2">
      <c r="A605" s="3" t="str">
        <f>+VLOOKUP(B605,studies!$A$2:$C$102,3)</f>
        <v>Kopp et al. (2012)</v>
      </c>
      <c r="B605" s="87">
        <v>78</v>
      </c>
      <c r="C605" s="3">
        <v>660.48253057973466</v>
      </c>
      <c r="D605" s="90" t="str">
        <f t="shared" si="67"/>
        <v/>
      </c>
      <c r="K605" s="98" t="str">
        <f t="shared" si="68"/>
        <v/>
      </c>
      <c r="L605" s="98" t="str">
        <f t="shared" si="69"/>
        <v/>
      </c>
      <c r="M605" s="3" t="s">
        <v>238</v>
      </c>
      <c r="N605" s="3">
        <v>183.80775433573319</v>
      </c>
      <c r="O605" s="3">
        <v>536.10595014588864</v>
      </c>
    </row>
    <row r="606" spans="1:15" x14ac:dyDescent="0.2">
      <c r="A606" s="3" t="str">
        <f>+VLOOKUP(B606,studies!$A$2:$C$102,3)</f>
        <v>Kopp et al. (2012)</v>
      </c>
      <c r="B606" s="87">
        <v>78</v>
      </c>
      <c r="C606" s="3">
        <v>1005.7347624736871</v>
      </c>
      <c r="D606" s="90" t="str">
        <f t="shared" si="67"/>
        <v/>
      </c>
      <c r="K606" s="98" t="str">
        <f t="shared" si="68"/>
        <v/>
      </c>
      <c r="L606" s="98" t="str">
        <f t="shared" si="69"/>
        <v/>
      </c>
      <c r="M606" s="3" t="s">
        <v>238</v>
      </c>
      <c r="N606" s="3">
        <v>367.61550867146644</v>
      </c>
      <c r="O606" s="3">
        <v>3882.9388103423648</v>
      </c>
    </row>
    <row r="607" spans="1:15" x14ac:dyDescent="0.2">
      <c r="A607" s="3" t="str">
        <f>+VLOOKUP(B607,studies!$A$2:$C$102,3)</f>
        <v>Kopp et al. (2012)</v>
      </c>
      <c r="B607" s="87">
        <v>78</v>
      </c>
      <c r="C607" s="3">
        <v>300.21933208169759</v>
      </c>
      <c r="D607" s="90" t="str">
        <f t="shared" si="67"/>
        <v/>
      </c>
      <c r="K607" s="98" t="str">
        <f t="shared" si="68"/>
        <v/>
      </c>
      <c r="L607" s="98" t="str">
        <f t="shared" si="69"/>
        <v/>
      </c>
      <c r="M607" s="3" t="s">
        <v>238</v>
      </c>
      <c r="N607" s="3">
        <v>99.56253359852218</v>
      </c>
      <c r="O607" s="3">
        <v>1516.4139732697993</v>
      </c>
    </row>
    <row r="608" spans="1:15" x14ac:dyDescent="0.2">
      <c r="A608" s="3" t="str">
        <f>+VLOOKUP(B608,studies!$A$2:$C$102,3)</f>
        <v>Kopp et al. (2012)</v>
      </c>
      <c r="B608" s="87">
        <v>78</v>
      </c>
      <c r="C608" s="3">
        <v>210.15353245718833</v>
      </c>
      <c r="D608" s="90" t="str">
        <f t="shared" si="67"/>
        <v/>
      </c>
      <c r="K608" s="98" t="str">
        <f t="shared" si="68"/>
        <v/>
      </c>
      <c r="L608" s="98" t="str">
        <f t="shared" si="69"/>
        <v/>
      </c>
      <c r="M608" s="3" t="s">
        <v>238</v>
      </c>
      <c r="N608" s="3">
        <v>68.927907875899962</v>
      </c>
      <c r="O608" s="3">
        <v>1501.0966604084881</v>
      </c>
    </row>
    <row r="609" spans="1:15" x14ac:dyDescent="0.2">
      <c r="A609" s="3" t="str">
        <f>+VLOOKUP(B609,studies!$A$2:$C$102,3)</f>
        <v>Kopp et al. (2012)</v>
      </c>
      <c r="B609" s="87">
        <v>78</v>
      </c>
      <c r="C609" s="3">
        <v>450.32899812254641</v>
      </c>
      <c r="D609" s="90" t="str">
        <f t="shared" si="67"/>
        <v/>
      </c>
      <c r="K609" s="98" t="str">
        <f t="shared" si="68"/>
        <v/>
      </c>
      <c r="L609" s="98" t="str">
        <f t="shared" si="69"/>
        <v/>
      </c>
      <c r="M609" s="3" t="s">
        <v>238</v>
      </c>
      <c r="N609" s="3">
        <v>153.173128613111</v>
      </c>
      <c r="O609" s="3">
        <v>2129.1064877222434</v>
      </c>
    </row>
    <row r="610" spans="1:15" x14ac:dyDescent="0.2">
      <c r="A610" s="3" t="str">
        <f>+VLOOKUP(B610,studies!$A$2:$C$102,3)</f>
        <v>Kopp et al. (2012)</v>
      </c>
      <c r="B610" s="87">
        <v>78</v>
      </c>
      <c r="C610" s="3">
        <v>285.20836547761269</v>
      </c>
      <c r="D610" s="90" t="str">
        <f t="shared" si="67"/>
        <v/>
      </c>
      <c r="K610" s="98" t="str">
        <f t="shared" si="68"/>
        <v/>
      </c>
      <c r="L610" s="98" t="str">
        <f t="shared" si="69"/>
        <v/>
      </c>
      <c r="M610" s="3" t="s">
        <v>238</v>
      </c>
      <c r="N610" s="3">
        <v>91.903877167866611</v>
      </c>
      <c r="O610" s="3">
        <v>1884.0294819412657</v>
      </c>
    </row>
    <row r="611" spans="1:15" x14ac:dyDescent="0.2">
      <c r="A611" s="3" t="str">
        <f>+VLOOKUP(B611,studies!$A$2:$C$102,3)</f>
        <v>Kopp et al. (2012)</v>
      </c>
      <c r="B611" s="87">
        <v>78</v>
      </c>
      <c r="C611" s="3">
        <v>150.10966604084879</v>
      </c>
      <c r="D611" s="90" t="str">
        <f t="shared" si="67"/>
        <v/>
      </c>
      <c r="K611" s="98" t="str">
        <f t="shared" si="68"/>
        <v/>
      </c>
      <c r="L611" s="98" t="str">
        <f t="shared" si="69"/>
        <v/>
      </c>
      <c r="M611" s="3" t="s">
        <v>238</v>
      </c>
      <c r="N611" s="3">
        <v>68.927907875899962</v>
      </c>
      <c r="O611" s="3">
        <v>4143.3331289846528</v>
      </c>
    </row>
    <row r="612" spans="1:15" x14ac:dyDescent="0.2">
      <c r="A612" s="3" t="str">
        <f>+VLOOKUP(B612,studies!$A$2:$C$102,3)</f>
        <v>Kopp et al. (2012)</v>
      </c>
      <c r="B612" s="87">
        <v>78</v>
      </c>
      <c r="C612" s="3">
        <v>120.08773283267904</v>
      </c>
      <c r="D612" s="90" t="str">
        <f t="shared" si="67"/>
        <v/>
      </c>
      <c r="K612" s="98" t="str">
        <f t="shared" si="68"/>
        <v/>
      </c>
      <c r="L612" s="98" t="str">
        <f t="shared" si="69"/>
        <v/>
      </c>
      <c r="M612" s="3" t="s">
        <v>238</v>
      </c>
      <c r="N612" s="3">
        <v>53.61059501458886</v>
      </c>
      <c r="O612" s="3">
        <v>3163.0251058607423</v>
      </c>
    </row>
    <row r="613" spans="1:15" x14ac:dyDescent="0.2">
      <c r="A613" s="3" t="str">
        <f>+VLOOKUP(B613,studies!$A$2:$C$102,3)</f>
        <v>Kopp et al. (2012)</v>
      </c>
      <c r="B613" s="87">
        <v>78</v>
      </c>
      <c r="C613" s="3">
        <v>150.10966604084879</v>
      </c>
      <c r="D613" s="90" t="str">
        <f t="shared" si="67"/>
        <v/>
      </c>
      <c r="K613" s="98" t="str">
        <f t="shared" si="68"/>
        <v/>
      </c>
      <c r="L613" s="98" t="str">
        <f t="shared" si="69"/>
        <v/>
      </c>
      <c r="M613" s="3" t="s">
        <v>238</v>
      </c>
      <c r="N613" s="3">
        <v>68.927907875899962</v>
      </c>
      <c r="O613" s="3">
        <v>4066.7465646780979</v>
      </c>
    </row>
    <row r="614" spans="1:15" x14ac:dyDescent="0.2">
      <c r="A614" s="3" t="str">
        <f>+VLOOKUP(B614,studies!$A$2:$C$102,3)</f>
        <v>Kopp et al. (2012)</v>
      </c>
      <c r="B614" s="87">
        <v>78</v>
      </c>
      <c r="C614" s="3">
        <v>150.10966604084879</v>
      </c>
      <c r="D614" s="90" t="str">
        <f t="shared" si="67"/>
        <v/>
      </c>
      <c r="K614" s="98" t="str">
        <f t="shared" si="68"/>
        <v/>
      </c>
      <c r="L614" s="98" t="str">
        <f t="shared" si="69"/>
        <v/>
      </c>
      <c r="M614" s="3" t="s">
        <v>238</v>
      </c>
      <c r="N614" s="3">
        <v>68.927907875899962</v>
      </c>
      <c r="O614" s="3">
        <v>4074.4052211087533</v>
      </c>
    </row>
    <row r="615" spans="1:15" x14ac:dyDescent="0.2">
      <c r="A615" s="3" t="str">
        <f>+VLOOKUP(B615,studies!$A$2:$C$102,3)</f>
        <v>Kopp et al. (2012)</v>
      </c>
      <c r="B615" s="87">
        <v>78</v>
      </c>
      <c r="C615" s="3">
        <v>855.62509643283818</v>
      </c>
      <c r="D615" s="90" t="str">
        <f t="shared" si="67"/>
        <v/>
      </c>
      <c r="K615" s="98" t="str">
        <f t="shared" si="68"/>
        <v/>
      </c>
      <c r="L615" s="98" t="str">
        <f t="shared" si="69"/>
        <v/>
      </c>
      <c r="M615" s="3" t="s">
        <v>238</v>
      </c>
      <c r="N615" s="3">
        <v>252.73566221163318</v>
      </c>
      <c r="O615" s="3">
        <v>964.99071026259946</v>
      </c>
    </row>
    <row r="616" spans="1:15" x14ac:dyDescent="0.2">
      <c r="A616" s="3" t="str">
        <f>+VLOOKUP(B616,studies!$A$2:$C$102,3)</f>
        <v>Kopp et al. (2012)</v>
      </c>
      <c r="B616" s="87">
        <v>78</v>
      </c>
      <c r="C616" s="3">
        <v>915.66896284917766</v>
      </c>
      <c r="D616" s="90" t="str">
        <f t="shared" si="67"/>
        <v/>
      </c>
      <c r="K616" s="98" t="str">
        <f t="shared" si="68"/>
        <v/>
      </c>
      <c r="L616" s="98" t="str">
        <f t="shared" si="69"/>
        <v/>
      </c>
      <c r="M616" s="3" t="s">
        <v>238</v>
      </c>
      <c r="N616" s="3">
        <v>283.37028793425537</v>
      </c>
      <c r="O616" s="3">
        <v>1424.5100961019327</v>
      </c>
    </row>
    <row r="617" spans="1:15" x14ac:dyDescent="0.2">
      <c r="A617" s="3" t="str">
        <f>+VLOOKUP(B617,studies!$A$2:$C$102,3)</f>
        <v>Kopp et al. (2012)</v>
      </c>
      <c r="B617" s="87">
        <v>78</v>
      </c>
      <c r="C617" s="3">
        <v>750.54833020424405</v>
      </c>
      <c r="D617" s="90" t="str">
        <f t="shared" si="67"/>
        <v/>
      </c>
      <c r="K617" s="98" t="str">
        <f t="shared" si="68"/>
        <v/>
      </c>
      <c r="L617" s="98" t="str">
        <f t="shared" si="69"/>
        <v/>
      </c>
      <c r="M617" s="3" t="s">
        <v>238</v>
      </c>
      <c r="N617" s="3">
        <v>229.75969291966655</v>
      </c>
      <c r="O617" s="3">
        <v>834.79355094145512</v>
      </c>
    </row>
    <row r="618" spans="1:15" x14ac:dyDescent="0.2">
      <c r="A618" s="3" t="str">
        <f>+VLOOKUP(B618,studies!$A$2:$C$102,3)</f>
        <v>Kopp et al. (2012)</v>
      </c>
      <c r="B618" s="87">
        <v>78</v>
      </c>
      <c r="C618" s="3">
        <v>1921.4037253228646</v>
      </c>
      <c r="D618" s="90" t="str">
        <f t="shared" si="67"/>
        <v/>
      </c>
      <c r="K618" s="98" t="str">
        <f t="shared" si="68"/>
        <v/>
      </c>
      <c r="L618" s="98" t="str">
        <f t="shared" si="69"/>
        <v/>
      </c>
      <c r="M618" s="3" t="s">
        <v>238</v>
      </c>
      <c r="N618" s="3">
        <v>605.03385802178855</v>
      </c>
      <c r="O618" s="3">
        <v>2596.2845299922319</v>
      </c>
    </row>
    <row r="619" spans="1:15" x14ac:dyDescent="0.2">
      <c r="A619" s="3" t="str">
        <f>+VLOOKUP(B619,studies!$A$2:$C$102,3)</f>
        <v>Kopp et al. (2012)</v>
      </c>
      <c r="B619" s="87">
        <v>78</v>
      </c>
      <c r="C619" s="3">
        <v>1921.4037253228646</v>
      </c>
      <c r="D619" s="90" t="str">
        <f t="shared" si="67"/>
        <v/>
      </c>
      <c r="K619" s="98" t="str">
        <f t="shared" si="68"/>
        <v/>
      </c>
      <c r="L619" s="98" t="str">
        <f t="shared" si="69"/>
        <v/>
      </c>
      <c r="M619" s="3" t="s">
        <v>238</v>
      </c>
      <c r="N619" s="3">
        <v>605.03385802178855</v>
      </c>
      <c r="O619" s="3">
        <v>2596.2845299922319</v>
      </c>
    </row>
    <row r="620" spans="1:15" x14ac:dyDescent="0.2">
      <c r="A620" s="3" t="str">
        <f>+VLOOKUP(B620,studies!$A$2:$C$102,3)</f>
        <v>Kopp et al. (2012)</v>
      </c>
      <c r="B620" s="87">
        <v>78</v>
      </c>
      <c r="C620" s="3">
        <v>4143.0267827274265</v>
      </c>
      <c r="D620" s="90" t="str">
        <f t="shared" si="67"/>
        <v/>
      </c>
      <c r="K620" s="98" t="str">
        <f t="shared" si="68"/>
        <v/>
      </c>
      <c r="L620" s="98" t="str">
        <f t="shared" si="69"/>
        <v/>
      </c>
      <c r="M620" s="3" t="s">
        <v>238</v>
      </c>
      <c r="N620" s="3">
        <v>1370.8995010873437</v>
      </c>
      <c r="O620" s="3">
        <v>6708.9830332542633</v>
      </c>
    </row>
    <row r="621" spans="1:15" x14ac:dyDescent="0.2">
      <c r="A621" s="3" t="str">
        <f>+VLOOKUP(B621,studies!$A$2:$C$102,3)</f>
        <v>Kopp et al. (2012)</v>
      </c>
      <c r="B621" s="87">
        <v>78</v>
      </c>
      <c r="C621" s="3">
        <v>540.39479774705569</v>
      </c>
      <c r="D621" s="90" t="str">
        <f t="shared" si="67"/>
        <v/>
      </c>
      <c r="K621" s="98" t="str">
        <f t="shared" si="68"/>
        <v/>
      </c>
      <c r="L621" s="98" t="str">
        <f t="shared" si="69"/>
        <v/>
      </c>
      <c r="M621" s="3" t="s">
        <v>238</v>
      </c>
      <c r="N621" s="3">
        <v>145.51447218245548</v>
      </c>
      <c r="O621" s="3">
        <v>467.17804226998857</v>
      </c>
    </row>
    <row r="622" spans="1:15" x14ac:dyDescent="0.2">
      <c r="A622" s="3" t="str">
        <f>+VLOOKUP(B622,studies!$A$2:$C$102,3)</f>
        <v>Kopp et al. (2012)</v>
      </c>
      <c r="B622" s="87">
        <v>78</v>
      </c>
      <c r="C622" s="3">
        <v>900.65799624509282</v>
      </c>
      <c r="D622" s="90" t="str">
        <f t="shared" si="67"/>
        <v/>
      </c>
      <c r="K622" s="98" t="str">
        <f t="shared" si="68"/>
        <v/>
      </c>
      <c r="L622" s="98" t="str">
        <f t="shared" si="69"/>
        <v/>
      </c>
      <c r="M622" s="3" t="s">
        <v>238</v>
      </c>
      <c r="N622" s="3">
        <v>275.71163150359985</v>
      </c>
      <c r="O622" s="3">
        <v>1018.6013052771883</v>
      </c>
    </row>
    <row r="623" spans="1:15" x14ac:dyDescent="0.2">
      <c r="A623" s="3" t="str">
        <f>+VLOOKUP(B623,studies!$A$2:$C$102,3)</f>
        <v>Kopp et al. (2012)</v>
      </c>
      <c r="B623" s="87">
        <v>78</v>
      </c>
      <c r="C623" s="3">
        <v>855.62509643283818</v>
      </c>
      <c r="D623" s="90" t="str">
        <f t="shared" si="67"/>
        <v/>
      </c>
      <c r="K623" s="98" t="str">
        <f t="shared" si="68"/>
        <v/>
      </c>
      <c r="L623" s="98" t="str">
        <f t="shared" si="69"/>
        <v/>
      </c>
      <c r="M623" s="3" t="s">
        <v>238</v>
      </c>
      <c r="N623" s="3">
        <v>252.73566221163318</v>
      </c>
      <c r="O623" s="3">
        <v>964.99071026259946</v>
      </c>
    </row>
    <row r="624" spans="1:15" x14ac:dyDescent="0.2">
      <c r="A624" s="3" t="str">
        <f>+VLOOKUP(B624,studies!$A$2:$C$102,3)</f>
        <v>Kopp et al. (2012)</v>
      </c>
      <c r="B624" s="87">
        <v>78</v>
      </c>
      <c r="C624" s="3">
        <v>1411.0308607839788</v>
      </c>
      <c r="D624" s="90" t="str">
        <f t="shared" si="67"/>
        <v/>
      </c>
      <c r="K624" s="98" t="str">
        <f t="shared" si="68"/>
        <v/>
      </c>
      <c r="L624" s="98" t="str">
        <f t="shared" si="69"/>
        <v/>
      </c>
      <c r="M624" s="3" t="s">
        <v>238</v>
      </c>
      <c r="N624" s="3">
        <v>543.76460657654411</v>
      </c>
      <c r="O624" s="3">
        <v>14015.341268099659</v>
      </c>
    </row>
    <row r="625" spans="1:15" x14ac:dyDescent="0.2">
      <c r="A625" s="3" t="str">
        <f>+VLOOKUP(B625,studies!$A$2:$C$102,3)</f>
        <v>Kopp et al. (2012)</v>
      </c>
      <c r="B625" s="87">
        <v>78</v>
      </c>
      <c r="C625" s="3">
        <v>390.28513170620693</v>
      </c>
      <c r="D625" s="90" t="str">
        <f t="shared" si="67"/>
        <v/>
      </c>
      <c r="K625" s="98" t="str">
        <f t="shared" si="68"/>
        <v/>
      </c>
      <c r="L625" s="98" t="str">
        <f t="shared" si="69"/>
        <v/>
      </c>
      <c r="M625" s="3" t="s">
        <v>238</v>
      </c>
      <c r="N625" s="3">
        <v>137.85581575179995</v>
      </c>
      <c r="O625" s="3">
        <v>1929.9814205251989</v>
      </c>
    </row>
    <row r="626" spans="1:15" x14ac:dyDescent="0.2">
      <c r="A626" s="3" t="str">
        <f>+VLOOKUP(B626,studies!$A$2:$C$102,3)</f>
        <v>Kopp et al. (2012)</v>
      </c>
      <c r="B626" s="87">
        <v>78</v>
      </c>
      <c r="C626" s="3">
        <v>240.17546566535808</v>
      </c>
      <c r="D626" s="90" t="str">
        <f t="shared" si="67"/>
        <v/>
      </c>
      <c r="K626" s="98" t="str">
        <f t="shared" si="68"/>
        <v/>
      </c>
      <c r="L626" s="98" t="str">
        <f t="shared" si="69"/>
        <v/>
      </c>
      <c r="M626" s="3" t="s">
        <v>238</v>
      </c>
      <c r="N626" s="3">
        <v>76.586564306555516</v>
      </c>
      <c r="O626" s="3">
        <v>1807.4429176347101</v>
      </c>
    </row>
    <row r="627" spans="1:15" x14ac:dyDescent="0.2">
      <c r="A627" s="3" t="str">
        <f>+VLOOKUP(B627,studies!$A$2:$C$102,3)</f>
        <v>Kopp et al. (2012)</v>
      </c>
      <c r="B627" s="87">
        <v>78</v>
      </c>
      <c r="C627" s="3">
        <v>630.46059737156497</v>
      </c>
      <c r="D627" s="90" t="str">
        <f t="shared" si="67"/>
        <v/>
      </c>
      <c r="K627" s="98" t="str">
        <f t="shared" si="68"/>
        <v/>
      </c>
      <c r="L627" s="98" t="str">
        <f t="shared" si="69"/>
        <v/>
      </c>
      <c r="M627" s="3" t="s">
        <v>238</v>
      </c>
      <c r="N627" s="3">
        <v>222.10103648901099</v>
      </c>
      <c r="O627" s="3">
        <v>6670.6897511009847</v>
      </c>
    </row>
    <row r="628" spans="1:15" x14ac:dyDescent="0.2">
      <c r="A628" s="3" t="str">
        <f>+VLOOKUP(B628,studies!$A$2:$C$102,3)</f>
        <v>Kopp et al. (2012)</v>
      </c>
      <c r="B628" s="87">
        <v>78</v>
      </c>
      <c r="C628" s="3">
        <v>630.46059737156497</v>
      </c>
      <c r="D628" s="90" t="str">
        <f t="shared" si="67"/>
        <v/>
      </c>
      <c r="K628" s="98" t="str">
        <f t="shared" si="68"/>
        <v/>
      </c>
      <c r="L628" s="98" t="str">
        <f t="shared" si="69"/>
        <v/>
      </c>
      <c r="M628" s="3" t="s">
        <v>238</v>
      </c>
      <c r="N628" s="3">
        <v>222.10103648901099</v>
      </c>
      <c r="O628" s="3">
        <v>6670.6897511009847</v>
      </c>
    </row>
    <row r="629" spans="1:15" x14ac:dyDescent="0.2">
      <c r="A629" s="3" t="str">
        <f>+VLOOKUP(B629,studies!$A$2:$C$102,3)</f>
        <v>Kopp et al. (2012)</v>
      </c>
      <c r="B629" s="87">
        <v>78</v>
      </c>
      <c r="C629" s="3">
        <v>195.14256585310346</v>
      </c>
      <c r="D629" s="90" t="str">
        <f t="shared" si="67"/>
        <v/>
      </c>
      <c r="K629" s="98" t="str">
        <f t="shared" si="68"/>
        <v/>
      </c>
      <c r="L629" s="98" t="str">
        <f t="shared" si="69"/>
        <v/>
      </c>
      <c r="M629" s="3" t="s">
        <v>238</v>
      </c>
      <c r="N629" s="3">
        <v>91.903877167866611</v>
      </c>
      <c r="O629" s="3">
        <v>13471.576661523113</v>
      </c>
    </row>
    <row r="630" spans="1:15" x14ac:dyDescent="0.2">
      <c r="A630" s="3" t="str">
        <f>+VLOOKUP(B630,studies!$A$2:$C$102,3)</f>
        <v>Kopp et al. (2012)</v>
      </c>
      <c r="B630" s="87">
        <v>78</v>
      </c>
      <c r="C630" s="3">
        <v>135.09869943676392</v>
      </c>
      <c r="D630" s="90" t="str">
        <f t="shared" si="67"/>
        <v/>
      </c>
      <c r="K630" s="98" t="str">
        <f t="shared" si="68"/>
        <v/>
      </c>
      <c r="L630" s="98" t="str">
        <f t="shared" si="69"/>
        <v/>
      </c>
      <c r="M630" s="3" t="s">
        <v>238</v>
      </c>
      <c r="N630" s="3">
        <v>61.269251445244407</v>
      </c>
      <c r="O630" s="3">
        <v>6747.276315407541</v>
      </c>
    </row>
    <row r="631" spans="1:15" x14ac:dyDescent="0.2">
      <c r="A631" s="3" t="str">
        <f>+VLOOKUP(B631,studies!$A$2:$C$102,3)</f>
        <v>Kopp et al. (2012)</v>
      </c>
      <c r="B631" s="87">
        <v>78</v>
      </c>
      <c r="C631" s="3">
        <v>180.13159924901856</v>
      </c>
      <c r="D631" s="90" t="str">
        <f t="shared" si="67"/>
        <v/>
      </c>
      <c r="K631" s="98" t="str">
        <f t="shared" si="68"/>
        <v/>
      </c>
      <c r="L631" s="98" t="str">
        <f t="shared" si="69"/>
        <v/>
      </c>
      <c r="M631" s="3" t="s">
        <v>238</v>
      </c>
      <c r="N631" s="3">
        <v>84.245220737211056</v>
      </c>
      <c r="O631" s="3">
        <v>10247.282304217128</v>
      </c>
    </row>
    <row r="632" spans="1:15" x14ac:dyDescent="0.2">
      <c r="A632" s="3" t="str">
        <f>+VLOOKUP(B632,studies!$A$2:$C$102,3)</f>
        <v>Kopp et al. (2012)</v>
      </c>
      <c r="B632" s="87">
        <v>78</v>
      </c>
      <c r="C632" s="3">
        <v>225.1644990612732</v>
      </c>
      <c r="D632" s="90" t="str">
        <f t="shared" si="67"/>
        <v/>
      </c>
      <c r="K632" s="98" t="str">
        <f t="shared" si="68"/>
        <v/>
      </c>
      <c r="L632" s="98" t="str">
        <f t="shared" si="69"/>
        <v/>
      </c>
      <c r="M632" s="3" t="s">
        <v>238</v>
      </c>
      <c r="N632" s="3">
        <v>99.562533598522165</v>
      </c>
      <c r="O632" s="3">
        <v>12904.836085654602</v>
      </c>
    </row>
    <row r="633" spans="1:15" x14ac:dyDescent="0.2">
      <c r="A633" s="3" t="str">
        <f>+VLOOKUP(B633,studies!$A$2:$C$102,3)</f>
        <v>Kopp et al. (2012)</v>
      </c>
      <c r="B633" s="87">
        <v>78</v>
      </c>
      <c r="C633" s="3">
        <v>450.32899812254641</v>
      </c>
      <c r="D633" s="90" t="str">
        <f t="shared" si="67"/>
        <v/>
      </c>
      <c r="K633" s="98" t="str">
        <f t="shared" si="68"/>
        <v/>
      </c>
      <c r="L633" s="98" t="str">
        <f t="shared" si="69"/>
        <v/>
      </c>
      <c r="M633" s="3" t="s">
        <v>238</v>
      </c>
      <c r="N633" s="3">
        <v>122.5385028904888</v>
      </c>
      <c r="O633" s="3">
        <v>298.68760079556648</v>
      </c>
    </row>
    <row r="634" spans="1:15" x14ac:dyDescent="0.2">
      <c r="A634" s="3" t="str">
        <f>+VLOOKUP(B634,studies!$A$2:$C$102,3)</f>
        <v>Kopp et al. (2012)</v>
      </c>
      <c r="B634" s="87">
        <v>78</v>
      </c>
      <c r="C634" s="3">
        <v>465.33996472663125</v>
      </c>
      <c r="D634" s="90" t="str">
        <f t="shared" si="67"/>
        <v/>
      </c>
      <c r="K634" s="98" t="str">
        <f t="shared" si="68"/>
        <v/>
      </c>
      <c r="L634" s="98" t="str">
        <f t="shared" si="69"/>
        <v/>
      </c>
      <c r="M634" s="3" t="s">
        <v>238</v>
      </c>
      <c r="N634" s="3">
        <v>130.19715932114437</v>
      </c>
      <c r="O634" s="3">
        <v>306.34625722622206</v>
      </c>
    </row>
    <row r="635" spans="1:15" x14ac:dyDescent="0.2">
      <c r="A635" s="3" t="str">
        <f>+VLOOKUP(B635,studies!$A$2:$C$102,3)</f>
        <v>Kopp et al. (2012)</v>
      </c>
      <c r="B635" s="87">
        <v>78</v>
      </c>
      <c r="C635" s="3">
        <v>420.30706491437667</v>
      </c>
      <c r="D635" s="90" t="str">
        <f t="shared" si="67"/>
        <v/>
      </c>
      <c r="K635" s="98" t="str">
        <f t="shared" si="68"/>
        <v/>
      </c>
      <c r="L635" s="98" t="str">
        <f t="shared" si="69"/>
        <v/>
      </c>
      <c r="M635" s="3" t="s">
        <v>238</v>
      </c>
      <c r="N635" s="3">
        <v>122.53850289048881</v>
      </c>
      <c r="O635" s="3">
        <v>314.00491365687765</v>
      </c>
    </row>
    <row r="636" spans="1:15" x14ac:dyDescent="0.2">
      <c r="A636" s="3" t="str">
        <f>+VLOOKUP(B636,studies!$A$2:$C$102,3)</f>
        <v>Kopp et al. (2012)</v>
      </c>
      <c r="B636" s="87">
        <v>78</v>
      </c>
      <c r="C636" s="3">
        <v>690.50446378790446</v>
      </c>
      <c r="D636" s="90" t="str">
        <f t="shared" si="67"/>
        <v/>
      </c>
      <c r="K636" s="98" t="str">
        <f t="shared" si="68"/>
        <v/>
      </c>
      <c r="L636" s="98" t="str">
        <f t="shared" si="69"/>
        <v/>
      </c>
      <c r="M636" s="3" t="s">
        <v>238</v>
      </c>
      <c r="N636" s="3">
        <v>191.46641076638878</v>
      </c>
      <c r="O636" s="3">
        <v>451.86072940867751</v>
      </c>
    </row>
    <row r="637" spans="1:15" x14ac:dyDescent="0.2">
      <c r="A637" s="3" t="str">
        <f>+VLOOKUP(B637,studies!$A$2:$C$102,3)</f>
        <v>Kopp et al. (2012)</v>
      </c>
      <c r="B637" s="87">
        <v>78</v>
      </c>
      <c r="C637" s="3">
        <v>330.24126528986733</v>
      </c>
      <c r="D637" s="90" t="str">
        <f t="shared" si="67"/>
        <v/>
      </c>
      <c r="K637" s="98" t="str">
        <f t="shared" si="68"/>
        <v/>
      </c>
      <c r="L637" s="98" t="str">
        <f t="shared" si="69"/>
        <v/>
      </c>
      <c r="M637" s="3" t="s">
        <v>238</v>
      </c>
      <c r="N637" s="3">
        <v>84.245220737211056</v>
      </c>
      <c r="O637" s="3">
        <v>168.49044147442211</v>
      </c>
    </row>
    <row r="638" spans="1:15" x14ac:dyDescent="0.2">
      <c r="A638" s="3" t="str">
        <f>+VLOOKUP(B638,studies!$A$2:$C$102,3)</f>
        <v>Kopp et al. (2012)</v>
      </c>
      <c r="B638" s="87">
        <v>78</v>
      </c>
      <c r="C638" s="3">
        <v>870.63606303692313</v>
      </c>
      <c r="D638" s="90" t="str">
        <f t="shared" si="67"/>
        <v/>
      </c>
      <c r="K638" s="98" t="str">
        <f t="shared" si="68"/>
        <v/>
      </c>
      <c r="L638" s="98" t="str">
        <f t="shared" si="69"/>
        <v/>
      </c>
      <c r="M638" s="3" t="s">
        <v>238</v>
      </c>
      <c r="N638" s="3">
        <v>245.07700578097763</v>
      </c>
      <c r="O638" s="3">
        <v>497.81266799261084</v>
      </c>
    </row>
    <row r="639" spans="1:15" x14ac:dyDescent="0.2">
      <c r="A639" s="3" t="str">
        <f>+VLOOKUP(B639,studies!$A$2:$C$102,3)</f>
        <v>Kopp et al. (2012)</v>
      </c>
      <c r="B639" s="87">
        <v>78</v>
      </c>
      <c r="C639" s="3">
        <v>360.26319849803713</v>
      </c>
      <c r="D639" s="90" t="str">
        <f t="shared" si="67"/>
        <v/>
      </c>
      <c r="K639" s="98" t="str">
        <f t="shared" si="68"/>
        <v/>
      </c>
      <c r="L639" s="98" t="str">
        <f t="shared" si="69"/>
        <v/>
      </c>
      <c r="M639" s="3" t="s">
        <v>238</v>
      </c>
      <c r="N639" s="3">
        <v>91.903877167866611</v>
      </c>
      <c r="O639" s="3">
        <v>206.78372362769991</v>
      </c>
    </row>
    <row r="640" spans="1:15" x14ac:dyDescent="0.2">
      <c r="A640" s="3" t="str">
        <f>+VLOOKUP(B640,studies!$A$2:$C$102,3)</f>
        <v>Kopp et al. (2012)</v>
      </c>
      <c r="B640" s="87">
        <v>78</v>
      </c>
      <c r="C640" s="3">
        <v>450.32899812254641</v>
      </c>
      <c r="D640" s="90" t="str">
        <f t="shared" si="67"/>
        <v/>
      </c>
      <c r="K640" s="98" t="str">
        <f t="shared" si="68"/>
        <v/>
      </c>
      <c r="L640" s="98" t="str">
        <f t="shared" si="69"/>
        <v/>
      </c>
      <c r="M640" s="3" t="s">
        <v>238</v>
      </c>
      <c r="N640" s="3">
        <v>122.5385028904888</v>
      </c>
      <c r="O640" s="3">
        <v>306.34625722622206</v>
      </c>
    </row>
    <row r="641" spans="1:15" x14ac:dyDescent="0.2">
      <c r="A641" s="3" t="str">
        <f>+VLOOKUP(B641,studies!$A$2:$C$102,3)</f>
        <v>Kopp et al. (2012)</v>
      </c>
      <c r="B641" s="87">
        <v>78</v>
      </c>
      <c r="C641" s="3">
        <v>450.32899812254641</v>
      </c>
      <c r="D641" s="90" t="str">
        <f t="shared" si="67"/>
        <v/>
      </c>
      <c r="K641" s="98" t="str">
        <f t="shared" si="68"/>
        <v/>
      </c>
      <c r="L641" s="98" t="str">
        <f t="shared" si="69"/>
        <v/>
      </c>
      <c r="M641" s="3" t="s">
        <v>238</v>
      </c>
      <c r="N641" s="3">
        <v>122.5385028904888</v>
      </c>
      <c r="O641" s="3">
        <v>298.68760079556648</v>
      </c>
    </row>
    <row r="642" spans="1:15" x14ac:dyDescent="0.2">
      <c r="A642" s="3" t="str">
        <f>+VLOOKUP(B642,studies!$A$2:$C$102,3)</f>
        <v>Kopp et al. (2012)</v>
      </c>
      <c r="B642" s="87">
        <v>78</v>
      </c>
      <c r="C642" s="3">
        <v>510.37286453888595</v>
      </c>
      <c r="D642" s="90" t="str">
        <f t="shared" si="67"/>
        <v/>
      </c>
      <c r="K642" s="98" t="str">
        <f t="shared" si="68"/>
        <v/>
      </c>
      <c r="L642" s="98" t="str">
        <f t="shared" si="69"/>
        <v/>
      </c>
      <c r="M642" s="3" t="s">
        <v>238</v>
      </c>
      <c r="N642" s="3">
        <v>160.83178504376659</v>
      </c>
      <c r="O642" s="3">
        <v>873.08683309473281</v>
      </c>
    </row>
    <row r="643" spans="1:15" x14ac:dyDescent="0.2">
      <c r="A643" s="3" t="str">
        <f>+VLOOKUP(B643,studies!$A$2:$C$102,3)</f>
        <v>Kopp et al. (2012)</v>
      </c>
      <c r="B643" s="87">
        <v>78</v>
      </c>
      <c r="C643" s="3">
        <v>165.12063264493366</v>
      </c>
      <c r="D643" s="90" t="str">
        <f t="shared" si="67"/>
        <v/>
      </c>
      <c r="K643" s="98" t="str">
        <f t="shared" si="68"/>
        <v/>
      </c>
      <c r="L643" s="98" t="str">
        <f t="shared" si="69"/>
        <v/>
      </c>
      <c r="M643" s="3" t="s">
        <v>238</v>
      </c>
      <c r="N643" s="3">
        <v>45.951938583933298</v>
      </c>
      <c r="O643" s="3">
        <v>781.18295592686616</v>
      </c>
    </row>
    <row r="644" spans="1:15" x14ac:dyDescent="0.2">
      <c r="A644" s="3" t="str">
        <f>+VLOOKUP(B644,studies!$A$2:$C$102,3)</f>
        <v>Kopp et al. (2012)</v>
      </c>
      <c r="B644" s="87">
        <v>78</v>
      </c>
      <c r="C644" s="3">
        <v>135.09869943676392</v>
      </c>
      <c r="D644" s="90" t="str">
        <f t="shared" si="67"/>
        <v/>
      </c>
      <c r="K644" s="98" t="str">
        <f t="shared" si="68"/>
        <v/>
      </c>
      <c r="L644" s="98" t="str">
        <f t="shared" si="69"/>
        <v/>
      </c>
      <c r="M644" s="3" t="s">
        <v>238</v>
      </c>
      <c r="N644" s="3">
        <v>38.293282153277758</v>
      </c>
      <c r="O644" s="3">
        <v>781.18295592686627</v>
      </c>
    </row>
    <row r="645" spans="1:15" x14ac:dyDescent="0.2">
      <c r="A645" s="3" t="str">
        <f>+VLOOKUP(B645,studies!$A$2:$C$102,3)</f>
        <v>Kopp et al. (2012)</v>
      </c>
      <c r="B645" s="87">
        <v>78</v>
      </c>
      <c r="C645" s="3">
        <v>225.1644990612732</v>
      </c>
      <c r="D645" s="90" t="str">
        <f t="shared" ref="D645:D708" si="70">+IF(B645=B644,"",A645)</f>
        <v/>
      </c>
      <c r="K645" s="98" t="str">
        <f t="shared" si="68"/>
        <v/>
      </c>
      <c r="L645" s="98" t="str">
        <f t="shared" si="69"/>
        <v/>
      </c>
      <c r="M645" s="3" t="s">
        <v>238</v>
      </c>
      <c r="N645" s="3">
        <v>61.2692514452444</v>
      </c>
      <c r="O645" s="3">
        <v>1424.5100961019327</v>
      </c>
    </row>
    <row r="646" spans="1:15" x14ac:dyDescent="0.2">
      <c r="A646" s="3" t="str">
        <f>+VLOOKUP(B646,studies!$A$2:$C$102,3)</f>
        <v>Kopp et al. (2012)</v>
      </c>
      <c r="B646" s="87">
        <v>78</v>
      </c>
      <c r="C646" s="3">
        <v>105.07676622859417</v>
      </c>
      <c r="D646" s="90" t="str">
        <f t="shared" si="70"/>
        <v/>
      </c>
      <c r="K646" s="98" t="str">
        <f t="shared" si="68"/>
        <v/>
      </c>
      <c r="L646" s="98" t="str">
        <f t="shared" si="69"/>
        <v/>
      </c>
      <c r="M646" s="3" t="s">
        <v>238</v>
      </c>
      <c r="N646" s="3">
        <v>30.634625722622204</v>
      </c>
      <c r="O646" s="3">
        <v>490.15401156195526</v>
      </c>
    </row>
    <row r="647" spans="1:15" x14ac:dyDescent="0.2">
      <c r="A647" s="3" t="str">
        <f>+VLOOKUP(B647,studies!$A$2:$C$102,3)</f>
        <v>Kopp et al. (2012)</v>
      </c>
      <c r="B647" s="87">
        <v>78</v>
      </c>
      <c r="C647" s="3">
        <v>90.065799624509282</v>
      </c>
      <c r="D647" s="90" t="str">
        <f t="shared" si="70"/>
        <v/>
      </c>
      <c r="K647" s="98" t="str">
        <f t="shared" ref="K647:K710" si="71">+IF(I647="","",(G647-E647)/1.96)</f>
        <v/>
      </c>
      <c r="L647" s="98" t="str">
        <f t="shared" ref="L647:L710" si="72">+IF(I647="","",(I647-G647)/1.96)</f>
        <v/>
      </c>
      <c r="M647" s="3" t="s">
        <v>238</v>
      </c>
      <c r="N647" s="3">
        <v>38.293282153277758</v>
      </c>
      <c r="O647" s="3">
        <v>1646.6111325909435</v>
      </c>
    </row>
    <row r="648" spans="1:15" x14ac:dyDescent="0.2">
      <c r="A648" s="3" t="str">
        <f>+VLOOKUP(B648,studies!$A$2:$C$102,3)</f>
        <v>Kopp et al. (2012)</v>
      </c>
      <c r="B648" s="87">
        <v>78</v>
      </c>
      <c r="C648" s="3">
        <v>75.054833020424397</v>
      </c>
      <c r="D648" s="90" t="str">
        <f t="shared" si="70"/>
        <v/>
      </c>
      <c r="K648" s="98" t="str">
        <f t="shared" si="71"/>
        <v/>
      </c>
      <c r="L648" s="98" t="str">
        <f t="shared" si="72"/>
        <v/>
      </c>
      <c r="M648" s="3" t="s">
        <v>238</v>
      </c>
      <c r="N648" s="3">
        <v>30.634625722622204</v>
      </c>
      <c r="O648" s="3">
        <v>1524.0726297004549</v>
      </c>
    </row>
    <row r="649" spans="1:15" x14ac:dyDescent="0.2">
      <c r="A649" s="3" t="str">
        <f>+VLOOKUP(B649,studies!$A$2:$C$102,3)</f>
        <v>Kopp et al. (2012)</v>
      </c>
      <c r="B649" s="87">
        <v>78</v>
      </c>
      <c r="C649" s="3">
        <v>105.07676622859417</v>
      </c>
      <c r="D649" s="90" t="str">
        <f t="shared" si="70"/>
        <v/>
      </c>
      <c r="K649" s="98" t="str">
        <f t="shared" si="71"/>
        <v/>
      </c>
      <c r="L649" s="98" t="str">
        <f t="shared" si="72"/>
        <v/>
      </c>
      <c r="M649" s="3" t="s">
        <v>238</v>
      </c>
      <c r="N649" s="3">
        <v>45.951938583933305</v>
      </c>
      <c r="O649" s="3">
        <v>1853.3948562186431</v>
      </c>
    </row>
    <row r="650" spans="1:15" x14ac:dyDescent="0.2">
      <c r="A650" s="3" t="str">
        <f>+VLOOKUP(B650,studies!$A$2:$C$102,3)</f>
        <v>Kopp et al. (2012)</v>
      </c>
      <c r="B650" s="87">
        <v>78</v>
      </c>
      <c r="C650" s="3">
        <v>75.054833020424397</v>
      </c>
      <c r="D650" s="90" t="str">
        <f t="shared" si="70"/>
        <v/>
      </c>
      <c r="K650" s="98" t="str">
        <f t="shared" si="71"/>
        <v/>
      </c>
      <c r="L650" s="98" t="str">
        <f t="shared" si="72"/>
        <v/>
      </c>
      <c r="M650" s="3" t="s">
        <v>238</v>
      </c>
      <c r="N650" s="3">
        <v>30.634625722622204</v>
      </c>
      <c r="O650" s="3">
        <v>1393.8754703793104</v>
      </c>
    </row>
    <row r="651" spans="1:15" x14ac:dyDescent="0.2">
      <c r="A651" s="3" t="str">
        <f>+VLOOKUP(B651,studies!$A$2:$C$102,3)</f>
        <v>Kopp et al. (2012)</v>
      </c>
      <c r="B651" s="87">
        <v>78</v>
      </c>
      <c r="C651" s="3">
        <v>525.38383114297085</v>
      </c>
      <c r="D651" s="90" t="str">
        <f t="shared" si="70"/>
        <v/>
      </c>
      <c r="K651" s="98" t="str">
        <f t="shared" si="71"/>
        <v/>
      </c>
      <c r="L651" s="98" t="str">
        <f t="shared" si="72"/>
        <v/>
      </c>
      <c r="M651" s="3" t="s">
        <v>238</v>
      </c>
      <c r="N651" s="3">
        <v>145.51447218245548</v>
      </c>
      <c r="O651" s="3">
        <v>405.90879082474419</v>
      </c>
    </row>
    <row r="652" spans="1:15" x14ac:dyDescent="0.2">
      <c r="A652" s="3" t="str">
        <f>+VLOOKUP(B652,studies!$A$2:$C$102,3)</f>
        <v>Kopp et al. (2012)</v>
      </c>
      <c r="B652" s="87">
        <v>78</v>
      </c>
      <c r="C652" s="3">
        <v>540.39479774705569</v>
      </c>
      <c r="D652" s="90" t="str">
        <f t="shared" si="70"/>
        <v/>
      </c>
      <c r="K652" s="98" t="str">
        <f t="shared" si="71"/>
        <v/>
      </c>
      <c r="L652" s="98" t="str">
        <f t="shared" si="72"/>
        <v/>
      </c>
      <c r="M652" s="3" t="s">
        <v>238</v>
      </c>
      <c r="N652" s="3">
        <v>153.17312861311103</v>
      </c>
      <c r="O652" s="3">
        <v>428.88476011671082</v>
      </c>
    </row>
    <row r="653" spans="1:15" x14ac:dyDescent="0.2">
      <c r="A653" s="3" t="str">
        <f>+VLOOKUP(B653,studies!$A$2:$C$102,3)</f>
        <v>Kopp et al. (2012)</v>
      </c>
      <c r="B653" s="87">
        <v>78</v>
      </c>
      <c r="C653" s="3">
        <v>480.35093133071615</v>
      </c>
      <c r="D653" s="90" t="str">
        <f t="shared" si="70"/>
        <v/>
      </c>
      <c r="K653" s="98" t="str">
        <f t="shared" si="71"/>
        <v/>
      </c>
      <c r="L653" s="98" t="str">
        <f t="shared" si="72"/>
        <v/>
      </c>
      <c r="M653" s="3" t="s">
        <v>238</v>
      </c>
      <c r="N653" s="3">
        <v>145.51447218245548</v>
      </c>
      <c r="O653" s="3">
        <v>398.25013439408872</v>
      </c>
    </row>
    <row r="654" spans="1:15" x14ac:dyDescent="0.2">
      <c r="A654" s="3" t="str">
        <f>+VLOOKUP(B654,studies!$A$2:$C$102,3)</f>
        <v>Kopp et al. (2012)</v>
      </c>
      <c r="B654" s="87">
        <v>78</v>
      </c>
      <c r="C654" s="3">
        <v>915.66896284917766</v>
      </c>
      <c r="D654" s="90" t="str">
        <f t="shared" si="70"/>
        <v/>
      </c>
      <c r="K654" s="98" t="str">
        <f t="shared" si="71"/>
        <v/>
      </c>
      <c r="L654" s="98" t="str">
        <f t="shared" si="72"/>
        <v/>
      </c>
      <c r="M654" s="3" t="s">
        <v>238</v>
      </c>
      <c r="N654" s="3">
        <v>268.05297507294426</v>
      </c>
      <c r="O654" s="3">
        <v>750.54833020424417</v>
      </c>
    </row>
    <row r="655" spans="1:15" x14ac:dyDescent="0.2">
      <c r="A655" s="3" t="str">
        <f>+VLOOKUP(B655,studies!$A$2:$C$102,3)</f>
        <v>Kopp et al. (2012)</v>
      </c>
      <c r="B655" s="87">
        <v>78</v>
      </c>
      <c r="C655" s="3">
        <v>525.38383114297085</v>
      </c>
      <c r="D655" s="90" t="str">
        <f t="shared" si="70"/>
        <v/>
      </c>
      <c r="K655" s="98" t="str">
        <f t="shared" si="71"/>
        <v/>
      </c>
      <c r="L655" s="98" t="str">
        <f t="shared" si="72"/>
        <v/>
      </c>
      <c r="M655" s="3" t="s">
        <v>238</v>
      </c>
      <c r="N655" s="3">
        <v>145.51447218245548</v>
      </c>
      <c r="O655" s="3">
        <v>382.93282153277761</v>
      </c>
    </row>
    <row r="656" spans="1:15" x14ac:dyDescent="0.2">
      <c r="A656" s="3" t="str">
        <f>+VLOOKUP(B656,studies!$A$2:$C$102,3)</f>
        <v>Kopp et al. (2012)</v>
      </c>
      <c r="B656" s="87">
        <v>78</v>
      </c>
      <c r="C656" s="3">
        <v>1365.9979609717241</v>
      </c>
      <c r="D656" s="90" t="str">
        <f t="shared" si="70"/>
        <v/>
      </c>
      <c r="K656" s="98" t="str">
        <f t="shared" si="71"/>
        <v/>
      </c>
      <c r="L656" s="98" t="str">
        <f t="shared" si="72"/>
        <v/>
      </c>
      <c r="M656" s="3" t="s">
        <v>238</v>
      </c>
      <c r="N656" s="3">
        <v>413.56744725539983</v>
      </c>
      <c r="O656" s="3">
        <v>1095.1878695837438</v>
      </c>
    </row>
    <row r="657" spans="1:15" x14ac:dyDescent="0.2">
      <c r="A657" s="3" t="str">
        <f>+VLOOKUP(B657,studies!$A$2:$C$102,3)</f>
        <v>Kopp et al. (2012)</v>
      </c>
      <c r="B657" s="87">
        <v>78</v>
      </c>
      <c r="C657" s="3">
        <v>390.28513170620693</v>
      </c>
      <c r="D657" s="90" t="str">
        <f t="shared" si="70"/>
        <v/>
      </c>
      <c r="K657" s="98" t="str">
        <f t="shared" si="71"/>
        <v/>
      </c>
      <c r="L657" s="98" t="str">
        <f t="shared" si="72"/>
        <v/>
      </c>
      <c r="M657" s="3" t="s">
        <v>238</v>
      </c>
      <c r="N657" s="3">
        <v>99.56253359852218</v>
      </c>
      <c r="O657" s="3">
        <v>252.73566221163318</v>
      </c>
    </row>
    <row r="658" spans="1:15" x14ac:dyDescent="0.2">
      <c r="A658" s="3" t="str">
        <f>+VLOOKUP(B658,studies!$A$2:$C$102,3)</f>
        <v>Kopp et al. (2012)</v>
      </c>
      <c r="B658" s="87">
        <v>78</v>
      </c>
      <c r="C658" s="3">
        <v>525.38383114297085</v>
      </c>
      <c r="D658" s="90" t="str">
        <f t="shared" si="70"/>
        <v/>
      </c>
      <c r="K658" s="98" t="str">
        <f t="shared" si="71"/>
        <v/>
      </c>
      <c r="L658" s="98" t="str">
        <f t="shared" si="72"/>
        <v/>
      </c>
      <c r="M658" s="3" t="s">
        <v>238</v>
      </c>
      <c r="N658" s="3">
        <v>145.51447218245548</v>
      </c>
      <c r="O658" s="3">
        <v>428.88476011671094</v>
      </c>
    </row>
    <row r="659" spans="1:15" x14ac:dyDescent="0.2">
      <c r="A659" s="3" t="str">
        <f>+VLOOKUP(B659,studies!$A$2:$C$102,3)</f>
        <v>Kopp et al. (2012)</v>
      </c>
      <c r="B659" s="87">
        <v>78</v>
      </c>
      <c r="C659" s="3">
        <v>525.38383114297085</v>
      </c>
      <c r="D659" s="90" t="str">
        <f t="shared" si="70"/>
        <v/>
      </c>
      <c r="K659" s="98" t="str">
        <f t="shared" si="71"/>
        <v/>
      </c>
      <c r="L659" s="98" t="str">
        <f t="shared" si="72"/>
        <v/>
      </c>
      <c r="M659" s="3" t="s">
        <v>238</v>
      </c>
      <c r="N659" s="3">
        <v>145.51447218245548</v>
      </c>
      <c r="O659" s="3">
        <v>405.90879082474419</v>
      </c>
    </row>
    <row r="660" spans="1:15" x14ac:dyDescent="0.2">
      <c r="A660" s="3" t="str">
        <f>+VLOOKUP(B660,studies!$A$2:$C$102,3)</f>
        <v>Kopp et al. (2012)</v>
      </c>
      <c r="B660" s="87">
        <v>78</v>
      </c>
      <c r="C660" s="3">
        <v>585.42769755931033</v>
      </c>
      <c r="D660" s="90" t="str">
        <f t="shared" si="70"/>
        <v/>
      </c>
      <c r="K660" s="98" t="str">
        <f t="shared" si="71"/>
        <v/>
      </c>
      <c r="L660" s="98" t="str">
        <f t="shared" si="72"/>
        <v/>
      </c>
      <c r="M660" s="3" t="s">
        <v>238</v>
      </c>
      <c r="N660" s="3">
        <v>191.4664107663888</v>
      </c>
      <c r="O660" s="3">
        <v>1263.6783110581659</v>
      </c>
    </row>
    <row r="661" spans="1:15" x14ac:dyDescent="0.2">
      <c r="A661" s="3" t="str">
        <f>+VLOOKUP(B661,studies!$A$2:$C$102,3)</f>
        <v>Kopp et al. (2012)</v>
      </c>
      <c r="B661" s="87">
        <v>78</v>
      </c>
      <c r="C661" s="3">
        <v>195.14256585310346</v>
      </c>
      <c r="D661" s="90" t="str">
        <f t="shared" si="70"/>
        <v/>
      </c>
      <c r="K661" s="98" t="str">
        <f t="shared" si="71"/>
        <v/>
      </c>
      <c r="L661" s="98" t="str">
        <f t="shared" si="72"/>
        <v/>
      </c>
      <c r="M661" s="3" t="s">
        <v>238</v>
      </c>
      <c r="N661" s="3">
        <v>53.610595014588867</v>
      </c>
      <c r="O661" s="3">
        <v>1248.3609981968548</v>
      </c>
    </row>
    <row r="662" spans="1:15" x14ac:dyDescent="0.2">
      <c r="A662" s="3" t="str">
        <f>+VLOOKUP(B662,studies!$A$2:$C$102,3)</f>
        <v>Kopp et al. (2012)</v>
      </c>
      <c r="B662" s="87">
        <v>78</v>
      </c>
      <c r="C662" s="3">
        <v>135.09869943676392</v>
      </c>
      <c r="D662" s="90" t="str">
        <f t="shared" si="70"/>
        <v/>
      </c>
      <c r="K662" s="98" t="str">
        <f t="shared" si="71"/>
        <v/>
      </c>
      <c r="L662" s="98" t="str">
        <f t="shared" si="72"/>
        <v/>
      </c>
      <c r="M662" s="3" t="s">
        <v>238</v>
      </c>
      <c r="N662" s="3">
        <v>38.293282153277758</v>
      </c>
      <c r="O662" s="3">
        <v>1263.6783110581659</v>
      </c>
    </row>
    <row r="663" spans="1:15" x14ac:dyDescent="0.2">
      <c r="A663" s="3" t="str">
        <f>+VLOOKUP(B663,studies!$A$2:$C$102,3)</f>
        <v>Kopp et al. (2012)</v>
      </c>
      <c r="B663" s="87">
        <v>78</v>
      </c>
      <c r="C663" s="3">
        <v>270.19739887352785</v>
      </c>
      <c r="D663" s="90" t="str">
        <f t="shared" si="70"/>
        <v/>
      </c>
      <c r="K663" s="98" t="str">
        <f t="shared" si="71"/>
        <v/>
      </c>
      <c r="L663" s="98" t="str">
        <f t="shared" si="72"/>
        <v/>
      </c>
      <c r="M663" s="3" t="s">
        <v>238</v>
      </c>
      <c r="N663" s="3">
        <v>76.586564306555516</v>
      </c>
      <c r="O663" s="3">
        <v>2067.8372362769987</v>
      </c>
    </row>
    <row r="664" spans="1:15" x14ac:dyDescent="0.2">
      <c r="A664" s="3" t="str">
        <f>+VLOOKUP(B664,studies!$A$2:$C$102,3)</f>
        <v>Kopp et al. (2012)</v>
      </c>
      <c r="B664" s="87">
        <v>78</v>
      </c>
      <c r="C664" s="3">
        <v>150.10966604084879</v>
      </c>
      <c r="D664" s="90" t="str">
        <f t="shared" si="70"/>
        <v/>
      </c>
      <c r="K664" s="98" t="str">
        <f t="shared" si="71"/>
        <v/>
      </c>
      <c r="L664" s="98" t="str">
        <f t="shared" si="72"/>
        <v/>
      </c>
      <c r="M664" s="3" t="s">
        <v>238</v>
      </c>
      <c r="N664" s="3">
        <v>38.293282153277758</v>
      </c>
      <c r="O664" s="3">
        <v>1194.7504031822659</v>
      </c>
    </row>
    <row r="665" spans="1:15" x14ac:dyDescent="0.2">
      <c r="A665" s="3" t="str">
        <f>+VLOOKUP(B665,studies!$A$2:$C$102,3)</f>
        <v>Kopp et al. (2012)</v>
      </c>
      <c r="B665" s="87">
        <v>78</v>
      </c>
      <c r="C665" s="3">
        <v>105.07676622859417</v>
      </c>
      <c r="D665" s="90" t="str">
        <f t="shared" si="70"/>
        <v/>
      </c>
      <c r="K665" s="98" t="str">
        <f t="shared" si="71"/>
        <v/>
      </c>
      <c r="L665" s="98" t="str">
        <f t="shared" si="72"/>
        <v/>
      </c>
      <c r="M665" s="3" t="s">
        <v>238</v>
      </c>
      <c r="N665" s="3">
        <v>45.951938583933305</v>
      </c>
      <c r="O665" s="3">
        <v>2389.5008063645319</v>
      </c>
    </row>
    <row r="666" spans="1:15" x14ac:dyDescent="0.2">
      <c r="A666" s="3" t="str">
        <f>+VLOOKUP(B666,studies!$A$2:$C$102,3)</f>
        <v>Kopp et al. (2012)</v>
      </c>
      <c r="B666" s="87">
        <v>78</v>
      </c>
      <c r="C666" s="3">
        <v>90.065799624509282</v>
      </c>
      <c r="D666" s="90" t="str">
        <f t="shared" si="70"/>
        <v/>
      </c>
      <c r="K666" s="98" t="str">
        <f t="shared" si="71"/>
        <v/>
      </c>
      <c r="L666" s="98" t="str">
        <f t="shared" si="72"/>
        <v/>
      </c>
      <c r="M666" s="3" t="s">
        <v>238</v>
      </c>
      <c r="N666" s="3">
        <v>38.293282153277758</v>
      </c>
      <c r="O666" s="3">
        <v>2167.3997698755211</v>
      </c>
    </row>
    <row r="667" spans="1:15" x14ac:dyDescent="0.2">
      <c r="A667" s="3" t="str">
        <f>+VLOOKUP(B667,studies!$A$2:$C$102,3)</f>
        <v>Kopp et al. (2012)</v>
      </c>
      <c r="B667" s="87">
        <v>78</v>
      </c>
      <c r="C667" s="3">
        <v>105.07676622859417</v>
      </c>
      <c r="D667" s="90" t="str">
        <f t="shared" si="70"/>
        <v/>
      </c>
      <c r="K667" s="98" t="str">
        <f t="shared" si="71"/>
        <v/>
      </c>
      <c r="L667" s="98" t="str">
        <f t="shared" si="72"/>
        <v/>
      </c>
      <c r="M667" s="3" t="s">
        <v>238</v>
      </c>
      <c r="N667" s="3">
        <v>45.951938583933305</v>
      </c>
      <c r="O667" s="3">
        <v>2780.0922843279645</v>
      </c>
    </row>
    <row r="668" spans="1:15" x14ac:dyDescent="0.2">
      <c r="A668" s="3" t="str">
        <f>+VLOOKUP(B668,studies!$A$2:$C$102,3)</f>
        <v>Kopp et al. (2012)</v>
      </c>
      <c r="B668" s="87">
        <v>78</v>
      </c>
      <c r="C668" s="3">
        <v>90.065799624509282</v>
      </c>
      <c r="D668" s="90" t="str">
        <f t="shared" si="70"/>
        <v/>
      </c>
      <c r="K668" s="98" t="str">
        <f t="shared" si="71"/>
        <v/>
      </c>
      <c r="L668" s="98" t="str">
        <f t="shared" si="72"/>
        <v/>
      </c>
      <c r="M668" s="3" t="s">
        <v>238</v>
      </c>
      <c r="N668" s="3">
        <v>38.293282153277758</v>
      </c>
      <c r="O668" s="3">
        <v>2496.7219963937096</v>
      </c>
    </row>
    <row r="669" spans="1:15" x14ac:dyDescent="0.2">
      <c r="A669" s="3" t="str">
        <f>+VLOOKUP(B669,studies!$A$2:$C$102,3)</f>
        <v>Kopp et al. (2012)</v>
      </c>
      <c r="B669" s="87">
        <v>78</v>
      </c>
      <c r="C669" s="3">
        <v>585.42769755931033</v>
      </c>
      <c r="D669" s="90" t="str">
        <f t="shared" si="70"/>
        <v/>
      </c>
      <c r="K669" s="98" t="str">
        <f t="shared" si="71"/>
        <v/>
      </c>
      <c r="L669" s="98" t="str">
        <f t="shared" si="72"/>
        <v/>
      </c>
      <c r="M669" s="3" t="s">
        <v>238</v>
      </c>
      <c r="N669" s="3">
        <v>168.49044147442211</v>
      </c>
      <c r="O669" s="3">
        <v>482.49535513129979</v>
      </c>
    </row>
    <row r="670" spans="1:15" x14ac:dyDescent="0.2">
      <c r="A670" s="3" t="str">
        <f>+VLOOKUP(B670,studies!$A$2:$C$102,3)</f>
        <v>Kopp et al. (2012)</v>
      </c>
      <c r="B670" s="87">
        <v>78</v>
      </c>
      <c r="C670" s="3">
        <v>585.42769755931033</v>
      </c>
      <c r="D670" s="90" t="str">
        <f t="shared" si="70"/>
        <v/>
      </c>
      <c r="K670" s="98" t="str">
        <f t="shared" si="71"/>
        <v/>
      </c>
      <c r="L670" s="98" t="str">
        <f t="shared" si="72"/>
        <v/>
      </c>
      <c r="M670" s="3" t="s">
        <v>238</v>
      </c>
      <c r="N670" s="3">
        <v>168.49044147442211</v>
      </c>
      <c r="O670" s="3">
        <v>520.78863728457748</v>
      </c>
    </row>
    <row r="671" spans="1:15" x14ac:dyDescent="0.2">
      <c r="A671" s="3" t="str">
        <f>+VLOOKUP(B671,studies!$A$2:$C$102,3)</f>
        <v>Kopp et al. (2012)</v>
      </c>
      <c r="B671" s="87">
        <v>78</v>
      </c>
      <c r="C671" s="3">
        <v>525.38383114297085</v>
      </c>
      <c r="D671" s="90" t="str">
        <f t="shared" si="70"/>
        <v/>
      </c>
      <c r="K671" s="98" t="str">
        <f t="shared" si="71"/>
        <v/>
      </c>
      <c r="L671" s="98" t="str">
        <f t="shared" si="72"/>
        <v/>
      </c>
      <c r="M671" s="3" t="s">
        <v>238</v>
      </c>
      <c r="N671" s="3">
        <v>160.83178504376656</v>
      </c>
      <c r="O671" s="3">
        <v>459.51938583933315</v>
      </c>
    </row>
    <row r="672" spans="1:15" x14ac:dyDescent="0.2">
      <c r="A672" s="3" t="str">
        <f>+VLOOKUP(B672,studies!$A$2:$C$102,3)</f>
        <v>Kopp et al. (2012)</v>
      </c>
      <c r="B672" s="87">
        <v>78</v>
      </c>
      <c r="C672" s="3">
        <v>1080.7895954941114</v>
      </c>
      <c r="D672" s="90" t="str">
        <f t="shared" si="70"/>
        <v/>
      </c>
      <c r="K672" s="98" t="str">
        <f t="shared" si="71"/>
        <v/>
      </c>
      <c r="L672" s="98" t="str">
        <f t="shared" si="72"/>
        <v/>
      </c>
      <c r="M672" s="3" t="s">
        <v>238</v>
      </c>
      <c r="N672" s="3">
        <v>321.66357008753317</v>
      </c>
      <c r="O672" s="3">
        <v>1041.577274569155</v>
      </c>
    </row>
    <row r="673" spans="1:15" x14ac:dyDescent="0.2">
      <c r="A673" s="3" t="str">
        <f>+VLOOKUP(B673,studies!$A$2:$C$102,3)</f>
        <v>Kopp et al. (2012)</v>
      </c>
      <c r="B673" s="87">
        <v>78</v>
      </c>
      <c r="C673" s="3">
        <v>720.52639699607425</v>
      </c>
      <c r="D673" s="90" t="str">
        <f t="shared" si="70"/>
        <v/>
      </c>
      <c r="K673" s="98" t="str">
        <f t="shared" si="71"/>
        <v/>
      </c>
      <c r="L673" s="98" t="str">
        <f t="shared" si="72"/>
        <v/>
      </c>
      <c r="M673" s="3" t="s">
        <v>238</v>
      </c>
      <c r="N673" s="3">
        <v>206.78372362769989</v>
      </c>
      <c r="O673" s="3">
        <v>643.32714017506635</v>
      </c>
    </row>
    <row r="674" spans="1:15" x14ac:dyDescent="0.2">
      <c r="A674" s="3" t="str">
        <f>+VLOOKUP(B674,studies!$A$2:$C$102,3)</f>
        <v>Kopp et al. (2012)</v>
      </c>
      <c r="B674" s="87">
        <v>78</v>
      </c>
      <c r="C674" s="3">
        <v>1831.3379256983553</v>
      </c>
      <c r="D674" s="90" t="str">
        <f t="shared" si="70"/>
        <v/>
      </c>
      <c r="K674" s="98" t="str">
        <f t="shared" si="71"/>
        <v/>
      </c>
      <c r="L674" s="98" t="str">
        <f t="shared" si="72"/>
        <v/>
      </c>
      <c r="M674" s="3" t="s">
        <v>238</v>
      </c>
      <c r="N674" s="3">
        <v>566.74057586851075</v>
      </c>
      <c r="O674" s="3">
        <v>1807.4429176347101</v>
      </c>
    </row>
    <row r="675" spans="1:15" x14ac:dyDescent="0.2">
      <c r="A675" s="3" t="str">
        <f>+VLOOKUP(B675,studies!$A$2:$C$102,3)</f>
        <v>Kopp et al. (2012)</v>
      </c>
      <c r="B675" s="87">
        <v>78</v>
      </c>
      <c r="C675" s="3">
        <v>420.30706491437667</v>
      </c>
      <c r="D675" s="90" t="str">
        <f t="shared" si="70"/>
        <v/>
      </c>
      <c r="K675" s="98" t="str">
        <f t="shared" si="71"/>
        <v/>
      </c>
      <c r="L675" s="98" t="str">
        <f t="shared" si="72"/>
        <v/>
      </c>
      <c r="M675" s="3" t="s">
        <v>238</v>
      </c>
      <c r="N675" s="3">
        <v>114.87984645983326</v>
      </c>
      <c r="O675" s="3">
        <v>283.37028793425543</v>
      </c>
    </row>
    <row r="676" spans="1:15" x14ac:dyDescent="0.2">
      <c r="A676" s="3" t="str">
        <f>+VLOOKUP(B676,studies!$A$2:$C$102,3)</f>
        <v>Kopp et al. (2012)</v>
      </c>
      <c r="B676" s="87">
        <v>78</v>
      </c>
      <c r="C676" s="3">
        <v>585.42769755931033</v>
      </c>
      <c r="D676" s="90" t="str">
        <f t="shared" si="70"/>
        <v/>
      </c>
      <c r="K676" s="98" t="str">
        <f t="shared" si="71"/>
        <v/>
      </c>
      <c r="L676" s="98" t="str">
        <f t="shared" si="72"/>
        <v/>
      </c>
      <c r="M676" s="3" t="s">
        <v>238</v>
      </c>
      <c r="N676" s="3">
        <v>168.49044147442211</v>
      </c>
      <c r="O676" s="3">
        <v>536.10595014588864</v>
      </c>
    </row>
    <row r="677" spans="1:15" x14ac:dyDescent="0.2">
      <c r="A677" s="3" t="str">
        <f>+VLOOKUP(B677,studies!$A$2:$C$102,3)</f>
        <v>Kopp et al. (2012)</v>
      </c>
      <c r="B677" s="87">
        <v>78</v>
      </c>
      <c r="C677" s="3">
        <v>585.42769755931033</v>
      </c>
      <c r="D677" s="90" t="str">
        <f t="shared" si="70"/>
        <v/>
      </c>
      <c r="K677" s="98" t="str">
        <f t="shared" si="71"/>
        <v/>
      </c>
      <c r="L677" s="98" t="str">
        <f t="shared" si="72"/>
        <v/>
      </c>
      <c r="M677" s="3" t="s">
        <v>238</v>
      </c>
      <c r="N677" s="3">
        <v>168.49044147442211</v>
      </c>
      <c r="O677" s="3">
        <v>482.49535513129979</v>
      </c>
    </row>
    <row r="678" spans="1:15" x14ac:dyDescent="0.2">
      <c r="A678" s="3" t="str">
        <f>+VLOOKUP(B678,studies!$A$2:$C$102,3)</f>
        <v>Kopp et al. (2012)</v>
      </c>
      <c r="B678" s="87">
        <v>78</v>
      </c>
      <c r="C678" s="3">
        <v>660.48253057973466</v>
      </c>
      <c r="D678" s="90" t="str">
        <f t="shared" si="70"/>
        <v/>
      </c>
      <c r="K678" s="98" t="str">
        <f t="shared" si="71"/>
        <v/>
      </c>
      <c r="L678" s="98" t="str">
        <f t="shared" si="72"/>
        <v/>
      </c>
      <c r="M678" s="3" t="s">
        <v>238</v>
      </c>
      <c r="N678" s="3">
        <v>214.44238005835541</v>
      </c>
      <c r="O678" s="3">
        <v>1539.3899425617658</v>
      </c>
    </row>
    <row r="679" spans="1:15" x14ac:dyDescent="0.2">
      <c r="A679" s="3" t="str">
        <f>+VLOOKUP(B679,studies!$A$2:$C$102,3)</f>
        <v>Kopp et al. (2012)</v>
      </c>
      <c r="B679" s="87">
        <v>78</v>
      </c>
      <c r="C679" s="3">
        <v>210.15353245718833</v>
      </c>
      <c r="D679" s="90" t="str">
        <f t="shared" si="70"/>
        <v/>
      </c>
      <c r="K679" s="98" t="str">
        <f t="shared" si="71"/>
        <v/>
      </c>
      <c r="L679" s="98" t="str">
        <f t="shared" si="72"/>
        <v/>
      </c>
      <c r="M679" s="3" t="s">
        <v>238</v>
      </c>
      <c r="N679" s="3">
        <v>61.269251445244407</v>
      </c>
      <c r="O679" s="3">
        <v>1462.8033782552104</v>
      </c>
    </row>
    <row r="680" spans="1:15" x14ac:dyDescent="0.2">
      <c r="A680" s="3" t="str">
        <f>+VLOOKUP(B680,studies!$A$2:$C$102,3)</f>
        <v>Kopp et al. (2012)</v>
      </c>
      <c r="B680" s="87">
        <v>78</v>
      </c>
      <c r="C680" s="3">
        <v>150.10966604084879</v>
      </c>
      <c r="D680" s="90" t="str">
        <f t="shared" si="70"/>
        <v/>
      </c>
      <c r="K680" s="98" t="str">
        <f t="shared" si="71"/>
        <v/>
      </c>
      <c r="L680" s="98" t="str">
        <f t="shared" si="72"/>
        <v/>
      </c>
      <c r="M680" s="3" t="s">
        <v>238</v>
      </c>
      <c r="N680" s="3">
        <v>38.293282153277758</v>
      </c>
      <c r="O680" s="3">
        <v>1470.4620346858658</v>
      </c>
    </row>
    <row r="681" spans="1:15" x14ac:dyDescent="0.2">
      <c r="A681" s="3" t="str">
        <f>+VLOOKUP(B681,studies!$A$2:$C$102,3)</f>
        <v>Kopp et al. (2012)</v>
      </c>
      <c r="B681" s="87">
        <v>78</v>
      </c>
      <c r="C681" s="3">
        <v>300.21933208169759</v>
      </c>
      <c r="D681" s="90" t="str">
        <f t="shared" si="70"/>
        <v/>
      </c>
      <c r="K681" s="98" t="str">
        <f t="shared" si="71"/>
        <v/>
      </c>
      <c r="L681" s="98" t="str">
        <f t="shared" si="72"/>
        <v/>
      </c>
      <c r="M681" s="3" t="s">
        <v>238</v>
      </c>
      <c r="N681" s="3">
        <v>84.245220737211056</v>
      </c>
      <c r="O681" s="3">
        <v>2481.4046835323988</v>
      </c>
    </row>
    <row r="682" spans="1:15" x14ac:dyDescent="0.2">
      <c r="A682" s="3" t="str">
        <f>+VLOOKUP(B682,studies!$A$2:$C$102,3)</f>
        <v>Kopp et al. (2012)</v>
      </c>
      <c r="B682" s="87">
        <v>78</v>
      </c>
      <c r="C682" s="3">
        <v>195.14256585310346</v>
      </c>
      <c r="D682" s="90" t="str">
        <f t="shared" si="70"/>
        <v/>
      </c>
      <c r="K682" s="98" t="str">
        <f t="shared" si="71"/>
        <v/>
      </c>
      <c r="L682" s="98" t="str">
        <f t="shared" si="72"/>
        <v/>
      </c>
      <c r="M682" s="3" t="s">
        <v>238</v>
      </c>
      <c r="N682" s="3">
        <v>53.610595014588867</v>
      </c>
      <c r="O682" s="3">
        <v>2083.1545491383099</v>
      </c>
    </row>
    <row r="683" spans="1:15" x14ac:dyDescent="0.2">
      <c r="A683" s="3" t="str">
        <f>+VLOOKUP(B683,studies!$A$2:$C$102,3)</f>
        <v>Kopp et al. (2012)</v>
      </c>
      <c r="B683" s="87">
        <v>78</v>
      </c>
      <c r="C683" s="3">
        <v>120.08773283267904</v>
      </c>
      <c r="D683" s="90" t="str">
        <f t="shared" si="70"/>
        <v/>
      </c>
      <c r="K683" s="98" t="str">
        <f t="shared" si="71"/>
        <v/>
      </c>
      <c r="L683" s="98" t="str">
        <f t="shared" si="72"/>
        <v/>
      </c>
      <c r="M683" s="3" t="s">
        <v>238</v>
      </c>
      <c r="N683" s="3">
        <v>53.61059501458886</v>
      </c>
      <c r="O683" s="3">
        <v>2818.3855664812427</v>
      </c>
    </row>
    <row r="684" spans="1:15" x14ac:dyDescent="0.2">
      <c r="A684" s="3" t="str">
        <f>+VLOOKUP(B684,studies!$A$2:$C$102,3)</f>
        <v>Kopp et al. (2012)</v>
      </c>
      <c r="B684" s="87">
        <v>78</v>
      </c>
      <c r="C684" s="3">
        <v>90.065799624509282</v>
      </c>
      <c r="D684" s="90" t="str">
        <f t="shared" si="70"/>
        <v/>
      </c>
      <c r="K684" s="98" t="str">
        <f t="shared" si="71"/>
        <v/>
      </c>
      <c r="L684" s="98" t="str">
        <f t="shared" si="72"/>
        <v/>
      </c>
      <c r="M684" s="3" t="s">
        <v>238</v>
      </c>
      <c r="N684" s="3">
        <v>38.293282153277758</v>
      </c>
      <c r="O684" s="3">
        <v>2626.9191557148538</v>
      </c>
    </row>
    <row r="685" spans="1:15" x14ac:dyDescent="0.2">
      <c r="A685" s="3" t="str">
        <f>+VLOOKUP(B685,studies!$A$2:$C$102,3)</f>
        <v>Kopp et al. (2012)</v>
      </c>
      <c r="B685" s="87">
        <v>78</v>
      </c>
      <c r="C685" s="3">
        <v>120.08773283267904</v>
      </c>
      <c r="D685" s="90" t="str">
        <f t="shared" si="70"/>
        <v/>
      </c>
      <c r="K685" s="98" t="str">
        <f t="shared" si="71"/>
        <v/>
      </c>
      <c r="L685" s="98" t="str">
        <f t="shared" si="72"/>
        <v/>
      </c>
      <c r="M685" s="3" t="s">
        <v>238</v>
      </c>
      <c r="N685" s="3">
        <v>53.61059501458886</v>
      </c>
      <c r="O685" s="3">
        <v>3500.0059888095871</v>
      </c>
    </row>
    <row r="686" spans="1:15" x14ac:dyDescent="0.2">
      <c r="A686" s="3" t="str">
        <f>+VLOOKUP(B686,studies!$A$2:$C$102,3)</f>
        <v>Kopp et al. (2012)</v>
      </c>
      <c r="B686" s="87">
        <v>78</v>
      </c>
      <c r="C686" s="3">
        <v>120.08773283267904</v>
      </c>
      <c r="D686" s="90" t="str">
        <f t="shared" si="70"/>
        <v/>
      </c>
      <c r="K686" s="98" t="str">
        <f t="shared" si="71"/>
        <v/>
      </c>
      <c r="L686" s="98" t="str">
        <f t="shared" si="72"/>
        <v/>
      </c>
      <c r="M686" s="3" t="s">
        <v>238</v>
      </c>
      <c r="N686" s="3">
        <v>53.61059501458886</v>
      </c>
      <c r="O686" s="3">
        <v>3392.7847987804093</v>
      </c>
    </row>
    <row r="687" spans="1:15" x14ac:dyDescent="0.2">
      <c r="A687" s="3" t="str">
        <f>+VLOOKUP(B687,studies!$A$2:$C$102,3)</f>
        <v>Kopp et al. (2012)</v>
      </c>
      <c r="B687" s="87">
        <v>78</v>
      </c>
      <c r="C687" s="3">
        <v>720.52639699607425</v>
      </c>
      <c r="D687" s="90" t="str">
        <f t="shared" si="70"/>
        <v/>
      </c>
      <c r="K687" s="98" t="str">
        <f t="shared" si="71"/>
        <v/>
      </c>
      <c r="L687" s="98" t="str">
        <f t="shared" si="72"/>
        <v/>
      </c>
      <c r="M687" s="3" t="s">
        <v>238</v>
      </c>
      <c r="N687" s="3">
        <v>206.78372362769989</v>
      </c>
      <c r="O687" s="3">
        <v>735.23101734293289</v>
      </c>
    </row>
    <row r="688" spans="1:15" x14ac:dyDescent="0.2">
      <c r="A688" s="3" t="str">
        <f>+VLOOKUP(B688,studies!$A$2:$C$102,3)</f>
        <v>Kopp et al. (2012)</v>
      </c>
      <c r="B688" s="87">
        <v>78</v>
      </c>
      <c r="C688" s="3">
        <v>735.53736360015921</v>
      </c>
      <c r="D688" s="90" t="str">
        <f t="shared" si="70"/>
        <v/>
      </c>
      <c r="K688" s="98" t="str">
        <f t="shared" si="71"/>
        <v/>
      </c>
      <c r="L688" s="98" t="str">
        <f t="shared" si="72"/>
        <v/>
      </c>
      <c r="M688" s="3" t="s">
        <v>238</v>
      </c>
      <c r="N688" s="3">
        <v>214.44238005835544</v>
      </c>
      <c r="O688" s="3">
        <v>788.84161235752163</v>
      </c>
    </row>
    <row r="689" spans="1:15" x14ac:dyDescent="0.2">
      <c r="A689" s="3" t="str">
        <f>+VLOOKUP(B689,studies!$A$2:$C$102,3)</f>
        <v>Kopp et al. (2012)</v>
      </c>
      <c r="B689" s="87">
        <v>78</v>
      </c>
      <c r="C689" s="3">
        <v>630.46059737156497</v>
      </c>
      <c r="D689" s="90" t="str">
        <f t="shared" si="70"/>
        <v/>
      </c>
      <c r="K689" s="98" t="str">
        <f t="shared" si="71"/>
        <v/>
      </c>
      <c r="L689" s="98" t="str">
        <f t="shared" si="72"/>
        <v/>
      </c>
      <c r="M689" s="3" t="s">
        <v>238</v>
      </c>
      <c r="N689" s="3">
        <v>191.4664107663888</v>
      </c>
      <c r="O689" s="3">
        <v>650.98579660572193</v>
      </c>
    </row>
    <row r="690" spans="1:15" x14ac:dyDescent="0.2">
      <c r="A690" s="3" t="str">
        <f>+VLOOKUP(B690,studies!$A$2:$C$102,3)</f>
        <v>Kopp et al. (2012)</v>
      </c>
      <c r="B690" s="87">
        <v>78</v>
      </c>
      <c r="C690" s="3">
        <v>1621.1843932411671</v>
      </c>
      <c r="D690" s="90" t="str">
        <f t="shared" si="70"/>
        <v/>
      </c>
      <c r="K690" s="98" t="str">
        <f t="shared" si="71"/>
        <v/>
      </c>
      <c r="L690" s="98" t="str">
        <f t="shared" si="72"/>
        <v/>
      </c>
      <c r="M690" s="3" t="s">
        <v>238</v>
      </c>
      <c r="N690" s="3">
        <v>497.81266799261078</v>
      </c>
      <c r="O690" s="3">
        <v>2060.1785798463434</v>
      </c>
    </row>
    <row r="691" spans="1:15" x14ac:dyDescent="0.2">
      <c r="A691" s="3" t="str">
        <f>+VLOOKUP(B691,studies!$A$2:$C$102,3)</f>
        <v>Kopp et al. (2012)</v>
      </c>
      <c r="B691" s="87">
        <v>78</v>
      </c>
      <c r="C691" s="3">
        <v>1621.1843932411671</v>
      </c>
      <c r="D691" s="90" t="str">
        <f t="shared" si="70"/>
        <v/>
      </c>
      <c r="K691" s="98" t="str">
        <f t="shared" si="71"/>
        <v/>
      </c>
      <c r="L691" s="98" t="str">
        <f t="shared" si="72"/>
        <v/>
      </c>
      <c r="M691" s="3" t="s">
        <v>238</v>
      </c>
      <c r="N691" s="3">
        <v>497.81266799261078</v>
      </c>
      <c r="O691" s="3">
        <v>2060.1785798463434</v>
      </c>
    </row>
    <row r="692" spans="1:15" x14ac:dyDescent="0.2">
      <c r="A692" s="3" t="str">
        <f>+VLOOKUP(B692,studies!$A$2:$C$102,3)</f>
        <v>Kopp et al. (2012)</v>
      </c>
      <c r="B692" s="87">
        <v>78</v>
      </c>
      <c r="C692" s="3">
        <v>3422.5003857313527</v>
      </c>
      <c r="D692" s="90" t="str">
        <f t="shared" si="70"/>
        <v/>
      </c>
      <c r="K692" s="98" t="str">
        <f t="shared" si="71"/>
        <v/>
      </c>
      <c r="L692" s="98" t="str">
        <f t="shared" si="72"/>
        <v/>
      </c>
      <c r="M692" s="3" t="s">
        <v>238</v>
      </c>
      <c r="N692" s="3">
        <v>1110.505182445055</v>
      </c>
      <c r="O692" s="3">
        <v>5070.0305570939754</v>
      </c>
    </row>
    <row r="693" spans="1:15" x14ac:dyDescent="0.2">
      <c r="A693" s="3" t="str">
        <f>+VLOOKUP(B693,studies!$A$2:$C$102,3)</f>
        <v>Kopp et al. (2012)</v>
      </c>
      <c r="B693" s="87">
        <v>78</v>
      </c>
      <c r="C693" s="3">
        <v>480.35093133071615</v>
      </c>
      <c r="D693" s="90" t="str">
        <f t="shared" si="70"/>
        <v/>
      </c>
      <c r="K693" s="98" t="str">
        <f t="shared" si="71"/>
        <v/>
      </c>
      <c r="L693" s="98" t="str">
        <f t="shared" si="72"/>
        <v/>
      </c>
      <c r="M693" s="3" t="s">
        <v>238</v>
      </c>
      <c r="N693" s="3">
        <v>130.19715932114437</v>
      </c>
      <c r="O693" s="3">
        <v>359.95685224081097</v>
      </c>
    </row>
    <row r="694" spans="1:15" x14ac:dyDescent="0.2">
      <c r="A694" s="3" t="str">
        <f>+VLOOKUP(B694,studies!$A$2:$C$102,3)</f>
        <v>Kopp et al. (2012)</v>
      </c>
      <c r="B694" s="87">
        <v>78</v>
      </c>
      <c r="C694" s="3">
        <v>720.52639699607425</v>
      </c>
      <c r="D694" s="90" t="str">
        <f t="shared" si="70"/>
        <v/>
      </c>
      <c r="K694" s="98" t="str">
        <f t="shared" si="71"/>
        <v/>
      </c>
      <c r="L694" s="98" t="str">
        <f t="shared" si="72"/>
        <v/>
      </c>
      <c r="M694" s="3" t="s">
        <v>238</v>
      </c>
      <c r="N694" s="3">
        <v>206.78372362769989</v>
      </c>
      <c r="O694" s="3">
        <v>934.35608453997725</v>
      </c>
    </row>
    <row r="695" spans="1:15" x14ac:dyDescent="0.2">
      <c r="A695" s="3" t="str">
        <f>+VLOOKUP(B695,studies!$A$2:$C$102,3)</f>
        <v>Kopp et al. (2012)</v>
      </c>
      <c r="B695" s="87">
        <v>78</v>
      </c>
      <c r="C695" s="3">
        <v>720.52639699607425</v>
      </c>
      <c r="D695" s="90" t="str">
        <f t="shared" si="70"/>
        <v/>
      </c>
      <c r="K695" s="98" t="str">
        <f t="shared" si="71"/>
        <v/>
      </c>
      <c r="L695" s="98" t="str">
        <f t="shared" si="72"/>
        <v/>
      </c>
      <c r="M695" s="3" t="s">
        <v>238</v>
      </c>
      <c r="N695" s="3">
        <v>206.78372362769989</v>
      </c>
      <c r="O695" s="3">
        <v>735.23101734293289</v>
      </c>
    </row>
    <row r="696" spans="1:15" x14ac:dyDescent="0.2">
      <c r="A696" s="3" t="str">
        <f>+VLOOKUP(B696,studies!$A$2:$C$102,3)</f>
        <v>Kopp et al. (2012)</v>
      </c>
      <c r="B696" s="87">
        <v>78</v>
      </c>
      <c r="C696" s="3">
        <v>825.60316322466838</v>
      </c>
      <c r="D696" s="90" t="str">
        <f t="shared" si="70"/>
        <v/>
      </c>
      <c r="K696" s="98" t="str">
        <f t="shared" si="71"/>
        <v/>
      </c>
      <c r="L696" s="98" t="str">
        <f t="shared" si="72"/>
        <v/>
      </c>
      <c r="M696" s="3" t="s">
        <v>238</v>
      </c>
      <c r="N696" s="3">
        <v>275.71163150359985</v>
      </c>
      <c r="O696" s="3">
        <v>2404.818119225843</v>
      </c>
    </row>
    <row r="697" spans="1:15" x14ac:dyDescent="0.2">
      <c r="A697" s="3" t="str">
        <f>+VLOOKUP(B697,studies!$A$2:$C$102,3)</f>
        <v>Kopp et al. (2012)</v>
      </c>
      <c r="B697" s="87">
        <v>78</v>
      </c>
      <c r="C697" s="3">
        <v>255.18643226944297</v>
      </c>
      <c r="D697" s="90" t="str">
        <f t="shared" si="70"/>
        <v/>
      </c>
      <c r="K697" s="98" t="str">
        <f t="shared" si="71"/>
        <v/>
      </c>
      <c r="L697" s="98" t="str">
        <f t="shared" si="72"/>
        <v/>
      </c>
      <c r="M697" s="3" t="s">
        <v>238</v>
      </c>
      <c r="N697" s="3">
        <v>76.58656430655553</v>
      </c>
      <c r="O697" s="3">
        <v>1998.9093284010987</v>
      </c>
    </row>
    <row r="698" spans="1:15" x14ac:dyDescent="0.2">
      <c r="A698" s="3" t="str">
        <f>+VLOOKUP(B698,studies!$A$2:$C$102,3)</f>
        <v>Kopp et al. (2012)</v>
      </c>
      <c r="B698" s="87">
        <v>78</v>
      </c>
      <c r="C698" s="3">
        <v>165.12063264493366</v>
      </c>
      <c r="D698" s="90" t="str">
        <f t="shared" si="70"/>
        <v/>
      </c>
      <c r="K698" s="98" t="str">
        <f t="shared" si="71"/>
        <v/>
      </c>
      <c r="L698" s="98" t="str">
        <f t="shared" si="72"/>
        <v/>
      </c>
      <c r="M698" s="3" t="s">
        <v>238</v>
      </c>
      <c r="N698" s="3">
        <v>45.951938583933298</v>
      </c>
      <c r="O698" s="3">
        <v>2014.2266412624101</v>
      </c>
    </row>
    <row r="699" spans="1:15" x14ac:dyDescent="0.2">
      <c r="A699" s="3" t="str">
        <f>+VLOOKUP(B699,studies!$A$2:$C$102,3)</f>
        <v>Kopp et al. (2012)</v>
      </c>
      <c r="B699" s="87">
        <v>78</v>
      </c>
      <c r="C699" s="3">
        <v>390.28513170620693</v>
      </c>
      <c r="D699" s="90" t="str">
        <f t="shared" si="70"/>
        <v/>
      </c>
      <c r="K699" s="98" t="str">
        <f t="shared" si="71"/>
        <v/>
      </c>
      <c r="L699" s="98" t="str">
        <f t="shared" si="72"/>
        <v/>
      </c>
      <c r="M699" s="3" t="s">
        <v>238</v>
      </c>
      <c r="N699" s="3">
        <v>114.87984645983329</v>
      </c>
      <c r="O699" s="3">
        <v>3637.8618045613871</v>
      </c>
    </row>
    <row r="700" spans="1:15" x14ac:dyDescent="0.2">
      <c r="A700" s="3" t="str">
        <f>+VLOOKUP(B700,studies!$A$2:$C$102,3)</f>
        <v>Kopp et al. (2012)</v>
      </c>
      <c r="B700" s="87">
        <v>78</v>
      </c>
      <c r="C700" s="3">
        <v>390.28513170620693</v>
      </c>
      <c r="D700" s="90" t="str">
        <f t="shared" si="70"/>
        <v/>
      </c>
      <c r="K700" s="98" t="str">
        <f t="shared" si="71"/>
        <v/>
      </c>
      <c r="L700" s="98" t="str">
        <f t="shared" si="72"/>
        <v/>
      </c>
      <c r="M700" s="3" t="s">
        <v>238</v>
      </c>
      <c r="N700" s="3">
        <v>114.87984645983329</v>
      </c>
      <c r="O700" s="3">
        <v>3637.8618045613871</v>
      </c>
    </row>
    <row r="701" spans="1:15" x14ac:dyDescent="0.2">
      <c r="A701" s="3" t="str">
        <f>+VLOOKUP(B701,studies!$A$2:$C$102,3)</f>
        <v>Kopp et al. (2012)</v>
      </c>
      <c r="B701" s="87">
        <v>78</v>
      </c>
      <c r="C701" s="3">
        <v>150.10966604084879</v>
      </c>
      <c r="D701" s="90" t="str">
        <f t="shared" si="70"/>
        <v/>
      </c>
      <c r="K701" s="98" t="str">
        <f t="shared" si="71"/>
        <v/>
      </c>
      <c r="L701" s="98" t="str">
        <f t="shared" si="72"/>
        <v/>
      </c>
      <c r="M701" s="3" t="s">
        <v>238</v>
      </c>
      <c r="N701" s="3">
        <v>61.269251445244407</v>
      </c>
      <c r="O701" s="3">
        <v>4143.3331289846528</v>
      </c>
    </row>
    <row r="702" spans="1:15" x14ac:dyDescent="0.2">
      <c r="A702" s="3" t="str">
        <f>+VLOOKUP(B702,studies!$A$2:$C$102,3)</f>
        <v>Kopp et al. (2012)</v>
      </c>
      <c r="B702" s="87">
        <v>78</v>
      </c>
      <c r="C702" s="3">
        <v>105.07676622859417</v>
      </c>
      <c r="D702" s="90" t="str">
        <f t="shared" si="70"/>
        <v/>
      </c>
      <c r="K702" s="98" t="str">
        <f t="shared" si="71"/>
        <v/>
      </c>
      <c r="L702" s="98" t="str">
        <f t="shared" si="72"/>
        <v/>
      </c>
      <c r="M702" s="3" t="s">
        <v>238</v>
      </c>
      <c r="N702" s="3">
        <v>45.951938583933305</v>
      </c>
      <c r="O702" s="3">
        <v>3691.4723995759755</v>
      </c>
    </row>
    <row r="703" spans="1:15" x14ac:dyDescent="0.2">
      <c r="A703" s="3" t="str">
        <f>+VLOOKUP(B703,studies!$A$2:$C$102,3)</f>
        <v>Kopp et al. (2012)</v>
      </c>
      <c r="B703" s="87">
        <v>78</v>
      </c>
      <c r="C703" s="3">
        <v>135.09869943676392</v>
      </c>
      <c r="D703" s="90" t="str">
        <f t="shared" si="70"/>
        <v/>
      </c>
      <c r="K703" s="98" t="str">
        <f t="shared" si="71"/>
        <v/>
      </c>
      <c r="L703" s="98" t="str">
        <f t="shared" si="72"/>
        <v/>
      </c>
      <c r="M703" s="3" t="s">
        <v>238</v>
      </c>
      <c r="N703" s="3">
        <v>53.61059501458886</v>
      </c>
      <c r="O703" s="3">
        <v>4855.58817703562</v>
      </c>
    </row>
    <row r="704" spans="1:15" x14ac:dyDescent="0.2">
      <c r="A704" s="3" t="str">
        <f>+VLOOKUP(B704,studies!$A$2:$C$102,3)</f>
        <v>Kopp et al. (2012)</v>
      </c>
      <c r="B704" s="87">
        <v>78</v>
      </c>
      <c r="C704" s="3">
        <v>180.13159924901856</v>
      </c>
      <c r="D704" s="90" t="str">
        <f t="shared" si="70"/>
        <v/>
      </c>
      <c r="K704" s="98" t="str">
        <f t="shared" si="71"/>
        <v/>
      </c>
      <c r="L704" s="98" t="str">
        <f t="shared" si="72"/>
        <v/>
      </c>
      <c r="M704" s="3" t="s">
        <v>238</v>
      </c>
      <c r="N704" s="3">
        <v>76.586564306555516</v>
      </c>
      <c r="O704" s="3">
        <v>5705.6990408383863</v>
      </c>
    </row>
    <row r="705" spans="1:15" x14ac:dyDescent="0.2">
      <c r="A705" s="3" t="str">
        <f>+VLOOKUP(B705,studies!$A$2:$C$102,3)</f>
        <v>Marten &amp; Newbold (2012)</v>
      </c>
      <c r="B705" s="87">
        <v>79</v>
      </c>
      <c r="C705" s="3">
        <v>42.417480941311133</v>
      </c>
      <c r="D705" s="90" t="str">
        <f t="shared" si="70"/>
        <v>Marten &amp; Newbold (2012)</v>
      </c>
      <c r="E705" s="90">
        <f>+PERCENTILE($C705:$C707,E$2)</f>
        <v>52.443430981984683</v>
      </c>
      <c r="F705" s="90">
        <f t="shared" ref="F705:I705" si="73">+PERCENTILE($C705:$C707,F$2)</f>
        <v>92.547231144678818</v>
      </c>
      <c r="G705" s="98">
        <f t="shared" si="73"/>
        <v>142.67698134804652</v>
      </c>
      <c r="H705" s="90">
        <f t="shared" si="73"/>
        <v>183.16639497384352</v>
      </c>
      <c r="I705" s="90">
        <f t="shared" si="73"/>
        <v>215.5579258744811</v>
      </c>
      <c r="J705" s="98">
        <f>+STDEV($C705:$C707)</f>
        <v>90.789930881898627</v>
      </c>
      <c r="K705" s="98">
        <f t="shared" si="71"/>
        <v>46.037525696970334</v>
      </c>
      <c r="L705" s="98">
        <f t="shared" si="72"/>
        <v>37.184155370629888</v>
      </c>
      <c r="M705" s="3" t="s">
        <v>238</v>
      </c>
      <c r="N705" s="3" t="s">
        <v>238</v>
      </c>
      <c r="O705" s="3" t="s">
        <v>238</v>
      </c>
    </row>
    <row r="706" spans="1:15" x14ac:dyDescent="0.2">
      <c r="A706" s="3" t="str">
        <f>+VLOOKUP(B706,studies!$A$2:$C$102,3)</f>
        <v>Marten &amp; Newbold (2012)</v>
      </c>
      <c r="B706" s="87">
        <v>79</v>
      </c>
      <c r="C706" s="3">
        <v>142.67698134804652</v>
      </c>
      <c r="D706" s="90" t="str">
        <f t="shared" si="70"/>
        <v/>
      </c>
      <c r="K706" s="98" t="str">
        <f t="shared" si="71"/>
        <v/>
      </c>
      <c r="L706" s="98" t="str">
        <f t="shared" si="72"/>
        <v/>
      </c>
      <c r="M706" s="3" t="s">
        <v>238</v>
      </c>
      <c r="N706" s="3">
        <v>90.501118891480161</v>
      </c>
      <c r="O706" s="3">
        <v>90.501118891480161</v>
      </c>
    </row>
    <row r="707" spans="1:15" x14ac:dyDescent="0.2">
      <c r="A707" s="3" t="str">
        <f>+VLOOKUP(B707,studies!$A$2:$C$102,3)</f>
        <v>Marten &amp; Newbold (2012)</v>
      </c>
      <c r="B707" s="87">
        <v>79</v>
      </c>
      <c r="C707" s="3">
        <v>223.65580859964052</v>
      </c>
      <c r="D707" s="90" t="str">
        <f t="shared" si="70"/>
        <v/>
      </c>
      <c r="K707" s="98" t="str">
        <f t="shared" si="71"/>
        <v/>
      </c>
      <c r="L707" s="98" t="str">
        <f t="shared" si="72"/>
        <v/>
      </c>
      <c r="M707" s="3" t="s">
        <v>238</v>
      </c>
      <c r="N707" s="3" t="s">
        <v>238</v>
      </c>
      <c r="O707" s="3" t="s">
        <v>238</v>
      </c>
    </row>
    <row r="708" spans="1:15" x14ac:dyDescent="0.2">
      <c r="A708" s="3" t="str">
        <f>+VLOOKUP(B708,studies!$A$2:$C$102,3)</f>
        <v>Perrissin-Fabert et al. (2012)</v>
      </c>
      <c r="B708" s="87">
        <v>80</v>
      </c>
      <c r="C708" s="3">
        <v>51.277085325751017</v>
      </c>
      <c r="D708" s="90" t="str">
        <f t="shared" si="70"/>
        <v>Perrissin-Fabert et al. (2012)</v>
      </c>
      <c r="K708" s="98" t="str">
        <f t="shared" si="71"/>
        <v/>
      </c>
      <c r="L708" s="98" t="str">
        <f t="shared" si="72"/>
        <v/>
      </c>
      <c r="M708" s="3" t="s">
        <v>238</v>
      </c>
      <c r="N708" s="3">
        <v>21.327684444525723</v>
      </c>
      <c r="O708" s="3">
        <v>55.506665926137593</v>
      </c>
    </row>
    <row r="709" spans="1:15" x14ac:dyDescent="0.2">
      <c r="A709" s="3" t="str">
        <f>+VLOOKUP(B709,studies!$A$2:$C$102,3)</f>
        <v>Tol (2012)</v>
      </c>
      <c r="B709" s="87">
        <v>81</v>
      </c>
      <c r="C709" s="3">
        <v>48.3827390971691</v>
      </c>
      <c r="D709" s="90" t="str">
        <f t="shared" ref="D709:D772" si="74">+IF(B709=B708,"",A709)</f>
        <v>Tol (2012)</v>
      </c>
      <c r="K709" s="98" t="str">
        <f t="shared" si="71"/>
        <v/>
      </c>
      <c r="L709" s="98" t="str">
        <f t="shared" si="72"/>
        <v/>
      </c>
      <c r="M709" s="3" t="s">
        <v>238</v>
      </c>
      <c r="N709" s="3">
        <v>23.833861624221232</v>
      </c>
      <c r="O709" s="3">
        <v>30.643536373998728</v>
      </c>
    </row>
    <row r="710" spans="1:15" x14ac:dyDescent="0.2">
      <c r="A710" s="3" t="str">
        <f>+VLOOKUP(B710,studies!$A$2:$C$102,3)</f>
        <v>Anthoff &amp; Tol (2013)</v>
      </c>
      <c r="B710" s="87">
        <v>82</v>
      </c>
      <c r="C710" s="3">
        <v>535.18153700787411</v>
      </c>
      <c r="D710" s="90" t="str">
        <f t="shared" si="74"/>
        <v>Anthoff &amp; Tol (2013)</v>
      </c>
      <c r="E710" s="90">
        <f>+PERCENTILE($C710:$C720,E$2)</f>
        <v>3.2765632545931758</v>
      </c>
      <c r="F710" s="90">
        <f t="shared" ref="F710:I710" si="75">+PERCENTILE($C710:$C720,F$2)</f>
        <v>21.662518635170606</v>
      </c>
      <c r="G710" s="98">
        <f t="shared" si="75"/>
        <v>73.543821522309713</v>
      </c>
      <c r="H710" s="90">
        <f t="shared" si="75"/>
        <v>178.64423805774277</v>
      </c>
      <c r="I710" s="90">
        <f t="shared" si="75"/>
        <v>502.9095351706037</v>
      </c>
      <c r="J710" s="98">
        <f>+STDEV($C710:$C720)</f>
        <v>186.47685671674753</v>
      </c>
      <c r="K710" s="98">
        <f t="shared" si="71"/>
        <v>35.85064197332477</v>
      </c>
      <c r="L710" s="98">
        <f t="shared" si="72"/>
        <v>219.06413961647652</v>
      </c>
      <c r="M710" s="3" t="s">
        <v>238</v>
      </c>
      <c r="N710" s="3" t="s">
        <v>238</v>
      </c>
      <c r="O710" s="3" t="s">
        <v>238</v>
      </c>
    </row>
    <row r="711" spans="1:15" x14ac:dyDescent="0.2">
      <c r="A711" s="3" t="str">
        <f>+VLOOKUP(B711,studies!$A$2:$C$102,3)</f>
        <v>Anthoff &amp; Tol (2013)</v>
      </c>
      <c r="B711" s="87">
        <v>82</v>
      </c>
      <c r="C711" s="3">
        <v>209.68574015748032</v>
      </c>
      <c r="D711" s="90" t="str">
        <f t="shared" si="74"/>
        <v/>
      </c>
      <c r="K711" s="98" t="str">
        <f t="shared" ref="K711:K774" si="76">+IF(I711="","",(G711-E711)/1.96)</f>
        <v/>
      </c>
      <c r="L711" s="98" t="str">
        <f t="shared" ref="L711:L774" si="77">+IF(I711="","",(I711-G711)/1.96)</f>
        <v/>
      </c>
      <c r="M711" s="3" t="s">
        <v>238</v>
      </c>
      <c r="N711" s="3" t="s">
        <v>238</v>
      </c>
      <c r="O711" s="3" t="s">
        <v>238</v>
      </c>
    </row>
    <row r="712" spans="1:15" x14ac:dyDescent="0.2">
      <c r="A712" s="3" t="str">
        <f>+VLOOKUP(B712,studies!$A$2:$C$102,3)</f>
        <v>Anthoff &amp; Tol (2013)</v>
      </c>
      <c r="B712" s="87">
        <v>82</v>
      </c>
      <c r="C712" s="3">
        <v>88.810603149606308</v>
      </c>
      <c r="D712" s="90" t="str">
        <f t="shared" si="74"/>
        <v/>
      </c>
      <c r="K712" s="98" t="str">
        <f t="shared" si="76"/>
        <v/>
      </c>
      <c r="L712" s="98" t="str">
        <f t="shared" si="77"/>
        <v/>
      </c>
      <c r="M712" s="3" t="s">
        <v>238</v>
      </c>
      <c r="N712" s="3" t="s">
        <v>238</v>
      </c>
      <c r="O712" s="3" t="s">
        <v>238</v>
      </c>
    </row>
    <row r="713" spans="1:15" x14ac:dyDescent="0.2">
      <c r="A713" s="3" t="str">
        <f>+VLOOKUP(B713,studies!$A$2:$C$102,3)</f>
        <v>Anthoff &amp; Tol (2013)</v>
      </c>
      <c r="B713" s="87">
        <v>82</v>
      </c>
      <c r="C713" s="3">
        <v>147.60273595800524</v>
      </c>
      <c r="D713" s="90" t="str">
        <f t="shared" si="74"/>
        <v/>
      </c>
      <c r="K713" s="98" t="str">
        <f t="shared" si="76"/>
        <v/>
      </c>
      <c r="L713" s="98" t="str">
        <f t="shared" si="77"/>
        <v/>
      </c>
      <c r="M713" s="3" t="s">
        <v>238</v>
      </c>
      <c r="N713" s="3" t="s">
        <v>238</v>
      </c>
      <c r="O713" s="3" t="s">
        <v>238</v>
      </c>
    </row>
    <row r="714" spans="1:15" x14ac:dyDescent="0.2">
      <c r="A714" s="3" t="str">
        <f>+VLOOKUP(B714,studies!$A$2:$C$102,3)</f>
        <v>Anthoff &amp; Tol (2013)</v>
      </c>
      <c r="B714" s="87">
        <v>82</v>
      </c>
      <c r="C714" s="3">
        <v>64.558311811023614</v>
      </c>
      <c r="D714" s="90" t="str">
        <f t="shared" si="74"/>
        <v/>
      </c>
      <c r="K714" s="98" t="str">
        <f t="shared" si="76"/>
        <v/>
      </c>
      <c r="L714" s="98" t="str">
        <f t="shared" si="77"/>
        <v/>
      </c>
      <c r="M714" s="3" t="s">
        <v>238</v>
      </c>
      <c r="N714" s="3" t="s">
        <v>238</v>
      </c>
      <c r="O714" s="3" t="s">
        <v>238</v>
      </c>
    </row>
    <row r="715" spans="1:15" x14ac:dyDescent="0.2">
      <c r="A715" s="3" t="str">
        <f>+VLOOKUP(B715,studies!$A$2:$C$102,3)</f>
        <v>Anthoff &amp; Tol (2013)</v>
      </c>
      <c r="B715" s="87">
        <v>82</v>
      </c>
      <c r="C715" s="3">
        <v>73.543821522309713</v>
      </c>
      <c r="D715" s="90" t="str">
        <f t="shared" si="74"/>
        <v/>
      </c>
      <c r="K715" s="98" t="str">
        <f t="shared" si="76"/>
        <v/>
      </c>
      <c r="L715" s="98" t="str">
        <f t="shared" si="77"/>
        <v/>
      </c>
      <c r="M715" s="3" t="s">
        <v>238</v>
      </c>
      <c r="N715" s="3" t="s">
        <v>238</v>
      </c>
      <c r="O715" s="3" t="s">
        <v>238</v>
      </c>
    </row>
    <row r="716" spans="1:15" x14ac:dyDescent="0.2">
      <c r="A716" s="3" t="str">
        <f>+VLOOKUP(B716,studies!$A$2:$C$102,3)</f>
        <v>Anthoff &amp; Tol (2013)</v>
      </c>
      <c r="B716" s="87">
        <v>82</v>
      </c>
      <c r="C716" s="3">
        <v>470.63753333333335</v>
      </c>
      <c r="D716" s="90" t="str">
        <f t="shared" si="74"/>
        <v/>
      </c>
      <c r="K716" s="98" t="str">
        <f t="shared" si="76"/>
        <v/>
      </c>
      <c r="L716" s="98" t="str">
        <f t="shared" si="77"/>
        <v/>
      </c>
      <c r="M716" s="3" t="s">
        <v>238</v>
      </c>
      <c r="N716" s="3" t="s">
        <v>238</v>
      </c>
      <c r="O716" s="3" t="s">
        <v>238</v>
      </c>
    </row>
    <row r="717" spans="1:15" x14ac:dyDescent="0.2">
      <c r="A717" s="3" t="str">
        <f>+VLOOKUP(B717,studies!$A$2:$C$102,3)</f>
        <v>Anthoff &amp; Tol (2013)</v>
      </c>
      <c r="B717" s="87">
        <v>82</v>
      </c>
      <c r="C717" s="3">
        <v>28.988284514435698</v>
      </c>
      <c r="D717" s="90" t="str">
        <f t="shared" si="74"/>
        <v/>
      </c>
      <c r="K717" s="98" t="str">
        <f t="shared" si="76"/>
        <v/>
      </c>
      <c r="L717" s="98" t="str">
        <f t="shared" si="77"/>
        <v/>
      </c>
      <c r="M717" s="3" t="s">
        <v>238</v>
      </c>
      <c r="N717" s="3" t="s">
        <v>238</v>
      </c>
      <c r="O717" s="3" t="s">
        <v>238</v>
      </c>
    </row>
    <row r="718" spans="1:15" x14ac:dyDescent="0.2">
      <c r="A718" s="3" t="str">
        <f>+VLOOKUP(B718,studies!$A$2:$C$102,3)</f>
        <v>Anthoff &amp; Tol (2013)</v>
      </c>
      <c r="B718" s="87">
        <v>82</v>
      </c>
      <c r="C718" s="3">
        <v>14.336752755905511</v>
      </c>
      <c r="D718" s="90" t="str">
        <f t="shared" si="74"/>
        <v/>
      </c>
      <c r="K718" s="98" t="str">
        <f t="shared" si="76"/>
        <v/>
      </c>
      <c r="L718" s="98" t="str">
        <f t="shared" si="77"/>
        <v/>
      </c>
      <c r="M718" s="3" t="s">
        <v>238</v>
      </c>
      <c r="N718" s="3" t="s">
        <v>238</v>
      </c>
      <c r="O718" s="3" t="s">
        <v>238</v>
      </c>
    </row>
    <row r="719" spans="1:15" x14ac:dyDescent="0.2">
      <c r="A719" s="3" t="str">
        <f>+VLOOKUP(B719,studies!$A$2:$C$102,3)</f>
        <v>Anthoff &amp; Tol (2013)</v>
      </c>
      <c r="B719" s="87">
        <v>82</v>
      </c>
      <c r="C719" s="3">
        <v>5.5372488188976376</v>
      </c>
      <c r="D719" s="90" t="str">
        <f t="shared" si="74"/>
        <v/>
      </c>
      <c r="K719" s="98" t="str">
        <f t="shared" si="76"/>
        <v/>
      </c>
      <c r="L719" s="98" t="str">
        <f t="shared" si="77"/>
        <v/>
      </c>
      <c r="M719" s="3" t="s">
        <v>238</v>
      </c>
      <c r="N719" s="3" t="s">
        <v>238</v>
      </c>
      <c r="O719" s="3" t="s">
        <v>238</v>
      </c>
    </row>
    <row r="720" spans="1:15" x14ac:dyDescent="0.2">
      <c r="A720" s="3" t="str">
        <f>+VLOOKUP(B720,studies!$A$2:$C$102,3)</f>
        <v>Anthoff &amp; Tol (2013)</v>
      </c>
      <c r="B720" s="87">
        <v>82</v>
      </c>
      <c r="C720" s="3">
        <v>1.0158776902887139</v>
      </c>
      <c r="D720" s="90" t="str">
        <f t="shared" si="74"/>
        <v/>
      </c>
      <c r="K720" s="98" t="str">
        <f t="shared" si="76"/>
        <v/>
      </c>
      <c r="L720" s="98" t="str">
        <f t="shared" si="77"/>
        <v/>
      </c>
      <c r="M720" s="3" t="s">
        <v>238</v>
      </c>
      <c r="N720" s="3" t="s">
        <v>238</v>
      </c>
      <c r="O720" s="3" t="s">
        <v>238</v>
      </c>
    </row>
    <row r="721" spans="1:15" x14ac:dyDescent="0.2">
      <c r="A721" s="3" t="str">
        <f>+VLOOKUP(B721,studies!$A$2:$C$102,3)</f>
        <v>van den Bijgaart et al. (2013)</v>
      </c>
      <c r="B721" s="87">
        <v>83</v>
      </c>
      <c r="C721" s="3">
        <v>233.59893758300134</v>
      </c>
      <c r="D721" s="90" t="str">
        <f t="shared" si="74"/>
        <v>van den Bijgaart et al. (2013)</v>
      </c>
      <c r="E721" s="90">
        <f>+PERCENTILE($C721:$C724,E$2)</f>
        <v>11.985391766268259</v>
      </c>
      <c r="F721" s="90">
        <f t="shared" ref="F721:I721" si="78">+PERCENTILE($C721:$C724,F$2)</f>
        <v>16.36786188579017</v>
      </c>
      <c r="G721" s="98">
        <f t="shared" si="78"/>
        <v>28.486055776892428</v>
      </c>
      <c r="H721" s="90">
        <f t="shared" si="78"/>
        <v>87.483399734395761</v>
      </c>
      <c r="I721" s="90">
        <f t="shared" si="78"/>
        <v>204.37583001328017</v>
      </c>
      <c r="J721" s="98">
        <f>+STDEV($C721:$C724)</f>
        <v>106.14795000445763</v>
      </c>
      <c r="K721" s="98">
        <f t="shared" si="76"/>
        <v>8.4187061278694753</v>
      </c>
      <c r="L721" s="98">
        <f t="shared" si="77"/>
        <v>89.739680732850886</v>
      </c>
      <c r="M721" s="3">
        <v>2046.0485651214128</v>
      </c>
      <c r="N721" s="3">
        <v>2046.0485651214128</v>
      </c>
      <c r="O721" s="3">
        <v>2046.0485651214128</v>
      </c>
    </row>
    <row r="722" spans="1:15" x14ac:dyDescent="0.2">
      <c r="A722" s="3" t="str">
        <f>+VLOOKUP(B722,studies!$A$2:$C$102,3)</f>
        <v>van den Bijgaart et al. (2013)</v>
      </c>
      <c r="B722" s="87">
        <v>83</v>
      </c>
      <c r="C722" s="3">
        <v>38.778220451527226</v>
      </c>
      <c r="D722" s="90" t="str">
        <f t="shared" si="74"/>
        <v/>
      </c>
      <c r="K722" s="98" t="str">
        <f t="shared" si="76"/>
        <v/>
      </c>
      <c r="L722" s="98" t="str">
        <f t="shared" si="77"/>
        <v/>
      </c>
      <c r="M722" s="3">
        <v>284.10596026490066</v>
      </c>
      <c r="N722" s="3">
        <v>284.10596026490066</v>
      </c>
      <c r="O722" s="3">
        <v>284.10596026490066</v>
      </c>
    </row>
    <row r="723" spans="1:15" x14ac:dyDescent="0.2">
      <c r="A723" s="3" t="str">
        <f>+VLOOKUP(B723,studies!$A$2:$C$102,3)</f>
        <v>van den Bijgaart et al. (2013)</v>
      </c>
      <c r="B723" s="87">
        <v>83</v>
      </c>
      <c r="C723" s="3">
        <v>18.193891102257634</v>
      </c>
      <c r="D723" s="90" t="str">
        <f t="shared" si="74"/>
        <v/>
      </c>
      <c r="K723" s="98" t="str">
        <f t="shared" si="76"/>
        <v/>
      </c>
      <c r="L723" s="98" t="str">
        <f t="shared" si="77"/>
        <v/>
      </c>
      <c r="M723" s="3">
        <v>123.841059602649</v>
      </c>
      <c r="N723" s="3">
        <v>123.841059602649</v>
      </c>
      <c r="O723" s="3">
        <v>123.841059602649</v>
      </c>
    </row>
    <row r="724" spans="1:15" x14ac:dyDescent="0.2">
      <c r="A724" s="3" t="str">
        <f>+VLOOKUP(B724,studies!$A$2:$C$102,3)</f>
        <v>van den Bijgaart et al. (2013)</v>
      </c>
      <c r="B724" s="87">
        <v>83</v>
      </c>
      <c r="C724" s="3">
        <v>10.889774236387781</v>
      </c>
      <c r="D724" s="90" t="str">
        <f t="shared" si="74"/>
        <v/>
      </c>
      <c r="K724" s="98" t="str">
        <f t="shared" si="76"/>
        <v/>
      </c>
      <c r="L724" s="98" t="str">
        <f t="shared" si="77"/>
        <v/>
      </c>
      <c r="M724" s="3">
        <v>71.390728476821181</v>
      </c>
      <c r="N724" s="3">
        <v>71.390728476821181</v>
      </c>
      <c r="O724" s="3">
        <v>71.390728476821181</v>
      </c>
    </row>
    <row r="725" spans="1:15" x14ac:dyDescent="0.2">
      <c r="A725" s="3" t="str">
        <f>+VLOOKUP(B725,studies!$A$2:$C$102,3)</f>
        <v>Cai et al. (2013)</v>
      </c>
      <c r="B725" s="87">
        <v>84</v>
      </c>
      <c r="C725" s="3">
        <v>171.94379928315411</v>
      </c>
      <c r="D725" s="90" t="str">
        <f t="shared" si="74"/>
        <v>Cai et al. (2013)</v>
      </c>
      <c r="E725" s="90">
        <f>+PERCENTILE($C725:$C727,E$2)</f>
        <v>183.40671923536439</v>
      </c>
      <c r="F725" s="90">
        <f t="shared" ref="F725:I725" si="79">+PERCENTILE($C725:$C727,F$2)</f>
        <v>229.25839904420548</v>
      </c>
      <c r="G725" s="98">
        <f t="shared" si="79"/>
        <v>286.57299880525682</v>
      </c>
      <c r="H725" s="90">
        <f t="shared" si="79"/>
        <v>419.62474825055466</v>
      </c>
      <c r="I725" s="90">
        <f t="shared" si="79"/>
        <v>526.06614780679297</v>
      </c>
      <c r="J725" s="98">
        <f>+STDEV($C725:$C727)</f>
        <v>195.3237966153936</v>
      </c>
      <c r="K725" s="98">
        <f t="shared" si="76"/>
        <v>52.635856923414501</v>
      </c>
      <c r="L725" s="98">
        <f t="shared" si="77"/>
        <v>122.1903821436409</v>
      </c>
      <c r="M725" s="3"/>
      <c r="N725" s="41"/>
      <c r="O725" s="41"/>
    </row>
    <row r="726" spans="1:15" x14ac:dyDescent="0.2">
      <c r="A726" s="3" t="str">
        <f>+VLOOKUP(B726,studies!$A$2:$C$102,3)</f>
        <v>Cai et al. (2013)</v>
      </c>
      <c r="B726" s="87">
        <v>84</v>
      </c>
      <c r="C726" s="3">
        <v>286.57299880525682</v>
      </c>
      <c r="D726" s="90" t="str">
        <f t="shared" si="74"/>
        <v/>
      </c>
      <c r="K726" s="98" t="str">
        <f t="shared" si="76"/>
        <v/>
      </c>
      <c r="L726" s="98" t="str">
        <f t="shared" si="77"/>
        <v/>
      </c>
      <c r="M726" s="3"/>
      <c r="N726" s="41"/>
      <c r="O726" s="41"/>
    </row>
    <row r="727" spans="1:15" x14ac:dyDescent="0.2">
      <c r="A727" s="3" t="str">
        <f>+VLOOKUP(B727,studies!$A$2:$C$102,3)</f>
        <v>Cai et al. (2013)</v>
      </c>
      <c r="B727" s="87">
        <v>84</v>
      </c>
      <c r="C727" s="3">
        <v>552.6764976958525</v>
      </c>
      <c r="D727" s="90" t="str">
        <f t="shared" si="74"/>
        <v/>
      </c>
      <c r="K727" s="98" t="str">
        <f t="shared" si="76"/>
        <v/>
      </c>
      <c r="L727" s="98" t="str">
        <f t="shared" si="77"/>
        <v/>
      </c>
      <c r="M727" s="3"/>
      <c r="N727" s="41"/>
      <c r="O727" s="41"/>
    </row>
    <row r="728" spans="1:15" x14ac:dyDescent="0.2">
      <c r="A728" s="3" t="str">
        <f>+VLOOKUP(B728,studies!$A$2:$C$102,3)</f>
        <v>Dennig (2013)</v>
      </c>
      <c r="B728" s="87">
        <v>85</v>
      </c>
      <c r="C728" s="3">
        <v>126.16655401945724</v>
      </c>
      <c r="D728" s="90" t="str">
        <f t="shared" si="74"/>
        <v>Dennig (2013)</v>
      </c>
      <c r="K728" s="98" t="str">
        <f t="shared" si="76"/>
        <v/>
      </c>
      <c r="L728" s="98" t="str">
        <f t="shared" si="77"/>
        <v/>
      </c>
      <c r="M728" s="3"/>
      <c r="N728" s="41"/>
      <c r="O728" s="41"/>
    </row>
    <row r="729" spans="1:15" x14ac:dyDescent="0.2">
      <c r="A729" s="3" t="str">
        <f>+VLOOKUP(B729,studies!$A$2:$C$102,3)</f>
        <v>Foley et al. (2013)</v>
      </c>
      <c r="B729" s="87">
        <v>86</v>
      </c>
      <c r="C729" s="3">
        <v>246.34446124790517</v>
      </c>
      <c r="D729" s="90" t="str">
        <f t="shared" si="74"/>
        <v>Foley et al. (2013)</v>
      </c>
      <c r="K729" s="98" t="str">
        <f t="shared" si="76"/>
        <v/>
      </c>
      <c r="L729" s="98" t="str">
        <f t="shared" si="77"/>
        <v/>
      </c>
      <c r="M729" s="3"/>
      <c r="N729" s="41"/>
      <c r="O729" s="41"/>
    </row>
    <row r="730" spans="1:15" x14ac:dyDescent="0.2">
      <c r="A730" s="3" t="str">
        <f>+VLOOKUP(B730,studies!$A$2:$C$102,3)</f>
        <v>Greenstone et al. (2013)</v>
      </c>
      <c r="B730" s="87">
        <v>87</v>
      </c>
      <c r="C730" s="3">
        <v>48.541327297051907</v>
      </c>
      <c r="D730" s="90" t="str">
        <f t="shared" si="74"/>
        <v>Greenstone et al. (2013)</v>
      </c>
      <c r="E730" s="90">
        <f>+PERCENTILE($C730:$C776,E$2)</f>
        <v>-4.8990784031283861</v>
      </c>
      <c r="F730" s="90">
        <f t="shared" ref="F730:I730" si="80">+PERCENTILE($C730:$C776,F$2)</f>
        <v>33.035069966049214</v>
      </c>
      <c r="G730" s="98">
        <f t="shared" si="80"/>
        <v>86.7451497067687</v>
      </c>
      <c r="H730" s="90">
        <f t="shared" si="80"/>
        <v>145.50140565862503</v>
      </c>
      <c r="I730" s="90">
        <f t="shared" si="80"/>
        <v>236.86369894024398</v>
      </c>
      <c r="J730" s="98">
        <f>+STDEV($C730:$C776)</f>
        <v>78.779536090613163</v>
      </c>
      <c r="K730" s="98">
        <f t="shared" si="76"/>
        <v>46.757259239743412</v>
      </c>
      <c r="L730" s="98">
        <f t="shared" si="77"/>
        <v>76.591096547691464</v>
      </c>
      <c r="M730" s="3" t="s">
        <v>238</v>
      </c>
      <c r="N730" s="3" t="s">
        <v>238</v>
      </c>
      <c r="O730" s="3" t="s">
        <v>238</v>
      </c>
    </row>
    <row r="731" spans="1:15" x14ac:dyDescent="0.2">
      <c r="A731" s="3" t="str">
        <f>+VLOOKUP(B731,studies!$A$2:$C$102,3)</f>
        <v>Greenstone et al. (2013)</v>
      </c>
      <c r="B731" s="87">
        <v>87</v>
      </c>
      <c r="C731" s="3">
        <v>33.709255067397159</v>
      </c>
      <c r="D731" s="90" t="str">
        <f t="shared" si="74"/>
        <v/>
      </c>
      <c r="K731" s="98" t="str">
        <f t="shared" si="76"/>
        <v/>
      </c>
      <c r="L731" s="98" t="str">
        <f t="shared" si="77"/>
        <v/>
      </c>
      <c r="M731" s="3" t="s">
        <v>238</v>
      </c>
      <c r="N731" s="3" t="s">
        <v>238</v>
      </c>
      <c r="O731" s="3" t="s">
        <v>238</v>
      </c>
    </row>
    <row r="732" spans="1:15" x14ac:dyDescent="0.2">
      <c r="A732" s="3" t="str">
        <f>+VLOOKUP(B732,studies!$A$2:$C$102,3)</f>
        <v>Greenstone et al. (2013)</v>
      </c>
      <c r="B732" s="87">
        <v>87</v>
      </c>
      <c r="C732" s="3">
        <v>44.046759954732295</v>
      </c>
      <c r="D732" s="90" t="str">
        <f t="shared" si="74"/>
        <v/>
      </c>
      <c r="K732" s="98" t="str">
        <f t="shared" si="76"/>
        <v/>
      </c>
      <c r="L732" s="98" t="str">
        <f t="shared" si="77"/>
        <v/>
      </c>
      <c r="M732" s="3" t="s">
        <v>238</v>
      </c>
      <c r="N732" s="3" t="s">
        <v>238</v>
      </c>
      <c r="O732" s="3" t="s">
        <v>238</v>
      </c>
    </row>
    <row r="733" spans="1:15" x14ac:dyDescent="0.2">
      <c r="A733" s="3" t="str">
        <f>+VLOOKUP(B733,studies!$A$2:$C$102,3)</f>
        <v>Greenstone et al. (2013)</v>
      </c>
      <c r="B733" s="87">
        <v>87</v>
      </c>
      <c r="C733" s="3">
        <v>38.653279143948737</v>
      </c>
      <c r="D733" s="90" t="str">
        <f t="shared" si="74"/>
        <v/>
      </c>
      <c r="K733" s="98" t="str">
        <f t="shared" si="76"/>
        <v/>
      </c>
      <c r="L733" s="98" t="str">
        <f t="shared" si="77"/>
        <v/>
      </c>
      <c r="M733" s="3" t="s">
        <v>238</v>
      </c>
      <c r="N733" s="3" t="s">
        <v>238</v>
      </c>
      <c r="O733" s="3" t="s">
        <v>238</v>
      </c>
    </row>
    <row r="734" spans="1:15" x14ac:dyDescent="0.2">
      <c r="A734" s="3" t="str">
        <f>+VLOOKUP(B734,studies!$A$2:$C$102,3)</f>
        <v>Greenstone et al. (2013)</v>
      </c>
      <c r="B734" s="87">
        <v>87</v>
      </c>
      <c r="C734" s="3">
        <v>36.855452207020889</v>
      </c>
      <c r="D734" s="90" t="str">
        <f t="shared" si="74"/>
        <v/>
      </c>
      <c r="K734" s="98" t="str">
        <f t="shared" si="76"/>
        <v/>
      </c>
      <c r="L734" s="98" t="str">
        <f t="shared" si="77"/>
        <v/>
      </c>
      <c r="M734" s="3" t="s">
        <v>238</v>
      </c>
      <c r="N734" s="3" t="s">
        <v>238</v>
      </c>
      <c r="O734" s="3" t="s">
        <v>238</v>
      </c>
    </row>
    <row r="735" spans="1:15" x14ac:dyDescent="0.2">
      <c r="A735" s="3" t="str">
        <f>+VLOOKUP(B735,studies!$A$2:$C$102,3)</f>
        <v>Greenstone et al. (2013)</v>
      </c>
      <c r="B735" s="87">
        <v>87</v>
      </c>
      <c r="C735" s="3">
        <v>37.304908941252862</v>
      </c>
      <c r="D735" s="90" t="str">
        <f t="shared" si="74"/>
        <v/>
      </c>
      <c r="K735" s="98" t="str">
        <f t="shared" si="76"/>
        <v/>
      </c>
      <c r="L735" s="98" t="str">
        <f t="shared" si="77"/>
        <v/>
      </c>
      <c r="M735" s="3" t="s">
        <v>238</v>
      </c>
      <c r="N735" s="3" t="s">
        <v>238</v>
      </c>
      <c r="O735" s="3" t="s">
        <v>238</v>
      </c>
    </row>
    <row r="736" spans="1:15" x14ac:dyDescent="0.2">
      <c r="A736" s="3" t="str">
        <f>+VLOOKUP(B736,studies!$A$2:$C$102,3)</f>
        <v>Greenstone et al. (2013)</v>
      </c>
      <c r="B736" s="87">
        <v>87</v>
      </c>
      <c r="C736" s="3">
        <v>23.37175018006203</v>
      </c>
      <c r="D736" s="90" t="str">
        <f t="shared" si="74"/>
        <v/>
      </c>
      <c r="K736" s="98" t="str">
        <f t="shared" si="76"/>
        <v/>
      </c>
      <c r="L736" s="98" t="str">
        <f t="shared" si="77"/>
        <v/>
      </c>
      <c r="M736" s="3" t="s">
        <v>238</v>
      </c>
      <c r="N736" s="3" t="s">
        <v>238</v>
      </c>
      <c r="O736" s="3" t="s">
        <v>238</v>
      </c>
    </row>
    <row r="737" spans="1:15" x14ac:dyDescent="0.2">
      <c r="A737" s="3" t="str">
        <f>+VLOOKUP(B737,studies!$A$2:$C$102,3)</f>
        <v>Greenstone et al. (2013)</v>
      </c>
      <c r="B737" s="87">
        <v>87</v>
      </c>
      <c r="C737" s="3">
        <v>32.360884864701269</v>
      </c>
      <c r="D737" s="90" t="str">
        <f t="shared" si="74"/>
        <v/>
      </c>
      <c r="K737" s="98" t="str">
        <f t="shared" si="76"/>
        <v/>
      </c>
      <c r="L737" s="98" t="str">
        <f t="shared" si="77"/>
        <v/>
      </c>
      <c r="M737" s="3" t="s">
        <v>238</v>
      </c>
      <c r="N737" s="3" t="s">
        <v>238</v>
      </c>
      <c r="O737" s="3" t="s">
        <v>238</v>
      </c>
    </row>
    <row r="738" spans="1:15" x14ac:dyDescent="0.2">
      <c r="A738" s="3" t="str">
        <f>+VLOOKUP(B738,studies!$A$2:$C$102,3)</f>
        <v>Greenstone et al. (2013)</v>
      </c>
      <c r="B738" s="87">
        <v>87</v>
      </c>
      <c r="C738" s="3">
        <v>28.765230990845577</v>
      </c>
      <c r="D738" s="90" t="str">
        <f t="shared" si="74"/>
        <v/>
      </c>
      <c r="K738" s="98" t="str">
        <f t="shared" si="76"/>
        <v/>
      </c>
      <c r="L738" s="98" t="str">
        <f t="shared" si="77"/>
        <v/>
      </c>
      <c r="M738" s="3" t="s">
        <v>238</v>
      </c>
      <c r="N738" s="3" t="s">
        <v>238</v>
      </c>
      <c r="O738" s="3" t="s">
        <v>238</v>
      </c>
    </row>
    <row r="739" spans="1:15" x14ac:dyDescent="0.2">
      <c r="A739" s="3" t="str">
        <f>+VLOOKUP(B739,studies!$A$2:$C$102,3)</f>
        <v>Greenstone et al. (2013)</v>
      </c>
      <c r="B739" s="87">
        <v>87</v>
      </c>
      <c r="C739" s="3">
        <v>24.720120382757916</v>
      </c>
      <c r="D739" s="90" t="str">
        <f t="shared" si="74"/>
        <v/>
      </c>
      <c r="K739" s="98" t="str">
        <f t="shared" si="76"/>
        <v/>
      </c>
      <c r="L739" s="98" t="str">
        <f t="shared" si="77"/>
        <v/>
      </c>
      <c r="M739" s="3" t="s">
        <v>238</v>
      </c>
      <c r="N739" s="3" t="s">
        <v>238</v>
      </c>
      <c r="O739" s="3" t="s">
        <v>238</v>
      </c>
    </row>
    <row r="740" spans="1:15" x14ac:dyDescent="0.2">
      <c r="A740" s="3" t="str">
        <f>+VLOOKUP(B740,studies!$A$2:$C$102,3)</f>
        <v>Greenstone et al. (2013)</v>
      </c>
      <c r="B740" s="87">
        <v>87</v>
      </c>
      <c r="C740" s="3">
        <v>-5.8429375450155074</v>
      </c>
      <c r="D740" s="90" t="str">
        <f t="shared" si="74"/>
        <v/>
      </c>
      <c r="K740" s="98" t="str">
        <f t="shared" si="76"/>
        <v/>
      </c>
      <c r="L740" s="98" t="str">
        <f t="shared" si="77"/>
        <v/>
      </c>
      <c r="M740" s="3" t="s">
        <v>238</v>
      </c>
      <c r="N740" s="3" t="s">
        <v>238</v>
      </c>
      <c r="O740" s="3" t="s">
        <v>238</v>
      </c>
    </row>
    <row r="741" spans="1:15" x14ac:dyDescent="0.2">
      <c r="A741" s="3" t="str">
        <f>+VLOOKUP(B741,studies!$A$2:$C$102,3)</f>
        <v>Greenstone et al. (2013)</v>
      </c>
      <c r="B741" s="87">
        <v>87</v>
      </c>
      <c r="C741" s="3">
        <v>-1.3483702026958861</v>
      </c>
      <c r="D741" s="90" t="str">
        <f t="shared" si="74"/>
        <v/>
      </c>
      <c r="K741" s="98" t="str">
        <f t="shared" si="76"/>
        <v/>
      </c>
      <c r="L741" s="98" t="str">
        <f t="shared" si="77"/>
        <v/>
      </c>
      <c r="M741" s="3" t="s">
        <v>238</v>
      </c>
      <c r="N741" s="3" t="s">
        <v>238</v>
      </c>
      <c r="O741" s="3" t="s">
        <v>238</v>
      </c>
    </row>
    <row r="742" spans="1:15" x14ac:dyDescent="0.2">
      <c r="A742" s="3" t="str">
        <f>+VLOOKUP(B742,studies!$A$2:$C$102,3)</f>
        <v>Greenstone et al. (2013)</v>
      </c>
      <c r="B742" s="87">
        <v>87</v>
      </c>
      <c r="C742" s="3">
        <v>-8.5396779504072793</v>
      </c>
      <c r="D742" s="90" t="str">
        <f t="shared" si="74"/>
        <v/>
      </c>
      <c r="K742" s="98" t="str">
        <f t="shared" si="76"/>
        <v/>
      </c>
      <c r="L742" s="98" t="str">
        <f t="shared" si="77"/>
        <v/>
      </c>
      <c r="M742" s="3" t="s">
        <v>238</v>
      </c>
      <c r="N742" s="3" t="s">
        <v>238</v>
      </c>
      <c r="O742" s="3" t="s">
        <v>238</v>
      </c>
    </row>
    <row r="743" spans="1:15" x14ac:dyDescent="0.2">
      <c r="A743" s="3" t="str">
        <f>+VLOOKUP(B743,studies!$A$2:$C$102,3)</f>
        <v>Greenstone et al. (2013)</v>
      </c>
      <c r="B743" s="87">
        <v>87</v>
      </c>
      <c r="C743" s="3">
        <v>-2.6967404053917723</v>
      </c>
      <c r="D743" s="90" t="str">
        <f t="shared" si="74"/>
        <v/>
      </c>
      <c r="K743" s="98" t="str">
        <f t="shared" si="76"/>
        <v/>
      </c>
      <c r="L743" s="98" t="str">
        <f t="shared" si="77"/>
        <v/>
      </c>
      <c r="M743" s="3" t="s">
        <v>238</v>
      </c>
      <c r="N743" s="3" t="s">
        <v>238</v>
      </c>
      <c r="O743" s="3" t="s">
        <v>238</v>
      </c>
    </row>
    <row r="744" spans="1:15" x14ac:dyDescent="0.2">
      <c r="A744" s="3" t="str">
        <f>+VLOOKUP(B744,studies!$A$2:$C$102,3)</f>
        <v>Greenstone et al. (2013)</v>
      </c>
      <c r="B744" s="87">
        <v>87</v>
      </c>
      <c r="C744" s="3">
        <v>-12.135331824262977</v>
      </c>
      <c r="D744" s="90" t="str">
        <f t="shared" si="74"/>
        <v/>
      </c>
      <c r="K744" s="98" t="str">
        <f t="shared" si="76"/>
        <v/>
      </c>
      <c r="L744" s="98" t="str">
        <f t="shared" si="77"/>
        <v/>
      </c>
      <c r="M744" s="3" t="s">
        <v>238</v>
      </c>
      <c r="N744" s="3" t="s">
        <v>238</v>
      </c>
      <c r="O744" s="3" t="s">
        <v>238</v>
      </c>
    </row>
    <row r="745" spans="1:15" x14ac:dyDescent="0.2">
      <c r="A745" s="3" t="str">
        <f>+VLOOKUP(B745,studies!$A$2:$C$102,3)</f>
        <v>Greenstone et al. (2013)</v>
      </c>
      <c r="B745" s="87">
        <v>87</v>
      </c>
      <c r="C745" s="3">
        <v>160.90551085504242</v>
      </c>
      <c r="D745" s="90" t="str">
        <f t="shared" si="74"/>
        <v/>
      </c>
      <c r="K745" s="98" t="str">
        <f t="shared" si="76"/>
        <v/>
      </c>
      <c r="L745" s="98" t="str">
        <f t="shared" si="77"/>
        <v/>
      </c>
      <c r="M745" s="3" t="s">
        <v>238</v>
      </c>
      <c r="N745" s="3">
        <v>80.260131112850374</v>
      </c>
      <c r="O745" s="3">
        <v>80.260131112850374</v>
      </c>
    </row>
    <row r="746" spans="1:15" x14ac:dyDescent="0.2">
      <c r="A746" s="3" t="str">
        <f>+VLOOKUP(B746,studies!$A$2:$C$102,3)</f>
        <v>Greenstone et al. (2013)</v>
      </c>
      <c r="B746" s="87">
        <v>87</v>
      </c>
      <c r="C746" s="3">
        <v>98.880481531031663</v>
      </c>
      <c r="D746" s="90" t="str">
        <f t="shared" si="74"/>
        <v/>
      </c>
      <c r="K746" s="98" t="str">
        <f t="shared" si="76"/>
        <v/>
      </c>
      <c r="L746" s="98" t="str">
        <f t="shared" si="77"/>
        <v/>
      </c>
      <c r="M746" s="3" t="s">
        <v>238</v>
      </c>
      <c r="N746" s="3">
        <v>46.092246724808376</v>
      </c>
      <c r="O746" s="3">
        <v>46.092246724808376</v>
      </c>
    </row>
    <row r="747" spans="1:15" x14ac:dyDescent="0.2">
      <c r="A747" s="3" t="str">
        <f>+VLOOKUP(B747,studies!$A$2:$C$102,3)</f>
        <v>Greenstone et al. (2013)</v>
      </c>
      <c r="B747" s="87">
        <v>87</v>
      </c>
      <c r="C747" s="3">
        <v>133.93810680112472</v>
      </c>
      <c r="D747" s="90" t="str">
        <f t="shared" si="74"/>
        <v/>
      </c>
      <c r="K747" s="98" t="str">
        <f t="shared" si="76"/>
        <v/>
      </c>
      <c r="L747" s="98" t="str">
        <f t="shared" si="77"/>
        <v/>
      </c>
      <c r="M747" s="3" t="s">
        <v>238</v>
      </c>
      <c r="N747" s="3">
        <v>66.042622172859751</v>
      </c>
      <c r="O747" s="3">
        <v>66.042622172859751</v>
      </c>
    </row>
    <row r="748" spans="1:15" x14ac:dyDescent="0.2">
      <c r="A748" s="3" t="str">
        <f>+VLOOKUP(B748,studies!$A$2:$C$102,3)</f>
        <v>Greenstone et al. (2013)</v>
      </c>
      <c r="B748" s="87">
        <v>87</v>
      </c>
      <c r="C748" s="3">
        <v>129.44353945880508</v>
      </c>
      <c r="D748" s="90" t="str">
        <f t="shared" si="74"/>
        <v/>
      </c>
      <c r="K748" s="98" t="str">
        <f t="shared" si="76"/>
        <v/>
      </c>
      <c r="L748" s="98" t="str">
        <f t="shared" si="77"/>
        <v/>
      </c>
      <c r="M748" s="3" t="s">
        <v>238</v>
      </c>
      <c r="N748" s="3">
        <v>66.730566153827027</v>
      </c>
      <c r="O748" s="3">
        <v>66.730566153827027</v>
      </c>
    </row>
    <row r="749" spans="1:15" x14ac:dyDescent="0.2">
      <c r="A749" s="3" t="str">
        <f>+VLOOKUP(B749,studies!$A$2:$C$102,3)</f>
        <v>Greenstone et al. (2013)</v>
      </c>
      <c r="B749" s="87">
        <v>87</v>
      </c>
      <c r="C749" s="3">
        <v>111.91472682375857</v>
      </c>
      <c r="D749" s="90" t="str">
        <f t="shared" si="74"/>
        <v/>
      </c>
      <c r="K749" s="98" t="str">
        <f t="shared" si="76"/>
        <v/>
      </c>
      <c r="L749" s="98" t="str">
        <f t="shared" si="77"/>
        <v/>
      </c>
      <c r="M749" s="3" t="s">
        <v>238</v>
      </c>
      <c r="N749" s="3">
        <v>59.392497023509272</v>
      </c>
      <c r="O749" s="3">
        <v>59.392497023509272</v>
      </c>
    </row>
    <row r="750" spans="1:15" x14ac:dyDescent="0.2">
      <c r="A750" s="3" t="str">
        <f>+VLOOKUP(B750,studies!$A$2:$C$102,3)</f>
        <v>Greenstone et al. (2013)</v>
      </c>
      <c r="B750" s="87">
        <v>87</v>
      </c>
      <c r="C750" s="3">
        <v>177.53541002162501</v>
      </c>
      <c r="D750" s="90" t="str">
        <f t="shared" si="74"/>
        <v/>
      </c>
      <c r="K750" s="98" t="str">
        <f t="shared" si="76"/>
        <v/>
      </c>
      <c r="L750" s="98" t="str">
        <f t="shared" si="77"/>
        <v/>
      </c>
      <c r="M750" s="3" t="s">
        <v>238</v>
      </c>
      <c r="N750" s="3">
        <v>235.96478547178012</v>
      </c>
      <c r="O750" s="3">
        <v>235.96478547178012</v>
      </c>
    </row>
    <row r="751" spans="1:15" x14ac:dyDescent="0.2">
      <c r="A751" s="3" t="str">
        <f>+VLOOKUP(B751,studies!$A$2:$C$102,3)</f>
        <v>Greenstone et al. (2013)</v>
      </c>
      <c r="B751" s="87">
        <v>87</v>
      </c>
      <c r="C751" s="3">
        <v>100.22885173372755</v>
      </c>
      <c r="D751" s="90" t="str">
        <f t="shared" si="74"/>
        <v/>
      </c>
      <c r="K751" s="98" t="str">
        <f t="shared" si="76"/>
        <v/>
      </c>
      <c r="L751" s="98" t="str">
        <f t="shared" si="77"/>
        <v/>
      </c>
      <c r="M751" s="3" t="s">
        <v>238</v>
      </c>
      <c r="N751" s="3">
        <v>137.81811085378024</v>
      </c>
      <c r="O751" s="3">
        <v>137.81811085378024</v>
      </c>
    </row>
    <row r="752" spans="1:15" x14ac:dyDescent="0.2">
      <c r="A752" s="3" t="str">
        <f>+VLOOKUP(B752,studies!$A$2:$C$102,3)</f>
        <v>Greenstone et al. (2013)</v>
      </c>
      <c r="B752" s="87">
        <v>87</v>
      </c>
      <c r="C752" s="3">
        <v>136.18539047228452</v>
      </c>
      <c r="D752" s="90" t="str">
        <f t="shared" si="74"/>
        <v/>
      </c>
      <c r="K752" s="98" t="str">
        <f t="shared" si="76"/>
        <v/>
      </c>
      <c r="L752" s="98" t="str">
        <f t="shared" si="77"/>
        <v/>
      </c>
      <c r="M752" s="3" t="s">
        <v>238</v>
      </c>
      <c r="N752" s="3">
        <v>195.60540525503251</v>
      </c>
      <c r="O752" s="3">
        <v>195.60540525503251</v>
      </c>
    </row>
    <row r="753" spans="1:15" x14ac:dyDescent="0.2">
      <c r="A753" s="3" t="str">
        <f>+VLOOKUP(B753,studies!$A$2:$C$102,3)</f>
        <v>Greenstone et al. (2013)</v>
      </c>
      <c r="B753" s="87">
        <v>87</v>
      </c>
      <c r="C753" s="3">
        <v>142.92724148576394</v>
      </c>
      <c r="D753" s="90" t="str">
        <f t="shared" si="74"/>
        <v/>
      </c>
      <c r="K753" s="98" t="str">
        <f t="shared" si="76"/>
        <v/>
      </c>
      <c r="L753" s="98" t="str">
        <f t="shared" si="77"/>
        <v/>
      </c>
      <c r="M753" s="3" t="s">
        <v>238</v>
      </c>
      <c r="N753" s="3">
        <v>191.70705602955118</v>
      </c>
      <c r="O753" s="3">
        <v>191.70705602955118</v>
      </c>
    </row>
    <row r="754" spans="1:15" x14ac:dyDescent="0.2">
      <c r="A754" s="3" t="str">
        <f>+VLOOKUP(B754,studies!$A$2:$C$102,3)</f>
        <v>Greenstone et al. (2013)</v>
      </c>
      <c r="B754" s="87">
        <v>87</v>
      </c>
      <c r="C754" s="3">
        <v>114.16201049491836</v>
      </c>
      <c r="D754" s="90" t="str">
        <f t="shared" si="74"/>
        <v/>
      </c>
      <c r="K754" s="98" t="str">
        <f t="shared" si="76"/>
        <v/>
      </c>
      <c r="L754" s="98" t="str">
        <f t="shared" si="77"/>
        <v/>
      </c>
      <c r="M754" s="3" t="s">
        <v>238</v>
      </c>
      <c r="N754" s="3">
        <v>181.84652563568673</v>
      </c>
      <c r="O754" s="3">
        <v>181.84652563568673</v>
      </c>
    </row>
    <row r="755" spans="1:15" x14ac:dyDescent="0.2">
      <c r="A755" s="3" t="str">
        <f>+VLOOKUP(B755,studies!$A$2:$C$102,3)</f>
        <v>Greenstone et al. (2013)</v>
      </c>
      <c r="B755" s="87">
        <v>87</v>
      </c>
      <c r="C755" s="3">
        <v>36.855452207020889</v>
      </c>
      <c r="D755" s="90" t="str">
        <f t="shared" si="74"/>
        <v/>
      </c>
      <c r="K755" s="98" t="str">
        <f t="shared" si="76"/>
        <v/>
      </c>
      <c r="L755" s="98" t="str">
        <f t="shared" si="77"/>
        <v/>
      </c>
      <c r="M755" s="3" t="s">
        <v>238</v>
      </c>
      <c r="N755" s="3">
        <v>72.234118001565335</v>
      </c>
      <c r="O755" s="3">
        <v>72.234118001565335</v>
      </c>
    </row>
    <row r="756" spans="1:15" x14ac:dyDescent="0.2">
      <c r="A756" s="3" t="str">
        <f>+VLOOKUP(B756,studies!$A$2:$C$102,3)</f>
        <v>Greenstone et al. (2013)</v>
      </c>
      <c r="B756" s="87">
        <v>87</v>
      </c>
      <c r="C756" s="3">
        <v>35.956538738556965</v>
      </c>
      <c r="D756" s="90" t="str">
        <f t="shared" si="74"/>
        <v/>
      </c>
      <c r="K756" s="98" t="str">
        <f t="shared" si="76"/>
        <v/>
      </c>
      <c r="L756" s="98" t="str">
        <f t="shared" si="77"/>
        <v/>
      </c>
      <c r="M756" s="3" t="s">
        <v>238</v>
      </c>
      <c r="N756" s="3">
        <v>76.361781887369062</v>
      </c>
      <c r="O756" s="3">
        <v>76.361781887369062</v>
      </c>
    </row>
    <row r="757" spans="1:15" x14ac:dyDescent="0.2">
      <c r="A757" s="3" t="str">
        <f>+VLOOKUP(B757,studies!$A$2:$C$102,3)</f>
        <v>Greenstone et al. (2013)</v>
      </c>
      <c r="B757" s="87">
        <v>87</v>
      </c>
      <c r="C757" s="3">
        <v>16.180442432350635</v>
      </c>
      <c r="D757" s="90" t="str">
        <f t="shared" si="74"/>
        <v/>
      </c>
      <c r="K757" s="98" t="str">
        <f t="shared" si="76"/>
        <v/>
      </c>
      <c r="L757" s="98" t="str">
        <f t="shared" si="77"/>
        <v/>
      </c>
      <c r="M757" s="3" t="s">
        <v>238</v>
      </c>
      <c r="N757" s="3">
        <v>65.354678191892447</v>
      </c>
      <c r="O757" s="3">
        <v>65.354678191892447</v>
      </c>
    </row>
    <row r="758" spans="1:15" x14ac:dyDescent="0.2">
      <c r="A758" s="3" t="str">
        <f>+VLOOKUP(B758,studies!$A$2:$C$102,3)</f>
        <v>Greenstone et al. (2013)</v>
      </c>
      <c r="B758" s="87">
        <v>87</v>
      </c>
      <c r="C758" s="3">
        <v>45.844586891660136</v>
      </c>
      <c r="D758" s="90" t="str">
        <f t="shared" si="74"/>
        <v/>
      </c>
      <c r="K758" s="98" t="str">
        <f t="shared" si="76"/>
        <v/>
      </c>
      <c r="L758" s="98" t="str">
        <f t="shared" si="77"/>
        <v/>
      </c>
      <c r="M758" s="3" t="s">
        <v>238</v>
      </c>
      <c r="N758" s="3">
        <v>74.297949944467206</v>
      </c>
      <c r="O758" s="3">
        <v>74.297949944467206</v>
      </c>
    </row>
    <row r="759" spans="1:15" x14ac:dyDescent="0.2">
      <c r="A759" s="3" t="str">
        <f>+VLOOKUP(B759,studies!$A$2:$C$102,3)</f>
        <v>Greenstone et al. (2013)</v>
      </c>
      <c r="B759" s="87">
        <v>87</v>
      </c>
      <c r="C759" s="3">
        <v>-0.89891346846392428</v>
      </c>
      <c r="D759" s="90" t="str">
        <f t="shared" si="74"/>
        <v/>
      </c>
      <c r="K759" s="98" t="str">
        <f t="shared" si="76"/>
        <v/>
      </c>
      <c r="L759" s="98" t="str">
        <f t="shared" si="77"/>
        <v/>
      </c>
      <c r="M759" s="3" t="s">
        <v>238</v>
      </c>
      <c r="N759" s="3">
        <v>44.945673423196212</v>
      </c>
      <c r="O759" s="3">
        <v>44.945673423196212</v>
      </c>
    </row>
    <row r="760" spans="1:15" x14ac:dyDescent="0.2">
      <c r="A760" s="3" t="str">
        <f>+VLOOKUP(B760,studies!$A$2:$C$102,3)</f>
        <v>Greenstone et al. (2013)</v>
      </c>
      <c r="B760" s="87">
        <v>87</v>
      </c>
      <c r="C760" s="3">
        <v>243.60554995372351</v>
      </c>
      <c r="D760" s="90" t="str">
        <f t="shared" si="74"/>
        <v/>
      </c>
      <c r="K760" s="98" t="str">
        <f t="shared" si="76"/>
        <v/>
      </c>
      <c r="L760" s="98" t="str">
        <f t="shared" si="77"/>
        <v/>
      </c>
      <c r="M760" s="3" t="s">
        <v>238</v>
      </c>
      <c r="N760" s="3"/>
      <c r="O760" s="3"/>
    </row>
    <row r="761" spans="1:15" x14ac:dyDescent="0.2">
      <c r="A761" s="3" t="str">
        <f>+VLOOKUP(B761,studies!$A$2:$C$102,3)</f>
        <v>Greenstone et al. (2013)</v>
      </c>
      <c r="B761" s="87">
        <v>87</v>
      </c>
      <c r="C761" s="3">
        <v>142.02832801730003</v>
      </c>
      <c r="D761" s="90" t="str">
        <f t="shared" si="74"/>
        <v/>
      </c>
      <c r="K761" s="98" t="str">
        <f t="shared" si="76"/>
        <v/>
      </c>
      <c r="L761" s="98" t="str">
        <f t="shared" si="77"/>
        <v/>
      </c>
      <c r="M761" s="3" t="s">
        <v>238</v>
      </c>
      <c r="N761" s="3" t="s">
        <v>238</v>
      </c>
      <c r="O761" s="3" t="s">
        <v>238</v>
      </c>
    </row>
    <row r="762" spans="1:15" x14ac:dyDescent="0.2">
      <c r="A762" s="3" t="str">
        <f>+VLOOKUP(B762,studies!$A$2:$C$102,3)</f>
        <v>Greenstone et al. (2013)</v>
      </c>
      <c r="B762" s="87">
        <v>87</v>
      </c>
      <c r="C762" s="3">
        <v>195.51367939090352</v>
      </c>
      <c r="D762" s="90" t="str">
        <f t="shared" si="74"/>
        <v/>
      </c>
      <c r="K762" s="98" t="str">
        <f t="shared" si="76"/>
        <v/>
      </c>
      <c r="L762" s="98" t="str">
        <f t="shared" si="77"/>
        <v/>
      </c>
      <c r="M762" s="3" t="s">
        <v>238</v>
      </c>
      <c r="N762" s="3" t="s">
        <v>238</v>
      </c>
      <c r="O762" s="3" t="s">
        <v>238</v>
      </c>
    </row>
    <row r="763" spans="1:15" x14ac:dyDescent="0.2">
      <c r="A763" s="3" t="str">
        <f>+VLOOKUP(B763,studies!$A$2:$C$102,3)</f>
        <v>Greenstone et al. (2013)</v>
      </c>
      <c r="B763" s="87">
        <v>87</v>
      </c>
      <c r="C763" s="3">
        <v>199.55878999899119</v>
      </c>
      <c r="D763" s="90" t="str">
        <f t="shared" si="74"/>
        <v/>
      </c>
      <c r="K763" s="98" t="str">
        <f t="shared" si="76"/>
        <v/>
      </c>
      <c r="L763" s="98" t="str">
        <f t="shared" si="77"/>
        <v/>
      </c>
      <c r="M763" s="3" t="s">
        <v>238</v>
      </c>
      <c r="N763" s="3" t="s">
        <v>238</v>
      </c>
      <c r="O763" s="3" t="s">
        <v>238</v>
      </c>
    </row>
    <row r="764" spans="1:15" x14ac:dyDescent="0.2">
      <c r="A764" s="3" t="str">
        <f>+VLOOKUP(B764,studies!$A$2:$C$102,3)</f>
        <v>Greenstone et al. (2013)</v>
      </c>
      <c r="B764" s="87">
        <v>87</v>
      </c>
      <c r="C764" s="3">
        <v>168.09681860275384</v>
      </c>
      <c r="D764" s="90" t="str">
        <f t="shared" si="74"/>
        <v/>
      </c>
      <c r="K764" s="98" t="str">
        <f t="shared" si="76"/>
        <v/>
      </c>
      <c r="L764" s="98" t="str">
        <f t="shared" si="77"/>
        <v/>
      </c>
      <c r="M764" s="3" t="s">
        <v>238</v>
      </c>
      <c r="N764" s="3" t="s">
        <v>238</v>
      </c>
      <c r="O764" s="3" t="s">
        <v>238</v>
      </c>
    </row>
    <row r="765" spans="1:15" x14ac:dyDescent="0.2">
      <c r="A765" s="3" t="str">
        <f>+VLOOKUP(B765,studies!$A$2:$C$102,3)</f>
        <v>Greenstone et al. (2013)</v>
      </c>
      <c r="B765" s="87">
        <v>87</v>
      </c>
      <c r="C765" s="3">
        <v>294.39416092193522</v>
      </c>
      <c r="D765" s="90" t="str">
        <f t="shared" si="74"/>
        <v/>
      </c>
      <c r="K765" s="98" t="str">
        <f t="shared" si="76"/>
        <v/>
      </c>
      <c r="L765" s="98" t="str">
        <f t="shared" si="77"/>
        <v/>
      </c>
      <c r="M765" s="3" t="s">
        <v>238</v>
      </c>
      <c r="N765" s="3" t="s">
        <v>238</v>
      </c>
      <c r="O765" s="3" t="s">
        <v>238</v>
      </c>
    </row>
    <row r="766" spans="1:15" x14ac:dyDescent="0.2">
      <c r="A766" s="3" t="str">
        <f>+VLOOKUP(B766,studies!$A$2:$C$102,3)</f>
        <v>Greenstone et al. (2013)</v>
      </c>
      <c r="B766" s="87">
        <v>87</v>
      </c>
      <c r="C766" s="3">
        <v>155.51203004425886</v>
      </c>
      <c r="D766" s="90" t="str">
        <f t="shared" si="74"/>
        <v/>
      </c>
      <c r="K766" s="98" t="str">
        <f t="shared" si="76"/>
        <v/>
      </c>
      <c r="L766" s="98" t="str">
        <f t="shared" si="77"/>
        <v/>
      </c>
      <c r="M766" s="3" t="s">
        <v>238</v>
      </c>
      <c r="N766" s="3" t="s">
        <v>238</v>
      </c>
      <c r="O766" s="3" t="s">
        <v>238</v>
      </c>
    </row>
    <row r="767" spans="1:15" x14ac:dyDescent="0.2">
      <c r="A767" s="3" t="str">
        <f>+VLOOKUP(B767,studies!$A$2:$C$102,3)</f>
        <v>Greenstone et al. (2013)</v>
      </c>
      <c r="B767" s="87">
        <v>87</v>
      </c>
      <c r="C767" s="3">
        <v>221.13271324212539</v>
      </c>
      <c r="D767" s="90" t="str">
        <f t="shared" si="74"/>
        <v/>
      </c>
      <c r="K767" s="98" t="str">
        <f t="shared" si="76"/>
        <v/>
      </c>
      <c r="L767" s="98" t="str">
        <f t="shared" si="77"/>
        <v/>
      </c>
      <c r="M767" s="3" t="s">
        <v>238</v>
      </c>
      <c r="N767" s="3" t="s">
        <v>238</v>
      </c>
      <c r="O767" s="3" t="s">
        <v>238</v>
      </c>
    </row>
    <row r="768" spans="1:15" x14ac:dyDescent="0.2">
      <c r="A768" s="3" t="str">
        <f>+VLOOKUP(B768,studies!$A$2:$C$102,3)</f>
        <v>Greenstone et al. (2013)</v>
      </c>
      <c r="B768" s="87">
        <v>87</v>
      </c>
      <c r="C768" s="3">
        <v>245.85283362488329</v>
      </c>
      <c r="D768" s="90" t="str">
        <f t="shared" si="74"/>
        <v/>
      </c>
      <c r="K768" s="98" t="str">
        <f t="shared" si="76"/>
        <v/>
      </c>
      <c r="L768" s="98" t="str">
        <f t="shared" si="77"/>
        <v/>
      </c>
      <c r="M768" s="3" t="s">
        <v>238</v>
      </c>
      <c r="N768" s="3" t="s">
        <v>238</v>
      </c>
      <c r="O768" s="3" t="s">
        <v>238</v>
      </c>
    </row>
    <row r="769" spans="1:15" x14ac:dyDescent="0.2">
      <c r="A769" s="3" t="str">
        <f>+VLOOKUP(B769,studies!$A$2:$C$102,3)</f>
        <v>Greenstone et al. (2013)</v>
      </c>
      <c r="B769" s="87">
        <v>87</v>
      </c>
      <c r="C769" s="3">
        <v>192.81693898551174</v>
      </c>
      <c r="D769" s="90" t="str">
        <f t="shared" si="74"/>
        <v/>
      </c>
      <c r="K769" s="98" t="str">
        <f t="shared" si="76"/>
        <v/>
      </c>
      <c r="L769" s="98" t="str">
        <f t="shared" si="77"/>
        <v/>
      </c>
      <c r="M769" s="3" t="s">
        <v>238</v>
      </c>
      <c r="N769" s="3" t="s">
        <v>238</v>
      </c>
      <c r="O769" s="3" t="s">
        <v>238</v>
      </c>
    </row>
    <row r="770" spans="1:15" x14ac:dyDescent="0.2">
      <c r="A770" s="3" t="str">
        <f>+VLOOKUP(B770,studies!$A$2:$C$102,3)</f>
        <v>Greenstone et al. (2013)</v>
      </c>
      <c r="B770" s="87">
        <v>87</v>
      </c>
      <c r="C770" s="3">
        <v>86.7451497067687</v>
      </c>
      <c r="D770" s="90" t="str">
        <f t="shared" si="74"/>
        <v/>
      </c>
      <c r="K770" s="98" t="str">
        <f t="shared" si="76"/>
        <v/>
      </c>
      <c r="L770" s="98" t="str">
        <f t="shared" si="77"/>
        <v/>
      </c>
      <c r="M770" s="3" t="s">
        <v>238</v>
      </c>
      <c r="N770" s="3" t="s">
        <v>238</v>
      </c>
      <c r="O770" s="3" t="s">
        <v>238</v>
      </c>
    </row>
    <row r="771" spans="1:15" x14ac:dyDescent="0.2">
      <c r="A771" s="3" t="str">
        <f>+VLOOKUP(B771,studies!$A$2:$C$102,3)</f>
        <v>Greenstone et al. (2013)</v>
      </c>
      <c r="B771" s="87">
        <v>87</v>
      </c>
      <c r="C771" s="3">
        <v>66.519596666330386</v>
      </c>
      <c r="D771" s="90" t="str">
        <f t="shared" si="74"/>
        <v/>
      </c>
      <c r="K771" s="98" t="str">
        <f t="shared" si="76"/>
        <v/>
      </c>
      <c r="L771" s="98" t="str">
        <f t="shared" si="77"/>
        <v/>
      </c>
      <c r="M771" s="3" t="s">
        <v>238</v>
      </c>
      <c r="N771" s="3" t="s">
        <v>238</v>
      </c>
      <c r="O771" s="3" t="s">
        <v>238</v>
      </c>
    </row>
    <row r="772" spans="1:15" x14ac:dyDescent="0.2">
      <c r="A772" s="3" t="str">
        <f>+VLOOKUP(B772,studies!$A$2:$C$102,3)</f>
        <v>Greenstone et al. (2013)</v>
      </c>
      <c r="B772" s="87">
        <v>87</v>
      </c>
      <c r="C772" s="3">
        <v>39.552192612412668</v>
      </c>
      <c r="D772" s="90" t="str">
        <f t="shared" si="74"/>
        <v/>
      </c>
      <c r="K772" s="98" t="str">
        <f t="shared" si="76"/>
        <v/>
      </c>
      <c r="L772" s="98" t="str">
        <f t="shared" si="77"/>
        <v/>
      </c>
      <c r="M772" s="3" t="s">
        <v>238</v>
      </c>
      <c r="N772" s="3" t="s">
        <v>238</v>
      </c>
      <c r="O772" s="3" t="s">
        <v>238</v>
      </c>
    </row>
    <row r="773" spans="1:15" x14ac:dyDescent="0.2">
      <c r="A773" s="3" t="str">
        <f>+VLOOKUP(B773,studies!$A$2:$C$102,3)</f>
        <v>Greenstone et al. (2013)</v>
      </c>
      <c r="B773" s="87">
        <v>87</v>
      </c>
      <c r="C773" s="3">
        <v>99.779394999495594</v>
      </c>
      <c r="D773" s="90" t="str">
        <f t="shared" ref="D773:D836" si="81">+IF(B773=B772,"",A773)</f>
        <v/>
      </c>
      <c r="K773" s="98" t="str">
        <f t="shared" si="76"/>
        <v/>
      </c>
      <c r="L773" s="98" t="str">
        <f t="shared" si="77"/>
        <v/>
      </c>
      <c r="M773" s="3" t="s">
        <v>238</v>
      </c>
      <c r="N773" s="3" t="s">
        <v>238</v>
      </c>
      <c r="O773" s="3" t="s">
        <v>238</v>
      </c>
    </row>
    <row r="774" spans="1:15" x14ac:dyDescent="0.2">
      <c r="A774" s="3" t="str">
        <f>+VLOOKUP(B774,studies!$A$2:$C$102,3)</f>
        <v>Greenstone et al. (2013)</v>
      </c>
      <c r="B774" s="87">
        <v>87</v>
      </c>
      <c r="C774" s="3">
        <v>21.979967396861223</v>
      </c>
      <c r="D774" s="90" t="str">
        <f t="shared" si="81"/>
        <v/>
      </c>
      <c r="K774" s="98" t="str">
        <f t="shared" si="76"/>
        <v/>
      </c>
      <c r="L774" s="98" t="str">
        <f t="shared" si="77"/>
        <v/>
      </c>
      <c r="M774" s="3" t="s">
        <v>238</v>
      </c>
      <c r="N774" s="3" t="s">
        <v>238</v>
      </c>
      <c r="O774" s="3" t="s">
        <v>238</v>
      </c>
    </row>
    <row r="775" spans="1:15" x14ac:dyDescent="0.2">
      <c r="A775" s="3" t="str">
        <f>+VLOOKUP(B775,studies!$A$2:$C$102,3)</f>
        <v>Greenstone et al. (2013)</v>
      </c>
      <c r="B775" s="87">
        <v>87</v>
      </c>
      <c r="C775" s="3">
        <v>91.77600421847319</v>
      </c>
      <c r="D775" s="90" t="str">
        <f t="shared" si="81"/>
        <v/>
      </c>
      <c r="K775" s="98" t="str">
        <f t="shared" ref="K775:K838" si="82">+IF(I775="","",(G775-E775)/1.96)</f>
        <v/>
      </c>
      <c r="L775" s="98" t="str">
        <f t="shared" ref="L775:L838" si="83">+IF(I775="","",(I775-G775)/1.96)</f>
        <v/>
      </c>
      <c r="M775" s="3" t="s">
        <v>238</v>
      </c>
      <c r="N775" s="3">
        <v>96.40336577570713</v>
      </c>
      <c r="O775" s="3">
        <v>96.40336577570713</v>
      </c>
    </row>
    <row r="776" spans="1:15" x14ac:dyDescent="0.2">
      <c r="A776" s="3" t="str">
        <f>+VLOOKUP(B776,studies!$A$2:$C$102,3)</f>
        <v>Greenstone et al. (2013)</v>
      </c>
      <c r="B776" s="87">
        <v>87</v>
      </c>
      <c r="C776" s="3">
        <v>148.07556983148612</v>
      </c>
      <c r="D776" s="90" t="str">
        <f t="shared" si="81"/>
        <v/>
      </c>
      <c r="K776" s="98" t="str">
        <f t="shared" si="82"/>
        <v/>
      </c>
      <c r="L776" s="98" t="str">
        <f t="shared" si="83"/>
        <v/>
      </c>
      <c r="M776" s="3" t="s">
        <v>238</v>
      </c>
      <c r="N776" s="3" t="s">
        <v>238</v>
      </c>
      <c r="O776" s="3" t="s">
        <v>238</v>
      </c>
    </row>
    <row r="777" spans="1:15" x14ac:dyDescent="0.2">
      <c r="A777" s="3" t="str">
        <f>+VLOOKUP(B777,studies!$A$2:$C$102,3)</f>
        <v>Hwang et al. (2013)</v>
      </c>
      <c r="B777" s="87">
        <v>88</v>
      </c>
      <c r="C777" s="3">
        <v>48.538593034519891</v>
      </c>
      <c r="D777" s="90" t="str">
        <f t="shared" si="81"/>
        <v>Hwang et al. (2013)</v>
      </c>
      <c r="E777" s="90">
        <f>+PERCENTILE($C777:$C788,E$2)</f>
        <v>25.406919791506503</v>
      </c>
      <c r="F777" s="90">
        <f t="shared" ref="F777:I777" si="84">+PERCENTILE($C777:$C788,F$2)</f>
        <v>48.538593034519891</v>
      </c>
      <c r="G777" s="98">
        <f t="shared" si="84"/>
        <v>71.291058519451084</v>
      </c>
      <c r="H777" s="90">
        <f t="shared" si="84"/>
        <v>112.62470415040944</v>
      </c>
      <c r="I777" s="90">
        <f t="shared" si="84"/>
        <v>334.1578764220227</v>
      </c>
      <c r="J777" s="98">
        <f>+STDEV($C777:$C788)</f>
        <v>126.82612947660071</v>
      </c>
      <c r="K777" s="98">
        <f t="shared" si="82"/>
        <v>23.410274861196214</v>
      </c>
      <c r="L777" s="98">
        <f t="shared" si="83"/>
        <v>134.1157234196794</v>
      </c>
      <c r="M777" s="3"/>
      <c r="N777" s="41"/>
      <c r="O777" s="41"/>
    </row>
    <row r="778" spans="1:15" x14ac:dyDescent="0.2">
      <c r="A778" s="3" t="str">
        <f>+VLOOKUP(B778,studies!$A$2:$C$102,3)</f>
        <v>Hwang et al. (2013)</v>
      </c>
      <c r="B778" s="87">
        <v>88</v>
      </c>
      <c r="C778" s="3">
        <v>51.572255099177383</v>
      </c>
      <c r="D778" s="90" t="str">
        <f t="shared" si="81"/>
        <v/>
      </c>
      <c r="K778" s="98" t="str">
        <f t="shared" si="82"/>
        <v/>
      </c>
      <c r="L778" s="98" t="str">
        <f t="shared" si="83"/>
        <v/>
      </c>
      <c r="M778" s="3"/>
      <c r="N778" s="41"/>
      <c r="O778" s="41"/>
    </row>
    <row r="779" spans="1:15" x14ac:dyDescent="0.2">
      <c r="A779" s="3" t="str">
        <f>+VLOOKUP(B779,studies!$A$2:$C$102,3)</f>
        <v>Hwang et al. (2013)</v>
      </c>
      <c r="B779" s="87">
        <v>88</v>
      </c>
      <c r="C779" s="3">
        <v>63.706903357807356</v>
      </c>
      <c r="D779" s="90" t="str">
        <f t="shared" si="81"/>
        <v/>
      </c>
      <c r="K779" s="98" t="str">
        <f t="shared" si="82"/>
        <v/>
      </c>
      <c r="L779" s="98" t="str">
        <f t="shared" si="83"/>
        <v/>
      </c>
      <c r="M779" s="3"/>
      <c r="N779" s="41"/>
      <c r="O779" s="41"/>
    </row>
    <row r="780" spans="1:15" x14ac:dyDescent="0.2">
      <c r="A780" s="3" t="str">
        <f>+VLOOKUP(B780,studies!$A$2:$C$102,3)</f>
        <v>Hwang et al. (2013)</v>
      </c>
      <c r="B780" s="87">
        <v>88</v>
      </c>
      <c r="C780" s="3">
        <v>81.908875745752312</v>
      </c>
      <c r="D780" s="90" t="str">
        <f t="shared" si="81"/>
        <v/>
      </c>
      <c r="K780" s="98" t="str">
        <f t="shared" si="82"/>
        <v/>
      </c>
      <c r="L780" s="98" t="str">
        <f t="shared" si="83"/>
        <v/>
      </c>
      <c r="M780" s="3"/>
      <c r="N780" s="41"/>
      <c r="O780" s="41"/>
    </row>
    <row r="781" spans="1:15" x14ac:dyDescent="0.2">
      <c r="A781" s="3" t="str">
        <f>+VLOOKUP(B781,studies!$A$2:$C$102,3)</f>
        <v>Hwang et al. (2013)</v>
      </c>
      <c r="B781" s="87">
        <v>88</v>
      </c>
      <c r="C781" s="3">
        <v>479.3186062158839</v>
      </c>
      <c r="D781" s="90" t="str">
        <f t="shared" si="81"/>
        <v/>
      </c>
      <c r="K781" s="98" t="str">
        <f t="shared" si="82"/>
        <v/>
      </c>
      <c r="L781" s="98" t="str">
        <f t="shared" si="83"/>
        <v/>
      </c>
      <c r="M781" s="3"/>
      <c r="N781" s="41"/>
      <c r="O781" s="41"/>
    </row>
    <row r="782" spans="1:15" x14ac:dyDescent="0.2">
      <c r="A782" s="3" t="str">
        <f>+VLOOKUP(B782,studies!$A$2:$C$102,3)</f>
        <v>Hwang et al. (2013)</v>
      </c>
      <c r="B782" s="87">
        <v>88</v>
      </c>
      <c r="C782" s="3">
        <v>215.39000659068202</v>
      </c>
      <c r="D782" s="90" t="str">
        <f t="shared" si="81"/>
        <v/>
      </c>
      <c r="K782" s="98" t="str">
        <f t="shared" si="82"/>
        <v/>
      </c>
      <c r="L782" s="98" t="str">
        <f t="shared" si="83"/>
        <v/>
      </c>
      <c r="M782" s="3"/>
      <c r="N782" s="41"/>
      <c r="O782" s="41"/>
    </row>
    <row r="783" spans="1:15" x14ac:dyDescent="0.2">
      <c r="A783" s="3" t="str">
        <f>+VLOOKUP(B783,studies!$A$2:$C$102,3)</f>
        <v>Hwang et al. (2013)</v>
      </c>
      <c r="B783" s="87">
        <v>88</v>
      </c>
      <c r="C783" s="3">
        <v>122.86331361862848</v>
      </c>
      <c r="D783" s="90" t="str">
        <f t="shared" si="81"/>
        <v/>
      </c>
      <c r="K783" s="98" t="str">
        <f t="shared" si="82"/>
        <v/>
      </c>
      <c r="L783" s="98" t="str">
        <f t="shared" si="83"/>
        <v/>
      </c>
      <c r="M783" s="3"/>
      <c r="N783" s="41"/>
      <c r="O783" s="41"/>
    </row>
    <row r="784" spans="1:15" x14ac:dyDescent="0.2">
      <c r="A784" s="3" t="str">
        <f>+VLOOKUP(B784,studies!$A$2:$C$102,3)</f>
        <v>Hwang et al. (2013)</v>
      </c>
      <c r="B784" s="87">
        <v>88</v>
      </c>
      <c r="C784" s="3">
        <v>78.87521368109482</v>
      </c>
      <c r="D784" s="90" t="str">
        <f t="shared" si="81"/>
        <v/>
      </c>
      <c r="K784" s="98" t="str">
        <f t="shared" si="82"/>
        <v/>
      </c>
      <c r="L784" s="98" t="str">
        <f t="shared" si="83"/>
        <v/>
      </c>
      <c r="M784" s="3"/>
      <c r="N784" s="41"/>
      <c r="O784" s="41"/>
    </row>
    <row r="785" spans="1:15" x14ac:dyDescent="0.2">
      <c r="A785" s="3" t="str">
        <f>+VLOOKUP(B785,studies!$A$2:$C$102,3)</f>
        <v>Hwang et al. (2013)</v>
      </c>
      <c r="B785" s="87">
        <v>88</v>
      </c>
      <c r="C785" s="3">
        <v>109.21183432766976</v>
      </c>
      <c r="D785" s="90" t="str">
        <f t="shared" si="81"/>
        <v/>
      </c>
      <c r="K785" s="98" t="str">
        <f t="shared" si="82"/>
        <v/>
      </c>
      <c r="L785" s="98" t="str">
        <f t="shared" si="83"/>
        <v/>
      </c>
      <c r="M785" s="3"/>
      <c r="N785" s="41"/>
      <c r="O785" s="41"/>
    </row>
    <row r="786" spans="1:15" x14ac:dyDescent="0.2">
      <c r="A786" s="3" t="str">
        <f>+VLOOKUP(B786,studies!$A$2:$C$102,3)</f>
        <v>Hwang et al. (2013)</v>
      </c>
      <c r="B786" s="87">
        <v>88</v>
      </c>
      <c r="C786" s="3">
        <v>48.538593034519891</v>
      </c>
      <c r="D786" s="90" t="str">
        <f t="shared" si="81"/>
        <v/>
      </c>
      <c r="K786" s="98" t="str">
        <f t="shared" si="82"/>
        <v/>
      </c>
      <c r="L786" s="98" t="str">
        <f t="shared" si="83"/>
        <v/>
      </c>
      <c r="M786" s="3"/>
      <c r="N786" s="41"/>
      <c r="O786" s="41"/>
    </row>
    <row r="787" spans="1:15" x14ac:dyDescent="0.2">
      <c r="A787" s="3" t="str">
        <f>+VLOOKUP(B787,studies!$A$2:$C$102,3)</f>
        <v>Hwang et al. (2013)</v>
      </c>
      <c r="B787" s="87">
        <v>88</v>
      </c>
      <c r="C787" s="3">
        <v>28.819789614246183</v>
      </c>
      <c r="D787" s="90" t="str">
        <f t="shared" si="81"/>
        <v/>
      </c>
      <c r="K787" s="98" t="str">
        <f t="shared" si="82"/>
        <v/>
      </c>
      <c r="L787" s="98" t="str">
        <f t="shared" si="83"/>
        <v/>
      </c>
      <c r="M787" s="3"/>
      <c r="N787" s="41"/>
      <c r="O787" s="41"/>
    </row>
    <row r="788" spans="1:15" x14ac:dyDescent="0.2">
      <c r="A788" s="3" t="str">
        <f>+VLOOKUP(B788,studies!$A$2:$C$102,3)</f>
        <v>Hwang et al. (2013)</v>
      </c>
      <c r="B788" s="87">
        <v>88</v>
      </c>
      <c r="C788" s="3">
        <v>21.235634452602451</v>
      </c>
      <c r="D788" s="90" t="str">
        <f t="shared" si="81"/>
        <v/>
      </c>
      <c r="K788" s="98" t="str">
        <f t="shared" si="82"/>
        <v/>
      </c>
      <c r="L788" s="98" t="str">
        <f t="shared" si="83"/>
        <v/>
      </c>
      <c r="M788" s="3"/>
      <c r="N788" s="41"/>
      <c r="O788" s="41"/>
    </row>
    <row r="789" spans="1:15" x14ac:dyDescent="0.2">
      <c r="A789" s="3" t="str">
        <f>+VLOOKUP(B789,studies!$A$2:$C$102,3)</f>
        <v>Jensen &amp; Traeger (2014b)</v>
      </c>
      <c r="B789" s="87">
        <v>89</v>
      </c>
      <c r="C789" s="3">
        <v>46.011974134695237</v>
      </c>
      <c r="D789" s="90" t="str">
        <f t="shared" si="81"/>
        <v>Jensen &amp; Traeger (2014b)</v>
      </c>
      <c r="K789" s="98" t="str">
        <f t="shared" si="82"/>
        <v/>
      </c>
      <c r="L789" s="98" t="str">
        <f t="shared" si="83"/>
        <v/>
      </c>
      <c r="M789" s="3"/>
      <c r="N789" s="41"/>
      <c r="O789" s="41"/>
    </row>
    <row r="790" spans="1:15" x14ac:dyDescent="0.2">
      <c r="A790" s="3" t="str">
        <f>+VLOOKUP(B790,studies!$A$2:$C$102,3)</f>
        <v>Lintunen &amp; Vilmi (2013)</v>
      </c>
      <c r="B790" s="87">
        <v>90</v>
      </c>
      <c r="C790" s="3">
        <v>116.56197575383956</v>
      </c>
      <c r="D790" s="90" t="str">
        <f t="shared" si="81"/>
        <v>Lintunen &amp; Vilmi (2013)</v>
      </c>
      <c r="K790" s="98" t="str">
        <f t="shared" si="82"/>
        <v/>
      </c>
      <c r="L790" s="98" t="str">
        <f t="shared" si="83"/>
        <v/>
      </c>
      <c r="M790" s="3"/>
      <c r="N790" s="41"/>
      <c r="O790" s="41"/>
    </row>
    <row r="791" spans="1:15" x14ac:dyDescent="0.2">
      <c r="A791" s="3" t="str">
        <f>+VLOOKUP(B791,studies!$A$2:$C$102,3)</f>
        <v>Moyer et al. (2013)</v>
      </c>
      <c r="B791" s="87">
        <v>91</v>
      </c>
      <c r="C791" s="3">
        <v>71.91307747711393</v>
      </c>
      <c r="D791" s="90" t="str">
        <f t="shared" si="81"/>
        <v>Moyer et al. (2013)</v>
      </c>
      <c r="F791" s="1">
        <f>+C791</f>
        <v>71.91307747711393</v>
      </c>
      <c r="G791" s="98">
        <f>+PERCENTILE($C791:$C792,G$2)</f>
        <v>507.88610968211719</v>
      </c>
      <c r="H791" s="1">
        <f>+C792</f>
        <v>943.85914188712047</v>
      </c>
      <c r="J791" s="98">
        <f>+STDEV(C791:C792)</f>
        <v>616.55897497323781</v>
      </c>
      <c r="K791" s="98">
        <f>G791-F791/1.1505</f>
        <v>445.38017532565135</v>
      </c>
      <c r="L791" s="98">
        <f>H791-G791/1.1505</f>
        <v>502.41098049458054</v>
      </c>
      <c r="M791" s="3"/>
      <c r="N791" s="41"/>
      <c r="O791" s="41"/>
    </row>
    <row r="792" spans="1:15" x14ac:dyDescent="0.2">
      <c r="A792" s="3" t="str">
        <f>+VLOOKUP(B792,studies!$A$2:$C$102,3)</f>
        <v>Moyer et al. (2013)</v>
      </c>
      <c r="B792" s="87">
        <v>91</v>
      </c>
      <c r="C792" s="3">
        <v>943.85914188712047</v>
      </c>
      <c r="D792" s="90" t="str">
        <f t="shared" si="81"/>
        <v/>
      </c>
      <c r="K792" s="98" t="str">
        <f t="shared" si="82"/>
        <v/>
      </c>
      <c r="L792" s="98" t="str">
        <f t="shared" si="83"/>
        <v/>
      </c>
      <c r="M792" s="3"/>
      <c r="N792" s="41"/>
      <c r="O792" s="41"/>
    </row>
    <row r="793" spans="1:15" x14ac:dyDescent="0.2">
      <c r="A793" s="3" t="str">
        <f>+VLOOKUP(B793,studies!$A$2:$C$102,3)</f>
        <v>Newbold et al. (2013)</v>
      </c>
      <c r="B793" s="87">
        <v>92</v>
      </c>
      <c r="C793" s="3">
        <v>61.408499743983612</v>
      </c>
      <c r="D793" s="90" t="str">
        <f t="shared" si="81"/>
        <v>Newbold et al. (2013)</v>
      </c>
      <c r="E793" s="90">
        <f>+PERCENTILE($C793:$C795,E$2)</f>
        <v>21.793800371099223</v>
      </c>
      <c r="F793" s="90">
        <f t="shared" ref="F793:I793" si="85">+PERCENTILE($C793:$C795,F$2)</f>
        <v>39.298267600503792</v>
      </c>
      <c r="G793" s="98">
        <f t="shared" si="85"/>
        <v>61.178851637259505</v>
      </c>
      <c r="H793" s="90">
        <f t="shared" si="85"/>
        <v>61.293675690621555</v>
      </c>
      <c r="I793" s="90">
        <f t="shared" si="85"/>
        <v>61.385534933311199</v>
      </c>
      <c r="J793" s="98">
        <f>+STDEV($C793:$C795)</f>
        <v>25.332076101306523</v>
      </c>
      <c r="K793" s="98">
        <f t="shared" si="82"/>
        <v>20.094413911306265</v>
      </c>
      <c r="L793" s="98">
        <f t="shared" si="83"/>
        <v>0.10545066125086394</v>
      </c>
      <c r="M793" s="3"/>
      <c r="N793" s="41"/>
      <c r="O793" s="41"/>
    </row>
    <row r="794" spans="1:15" x14ac:dyDescent="0.2">
      <c r="A794" s="3" t="str">
        <f>+VLOOKUP(B794,studies!$A$2:$C$102,3)</f>
        <v>Newbold et al. (2013)</v>
      </c>
      <c r="B794" s="87">
        <v>92</v>
      </c>
      <c r="C794" s="3">
        <v>17.417683563748078</v>
      </c>
      <c r="D794" s="90" t="str">
        <f t="shared" si="81"/>
        <v/>
      </c>
      <c r="K794" s="98" t="str">
        <f t="shared" si="82"/>
        <v/>
      </c>
      <c r="L794" s="98" t="str">
        <f t="shared" si="83"/>
        <v/>
      </c>
      <c r="M794" s="3"/>
      <c r="N794" s="41"/>
      <c r="O794" s="41"/>
    </row>
    <row r="795" spans="1:15" x14ac:dyDescent="0.2">
      <c r="A795" s="3" t="str">
        <f>+VLOOKUP(B795,studies!$A$2:$C$102,3)</f>
        <v>Newbold et al. (2013)</v>
      </c>
      <c r="B795" s="87">
        <v>92</v>
      </c>
      <c r="C795" s="3">
        <v>61.178851637259505</v>
      </c>
      <c r="D795" s="90" t="str">
        <f t="shared" si="81"/>
        <v/>
      </c>
      <c r="K795" s="98" t="str">
        <f t="shared" si="82"/>
        <v/>
      </c>
      <c r="L795" s="98" t="str">
        <f t="shared" si="83"/>
        <v/>
      </c>
      <c r="M795" s="3"/>
      <c r="N795" s="3">
        <v>136.20523555605084</v>
      </c>
      <c r="O795" s="3">
        <v>136.20523555605084</v>
      </c>
    </row>
    <row r="796" spans="1:15" x14ac:dyDescent="0.2">
      <c r="A796" s="3" t="str">
        <f>+VLOOKUP(B796,studies!$A$2:$C$102,3)</f>
        <v>Nordhaus &amp; Sztorc (2014)</v>
      </c>
      <c r="B796" s="87">
        <v>93</v>
      </c>
      <c r="C796" s="3">
        <v>80.158561665813252</v>
      </c>
      <c r="D796" s="90" t="str">
        <f t="shared" si="81"/>
        <v>Nordhaus &amp; Sztorc (2014)</v>
      </c>
      <c r="K796" s="98" t="str">
        <f t="shared" si="82"/>
        <v/>
      </c>
      <c r="L796" s="98" t="str">
        <f t="shared" si="83"/>
        <v/>
      </c>
      <c r="M796" s="3"/>
      <c r="N796" s="41"/>
      <c r="O796" s="41"/>
    </row>
    <row r="797" spans="1:15" x14ac:dyDescent="0.2">
      <c r="A797" s="3" t="str">
        <f>+VLOOKUP(B797,studies!$A$2:$C$102,3)</f>
        <v>Tol (2013)</v>
      </c>
      <c r="B797" s="87">
        <v>94</v>
      </c>
      <c r="C797" s="3">
        <v>0.10631983194330152</v>
      </c>
      <c r="D797" s="90" t="str">
        <f t="shared" si="81"/>
        <v>Tol (2013)</v>
      </c>
      <c r="E797" s="90">
        <f>+PERCENTILE($C797:$C810,E$2)</f>
        <v>-0.32427548742706969</v>
      </c>
      <c r="F797" s="90">
        <f t="shared" ref="F797:I797" si="86">+PERCENTILE($C797:$C810,F$2)</f>
        <v>0.1328997899291269</v>
      </c>
      <c r="G797" s="98">
        <f t="shared" si="86"/>
        <v>0.9037185715180629</v>
      </c>
      <c r="H797" s="90">
        <f t="shared" si="86"/>
        <v>17.223812774814846</v>
      </c>
      <c r="I797" s="90">
        <f t="shared" si="86"/>
        <v>219.41223718139133</v>
      </c>
      <c r="J797" s="98">
        <f>+STDEV($C797:$C810)</f>
        <v>82.961604292124079</v>
      </c>
      <c r="K797" s="98">
        <f t="shared" si="82"/>
        <v>0.62652758109445539</v>
      </c>
      <c r="L797" s="98">
        <f t="shared" si="83"/>
        <v>111.48393806626189</v>
      </c>
      <c r="M797" s="3"/>
      <c r="N797" s="41"/>
      <c r="O797" s="41"/>
    </row>
    <row r="798" spans="1:15" x14ac:dyDescent="0.2">
      <c r="A798" s="3" t="str">
        <f>+VLOOKUP(B798,studies!$A$2:$C$102,3)</f>
        <v>Tol (2013)</v>
      </c>
      <c r="B798" s="87">
        <v>94</v>
      </c>
      <c r="C798" s="3">
        <v>0</v>
      </c>
      <c r="D798" s="90" t="str">
        <f t="shared" si="81"/>
        <v/>
      </c>
      <c r="K798" s="98" t="str">
        <f t="shared" si="82"/>
        <v/>
      </c>
      <c r="L798" s="98" t="str">
        <f t="shared" si="83"/>
        <v/>
      </c>
      <c r="M798" s="3"/>
      <c r="N798" s="41"/>
      <c r="O798" s="41"/>
    </row>
    <row r="799" spans="1:15" x14ac:dyDescent="0.2">
      <c r="A799" s="3" t="str">
        <f>+VLOOKUP(B799,studies!$A$2:$C$102,3)</f>
        <v>Tol (2013)</v>
      </c>
      <c r="B799" s="87">
        <v>94</v>
      </c>
      <c r="C799" s="3">
        <v>0.74423882360311067</v>
      </c>
      <c r="D799" s="90" t="str">
        <f t="shared" si="81"/>
        <v/>
      </c>
      <c r="K799" s="98" t="str">
        <f t="shared" si="82"/>
        <v/>
      </c>
      <c r="L799" s="98" t="str">
        <f t="shared" si="83"/>
        <v/>
      </c>
      <c r="M799" s="3"/>
      <c r="N799" s="41"/>
      <c r="O799" s="41"/>
    </row>
    <row r="800" spans="1:15" x14ac:dyDescent="0.2">
      <c r="A800" s="3" t="str">
        <f>+VLOOKUP(B800,studies!$A$2:$C$102,3)</f>
        <v>Tol (2013)</v>
      </c>
      <c r="B800" s="87">
        <v>94</v>
      </c>
      <c r="C800" s="3">
        <v>-0.53159915971650762</v>
      </c>
      <c r="D800" s="90" t="str">
        <f t="shared" si="81"/>
        <v/>
      </c>
      <c r="K800" s="98" t="str">
        <f t="shared" si="82"/>
        <v/>
      </c>
      <c r="L800" s="98" t="str">
        <f t="shared" si="83"/>
        <v/>
      </c>
      <c r="M800" s="3"/>
      <c r="N800" s="41"/>
      <c r="O800" s="41"/>
    </row>
    <row r="801" spans="1:15" x14ac:dyDescent="0.2">
      <c r="A801" s="3" t="str">
        <f>+VLOOKUP(B801,studies!$A$2:$C$102,3)</f>
        <v>Tol (2013)</v>
      </c>
      <c r="B801" s="87">
        <v>94</v>
      </c>
      <c r="C801" s="3">
        <v>0.4252793277732061</v>
      </c>
      <c r="D801" s="90" t="str">
        <f t="shared" si="81"/>
        <v/>
      </c>
      <c r="K801" s="98" t="str">
        <f t="shared" si="82"/>
        <v/>
      </c>
      <c r="L801" s="98" t="str">
        <f t="shared" si="83"/>
        <v/>
      </c>
      <c r="M801" s="3"/>
      <c r="N801" s="41"/>
      <c r="O801" s="41"/>
    </row>
    <row r="802" spans="1:15" x14ac:dyDescent="0.2">
      <c r="A802" s="3" t="str">
        <f>+VLOOKUP(B802,studies!$A$2:$C$102,3)</f>
        <v>Tol (2013)</v>
      </c>
      <c r="B802" s="87">
        <v>94</v>
      </c>
      <c r="C802" s="3">
        <v>-0.21263966388660305</v>
      </c>
      <c r="D802" s="90" t="str">
        <f t="shared" si="81"/>
        <v/>
      </c>
      <c r="K802" s="98" t="str">
        <f t="shared" si="82"/>
        <v/>
      </c>
      <c r="L802" s="98" t="str">
        <f t="shared" si="83"/>
        <v/>
      </c>
      <c r="M802" s="3"/>
      <c r="N802" s="41"/>
      <c r="O802" s="41"/>
    </row>
    <row r="803" spans="1:15" x14ac:dyDescent="0.2">
      <c r="A803" s="3" t="str">
        <f>+VLOOKUP(B803,studies!$A$2:$C$102,3)</f>
        <v>Tol (2013)</v>
      </c>
      <c r="B803" s="87">
        <v>94</v>
      </c>
      <c r="C803" s="3">
        <v>1.0631983194330152</v>
      </c>
      <c r="D803" s="90" t="str">
        <f t="shared" si="81"/>
        <v/>
      </c>
      <c r="K803" s="98" t="str">
        <f t="shared" si="82"/>
        <v/>
      </c>
      <c r="L803" s="98" t="str">
        <f t="shared" si="83"/>
        <v/>
      </c>
      <c r="M803" s="3"/>
      <c r="N803" s="41"/>
      <c r="O803" s="41"/>
    </row>
    <row r="804" spans="1:15" x14ac:dyDescent="0.2">
      <c r="A804" s="3" t="str">
        <f>+VLOOKUP(B804,studies!$A$2:$C$102,3)</f>
        <v>Tol (2013)</v>
      </c>
      <c r="B804" s="87">
        <v>94</v>
      </c>
      <c r="C804" s="3">
        <v>21.370286220603607</v>
      </c>
      <c r="D804" s="90" t="str">
        <f t="shared" si="81"/>
        <v/>
      </c>
      <c r="K804" s="98" t="str">
        <f t="shared" si="82"/>
        <v/>
      </c>
      <c r="L804" s="98" t="str">
        <f t="shared" si="83"/>
        <v/>
      </c>
      <c r="M804" s="3"/>
      <c r="N804" s="41"/>
      <c r="O804" s="41"/>
    </row>
    <row r="805" spans="1:15" x14ac:dyDescent="0.2">
      <c r="A805" s="3" t="str">
        <f>+VLOOKUP(B805,studies!$A$2:$C$102,3)</f>
        <v>Tol (2013)</v>
      </c>
      <c r="B805" s="87">
        <v>94</v>
      </c>
      <c r="C805" s="3">
        <v>4.7843924374485685</v>
      </c>
      <c r="D805" s="90" t="str">
        <f t="shared" si="81"/>
        <v/>
      </c>
      <c r="K805" s="98" t="str">
        <f t="shared" si="82"/>
        <v/>
      </c>
      <c r="L805" s="98" t="str">
        <f t="shared" si="83"/>
        <v/>
      </c>
      <c r="M805" s="3"/>
      <c r="N805" s="41"/>
      <c r="O805" s="41"/>
    </row>
    <row r="806" spans="1:15" x14ac:dyDescent="0.2">
      <c r="A806" s="3" t="str">
        <f>+VLOOKUP(B806,studies!$A$2:$C$102,3)</f>
        <v>Tol (2013)</v>
      </c>
      <c r="B806" s="87">
        <v>94</v>
      </c>
      <c r="C806" s="3">
        <v>95.794168580914672</v>
      </c>
      <c r="D806" s="90" t="str">
        <f t="shared" si="81"/>
        <v/>
      </c>
      <c r="K806" s="98" t="str">
        <f t="shared" si="82"/>
        <v/>
      </c>
      <c r="L806" s="98" t="str">
        <f t="shared" si="83"/>
        <v/>
      </c>
      <c r="M806" s="3"/>
      <c r="N806" s="41"/>
      <c r="O806" s="41"/>
    </row>
    <row r="807" spans="1:15" x14ac:dyDescent="0.2">
      <c r="A807" s="3" t="str">
        <f>+VLOOKUP(B807,studies!$A$2:$C$102,3)</f>
        <v>Tol (2013)</v>
      </c>
      <c r="B807" s="87">
        <v>94</v>
      </c>
      <c r="C807" s="3">
        <v>1.2758379833196183</v>
      </c>
      <c r="D807" s="90" t="str">
        <f t="shared" si="81"/>
        <v/>
      </c>
      <c r="K807" s="98" t="str">
        <f t="shared" si="82"/>
        <v/>
      </c>
      <c r="L807" s="98" t="str">
        <f t="shared" si="83"/>
        <v/>
      </c>
      <c r="M807" s="3"/>
      <c r="N807" s="41"/>
      <c r="O807" s="41"/>
    </row>
    <row r="808" spans="1:15" x14ac:dyDescent="0.2">
      <c r="A808" s="3" t="str">
        <f>+VLOOKUP(B808,studies!$A$2:$C$102,3)</f>
        <v>Tol (2013)</v>
      </c>
      <c r="B808" s="87">
        <v>94</v>
      </c>
      <c r="C808" s="3">
        <v>202.9645591797626</v>
      </c>
      <c r="D808" s="90" t="str">
        <f t="shared" si="81"/>
        <v/>
      </c>
      <c r="K808" s="98" t="str">
        <f t="shared" si="82"/>
        <v/>
      </c>
      <c r="L808" s="98" t="str">
        <f t="shared" si="83"/>
        <v/>
      </c>
      <c r="M808" s="3"/>
      <c r="N808" s="41"/>
      <c r="O808" s="41"/>
    </row>
    <row r="809" spans="1:15" x14ac:dyDescent="0.2">
      <c r="A809" s="3" t="str">
        <f>+VLOOKUP(B809,studies!$A$2:$C$102,3)</f>
        <v>Tol (2013)</v>
      </c>
      <c r="B809" s="87">
        <v>94</v>
      </c>
      <c r="C809" s="3">
        <v>0.21263966388660305</v>
      </c>
      <c r="D809" s="90" t="str">
        <f t="shared" si="81"/>
        <v/>
      </c>
      <c r="K809" s="98" t="str">
        <f t="shared" si="82"/>
        <v/>
      </c>
      <c r="L809" s="98" t="str">
        <f t="shared" si="83"/>
        <v/>
      </c>
      <c r="M809" s="3"/>
      <c r="N809" s="41"/>
      <c r="O809" s="41"/>
    </row>
    <row r="810" spans="1:15" x14ac:dyDescent="0.2">
      <c r="A810" s="3" t="str">
        <f>+VLOOKUP(B810,studies!$A$2:$C$102,3)</f>
        <v>Tol (2013)</v>
      </c>
      <c r="B810" s="87">
        <v>94</v>
      </c>
      <c r="C810" s="3">
        <v>249.95792489870189</v>
      </c>
      <c r="D810" s="90" t="str">
        <f t="shared" si="81"/>
        <v/>
      </c>
      <c r="K810" s="98" t="str">
        <f t="shared" si="82"/>
        <v/>
      </c>
      <c r="L810" s="98" t="str">
        <f t="shared" si="83"/>
        <v/>
      </c>
      <c r="M810" s="3"/>
      <c r="N810" s="41"/>
      <c r="O810" s="41"/>
    </row>
    <row r="811" spans="1:15" x14ac:dyDescent="0.2">
      <c r="A811" s="3" t="str">
        <f>+VLOOKUP(B811,studies!$A$2:$C$102,3)</f>
        <v>Weitzman (2013)</v>
      </c>
      <c r="B811" s="87">
        <v>95</v>
      </c>
      <c r="C811" s="3">
        <v>4.4945673423196206</v>
      </c>
      <c r="D811" s="90" t="str">
        <f t="shared" si="81"/>
        <v>Weitzman (2013)</v>
      </c>
      <c r="E811" s="90">
        <f>+PERCENTILE($C811:$C824,E$2)</f>
        <v>4.4945673423196206</v>
      </c>
      <c r="F811" s="90">
        <f t="shared" ref="F811:I811" si="87">+PERCENTILE($C811:$C824,F$2)</f>
        <v>110.11689988683072</v>
      </c>
      <c r="G811" s="98">
        <f t="shared" si="87"/>
        <v>346.0816853586108</v>
      </c>
      <c r="H811" s="90">
        <f t="shared" si="87"/>
        <v>774.18922471455483</v>
      </c>
      <c r="I811" s="90">
        <f t="shared" si="87"/>
        <v>1195.5549130570193</v>
      </c>
      <c r="J811" s="98">
        <f>+STDEV($C811:$C824)</f>
        <v>438.56256213496488</v>
      </c>
      <c r="K811" s="98">
        <f t="shared" si="82"/>
        <v>174.27914184504652</v>
      </c>
      <c r="L811" s="98">
        <f t="shared" si="83"/>
        <v>433.40470800939215</v>
      </c>
      <c r="M811" s="3" t="s">
        <v>238</v>
      </c>
      <c r="N811" s="3" t="s">
        <v>238</v>
      </c>
      <c r="O811" s="3" t="s">
        <v>238</v>
      </c>
    </row>
    <row r="812" spans="1:15" x14ac:dyDescent="0.2">
      <c r="A812" s="3" t="str">
        <f>+VLOOKUP(B812,studies!$A$2:$C$102,3)</f>
        <v>Weitzman (2013)</v>
      </c>
      <c r="B812" s="87">
        <v>95</v>
      </c>
      <c r="C812" s="3">
        <v>22.472836711598106</v>
      </c>
      <c r="D812" s="90" t="str">
        <f t="shared" si="81"/>
        <v/>
      </c>
      <c r="K812" s="98" t="str">
        <f t="shared" si="82"/>
        <v/>
      </c>
      <c r="L812" s="98" t="str">
        <f t="shared" si="83"/>
        <v/>
      </c>
      <c r="M812" s="3" t="s">
        <v>238</v>
      </c>
      <c r="N812" s="3" t="s">
        <v>238</v>
      </c>
      <c r="O812" s="3" t="s">
        <v>238</v>
      </c>
    </row>
    <row r="813" spans="1:15" x14ac:dyDescent="0.2">
      <c r="A813" s="3" t="str">
        <f>+VLOOKUP(B813,studies!$A$2:$C$102,3)</f>
        <v>Weitzman (2013)</v>
      </c>
      <c r="B813" s="87">
        <v>95</v>
      </c>
      <c r="C813" s="3">
        <v>94.38591418871205</v>
      </c>
      <c r="D813" s="90" t="str">
        <f t="shared" si="81"/>
        <v/>
      </c>
      <c r="K813" s="98" t="str">
        <f t="shared" si="82"/>
        <v/>
      </c>
      <c r="L813" s="98" t="str">
        <f t="shared" si="83"/>
        <v/>
      </c>
      <c r="M813" s="3" t="s">
        <v>238</v>
      </c>
      <c r="N813" s="3" t="s">
        <v>238</v>
      </c>
      <c r="O813" s="3" t="s">
        <v>238</v>
      </c>
    </row>
    <row r="814" spans="1:15" x14ac:dyDescent="0.2">
      <c r="A814" s="3" t="str">
        <f>+VLOOKUP(B814,studies!$A$2:$C$102,3)</f>
        <v>Weitzman (2013)</v>
      </c>
      <c r="B814" s="87">
        <v>95</v>
      </c>
      <c r="C814" s="3">
        <v>157.30985698118673</v>
      </c>
      <c r="D814" s="90" t="str">
        <f t="shared" si="81"/>
        <v/>
      </c>
      <c r="K814" s="98" t="str">
        <f t="shared" si="82"/>
        <v/>
      </c>
      <c r="L814" s="98" t="str">
        <f t="shared" si="83"/>
        <v/>
      </c>
      <c r="M814" s="3" t="s">
        <v>238</v>
      </c>
      <c r="N814" s="3" t="s">
        <v>238</v>
      </c>
      <c r="O814" s="3" t="s">
        <v>238</v>
      </c>
    </row>
    <row r="815" spans="1:15" x14ac:dyDescent="0.2">
      <c r="A815" s="3" t="str">
        <f>+VLOOKUP(B815,studies!$A$2:$C$102,3)</f>
        <v>Weitzman (2013)</v>
      </c>
      <c r="B815" s="87">
        <v>95</v>
      </c>
      <c r="C815" s="3">
        <v>278.66317522381649</v>
      </c>
      <c r="D815" s="90" t="str">
        <f t="shared" si="81"/>
        <v/>
      </c>
      <c r="K815" s="98" t="str">
        <f t="shared" si="82"/>
        <v/>
      </c>
      <c r="L815" s="98" t="str">
        <f t="shared" si="83"/>
        <v/>
      </c>
      <c r="M815" s="3" t="s">
        <v>238</v>
      </c>
      <c r="N815" s="3" t="s">
        <v>238</v>
      </c>
      <c r="O815" s="3" t="s">
        <v>238</v>
      </c>
    </row>
    <row r="816" spans="1:15" x14ac:dyDescent="0.2">
      <c r="A816" s="3" t="str">
        <f>+VLOOKUP(B816,studies!$A$2:$C$102,3)</f>
        <v>Weitzman (2013)</v>
      </c>
      <c r="B816" s="87">
        <v>95</v>
      </c>
      <c r="C816" s="3">
        <v>548.33721576299376</v>
      </c>
      <c r="D816" s="90" t="str">
        <f t="shared" si="81"/>
        <v/>
      </c>
      <c r="K816" s="98" t="str">
        <f t="shared" si="82"/>
        <v/>
      </c>
      <c r="L816" s="98" t="str">
        <f t="shared" si="83"/>
        <v/>
      </c>
      <c r="M816" s="3" t="s">
        <v>238</v>
      </c>
      <c r="N816" s="3" t="s">
        <v>238</v>
      </c>
      <c r="O816" s="3" t="s">
        <v>238</v>
      </c>
    </row>
    <row r="817" spans="1:15" x14ac:dyDescent="0.2">
      <c r="A817" s="3" t="str">
        <f>+VLOOKUP(B817,studies!$A$2:$C$102,3)</f>
        <v>Weitzman (2013)</v>
      </c>
      <c r="B817" s="87">
        <v>95</v>
      </c>
      <c r="C817" s="3">
        <v>1195.5549130570193</v>
      </c>
      <c r="D817" s="90" t="str">
        <f t="shared" si="81"/>
        <v/>
      </c>
      <c r="K817" s="98" t="str">
        <f t="shared" si="82"/>
        <v/>
      </c>
      <c r="L817" s="98" t="str">
        <f t="shared" si="83"/>
        <v/>
      </c>
      <c r="M817" s="3" t="s">
        <v>238</v>
      </c>
      <c r="N817" s="3" t="s">
        <v>238</v>
      </c>
      <c r="O817" s="3" t="s">
        <v>238</v>
      </c>
    </row>
    <row r="818" spans="1:15" x14ac:dyDescent="0.2">
      <c r="A818" s="3" t="str">
        <f>+VLOOKUP(B818,studies!$A$2:$C$102,3)</f>
        <v>Weitzman (2013)</v>
      </c>
      <c r="B818" s="87">
        <v>95</v>
      </c>
      <c r="C818" s="3">
        <v>1195.5549130570193</v>
      </c>
      <c r="D818" s="90" t="str">
        <f t="shared" si="81"/>
        <v/>
      </c>
      <c r="K818" s="98" t="str">
        <f t="shared" si="82"/>
        <v/>
      </c>
      <c r="L818" s="98" t="str">
        <f t="shared" si="83"/>
        <v/>
      </c>
      <c r="M818" s="3" t="s">
        <v>238</v>
      </c>
      <c r="N818" s="3" t="s">
        <v>238</v>
      </c>
      <c r="O818" s="3" t="s">
        <v>238</v>
      </c>
    </row>
    <row r="819" spans="1:15" x14ac:dyDescent="0.2">
      <c r="A819" s="3" t="str">
        <f>+VLOOKUP(B819,studies!$A$2:$C$102,3)</f>
        <v>Weitzman (2013)</v>
      </c>
      <c r="B819" s="87">
        <v>95</v>
      </c>
      <c r="C819" s="3">
        <v>1024.7613540488737</v>
      </c>
      <c r="D819" s="90" t="str">
        <f t="shared" si="81"/>
        <v/>
      </c>
      <c r="K819" s="98" t="str">
        <f t="shared" si="82"/>
        <v/>
      </c>
      <c r="L819" s="98" t="str">
        <f t="shared" si="83"/>
        <v/>
      </c>
      <c r="M819" s="3" t="s">
        <v>238</v>
      </c>
      <c r="N819" s="3" t="s">
        <v>238</v>
      </c>
      <c r="O819" s="3" t="s">
        <v>238</v>
      </c>
    </row>
    <row r="820" spans="1:15" x14ac:dyDescent="0.2">
      <c r="A820" s="3" t="str">
        <f>+VLOOKUP(B820,studies!$A$2:$C$102,3)</f>
        <v>Weitzman (2013)</v>
      </c>
      <c r="B820" s="87">
        <v>95</v>
      </c>
      <c r="C820" s="3">
        <v>822.50582364449076</v>
      </c>
      <c r="D820" s="90" t="str">
        <f t="shared" si="81"/>
        <v/>
      </c>
      <c r="K820" s="98" t="str">
        <f t="shared" si="82"/>
        <v/>
      </c>
      <c r="L820" s="98" t="str">
        <f t="shared" si="83"/>
        <v/>
      </c>
      <c r="M820" s="3" t="s">
        <v>238</v>
      </c>
      <c r="N820" s="3" t="s">
        <v>238</v>
      </c>
      <c r="O820" s="3" t="s">
        <v>238</v>
      </c>
    </row>
    <row r="821" spans="1:15" x14ac:dyDescent="0.2">
      <c r="A821" s="3" t="str">
        <f>+VLOOKUP(B821,studies!$A$2:$C$102,3)</f>
        <v>Weitzman (2013)</v>
      </c>
      <c r="B821" s="87">
        <v>95</v>
      </c>
      <c r="C821" s="3">
        <v>629.23942792474691</v>
      </c>
      <c r="D821" s="90" t="str">
        <f t="shared" si="81"/>
        <v/>
      </c>
      <c r="K821" s="98" t="str">
        <f t="shared" si="82"/>
        <v/>
      </c>
      <c r="L821" s="98" t="str">
        <f t="shared" si="83"/>
        <v/>
      </c>
      <c r="M821" s="3" t="s">
        <v>238</v>
      </c>
      <c r="N821" s="3" t="s">
        <v>238</v>
      </c>
      <c r="O821" s="3" t="s">
        <v>238</v>
      </c>
    </row>
    <row r="822" spans="1:15" x14ac:dyDescent="0.2">
      <c r="A822" s="3" t="str">
        <f>+VLOOKUP(B822,studies!$A$2:$C$102,3)</f>
        <v>Weitzman (2013)</v>
      </c>
      <c r="B822" s="87">
        <v>95</v>
      </c>
      <c r="C822" s="3">
        <v>413.50019549340516</v>
      </c>
      <c r="D822" s="90" t="str">
        <f t="shared" si="81"/>
        <v/>
      </c>
      <c r="K822" s="98" t="str">
        <f t="shared" si="82"/>
        <v/>
      </c>
      <c r="L822" s="98" t="str">
        <f t="shared" si="83"/>
        <v/>
      </c>
      <c r="M822" s="3" t="s">
        <v>238</v>
      </c>
      <c r="N822" s="3" t="s">
        <v>238</v>
      </c>
      <c r="O822" s="3" t="s">
        <v>238</v>
      </c>
    </row>
    <row r="823" spans="1:15" x14ac:dyDescent="0.2">
      <c r="A823" s="3" t="str">
        <f>+VLOOKUP(B823,studies!$A$2:$C$102,3)</f>
        <v>Weitzman (2013)</v>
      </c>
      <c r="B823" s="87">
        <v>95</v>
      </c>
      <c r="C823" s="3">
        <v>202.25553040438294</v>
      </c>
      <c r="D823" s="90" t="str">
        <f t="shared" si="81"/>
        <v/>
      </c>
      <c r="K823" s="98" t="str">
        <f t="shared" si="82"/>
        <v/>
      </c>
      <c r="L823" s="98" t="str">
        <f t="shared" si="83"/>
        <v/>
      </c>
      <c r="M823" s="3" t="s">
        <v>238</v>
      </c>
      <c r="N823" s="3" t="s">
        <v>238</v>
      </c>
      <c r="O823" s="3" t="s">
        <v>238</v>
      </c>
    </row>
    <row r="824" spans="1:15" x14ac:dyDescent="0.2">
      <c r="A824" s="3" t="str">
        <f>+VLOOKUP(B824,studies!$A$2:$C$102,3)</f>
        <v>Weitzman (2013)</v>
      </c>
      <c r="B824" s="87">
        <v>95</v>
      </c>
      <c r="C824" s="3">
        <v>4.4945673423196206</v>
      </c>
      <c r="D824" s="90" t="str">
        <f t="shared" si="81"/>
        <v/>
      </c>
      <c r="K824" s="98" t="str">
        <f t="shared" si="82"/>
        <v/>
      </c>
      <c r="L824" s="98" t="str">
        <f t="shared" si="83"/>
        <v/>
      </c>
      <c r="M824" s="3" t="s">
        <v>238</v>
      </c>
      <c r="N824" s="3" t="s">
        <v>238</v>
      </c>
      <c r="O824" s="3" t="s">
        <v>238</v>
      </c>
    </row>
    <row r="825" spans="1:15" x14ac:dyDescent="0.2">
      <c r="A825" s="3" t="str">
        <f>+VLOOKUP(B825,studies!$A$2:$C$102,3)</f>
        <v>Golosov et al. (2014)</v>
      </c>
      <c r="B825" s="87">
        <v>96</v>
      </c>
      <c r="C825" s="3">
        <v>58.644843130964617</v>
      </c>
      <c r="D825" s="90" t="str">
        <f t="shared" si="81"/>
        <v>Golosov et al. (2014)</v>
      </c>
      <c r="E825" s="90">
        <f>+PERCENTILE($C825:$C831,E$2)</f>
        <v>28.147463372700241</v>
      </c>
      <c r="F825" s="90">
        <f t="shared" ref="F825:I825" si="88">+PERCENTILE($C825:$C831,F$2)</f>
        <v>45.813062867686767</v>
      </c>
      <c r="G825" s="98">
        <f t="shared" si="88"/>
        <v>227.7769829866991</v>
      </c>
      <c r="H825" s="90">
        <f t="shared" si="88"/>
        <v>507.6025525834811</v>
      </c>
      <c r="I825" s="90">
        <f t="shared" si="88"/>
        <v>3228.9706334797693</v>
      </c>
      <c r="J825" s="98">
        <f>+STDEV($C825:$C831)</f>
        <v>1588.8568548562778</v>
      </c>
      <c r="K825" s="98">
        <f t="shared" si="82"/>
        <v>101.85179572142799</v>
      </c>
      <c r="L825" s="98">
        <f t="shared" si="83"/>
        <v>1531.2212502515663</v>
      </c>
      <c r="M825" s="3"/>
      <c r="N825" s="41"/>
      <c r="O825" s="41"/>
    </row>
    <row r="826" spans="1:15" x14ac:dyDescent="0.2">
      <c r="A826" s="3" t="str">
        <f>+VLOOKUP(B826,studies!$A$2:$C$102,3)</f>
        <v>Golosov et al. (2014)</v>
      </c>
      <c r="B826" s="87">
        <v>96</v>
      </c>
      <c r="C826" s="3">
        <v>511.2098803683383</v>
      </c>
      <c r="D826" s="90" t="str">
        <f t="shared" si="81"/>
        <v/>
      </c>
      <c r="K826" s="98" t="str">
        <f t="shared" si="82"/>
        <v/>
      </c>
      <c r="L826" s="98" t="str">
        <f t="shared" si="83"/>
        <v/>
      </c>
      <c r="M826" s="3"/>
      <c r="N826" s="41"/>
      <c r="O826" s="41"/>
    </row>
    <row r="827" spans="1:15" x14ac:dyDescent="0.2">
      <c r="A827" s="3" t="str">
        <f>+VLOOKUP(B827,studies!$A$2:$C$102,3)</f>
        <v>Golosov et al. (2014)</v>
      </c>
      <c r="B827" s="87">
        <v>96</v>
      </c>
      <c r="C827" s="3">
        <v>26.075826559110805</v>
      </c>
      <c r="D827" s="90" t="str">
        <f t="shared" si="81"/>
        <v/>
      </c>
      <c r="K827" s="98" t="str">
        <f t="shared" si="82"/>
        <v/>
      </c>
      <c r="L827" s="98" t="str">
        <f t="shared" si="83"/>
        <v/>
      </c>
      <c r="M827" s="3"/>
      <c r="N827" s="41"/>
      <c r="O827" s="41"/>
    </row>
    <row r="828" spans="1:15" x14ac:dyDescent="0.2">
      <c r="A828" s="3" t="str">
        <f>+VLOOKUP(B828,studies!$A$2:$C$102,3)</f>
        <v>Golosov et al. (2014)</v>
      </c>
      <c r="B828" s="87">
        <v>96</v>
      </c>
      <c r="C828" s="3">
        <v>503.99522479862389</v>
      </c>
      <c r="D828" s="90" t="str">
        <f t="shared" si="81"/>
        <v/>
      </c>
      <c r="K828" s="98" t="str">
        <f t="shared" si="82"/>
        <v/>
      </c>
      <c r="L828" s="98" t="str">
        <f t="shared" si="83"/>
        <v/>
      </c>
      <c r="M828" s="3"/>
      <c r="N828" s="41"/>
      <c r="O828" s="41"/>
    </row>
    <row r="829" spans="1:15" x14ac:dyDescent="0.2">
      <c r="A829" s="3" t="str">
        <f>+VLOOKUP(B829,studies!$A$2:$C$102,3)</f>
        <v>Golosov et al. (2014)</v>
      </c>
      <c r="B829" s="87">
        <v>96</v>
      </c>
      <c r="C829" s="3">
        <v>227.7769829866991</v>
      </c>
      <c r="D829" s="90" t="str">
        <f t="shared" si="81"/>
        <v/>
      </c>
      <c r="K829" s="98" t="str">
        <f t="shared" si="82"/>
        <v/>
      </c>
      <c r="L829" s="98" t="str">
        <f t="shared" si="83"/>
        <v/>
      </c>
      <c r="M829" s="3"/>
      <c r="N829" s="41"/>
      <c r="O829" s="41"/>
    </row>
    <row r="830" spans="1:15" x14ac:dyDescent="0.2">
      <c r="A830" s="3" t="str">
        <f>+VLOOKUP(B830,studies!$A$2:$C$102,3)</f>
        <v>Golosov et al. (2014)</v>
      </c>
      <c r="B830" s="87">
        <v>96</v>
      </c>
      <c r="C830" s="3">
        <v>4393.7252419561009</v>
      </c>
      <c r="D830" s="90" t="str">
        <f t="shared" si="81"/>
        <v/>
      </c>
      <c r="K830" s="98" t="str">
        <f t="shared" si="82"/>
        <v/>
      </c>
      <c r="L830" s="98" t="str">
        <f t="shared" si="83"/>
        <v/>
      </c>
      <c r="M830" s="3"/>
      <c r="N830" s="41"/>
      <c r="O830" s="41"/>
    </row>
    <row r="831" spans="1:15" x14ac:dyDescent="0.2">
      <c r="A831" s="3" t="str">
        <f>+VLOOKUP(B831,studies!$A$2:$C$102,3)</f>
        <v>Golosov et al. (2014)</v>
      </c>
      <c r="B831" s="87">
        <v>96</v>
      </c>
      <c r="C831" s="3">
        <v>32.981282604408925</v>
      </c>
      <c r="D831" s="90" t="str">
        <f t="shared" si="81"/>
        <v/>
      </c>
      <c r="K831" s="98" t="str">
        <f t="shared" si="82"/>
        <v/>
      </c>
      <c r="L831" s="98" t="str">
        <f t="shared" si="83"/>
        <v/>
      </c>
      <c r="M831" s="3"/>
      <c r="N831" s="41"/>
      <c r="O831" s="41"/>
    </row>
    <row r="832" spans="1:15" x14ac:dyDescent="0.2">
      <c r="A832" s="3" t="str">
        <f>+VLOOKUP(B832,studies!$A$2:$C$102,3)</f>
        <v>Howarth et al. (2014)</v>
      </c>
      <c r="B832" s="87">
        <v>97</v>
      </c>
      <c r="C832" s="3">
        <v>47.716978079428308</v>
      </c>
      <c r="D832" s="90" t="str">
        <f t="shared" si="81"/>
        <v>Howarth et al. (2014)</v>
      </c>
      <c r="F832" s="1">
        <f>+C832</f>
        <v>47.716978079428308</v>
      </c>
      <c r="G832" s="98">
        <f>+PERCENTILE($C832:$C833,G$2)</f>
        <v>128.83584081445642</v>
      </c>
      <c r="H832" s="1">
        <f>+C833</f>
        <v>209.95470354948455</v>
      </c>
      <c r="J832" s="98">
        <f>+STDEV(C832:C833)</f>
        <v>114.71939584415826</v>
      </c>
      <c r="K832" s="98">
        <f>G832-F832/1.1505</f>
        <v>87.36084900269779</v>
      </c>
      <c r="L832" s="98">
        <f>H832-G832/1.1505</f>
        <v>97.97222565773626</v>
      </c>
      <c r="M832" s="3"/>
      <c r="N832" s="41"/>
      <c r="O832" s="41"/>
    </row>
    <row r="833" spans="1:15" x14ac:dyDescent="0.2">
      <c r="A833" s="3" t="str">
        <f>+VLOOKUP(B833,studies!$A$2:$C$102,3)</f>
        <v>Howarth et al. (2014)</v>
      </c>
      <c r="B833" s="87">
        <v>97</v>
      </c>
      <c r="C833" s="3">
        <v>209.95470354948455</v>
      </c>
      <c r="D833" s="90" t="str">
        <f t="shared" si="81"/>
        <v/>
      </c>
      <c r="K833" s="98" t="str">
        <f t="shared" si="82"/>
        <v/>
      </c>
      <c r="L833" s="98" t="str">
        <f t="shared" si="83"/>
        <v/>
      </c>
      <c r="M833" s="3"/>
      <c r="N833" s="41"/>
      <c r="O833" s="41"/>
    </row>
    <row r="834" spans="1:15" x14ac:dyDescent="0.2">
      <c r="A834" s="3" t="str">
        <f>+VLOOKUP(B834,studies!$A$2:$C$102,3)</f>
        <v>Jensen &amp; Traeger (2014a)</v>
      </c>
      <c r="B834" s="87">
        <v>98</v>
      </c>
      <c r="C834" s="3">
        <v>37.195700971125198</v>
      </c>
      <c r="D834" s="90" t="str">
        <f t="shared" si="81"/>
        <v>Jensen &amp; Traeger (2014a)</v>
      </c>
      <c r="E834" s="90">
        <f>+PERCENTILE($C834:$C839,E$2)</f>
        <v>39.321169598046637</v>
      </c>
      <c r="F834" s="90">
        <f t="shared" ref="F834:I834" si="89">+PERCENTILE($C834:$C839,F$2)</f>
        <v>46.228942635541323</v>
      </c>
      <c r="G834" s="98">
        <f t="shared" si="89"/>
        <v>53.668082829766362</v>
      </c>
      <c r="H834" s="90">
        <f t="shared" si="89"/>
        <v>71.468882580233426</v>
      </c>
      <c r="I834" s="90">
        <f t="shared" si="89"/>
        <v>86.612846547048676</v>
      </c>
      <c r="J834" s="98">
        <f>+STDEV($C834:$C839)</f>
        <v>20.14622123929167</v>
      </c>
      <c r="K834" s="98">
        <f t="shared" si="82"/>
        <v>7.3198536896529207</v>
      </c>
      <c r="L834" s="98">
        <f t="shared" si="83"/>
        <v>16.808552916980773</v>
      </c>
      <c r="M834" s="3"/>
      <c r="N834" s="41"/>
      <c r="O834" s="41"/>
    </row>
    <row r="835" spans="1:15" x14ac:dyDescent="0.2">
      <c r="A835" s="3" t="str">
        <f>+VLOOKUP(B835,studies!$A$2:$C$102,3)</f>
        <v>Jensen &amp; Traeger (2014a)</v>
      </c>
      <c r="B835" s="87">
        <v>98</v>
      </c>
      <c r="C835" s="3">
        <v>45.697575478810961</v>
      </c>
      <c r="D835" s="90" t="str">
        <f t="shared" si="81"/>
        <v/>
      </c>
      <c r="K835" s="98" t="str">
        <f t="shared" si="82"/>
        <v/>
      </c>
      <c r="L835" s="98" t="str">
        <f t="shared" si="83"/>
        <v/>
      </c>
      <c r="M835" s="3"/>
      <c r="N835" s="41"/>
      <c r="O835" s="41"/>
    </row>
    <row r="836" spans="1:15" x14ac:dyDescent="0.2">
      <c r="A836" s="3" t="str">
        <f>+VLOOKUP(B836,studies!$A$2:$C$102,3)</f>
        <v>Jensen &amp; Traeger (2014a)</v>
      </c>
      <c r="B836" s="87">
        <v>98</v>
      </c>
      <c r="C836" s="3">
        <v>47.823044105732407</v>
      </c>
      <c r="D836" s="90" t="str">
        <f t="shared" si="81"/>
        <v/>
      </c>
      <c r="K836" s="98" t="str">
        <f t="shared" si="82"/>
        <v/>
      </c>
      <c r="L836" s="98" t="str">
        <f t="shared" si="83"/>
        <v/>
      </c>
      <c r="M836" s="3"/>
      <c r="N836" s="41"/>
      <c r="O836" s="41"/>
    </row>
    <row r="837" spans="1:15" x14ac:dyDescent="0.2">
      <c r="A837" s="3" t="str">
        <f>+VLOOKUP(B837,studies!$A$2:$C$102,3)</f>
        <v>Jensen &amp; Traeger (2014a)</v>
      </c>
      <c r="B837" s="87">
        <v>98</v>
      </c>
      <c r="C837" s="3">
        <v>90.332416644161199</v>
      </c>
      <c r="D837" s="90" t="str">
        <f t="shared" ref="D837:D855" si="90">+IF(B837=B836,"",A837)</f>
        <v/>
      </c>
      <c r="K837" s="98" t="str">
        <f t="shared" si="82"/>
        <v/>
      </c>
      <c r="L837" s="98" t="str">
        <f t="shared" si="83"/>
        <v/>
      </c>
      <c r="M837" s="3"/>
      <c r="N837" s="41"/>
      <c r="O837" s="41"/>
    </row>
    <row r="838" spans="1:15" x14ac:dyDescent="0.2">
      <c r="A838" s="3" t="str">
        <f>+VLOOKUP(B838,studies!$A$2:$C$102,3)</f>
        <v>Jensen &amp; Traeger (2014a)</v>
      </c>
      <c r="B838" s="87">
        <v>98</v>
      </c>
      <c r="C838" s="3">
        <v>75.45413625571112</v>
      </c>
      <c r="D838" s="90" t="str">
        <f t="shared" si="90"/>
        <v/>
      </c>
      <c r="K838" s="98" t="str">
        <f t="shared" si="82"/>
        <v/>
      </c>
      <c r="L838" s="98" t="str">
        <f t="shared" si="83"/>
        <v/>
      </c>
      <c r="M838" s="3"/>
      <c r="N838" s="41"/>
      <c r="O838" s="41"/>
    </row>
    <row r="839" spans="1:15" x14ac:dyDescent="0.2">
      <c r="A839" s="3" t="str">
        <f>+VLOOKUP(B839,studies!$A$2:$C$102,3)</f>
        <v>Jensen &amp; Traeger (2014a)</v>
      </c>
      <c r="B839" s="87">
        <v>98</v>
      </c>
      <c r="C839" s="3">
        <v>59.513121553800325</v>
      </c>
      <c r="D839" s="90" t="str">
        <f t="shared" si="90"/>
        <v/>
      </c>
      <c r="K839" s="98" t="str">
        <f t="shared" ref="K839:K855" si="91">+IF(I839="","",(G839-E839)/1.96)</f>
        <v/>
      </c>
      <c r="L839" s="98" t="str">
        <f t="shared" ref="L839:L855" si="92">+IF(I839="","",(I839-G839)/1.96)</f>
        <v/>
      </c>
      <c r="M839" s="3"/>
      <c r="N839" s="41"/>
      <c r="O839" s="41"/>
    </row>
    <row r="840" spans="1:15" x14ac:dyDescent="0.2">
      <c r="A840" s="3" t="str">
        <f>+VLOOKUP(B840,studies!$A$2:$C$102,3)</f>
        <v>Lemoine &amp; Traeger (2014)</v>
      </c>
      <c r="B840" s="87">
        <v>99</v>
      </c>
      <c r="C840" s="3">
        <v>40.938999829322405</v>
      </c>
      <c r="D840" s="90" t="str">
        <f t="shared" si="90"/>
        <v>Lemoine &amp; Traeger (2014)</v>
      </c>
      <c r="E840" s="90">
        <f>+PERCENTILE($C840:$C844,E$2)</f>
        <v>42.576559822495298</v>
      </c>
      <c r="F840" s="90">
        <f t="shared" ref="F840:I840" si="93">+PERCENTILE($C840:$C844,F$2)</f>
        <v>49.126799795186884</v>
      </c>
      <c r="G840" s="98">
        <f t="shared" si="93"/>
        <v>49.126799795186884</v>
      </c>
      <c r="H840" s="90">
        <f t="shared" si="93"/>
        <v>57.314599761051362</v>
      </c>
      <c r="I840" s="90">
        <f t="shared" si="93"/>
        <v>60.589719747397162</v>
      </c>
      <c r="J840" s="98">
        <f>+STDEV($C840:$C844)</f>
        <v>7.9804802403715218</v>
      </c>
      <c r="K840" s="98">
        <f t="shared" si="91"/>
        <v>3.3419591697406048</v>
      </c>
      <c r="L840" s="98">
        <f t="shared" si="92"/>
        <v>5.8484285470460602</v>
      </c>
      <c r="M840" s="3"/>
      <c r="N840" s="41"/>
      <c r="O840" s="41"/>
    </row>
    <row r="841" spans="1:15" x14ac:dyDescent="0.2">
      <c r="A841" s="3" t="str">
        <f>+VLOOKUP(B841,studies!$A$2:$C$102,3)</f>
        <v>Lemoine &amp; Traeger (2014)</v>
      </c>
      <c r="B841" s="87">
        <v>99</v>
      </c>
      <c r="C841" s="3">
        <v>49.126799795186884</v>
      </c>
      <c r="D841" s="90" t="str">
        <f t="shared" si="90"/>
        <v/>
      </c>
      <c r="K841" s="98" t="str">
        <f t="shared" si="91"/>
        <v/>
      </c>
      <c r="L841" s="98" t="str">
        <f t="shared" si="92"/>
        <v/>
      </c>
      <c r="M841" s="3"/>
      <c r="N841" s="41"/>
      <c r="O841" s="41"/>
    </row>
    <row r="842" spans="1:15" x14ac:dyDescent="0.2">
      <c r="A842" s="3" t="str">
        <f>+VLOOKUP(B842,studies!$A$2:$C$102,3)</f>
        <v>Lemoine &amp; Traeger (2014)</v>
      </c>
      <c r="B842" s="87">
        <v>99</v>
      </c>
      <c r="C842" s="3">
        <v>49.126799795186884</v>
      </c>
      <c r="D842" s="90" t="str">
        <f t="shared" si="90"/>
        <v/>
      </c>
      <c r="K842" s="98" t="str">
        <f t="shared" si="91"/>
        <v/>
      </c>
      <c r="L842" s="98" t="str">
        <f t="shared" si="92"/>
        <v/>
      </c>
      <c r="M842" s="3"/>
      <c r="N842" s="41"/>
      <c r="O842" s="41"/>
    </row>
    <row r="843" spans="1:15" x14ac:dyDescent="0.2">
      <c r="A843" s="3" t="str">
        <f>+VLOOKUP(B843,studies!$A$2:$C$102,3)</f>
        <v>Lemoine &amp; Traeger (2014)</v>
      </c>
      <c r="B843" s="87">
        <v>99</v>
      </c>
      <c r="C843" s="3">
        <v>61.408499743983612</v>
      </c>
      <c r="D843" s="90" t="str">
        <f t="shared" si="90"/>
        <v/>
      </c>
      <c r="K843" s="98" t="str">
        <f t="shared" si="91"/>
        <v/>
      </c>
      <c r="L843" s="98" t="str">
        <f t="shared" si="92"/>
        <v/>
      </c>
      <c r="M843" s="3"/>
      <c r="N843" s="41"/>
      <c r="O843" s="41"/>
    </row>
    <row r="844" spans="1:15" x14ac:dyDescent="0.2">
      <c r="A844" s="3" t="str">
        <f>+VLOOKUP(B844,studies!$A$2:$C$102,3)</f>
        <v>Lemoine &amp; Traeger (2014)</v>
      </c>
      <c r="B844" s="87">
        <v>99</v>
      </c>
      <c r="C844" s="3">
        <v>57.314599761051362</v>
      </c>
      <c r="D844" s="90" t="str">
        <f t="shared" si="90"/>
        <v/>
      </c>
      <c r="K844" s="98" t="str">
        <f t="shared" si="91"/>
        <v/>
      </c>
      <c r="L844" s="98" t="str">
        <f t="shared" si="92"/>
        <v/>
      </c>
      <c r="M844" s="3"/>
      <c r="N844" s="41"/>
      <c r="O844" s="41"/>
    </row>
    <row r="845" spans="1:15" x14ac:dyDescent="0.2">
      <c r="A845" s="3" t="str">
        <f>+VLOOKUP(B845,studies!$A$2:$C$102,3)</f>
        <v>Newbold &amp; Marten (2014)</v>
      </c>
      <c r="B845" s="87">
        <v>100</v>
      </c>
      <c r="C845" s="3">
        <v>49.126799795186884</v>
      </c>
      <c r="D845" s="90" t="str">
        <f t="shared" si="90"/>
        <v>Newbold &amp; Marten (2014)</v>
      </c>
      <c r="K845" s="98" t="str">
        <f t="shared" si="91"/>
        <v/>
      </c>
      <c r="L845" s="98" t="str">
        <f t="shared" si="92"/>
        <v/>
      </c>
      <c r="M845" s="3"/>
      <c r="N845" s="41"/>
      <c r="O845" s="41"/>
    </row>
    <row r="846" spans="1:15" x14ac:dyDescent="0.2">
      <c r="A846" s="3" t="str">
        <f>+VLOOKUP(B846,studies!$A$2:$C$102,3)</f>
        <v>Pycroft et al. (2014)</v>
      </c>
      <c r="B846" s="87">
        <v>101</v>
      </c>
      <c r="C846" s="3">
        <v>236.16814046191016</v>
      </c>
      <c r="D846" s="90" t="str">
        <f t="shared" si="90"/>
        <v>Pycroft et al. (2014)</v>
      </c>
      <c r="E846" s="90">
        <f>+PERCENTILE($C846:$C853,E$2)</f>
        <v>248.22255596465348</v>
      </c>
      <c r="F846" s="90">
        <f t="shared" ref="F846:I846" si="94">+PERCENTILE($C846:$C853,F$2)</f>
        <v>277.98958200204009</v>
      </c>
      <c r="G846" s="98">
        <f t="shared" si="94"/>
        <v>292.75009078090943</v>
      </c>
      <c r="H846" s="90">
        <f t="shared" si="94"/>
        <v>327.1912779316047</v>
      </c>
      <c r="I846" s="90">
        <f t="shared" si="94"/>
        <v>337.76964255646106</v>
      </c>
      <c r="J846" s="98">
        <f>+STDEV($C846:$C853)</f>
        <v>35.455471101742148</v>
      </c>
      <c r="K846" s="98">
        <f t="shared" si="91"/>
        <v>22.718130008293851</v>
      </c>
      <c r="L846" s="98">
        <f t="shared" si="92"/>
        <v>22.969159069158998</v>
      </c>
      <c r="M846" s="3"/>
      <c r="N846" s="3">
        <v>92.880752520096493</v>
      </c>
      <c r="O846" s="3">
        <v>446.83172833992353</v>
      </c>
    </row>
    <row r="847" spans="1:15" x14ac:dyDescent="0.2">
      <c r="A847" s="3" t="str">
        <f>+VLOOKUP(B847,studies!$A$2:$C$102,3)</f>
        <v>Pycroft et al. (2014)</v>
      </c>
      <c r="B847" s="87">
        <v>101</v>
      </c>
      <c r="C847" s="3">
        <v>285.36983639147473</v>
      </c>
      <c r="D847" s="90" t="str">
        <f t="shared" si="90"/>
        <v/>
      </c>
      <c r="K847" s="98" t="str">
        <f t="shared" si="91"/>
        <v/>
      </c>
      <c r="L847" s="98" t="str">
        <f t="shared" si="92"/>
        <v/>
      </c>
      <c r="M847" s="3"/>
      <c r="N847" s="3">
        <v>115.47336799795778</v>
      </c>
      <c r="O847" s="3">
        <v>1081.9352523286911</v>
      </c>
    </row>
    <row r="848" spans="1:15" x14ac:dyDescent="0.2">
      <c r="A848" s="3" t="str">
        <f>+VLOOKUP(B848,studies!$A$2:$C$102,3)</f>
        <v>Pycroft et al. (2014)</v>
      </c>
      <c r="B848" s="87">
        <v>101</v>
      </c>
      <c r="C848" s="3">
        <v>280.44966679851831</v>
      </c>
      <c r="D848" s="90" t="str">
        <f t="shared" si="90"/>
        <v/>
      </c>
      <c r="K848" s="98" t="str">
        <f t="shared" si="91"/>
        <v/>
      </c>
      <c r="L848" s="98" t="str">
        <f t="shared" si="92"/>
        <v/>
      </c>
      <c r="M848" s="3"/>
      <c r="N848" s="3">
        <v>112.96307738930652</v>
      </c>
      <c r="O848" s="3">
        <v>1240.0835606737205</v>
      </c>
    </row>
    <row r="849" spans="1:15" x14ac:dyDescent="0.2">
      <c r="A849" s="3" t="str">
        <f>+VLOOKUP(B849,studies!$A$2:$C$102,3)</f>
        <v>Pycroft et al. (2014)</v>
      </c>
      <c r="B849" s="87">
        <v>101</v>
      </c>
      <c r="C849" s="3">
        <v>270.6093276126054</v>
      </c>
      <c r="D849" s="90" t="str">
        <f t="shared" si="90"/>
        <v/>
      </c>
      <c r="K849" s="98" t="str">
        <f t="shared" si="91"/>
        <v/>
      </c>
      <c r="L849" s="98" t="str">
        <f t="shared" si="92"/>
        <v/>
      </c>
      <c r="M849" s="3"/>
      <c r="N849" s="3">
        <v>110.45278678065525</v>
      </c>
      <c r="O849" s="3">
        <v>1968.0678371825845</v>
      </c>
    </row>
    <row r="850" spans="1:15" x14ac:dyDescent="0.2">
      <c r="A850" s="3" t="str">
        <f>+VLOOKUP(B850,studies!$A$2:$C$102,3)</f>
        <v>Pycroft et al. (2014)</v>
      </c>
      <c r="B850" s="87">
        <v>101</v>
      </c>
      <c r="C850" s="3">
        <v>300.13034517034413</v>
      </c>
      <c r="D850" s="90" t="str">
        <f t="shared" si="90"/>
        <v/>
      </c>
      <c r="K850" s="98" t="str">
        <f t="shared" si="91"/>
        <v/>
      </c>
      <c r="L850" s="98" t="str">
        <f t="shared" si="92"/>
        <v/>
      </c>
      <c r="M850" s="3"/>
      <c r="N850" s="3">
        <v>110.45278678065525</v>
      </c>
      <c r="O850" s="3">
        <v>481.9757968610412</v>
      </c>
    </row>
    <row r="851" spans="1:15" x14ac:dyDescent="0.2">
      <c r="A851" s="3" t="str">
        <f>+VLOOKUP(B851,studies!$A$2:$C$102,3)</f>
        <v>Pycroft et al. (2014)</v>
      </c>
      <c r="B851" s="87">
        <v>101</v>
      </c>
      <c r="C851" s="3">
        <v>339.49170191399588</v>
      </c>
      <c r="D851" s="90" t="str">
        <f t="shared" si="90"/>
        <v/>
      </c>
      <c r="K851" s="98" t="str">
        <f t="shared" si="91"/>
        <v/>
      </c>
      <c r="L851" s="98" t="str">
        <f t="shared" si="92"/>
        <v/>
      </c>
      <c r="M851" s="3"/>
      <c r="N851" s="3">
        <v>130.53511164986534</v>
      </c>
      <c r="O851" s="3">
        <v>1167.2851330228341</v>
      </c>
    </row>
    <row r="852" spans="1:15" x14ac:dyDescent="0.2">
      <c r="A852" s="3" t="str">
        <f>+VLOOKUP(B852,studies!$A$2:$C$102,3)</f>
        <v>Pycroft et al. (2014)</v>
      </c>
      <c r="B852" s="87">
        <v>101</v>
      </c>
      <c r="C852" s="3">
        <v>334.57153232103934</v>
      </c>
      <c r="D852" s="90" t="str">
        <f t="shared" si="90"/>
        <v/>
      </c>
      <c r="K852" s="98" t="str">
        <f t="shared" si="91"/>
        <v/>
      </c>
      <c r="L852" s="98" t="str">
        <f t="shared" si="92"/>
        <v/>
      </c>
      <c r="M852" s="3"/>
      <c r="N852" s="3">
        <v>128.02482104121407</v>
      </c>
      <c r="O852" s="3">
        <v>1267.6967573688844</v>
      </c>
    </row>
    <row r="853" spans="1:15" x14ac:dyDescent="0.2">
      <c r="A853" s="3" t="str">
        <f>+VLOOKUP(B853,studies!$A$2:$C$102,3)</f>
        <v>Pycroft et al. (2014)</v>
      </c>
      <c r="B853" s="87">
        <v>101</v>
      </c>
      <c r="C853" s="3">
        <v>324.73119313512649</v>
      </c>
      <c r="D853" s="90" t="str">
        <f t="shared" si="90"/>
        <v/>
      </c>
      <c r="K853" s="98" t="str">
        <f t="shared" si="91"/>
        <v/>
      </c>
      <c r="L853" s="98" t="str">
        <f t="shared" si="92"/>
        <v/>
      </c>
      <c r="M853" s="3"/>
      <c r="N853" s="3">
        <v>123.00423982391156</v>
      </c>
      <c r="O853" s="3">
        <v>2076.010333354589</v>
      </c>
    </row>
    <row r="854" spans="1:15" x14ac:dyDescent="0.2">
      <c r="A854" s="3" t="str">
        <f>+VLOOKUP(B854,studies!$A$2:$C$102,3)</f>
        <v>Rezai &amp; van der Ploeg (2014)</v>
      </c>
      <c r="B854" s="87">
        <v>102</v>
      </c>
      <c r="C854" s="3">
        <v>87.417215146371007</v>
      </c>
      <c r="D854" s="90" t="str">
        <f t="shared" si="90"/>
        <v>Rezai &amp; van der Ploeg (2014)</v>
      </c>
      <c r="F854" s="1">
        <f>+C854</f>
        <v>87.417215146371007</v>
      </c>
      <c r="G854" s="98">
        <f>+PERCENTILE($C854:$C855,G$2)</f>
        <v>99.072843832553815</v>
      </c>
      <c r="H854" s="1">
        <f>+C855</f>
        <v>110.72847251873662</v>
      </c>
      <c r="J854" s="98">
        <f>+STDEV(C854:C855)</f>
        <v>16.483548165984633</v>
      </c>
      <c r="K854" s="98">
        <f>G854-F854/1.1505</f>
        <v>23.090909763565548</v>
      </c>
      <c r="L854" s="98">
        <f>H854-G854/1.1505</f>
        <v>24.615613907216584</v>
      </c>
      <c r="M854" s="3"/>
      <c r="N854" s="41"/>
      <c r="O854" s="41"/>
    </row>
    <row r="855" spans="1:15" x14ac:dyDescent="0.2">
      <c r="A855" s="3" t="str">
        <f>+VLOOKUP(B855,studies!$A$2:$C$102,3)</f>
        <v>Rezai &amp; van der Ploeg (2014)</v>
      </c>
      <c r="B855" s="87">
        <v>102</v>
      </c>
      <c r="C855" s="3">
        <v>110.72847251873662</v>
      </c>
      <c r="D855" s="90" t="str">
        <f t="shared" si="90"/>
        <v/>
      </c>
      <c r="K855" s="98" t="str">
        <f t="shared" si="91"/>
        <v/>
      </c>
      <c r="L855" s="98" t="str">
        <f t="shared" si="92"/>
        <v/>
      </c>
      <c r="M855" s="3"/>
      <c r="N855" s="41"/>
      <c r="O855" s="4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1598"/>
  <sheetViews>
    <sheetView zoomScale="85" zoomScaleNormal="85" workbookViewId="0">
      <pane xSplit="2" ySplit="2" topLeftCell="C3" activePane="bottomRight" state="frozen"/>
      <selection activeCell="B1" sqref="B1"/>
      <selection pane="topRight" activeCell="C1" sqref="C1"/>
      <selection pane="bottomLeft" activeCell="B3" sqref="B3"/>
      <selection pane="bottomRight"/>
    </sheetView>
  </sheetViews>
  <sheetFormatPr defaultColWidth="11.42578125" defaultRowHeight="12.75" outlineLevelCol="1" x14ac:dyDescent="0.2"/>
  <cols>
    <col min="1" max="1" width="20.7109375" style="1" hidden="1" customWidth="1" outlineLevel="1"/>
    <col min="2" max="2" width="20.7109375" style="1" customWidth="1" collapsed="1"/>
    <col min="3" max="3" width="6" style="61" customWidth="1"/>
    <col min="4" max="4" width="10.140625" style="56" customWidth="1"/>
    <col min="5" max="5" width="6.7109375" style="6" hidden="1" customWidth="1" outlineLevel="1"/>
    <col min="6" max="6" width="9" style="56" customWidth="1" collapsed="1"/>
    <col min="7" max="7" width="7.7109375" style="1" customWidth="1"/>
    <col min="8" max="8" width="7.7109375" style="1" hidden="1" customWidth="1" outlineLevel="1"/>
    <col min="9" max="9" width="10.140625" style="1" customWidth="1" collapsed="1"/>
    <col min="10" max="10" width="7.7109375" style="1" hidden="1" customWidth="1" outlineLevel="1"/>
    <col min="11" max="11" width="11.140625" style="4" hidden="1" customWidth="1" outlineLevel="1"/>
    <col min="12" max="12" width="11.140625" style="64" hidden="1" customWidth="1" outlineLevel="1"/>
    <col min="13" max="13" width="10.28515625" style="56" bestFit="1" customWidth="1" collapsed="1"/>
    <col min="14" max="14" width="9.28515625" style="1" hidden="1" customWidth="1" outlineLevel="1"/>
    <col min="15" max="15" width="11.5703125" style="1" hidden="1" customWidth="1" outlineLevel="1"/>
    <col min="16" max="16" width="8.140625" style="1" bestFit="1" customWidth="1" collapsed="1"/>
    <col min="17" max="17" width="5.7109375" style="1" bestFit="1" customWidth="1"/>
    <col min="18" max="18" width="7.28515625" style="1" bestFit="1" customWidth="1"/>
    <col min="19" max="19" width="7.7109375" style="1" hidden="1" customWidth="1" outlineLevel="1"/>
    <col min="20" max="20" width="9.140625" style="56" customWidth="1" collapsed="1"/>
    <col min="21" max="22" width="9.85546875" style="56" customWidth="1"/>
    <col min="23" max="31" width="7.7109375" style="1" hidden="1" customWidth="1" outlineLevel="1"/>
    <col min="32" max="32" width="7.7109375" style="1" customWidth="1" collapsed="1"/>
    <col min="33" max="35" width="7.7109375" style="1" customWidth="1"/>
    <col min="36" max="36" width="7.7109375" style="3" customWidth="1"/>
    <col min="37" max="37" width="8.7109375" style="3" bestFit="1" customWidth="1"/>
    <col min="38" max="38" width="7.7109375" style="3" customWidth="1"/>
    <col min="39" max="40" width="11.42578125" style="9"/>
    <col min="41" max="42" width="11.42578125" style="1" collapsed="1"/>
    <col min="43" max="44" width="11.42578125" style="1"/>
    <col min="45" max="45" width="13" style="1" customWidth="1"/>
    <col min="46" max="46" width="11.42578125" style="1" hidden="1" customWidth="1" outlineLevel="1"/>
    <col min="47" max="47" width="15.7109375" style="1" bestFit="1" customWidth="1" collapsed="1"/>
    <col min="48" max="49" width="11.42578125" style="1" hidden="1" customWidth="1" outlineLevel="1"/>
    <col min="50" max="50" width="11.42578125" style="1" collapsed="1"/>
    <col min="51" max="16384" width="11.42578125" style="1"/>
  </cols>
  <sheetData>
    <row r="1" spans="1:147" ht="12.75" customHeight="1" x14ac:dyDescent="0.2">
      <c r="A1" s="74"/>
      <c r="B1" s="74"/>
      <c r="C1" s="70"/>
      <c r="D1" s="126" t="s">
        <v>103</v>
      </c>
      <c r="E1" s="12"/>
      <c r="G1" s="53" t="s">
        <v>159</v>
      </c>
      <c r="H1" s="14"/>
      <c r="I1" s="53" t="s">
        <v>160</v>
      </c>
      <c r="J1" s="131" t="s">
        <v>169</v>
      </c>
      <c r="K1" s="131"/>
      <c r="L1" s="62" t="s">
        <v>166</v>
      </c>
      <c r="M1" s="126" t="s">
        <v>167</v>
      </c>
      <c r="N1" s="128" t="s">
        <v>143</v>
      </c>
      <c r="O1" s="128" t="s">
        <v>144</v>
      </c>
      <c r="P1" s="7"/>
      <c r="Q1" s="7"/>
      <c r="R1" s="7"/>
      <c r="S1" s="129" t="s">
        <v>62</v>
      </c>
      <c r="T1" s="126" t="s">
        <v>187</v>
      </c>
      <c r="U1" s="67" t="s">
        <v>189</v>
      </c>
      <c r="V1" s="67" t="s">
        <v>188</v>
      </c>
      <c r="W1" s="125" t="s">
        <v>61</v>
      </c>
      <c r="X1" s="125"/>
      <c r="Y1" s="125"/>
      <c r="Z1" s="125"/>
      <c r="AA1" s="125"/>
      <c r="AB1" s="125"/>
      <c r="AC1" s="125"/>
      <c r="AD1" s="125"/>
      <c r="AE1" s="125"/>
      <c r="AF1" s="130" t="s">
        <v>139</v>
      </c>
      <c r="AG1" s="130"/>
      <c r="AH1" s="130"/>
      <c r="AI1" s="130"/>
      <c r="AJ1" s="84" t="s">
        <v>211</v>
      </c>
      <c r="AK1" s="79"/>
      <c r="AL1" s="79"/>
      <c r="AM1" s="8" t="s">
        <v>18</v>
      </c>
      <c r="AN1" s="8" t="s">
        <v>17</v>
      </c>
      <c r="AO1" s="8" t="s">
        <v>64</v>
      </c>
      <c r="AP1" s="8" t="s">
        <v>145</v>
      </c>
      <c r="AQ1" s="8" t="s">
        <v>204</v>
      </c>
      <c r="AR1" s="54" t="s">
        <v>19</v>
      </c>
      <c r="AS1" s="54" t="s">
        <v>34</v>
      </c>
      <c r="AT1" s="54" t="s">
        <v>140</v>
      </c>
      <c r="AU1" s="55" t="s">
        <v>162</v>
      </c>
      <c r="AV1" s="125" t="s">
        <v>147</v>
      </c>
      <c r="AW1" s="125"/>
      <c r="AX1" s="124" t="s">
        <v>63</v>
      </c>
      <c r="AY1" s="124"/>
      <c r="AZ1" s="124"/>
      <c r="BA1" s="123" t="s">
        <v>35</v>
      </c>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F1" s="2"/>
      <c r="EG1" s="2"/>
      <c r="EH1" s="2"/>
      <c r="EI1" s="2"/>
      <c r="EJ1" s="2"/>
      <c r="EK1" s="2"/>
      <c r="EL1" s="2"/>
      <c r="EM1" s="2"/>
      <c r="EN1" s="2"/>
      <c r="EO1" s="2"/>
      <c r="EP1" s="2"/>
      <c r="EQ1" s="2"/>
    </row>
    <row r="2" spans="1:147" s="9" customFormat="1" ht="12.75" customHeight="1" x14ac:dyDescent="0.2">
      <c r="A2" s="74" t="s">
        <v>1</v>
      </c>
      <c r="B2" s="74" t="s">
        <v>186</v>
      </c>
      <c r="C2" s="70" t="s">
        <v>168</v>
      </c>
      <c r="D2" s="127"/>
      <c r="E2" s="11" t="s">
        <v>60</v>
      </c>
      <c r="F2" s="73" t="s">
        <v>161</v>
      </c>
      <c r="G2" s="53" t="s">
        <v>59</v>
      </c>
      <c r="H2" s="20" t="s">
        <v>53</v>
      </c>
      <c r="I2" s="53" t="s">
        <v>59</v>
      </c>
      <c r="J2" s="8" t="s">
        <v>0</v>
      </c>
      <c r="K2" s="75" t="s">
        <v>170</v>
      </c>
      <c r="L2" s="76">
        <f>+SUMPRODUCT(L3:L1048576,K3:K1048576)/SUM(K3:K1048576)</f>
        <v>3.1115085445371133E-2</v>
      </c>
      <c r="M2" s="127"/>
      <c r="N2" s="129"/>
      <c r="O2" s="129"/>
      <c r="P2" s="8" t="s">
        <v>261</v>
      </c>
      <c r="Q2" s="8" t="s">
        <v>262</v>
      </c>
      <c r="R2" s="8" t="s">
        <v>263</v>
      </c>
      <c r="S2" s="129"/>
      <c r="T2" s="127"/>
      <c r="U2" s="68" t="s">
        <v>192</v>
      </c>
      <c r="V2" s="68" t="s">
        <v>192</v>
      </c>
      <c r="W2" s="10">
        <v>0.01</v>
      </c>
      <c r="X2" s="10">
        <v>0.05</v>
      </c>
      <c r="Y2" s="10">
        <v>0.1</v>
      </c>
      <c r="Z2" s="10">
        <v>0.25</v>
      </c>
      <c r="AA2" s="10">
        <v>0.5</v>
      </c>
      <c r="AB2" s="10">
        <v>0.75</v>
      </c>
      <c r="AC2" s="10">
        <v>0.9</v>
      </c>
      <c r="AD2" s="10">
        <v>0.95</v>
      </c>
      <c r="AE2" s="10">
        <v>0.99</v>
      </c>
      <c r="AF2" s="54" t="s">
        <v>65</v>
      </c>
      <c r="AG2" s="54" t="s">
        <v>66</v>
      </c>
      <c r="AH2" s="54" t="s">
        <v>67</v>
      </c>
      <c r="AI2" s="54" t="s">
        <v>68</v>
      </c>
      <c r="AJ2" s="85" t="s">
        <v>200</v>
      </c>
      <c r="AK2" s="54" t="s">
        <v>201</v>
      </c>
      <c r="AL2" s="54" t="s">
        <v>202</v>
      </c>
      <c r="AM2" s="8" t="s">
        <v>146</v>
      </c>
      <c r="AN2" s="8" t="s">
        <v>146</v>
      </c>
      <c r="AO2" s="8"/>
      <c r="AP2" s="8" t="s">
        <v>146</v>
      </c>
      <c r="AQ2" s="8"/>
      <c r="AR2" s="54"/>
      <c r="AS2" s="54"/>
      <c r="AT2" s="54"/>
      <c r="AU2" s="55" t="s">
        <v>163</v>
      </c>
      <c r="AV2" s="53" t="s">
        <v>141</v>
      </c>
      <c r="AW2" s="53" t="s">
        <v>142</v>
      </c>
      <c r="AX2" s="54" t="s">
        <v>28</v>
      </c>
      <c r="AY2" s="54" t="s">
        <v>9</v>
      </c>
      <c r="AZ2" s="54" t="s">
        <v>0</v>
      </c>
      <c r="BA2" s="123"/>
    </row>
    <row r="3" spans="1:147" ht="12.75" customHeight="1" x14ac:dyDescent="0.2">
      <c r="A3" s="14" t="s">
        <v>9</v>
      </c>
      <c r="B3" s="14" t="str">
        <f>+A3&amp;" "&amp;D3</f>
        <v>Nordhaus 1982</v>
      </c>
      <c r="C3" s="61">
        <v>1</v>
      </c>
      <c r="D3" s="58">
        <v>1982</v>
      </c>
      <c r="E3" s="17" t="s">
        <v>69</v>
      </c>
      <c r="F3" s="58">
        <v>1</v>
      </c>
      <c r="G3" s="16">
        <v>1980</v>
      </c>
      <c r="H3" s="15">
        <f>LOOKUP(G3,CPI!A$69:A$100,CPI!O$69:O$100)</f>
        <v>2.6463106796116502</v>
      </c>
      <c r="I3" s="52">
        <v>1980</v>
      </c>
      <c r="J3" s="15">
        <v>0.5</v>
      </c>
      <c r="K3" s="15"/>
      <c r="L3" s="62"/>
      <c r="M3" s="56">
        <f t="shared" ref="M3:M14" si="0">AA3*H3*(1+$L$2)^(2015-I3)</f>
        <v>1984.9986943646254</v>
      </c>
      <c r="N3" s="14">
        <f>70*44/12</f>
        <v>256.66666666666669</v>
      </c>
      <c r="O3" s="18">
        <f t="shared" ref="O3:O39" si="1">N3</f>
        <v>256.66666666666669</v>
      </c>
      <c r="P3" s="16">
        <v>0</v>
      </c>
      <c r="Q3" s="16">
        <v>1</v>
      </c>
      <c r="R3" s="16">
        <v>0</v>
      </c>
      <c r="S3" s="14"/>
      <c r="T3" s="56" t="str">
        <f>IF(OR(M3="",S3=""),"",S3*H3*(1+$L$2)^(2015-I3))</f>
        <v/>
      </c>
      <c r="U3" s="56" t="str">
        <f t="shared" ref="U3:U14" si="2">+V3</f>
        <v/>
      </c>
      <c r="V3" s="56" t="str">
        <f t="shared" ref="V3:V14" si="3">+T3</f>
        <v/>
      </c>
      <c r="W3" s="19"/>
      <c r="X3" s="19"/>
      <c r="Y3" s="19"/>
      <c r="Z3" s="19"/>
      <c r="AA3" s="18">
        <f t="shared" ref="AA3:AA39" si="4">N3</f>
        <v>256.66666666666669</v>
      </c>
      <c r="AB3" s="19"/>
      <c r="AC3" s="19"/>
      <c r="AD3" s="19"/>
      <c r="AE3" s="19"/>
      <c r="AF3" s="16">
        <v>1</v>
      </c>
      <c r="AG3" s="16">
        <v>0</v>
      </c>
      <c r="AH3" s="31">
        <v>0</v>
      </c>
      <c r="AI3" s="16">
        <v>0</v>
      </c>
      <c r="AJ3" s="5">
        <v>0</v>
      </c>
      <c r="AK3" s="5">
        <v>0</v>
      </c>
      <c r="AL3" s="5">
        <v>0</v>
      </c>
      <c r="AM3" s="20"/>
      <c r="AN3" s="20">
        <v>1</v>
      </c>
      <c r="AO3" s="16"/>
      <c r="AP3" s="3">
        <v>4</v>
      </c>
      <c r="AQ3" s="3"/>
      <c r="AR3" s="16">
        <v>0</v>
      </c>
      <c r="AS3" s="16">
        <v>0</v>
      </c>
      <c r="AT3" s="16"/>
      <c r="AU3" s="16"/>
      <c r="AV3" s="5">
        <v>1980</v>
      </c>
      <c r="AW3" s="5">
        <v>2005</v>
      </c>
      <c r="AX3" s="16">
        <v>0</v>
      </c>
      <c r="AY3" s="16">
        <v>1</v>
      </c>
      <c r="AZ3" s="16">
        <v>0</v>
      </c>
      <c r="BA3" s="16">
        <v>0</v>
      </c>
    </row>
    <row r="4" spans="1:147" x14ac:dyDescent="0.2">
      <c r="A4" s="14"/>
      <c r="B4" s="14" t="str">
        <f>+IF(A4="",B3,A4&amp;" "&amp;D4)</f>
        <v>Nordhaus 1982</v>
      </c>
      <c r="C4" s="61">
        <f>+IF(A4="",C3,C3+1)</f>
        <v>1</v>
      </c>
      <c r="D4" s="58">
        <v>1982</v>
      </c>
      <c r="E4" s="17"/>
      <c r="F4" s="58">
        <v>1</v>
      </c>
      <c r="G4" s="16">
        <v>1980</v>
      </c>
      <c r="H4" s="15">
        <f>LOOKUP(G4,CPI!A$69:A$100,CPI!O$69:O$100)</f>
        <v>2.6463106796116502</v>
      </c>
      <c r="I4" s="52">
        <v>1980</v>
      </c>
      <c r="J4" s="15">
        <v>0.5</v>
      </c>
      <c r="K4" s="15"/>
      <c r="L4" s="62"/>
      <c r="M4" s="56">
        <f t="shared" si="0"/>
        <v>283.5712420520893</v>
      </c>
      <c r="N4" s="14">
        <f>10*44/12</f>
        <v>36.666666666666664</v>
      </c>
      <c r="O4" s="18">
        <f t="shared" si="1"/>
        <v>36.666666666666664</v>
      </c>
      <c r="P4" s="16">
        <v>0</v>
      </c>
      <c r="Q4" s="16">
        <v>1</v>
      </c>
      <c r="R4" s="16">
        <v>0</v>
      </c>
      <c r="S4" s="14"/>
      <c r="T4" s="56" t="str">
        <f t="shared" ref="T4:T72" si="5">IF(OR(M4="",S4=""),"",S4*H4*(1+$L$2)^(2015-I4))</f>
        <v/>
      </c>
      <c r="U4" s="56" t="str">
        <f t="shared" si="2"/>
        <v/>
      </c>
      <c r="V4" s="56" t="str">
        <f t="shared" si="3"/>
        <v/>
      </c>
      <c r="W4" s="19"/>
      <c r="X4" s="19"/>
      <c r="Y4" s="19"/>
      <c r="Z4" s="19"/>
      <c r="AA4" s="18">
        <f t="shared" si="4"/>
        <v>36.666666666666664</v>
      </c>
      <c r="AB4" s="19"/>
      <c r="AC4" s="19"/>
      <c r="AD4" s="19"/>
      <c r="AE4" s="19"/>
      <c r="AF4" s="16">
        <v>1</v>
      </c>
      <c r="AG4" s="16">
        <v>0</v>
      </c>
      <c r="AH4" s="31">
        <v>0</v>
      </c>
      <c r="AI4" s="16">
        <v>0</v>
      </c>
      <c r="AJ4" s="5">
        <v>0</v>
      </c>
      <c r="AK4" s="5">
        <v>0</v>
      </c>
      <c r="AL4" s="5">
        <v>0</v>
      </c>
      <c r="AM4" s="20"/>
      <c r="AN4" s="20">
        <v>1</v>
      </c>
      <c r="AO4" s="16"/>
      <c r="AP4" s="3">
        <v>1</v>
      </c>
      <c r="AQ4" s="3"/>
      <c r="AR4" s="16">
        <v>0</v>
      </c>
      <c r="AS4" s="16">
        <v>0</v>
      </c>
      <c r="AT4" s="16"/>
      <c r="AU4" s="16"/>
      <c r="AV4" s="5">
        <v>1980</v>
      </c>
      <c r="AW4" s="5">
        <v>2180</v>
      </c>
      <c r="AX4" s="16">
        <v>0</v>
      </c>
      <c r="AY4" s="16">
        <v>1</v>
      </c>
      <c r="AZ4" s="16">
        <v>0</v>
      </c>
      <c r="BA4" s="16">
        <v>0</v>
      </c>
    </row>
    <row r="5" spans="1:147" x14ac:dyDescent="0.2">
      <c r="A5" s="14" t="s">
        <v>6</v>
      </c>
      <c r="B5" s="14" t="str">
        <f t="shared" ref="B5:B73" si="6">+IF(A5="",B4,A5&amp;" "&amp;D5)</f>
        <v>Ayres &amp; Walter 1991</v>
      </c>
      <c r="C5" s="61">
        <f t="shared" ref="C5:C73" si="7">+IF(A5="",C4,C4+1)</f>
        <v>2</v>
      </c>
      <c r="D5" s="58">
        <v>1991</v>
      </c>
      <c r="E5" s="17" t="s">
        <v>70</v>
      </c>
      <c r="F5" s="58">
        <v>1</v>
      </c>
      <c r="G5" s="16">
        <v>1989</v>
      </c>
      <c r="H5" s="15">
        <f>LOOKUP(G5,CPI!A$69:A$100,CPI!O$69:O$100)</f>
        <v>1.7585161290322582</v>
      </c>
      <c r="I5" s="52">
        <v>1990</v>
      </c>
      <c r="J5" s="15">
        <v>1</v>
      </c>
      <c r="K5" s="15"/>
      <c r="L5" s="62"/>
      <c r="M5" s="56">
        <f t="shared" si="0"/>
        <v>450.79559708797814</v>
      </c>
      <c r="N5" s="14">
        <f>(30+35)/2*44/12</f>
        <v>119.16666666666667</v>
      </c>
      <c r="O5" s="18">
        <f t="shared" si="1"/>
        <v>119.16666666666667</v>
      </c>
      <c r="P5" s="16">
        <v>0</v>
      </c>
      <c r="Q5" s="16">
        <v>1</v>
      </c>
      <c r="R5" s="16">
        <v>0</v>
      </c>
      <c r="S5" s="14"/>
      <c r="T5" s="56" t="str">
        <f t="shared" si="5"/>
        <v/>
      </c>
      <c r="U5" s="56" t="str">
        <f t="shared" si="2"/>
        <v/>
      </c>
      <c r="V5" s="56" t="str">
        <f t="shared" si="3"/>
        <v/>
      </c>
      <c r="W5" s="14"/>
      <c r="X5" s="14"/>
      <c r="Y5" s="14"/>
      <c r="Z5" s="14"/>
      <c r="AA5" s="18">
        <f t="shared" si="4"/>
        <v>119.16666666666667</v>
      </c>
      <c r="AB5" s="14"/>
      <c r="AC5" s="14"/>
      <c r="AD5" s="14"/>
      <c r="AE5" s="14"/>
      <c r="AF5" s="16">
        <v>1</v>
      </c>
      <c r="AG5" s="16">
        <v>0</v>
      </c>
      <c r="AH5" s="31">
        <v>0</v>
      </c>
      <c r="AI5" s="16">
        <v>0</v>
      </c>
      <c r="AJ5" s="5">
        <v>0</v>
      </c>
      <c r="AK5" s="5">
        <v>0</v>
      </c>
      <c r="AL5" s="5">
        <v>0</v>
      </c>
      <c r="AM5" s="20">
        <v>3</v>
      </c>
      <c r="AN5" s="20">
        <v>1</v>
      </c>
      <c r="AO5" s="16"/>
      <c r="AP5" s="3">
        <v>0</v>
      </c>
      <c r="AQ5" s="3"/>
      <c r="AR5" s="16">
        <v>0</v>
      </c>
      <c r="AS5" s="16">
        <v>0</v>
      </c>
      <c r="AT5" s="16"/>
      <c r="AU5" s="16"/>
      <c r="AV5" s="28">
        <v>1990</v>
      </c>
      <c r="AW5" s="28">
        <f>+AV5+50</f>
        <v>2040</v>
      </c>
      <c r="AX5" s="16">
        <v>0</v>
      </c>
      <c r="AY5" s="16">
        <v>0</v>
      </c>
      <c r="AZ5" s="16">
        <v>0</v>
      </c>
      <c r="BA5" s="16">
        <v>0</v>
      </c>
    </row>
    <row r="6" spans="1:147" x14ac:dyDescent="0.2">
      <c r="A6" s="14" t="s">
        <v>9</v>
      </c>
      <c r="B6" s="14" t="str">
        <f t="shared" si="6"/>
        <v>Nordhaus 1991</v>
      </c>
      <c r="C6" s="61">
        <f t="shared" si="7"/>
        <v>3</v>
      </c>
      <c r="D6" s="58">
        <v>1991</v>
      </c>
      <c r="E6" s="17" t="s">
        <v>71</v>
      </c>
      <c r="F6" s="58">
        <v>1</v>
      </c>
      <c r="G6" s="16">
        <v>1989</v>
      </c>
      <c r="H6" s="15">
        <f>LOOKUP(G6,CPI!A$69:A$100,CPI!O$69:O$100)</f>
        <v>1.7585161290322582</v>
      </c>
      <c r="I6" s="52">
        <v>1990</v>
      </c>
      <c r="J6" s="15">
        <f>1/16</f>
        <v>6.25E-2</v>
      </c>
      <c r="K6" s="15"/>
      <c r="L6" s="62"/>
      <c r="M6" s="56">
        <f t="shared" si="0"/>
        <v>914.62958990711616</v>
      </c>
      <c r="N6" s="14">
        <f>65.94*44/12</f>
        <v>241.77999999999997</v>
      </c>
      <c r="O6" s="18">
        <f t="shared" si="1"/>
        <v>241.77999999999997</v>
      </c>
      <c r="P6" s="16">
        <v>0</v>
      </c>
      <c r="Q6" s="16">
        <v>1</v>
      </c>
      <c r="R6" s="16">
        <v>0</v>
      </c>
      <c r="S6" s="14"/>
      <c r="T6" s="56" t="str">
        <f t="shared" si="5"/>
        <v/>
      </c>
      <c r="U6" s="56" t="str">
        <f t="shared" si="2"/>
        <v/>
      </c>
      <c r="V6" s="56" t="str">
        <f t="shared" si="3"/>
        <v/>
      </c>
      <c r="W6" s="14"/>
      <c r="X6" s="14"/>
      <c r="Y6" s="14"/>
      <c r="Z6" s="14"/>
      <c r="AA6" s="18">
        <f t="shared" si="4"/>
        <v>241.77999999999997</v>
      </c>
      <c r="AB6" s="14"/>
      <c r="AC6" s="14"/>
      <c r="AD6" s="14"/>
      <c r="AE6" s="14"/>
      <c r="AF6" s="16">
        <v>1</v>
      </c>
      <c r="AG6" s="16">
        <v>0</v>
      </c>
      <c r="AH6" s="31">
        <v>0</v>
      </c>
      <c r="AI6" s="16">
        <v>0</v>
      </c>
      <c r="AJ6" s="5">
        <v>0</v>
      </c>
      <c r="AK6" s="5">
        <v>1</v>
      </c>
      <c r="AL6" s="5">
        <v>0</v>
      </c>
      <c r="AM6" s="20">
        <v>1</v>
      </c>
      <c r="AN6" s="20">
        <v>0</v>
      </c>
      <c r="AO6" s="5">
        <v>1</v>
      </c>
      <c r="AP6" s="3">
        <f t="shared" ref="AP6:AP11" si="8">+AM6-AN6</f>
        <v>1</v>
      </c>
      <c r="AQ6" s="3"/>
      <c r="AR6" s="16">
        <v>0</v>
      </c>
      <c r="AS6" s="16">
        <v>0</v>
      </c>
      <c r="AT6" s="16"/>
      <c r="AU6" s="16"/>
      <c r="AV6" s="16"/>
      <c r="AW6" s="16"/>
      <c r="AX6" s="16">
        <v>0</v>
      </c>
      <c r="AY6" s="16">
        <v>1</v>
      </c>
      <c r="AZ6" s="16">
        <v>0</v>
      </c>
      <c r="BA6" s="16">
        <v>0</v>
      </c>
    </row>
    <row r="7" spans="1:147" x14ac:dyDescent="0.2">
      <c r="A7" s="14"/>
      <c r="B7" s="14" t="str">
        <f t="shared" si="6"/>
        <v>Nordhaus 1991</v>
      </c>
      <c r="C7" s="61">
        <f t="shared" si="7"/>
        <v>3</v>
      </c>
      <c r="D7" s="58">
        <v>1991</v>
      </c>
      <c r="E7" s="17"/>
      <c r="F7" s="58">
        <v>1</v>
      </c>
      <c r="G7" s="16">
        <v>1989</v>
      </c>
      <c r="H7" s="15">
        <f>LOOKUP(G7,CPI!A$69:A$100,CPI!O$69:O$100)</f>
        <v>1.7585161290322582</v>
      </c>
      <c r="I7" s="52">
        <v>1990</v>
      </c>
      <c r="J7" s="15">
        <f>2/16</f>
        <v>0.125</v>
      </c>
      <c r="K7" s="15"/>
      <c r="L7" s="62"/>
      <c r="M7" s="56">
        <f t="shared" si="0"/>
        <v>457.31479495355808</v>
      </c>
      <c r="N7" s="14">
        <f>32.97*44/12</f>
        <v>120.88999999999999</v>
      </c>
      <c r="O7" s="18">
        <f t="shared" si="1"/>
        <v>120.88999999999999</v>
      </c>
      <c r="P7" s="16">
        <v>0</v>
      </c>
      <c r="Q7" s="16">
        <v>1</v>
      </c>
      <c r="R7" s="16">
        <v>0</v>
      </c>
      <c r="S7" s="14"/>
      <c r="T7" s="56" t="str">
        <f t="shared" si="5"/>
        <v/>
      </c>
      <c r="U7" s="56" t="str">
        <f t="shared" si="2"/>
        <v/>
      </c>
      <c r="V7" s="56" t="str">
        <f t="shared" si="3"/>
        <v/>
      </c>
      <c r="W7" s="21"/>
      <c r="X7" s="14"/>
      <c r="Y7" s="14"/>
      <c r="Z7" s="14"/>
      <c r="AA7" s="18">
        <f t="shared" si="4"/>
        <v>120.88999999999999</v>
      </c>
      <c r="AB7" s="14"/>
      <c r="AC7" s="14"/>
      <c r="AD7" s="14"/>
      <c r="AE7" s="14"/>
      <c r="AF7" s="16">
        <v>1</v>
      </c>
      <c r="AG7" s="16">
        <v>0</v>
      </c>
      <c r="AH7" s="31">
        <v>0</v>
      </c>
      <c r="AI7" s="16">
        <v>0</v>
      </c>
      <c r="AJ7" s="5">
        <v>0</v>
      </c>
      <c r="AK7" s="5">
        <v>1</v>
      </c>
      <c r="AL7" s="5">
        <v>0</v>
      </c>
      <c r="AM7" s="20">
        <v>1</v>
      </c>
      <c r="AN7" s="20">
        <v>0</v>
      </c>
      <c r="AO7" s="5">
        <v>1</v>
      </c>
      <c r="AP7" s="3">
        <f t="shared" si="8"/>
        <v>1</v>
      </c>
      <c r="AQ7" s="3"/>
      <c r="AR7" s="16">
        <v>0</v>
      </c>
      <c r="AS7" s="16">
        <v>0</v>
      </c>
      <c r="AT7" s="16"/>
      <c r="AU7" s="16"/>
      <c r="AV7" s="16"/>
      <c r="AW7" s="16"/>
      <c r="AX7" s="16">
        <v>0</v>
      </c>
      <c r="AY7" s="16">
        <v>1</v>
      </c>
      <c r="AZ7" s="16">
        <v>0</v>
      </c>
      <c r="BA7" s="16">
        <v>0</v>
      </c>
    </row>
    <row r="8" spans="1:147" x14ac:dyDescent="0.2">
      <c r="A8" s="14"/>
      <c r="B8" s="14" t="str">
        <f t="shared" si="6"/>
        <v>Nordhaus 1991</v>
      </c>
      <c r="C8" s="61">
        <f t="shared" si="7"/>
        <v>3</v>
      </c>
      <c r="D8" s="58">
        <v>1991</v>
      </c>
      <c r="E8" s="17"/>
      <c r="F8" s="58">
        <v>1</v>
      </c>
      <c r="G8" s="16">
        <v>1989</v>
      </c>
      <c r="H8" s="15">
        <f>LOOKUP(G8,CPI!A$69:A$100,CPI!O$69:O$100)</f>
        <v>1.7585161290322582</v>
      </c>
      <c r="I8" s="52">
        <v>1990</v>
      </c>
      <c r="J8" s="15">
        <f>1/16</f>
        <v>6.25E-2</v>
      </c>
      <c r="K8" s="15"/>
      <c r="L8" s="62"/>
      <c r="M8" s="56">
        <f t="shared" si="0"/>
        <v>114.29402215399814</v>
      </c>
      <c r="N8" s="14">
        <f>8.24*44/12</f>
        <v>30.213333333333335</v>
      </c>
      <c r="O8" s="18">
        <f t="shared" si="1"/>
        <v>30.213333333333335</v>
      </c>
      <c r="P8" s="16">
        <v>0</v>
      </c>
      <c r="Q8" s="16">
        <v>1</v>
      </c>
      <c r="R8" s="16">
        <v>0</v>
      </c>
      <c r="S8" s="14"/>
      <c r="T8" s="56" t="str">
        <f t="shared" si="5"/>
        <v/>
      </c>
      <c r="U8" s="56" t="str">
        <f t="shared" si="2"/>
        <v/>
      </c>
      <c r="V8" s="56" t="str">
        <f t="shared" si="3"/>
        <v/>
      </c>
      <c r="W8" s="21"/>
      <c r="X8" s="14"/>
      <c r="Y8" s="14"/>
      <c r="Z8" s="14"/>
      <c r="AA8" s="18">
        <f t="shared" si="4"/>
        <v>30.213333333333335</v>
      </c>
      <c r="AB8" s="14"/>
      <c r="AC8" s="14"/>
      <c r="AD8" s="14"/>
      <c r="AE8" s="14"/>
      <c r="AF8" s="16">
        <v>1</v>
      </c>
      <c r="AG8" s="16">
        <v>0</v>
      </c>
      <c r="AH8" s="31">
        <v>0</v>
      </c>
      <c r="AI8" s="16">
        <v>0</v>
      </c>
      <c r="AJ8" s="5">
        <v>0</v>
      </c>
      <c r="AK8" s="5">
        <v>1</v>
      </c>
      <c r="AL8" s="5">
        <v>0</v>
      </c>
      <c r="AM8" s="20">
        <v>1</v>
      </c>
      <c r="AN8" s="20">
        <v>0</v>
      </c>
      <c r="AO8" s="5">
        <v>1</v>
      </c>
      <c r="AP8" s="3">
        <f t="shared" si="8"/>
        <v>1</v>
      </c>
      <c r="AQ8" s="3"/>
      <c r="AR8" s="16">
        <v>0</v>
      </c>
      <c r="AS8" s="16">
        <v>0</v>
      </c>
      <c r="AT8" s="16"/>
      <c r="AU8" s="16"/>
      <c r="AV8" s="16"/>
      <c r="AW8" s="16"/>
      <c r="AX8" s="16">
        <v>0</v>
      </c>
      <c r="AY8" s="16">
        <v>1</v>
      </c>
      <c r="AZ8" s="16">
        <v>0</v>
      </c>
      <c r="BA8" s="16">
        <v>0</v>
      </c>
    </row>
    <row r="9" spans="1:147" x14ac:dyDescent="0.2">
      <c r="A9" s="14"/>
      <c r="B9" s="14" t="str">
        <f t="shared" si="6"/>
        <v>Nordhaus 1991</v>
      </c>
      <c r="C9" s="61">
        <f t="shared" si="7"/>
        <v>3</v>
      </c>
      <c r="D9" s="58">
        <v>1991</v>
      </c>
      <c r="E9" s="17"/>
      <c r="F9" s="58">
        <v>1</v>
      </c>
      <c r="G9" s="16">
        <v>1989</v>
      </c>
      <c r="H9" s="15">
        <f>LOOKUP(G9,CPI!A$69:A$100,CPI!O$69:O$100)</f>
        <v>1.7585161290322582</v>
      </c>
      <c r="I9" s="52">
        <v>1990</v>
      </c>
      <c r="J9" s="15">
        <f>2/16</f>
        <v>0.125</v>
      </c>
      <c r="K9" s="15"/>
      <c r="L9" s="62"/>
      <c r="M9" s="56">
        <f t="shared" si="0"/>
        <v>203.20478453350398</v>
      </c>
      <c r="N9" s="14">
        <f>14.65*44/12</f>
        <v>53.716666666666669</v>
      </c>
      <c r="O9" s="18">
        <f t="shared" si="1"/>
        <v>53.716666666666669</v>
      </c>
      <c r="P9" s="16">
        <v>0</v>
      </c>
      <c r="Q9" s="16">
        <v>1</v>
      </c>
      <c r="R9" s="16">
        <v>0</v>
      </c>
      <c r="S9" s="14"/>
      <c r="T9" s="56" t="str">
        <f t="shared" si="5"/>
        <v/>
      </c>
      <c r="U9" s="56" t="str">
        <f t="shared" si="2"/>
        <v/>
      </c>
      <c r="V9" s="56" t="str">
        <f t="shared" si="3"/>
        <v/>
      </c>
      <c r="W9" s="14"/>
      <c r="X9" s="14"/>
      <c r="Y9" s="14"/>
      <c r="Z9" s="14"/>
      <c r="AA9" s="18">
        <f t="shared" si="4"/>
        <v>53.716666666666669</v>
      </c>
      <c r="AB9" s="14"/>
      <c r="AC9" s="14"/>
      <c r="AD9" s="14"/>
      <c r="AE9" s="14"/>
      <c r="AF9" s="16">
        <v>1</v>
      </c>
      <c r="AG9" s="16">
        <v>0</v>
      </c>
      <c r="AH9" s="31">
        <v>0</v>
      </c>
      <c r="AI9" s="16">
        <v>0</v>
      </c>
      <c r="AJ9" s="5">
        <v>0</v>
      </c>
      <c r="AK9" s="5">
        <v>1</v>
      </c>
      <c r="AL9" s="5">
        <v>0</v>
      </c>
      <c r="AM9" s="20">
        <v>3</v>
      </c>
      <c r="AN9" s="20">
        <v>1</v>
      </c>
      <c r="AO9" s="5">
        <v>1</v>
      </c>
      <c r="AP9" s="3">
        <f t="shared" si="8"/>
        <v>2</v>
      </c>
      <c r="AQ9" s="3"/>
      <c r="AR9" s="16">
        <v>0</v>
      </c>
      <c r="AS9" s="16">
        <v>0</v>
      </c>
      <c r="AT9" s="16"/>
      <c r="AU9" s="16"/>
      <c r="AV9" s="16"/>
      <c r="AW9" s="16"/>
      <c r="AX9" s="16">
        <v>0</v>
      </c>
      <c r="AY9" s="16">
        <v>1</v>
      </c>
      <c r="AZ9" s="16">
        <v>0</v>
      </c>
      <c r="BA9" s="16">
        <v>0</v>
      </c>
    </row>
    <row r="10" spans="1:147" x14ac:dyDescent="0.2">
      <c r="A10" s="14"/>
      <c r="B10" s="14" t="str">
        <f t="shared" si="6"/>
        <v>Nordhaus 1991</v>
      </c>
      <c r="C10" s="61">
        <f t="shared" si="7"/>
        <v>3</v>
      </c>
      <c r="D10" s="58">
        <v>1991</v>
      </c>
      <c r="E10" s="17"/>
      <c r="F10" s="58">
        <v>1</v>
      </c>
      <c r="G10" s="16">
        <v>1989</v>
      </c>
      <c r="H10" s="15">
        <f>LOOKUP(G10,CPI!A$69:A$100,CPI!O$69:O$100)</f>
        <v>1.7585161290322582</v>
      </c>
      <c r="I10" s="52">
        <v>1990</v>
      </c>
      <c r="J10" s="15">
        <f>4/16</f>
        <v>0.25</v>
      </c>
      <c r="K10" s="15"/>
      <c r="L10" s="62"/>
      <c r="M10" s="56">
        <f t="shared" si="0"/>
        <v>101.67174543553476</v>
      </c>
      <c r="N10" s="14">
        <f>7.33*44/12</f>
        <v>26.876666666666665</v>
      </c>
      <c r="O10" s="18">
        <f t="shared" si="1"/>
        <v>26.876666666666665</v>
      </c>
      <c r="P10" s="16">
        <v>0</v>
      </c>
      <c r="Q10" s="16">
        <v>1</v>
      </c>
      <c r="R10" s="16">
        <v>0</v>
      </c>
      <c r="S10" s="14"/>
      <c r="T10" s="56" t="str">
        <f t="shared" si="5"/>
        <v/>
      </c>
      <c r="U10" s="56" t="str">
        <f t="shared" si="2"/>
        <v/>
      </c>
      <c r="V10" s="56" t="str">
        <f t="shared" si="3"/>
        <v/>
      </c>
      <c r="W10" s="14"/>
      <c r="X10" s="14"/>
      <c r="Y10" s="14"/>
      <c r="Z10" s="14"/>
      <c r="AA10" s="18">
        <f t="shared" si="4"/>
        <v>26.876666666666665</v>
      </c>
      <c r="AB10" s="14"/>
      <c r="AC10" s="14"/>
      <c r="AD10" s="14"/>
      <c r="AE10" s="14"/>
      <c r="AF10" s="16">
        <v>1</v>
      </c>
      <c r="AG10" s="16">
        <v>0</v>
      </c>
      <c r="AH10" s="31">
        <v>0</v>
      </c>
      <c r="AI10" s="16">
        <v>0</v>
      </c>
      <c r="AJ10" s="5">
        <v>0</v>
      </c>
      <c r="AK10" s="5">
        <v>1</v>
      </c>
      <c r="AL10" s="5">
        <v>0</v>
      </c>
      <c r="AM10" s="20">
        <v>3</v>
      </c>
      <c r="AN10" s="20">
        <v>1</v>
      </c>
      <c r="AO10" s="5">
        <v>1</v>
      </c>
      <c r="AP10" s="3">
        <f t="shared" si="8"/>
        <v>2</v>
      </c>
      <c r="AQ10" s="3"/>
      <c r="AR10" s="16">
        <v>0</v>
      </c>
      <c r="AS10" s="16">
        <v>0</v>
      </c>
      <c r="AT10" s="16"/>
      <c r="AU10" s="16"/>
      <c r="AV10" s="16"/>
      <c r="AW10" s="16"/>
      <c r="AX10" s="16">
        <v>0</v>
      </c>
      <c r="AY10" s="16">
        <v>1</v>
      </c>
      <c r="AZ10" s="16">
        <v>0</v>
      </c>
      <c r="BA10" s="16">
        <v>0</v>
      </c>
    </row>
    <row r="11" spans="1:147" x14ac:dyDescent="0.2">
      <c r="A11" s="14"/>
      <c r="B11" s="14" t="str">
        <f t="shared" si="6"/>
        <v>Nordhaus 1991</v>
      </c>
      <c r="C11" s="61">
        <f t="shared" si="7"/>
        <v>3</v>
      </c>
      <c r="D11" s="58">
        <v>1991</v>
      </c>
      <c r="E11" s="17"/>
      <c r="F11" s="58">
        <v>1</v>
      </c>
      <c r="G11" s="16">
        <v>1989</v>
      </c>
      <c r="H11" s="15">
        <f>LOOKUP(G11,CPI!A$69:A$100,CPI!O$69:O$100)</f>
        <v>1.7585161290322582</v>
      </c>
      <c r="I11" s="52">
        <v>1990</v>
      </c>
      <c r="J11" s="15">
        <f>2/16</f>
        <v>0.125</v>
      </c>
      <c r="K11" s="15"/>
      <c r="L11" s="62"/>
      <c r="M11" s="56">
        <f t="shared" si="0"/>
        <v>25.383259774492309</v>
      </c>
      <c r="N11" s="14">
        <f>1.83*44/12</f>
        <v>6.7100000000000009</v>
      </c>
      <c r="O11" s="18">
        <f t="shared" si="1"/>
        <v>6.7100000000000009</v>
      </c>
      <c r="P11" s="16">
        <v>0</v>
      </c>
      <c r="Q11" s="16">
        <v>1</v>
      </c>
      <c r="R11" s="16">
        <v>0</v>
      </c>
      <c r="S11" s="14"/>
      <c r="T11" s="56" t="str">
        <f t="shared" si="5"/>
        <v/>
      </c>
      <c r="U11" s="56" t="str">
        <f t="shared" si="2"/>
        <v/>
      </c>
      <c r="V11" s="56" t="str">
        <f t="shared" si="3"/>
        <v/>
      </c>
      <c r="W11" s="14"/>
      <c r="X11" s="14"/>
      <c r="Y11" s="14"/>
      <c r="Z11" s="14"/>
      <c r="AA11" s="18">
        <f t="shared" si="4"/>
        <v>6.7100000000000009</v>
      </c>
      <c r="AB11" s="14"/>
      <c r="AC11" s="14"/>
      <c r="AD11" s="14"/>
      <c r="AE11" s="14"/>
      <c r="AF11" s="16">
        <v>1</v>
      </c>
      <c r="AG11" s="16">
        <v>0</v>
      </c>
      <c r="AH11" s="31">
        <v>0</v>
      </c>
      <c r="AI11" s="16">
        <v>0</v>
      </c>
      <c r="AJ11" s="5">
        <v>0</v>
      </c>
      <c r="AK11" s="5">
        <v>1</v>
      </c>
      <c r="AL11" s="5">
        <v>0</v>
      </c>
      <c r="AM11" s="20">
        <v>3</v>
      </c>
      <c r="AN11" s="20">
        <v>1</v>
      </c>
      <c r="AO11" s="5">
        <v>1</v>
      </c>
      <c r="AP11" s="3">
        <f t="shared" si="8"/>
        <v>2</v>
      </c>
      <c r="AQ11" s="3"/>
      <c r="AR11" s="16">
        <v>0</v>
      </c>
      <c r="AS11" s="16">
        <v>0</v>
      </c>
      <c r="AT11" s="16"/>
      <c r="AU11" s="16"/>
      <c r="AV11" s="16"/>
      <c r="AW11" s="16"/>
      <c r="AX11" s="16">
        <v>0</v>
      </c>
      <c r="AY11" s="16">
        <v>1</v>
      </c>
      <c r="AZ11" s="16">
        <v>0</v>
      </c>
      <c r="BA11" s="16">
        <v>0</v>
      </c>
    </row>
    <row r="12" spans="1:147" x14ac:dyDescent="0.2">
      <c r="A12" s="14"/>
      <c r="B12" s="14" t="str">
        <f t="shared" si="6"/>
        <v>Nordhaus 1991</v>
      </c>
      <c r="C12" s="61">
        <f t="shared" si="7"/>
        <v>3</v>
      </c>
      <c r="D12" s="58">
        <v>1991</v>
      </c>
      <c r="E12" s="17"/>
      <c r="F12" s="58">
        <v>1</v>
      </c>
      <c r="G12" s="16">
        <v>1989</v>
      </c>
      <c r="H12" s="15">
        <f>LOOKUP(G12,CPI!A$69:A$100,CPI!O$69:O$100)</f>
        <v>1.7585161290322582</v>
      </c>
      <c r="I12" s="52">
        <v>1990</v>
      </c>
      <c r="J12" s="15">
        <f>1/16</f>
        <v>6.25E-2</v>
      </c>
      <c r="K12" s="15"/>
      <c r="L12" s="62"/>
      <c r="M12" s="56">
        <f t="shared" si="0"/>
        <v>33.844346365989743</v>
      </c>
      <c r="N12" s="14">
        <f>2.44*44/12</f>
        <v>8.9466666666666672</v>
      </c>
      <c r="O12" s="18">
        <f t="shared" si="1"/>
        <v>8.9466666666666672</v>
      </c>
      <c r="P12" s="16">
        <v>0</v>
      </c>
      <c r="Q12" s="16">
        <v>1</v>
      </c>
      <c r="R12" s="16">
        <v>0</v>
      </c>
      <c r="S12" s="14"/>
      <c r="T12" s="56" t="str">
        <f t="shared" si="5"/>
        <v/>
      </c>
      <c r="U12" s="56" t="str">
        <f t="shared" si="2"/>
        <v/>
      </c>
      <c r="V12" s="56" t="str">
        <f t="shared" si="3"/>
        <v/>
      </c>
      <c r="W12" s="14"/>
      <c r="X12" s="14"/>
      <c r="Y12" s="14"/>
      <c r="Z12" s="14"/>
      <c r="AA12" s="18">
        <f t="shared" si="4"/>
        <v>8.9466666666666672</v>
      </c>
      <c r="AB12" s="14"/>
      <c r="AC12" s="14"/>
      <c r="AD12" s="14"/>
      <c r="AE12" s="14"/>
      <c r="AF12" s="16">
        <v>1</v>
      </c>
      <c r="AG12" s="16">
        <v>0</v>
      </c>
      <c r="AH12" s="31">
        <v>0</v>
      </c>
      <c r="AI12" s="16">
        <v>0</v>
      </c>
      <c r="AJ12" s="5">
        <v>0</v>
      </c>
      <c r="AK12" s="5">
        <v>1</v>
      </c>
      <c r="AL12" s="5">
        <v>0</v>
      </c>
      <c r="AM12" s="13">
        <v>7</v>
      </c>
      <c r="AN12" s="20">
        <v>4</v>
      </c>
      <c r="AO12" s="5">
        <f>+(AM12-AN12)/AP12</f>
        <v>1</v>
      </c>
      <c r="AP12" s="3">
        <v>3</v>
      </c>
      <c r="AQ12" s="3"/>
      <c r="AR12" s="16">
        <v>0</v>
      </c>
      <c r="AS12" s="16">
        <v>0</v>
      </c>
      <c r="AT12" s="16"/>
      <c r="AU12" s="16"/>
      <c r="AV12" s="16"/>
      <c r="AW12" s="16"/>
      <c r="AX12" s="16">
        <v>0</v>
      </c>
      <c r="AY12" s="16">
        <v>1</v>
      </c>
      <c r="AZ12" s="16">
        <v>0</v>
      </c>
      <c r="BA12" s="16">
        <v>0</v>
      </c>
    </row>
    <row r="13" spans="1:147" x14ac:dyDescent="0.2">
      <c r="A13" s="14"/>
      <c r="B13" s="14" t="str">
        <f t="shared" si="6"/>
        <v>Nordhaus 1991</v>
      </c>
      <c r="C13" s="61">
        <f t="shared" si="7"/>
        <v>3</v>
      </c>
      <c r="D13" s="58">
        <v>1991</v>
      </c>
      <c r="E13" s="17"/>
      <c r="F13" s="58">
        <v>1</v>
      </c>
      <c r="G13" s="16">
        <v>1989</v>
      </c>
      <c r="H13" s="15">
        <f>LOOKUP(G13,CPI!A$69:A$100,CPI!O$69:O$100)</f>
        <v>1.7585161290322582</v>
      </c>
      <c r="I13" s="52">
        <v>1990</v>
      </c>
      <c r="J13" s="15">
        <f>2/16</f>
        <v>0.125</v>
      </c>
      <c r="K13" s="15"/>
      <c r="L13" s="62"/>
      <c r="M13" s="56">
        <f t="shared" si="0"/>
        <v>16.922173182994872</v>
      </c>
      <c r="N13" s="14">
        <f>1.22*44/12</f>
        <v>4.4733333333333336</v>
      </c>
      <c r="O13" s="18">
        <f t="shared" si="1"/>
        <v>4.4733333333333336</v>
      </c>
      <c r="P13" s="16">
        <v>0</v>
      </c>
      <c r="Q13" s="16">
        <v>1</v>
      </c>
      <c r="R13" s="16">
        <v>0</v>
      </c>
      <c r="S13" s="14"/>
      <c r="T13" s="56" t="str">
        <f t="shared" si="5"/>
        <v/>
      </c>
      <c r="U13" s="56" t="str">
        <f t="shared" si="2"/>
        <v/>
      </c>
      <c r="V13" s="56" t="str">
        <f t="shared" si="3"/>
        <v/>
      </c>
      <c r="W13" s="14"/>
      <c r="X13" s="14"/>
      <c r="Y13" s="14"/>
      <c r="Z13" s="14"/>
      <c r="AA13" s="18">
        <f t="shared" si="4"/>
        <v>4.4733333333333336</v>
      </c>
      <c r="AB13" s="14"/>
      <c r="AC13" s="14"/>
      <c r="AD13" s="14"/>
      <c r="AE13" s="14"/>
      <c r="AF13" s="16">
        <v>1</v>
      </c>
      <c r="AG13" s="16">
        <v>0</v>
      </c>
      <c r="AH13" s="31">
        <v>0</v>
      </c>
      <c r="AI13" s="16">
        <v>0</v>
      </c>
      <c r="AJ13" s="5">
        <v>0</v>
      </c>
      <c r="AK13" s="5">
        <v>1</v>
      </c>
      <c r="AL13" s="5">
        <v>0</v>
      </c>
      <c r="AM13" s="13">
        <v>7</v>
      </c>
      <c r="AN13" s="20">
        <v>4</v>
      </c>
      <c r="AO13" s="5">
        <f>+(AM13-AN13)/AP13</f>
        <v>1</v>
      </c>
      <c r="AP13" s="3">
        <v>3</v>
      </c>
      <c r="AQ13" s="3"/>
      <c r="AR13" s="16">
        <v>0</v>
      </c>
      <c r="AS13" s="16">
        <v>0</v>
      </c>
      <c r="AT13" s="16"/>
      <c r="AU13" s="16"/>
      <c r="AV13" s="16"/>
      <c r="AW13" s="16"/>
      <c r="AX13" s="16">
        <v>0</v>
      </c>
      <c r="AY13" s="16">
        <v>1</v>
      </c>
      <c r="AZ13" s="16">
        <v>0</v>
      </c>
      <c r="BA13" s="16">
        <v>0</v>
      </c>
    </row>
    <row r="14" spans="1:147" x14ac:dyDescent="0.2">
      <c r="A14" s="14"/>
      <c r="B14" s="14" t="str">
        <f t="shared" si="6"/>
        <v>Nordhaus 1991</v>
      </c>
      <c r="C14" s="61">
        <f t="shared" si="7"/>
        <v>3</v>
      </c>
      <c r="D14" s="58">
        <v>1991</v>
      </c>
      <c r="E14" s="17"/>
      <c r="F14" s="58">
        <v>1</v>
      </c>
      <c r="G14" s="16">
        <v>1989</v>
      </c>
      <c r="H14" s="15">
        <f>LOOKUP(G14,CPI!A$69:A$100,CPI!O$69:O$100)</f>
        <v>1.7585161290322582</v>
      </c>
      <c r="I14" s="52">
        <v>1990</v>
      </c>
      <c r="J14" s="15">
        <f>1/16</f>
        <v>6.25E-2</v>
      </c>
      <c r="K14" s="15"/>
      <c r="L14" s="62"/>
      <c r="M14" s="56">
        <f t="shared" si="0"/>
        <v>4.2998964645314839</v>
      </c>
      <c r="N14" s="14">
        <f>0.31*44/12</f>
        <v>1.1366666666666667</v>
      </c>
      <c r="O14" s="18">
        <f t="shared" si="1"/>
        <v>1.1366666666666667</v>
      </c>
      <c r="P14" s="16">
        <v>0</v>
      </c>
      <c r="Q14" s="16">
        <v>1</v>
      </c>
      <c r="R14" s="16">
        <v>0</v>
      </c>
      <c r="S14" s="14"/>
      <c r="T14" s="56" t="str">
        <f t="shared" si="5"/>
        <v/>
      </c>
      <c r="U14" s="56" t="str">
        <f t="shared" si="2"/>
        <v/>
      </c>
      <c r="V14" s="56" t="str">
        <f t="shared" si="3"/>
        <v/>
      </c>
      <c r="W14" s="14"/>
      <c r="X14" s="14"/>
      <c r="Y14" s="14"/>
      <c r="Z14" s="14"/>
      <c r="AA14" s="18">
        <f t="shared" si="4"/>
        <v>1.1366666666666667</v>
      </c>
      <c r="AB14" s="14"/>
      <c r="AC14" s="14"/>
      <c r="AD14" s="14"/>
      <c r="AE14" s="14"/>
      <c r="AF14" s="16">
        <v>1</v>
      </c>
      <c r="AG14" s="16">
        <v>0</v>
      </c>
      <c r="AH14" s="31">
        <v>0</v>
      </c>
      <c r="AI14" s="16">
        <v>0</v>
      </c>
      <c r="AJ14" s="5">
        <v>0</v>
      </c>
      <c r="AK14" s="5">
        <v>1</v>
      </c>
      <c r="AL14" s="5">
        <v>0</v>
      </c>
      <c r="AM14" s="13">
        <v>7</v>
      </c>
      <c r="AN14" s="20">
        <v>4</v>
      </c>
      <c r="AO14" s="5">
        <f>+(AM14-AN14)/AP14</f>
        <v>1</v>
      </c>
      <c r="AP14" s="3">
        <v>3</v>
      </c>
      <c r="AQ14" s="3"/>
      <c r="AR14" s="16">
        <v>0</v>
      </c>
      <c r="AS14" s="16">
        <v>0</v>
      </c>
      <c r="AT14" s="16"/>
      <c r="AU14" s="16"/>
      <c r="AV14" s="16"/>
      <c r="AW14" s="16"/>
      <c r="AX14" s="16">
        <v>0</v>
      </c>
      <c r="AY14" s="16">
        <v>1</v>
      </c>
      <c r="AZ14" s="16">
        <v>0</v>
      </c>
      <c r="BA14" s="16">
        <v>0</v>
      </c>
    </row>
    <row r="15" spans="1:147" ht="14.25" customHeight="1" x14ac:dyDescent="0.2">
      <c r="A15" s="14" t="s">
        <v>2</v>
      </c>
      <c r="B15" s="14" t="str">
        <f t="shared" si="6"/>
        <v>Cline 1992</v>
      </c>
      <c r="C15" s="61">
        <f t="shared" si="7"/>
        <v>4</v>
      </c>
      <c r="D15" s="58">
        <v>1992</v>
      </c>
      <c r="E15" s="45" t="s">
        <v>156</v>
      </c>
      <c r="F15" s="58">
        <v>0</v>
      </c>
      <c r="G15" s="16">
        <v>1989</v>
      </c>
      <c r="H15" s="15">
        <f>LOOKUP(G15,CPI!A$69:A$100,CPI!O$69:O$100)</f>
        <v>1.7585161290322582</v>
      </c>
      <c r="I15" s="52">
        <v>1990</v>
      </c>
      <c r="J15" s="15">
        <v>1</v>
      </c>
      <c r="K15" s="15"/>
      <c r="L15" s="62"/>
      <c r="M15" s="56">
        <f>AA15*H15*(1+$L$2)^(2015-I15)</f>
        <v>245.51021749099118</v>
      </c>
      <c r="N15" s="18">
        <f>(X15+AD15)/2</f>
        <v>64.900000000000006</v>
      </c>
      <c r="O15" s="18">
        <f t="shared" si="1"/>
        <v>64.900000000000006</v>
      </c>
      <c r="P15" s="16">
        <v>0</v>
      </c>
      <c r="Q15" s="16">
        <v>1</v>
      </c>
      <c r="R15" s="16">
        <v>0</v>
      </c>
      <c r="S15" s="14">
        <f>(AA15-X15)/2</f>
        <v>29.550000000000004</v>
      </c>
      <c r="T15" s="56">
        <f t="shared" si="5"/>
        <v>111.78469841076718</v>
      </c>
      <c r="U15" s="56">
        <f>+(AA15-X15)/1.96*H15*(1+$L$2)^(2015-I15)</f>
        <v>114.06601878649712</v>
      </c>
      <c r="V15" s="56">
        <f>+(AD15-AA15)/1.96*H15*(1+$L$2)^(2015-I15)</f>
        <v>114.06601878649708</v>
      </c>
      <c r="W15" s="14"/>
      <c r="X15" s="14">
        <v>5.8</v>
      </c>
      <c r="Y15" s="14"/>
      <c r="Z15" s="14"/>
      <c r="AA15" s="18">
        <f t="shared" si="4"/>
        <v>64.900000000000006</v>
      </c>
      <c r="AB15" s="14"/>
      <c r="AC15" s="14"/>
      <c r="AD15" s="14">
        <v>124</v>
      </c>
      <c r="AE15" s="14"/>
      <c r="AF15" s="16">
        <v>1</v>
      </c>
      <c r="AG15" s="16">
        <v>1</v>
      </c>
      <c r="AH15" s="16">
        <v>0</v>
      </c>
      <c r="AI15" s="16">
        <v>1</v>
      </c>
      <c r="AJ15" s="33">
        <v>0</v>
      </c>
      <c r="AK15" s="33">
        <v>0</v>
      </c>
      <c r="AL15" s="33">
        <v>0</v>
      </c>
      <c r="AM15" s="13">
        <v>1.5</v>
      </c>
      <c r="AN15" s="13">
        <v>0</v>
      </c>
      <c r="AO15" s="5">
        <v>1.5</v>
      </c>
      <c r="AP15" s="41">
        <v>1</v>
      </c>
      <c r="AQ15" s="41"/>
      <c r="AR15" s="5">
        <v>0</v>
      </c>
      <c r="AS15" s="5">
        <v>0</v>
      </c>
      <c r="AT15" s="16"/>
      <c r="AU15" s="16"/>
      <c r="AV15" s="16"/>
      <c r="AW15" s="16"/>
      <c r="AX15" s="16">
        <v>0</v>
      </c>
      <c r="AY15" s="16">
        <v>0</v>
      </c>
      <c r="AZ15" s="16">
        <v>0</v>
      </c>
      <c r="BA15" s="16">
        <v>0</v>
      </c>
    </row>
    <row r="16" spans="1:147" s="36" customFormat="1" x14ac:dyDescent="0.2">
      <c r="A16" s="29" t="s">
        <v>72</v>
      </c>
      <c r="B16" s="14" t="str">
        <f t="shared" si="6"/>
        <v>Haraden 1992</v>
      </c>
      <c r="C16" s="61">
        <f t="shared" si="7"/>
        <v>5</v>
      </c>
      <c r="D16" s="72">
        <v>1992</v>
      </c>
      <c r="E16" s="32" t="s">
        <v>74</v>
      </c>
      <c r="F16" s="72">
        <v>1</v>
      </c>
      <c r="G16" s="31">
        <v>1984</v>
      </c>
      <c r="H16" s="30">
        <f>LOOKUP(G16,CPI!A$69:A$100,CPI!O$69:O$100)</f>
        <v>2.0987102983638115</v>
      </c>
      <c r="I16" s="66">
        <v>1987</v>
      </c>
      <c r="J16" s="30">
        <v>1</v>
      </c>
      <c r="K16" s="59">
        <v>1</v>
      </c>
      <c r="L16" s="57">
        <f>(AA17/AA16)^(1/(I17-I16))-1</f>
        <v>4.134989708874226E-2</v>
      </c>
      <c r="M16" s="56">
        <f>AA16*H16*(1+$L$2)^(2015-I16)</f>
        <v>72.59117994842812</v>
      </c>
      <c r="N16" s="29">
        <f>4*44/12</f>
        <v>14.666666666666666</v>
      </c>
      <c r="O16" s="34">
        <f>N16</f>
        <v>14.666666666666666</v>
      </c>
      <c r="P16" s="31">
        <v>0</v>
      </c>
      <c r="Q16" s="16">
        <v>1</v>
      </c>
      <c r="R16" s="16">
        <v>0</v>
      </c>
      <c r="S16" s="29"/>
      <c r="T16" s="56" t="str">
        <f>IF(OR(M16="",S16=""),"",S16*H16*(1+$L$2)^(2015-I16))</f>
        <v/>
      </c>
      <c r="U16" s="56" t="str">
        <f>+V16</f>
        <v/>
      </c>
      <c r="V16" s="56" t="str">
        <f>+T16</f>
        <v/>
      </c>
      <c r="W16" s="29"/>
      <c r="X16" s="29"/>
      <c r="Y16" s="29"/>
      <c r="Z16" s="29"/>
      <c r="AA16" s="34">
        <f>N16</f>
        <v>14.666666666666666</v>
      </c>
      <c r="AB16" s="29"/>
      <c r="AC16" s="29"/>
      <c r="AD16" s="29"/>
      <c r="AE16" s="29"/>
      <c r="AF16" s="31">
        <v>1</v>
      </c>
      <c r="AG16" s="31">
        <v>0</v>
      </c>
      <c r="AH16" s="31">
        <v>0</v>
      </c>
      <c r="AI16" s="31">
        <v>0</v>
      </c>
      <c r="AJ16" s="33">
        <v>0</v>
      </c>
      <c r="AK16" s="33">
        <v>0</v>
      </c>
      <c r="AL16" s="33">
        <v>0</v>
      </c>
      <c r="AM16" s="35">
        <v>4</v>
      </c>
      <c r="AN16" s="35">
        <v>2</v>
      </c>
      <c r="AO16" s="5">
        <f>+(AM16-AN16)/AP16</f>
        <v>1</v>
      </c>
      <c r="AP16" s="41">
        <v>2</v>
      </c>
      <c r="AQ16" s="41"/>
      <c r="AR16" s="31">
        <v>0</v>
      </c>
      <c r="AS16" s="31">
        <v>0</v>
      </c>
      <c r="AT16" s="31"/>
      <c r="AU16" s="31"/>
      <c r="AV16" s="33">
        <v>1987</v>
      </c>
      <c r="AW16" s="31"/>
      <c r="AX16" s="31">
        <v>0</v>
      </c>
      <c r="AY16" s="31">
        <v>0</v>
      </c>
      <c r="AZ16" s="31">
        <v>0</v>
      </c>
      <c r="BA16" s="31">
        <v>0</v>
      </c>
    </row>
    <row r="17" spans="1:53" s="36" customFormat="1" x14ac:dyDescent="0.2">
      <c r="A17" s="29"/>
      <c r="B17" s="14" t="str">
        <f t="shared" si="6"/>
        <v>Haraden 1992</v>
      </c>
      <c r="C17" s="61">
        <f t="shared" si="7"/>
        <v>5</v>
      </c>
      <c r="D17" s="72">
        <v>1992</v>
      </c>
      <c r="E17" s="32"/>
      <c r="F17" s="72">
        <v>1</v>
      </c>
      <c r="G17" s="31">
        <v>1984</v>
      </c>
      <c r="H17" s="30">
        <f>LOOKUP(G17,CPI!A$69:A$100,CPI!O$69:O$100)</f>
        <v>2.0987102983638115</v>
      </c>
      <c r="I17" s="33">
        <v>2087</v>
      </c>
      <c r="J17" s="43">
        <v>0</v>
      </c>
      <c r="K17" s="60"/>
      <c r="L17" s="63"/>
      <c r="M17" s="56"/>
      <c r="N17" s="41">
        <f>230*44/12</f>
        <v>843.33333333333337</v>
      </c>
      <c r="O17" s="42">
        <f>N17</f>
        <v>843.33333333333337</v>
      </c>
      <c r="P17" s="31">
        <v>0</v>
      </c>
      <c r="Q17" s="16">
        <v>1</v>
      </c>
      <c r="R17" s="16">
        <v>0</v>
      </c>
      <c r="S17" s="42"/>
      <c r="T17" s="56" t="str">
        <f>IF(OR(M17="",S17=""),"",S17*H17*(1+$L$2)^(2015-I17))</f>
        <v/>
      </c>
      <c r="U17" s="56" t="str">
        <f>+V17</f>
        <v/>
      </c>
      <c r="V17" s="56" t="str">
        <f>+T17</f>
        <v/>
      </c>
      <c r="W17" s="42"/>
      <c r="X17" s="42"/>
      <c r="Y17" s="42"/>
      <c r="Z17" s="42"/>
      <c r="AA17" s="42">
        <f>N17</f>
        <v>843.33333333333337</v>
      </c>
      <c r="AB17" s="42"/>
      <c r="AC17" s="42"/>
      <c r="AD17" s="42"/>
      <c r="AE17" s="42"/>
      <c r="AF17" s="31">
        <v>1</v>
      </c>
      <c r="AG17" s="31">
        <v>0</v>
      </c>
      <c r="AH17" s="31">
        <v>0</v>
      </c>
      <c r="AI17" s="31">
        <v>0</v>
      </c>
      <c r="AJ17" s="33">
        <v>0</v>
      </c>
      <c r="AK17" s="33">
        <v>0</v>
      </c>
      <c r="AL17" s="33">
        <v>0</v>
      </c>
      <c r="AM17" s="35">
        <v>4</v>
      </c>
      <c r="AN17" s="35">
        <v>2</v>
      </c>
      <c r="AO17" s="5">
        <f>+(AM17-AN17)/AP17</f>
        <v>1</v>
      </c>
      <c r="AP17" s="41">
        <v>2</v>
      </c>
      <c r="AQ17" s="41"/>
      <c r="AR17" s="31">
        <v>0</v>
      </c>
      <c r="AS17" s="31">
        <v>0</v>
      </c>
      <c r="AT17" s="31"/>
      <c r="AU17" s="31"/>
      <c r="AV17" s="33">
        <v>2087</v>
      </c>
      <c r="AW17" s="31"/>
      <c r="AX17" s="31">
        <v>0</v>
      </c>
      <c r="AY17" s="31">
        <v>0</v>
      </c>
      <c r="AZ17" s="31">
        <v>0</v>
      </c>
      <c r="BA17" s="31">
        <v>0</v>
      </c>
    </row>
    <row r="18" spans="1:53" x14ac:dyDescent="0.2">
      <c r="A18" s="14" t="s">
        <v>36</v>
      </c>
      <c r="B18" s="14" t="str">
        <f t="shared" si="6"/>
        <v>Hohmeyer &amp; Gaertner 1992</v>
      </c>
      <c r="C18" s="61">
        <f t="shared" si="7"/>
        <v>6</v>
      </c>
      <c r="D18" s="58">
        <v>1992</v>
      </c>
      <c r="E18" s="17" t="s">
        <v>73</v>
      </c>
      <c r="F18" s="58">
        <v>0</v>
      </c>
      <c r="G18" s="22">
        <v>1990</v>
      </c>
      <c r="H18" s="15">
        <f>LOOKUP(G18,CPI!A$69:A$100,CPI!O$69:O$100)</f>
        <v>1.6683703136954862</v>
      </c>
      <c r="I18" s="69">
        <v>1990</v>
      </c>
      <c r="J18" s="15">
        <v>1</v>
      </c>
      <c r="K18" s="15"/>
      <c r="L18" s="62"/>
      <c r="M18" s="56">
        <f>AA18*H18*(1+$L$2)^(2015-I18)</f>
        <v>6383.0400952804375</v>
      </c>
      <c r="N18" s="3">
        <f>485/0.2727</f>
        <v>1778.5111844517785</v>
      </c>
      <c r="O18" s="37">
        <f t="shared" si="1"/>
        <v>1778.5111844517785</v>
      </c>
      <c r="P18" s="16">
        <v>0</v>
      </c>
      <c r="Q18" s="16">
        <v>1</v>
      </c>
      <c r="R18" s="16">
        <v>0</v>
      </c>
      <c r="S18" s="14"/>
      <c r="T18" s="56" t="str">
        <f t="shared" si="5"/>
        <v/>
      </c>
      <c r="U18" s="56" t="str">
        <f t="shared" ref="U18:U54" si="9">+V18</f>
        <v/>
      </c>
      <c r="V18" s="56" t="str">
        <f t="shared" ref="V18:V54" si="10">+T18</f>
        <v/>
      </c>
      <c r="W18" s="14"/>
      <c r="X18" s="14"/>
      <c r="Y18" s="14"/>
      <c r="Z18" s="14"/>
      <c r="AA18" s="18">
        <f t="shared" si="4"/>
        <v>1778.5111844517785</v>
      </c>
      <c r="AB18" s="14"/>
      <c r="AC18" s="14"/>
      <c r="AD18" s="14"/>
      <c r="AE18" s="14"/>
      <c r="AF18" s="16">
        <v>1</v>
      </c>
      <c r="AG18" s="16">
        <v>0</v>
      </c>
      <c r="AH18" s="16">
        <v>0</v>
      </c>
      <c r="AI18" s="16">
        <v>1</v>
      </c>
      <c r="AJ18" s="5">
        <v>0</v>
      </c>
      <c r="AK18" s="5">
        <v>0</v>
      </c>
      <c r="AL18" s="5">
        <v>0</v>
      </c>
      <c r="AM18" s="20">
        <v>0</v>
      </c>
      <c r="AN18" s="20">
        <v>2</v>
      </c>
      <c r="AO18" s="16"/>
      <c r="AP18" s="41"/>
      <c r="AQ18" s="41"/>
      <c r="AR18" s="16">
        <v>0</v>
      </c>
      <c r="AS18" s="16">
        <v>0</v>
      </c>
      <c r="AT18" s="16"/>
      <c r="AU18" s="16"/>
      <c r="AV18" s="16"/>
      <c r="AW18" s="16"/>
      <c r="AX18" s="16">
        <v>0</v>
      </c>
      <c r="AY18" s="16">
        <v>0</v>
      </c>
      <c r="AZ18" s="16">
        <v>0</v>
      </c>
      <c r="BA18" s="16">
        <v>0</v>
      </c>
    </row>
    <row r="19" spans="1:53" x14ac:dyDescent="0.2">
      <c r="A19" s="14" t="s">
        <v>57</v>
      </c>
      <c r="B19" s="14" t="str">
        <f t="shared" si="6"/>
        <v>Penner et al. 1992</v>
      </c>
      <c r="C19" s="61">
        <f t="shared" si="7"/>
        <v>7</v>
      </c>
      <c r="D19" s="58">
        <v>1992</v>
      </c>
      <c r="E19" s="17" t="s">
        <v>104</v>
      </c>
      <c r="F19" s="58">
        <v>1</v>
      </c>
      <c r="G19" s="16">
        <v>1989</v>
      </c>
      <c r="H19" s="15">
        <f>LOOKUP(G19,CPI!A$69:A$100,CPI!O$69:O$100)</f>
        <v>1.7585161290322582</v>
      </c>
      <c r="I19" s="52">
        <v>1989</v>
      </c>
      <c r="J19" s="15">
        <v>0.25</v>
      </c>
      <c r="K19" s="15"/>
      <c r="L19" s="62"/>
      <c r="M19" s="56">
        <f>AA19*H19*(1+$L$2)^(2015-I19)</f>
        <v>65.023091613690866</v>
      </c>
      <c r="N19" s="14">
        <v>16.670000000000002</v>
      </c>
      <c r="O19" s="18">
        <f>N19</f>
        <v>16.670000000000002</v>
      </c>
      <c r="P19" s="16">
        <v>0</v>
      </c>
      <c r="Q19" s="16">
        <v>1</v>
      </c>
      <c r="R19" s="16">
        <v>0</v>
      </c>
      <c r="S19" s="14"/>
      <c r="T19" s="56" t="str">
        <f>IF(OR(M19="",S19=""),"",S19*H19*(1+$L$2)^(2015-I19))</f>
        <v/>
      </c>
      <c r="U19" s="56" t="str">
        <f>+V19</f>
        <v/>
      </c>
      <c r="V19" s="56" t="str">
        <f>+T19</f>
        <v/>
      </c>
      <c r="W19" s="14"/>
      <c r="X19" s="14"/>
      <c r="Y19" s="14"/>
      <c r="Z19" s="14"/>
      <c r="AA19" s="18">
        <f>N19</f>
        <v>16.670000000000002</v>
      </c>
      <c r="AB19" s="14"/>
      <c r="AC19" s="14"/>
      <c r="AD19" s="14"/>
      <c r="AE19" s="14"/>
      <c r="AF19" s="16">
        <v>0</v>
      </c>
      <c r="AG19" s="16">
        <v>0</v>
      </c>
      <c r="AH19" s="16">
        <v>0</v>
      </c>
      <c r="AI19" s="16">
        <v>0</v>
      </c>
      <c r="AJ19" s="5">
        <v>0</v>
      </c>
      <c r="AK19" s="5">
        <v>1</v>
      </c>
      <c r="AL19" s="5">
        <v>0</v>
      </c>
      <c r="AM19" s="20">
        <v>4</v>
      </c>
      <c r="AN19" s="20">
        <v>2</v>
      </c>
      <c r="AO19" s="16"/>
      <c r="AP19" s="16"/>
      <c r="AQ19" s="16"/>
      <c r="AR19" s="16">
        <v>0</v>
      </c>
      <c r="AS19" s="16">
        <v>0</v>
      </c>
      <c r="AT19" s="16"/>
      <c r="AU19" s="16"/>
      <c r="AV19" s="16"/>
      <c r="AW19" s="16"/>
      <c r="AX19" s="16">
        <v>0</v>
      </c>
      <c r="AY19" s="16">
        <v>0</v>
      </c>
      <c r="AZ19" s="16">
        <v>0</v>
      </c>
      <c r="BA19" s="16">
        <v>0</v>
      </c>
    </row>
    <row r="20" spans="1:53" x14ac:dyDescent="0.2">
      <c r="A20" s="14" t="s">
        <v>23</v>
      </c>
      <c r="B20" s="14" t="str">
        <f t="shared" si="6"/>
        <v>Haradan 1993</v>
      </c>
      <c r="C20" s="61">
        <f t="shared" si="7"/>
        <v>8</v>
      </c>
      <c r="D20" s="58">
        <v>1993</v>
      </c>
      <c r="E20" s="17" t="s">
        <v>134</v>
      </c>
      <c r="F20" s="58">
        <v>1</v>
      </c>
      <c r="G20" s="16">
        <v>1989</v>
      </c>
      <c r="H20" s="15">
        <f>LOOKUP(G20,CPI!A$69:A$100,CPI!O$69:O$100)</f>
        <v>1.7585161290322582</v>
      </c>
      <c r="I20" s="52">
        <v>1989</v>
      </c>
      <c r="J20" s="15">
        <v>0.25</v>
      </c>
      <c r="K20" s="59">
        <v>0.33333333333333331</v>
      </c>
      <c r="L20" s="57">
        <f>(AA21/AA20)^(1/(I21-I20))-1</f>
        <v>1.5822032216329163E-2</v>
      </c>
      <c r="M20" s="56">
        <f>AA20*H20*(1+$L$2)^(2015-I20)</f>
        <v>7.2161199451306608</v>
      </c>
      <c r="N20" s="14">
        <v>1.85</v>
      </c>
      <c r="O20" s="18">
        <f t="shared" si="1"/>
        <v>1.85</v>
      </c>
      <c r="P20" s="16">
        <v>0</v>
      </c>
      <c r="Q20" s="16">
        <v>1</v>
      </c>
      <c r="R20" s="16">
        <v>0</v>
      </c>
      <c r="S20" s="14"/>
      <c r="T20" s="56" t="str">
        <f t="shared" si="5"/>
        <v/>
      </c>
      <c r="U20" s="56" t="str">
        <f t="shared" si="9"/>
        <v/>
      </c>
      <c r="V20" s="56" t="str">
        <f t="shared" si="10"/>
        <v/>
      </c>
      <c r="W20" s="14"/>
      <c r="X20" s="14"/>
      <c r="Y20" s="14"/>
      <c r="Z20" s="14"/>
      <c r="AA20" s="18">
        <f t="shared" si="4"/>
        <v>1.85</v>
      </c>
      <c r="AB20" s="14"/>
      <c r="AC20" s="14"/>
      <c r="AD20" s="14"/>
      <c r="AE20" s="14"/>
      <c r="AF20" s="16">
        <v>0</v>
      </c>
      <c r="AG20" s="16">
        <v>0</v>
      </c>
      <c r="AH20" s="16">
        <v>0</v>
      </c>
      <c r="AI20" s="16">
        <v>0</v>
      </c>
      <c r="AJ20" s="5">
        <v>0</v>
      </c>
      <c r="AK20" s="5">
        <v>0</v>
      </c>
      <c r="AL20" s="5">
        <v>0</v>
      </c>
      <c r="AM20" s="20">
        <v>4</v>
      </c>
      <c r="AN20" s="20">
        <v>2</v>
      </c>
      <c r="AO20" s="5">
        <f t="shared" ref="AO20:AO24" si="11">+(AM20-AN20)/AP20</f>
        <v>1.25</v>
      </c>
      <c r="AP20" s="41">
        <v>1.6</v>
      </c>
      <c r="AQ20" s="41"/>
      <c r="AR20" s="16">
        <v>0</v>
      </c>
      <c r="AS20" s="16">
        <v>0</v>
      </c>
      <c r="AT20" s="16"/>
      <c r="AU20" s="16"/>
      <c r="AV20" s="16"/>
      <c r="AW20" s="16"/>
      <c r="AX20" s="16">
        <v>0</v>
      </c>
      <c r="AY20" s="16">
        <v>0</v>
      </c>
      <c r="AZ20" s="16">
        <v>0</v>
      </c>
      <c r="BA20" s="16">
        <v>0</v>
      </c>
    </row>
    <row r="21" spans="1:53" x14ac:dyDescent="0.2">
      <c r="A21" s="14"/>
      <c r="B21" s="14" t="str">
        <f t="shared" si="6"/>
        <v>Haradan 1993</v>
      </c>
      <c r="C21" s="61">
        <f t="shared" si="7"/>
        <v>8</v>
      </c>
      <c r="D21" s="58">
        <v>1993</v>
      </c>
      <c r="E21" s="17"/>
      <c r="F21" s="58">
        <v>1</v>
      </c>
      <c r="G21" s="16">
        <v>1989</v>
      </c>
      <c r="H21" s="15">
        <f>LOOKUP(G21,CPI!A$69:A$100,CPI!O$69:O$100)</f>
        <v>1.7585161290322582</v>
      </c>
      <c r="I21" s="5">
        <v>2050</v>
      </c>
      <c r="J21" s="44">
        <v>0</v>
      </c>
      <c r="N21" s="3">
        <v>4.82</v>
      </c>
      <c r="O21" s="37">
        <f t="shared" si="1"/>
        <v>4.82</v>
      </c>
      <c r="P21" s="16">
        <v>0</v>
      </c>
      <c r="Q21" s="16">
        <v>1</v>
      </c>
      <c r="R21" s="16">
        <v>0</v>
      </c>
      <c r="S21" s="3"/>
      <c r="T21" s="56" t="str">
        <f t="shared" si="5"/>
        <v/>
      </c>
      <c r="U21" s="56" t="str">
        <f t="shared" si="9"/>
        <v/>
      </c>
      <c r="V21" s="56" t="str">
        <f t="shared" si="10"/>
        <v/>
      </c>
      <c r="W21" s="3"/>
      <c r="X21" s="3"/>
      <c r="Y21" s="3"/>
      <c r="Z21" s="3"/>
      <c r="AA21" s="37">
        <f t="shared" si="4"/>
        <v>4.82</v>
      </c>
      <c r="AB21" s="3"/>
      <c r="AC21" s="3"/>
      <c r="AD21" s="3"/>
      <c r="AE21" s="3"/>
      <c r="AF21" s="16">
        <v>0</v>
      </c>
      <c r="AG21" s="16">
        <v>0</v>
      </c>
      <c r="AH21" s="16">
        <v>0</v>
      </c>
      <c r="AI21" s="16">
        <v>0</v>
      </c>
      <c r="AJ21" s="5">
        <v>0</v>
      </c>
      <c r="AK21" s="5">
        <v>0</v>
      </c>
      <c r="AL21" s="5">
        <v>0</v>
      </c>
      <c r="AM21" s="20">
        <v>4</v>
      </c>
      <c r="AN21" s="20">
        <v>2</v>
      </c>
      <c r="AO21" s="5">
        <f>+(AM21-AN21)/AP21</f>
        <v>1.25</v>
      </c>
      <c r="AP21" s="41">
        <v>1.6</v>
      </c>
      <c r="AQ21" s="41"/>
      <c r="AR21" s="16">
        <v>0</v>
      </c>
      <c r="AS21" s="16">
        <v>0</v>
      </c>
      <c r="AT21" s="16"/>
      <c r="AU21" s="16"/>
      <c r="AV21" s="16"/>
      <c r="AW21" s="16"/>
      <c r="AX21" s="16">
        <v>0</v>
      </c>
      <c r="AY21" s="16">
        <v>0</v>
      </c>
      <c r="AZ21" s="16">
        <v>0</v>
      </c>
      <c r="BA21" s="16">
        <v>0</v>
      </c>
    </row>
    <row r="22" spans="1:53" x14ac:dyDescent="0.2">
      <c r="A22" s="23"/>
      <c r="B22" s="14" t="str">
        <f t="shared" si="6"/>
        <v>Haradan 1993</v>
      </c>
      <c r="C22" s="61">
        <f t="shared" si="7"/>
        <v>8</v>
      </c>
      <c r="D22" s="58">
        <v>1993</v>
      </c>
      <c r="E22" s="17"/>
      <c r="F22" s="58">
        <v>1</v>
      </c>
      <c r="G22" s="16">
        <v>1989</v>
      </c>
      <c r="H22" s="15">
        <f>LOOKUP(G22,CPI!A$69:A$100,CPI!O$69:O$100)</f>
        <v>1.7585161290322582</v>
      </c>
      <c r="I22" s="52">
        <v>1989</v>
      </c>
      <c r="J22" s="15">
        <v>0.5</v>
      </c>
      <c r="K22" s="59">
        <v>0.33333333333333331</v>
      </c>
      <c r="L22" s="57">
        <f>(AA23/AA22)^(1/(I23-I22))-1</f>
        <v>2.1425697154412005E-2</v>
      </c>
      <c r="M22" s="56">
        <f>AA22*H22*(1+$L$2)^(2015-I22)</f>
        <v>11.623804019723982</v>
      </c>
      <c r="N22" s="14">
        <v>2.98</v>
      </c>
      <c r="O22" s="18">
        <f t="shared" si="1"/>
        <v>2.98</v>
      </c>
      <c r="P22" s="16">
        <v>0</v>
      </c>
      <c r="Q22" s="16">
        <v>1</v>
      </c>
      <c r="R22" s="16">
        <v>0</v>
      </c>
      <c r="S22" s="14"/>
      <c r="T22" s="56" t="str">
        <f t="shared" si="5"/>
        <v/>
      </c>
      <c r="U22" s="56" t="str">
        <f t="shared" si="9"/>
        <v/>
      </c>
      <c r="V22" s="56" t="str">
        <f t="shared" si="10"/>
        <v/>
      </c>
      <c r="W22" s="14"/>
      <c r="X22" s="14"/>
      <c r="Y22" s="14"/>
      <c r="Z22" s="14"/>
      <c r="AA22" s="18">
        <f t="shared" si="4"/>
        <v>2.98</v>
      </c>
      <c r="AB22" s="14"/>
      <c r="AC22" s="14"/>
      <c r="AD22" s="14"/>
      <c r="AE22" s="14"/>
      <c r="AF22" s="16">
        <v>0</v>
      </c>
      <c r="AG22" s="16">
        <v>0</v>
      </c>
      <c r="AH22" s="16">
        <v>0</v>
      </c>
      <c r="AI22" s="16">
        <v>0</v>
      </c>
      <c r="AJ22" s="5">
        <v>0</v>
      </c>
      <c r="AK22" s="5">
        <v>0</v>
      </c>
      <c r="AL22" s="5">
        <v>0</v>
      </c>
      <c r="AM22" s="20">
        <v>4</v>
      </c>
      <c r="AN22" s="20">
        <v>2</v>
      </c>
      <c r="AO22" s="5">
        <f t="shared" si="11"/>
        <v>0.86956521739130443</v>
      </c>
      <c r="AP22" s="41">
        <v>2.2999999999999998</v>
      </c>
      <c r="AQ22" s="41"/>
      <c r="AR22" s="16">
        <v>0</v>
      </c>
      <c r="AS22" s="16">
        <v>0</v>
      </c>
      <c r="AT22" s="16"/>
      <c r="AU22" s="16"/>
      <c r="AV22" s="16"/>
      <c r="AW22" s="16"/>
      <c r="AX22" s="16">
        <v>0</v>
      </c>
      <c r="AY22" s="16">
        <v>0</v>
      </c>
      <c r="AZ22" s="16">
        <v>0</v>
      </c>
      <c r="BA22" s="16">
        <v>0</v>
      </c>
    </row>
    <row r="23" spans="1:53" x14ac:dyDescent="0.2">
      <c r="A23" s="14"/>
      <c r="B23" s="14" t="str">
        <f t="shared" si="6"/>
        <v>Haradan 1993</v>
      </c>
      <c r="C23" s="61">
        <f t="shared" si="7"/>
        <v>8</v>
      </c>
      <c r="D23" s="58">
        <v>1993</v>
      </c>
      <c r="E23" s="17"/>
      <c r="F23" s="58">
        <v>1</v>
      </c>
      <c r="G23" s="16">
        <v>1989</v>
      </c>
      <c r="H23" s="15">
        <f>LOOKUP(G23,CPI!A$69:A$100,CPI!O$69:O$100)</f>
        <v>1.7585161290322582</v>
      </c>
      <c r="I23" s="5">
        <v>2050</v>
      </c>
      <c r="J23" s="44">
        <v>0</v>
      </c>
      <c r="N23" s="3">
        <v>10.86</v>
      </c>
      <c r="O23" s="37">
        <f t="shared" si="1"/>
        <v>10.86</v>
      </c>
      <c r="P23" s="16">
        <v>0</v>
      </c>
      <c r="Q23" s="16">
        <v>1</v>
      </c>
      <c r="R23" s="16">
        <v>0</v>
      </c>
      <c r="S23" s="3"/>
      <c r="T23" s="56" t="str">
        <f t="shared" si="5"/>
        <v/>
      </c>
      <c r="U23" s="56" t="str">
        <f t="shared" si="9"/>
        <v/>
      </c>
      <c r="V23" s="56" t="str">
        <f t="shared" si="10"/>
        <v/>
      </c>
      <c r="W23" s="3"/>
      <c r="X23" s="3"/>
      <c r="Y23" s="3"/>
      <c r="Z23" s="3"/>
      <c r="AA23" s="37">
        <f t="shared" si="4"/>
        <v>10.86</v>
      </c>
      <c r="AB23" s="3"/>
      <c r="AC23" s="3"/>
      <c r="AD23" s="3"/>
      <c r="AE23" s="3"/>
      <c r="AF23" s="16">
        <v>0</v>
      </c>
      <c r="AG23" s="16">
        <v>0</v>
      </c>
      <c r="AH23" s="16">
        <v>0</v>
      </c>
      <c r="AI23" s="16">
        <v>0</v>
      </c>
      <c r="AJ23" s="5">
        <v>0</v>
      </c>
      <c r="AK23" s="5">
        <v>0</v>
      </c>
      <c r="AL23" s="5">
        <v>0</v>
      </c>
      <c r="AM23" s="20">
        <v>4</v>
      </c>
      <c r="AN23" s="20">
        <v>2</v>
      </c>
      <c r="AO23" s="5">
        <f>+(AM23-AN23)/AP23</f>
        <v>0.86956521739130443</v>
      </c>
      <c r="AP23" s="41">
        <v>2.2999999999999998</v>
      </c>
      <c r="AQ23" s="41"/>
      <c r="AR23" s="16">
        <v>0</v>
      </c>
      <c r="AS23" s="16">
        <v>0</v>
      </c>
      <c r="AT23" s="16"/>
      <c r="AU23" s="16"/>
      <c r="AV23" s="16"/>
      <c r="AW23" s="16"/>
      <c r="AX23" s="16">
        <v>0</v>
      </c>
      <c r="AY23" s="16">
        <v>0</v>
      </c>
      <c r="AZ23" s="16">
        <v>0</v>
      </c>
      <c r="BA23" s="16">
        <v>0</v>
      </c>
    </row>
    <row r="24" spans="1:53" x14ac:dyDescent="0.2">
      <c r="A24" s="14"/>
      <c r="B24" s="14" t="str">
        <f t="shared" si="6"/>
        <v>Haradan 1993</v>
      </c>
      <c r="C24" s="61">
        <f t="shared" si="7"/>
        <v>8</v>
      </c>
      <c r="D24" s="58">
        <v>1993</v>
      </c>
      <c r="E24" s="17"/>
      <c r="F24" s="58">
        <v>1</v>
      </c>
      <c r="G24" s="16">
        <v>1989</v>
      </c>
      <c r="H24" s="15">
        <f>LOOKUP(G24,CPI!A$69:A$100,CPI!O$69:O$100)</f>
        <v>1.7585161290322582</v>
      </c>
      <c r="I24" s="52">
        <v>1989</v>
      </c>
      <c r="J24" s="15">
        <v>0.25</v>
      </c>
      <c r="K24" s="59">
        <v>0.33333333333333331</v>
      </c>
      <c r="L24" s="57">
        <f>(AA25/AA24)^(1/(I25-I24))-1</f>
        <v>2.5145401560141334E-2</v>
      </c>
      <c r="M24" s="56">
        <f>AA24*H24*(1+$L$2)^(2015-I24)</f>
        <v>34.247315199052537</v>
      </c>
      <c r="N24" s="14">
        <v>8.7799999999999994</v>
      </c>
      <c r="O24" s="18">
        <f t="shared" si="1"/>
        <v>8.7799999999999994</v>
      </c>
      <c r="P24" s="16">
        <v>0</v>
      </c>
      <c r="Q24" s="16">
        <v>1</v>
      </c>
      <c r="R24" s="16">
        <v>0</v>
      </c>
      <c r="S24" s="14"/>
      <c r="T24" s="56" t="str">
        <f t="shared" si="5"/>
        <v/>
      </c>
      <c r="U24" s="56" t="str">
        <f t="shared" si="9"/>
        <v/>
      </c>
      <c r="V24" s="56" t="str">
        <f t="shared" si="10"/>
        <v/>
      </c>
      <c r="W24" s="14"/>
      <c r="X24" s="14"/>
      <c r="Y24" s="14"/>
      <c r="Z24" s="14"/>
      <c r="AA24" s="18">
        <f t="shared" si="4"/>
        <v>8.7799999999999994</v>
      </c>
      <c r="AB24" s="14"/>
      <c r="AC24" s="14"/>
      <c r="AD24" s="14"/>
      <c r="AE24" s="14"/>
      <c r="AF24" s="16">
        <v>0</v>
      </c>
      <c r="AG24" s="16">
        <v>0</v>
      </c>
      <c r="AH24" s="16">
        <v>0</v>
      </c>
      <c r="AI24" s="16">
        <v>0</v>
      </c>
      <c r="AJ24" s="5">
        <v>0</v>
      </c>
      <c r="AK24" s="5">
        <v>0</v>
      </c>
      <c r="AL24" s="5">
        <v>0</v>
      </c>
      <c r="AM24" s="20">
        <v>4</v>
      </c>
      <c r="AN24" s="20">
        <v>2</v>
      </c>
      <c r="AO24" s="5">
        <f t="shared" si="11"/>
        <v>0.5</v>
      </c>
      <c r="AP24" s="41">
        <v>4</v>
      </c>
      <c r="AQ24" s="41"/>
      <c r="AR24" s="16">
        <v>0</v>
      </c>
      <c r="AS24" s="16">
        <v>0</v>
      </c>
      <c r="AT24" s="16"/>
      <c r="AU24" s="16"/>
      <c r="AV24" s="16"/>
      <c r="AW24" s="16"/>
      <c r="AX24" s="16">
        <v>0</v>
      </c>
      <c r="AY24" s="16">
        <v>0</v>
      </c>
      <c r="AZ24" s="16">
        <v>0</v>
      </c>
      <c r="BA24" s="16">
        <v>0</v>
      </c>
    </row>
    <row r="25" spans="1:53" x14ac:dyDescent="0.2">
      <c r="A25" s="14"/>
      <c r="B25" s="14" t="str">
        <f t="shared" si="6"/>
        <v>Haradan 1993</v>
      </c>
      <c r="C25" s="61">
        <f t="shared" si="7"/>
        <v>8</v>
      </c>
      <c r="D25" s="58">
        <v>1993</v>
      </c>
      <c r="E25" s="17"/>
      <c r="F25" s="58">
        <v>1</v>
      </c>
      <c r="G25" s="16">
        <v>1989</v>
      </c>
      <c r="H25" s="15">
        <f>LOOKUP(G25,CPI!A$69:A$100,CPI!O$69:O$100)</f>
        <v>1.7585161290322582</v>
      </c>
      <c r="I25" s="5">
        <v>2050</v>
      </c>
      <c r="J25" s="44">
        <v>0</v>
      </c>
      <c r="N25" s="3">
        <v>39.94</v>
      </c>
      <c r="O25" s="37">
        <f t="shared" si="1"/>
        <v>39.94</v>
      </c>
      <c r="P25" s="16">
        <v>0</v>
      </c>
      <c r="Q25" s="16">
        <v>1</v>
      </c>
      <c r="R25" s="16">
        <v>0</v>
      </c>
      <c r="S25" s="3"/>
      <c r="T25" s="56" t="str">
        <f t="shared" si="5"/>
        <v/>
      </c>
      <c r="U25" s="56" t="str">
        <f t="shared" si="9"/>
        <v/>
      </c>
      <c r="V25" s="56" t="str">
        <f t="shared" si="10"/>
        <v/>
      </c>
      <c r="W25" s="3"/>
      <c r="X25" s="3"/>
      <c r="Y25" s="3"/>
      <c r="Z25" s="3"/>
      <c r="AA25" s="37">
        <f t="shared" si="4"/>
        <v>39.94</v>
      </c>
      <c r="AB25" s="3"/>
      <c r="AC25" s="3"/>
      <c r="AD25" s="3"/>
      <c r="AE25" s="3"/>
      <c r="AF25" s="16">
        <v>0</v>
      </c>
      <c r="AG25" s="16">
        <v>0</v>
      </c>
      <c r="AH25" s="16">
        <v>0</v>
      </c>
      <c r="AI25" s="16">
        <v>0</v>
      </c>
      <c r="AJ25" s="5">
        <v>0</v>
      </c>
      <c r="AK25" s="5">
        <v>0</v>
      </c>
      <c r="AL25" s="5">
        <v>0</v>
      </c>
      <c r="AM25" s="20">
        <v>4</v>
      </c>
      <c r="AN25" s="20">
        <v>2</v>
      </c>
      <c r="AO25" s="5">
        <f>+(AM25-AN25)/AP25</f>
        <v>0.5</v>
      </c>
      <c r="AP25" s="41">
        <v>4</v>
      </c>
      <c r="AQ25" s="41"/>
      <c r="AR25" s="16">
        <v>0</v>
      </c>
      <c r="AS25" s="16">
        <v>0</v>
      </c>
      <c r="AT25" s="16"/>
      <c r="AU25" s="16"/>
      <c r="AV25" s="16"/>
      <c r="AW25" s="16"/>
      <c r="AX25" s="16">
        <v>0</v>
      </c>
      <c r="AY25" s="16">
        <v>0</v>
      </c>
      <c r="AZ25" s="16">
        <v>0</v>
      </c>
      <c r="BA25" s="16">
        <v>0</v>
      </c>
    </row>
    <row r="26" spans="1:53" x14ac:dyDescent="0.2">
      <c r="A26" s="14" t="s">
        <v>9</v>
      </c>
      <c r="B26" s="14" t="str">
        <f t="shared" si="6"/>
        <v>Nordhaus 1993</v>
      </c>
      <c r="C26" s="61">
        <f t="shared" si="7"/>
        <v>9</v>
      </c>
      <c r="D26" s="58">
        <v>1993</v>
      </c>
      <c r="E26" s="17" t="s">
        <v>75</v>
      </c>
      <c r="F26" s="58">
        <v>1</v>
      </c>
      <c r="G26" s="16">
        <v>1989</v>
      </c>
      <c r="H26" s="15">
        <f>LOOKUP(G26,CPI!A$69:A$100,CPI!O$69:O$100)</f>
        <v>1.7585161290322582</v>
      </c>
      <c r="I26" s="52">
        <v>1990</v>
      </c>
      <c r="J26" s="15">
        <v>1</v>
      </c>
      <c r="K26" s="59">
        <v>1</v>
      </c>
      <c r="L26" s="57">
        <f>(AA27/AA26)^(1/(I27-I26))-1</f>
        <v>2.0001609421198996E-2</v>
      </c>
      <c r="M26" s="56">
        <f>AA26*H26*(1+$L$2)^(2015-I26)</f>
        <v>18.914500577117963</v>
      </c>
      <c r="N26" s="14">
        <v>5</v>
      </c>
      <c r="O26" s="18">
        <f>N26</f>
        <v>5</v>
      </c>
      <c r="P26" s="16">
        <v>0</v>
      </c>
      <c r="Q26" s="16">
        <v>1</v>
      </c>
      <c r="R26" s="16">
        <v>0</v>
      </c>
      <c r="S26" s="14"/>
      <c r="T26" s="56" t="str">
        <f>IF(OR(M26="",S26=""),"",S26*H26*(1+$L$2)^(2015-I26))</f>
        <v/>
      </c>
      <c r="U26" s="56" t="str">
        <f>+V26</f>
        <v/>
      </c>
      <c r="V26" s="56" t="str">
        <f>+T26</f>
        <v/>
      </c>
      <c r="W26" s="14"/>
      <c r="X26" s="14"/>
      <c r="Y26" s="14"/>
      <c r="Z26" s="14"/>
      <c r="AA26" s="18">
        <f>N26</f>
        <v>5</v>
      </c>
      <c r="AB26" s="14"/>
      <c r="AC26" s="14"/>
      <c r="AD26" s="14"/>
      <c r="AE26" s="14"/>
      <c r="AF26" s="16">
        <v>0</v>
      </c>
      <c r="AG26" s="16">
        <v>1</v>
      </c>
      <c r="AH26" s="16">
        <v>0</v>
      </c>
      <c r="AI26" s="16">
        <v>1</v>
      </c>
      <c r="AJ26" s="5">
        <v>0</v>
      </c>
      <c r="AK26" s="5">
        <v>1</v>
      </c>
      <c r="AL26" s="5">
        <v>0</v>
      </c>
      <c r="AM26" s="20">
        <v>5</v>
      </c>
      <c r="AN26" s="20">
        <v>3</v>
      </c>
      <c r="AO26" s="16"/>
      <c r="AP26" s="16"/>
      <c r="AQ26" s="16"/>
      <c r="AR26" s="16">
        <v>0</v>
      </c>
      <c r="AS26" s="16">
        <v>0</v>
      </c>
      <c r="AT26" s="16"/>
      <c r="AU26" s="16"/>
      <c r="AV26" s="16"/>
      <c r="AW26" s="16"/>
      <c r="AX26" s="16">
        <v>0</v>
      </c>
      <c r="AY26" s="16">
        <v>1</v>
      </c>
      <c r="AZ26" s="16">
        <v>0</v>
      </c>
      <c r="BA26" s="16">
        <v>1</v>
      </c>
    </row>
    <row r="27" spans="1:53" x14ac:dyDescent="0.2">
      <c r="A27" s="14"/>
      <c r="B27" s="14" t="str">
        <f t="shared" si="6"/>
        <v>Nordhaus 1993</v>
      </c>
      <c r="C27" s="61">
        <f t="shared" si="7"/>
        <v>9</v>
      </c>
      <c r="D27" s="58">
        <v>1993</v>
      </c>
      <c r="E27" s="17"/>
      <c r="F27" s="58">
        <v>1</v>
      </c>
      <c r="G27" s="16">
        <v>1989</v>
      </c>
      <c r="H27" s="15">
        <f>LOOKUP(G27,CPI!A$69:A$100,CPI!O$69:O$100)</f>
        <v>1.7585161290322582</v>
      </c>
      <c r="I27" s="5">
        <v>2025</v>
      </c>
      <c r="J27" s="44">
        <v>0</v>
      </c>
      <c r="K27" s="59"/>
      <c r="L27" s="57"/>
      <c r="N27" s="3">
        <v>10</v>
      </c>
      <c r="O27" s="37">
        <f>N27</f>
        <v>10</v>
      </c>
      <c r="P27" s="16">
        <v>0</v>
      </c>
      <c r="Q27" s="16">
        <v>1</v>
      </c>
      <c r="R27" s="16">
        <v>0</v>
      </c>
      <c r="S27" s="3"/>
      <c r="T27" s="56" t="str">
        <f>IF(OR(M27="",S27=""),"",S27*H27*(1+$L$2)^(2015-I27))</f>
        <v/>
      </c>
      <c r="U27" s="56" t="str">
        <f>+V27</f>
        <v/>
      </c>
      <c r="V27" s="56" t="str">
        <f>+T27</f>
        <v/>
      </c>
      <c r="W27" s="3"/>
      <c r="X27" s="3"/>
      <c r="Y27" s="3"/>
      <c r="Z27" s="3"/>
      <c r="AA27" s="37">
        <f>N27</f>
        <v>10</v>
      </c>
      <c r="AB27" s="3"/>
      <c r="AC27" s="3"/>
      <c r="AD27" s="3"/>
      <c r="AE27" s="3"/>
      <c r="AF27" s="16">
        <v>0</v>
      </c>
      <c r="AG27" s="16">
        <v>1</v>
      </c>
      <c r="AH27" s="16">
        <v>0</v>
      </c>
      <c r="AI27" s="16">
        <v>1</v>
      </c>
      <c r="AJ27" s="5">
        <v>0</v>
      </c>
      <c r="AK27" s="5">
        <v>1</v>
      </c>
      <c r="AL27" s="5">
        <v>0</v>
      </c>
      <c r="AM27" s="20">
        <v>5</v>
      </c>
      <c r="AN27" s="20">
        <v>3</v>
      </c>
      <c r="AO27" s="16"/>
      <c r="AP27" s="16"/>
      <c r="AQ27" s="16"/>
      <c r="AR27" s="16">
        <v>0</v>
      </c>
      <c r="AS27" s="16">
        <v>0</v>
      </c>
      <c r="AT27" s="16"/>
      <c r="AU27" s="16"/>
      <c r="AV27" s="16"/>
      <c r="AW27" s="16"/>
      <c r="AX27" s="16">
        <v>0</v>
      </c>
      <c r="AY27" s="16">
        <v>1</v>
      </c>
      <c r="AZ27" s="16">
        <v>0</v>
      </c>
      <c r="BA27" s="16">
        <v>1</v>
      </c>
    </row>
    <row r="28" spans="1:53" x14ac:dyDescent="0.2">
      <c r="A28" s="14"/>
      <c r="B28" s="14" t="str">
        <f t="shared" si="6"/>
        <v>Nordhaus 1993</v>
      </c>
      <c r="C28" s="61">
        <f t="shared" si="7"/>
        <v>9</v>
      </c>
      <c r="D28" s="58">
        <v>1993</v>
      </c>
      <c r="E28" s="17"/>
      <c r="F28" s="58">
        <v>1</v>
      </c>
      <c r="G28" s="16">
        <v>1989</v>
      </c>
      <c r="H28" s="15">
        <f>LOOKUP(G28,CPI!A$69:A$100,CPI!O$69:O$100)</f>
        <v>1.7585161290322582</v>
      </c>
      <c r="I28" s="5">
        <v>2035</v>
      </c>
      <c r="J28" s="44">
        <v>0</v>
      </c>
      <c r="K28" s="44"/>
      <c r="L28" s="65"/>
      <c r="N28" s="3">
        <v>11.7</v>
      </c>
      <c r="O28" s="37">
        <f>N28</f>
        <v>11.7</v>
      </c>
      <c r="P28" s="16">
        <v>0</v>
      </c>
      <c r="Q28" s="16">
        <v>1</v>
      </c>
      <c r="R28" s="16">
        <v>0</v>
      </c>
      <c r="S28" s="3"/>
      <c r="T28" s="56" t="str">
        <f>IF(OR(M28="",S28=""),"",S28*H28*(1+$L$2)^(2015-I28))</f>
        <v/>
      </c>
      <c r="U28" s="56" t="str">
        <f>+V28</f>
        <v/>
      </c>
      <c r="V28" s="56" t="str">
        <f>+T28</f>
        <v/>
      </c>
      <c r="W28" s="3"/>
      <c r="X28" s="3"/>
      <c r="Y28" s="3"/>
      <c r="Z28" s="3"/>
      <c r="AA28" s="37">
        <f>N28</f>
        <v>11.7</v>
      </c>
      <c r="AB28" s="3"/>
      <c r="AC28" s="3"/>
      <c r="AD28" s="3"/>
      <c r="AE28" s="3"/>
      <c r="AF28" s="16">
        <v>0</v>
      </c>
      <c r="AG28" s="16">
        <v>1</v>
      </c>
      <c r="AH28" s="16">
        <v>0</v>
      </c>
      <c r="AI28" s="16">
        <v>1</v>
      </c>
      <c r="AJ28" s="5">
        <v>0</v>
      </c>
      <c r="AK28" s="5">
        <v>1</v>
      </c>
      <c r="AL28" s="5">
        <v>0</v>
      </c>
      <c r="AM28" s="20">
        <v>5</v>
      </c>
      <c r="AN28" s="20">
        <v>3</v>
      </c>
      <c r="AO28" s="16"/>
      <c r="AP28" s="16"/>
      <c r="AQ28" s="16"/>
      <c r="AR28" s="16">
        <v>0</v>
      </c>
      <c r="AS28" s="16">
        <v>0</v>
      </c>
      <c r="AT28" s="16"/>
      <c r="AU28" s="16"/>
      <c r="AV28" s="16"/>
      <c r="AW28" s="16"/>
      <c r="AX28" s="16">
        <v>0</v>
      </c>
      <c r="AY28" s="16">
        <v>1</v>
      </c>
      <c r="AZ28" s="16">
        <v>0</v>
      </c>
      <c r="BA28" s="16">
        <v>1</v>
      </c>
    </row>
    <row r="29" spans="1:53" x14ac:dyDescent="0.2">
      <c r="A29" s="14"/>
      <c r="B29" s="14" t="str">
        <f t="shared" si="6"/>
        <v>Nordhaus 1993</v>
      </c>
      <c r="C29" s="61">
        <f t="shared" si="7"/>
        <v>9</v>
      </c>
      <c r="D29" s="58">
        <v>1993</v>
      </c>
      <c r="E29" s="17"/>
      <c r="F29" s="58">
        <v>1</v>
      </c>
      <c r="G29" s="16">
        <v>1989</v>
      </c>
      <c r="H29" s="15">
        <f>LOOKUP(G29,CPI!A$69:A$100,CPI!O$69:O$100)</f>
        <v>1.7585161290322582</v>
      </c>
      <c r="I29" s="5">
        <v>2055</v>
      </c>
      <c r="J29" s="44">
        <v>0</v>
      </c>
      <c r="K29" s="44"/>
      <c r="L29" s="65"/>
      <c r="N29" s="3">
        <v>15</v>
      </c>
      <c r="O29" s="37">
        <f>N29</f>
        <v>15</v>
      </c>
      <c r="P29" s="16">
        <v>0</v>
      </c>
      <c r="Q29" s="16">
        <v>1</v>
      </c>
      <c r="R29" s="16">
        <v>0</v>
      </c>
      <c r="S29" s="3"/>
      <c r="T29" s="56" t="str">
        <f>IF(OR(M29="",S29=""),"",S29*H29*(1+$L$2)^(2015-I29))</f>
        <v/>
      </c>
      <c r="U29" s="56" t="str">
        <f>+V29</f>
        <v/>
      </c>
      <c r="V29" s="56" t="str">
        <f>+T29</f>
        <v/>
      </c>
      <c r="W29" s="3"/>
      <c r="X29" s="3"/>
      <c r="Y29" s="3"/>
      <c r="Z29" s="3"/>
      <c r="AA29" s="37">
        <f>N29</f>
        <v>15</v>
      </c>
      <c r="AB29" s="3"/>
      <c r="AC29" s="3"/>
      <c r="AD29" s="3"/>
      <c r="AE29" s="3"/>
      <c r="AF29" s="16">
        <v>0</v>
      </c>
      <c r="AG29" s="16">
        <v>1</v>
      </c>
      <c r="AH29" s="16">
        <v>0</v>
      </c>
      <c r="AI29" s="16">
        <v>1</v>
      </c>
      <c r="AJ29" s="5">
        <v>0</v>
      </c>
      <c r="AK29" s="5">
        <v>1</v>
      </c>
      <c r="AL29" s="5">
        <v>0</v>
      </c>
      <c r="AM29" s="20">
        <v>5</v>
      </c>
      <c r="AN29" s="20">
        <v>3</v>
      </c>
      <c r="AO29" s="16"/>
      <c r="AP29" s="16"/>
      <c r="AQ29" s="16"/>
      <c r="AR29" s="16">
        <v>0</v>
      </c>
      <c r="AS29" s="16">
        <v>0</v>
      </c>
      <c r="AT29" s="16"/>
      <c r="AU29" s="16"/>
      <c r="AV29" s="16"/>
      <c r="AW29" s="16"/>
      <c r="AX29" s="16">
        <v>0</v>
      </c>
      <c r="AY29" s="16">
        <v>1</v>
      </c>
      <c r="AZ29" s="16">
        <v>0</v>
      </c>
      <c r="BA29" s="16">
        <v>1</v>
      </c>
    </row>
    <row r="30" spans="1:53" x14ac:dyDescent="0.2">
      <c r="A30" s="14"/>
      <c r="B30" s="14" t="str">
        <f t="shared" si="6"/>
        <v>Nordhaus 1993</v>
      </c>
      <c r="C30" s="61">
        <f t="shared" si="7"/>
        <v>9</v>
      </c>
      <c r="D30" s="58">
        <v>1993</v>
      </c>
      <c r="E30" s="17"/>
      <c r="F30" s="58">
        <v>1</v>
      </c>
      <c r="G30" s="16">
        <v>1989</v>
      </c>
      <c r="H30" s="15">
        <f>LOOKUP(G30,CPI!A$69:A$100,CPI!O$69:O$100)</f>
        <v>1.7585161290322582</v>
      </c>
      <c r="I30" s="5">
        <v>2095</v>
      </c>
      <c r="J30" s="44">
        <v>0</v>
      </c>
      <c r="K30" s="44"/>
      <c r="L30" s="65"/>
      <c r="N30" s="3">
        <v>21</v>
      </c>
      <c r="O30" s="37">
        <f>N30</f>
        <v>21</v>
      </c>
      <c r="P30" s="16">
        <v>0</v>
      </c>
      <c r="Q30" s="16">
        <v>1</v>
      </c>
      <c r="R30" s="16">
        <v>0</v>
      </c>
      <c r="S30" s="3"/>
      <c r="T30" s="56" t="str">
        <f>IF(OR(M30="",S30=""),"",S30*H30*(1+$L$2)^(2015-I30))</f>
        <v/>
      </c>
      <c r="U30" s="56" t="str">
        <f>+V30</f>
        <v/>
      </c>
      <c r="V30" s="56" t="str">
        <f>+T30</f>
        <v/>
      </c>
      <c r="W30" s="3"/>
      <c r="X30" s="3"/>
      <c r="Y30" s="3"/>
      <c r="Z30" s="3"/>
      <c r="AA30" s="37">
        <f>N30</f>
        <v>21</v>
      </c>
      <c r="AB30" s="3"/>
      <c r="AC30" s="3"/>
      <c r="AD30" s="3"/>
      <c r="AE30" s="3"/>
      <c r="AF30" s="16">
        <v>0</v>
      </c>
      <c r="AG30" s="16">
        <v>1</v>
      </c>
      <c r="AH30" s="16">
        <v>0</v>
      </c>
      <c r="AI30" s="16">
        <v>1</v>
      </c>
      <c r="AJ30" s="5">
        <v>0</v>
      </c>
      <c r="AK30" s="5">
        <v>1</v>
      </c>
      <c r="AL30" s="5">
        <v>0</v>
      </c>
      <c r="AM30" s="20">
        <v>5</v>
      </c>
      <c r="AN30" s="20">
        <v>3</v>
      </c>
      <c r="AO30" s="16"/>
      <c r="AP30" s="16"/>
      <c r="AQ30" s="16"/>
      <c r="AR30" s="16">
        <v>0</v>
      </c>
      <c r="AS30" s="16">
        <v>0</v>
      </c>
      <c r="AT30" s="16"/>
      <c r="AU30" s="16"/>
      <c r="AV30" s="16"/>
      <c r="AW30" s="16"/>
      <c r="AX30" s="16">
        <v>0</v>
      </c>
      <c r="AY30" s="16">
        <v>1</v>
      </c>
      <c r="AZ30" s="16">
        <v>0</v>
      </c>
      <c r="BA30" s="16">
        <v>1</v>
      </c>
    </row>
    <row r="31" spans="1:53" x14ac:dyDescent="0.2">
      <c r="A31" s="14" t="s">
        <v>55</v>
      </c>
      <c r="B31" s="14" t="str">
        <f t="shared" si="6"/>
        <v>Parry 1993</v>
      </c>
      <c r="C31" s="61">
        <f t="shared" si="7"/>
        <v>10</v>
      </c>
      <c r="D31" s="58">
        <v>1993</v>
      </c>
      <c r="E31" s="17" t="s">
        <v>105</v>
      </c>
      <c r="F31" s="58">
        <v>1</v>
      </c>
      <c r="G31" s="16">
        <v>1991</v>
      </c>
      <c r="H31" s="15">
        <f>LOOKUP(G31,CPI!A$69:A$100,CPI!O$69:O$100)</f>
        <v>1.600998531571219</v>
      </c>
      <c r="I31" s="52">
        <v>1990</v>
      </c>
      <c r="J31" s="23">
        <f>1/112</f>
        <v>8.9285714285714281E-3</v>
      </c>
      <c r="K31" s="15"/>
      <c r="L31" s="62"/>
      <c r="M31" s="56">
        <f t="shared" ref="M31:M61" si="12">AA31*H31*(1+$L$2)^(2015-I31)</f>
        <v>2.525636689886334E-2</v>
      </c>
      <c r="N31" s="14">
        <f>44/12*0.002</f>
        <v>7.3333333333333332E-3</v>
      </c>
      <c r="O31" s="18">
        <f t="shared" si="1"/>
        <v>7.3333333333333332E-3</v>
      </c>
      <c r="P31" s="16">
        <v>0</v>
      </c>
      <c r="Q31" s="16">
        <v>1</v>
      </c>
      <c r="R31" s="16">
        <v>0</v>
      </c>
      <c r="S31" s="14"/>
      <c r="T31" s="56" t="str">
        <f t="shared" si="5"/>
        <v/>
      </c>
      <c r="U31" s="56" t="str">
        <f t="shared" si="9"/>
        <v/>
      </c>
      <c r="V31" s="56" t="str">
        <f t="shared" si="10"/>
        <v/>
      </c>
      <c r="W31" s="14"/>
      <c r="X31" s="14"/>
      <c r="Y31" s="14"/>
      <c r="Z31" s="14"/>
      <c r="AA31" s="18">
        <f t="shared" si="4"/>
        <v>7.3333333333333332E-3</v>
      </c>
      <c r="AB31" s="14"/>
      <c r="AC31" s="14"/>
      <c r="AD31" s="14"/>
      <c r="AE31" s="14"/>
      <c r="AF31" s="16">
        <v>0</v>
      </c>
      <c r="AG31" s="16">
        <v>1</v>
      </c>
      <c r="AH31" s="16">
        <v>0</v>
      </c>
      <c r="AI31" s="16">
        <v>0</v>
      </c>
      <c r="AJ31" s="5">
        <v>0</v>
      </c>
      <c r="AK31" s="5">
        <v>1</v>
      </c>
      <c r="AL31" s="5">
        <v>0</v>
      </c>
      <c r="AM31" s="20"/>
      <c r="AN31" s="20">
        <v>0</v>
      </c>
      <c r="AO31" s="16"/>
      <c r="AP31" s="16"/>
      <c r="AQ31" s="16"/>
      <c r="AR31" s="16">
        <v>0</v>
      </c>
      <c r="AS31" s="16">
        <v>0</v>
      </c>
      <c r="AT31" s="16"/>
      <c r="AU31" s="16"/>
      <c r="AV31" s="16"/>
      <c r="AW31" s="16"/>
      <c r="AX31" s="16">
        <v>0</v>
      </c>
      <c r="AY31" s="16">
        <v>0</v>
      </c>
      <c r="AZ31" s="16">
        <v>0</v>
      </c>
      <c r="BA31" s="16">
        <v>0</v>
      </c>
    </row>
    <row r="32" spans="1:53" x14ac:dyDescent="0.2">
      <c r="A32" s="14"/>
      <c r="B32" s="14" t="str">
        <f t="shared" si="6"/>
        <v>Parry 1993</v>
      </c>
      <c r="C32" s="61">
        <f t="shared" si="7"/>
        <v>10</v>
      </c>
      <c r="D32" s="58">
        <v>1993</v>
      </c>
      <c r="E32" s="17"/>
      <c r="F32" s="58">
        <v>1</v>
      </c>
      <c r="G32" s="16">
        <v>1991</v>
      </c>
      <c r="H32" s="15">
        <f>LOOKUP(G32,CPI!A$69:A$100,CPI!O$69:O$100)</f>
        <v>1.600998531571219</v>
      </c>
      <c r="I32" s="52">
        <v>1990</v>
      </c>
      <c r="J32" s="23">
        <f>1/112</f>
        <v>8.9285714285714281E-3</v>
      </c>
      <c r="K32" s="15"/>
      <c r="L32" s="62"/>
      <c r="M32" s="56">
        <f t="shared" si="12"/>
        <v>0.15153820139318003</v>
      </c>
      <c r="N32" s="14">
        <f>44/12*0.012</f>
        <v>4.3999999999999997E-2</v>
      </c>
      <c r="O32" s="18">
        <f t="shared" si="1"/>
        <v>4.3999999999999997E-2</v>
      </c>
      <c r="P32" s="16">
        <v>0</v>
      </c>
      <c r="Q32" s="16">
        <v>1</v>
      </c>
      <c r="R32" s="16">
        <v>0</v>
      </c>
      <c r="S32" s="14"/>
      <c r="T32" s="56" t="str">
        <f t="shared" si="5"/>
        <v/>
      </c>
      <c r="U32" s="56" t="str">
        <f t="shared" si="9"/>
        <v/>
      </c>
      <c r="V32" s="56" t="str">
        <f t="shared" si="10"/>
        <v/>
      </c>
      <c r="W32" s="14"/>
      <c r="X32" s="14"/>
      <c r="Y32" s="14"/>
      <c r="Z32" s="14"/>
      <c r="AA32" s="18">
        <f t="shared" si="4"/>
        <v>4.3999999999999997E-2</v>
      </c>
      <c r="AB32" s="14"/>
      <c r="AC32" s="14"/>
      <c r="AD32" s="14"/>
      <c r="AE32" s="14"/>
      <c r="AF32" s="16">
        <v>0</v>
      </c>
      <c r="AG32" s="16">
        <v>1</v>
      </c>
      <c r="AH32" s="16">
        <v>0</v>
      </c>
      <c r="AI32" s="16">
        <v>0</v>
      </c>
      <c r="AJ32" s="5">
        <v>0</v>
      </c>
      <c r="AK32" s="5">
        <v>1</v>
      </c>
      <c r="AL32" s="5">
        <v>0</v>
      </c>
      <c r="AM32" s="20"/>
      <c r="AN32" s="20">
        <v>0</v>
      </c>
      <c r="AO32" s="16"/>
      <c r="AP32" s="16"/>
      <c r="AQ32" s="16"/>
      <c r="AR32" s="16">
        <v>0</v>
      </c>
      <c r="AS32" s="16">
        <v>0</v>
      </c>
      <c r="AT32" s="16"/>
      <c r="AU32" s="16"/>
      <c r="AV32" s="16"/>
      <c r="AW32" s="16"/>
      <c r="AX32" s="16">
        <v>0</v>
      </c>
      <c r="AY32" s="16">
        <v>0</v>
      </c>
      <c r="AZ32" s="16">
        <v>0</v>
      </c>
      <c r="BA32" s="16">
        <v>0</v>
      </c>
    </row>
    <row r="33" spans="1:53" x14ac:dyDescent="0.2">
      <c r="A33" s="14"/>
      <c r="B33" s="14" t="str">
        <f t="shared" si="6"/>
        <v>Parry 1993</v>
      </c>
      <c r="C33" s="61">
        <f t="shared" si="7"/>
        <v>10</v>
      </c>
      <c r="D33" s="58">
        <v>1993</v>
      </c>
      <c r="E33" s="17"/>
      <c r="F33" s="58">
        <v>1</v>
      </c>
      <c r="G33" s="16">
        <v>1991</v>
      </c>
      <c r="H33" s="15">
        <f>LOOKUP(G33,CPI!A$69:A$100,CPI!O$69:O$100)</f>
        <v>1.600998531571219</v>
      </c>
      <c r="I33" s="52">
        <v>1990</v>
      </c>
      <c r="J33" s="23">
        <f>2/112</f>
        <v>1.7857142857142856E-2</v>
      </c>
      <c r="K33" s="15"/>
      <c r="L33" s="62"/>
      <c r="M33" s="56">
        <f t="shared" si="12"/>
        <v>3.7884550348295007E-2</v>
      </c>
      <c r="N33" s="14">
        <f>44/12*0.003</f>
        <v>1.0999999999999999E-2</v>
      </c>
      <c r="O33" s="18">
        <f t="shared" si="1"/>
        <v>1.0999999999999999E-2</v>
      </c>
      <c r="P33" s="16">
        <v>0</v>
      </c>
      <c r="Q33" s="16">
        <v>1</v>
      </c>
      <c r="R33" s="16">
        <v>0</v>
      </c>
      <c r="S33" s="14"/>
      <c r="T33" s="56" t="str">
        <f t="shared" si="5"/>
        <v/>
      </c>
      <c r="U33" s="56" t="str">
        <f t="shared" si="9"/>
        <v/>
      </c>
      <c r="V33" s="56" t="str">
        <f t="shared" si="10"/>
        <v/>
      </c>
      <c r="W33" s="14"/>
      <c r="X33" s="14"/>
      <c r="Y33" s="14"/>
      <c r="Z33" s="14"/>
      <c r="AA33" s="18">
        <f t="shared" si="4"/>
        <v>1.0999999999999999E-2</v>
      </c>
      <c r="AB33" s="14"/>
      <c r="AC33" s="14"/>
      <c r="AD33" s="14"/>
      <c r="AE33" s="14"/>
      <c r="AF33" s="16">
        <v>0</v>
      </c>
      <c r="AG33" s="16">
        <v>1</v>
      </c>
      <c r="AH33" s="16">
        <v>0</v>
      </c>
      <c r="AI33" s="16">
        <v>0</v>
      </c>
      <c r="AJ33" s="5">
        <v>0</v>
      </c>
      <c r="AK33" s="5">
        <v>1</v>
      </c>
      <c r="AL33" s="5">
        <v>0</v>
      </c>
      <c r="AM33" s="20"/>
      <c r="AN33" s="20">
        <v>0</v>
      </c>
      <c r="AO33" s="16"/>
      <c r="AP33" s="16"/>
      <c r="AQ33" s="16"/>
      <c r="AR33" s="16">
        <v>0</v>
      </c>
      <c r="AS33" s="16">
        <v>0</v>
      </c>
      <c r="AT33" s="16"/>
      <c r="AU33" s="16"/>
      <c r="AV33" s="16"/>
      <c r="AW33" s="16"/>
      <c r="AX33" s="16">
        <v>0</v>
      </c>
      <c r="AY33" s="16">
        <v>0</v>
      </c>
      <c r="AZ33" s="16">
        <v>0</v>
      </c>
      <c r="BA33" s="16">
        <v>0</v>
      </c>
    </row>
    <row r="34" spans="1:53" x14ac:dyDescent="0.2">
      <c r="A34" s="14"/>
      <c r="B34" s="14" t="str">
        <f t="shared" si="6"/>
        <v>Parry 1993</v>
      </c>
      <c r="C34" s="61">
        <f t="shared" si="7"/>
        <v>10</v>
      </c>
      <c r="D34" s="58">
        <v>1993</v>
      </c>
      <c r="E34" s="17"/>
      <c r="F34" s="58">
        <v>1</v>
      </c>
      <c r="G34" s="16">
        <v>1991</v>
      </c>
      <c r="H34" s="15">
        <f>LOOKUP(G34,CPI!A$69:A$100,CPI!O$69:O$100)</f>
        <v>1.600998531571219</v>
      </c>
      <c r="I34" s="52">
        <v>1990</v>
      </c>
      <c r="J34" s="23">
        <f>2/112</f>
        <v>1.7857142857142856E-2</v>
      </c>
      <c r="K34" s="15"/>
      <c r="L34" s="62"/>
      <c r="M34" s="56">
        <f t="shared" si="12"/>
        <v>0.22730730208977004</v>
      </c>
      <c r="N34" s="14">
        <f>44/12*0.018</f>
        <v>6.5999999999999989E-2</v>
      </c>
      <c r="O34" s="18">
        <f t="shared" si="1"/>
        <v>6.5999999999999989E-2</v>
      </c>
      <c r="P34" s="16">
        <v>0</v>
      </c>
      <c r="Q34" s="16">
        <v>1</v>
      </c>
      <c r="R34" s="16">
        <v>0</v>
      </c>
      <c r="S34" s="14"/>
      <c r="T34" s="56" t="str">
        <f t="shared" si="5"/>
        <v/>
      </c>
      <c r="U34" s="56" t="str">
        <f t="shared" si="9"/>
        <v/>
      </c>
      <c r="V34" s="56" t="str">
        <f t="shared" si="10"/>
        <v/>
      </c>
      <c r="W34" s="14"/>
      <c r="X34" s="14"/>
      <c r="Y34" s="14"/>
      <c r="Z34" s="14"/>
      <c r="AA34" s="18">
        <f t="shared" si="4"/>
        <v>6.5999999999999989E-2</v>
      </c>
      <c r="AB34" s="14"/>
      <c r="AC34" s="14"/>
      <c r="AD34" s="14"/>
      <c r="AE34" s="14"/>
      <c r="AF34" s="16">
        <v>0</v>
      </c>
      <c r="AG34" s="16">
        <v>1</v>
      </c>
      <c r="AH34" s="16">
        <v>0</v>
      </c>
      <c r="AI34" s="16">
        <v>0</v>
      </c>
      <c r="AJ34" s="5">
        <v>0</v>
      </c>
      <c r="AK34" s="5">
        <v>1</v>
      </c>
      <c r="AL34" s="5">
        <v>0</v>
      </c>
      <c r="AM34" s="20"/>
      <c r="AN34" s="20">
        <v>0</v>
      </c>
      <c r="AO34" s="16"/>
      <c r="AP34" s="16"/>
      <c r="AQ34" s="16"/>
      <c r="AR34" s="16">
        <v>0</v>
      </c>
      <c r="AS34" s="16">
        <v>0</v>
      </c>
      <c r="AT34" s="16"/>
      <c r="AU34" s="16"/>
      <c r="AV34" s="16"/>
      <c r="AW34" s="16"/>
      <c r="AX34" s="16">
        <v>0</v>
      </c>
      <c r="AY34" s="16">
        <v>0</v>
      </c>
      <c r="AZ34" s="16">
        <v>0</v>
      </c>
      <c r="BA34" s="16">
        <v>0</v>
      </c>
    </row>
    <row r="35" spans="1:53" x14ac:dyDescent="0.2">
      <c r="A35" s="14"/>
      <c r="B35" s="14" t="str">
        <f t="shared" si="6"/>
        <v>Parry 1993</v>
      </c>
      <c r="C35" s="61">
        <f t="shared" si="7"/>
        <v>10</v>
      </c>
      <c r="D35" s="58">
        <v>1993</v>
      </c>
      <c r="E35" s="17"/>
      <c r="F35" s="58">
        <v>1</v>
      </c>
      <c r="G35" s="16">
        <v>1991</v>
      </c>
      <c r="H35" s="15">
        <f>LOOKUP(G35,CPI!A$69:A$100,CPI!O$69:O$100)</f>
        <v>1.600998531571219</v>
      </c>
      <c r="I35" s="52">
        <v>1990</v>
      </c>
      <c r="J35" s="23">
        <f>2/112</f>
        <v>1.7857142857142856E-2</v>
      </c>
      <c r="K35" s="15"/>
      <c r="L35" s="62"/>
      <c r="M35" s="56">
        <f t="shared" si="12"/>
        <v>7.5769100696590014E-2</v>
      </c>
      <c r="N35" s="14">
        <f>44/12*0.006</f>
        <v>2.1999999999999999E-2</v>
      </c>
      <c r="O35" s="18">
        <f t="shared" si="1"/>
        <v>2.1999999999999999E-2</v>
      </c>
      <c r="P35" s="16">
        <v>0</v>
      </c>
      <c r="Q35" s="16">
        <v>1</v>
      </c>
      <c r="R35" s="16">
        <v>0</v>
      </c>
      <c r="S35" s="14"/>
      <c r="T35" s="56" t="str">
        <f t="shared" si="5"/>
        <v/>
      </c>
      <c r="U35" s="56" t="str">
        <f t="shared" si="9"/>
        <v/>
      </c>
      <c r="V35" s="56" t="str">
        <f t="shared" si="10"/>
        <v/>
      </c>
      <c r="W35" s="14"/>
      <c r="X35" s="14"/>
      <c r="Y35" s="14"/>
      <c r="Z35" s="14"/>
      <c r="AA35" s="18">
        <f t="shared" si="4"/>
        <v>2.1999999999999999E-2</v>
      </c>
      <c r="AB35" s="14"/>
      <c r="AC35" s="14"/>
      <c r="AD35" s="14"/>
      <c r="AE35" s="14"/>
      <c r="AF35" s="16">
        <v>0</v>
      </c>
      <c r="AG35" s="16">
        <v>1</v>
      </c>
      <c r="AH35" s="16">
        <v>0</v>
      </c>
      <c r="AI35" s="16">
        <v>0</v>
      </c>
      <c r="AJ35" s="5">
        <v>0</v>
      </c>
      <c r="AK35" s="5">
        <v>1</v>
      </c>
      <c r="AL35" s="5">
        <v>0</v>
      </c>
      <c r="AM35" s="20"/>
      <c r="AN35" s="20">
        <v>0</v>
      </c>
      <c r="AO35" s="16"/>
      <c r="AP35" s="16"/>
      <c r="AQ35" s="16"/>
      <c r="AR35" s="16">
        <v>0</v>
      </c>
      <c r="AS35" s="16">
        <v>0</v>
      </c>
      <c r="AT35" s="16"/>
      <c r="AU35" s="16"/>
      <c r="AV35" s="16"/>
      <c r="AW35" s="16"/>
      <c r="AX35" s="16">
        <v>0</v>
      </c>
      <c r="AY35" s="16">
        <v>0</v>
      </c>
      <c r="AZ35" s="16">
        <v>0</v>
      </c>
      <c r="BA35" s="16">
        <v>0</v>
      </c>
    </row>
    <row r="36" spans="1:53" x14ac:dyDescent="0.2">
      <c r="A36" s="14"/>
      <c r="B36" s="14" t="str">
        <f t="shared" si="6"/>
        <v>Parry 1993</v>
      </c>
      <c r="C36" s="61">
        <f t="shared" si="7"/>
        <v>10</v>
      </c>
      <c r="D36" s="58">
        <v>1993</v>
      </c>
      <c r="E36" s="17"/>
      <c r="F36" s="58">
        <v>1</v>
      </c>
      <c r="G36" s="16">
        <v>1991</v>
      </c>
      <c r="H36" s="15">
        <f>LOOKUP(G36,CPI!A$69:A$100,CPI!O$69:O$100)</f>
        <v>1.600998531571219</v>
      </c>
      <c r="I36" s="52">
        <v>1990</v>
      </c>
      <c r="J36" s="23">
        <f>2/112</f>
        <v>1.7857142857142856E-2</v>
      </c>
      <c r="K36" s="15"/>
      <c r="L36" s="62"/>
      <c r="M36" s="56">
        <f t="shared" si="12"/>
        <v>0.45461460417954008</v>
      </c>
      <c r="N36" s="14">
        <f>44/12*0.036</f>
        <v>0.13199999999999998</v>
      </c>
      <c r="O36" s="18">
        <f t="shared" si="1"/>
        <v>0.13199999999999998</v>
      </c>
      <c r="P36" s="16">
        <v>0</v>
      </c>
      <c r="Q36" s="16">
        <v>1</v>
      </c>
      <c r="R36" s="16">
        <v>0</v>
      </c>
      <c r="S36" s="14"/>
      <c r="T36" s="56" t="str">
        <f t="shared" si="5"/>
        <v/>
      </c>
      <c r="U36" s="56" t="str">
        <f t="shared" si="9"/>
        <v/>
      </c>
      <c r="V36" s="56" t="str">
        <f t="shared" si="10"/>
        <v/>
      </c>
      <c r="W36" s="14"/>
      <c r="X36" s="14"/>
      <c r="Y36" s="14"/>
      <c r="Z36" s="14"/>
      <c r="AA36" s="18">
        <f t="shared" si="4"/>
        <v>0.13199999999999998</v>
      </c>
      <c r="AB36" s="14"/>
      <c r="AC36" s="14"/>
      <c r="AD36" s="14"/>
      <c r="AE36" s="14"/>
      <c r="AF36" s="16">
        <v>0</v>
      </c>
      <c r="AG36" s="16">
        <v>1</v>
      </c>
      <c r="AH36" s="16">
        <v>0</v>
      </c>
      <c r="AI36" s="16">
        <v>0</v>
      </c>
      <c r="AJ36" s="5">
        <v>0</v>
      </c>
      <c r="AK36" s="5">
        <v>1</v>
      </c>
      <c r="AL36" s="5">
        <v>0</v>
      </c>
      <c r="AM36" s="20"/>
      <c r="AN36" s="20">
        <v>0</v>
      </c>
      <c r="AO36" s="16"/>
      <c r="AP36" s="16"/>
      <c r="AQ36" s="16"/>
      <c r="AR36" s="16">
        <v>0</v>
      </c>
      <c r="AS36" s="16">
        <v>0</v>
      </c>
      <c r="AT36" s="16"/>
      <c r="AU36" s="16"/>
      <c r="AV36" s="16"/>
      <c r="AW36" s="16"/>
      <c r="AX36" s="16">
        <v>0</v>
      </c>
      <c r="AY36" s="16">
        <v>0</v>
      </c>
      <c r="AZ36" s="16">
        <v>0</v>
      </c>
      <c r="BA36" s="16">
        <v>0</v>
      </c>
    </row>
    <row r="37" spans="1:53" x14ac:dyDescent="0.2">
      <c r="A37" s="14"/>
      <c r="B37" s="14" t="str">
        <f t="shared" si="6"/>
        <v>Parry 1993</v>
      </c>
      <c r="C37" s="61">
        <f t="shared" si="7"/>
        <v>10</v>
      </c>
      <c r="D37" s="58">
        <v>1993</v>
      </c>
      <c r="E37" s="17"/>
      <c r="F37" s="58">
        <v>1</v>
      </c>
      <c r="G37" s="16">
        <v>1991</v>
      </c>
      <c r="H37" s="15">
        <f>LOOKUP(G37,CPI!A$69:A$100,CPI!O$69:O$100)</f>
        <v>1.600998531571219</v>
      </c>
      <c r="I37" s="52">
        <v>1990</v>
      </c>
      <c r="J37" s="23">
        <f t="shared" ref="J37:J42" si="13">1/112</f>
        <v>8.9285714285714281E-3</v>
      </c>
      <c r="K37" s="15"/>
      <c r="L37" s="62"/>
      <c r="M37" s="56">
        <f t="shared" si="12"/>
        <v>0.13891001794374835</v>
      </c>
      <c r="N37" s="14">
        <f>44/12*0.011</f>
        <v>4.0333333333333332E-2</v>
      </c>
      <c r="O37" s="18">
        <f t="shared" si="1"/>
        <v>4.0333333333333332E-2</v>
      </c>
      <c r="P37" s="16">
        <v>0</v>
      </c>
      <c r="Q37" s="16">
        <v>1</v>
      </c>
      <c r="R37" s="16">
        <v>0</v>
      </c>
      <c r="S37" s="14"/>
      <c r="T37" s="56" t="str">
        <f t="shared" si="5"/>
        <v/>
      </c>
      <c r="U37" s="56" t="str">
        <f t="shared" si="9"/>
        <v/>
      </c>
      <c r="V37" s="56" t="str">
        <f t="shared" si="10"/>
        <v/>
      </c>
      <c r="W37" s="14"/>
      <c r="X37" s="14"/>
      <c r="Y37" s="14"/>
      <c r="Z37" s="14"/>
      <c r="AA37" s="18">
        <f t="shared" si="4"/>
        <v>4.0333333333333332E-2</v>
      </c>
      <c r="AB37" s="14"/>
      <c r="AC37" s="14"/>
      <c r="AD37" s="14"/>
      <c r="AE37" s="14"/>
      <c r="AF37" s="16">
        <v>0</v>
      </c>
      <c r="AG37" s="16">
        <v>1</v>
      </c>
      <c r="AH37" s="16">
        <v>0</v>
      </c>
      <c r="AI37" s="16">
        <v>0</v>
      </c>
      <c r="AJ37" s="5">
        <v>0</v>
      </c>
      <c r="AK37" s="5">
        <v>1</v>
      </c>
      <c r="AL37" s="5">
        <v>0</v>
      </c>
      <c r="AM37" s="20"/>
      <c r="AN37" s="20">
        <v>0</v>
      </c>
      <c r="AO37" s="16"/>
      <c r="AP37" s="16"/>
      <c r="AQ37" s="16"/>
      <c r="AR37" s="16">
        <v>0</v>
      </c>
      <c r="AS37" s="16">
        <v>0</v>
      </c>
      <c r="AT37" s="16"/>
      <c r="AU37" s="16"/>
      <c r="AV37" s="16"/>
      <c r="AW37" s="16"/>
      <c r="AX37" s="16">
        <v>0</v>
      </c>
      <c r="AY37" s="16">
        <v>0</v>
      </c>
      <c r="AZ37" s="16">
        <v>0</v>
      </c>
      <c r="BA37" s="16">
        <v>0</v>
      </c>
    </row>
    <row r="38" spans="1:53" x14ac:dyDescent="0.2">
      <c r="A38" s="14"/>
      <c r="B38" s="14" t="str">
        <f t="shared" si="6"/>
        <v>Parry 1993</v>
      </c>
      <c r="C38" s="61">
        <f t="shared" si="7"/>
        <v>10</v>
      </c>
      <c r="D38" s="58">
        <v>1993</v>
      </c>
      <c r="E38" s="17"/>
      <c r="F38" s="58">
        <v>1</v>
      </c>
      <c r="G38" s="16">
        <v>1991</v>
      </c>
      <c r="H38" s="15">
        <f>LOOKUP(G38,CPI!A$69:A$100,CPI!O$69:O$100)</f>
        <v>1.600998531571219</v>
      </c>
      <c r="I38" s="52">
        <v>1990</v>
      </c>
      <c r="J38" s="23">
        <f t="shared" si="13"/>
        <v>8.9285714285714281E-3</v>
      </c>
      <c r="K38" s="15"/>
      <c r="L38" s="62"/>
      <c r="M38" s="56">
        <f t="shared" si="12"/>
        <v>0.83346010766249012</v>
      </c>
      <c r="N38" s="14">
        <f>44/12*0.066</f>
        <v>0.24199999999999999</v>
      </c>
      <c r="O38" s="18">
        <f t="shared" si="1"/>
        <v>0.24199999999999999</v>
      </c>
      <c r="P38" s="16">
        <v>0</v>
      </c>
      <c r="Q38" s="16">
        <v>1</v>
      </c>
      <c r="R38" s="16">
        <v>0</v>
      </c>
      <c r="S38" s="14"/>
      <c r="T38" s="56" t="str">
        <f t="shared" si="5"/>
        <v/>
      </c>
      <c r="U38" s="56" t="str">
        <f t="shared" si="9"/>
        <v/>
      </c>
      <c r="V38" s="56" t="str">
        <f t="shared" si="10"/>
        <v/>
      </c>
      <c r="W38" s="14"/>
      <c r="X38" s="14"/>
      <c r="Y38" s="14"/>
      <c r="Z38" s="14"/>
      <c r="AA38" s="18">
        <f t="shared" si="4"/>
        <v>0.24199999999999999</v>
      </c>
      <c r="AB38" s="14"/>
      <c r="AC38" s="14"/>
      <c r="AD38" s="14"/>
      <c r="AE38" s="14"/>
      <c r="AF38" s="16">
        <v>0</v>
      </c>
      <c r="AG38" s="16">
        <v>1</v>
      </c>
      <c r="AH38" s="16">
        <v>0</v>
      </c>
      <c r="AI38" s="16">
        <v>0</v>
      </c>
      <c r="AJ38" s="5">
        <v>0</v>
      </c>
      <c r="AK38" s="5">
        <v>1</v>
      </c>
      <c r="AL38" s="5">
        <v>0</v>
      </c>
      <c r="AM38" s="20"/>
      <c r="AN38" s="20">
        <v>0</v>
      </c>
      <c r="AO38" s="16"/>
      <c r="AP38" s="16"/>
      <c r="AQ38" s="16"/>
      <c r="AR38" s="16">
        <v>0</v>
      </c>
      <c r="AS38" s="16">
        <v>0</v>
      </c>
      <c r="AT38" s="16"/>
      <c r="AU38" s="16"/>
      <c r="AV38" s="16"/>
      <c r="AW38" s="16"/>
      <c r="AX38" s="16">
        <v>0</v>
      </c>
      <c r="AY38" s="16">
        <v>0</v>
      </c>
      <c r="AZ38" s="16">
        <v>0</v>
      </c>
      <c r="BA38" s="16">
        <v>0</v>
      </c>
    </row>
    <row r="39" spans="1:53" x14ac:dyDescent="0.2">
      <c r="A39" s="14"/>
      <c r="B39" s="14" t="str">
        <f t="shared" si="6"/>
        <v>Parry 1993</v>
      </c>
      <c r="C39" s="61">
        <f t="shared" si="7"/>
        <v>10</v>
      </c>
      <c r="D39" s="58">
        <v>1993</v>
      </c>
      <c r="E39" s="17"/>
      <c r="F39" s="58">
        <v>1</v>
      </c>
      <c r="G39" s="16">
        <v>1991</v>
      </c>
      <c r="H39" s="15">
        <f>LOOKUP(G39,CPI!A$69:A$100,CPI!O$69:O$100)</f>
        <v>1.600998531571219</v>
      </c>
      <c r="I39" s="52">
        <v>1990</v>
      </c>
      <c r="J39" s="23">
        <f t="shared" si="13"/>
        <v>8.9285714285714281E-3</v>
      </c>
      <c r="K39" s="15"/>
      <c r="L39" s="62"/>
      <c r="M39" s="56">
        <f t="shared" si="12"/>
        <v>0.34096095313465508</v>
      </c>
      <c r="N39" s="14">
        <f>44/12*0.027</f>
        <v>9.8999999999999991E-2</v>
      </c>
      <c r="O39" s="18">
        <f t="shared" si="1"/>
        <v>9.8999999999999991E-2</v>
      </c>
      <c r="P39" s="16">
        <v>0</v>
      </c>
      <c r="Q39" s="16">
        <v>1</v>
      </c>
      <c r="R39" s="16">
        <v>0</v>
      </c>
      <c r="S39" s="14"/>
      <c r="T39" s="56" t="str">
        <f t="shared" si="5"/>
        <v/>
      </c>
      <c r="U39" s="56" t="str">
        <f t="shared" si="9"/>
        <v/>
      </c>
      <c r="V39" s="56" t="str">
        <f t="shared" si="10"/>
        <v/>
      </c>
      <c r="W39" s="14"/>
      <c r="X39" s="14"/>
      <c r="Y39" s="14"/>
      <c r="Z39" s="14"/>
      <c r="AA39" s="18">
        <f t="shared" si="4"/>
        <v>9.8999999999999991E-2</v>
      </c>
      <c r="AB39" s="14"/>
      <c r="AC39" s="14"/>
      <c r="AD39" s="14"/>
      <c r="AE39" s="14"/>
      <c r="AF39" s="16">
        <v>0</v>
      </c>
      <c r="AG39" s="16">
        <v>1</v>
      </c>
      <c r="AH39" s="16">
        <v>0</v>
      </c>
      <c r="AI39" s="16">
        <v>0</v>
      </c>
      <c r="AJ39" s="5">
        <v>0</v>
      </c>
      <c r="AK39" s="5">
        <v>1</v>
      </c>
      <c r="AL39" s="5">
        <v>0</v>
      </c>
      <c r="AM39" s="20"/>
      <c r="AN39" s="20">
        <v>0</v>
      </c>
      <c r="AO39" s="16"/>
      <c r="AP39" s="16"/>
      <c r="AQ39" s="16"/>
      <c r="AR39" s="16">
        <v>0</v>
      </c>
      <c r="AS39" s="16">
        <v>0</v>
      </c>
      <c r="AT39" s="16"/>
      <c r="AU39" s="16"/>
      <c r="AV39" s="16"/>
      <c r="AW39" s="16"/>
      <c r="AX39" s="16">
        <v>0</v>
      </c>
      <c r="AY39" s="16">
        <v>0</v>
      </c>
      <c r="AZ39" s="16">
        <v>0</v>
      </c>
      <c r="BA39" s="16">
        <v>0</v>
      </c>
    </row>
    <row r="40" spans="1:53" x14ac:dyDescent="0.2">
      <c r="A40" s="14"/>
      <c r="B40" s="14" t="str">
        <f t="shared" si="6"/>
        <v>Parry 1993</v>
      </c>
      <c r="C40" s="61">
        <f t="shared" si="7"/>
        <v>10</v>
      </c>
      <c r="D40" s="58">
        <v>1993</v>
      </c>
      <c r="E40" s="17"/>
      <c r="F40" s="58">
        <v>1</v>
      </c>
      <c r="G40" s="16">
        <v>1991</v>
      </c>
      <c r="H40" s="15">
        <f>LOOKUP(G40,CPI!A$69:A$100,CPI!O$69:O$100)</f>
        <v>1.600998531571219</v>
      </c>
      <c r="I40" s="52">
        <v>1990</v>
      </c>
      <c r="J40" s="23">
        <f t="shared" si="13"/>
        <v>8.9285714285714281E-3</v>
      </c>
      <c r="K40" s="15"/>
      <c r="L40" s="62"/>
      <c r="M40" s="56">
        <f t="shared" si="12"/>
        <v>2.0457657188079303</v>
      </c>
      <c r="N40" s="14">
        <f>44/12*0.162</f>
        <v>0.59399999999999997</v>
      </c>
      <c r="O40" s="18">
        <f t="shared" ref="O40:O71" si="14">N40</f>
        <v>0.59399999999999997</v>
      </c>
      <c r="P40" s="16">
        <v>0</v>
      </c>
      <c r="Q40" s="16">
        <v>1</v>
      </c>
      <c r="R40" s="16">
        <v>0</v>
      </c>
      <c r="S40" s="14"/>
      <c r="T40" s="56" t="str">
        <f t="shared" si="5"/>
        <v/>
      </c>
      <c r="U40" s="56" t="str">
        <f t="shared" si="9"/>
        <v/>
      </c>
      <c r="V40" s="56" t="str">
        <f t="shared" si="10"/>
        <v/>
      </c>
      <c r="W40" s="14"/>
      <c r="X40" s="14"/>
      <c r="Y40" s="14"/>
      <c r="Z40" s="14"/>
      <c r="AA40" s="18">
        <f t="shared" ref="AA40:AA71" si="15">N40</f>
        <v>0.59399999999999997</v>
      </c>
      <c r="AB40" s="14"/>
      <c r="AC40" s="14"/>
      <c r="AD40" s="14"/>
      <c r="AE40" s="14"/>
      <c r="AF40" s="16">
        <v>0</v>
      </c>
      <c r="AG40" s="16">
        <v>1</v>
      </c>
      <c r="AH40" s="16">
        <v>0</v>
      </c>
      <c r="AI40" s="16">
        <v>0</v>
      </c>
      <c r="AJ40" s="5">
        <v>0</v>
      </c>
      <c r="AK40" s="5">
        <v>1</v>
      </c>
      <c r="AL40" s="5">
        <v>0</v>
      </c>
      <c r="AM40" s="20"/>
      <c r="AN40" s="20">
        <v>0</v>
      </c>
      <c r="AO40" s="16"/>
      <c r="AP40" s="16"/>
      <c r="AQ40" s="16"/>
      <c r="AR40" s="16">
        <v>0</v>
      </c>
      <c r="AS40" s="16">
        <v>0</v>
      </c>
      <c r="AT40" s="16"/>
      <c r="AU40" s="16"/>
      <c r="AV40" s="16"/>
      <c r="AW40" s="16"/>
      <c r="AX40" s="16">
        <v>0</v>
      </c>
      <c r="AY40" s="16">
        <v>0</v>
      </c>
      <c r="AZ40" s="16">
        <v>0</v>
      </c>
      <c r="BA40" s="16">
        <v>0</v>
      </c>
    </row>
    <row r="41" spans="1:53" x14ac:dyDescent="0.2">
      <c r="A41" s="14"/>
      <c r="B41" s="14" t="str">
        <f t="shared" si="6"/>
        <v>Parry 1993</v>
      </c>
      <c r="C41" s="61">
        <f t="shared" si="7"/>
        <v>10</v>
      </c>
      <c r="D41" s="58">
        <v>1993</v>
      </c>
      <c r="E41" s="17"/>
      <c r="F41" s="58">
        <v>1</v>
      </c>
      <c r="G41" s="16">
        <v>1991</v>
      </c>
      <c r="H41" s="15">
        <f>LOOKUP(G41,CPI!A$69:A$100,CPI!O$69:O$100)</f>
        <v>1.600998531571219</v>
      </c>
      <c r="I41" s="52">
        <v>1990</v>
      </c>
      <c r="J41" s="23">
        <f t="shared" si="13"/>
        <v>8.9285714285714281E-3</v>
      </c>
      <c r="K41" s="15"/>
      <c r="L41" s="62"/>
      <c r="M41" s="56">
        <f t="shared" si="12"/>
        <v>5.051273379772668E-2</v>
      </c>
      <c r="N41" s="14">
        <f>44/12*0.004</f>
        <v>1.4666666666666666E-2</v>
      </c>
      <c r="O41" s="18">
        <f t="shared" si="14"/>
        <v>1.4666666666666666E-2</v>
      </c>
      <c r="P41" s="16">
        <v>0</v>
      </c>
      <c r="Q41" s="16">
        <v>1</v>
      </c>
      <c r="R41" s="16">
        <v>0</v>
      </c>
      <c r="S41" s="14"/>
      <c r="T41" s="56" t="str">
        <f t="shared" si="5"/>
        <v/>
      </c>
      <c r="U41" s="56" t="str">
        <f t="shared" si="9"/>
        <v/>
      </c>
      <c r="V41" s="56" t="str">
        <f t="shared" si="10"/>
        <v/>
      </c>
      <c r="W41" s="14"/>
      <c r="X41" s="14"/>
      <c r="Y41" s="14"/>
      <c r="Z41" s="14"/>
      <c r="AA41" s="18">
        <f t="shared" si="15"/>
        <v>1.4666666666666666E-2</v>
      </c>
      <c r="AB41" s="14"/>
      <c r="AC41" s="14"/>
      <c r="AD41" s="14"/>
      <c r="AE41" s="14"/>
      <c r="AF41" s="16">
        <v>0</v>
      </c>
      <c r="AG41" s="16">
        <v>1</v>
      </c>
      <c r="AH41" s="16">
        <v>0</v>
      </c>
      <c r="AI41" s="16">
        <v>0</v>
      </c>
      <c r="AJ41" s="5">
        <v>0</v>
      </c>
      <c r="AK41" s="5">
        <v>1</v>
      </c>
      <c r="AL41" s="5">
        <v>0</v>
      </c>
      <c r="AM41" s="20"/>
      <c r="AN41" s="20">
        <v>0</v>
      </c>
      <c r="AO41" s="16"/>
      <c r="AP41" s="16"/>
      <c r="AQ41" s="16"/>
      <c r="AR41" s="16">
        <v>0</v>
      </c>
      <c r="AS41" s="16">
        <v>0</v>
      </c>
      <c r="AT41" s="16"/>
      <c r="AU41" s="16"/>
      <c r="AV41" s="16"/>
      <c r="AW41" s="16"/>
      <c r="AX41" s="16">
        <v>0</v>
      </c>
      <c r="AY41" s="16">
        <v>0</v>
      </c>
      <c r="AZ41" s="16">
        <v>0</v>
      </c>
      <c r="BA41" s="16">
        <v>0</v>
      </c>
    </row>
    <row r="42" spans="1:53" x14ac:dyDescent="0.2">
      <c r="A42" s="14"/>
      <c r="B42" s="14" t="str">
        <f t="shared" si="6"/>
        <v>Parry 1993</v>
      </c>
      <c r="C42" s="61">
        <f t="shared" si="7"/>
        <v>10</v>
      </c>
      <c r="D42" s="58">
        <v>1993</v>
      </c>
      <c r="E42" s="17"/>
      <c r="F42" s="58">
        <v>1</v>
      </c>
      <c r="G42" s="16">
        <v>1991</v>
      </c>
      <c r="H42" s="15">
        <f>LOOKUP(G42,CPI!A$69:A$100,CPI!O$69:O$100)</f>
        <v>1.600998531571219</v>
      </c>
      <c r="I42" s="52">
        <v>1990</v>
      </c>
      <c r="J42" s="23">
        <f t="shared" si="13"/>
        <v>8.9285714285714281E-3</v>
      </c>
      <c r="K42" s="15"/>
      <c r="L42" s="62"/>
      <c r="M42" s="56">
        <f t="shared" si="12"/>
        <v>0.30307640278636006</v>
      </c>
      <c r="N42" s="14">
        <f>44/12*0.024</f>
        <v>8.7999999999999995E-2</v>
      </c>
      <c r="O42" s="18">
        <f t="shared" si="14"/>
        <v>8.7999999999999995E-2</v>
      </c>
      <c r="P42" s="16">
        <v>0</v>
      </c>
      <c r="Q42" s="16">
        <v>1</v>
      </c>
      <c r="R42" s="16">
        <v>0</v>
      </c>
      <c r="S42" s="14"/>
      <c r="T42" s="56" t="str">
        <f t="shared" si="5"/>
        <v/>
      </c>
      <c r="U42" s="56" t="str">
        <f t="shared" si="9"/>
        <v/>
      </c>
      <c r="V42" s="56" t="str">
        <f t="shared" si="10"/>
        <v/>
      </c>
      <c r="W42" s="14"/>
      <c r="X42" s="14"/>
      <c r="Y42" s="14"/>
      <c r="Z42" s="14"/>
      <c r="AA42" s="18">
        <f t="shared" si="15"/>
        <v>8.7999999999999995E-2</v>
      </c>
      <c r="AB42" s="14"/>
      <c r="AC42" s="14"/>
      <c r="AD42" s="14"/>
      <c r="AE42" s="14"/>
      <c r="AF42" s="16">
        <v>0</v>
      </c>
      <c r="AG42" s="16">
        <v>1</v>
      </c>
      <c r="AH42" s="16">
        <v>0</v>
      </c>
      <c r="AI42" s="16">
        <v>0</v>
      </c>
      <c r="AJ42" s="5">
        <v>0</v>
      </c>
      <c r="AK42" s="5">
        <v>1</v>
      </c>
      <c r="AL42" s="5">
        <v>0</v>
      </c>
      <c r="AM42" s="20"/>
      <c r="AN42" s="20">
        <v>0</v>
      </c>
      <c r="AO42" s="16"/>
      <c r="AP42" s="16"/>
      <c r="AQ42" s="16"/>
      <c r="AR42" s="16">
        <v>0</v>
      </c>
      <c r="AS42" s="16">
        <v>0</v>
      </c>
      <c r="AT42" s="16"/>
      <c r="AU42" s="16"/>
      <c r="AV42" s="16"/>
      <c r="AW42" s="16"/>
      <c r="AX42" s="16">
        <v>0</v>
      </c>
      <c r="AY42" s="16">
        <v>0</v>
      </c>
      <c r="AZ42" s="16">
        <v>0</v>
      </c>
      <c r="BA42" s="16">
        <v>0</v>
      </c>
    </row>
    <row r="43" spans="1:53" x14ac:dyDescent="0.2">
      <c r="A43" s="14"/>
      <c r="B43" s="14" t="str">
        <f t="shared" si="6"/>
        <v>Parry 1993</v>
      </c>
      <c r="C43" s="61">
        <f t="shared" si="7"/>
        <v>10</v>
      </c>
      <c r="D43" s="58">
        <v>1993</v>
      </c>
      <c r="E43" s="17"/>
      <c r="F43" s="58">
        <v>1</v>
      </c>
      <c r="G43" s="16">
        <v>1991</v>
      </c>
      <c r="H43" s="15">
        <f>LOOKUP(G43,CPI!A$69:A$100,CPI!O$69:O$100)</f>
        <v>1.600998531571219</v>
      </c>
      <c r="I43" s="52">
        <v>1990</v>
      </c>
      <c r="J43" s="23">
        <f>2/112</f>
        <v>1.7857142857142856E-2</v>
      </c>
      <c r="K43" s="15"/>
      <c r="L43" s="62"/>
      <c r="M43" s="56">
        <f t="shared" si="12"/>
        <v>7.5769100696590014E-2</v>
      </c>
      <c r="N43" s="14">
        <f>44/12*0.006</f>
        <v>2.1999999999999999E-2</v>
      </c>
      <c r="O43" s="18">
        <f t="shared" si="14"/>
        <v>2.1999999999999999E-2</v>
      </c>
      <c r="P43" s="16">
        <v>0</v>
      </c>
      <c r="Q43" s="16">
        <v>1</v>
      </c>
      <c r="R43" s="16">
        <v>0</v>
      </c>
      <c r="S43" s="14"/>
      <c r="T43" s="56" t="str">
        <f t="shared" si="5"/>
        <v/>
      </c>
      <c r="U43" s="56" t="str">
        <f t="shared" si="9"/>
        <v/>
      </c>
      <c r="V43" s="56" t="str">
        <f t="shared" si="10"/>
        <v/>
      </c>
      <c r="W43" s="14"/>
      <c r="X43" s="14"/>
      <c r="Y43" s="14"/>
      <c r="Z43" s="14"/>
      <c r="AA43" s="18">
        <f t="shared" si="15"/>
        <v>2.1999999999999999E-2</v>
      </c>
      <c r="AB43" s="14"/>
      <c r="AC43" s="14"/>
      <c r="AD43" s="14"/>
      <c r="AE43" s="14"/>
      <c r="AF43" s="16">
        <v>0</v>
      </c>
      <c r="AG43" s="16">
        <v>1</v>
      </c>
      <c r="AH43" s="16">
        <v>0</v>
      </c>
      <c r="AI43" s="16">
        <v>0</v>
      </c>
      <c r="AJ43" s="5">
        <v>0</v>
      </c>
      <c r="AK43" s="5">
        <v>1</v>
      </c>
      <c r="AL43" s="5">
        <v>0</v>
      </c>
      <c r="AM43" s="20"/>
      <c r="AN43" s="20">
        <v>0</v>
      </c>
      <c r="AO43" s="16"/>
      <c r="AP43" s="16"/>
      <c r="AQ43" s="16"/>
      <c r="AR43" s="16">
        <v>0</v>
      </c>
      <c r="AS43" s="16">
        <v>0</v>
      </c>
      <c r="AT43" s="16"/>
      <c r="AU43" s="16"/>
      <c r="AV43" s="16"/>
      <c r="AW43" s="16"/>
      <c r="AX43" s="16">
        <v>0</v>
      </c>
      <c r="AY43" s="16">
        <v>0</v>
      </c>
      <c r="AZ43" s="16">
        <v>0</v>
      </c>
      <c r="BA43" s="16">
        <v>0</v>
      </c>
    </row>
    <row r="44" spans="1:53" x14ac:dyDescent="0.2">
      <c r="A44" s="14"/>
      <c r="B44" s="14" t="str">
        <f t="shared" si="6"/>
        <v>Parry 1993</v>
      </c>
      <c r="C44" s="61">
        <f t="shared" si="7"/>
        <v>10</v>
      </c>
      <c r="D44" s="58">
        <v>1993</v>
      </c>
      <c r="E44" s="17"/>
      <c r="F44" s="58">
        <v>1</v>
      </c>
      <c r="G44" s="16">
        <v>1991</v>
      </c>
      <c r="H44" s="15">
        <f>LOOKUP(G44,CPI!A$69:A$100,CPI!O$69:O$100)</f>
        <v>1.600998531571219</v>
      </c>
      <c r="I44" s="52">
        <v>1990</v>
      </c>
      <c r="J44" s="23">
        <f>2/112</f>
        <v>1.7857142857142856E-2</v>
      </c>
      <c r="K44" s="15"/>
      <c r="L44" s="62"/>
      <c r="M44" s="56">
        <f t="shared" si="12"/>
        <v>0.45461460417954008</v>
      </c>
      <c r="N44" s="14">
        <f>44/12*0.036</f>
        <v>0.13199999999999998</v>
      </c>
      <c r="O44" s="18">
        <f t="shared" si="14"/>
        <v>0.13199999999999998</v>
      </c>
      <c r="P44" s="16">
        <v>0</v>
      </c>
      <c r="Q44" s="16">
        <v>1</v>
      </c>
      <c r="R44" s="16">
        <v>0</v>
      </c>
      <c r="S44" s="14"/>
      <c r="T44" s="56" t="str">
        <f t="shared" si="5"/>
        <v/>
      </c>
      <c r="U44" s="56" t="str">
        <f t="shared" si="9"/>
        <v/>
      </c>
      <c r="V44" s="56" t="str">
        <f t="shared" si="10"/>
        <v/>
      </c>
      <c r="W44" s="14"/>
      <c r="X44" s="14"/>
      <c r="Y44" s="14"/>
      <c r="Z44" s="14"/>
      <c r="AA44" s="18">
        <f t="shared" si="15"/>
        <v>0.13199999999999998</v>
      </c>
      <c r="AB44" s="14"/>
      <c r="AC44" s="14"/>
      <c r="AD44" s="14"/>
      <c r="AE44" s="14"/>
      <c r="AF44" s="16">
        <v>0</v>
      </c>
      <c r="AG44" s="16">
        <v>1</v>
      </c>
      <c r="AH44" s="16">
        <v>0</v>
      </c>
      <c r="AI44" s="16">
        <v>0</v>
      </c>
      <c r="AJ44" s="5">
        <v>0</v>
      </c>
      <c r="AK44" s="5">
        <v>1</v>
      </c>
      <c r="AL44" s="5">
        <v>0</v>
      </c>
      <c r="AM44" s="20"/>
      <c r="AN44" s="20">
        <v>0</v>
      </c>
      <c r="AO44" s="16"/>
      <c r="AP44" s="16"/>
      <c r="AQ44" s="16"/>
      <c r="AR44" s="16">
        <v>0</v>
      </c>
      <c r="AS44" s="16">
        <v>0</v>
      </c>
      <c r="AT44" s="16"/>
      <c r="AU44" s="16"/>
      <c r="AV44" s="16"/>
      <c r="AW44" s="16"/>
      <c r="AX44" s="16">
        <v>0</v>
      </c>
      <c r="AY44" s="16">
        <v>0</v>
      </c>
      <c r="AZ44" s="16">
        <v>0</v>
      </c>
      <c r="BA44" s="16">
        <v>0</v>
      </c>
    </row>
    <row r="45" spans="1:53" x14ac:dyDescent="0.2">
      <c r="A45" s="14"/>
      <c r="B45" s="14" t="str">
        <f t="shared" si="6"/>
        <v>Parry 1993</v>
      </c>
      <c r="C45" s="61">
        <f t="shared" si="7"/>
        <v>10</v>
      </c>
      <c r="D45" s="58">
        <v>1993</v>
      </c>
      <c r="E45" s="17"/>
      <c r="F45" s="58">
        <v>1</v>
      </c>
      <c r="G45" s="16">
        <v>1991</v>
      </c>
      <c r="H45" s="15">
        <f>LOOKUP(G45,CPI!A$69:A$100,CPI!O$69:O$100)</f>
        <v>1.600998531571219</v>
      </c>
      <c r="I45" s="52">
        <v>1990</v>
      </c>
      <c r="J45" s="23">
        <f>2/112</f>
        <v>1.7857142857142856E-2</v>
      </c>
      <c r="K45" s="15"/>
      <c r="L45" s="62"/>
      <c r="M45" s="56">
        <f t="shared" si="12"/>
        <v>0.13891001794374835</v>
      </c>
      <c r="N45" s="14">
        <f>44/12*0.011</f>
        <v>4.0333333333333332E-2</v>
      </c>
      <c r="O45" s="18">
        <f t="shared" si="14"/>
        <v>4.0333333333333332E-2</v>
      </c>
      <c r="P45" s="16">
        <v>0</v>
      </c>
      <c r="Q45" s="16">
        <v>1</v>
      </c>
      <c r="R45" s="16">
        <v>0</v>
      </c>
      <c r="S45" s="14"/>
      <c r="T45" s="56" t="str">
        <f t="shared" si="5"/>
        <v/>
      </c>
      <c r="U45" s="56" t="str">
        <f t="shared" si="9"/>
        <v/>
      </c>
      <c r="V45" s="56" t="str">
        <f t="shared" si="10"/>
        <v/>
      </c>
      <c r="W45" s="14"/>
      <c r="X45" s="14"/>
      <c r="Y45" s="14"/>
      <c r="Z45" s="14"/>
      <c r="AA45" s="18">
        <f t="shared" si="15"/>
        <v>4.0333333333333332E-2</v>
      </c>
      <c r="AB45" s="14"/>
      <c r="AC45" s="14"/>
      <c r="AD45" s="14"/>
      <c r="AE45" s="14"/>
      <c r="AF45" s="16">
        <v>0</v>
      </c>
      <c r="AG45" s="16">
        <v>1</v>
      </c>
      <c r="AH45" s="16">
        <v>0</v>
      </c>
      <c r="AI45" s="16">
        <v>0</v>
      </c>
      <c r="AJ45" s="5">
        <v>0</v>
      </c>
      <c r="AK45" s="5">
        <v>1</v>
      </c>
      <c r="AL45" s="5">
        <v>0</v>
      </c>
      <c r="AM45" s="20"/>
      <c r="AN45" s="20">
        <v>0</v>
      </c>
      <c r="AO45" s="16"/>
      <c r="AP45" s="16"/>
      <c r="AQ45" s="16"/>
      <c r="AR45" s="16">
        <v>0</v>
      </c>
      <c r="AS45" s="16">
        <v>0</v>
      </c>
      <c r="AT45" s="16"/>
      <c r="AU45" s="16"/>
      <c r="AV45" s="16"/>
      <c r="AW45" s="16"/>
      <c r="AX45" s="16">
        <v>0</v>
      </c>
      <c r="AY45" s="16">
        <v>0</v>
      </c>
      <c r="AZ45" s="16">
        <v>0</v>
      </c>
      <c r="BA45" s="16">
        <v>0</v>
      </c>
    </row>
    <row r="46" spans="1:53" x14ac:dyDescent="0.2">
      <c r="A46" s="14"/>
      <c r="B46" s="14" t="str">
        <f t="shared" si="6"/>
        <v>Parry 1993</v>
      </c>
      <c r="C46" s="61">
        <f t="shared" si="7"/>
        <v>10</v>
      </c>
      <c r="D46" s="58">
        <v>1993</v>
      </c>
      <c r="E46" s="17"/>
      <c r="F46" s="58">
        <v>1</v>
      </c>
      <c r="G46" s="16">
        <v>1991</v>
      </c>
      <c r="H46" s="15">
        <f>LOOKUP(G46,CPI!A$69:A$100,CPI!O$69:O$100)</f>
        <v>1.600998531571219</v>
      </c>
      <c r="I46" s="52">
        <v>1990</v>
      </c>
      <c r="J46" s="23">
        <f>2/112</f>
        <v>1.7857142857142856E-2</v>
      </c>
      <c r="K46" s="15"/>
      <c r="L46" s="62"/>
      <c r="M46" s="56">
        <f t="shared" si="12"/>
        <v>0.83346010766249012</v>
      </c>
      <c r="N46" s="14">
        <f>44/12*0.066</f>
        <v>0.24199999999999999</v>
      </c>
      <c r="O46" s="18">
        <f t="shared" si="14"/>
        <v>0.24199999999999999</v>
      </c>
      <c r="P46" s="16">
        <v>0</v>
      </c>
      <c r="Q46" s="16">
        <v>1</v>
      </c>
      <c r="R46" s="16">
        <v>0</v>
      </c>
      <c r="S46" s="14"/>
      <c r="T46" s="56" t="str">
        <f t="shared" si="5"/>
        <v/>
      </c>
      <c r="U46" s="56" t="str">
        <f t="shared" si="9"/>
        <v/>
      </c>
      <c r="V46" s="56" t="str">
        <f t="shared" si="10"/>
        <v/>
      </c>
      <c r="W46" s="14"/>
      <c r="X46" s="14"/>
      <c r="Y46" s="14"/>
      <c r="Z46" s="14"/>
      <c r="AA46" s="18">
        <f t="shared" si="15"/>
        <v>0.24199999999999999</v>
      </c>
      <c r="AB46" s="14"/>
      <c r="AC46" s="14"/>
      <c r="AD46" s="14"/>
      <c r="AE46" s="14"/>
      <c r="AF46" s="16">
        <v>0</v>
      </c>
      <c r="AG46" s="16">
        <v>1</v>
      </c>
      <c r="AH46" s="16">
        <v>0</v>
      </c>
      <c r="AI46" s="16">
        <v>0</v>
      </c>
      <c r="AJ46" s="5">
        <v>0</v>
      </c>
      <c r="AK46" s="5">
        <v>1</v>
      </c>
      <c r="AL46" s="5">
        <v>0</v>
      </c>
      <c r="AM46" s="20"/>
      <c r="AN46" s="20">
        <v>0</v>
      </c>
      <c r="AO46" s="16"/>
      <c r="AP46" s="16"/>
      <c r="AQ46" s="16"/>
      <c r="AR46" s="16">
        <v>0</v>
      </c>
      <c r="AS46" s="16">
        <v>0</v>
      </c>
      <c r="AT46" s="16"/>
      <c r="AU46" s="16"/>
      <c r="AV46" s="16"/>
      <c r="AW46" s="16"/>
      <c r="AX46" s="16">
        <v>0</v>
      </c>
      <c r="AY46" s="16">
        <v>0</v>
      </c>
      <c r="AZ46" s="16">
        <v>0</v>
      </c>
      <c r="BA46" s="16">
        <v>0</v>
      </c>
    </row>
    <row r="47" spans="1:53" x14ac:dyDescent="0.2">
      <c r="A47" s="14"/>
      <c r="B47" s="14" t="str">
        <f t="shared" si="6"/>
        <v>Parry 1993</v>
      </c>
      <c r="C47" s="61">
        <f t="shared" si="7"/>
        <v>10</v>
      </c>
      <c r="D47" s="58">
        <v>1993</v>
      </c>
      <c r="E47" s="17"/>
      <c r="F47" s="58">
        <v>1</v>
      </c>
      <c r="G47" s="16">
        <v>1991</v>
      </c>
      <c r="H47" s="15">
        <f>LOOKUP(G47,CPI!A$69:A$100,CPI!O$69:O$100)</f>
        <v>1.600998531571219</v>
      </c>
      <c r="I47" s="52">
        <v>1990</v>
      </c>
      <c r="J47" s="23">
        <f>1/112</f>
        <v>8.9285714285714281E-3</v>
      </c>
      <c r="K47" s="15"/>
      <c r="L47" s="62"/>
      <c r="M47" s="56">
        <f t="shared" si="12"/>
        <v>0.26519185243806509</v>
      </c>
      <c r="N47" s="14">
        <f>44/12*0.021</f>
        <v>7.6999999999999999E-2</v>
      </c>
      <c r="O47" s="18">
        <f t="shared" si="14"/>
        <v>7.6999999999999999E-2</v>
      </c>
      <c r="P47" s="16">
        <v>0</v>
      </c>
      <c r="Q47" s="16">
        <v>1</v>
      </c>
      <c r="R47" s="16">
        <v>0</v>
      </c>
      <c r="S47" s="14"/>
      <c r="T47" s="56" t="str">
        <f t="shared" si="5"/>
        <v/>
      </c>
      <c r="U47" s="56" t="str">
        <f t="shared" si="9"/>
        <v/>
      </c>
      <c r="V47" s="56" t="str">
        <f t="shared" si="10"/>
        <v/>
      </c>
      <c r="W47" s="14"/>
      <c r="X47" s="14"/>
      <c r="Y47" s="14"/>
      <c r="Z47" s="14"/>
      <c r="AA47" s="18">
        <f t="shared" si="15"/>
        <v>7.6999999999999999E-2</v>
      </c>
      <c r="AB47" s="14"/>
      <c r="AC47" s="14"/>
      <c r="AD47" s="14"/>
      <c r="AE47" s="14"/>
      <c r="AF47" s="16">
        <v>0</v>
      </c>
      <c r="AG47" s="16">
        <v>1</v>
      </c>
      <c r="AH47" s="16">
        <v>0</v>
      </c>
      <c r="AI47" s="16">
        <v>0</v>
      </c>
      <c r="AJ47" s="5">
        <v>0</v>
      </c>
      <c r="AK47" s="5">
        <v>1</v>
      </c>
      <c r="AL47" s="5">
        <v>0</v>
      </c>
      <c r="AM47" s="20"/>
      <c r="AN47" s="20">
        <v>0</v>
      </c>
      <c r="AO47" s="16"/>
      <c r="AP47" s="16"/>
      <c r="AQ47" s="16"/>
      <c r="AR47" s="16">
        <v>0</v>
      </c>
      <c r="AS47" s="16">
        <v>0</v>
      </c>
      <c r="AT47" s="16"/>
      <c r="AU47" s="16"/>
      <c r="AV47" s="16"/>
      <c r="AW47" s="16"/>
      <c r="AX47" s="16">
        <v>0</v>
      </c>
      <c r="AY47" s="16">
        <v>0</v>
      </c>
      <c r="AZ47" s="16">
        <v>0</v>
      </c>
      <c r="BA47" s="16">
        <v>0</v>
      </c>
    </row>
    <row r="48" spans="1:53" x14ac:dyDescent="0.2">
      <c r="A48" s="14"/>
      <c r="B48" s="14" t="str">
        <f t="shared" si="6"/>
        <v>Parry 1993</v>
      </c>
      <c r="C48" s="61">
        <f t="shared" si="7"/>
        <v>10</v>
      </c>
      <c r="D48" s="58">
        <v>1993</v>
      </c>
      <c r="E48" s="17"/>
      <c r="F48" s="58">
        <v>1</v>
      </c>
      <c r="G48" s="16">
        <v>1991</v>
      </c>
      <c r="H48" s="15">
        <f>LOOKUP(G48,CPI!A$69:A$100,CPI!O$69:O$100)</f>
        <v>1.600998531571219</v>
      </c>
      <c r="I48" s="52">
        <v>1990</v>
      </c>
      <c r="J48" s="23">
        <f>1/112</f>
        <v>8.9285714285714281E-3</v>
      </c>
      <c r="K48" s="15"/>
      <c r="L48" s="62"/>
      <c r="M48" s="56">
        <f t="shared" si="12"/>
        <v>1.5911511146283903</v>
      </c>
      <c r="N48" s="14">
        <f>44/12*0.126</f>
        <v>0.46199999999999997</v>
      </c>
      <c r="O48" s="18">
        <f t="shared" si="14"/>
        <v>0.46199999999999997</v>
      </c>
      <c r="P48" s="16">
        <v>0</v>
      </c>
      <c r="Q48" s="16">
        <v>1</v>
      </c>
      <c r="R48" s="16">
        <v>0</v>
      </c>
      <c r="S48" s="14"/>
      <c r="T48" s="56" t="str">
        <f t="shared" si="5"/>
        <v/>
      </c>
      <c r="U48" s="56" t="str">
        <f t="shared" si="9"/>
        <v/>
      </c>
      <c r="V48" s="56" t="str">
        <f t="shared" si="10"/>
        <v/>
      </c>
      <c r="W48" s="14"/>
      <c r="X48" s="14"/>
      <c r="Y48" s="14"/>
      <c r="Z48" s="14"/>
      <c r="AA48" s="18">
        <f t="shared" si="15"/>
        <v>0.46199999999999997</v>
      </c>
      <c r="AB48" s="14"/>
      <c r="AC48" s="14"/>
      <c r="AD48" s="14"/>
      <c r="AE48" s="14"/>
      <c r="AF48" s="16">
        <v>0</v>
      </c>
      <c r="AG48" s="16">
        <v>1</v>
      </c>
      <c r="AH48" s="16">
        <v>0</v>
      </c>
      <c r="AI48" s="16">
        <v>0</v>
      </c>
      <c r="AJ48" s="5">
        <v>0</v>
      </c>
      <c r="AK48" s="5">
        <v>1</v>
      </c>
      <c r="AL48" s="5">
        <v>0</v>
      </c>
      <c r="AM48" s="20"/>
      <c r="AN48" s="20">
        <v>0</v>
      </c>
      <c r="AO48" s="16"/>
      <c r="AP48" s="16"/>
      <c r="AQ48" s="16"/>
      <c r="AR48" s="16">
        <v>0</v>
      </c>
      <c r="AS48" s="16">
        <v>0</v>
      </c>
      <c r="AT48" s="16"/>
      <c r="AU48" s="16"/>
      <c r="AV48" s="16"/>
      <c r="AW48" s="16"/>
      <c r="AX48" s="16">
        <v>0</v>
      </c>
      <c r="AY48" s="16">
        <v>0</v>
      </c>
      <c r="AZ48" s="16">
        <v>0</v>
      </c>
      <c r="BA48" s="16">
        <v>0</v>
      </c>
    </row>
    <row r="49" spans="1:53" x14ac:dyDescent="0.2">
      <c r="A49" s="14"/>
      <c r="B49" s="14" t="str">
        <f t="shared" si="6"/>
        <v>Parry 1993</v>
      </c>
      <c r="C49" s="61">
        <f t="shared" si="7"/>
        <v>10</v>
      </c>
      <c r="D49" s="58">
        <v>1993</v>
      </c>
      <c r="E49" s="17"/>
      <c r="F49" s="58">
        <v>1</v>
      </c>
      <c r="G49" s="16">
        <v>1991</v>
      </c>
      <c r="H49" s="15">
        <f>LOOKUP(G49,CPI!A$69:A$100,CPI!O$69:O$100)</f>
        <v>1.600998531571219</v>
      </c>
      <c r="I49" s="52">
        <v>1990</v>
      </c>
      <c r="J49" s="23">
        <f>1/112</f>
        <v>8.9285714285714281E-3</v>
      </c>
      <c r="K49" s="15"/>
      <c r="L49" s="62"/>
      <c r="M49" s="56">
        <f t="shared" si="12"/>
        <v>0.69455008971874177</v>
      </c>
      <c r="N49" s="14">
        <f>44/12*0.055</f>
        <v>0.20166666666666666</v>
      </c>
      <c r="O49" s="18">
        <f t="shared" si="14"/>
        <v>0.20166666666666666</v>
      </c>
      <c r="P49" s="16">
        <v>0</v>
      </c>
      <c r="Q49" s="16">
        <v>1</v>
      </c>
      <c r="R49" s="16">
        <v>0</v>
      </c>
      <c r="S49" s="14"/>
      <c r="T49" s="56" t="str">
        <f t="shared" si="5"/>
        <v/>
      </c>
      <c r="U49" s="56" t="str">
        <f t="shared" si="9"/>
        <v/>
      </c>
      <c r="V49" s="56" t="str">
        <f t="shared" si="10"/>
        <v/>
      </c>
      <c r="W49" s="14"/>
      <c r="X49" s="14"/>
      <c r="Y49" s="14"/>
      <c r="Z49" s="14"/>
      <c r="AA49" s="18">
        <f t="shared" si="15"/>
        <v>0.20166666666666666</v>
      </c>
      <c r="AB49" s="14"/>
      <c r="AC49" s="14"/>
      <c r="AD49" s="14"/>
      <c r="AE49" s="14"/>
      <c r="AF49" s="16">
        <v>0</v>
      </c>
      <c r="AG49" s="16">
        <v>1</v>
      </c>
      <c r="AH49" s="16">
        <v>0</v>
      </c>
      <c r="AI49" s="16">
        <v>0</v>
      </c>
      <c r="AJ49" s="5">
        <v>0</v>
      </c>
      <c r="AK49" s="5">
        <v>1</v>
      </c>
      <c r="AL49" s="5">
        <v>0</v>
      </c>
      <c r="AM49" s="20"/>
      <c r="AN49" s="20">
        <v>0</v>
      </c>
      <c r="AO49" s="16"/>
      <c r="AP49" s="16"/>
      <c r="AQ49" s="16"/>
      <c r="AR49" s="16">
        <v>0</v>
      </c>
      <c r="AS49" s="16">
        <v>0</v>
      </c>
      <c r="AT49" s="16"/>
      <c r="AU49" s="16"/>
      <c r="AV49" s="16"/>
      <c r="AW49" s="16"/>
      <c r="AX49" s="16">
        <v>0</v>
      </c>
      <c r="AY49" s="16">
        <v>0</v>
      </c>
      <c r="AZ49" s="16">
        <v>0</v>
      </c>
      <c r="BA49" s="16">
        <v>0</v>
      </c>
    </row>
    <row r="50" spans="1:53" x14ac:dyDescent="0.2">
      <c r="A50" s="14"/>
      <c r="B50" s="14" t="str">
        <f t="shared" si="6"/>
        <v>Parry 1993</v>
      </c>
      <c r="C50" s="61">
        <f t="shared" si="7"/>
        <v>10</v>
      </c>
      <c r="D50" s="58">
        <v>1993</v>
      </c>
      <c r="E50" s="17"/>
      <c r="F50" s="58">
        <v>1</v>
      </c>
      <c r="G50" s="16">
        <v>1991</v>
      </c>
      <c r="H50" s="15">
        <f>LOOKUP(G50,CPI!A$69:A$100,CPI!O$69:O$100)</f>
        <v>1.600998531571219</v>
      </c>
      <c r="I50" s="52">
        <v>1990</v>
      </c>
      <c r="J50" s="23">
        <f>1/112</f>
        <v>8.9285714285714281E-3</v>
      </c>
      <c r="K50" s="15"/>
      <c r="L50" s="62"/>
      <c r="M50" s="56">
        <f t="shared" si="12"/>
        <v>4.1673005383124506</v>
      </c>
      <c r="N50" s="14">
        <f>44/12*0.33</f>
        <v>1.21</v>
      </c>
      <c r="O50" s="18">
        <f t="shared" si="14"/>
        <v>1.21</v>
      </c>
      <c r="P50" s="16">
        <v>0</v>
      </c>
      <c r="Q50" s="16">
        <v>1</v>
      </c>
      <c r="R50" s="16">
        <v>0</v>
      </c>
      <c r="S50" s="14"/>
      <c r="T50" s="56" t="str">
        <f t="shared" si="5"/>
        <v/>
      </c>
      <c r="U50" s="56" t="str">
        <f t="shared" si="9"/>
        <v/>
      </c>
      <c r="V50" s="56" t="str">
        <f t="shared" si="10"/>
        <v/>
      </c>
      <c r="W50" s="14"/>
      <c r="X50" s="14"/>
      <c r="Y50" s="14"/>
      <c r="Z50" s="14"/>
      <c r="AA50" s="18">
        <f t="shared" si="15"/>
        <v>1.21</v>
      </c>
      <c r="AB50" s="14"/>
      <c r="AC50" s="14"/>
      <c r="AD50" s="14"/>
      <c r="AE50" s="14"/>
      <c r="AF50" s="16">
        <v>0</v>
      </c>
      <c r="AG50" s="16">
        <v>1</v>
      </c>
      <c r="AH50" s="16">
        <v>0</v>
      </c>
      <c r="AI50" s="16">
        <v>0</v>
      </c>
      <c r="AJ50" s="5">
        <v>0</v>
      </c>
      <c r="AK50" s="5">
        <v>1</v>
      </c>
      <c r="AL50" s="5">
        <v>0</v>
      </c>
      <c r="AM50" s="20"/>
      <c r="AN50" s="20">
        <v>0</v>
      </c>
      <c r="AO50" s="16"/>
      <c r="AP50" s="16"/>
      <c r="AQ50" s="16"/>
      <c r="AR50" s="16">
        <v>0</v>
      </c>
      <c r="AS50" s="16">
        <v>0</v>
      </c>
      <c r="AT50" s="16"/>
      <c r="AU50" s="16"/>
      <c r="AV50" s="16"/>
      <c r="AW50" s="16"/>
      <c r="AX50" s="16">
        <v>0</v>
      </c>
      <c r="AY50" s="16">
        <v>0</v>
      </c>
      <c r="AZ50" s="16">
        <v>0</v>
      </c>
      <c r="BA50" s="16">
        <v>0</v>
      </c>
    </row>
    <row r="51" spans="1:53" x14ac:dyDescent="0.2">
      <c r="A51" s="14"/>
      <c r="B51" s="14" t="str">
        <f t="shared" si="6"/>
        <v>Parry 1993</v>
      </c>
      <c r="C51" s="61">
        <f t="shared" si="7"/>
        <v>10</v>
      </c>
      <c r="D51" s="58">
        <v>1993</v>
      </c>
      <c r="E51" s="17"/>
      <c r="F51" s="58">
        <v>1</v>
      </c>
      <c r="G51" s="16">
        <v>1991</v>
      </c>
      <c r="H51" s="15">
        <f>LOOKUP(G51,CPI!A$69:A$100,CPI!O$69:O$100)</f>
        <v>1.600998531571219</v>
      </c>
      <c r="I51" s="52">
        <v>1990</v>
      </c>
      <c r="J51" s="23">
        <f>2/112</f>
        <v>1.7857142857142856E-2</v>
      </c>
      <c r="K51" s="15"/>
      <c r="L51" s="62"/>
      <c r="M51" s="56">
        <f t="shared" si="12"/>
        <v>6.3140917247158354E-2</v>
      </c>
      <c r="N51" s="14">
        <f>44/12*0.005</f>
        <v>1.8333333333333333E-2</v>
      </c>
      <c r="O51" s="18">
        <f t="shared" si="14"/>
        <v>1.8333333333333333E-2</v>
      </c>
      <c r="P51" s="16">
        <v>0</v>
      </c>
      <c r="Q51" s="16">
        <v>1</v>
      </c>
      <c r="R51" s="16">
        <v>0</v>
      </c>
      <c r="S51" s="14"/>
      <c r="T51" s="56" t="str">
        <f t="shared" si="5"/>
        <v/>
      </c>
      <c r="U51" s="56" t="str">
        <f t="shared" si="9"/>
        <v/>
      </c>
      <c r="V51" s="56" t="str">
        <f t="shared" si="10"/>
        <v/>
      </c>
      <c r="W51" s="14"/>
      <c r="X51" s="14"/>
      <c r="Y51" s="14"/>
      <c r="Z51" s="14"/>
      <c r="AA51" s="18">
        <f t="shared" si="15"/>
        <v>1.8333333333333333E-2</v>
      </c>
      <c r="AB51" s="14"/>
      <c r="AC51" s="14"/>
      <c r="AD51" s="14"/>
      <c r="AE51" s="14"/>
      <c r="AF51" s="16">
        <v>0</v>
      </c>
      <c r="AG51" s="16">
        <v>1</v>
      </c>
      <c r="AH51" s="16">
        <v>0</v>
      </c>
      <c r="AI51" s="16">
        <v>0</v>
      </c>
      <c r="AJ51" s="5">
        <v>0</v>
      </c>
      <c r="AK51" s="5">
        <v>1</v>
      </c>
      <c r="AL51" s="5">
        <v>0</v>
      </c>
      <c r="AM51" s="20"/>
      <c r="AN51" s="20">
        <v>0</v>
      </c>
      <c r="AO51" s="16"/>
      <c r="AP51" s="16"/>
      <c r="AQ51" s="16"/>
      <c r="AR51" s="16">
        <v>0</v>
      </c>
      <c r="AS51" s="16">
        <v>0</v>
      </c>
      <c r="AT51" s="16"/>
      <c r="AU51" s="16"/>
      <c r="AV51" s="16"/>
      <c r="AW51" s="16"/>
      <c r="AX51" s="16">
        <v>0</v>
      </c>
      <c r="AY51" s="16">
        <v>0</v>
      </c>
      <c r="AZ51" s="16">
        <v>0</v>
      </c>
      <c r="BA51" s="16">
        <v>0</v>
      </c>
    </row>
    <row r="52" spans="1:53" x14ac:dyDescent="0.2">
      <c r="A52" s="14"/>
      <c r="B52" s="14" t="str">
        <f t="shared" si="6"/>
        <v>Parry 1993</v>
      </c>
      <c r="C52" s="61">
        <f t="shared" si="7"/>
        <v>10</v>
      </c>
      <c r="D52" s="58">
        <v>1993</v>
      </c>
      <c r="E52" s="17"/>
      <c r="F52" s="58">
        <v>1</v>
      </c>
      <c r="G52" s="16">
        <v>1991</v>
      </c>
      <c r="H52" s="15">
        <f>LOOKUP(G52,CPI!A$69:A$100,CPI!O$69:O$100)</f>
        <v>1.600998531571219</v>
      </c>
      <c r="I52" s="52">
        <v>1990</v>
      </c>
      <c r="J52" s="23">
        <f>2/112</f>
        <v>1.7857142857142856E-2</v>
      </c>
      <c r="K52" s="15"/>
      <c r="L52" s="62"/>
      <c r="M52" s="56">
        <f t="shared" si="12"/>
        <v>0.37884550348295004</v>
      </c>
      <c r="N52" s="14">
        <f>44/12*0.03</f>
        <v>0.10999999999999999</v>
      </c>
      <c r="O52" s="18">
        <f t="shared" si="14"/>
        <v>0.10999999999999999</v>
      </c>
      <c r="P52" s="16">
        <v>0</v>
      </c>
      <c r="Q52" s="16">
        <v>1</v>
      </c>
      <c r="R52" s="16">
        <v>0</v>
      </c>
      <c r="S52" s="14"/>
      <c r="T52" s="56" t="str">
        <f t="shared" si="5"/>
        <v/>
      </c>
      <c r="U52" s="56" t="str">
        <f t="shared" si="9"/>
        <v/>
      </c>
      <c r="V52" s="56" t="str">
        <f t="shared" si="10"/>
        <v/>
      </c>
      <c r="W52" s="14"/>
      <c r="X52" s="14"/>
      <c r="Y52" s="14"/>
      <c r="Z52" s="14"/>
      <c r="AA52" s="18">
        <f t="shared" si="15"/>
        <v>0.10999999999999999</v>
      </c>
      <c r="AB52" s="14"/>
      <c r="AC52" s="14"/>
      <c r="AD52" s="14"/>
      <c r="AE52" s="14"/>
      <c r="AF52" s="16">
        <v>0</v>
      </c>
      <c r="AG52" s="16">
        <v>1</v>
      </c>
      <c r="AH52" s="16">
        <v>0</v>
      </c>
      <c r="AI52" s="16">
        <v>0</v>
      </c>
      <c r="AJ52" s="5">
        <v>0</v>
      </c>
      <c r="AK52" s="5">
        <v>1</v>
      </c>
      <c r="AL52" s="5">
        <v>0</v>
      </c>
      <c r="AM52" s="20"/>
      <c r="AN52" s="20">
        <v>0</v>
      </c>
      <c r="AO52" s="16"/>
      <c r="AP52" s="16"/>
      <c r="AQ52" s="16"/>
      <c r="AR52" s="16">
        <v>0</v>
      </c>
      <c r="AS52" s="16">
        <v>0</v>
      </c>
      <c r="AT52" s="16"/>
      <c r="AU52" s="16"/>
      <c r="AV52" s="16"/>
      <c r="AW52" s="16"/>
      <c r="AX52" s="16">
        <v>0</v>
      </c>
      <c r="AY52" s="16">
        <v>0</v>
      </c>
      <c r="AZ52" s="16">
        <v>0</v>
      </c>
      <c r="BA52" s="16">
        <v>0</v>
      </c>
    </row>
    <row r="53" spans="1:53" x14ac:dyDescent="0.2">
      <c r="A53" s="14"/>
      <c r="B53" s="14" t="str">
        <f t="shared" si="6"/>
        <v>Parry 1993</v>
      </c>
      <c r="C53" s="61">
        <f t="shared" si="7"/>
        <v>10</v>
      </c>
      <c r="D53" s="58">
        <v>1993</v>
      </c>
      <c r="E53" s="17"/>
      <c r="F53" s="58">
        <v>1</v>
      </c>
      <c r="G53" s="16">
        <v>1991</v>
      </c>
      <c r="H53" s="15">
        <f>LOOKUP(G53,CPI!A$69:A$100,CPI!O$69:O$100)</f>
        <v>1.600998531571219</v>
      </c>
      <c r="I53" s="52">
        <v>1990</v>
      </c>
      <c r="J53" s="23">
        <f>4/112</f>
        <v>3.5714285714285712E-2</v>
      </c>
      <c r="K53" s="15"/>
      <c r="L53" s="62"/>
      <c r="M53" s="56">
        <f t="shared" si="12"/>
        <v>8.8397284146021687E-2</v>
      </c>
      <c r="N53" s="14">
        <f>44/12*0.007</f>
        <v>2.5666666666666667E-2</v>
      </c>
      <c r="O53" s="18">
        <f t="shared" si="14"/>
        <v>2.5666666666666667E-2</v>
      </c>
      <c r="P53" s="16">
        <v>0</v>
      </c>
      <c r="Q53" s="16">
        <v>1</v>
      </c>
      <c r="R53" s="16">
        <v>0</v>
      </c>
      <c r="S53" s="14"/>
      <c r="T53" s="56" t="str">
        <f t="shared" si="5"/>
        <v/>
      </c>
      <c r="U53" s="56" t="str">
        <f t="shared" si="9"/>
        <v/>
      </c>
      <c r="V53" s="56" t="str">
        <f t="shared" si="10"/>
        <v/>
      </c>
      <c r="W53" s="14"/>
      <c r="X53" s="14"/>
      <c r="Y53" s="14"/>
      <c r="Z53" s="14"/>
      <c r="AA53" s="18">
        <f t="shared" si="15"/>
        <v>2.5666666666666667E-2</v>
      </c>
      <c r="AB53" s="14"/>
      <c r="AC53" s="14"/>
      <c r="AD53" s="14"/>
      <c r="AE53" s="14"/>
      <c r="AF53" s="16">
        <v>0</v>
      </c>
      <c r="AG53" s="16">
        <v>1</v>
      </c>
      <c r="AH53" s="16">
        <v>0</v>
      </c>
      <c r="AI53" s="16">
        <v>0</v>
      </c>
      <c r="AJ53" s="5">
        <v>0</v>
      </c>
      <c r="AK53" s="5">
        <v>1</v>
      </c>
      <c r="AL53" s="5">
        <v>0</v>
      </c>
      <c r="AM53" s="20"/>
      <c r="AN53" s="20">
        <v>0</v>
      </c>
      <c r="AO53" s="16"/>
      <c r="AP53" s="16"/>
      <c r="AQ53" s="16"/>
      <c r="AR53" s="16">
        <v>0</v>
      </c>
      <c r="AS53" s="16">
        <v>0</v>
      </c>
      <c r="AT53" s="16"/>
      <c r="AU53" s="16"/>
      <c r="AV53" s="16"/>
      <c r="AW53" s="16"/>
      <c r="AX53" s="16">
        <v>0</v>
      </c>
      <c r="AY53" s="16">
        <v>0</v>
      </c>
      <c r="AZ53" s="16">
        <v>0</v>
      </c>
      <c r="BA53" s="16">
        <v>0</v>
      </c>
    </row>
    <row r="54" spans="1:53" x14ac:dyDescent="0.2">
      <c r="A54" s="14"/>
      <c r="B54" s="14" t="str">
        <f t="shared" si="6"/>
        <v>Parry 1993</v>
      </c>
      <c r="C54" s="61">
        <f t="shared" si="7"/>
        <v>10</v>
      </c>
      <c r="D54" s="58">
        <v>1993</v>
      </c>
      <c r="E54" s="17"/>
      <c r="F54" s="58">
        <v>1</v>
      </c>
      <c r="G54" s="16">
        <v>1991</v>
      </c>
      <c r="H54" s="15">
        <f>LOOKUP(G54,CPI!A$69:A$100,CPI!O$69:O$100)</f>
        <v>1.600998531571219</v>
      </c>
      <c r="I54" s="52">
        <v>1990</v>
      </c>
      <c r="J54" s="23">
        <f>4/112</f>
        <v>3.5714285714285712E-2</v>
      </c>
      <c r="K54" s="15"/>
      <c r="L54" s="62"/>
      <c r="M54" s="56">
        <f t="shared" si="12"/>
        <v>0.53038370487613018</v>
      </c>
      <c r="N54" s="14">
        <f>44/12*0.042</f>
        <v>0.154</v>
      </c>
      <c r="O54" s="18">
        <f t="shared" si="14"/>
        <v>0.154</v>
      </c>
      <c r="P54" s="16">
        <v>0</v>
      </c>
      <c r="Q54" s="16">
        <v>1</v>
      </c>
      <c r="R54" s="16">
        <v>0</v>
      </c>
      <c r="S54" s="14"/>
      <c r="T54" s="56" t="str">
        <f t="shared" si="5"/>
        <v/>
      </c>
      <c r="U54" s="56" t="str">
        <f t="shared" si="9"/>
        <v/>
      </c>
      <c r="V54" s="56" t="str">
        <f t="shared" si="10"/>
        <v/>
      </c>
      <c r="W54" s="14"/>
      <c r="X54" s="14"/>
      <c r="Y54" s="14"/>
      <c r="Z54" s="14"/>
      <c r="AA54" s="18">
        <f t="shared" si="15"/>
        <v>0.154</v>
      </c>
      <c r="AB54" s="14"/>
      <c r="AC54" s="14"/>
      <c r="AD54" s="14"/>
      <c r="AE54" s="14"/>
      <c r="AF54" s="16">
        <v>0</v>
      </c>
      <c r="AG54" s="16">
        <v>1</v>
      </c>
      <c r="AH54" s="16">
        <v>0</v>
      </c>
      <c r="AI54" s="16">
        <v>0</v>
      </c>
      <c r="AJ54" s="5">
        <v>0</v>
      </c>
      <c r="AK54" s="5">
        <v>1</v>
      </c>
      <c r="AL54" s="5">
        <v>0</v>
      </c>
      <c r="AM54" s="20"/>
      <c r="AN54" s="20">
        <v>0</v>
      </c>
      <c r="AO54" s="16"/>
      <c r="AP54" s="16"/>
      <c r="AQ54" s="16"/>
      <c r="AR54" s="16">
        <v>0</v>
      </c>
      <c r="AS54" s="16">
        <v>0</v>
      </c>
      <c r="AT54" s="16"/>
      <c r="AU54" s="16"/>
      <c r="AV54" s="16"/>
      <c r="AW54" s="16"/>
      <c r="AX54" s="16">
        <v>0</v>
      </c>
      <c r="AY54" s="16">
        <v>0</v>
      </c>
      <c r="AZ54" s="16">
        <v>0</v>
      </c>
      <c r="BA54" s="16">
        <v>0</v>
      </c>
    </row>
    <row r="55" spans="1:53" x14ac:dyDescent="0.2">
      <c r="A55" s="14"/>
      <c r="B55" s="14" t="str">
        <f t="shared" si="6"/>
        <v>Parry 1993</v>
      </c>
      <c r="C55" s="61">
        <f t="shared" si="7"/>
        <v>10</v>
      </c>
      <c r="D55" s="58">
        <v>1993</v>
      </c>
      <c r="E55" s="17"/>
      <c r="F55" s="58">
        <v>1</v>
      </c>
      <c r="G55" s="16">
        <v>1991</v>
      </c>
      <c r="H55" s="15">
        <f>LOOKUP(G55,CPI!A$69:A$100,CPI!O$69:O$100)</f>
        <v>1.600998531571219</v>
      </c>
      <c r="I55" s="52">
        <v>1990</v>
      </c>
      <c r="J55" s="23">
        <f>4/112</f>
        <v>3.5714285714285712E-2</v>
      </c>
      <c r="K55" s="15"/>
      <c r="L55" s="62"/>
      <c r="M55" s="56">
        <f t="shared" si="12"/>
        <v>0.17679456829204337</v>
      </c>
      <c r="N55" s="14">
        <f>44/12*0.014</f>
        <v>5.1333333333333335E-2</v>
      </c>
      <c r="O55" s="18">
        <f t="shared" si="14"/>
        <v>5.1333333333333335E-2</v>
      </c>
      <c r="P55" s="16">
        <v>0</v>
      </c>
      <c r="Q55" s="16">
        <v>1</v>
      </c>
      <c r="R55" s="16">
        <v>0</v>
      </c>
      <c r="S55" s="14"/>
      <c r="T55" s="56" t="str">
        <f t="shared" si="5"/>
        <v/>
      </c>
      <c r="U55" s="56" t="str">
        <f t="shared" ref="U55:U86" si="16">+V55</f>
        <v/>
      </c>
      <c r="V55" s="56" t="str">
        <f t="shared" ref="V55:V86" si="17">+T55</f>
        <v/>
      </c>
      <c r="W55" s="14"/>
      <c r="X55" s="14"/>
      <c r="Y55" s="14"/>
      <c r="Z55" s="14"/>
      <c r="AA55" s="18">
        <f t="shared" si="15"/>
        <v>5.1333333333333335E-2</v>
      </c>
      <c r="AB55" s="14"/>
      <c r="AC55" s="14"/>
      <c r="AD55" s="14"/>
      <c r="AE55" s="14"/>
      <c r="AF55" s="16">
        <v>0</v>
      </c>
      <c r="AG55" s="16">
        <v>1</v>
      </c>
      <c r="AH55" s="16">
        <v>0</v>
      </c>
      <c r="AI55" s="16">
        <v>0</v>
      </c>
      <c r="AJ55" s="5">
        <v>0</v>
      </c>
      <c r="AK55" s="5">
        <v>1</v>
      </c>
      <c r="AL55" s="5">
        <v>0</v>
      </c>
      <c r="AM55" s="20"/>
      <c r="AN55" s="20">
        <v>0</v>
      </c>
      <c r="AO55" s="16"/>
      <c r="AP55" s="16"/>
      <c r="AQ55" s="16"/>
      <c r="AR55" s="16">
        <v>0</v>
      </c>
      <c r="AS55" s="16">
        <v>0</v>
      </c>
      <c r="AT55" s="16"/>
      <c r="AU55" s="16"/>
      <c r="AV55" s="16"/>
      <c r="AW55" s="16"/>
      <c r="AX55" s="16">
        <v>0</v>
      </c>
      <c r="AY55" s="16">
        <v>0</v>
      </c>
      <c r="AZ55" s="16">
        <v>0</v>
      </c>
      <c r="BA55" s="16">
        <v>0</v>
      </c>
    </row>
    <row r="56" spans="1:53" x14ac:dyDescent="0.2">
      <c r="A56" s="14"/>
      <c r="B56" s="14" t="str">
        <f t="shared" si="6"/>
        <v>Parry 1993</v>
      </c>
      <c r="C56" s="61">
        <f t="shared" si="7"/>
        <v>10</v>
      </c>
      <c r="D56" s="58">
        <v>1993</v>
      </c>
      <c r="E56" s="17"/>
      <c r="F56" s="58">
        <v>1</v>
      </c>
      <c r="G56" s="16">
        <v>1991</v>
      </c>
      <c r="H56" s="15">
        <f>LOOKUP(G56,CPI!A$69:A$100,CPI!O$69:O$100)</f>
        <v>1.600998531571219</v>
      </c>
      <c r="I56" s="52">
        <v>1990</v>
      </c>
      <c r="J56" s="23">
        <f>4/112</f>
        <v>3.5714285714285712E-2</v>
      </c>
      <c r="K56" s="15"/>
      <c r="L56" s="62"/>
      <c r="M56" s="56">
        <f t="shared" si="12"/>
        <v>1.0607674097522604</v>
      </c>
      <c r="N56" s="14">
        <f>44/12*0.084</f>
        <v>0.308</v>
      </c>
      <c r="O56" s="18">
        <f t="shared" si="14"/>
        <v>0.308</v>
      </c>
      <c r="P56" s="16">
        <v>0</v>
      </c>
      <c r="Q56" s="16">
        <v>1</v>
      </c>
      <c r="R56" s="16">
        <v>0</v>
      </c>
      <c r="S56" s="14"/>
      <c r="T56" s="56" t="str">
        <f t="shared" si="5"/>
        <v/>
      </c>
      <c r="U56" s="56" t="str">
        <f t="shared" si="16"/>
        <v/>
      </c>
      <c r="V56" s="56" t="str">
        <f t="shared" si="17"/>
        <v/>
      </c>
      <c r="W56" s="14"/>
      <c r="X56" s="14"/>
      <c r="Y56" s="14"/>
      <c r="Z56" s="14"/>
      <c r="AA56" s="18">
        <f t="shared" si="15"/>
        <v>0.308</v>
      </c>
      <c r="AB56" s="14"/>
      <c r="AC56" s="14"/>
      <c r="AD56" s="14"/>
      <c r="AE56" s="14"/>
      <c r="AF56" s="16">
        <v>0</v>
      </c>
      <c r="AG56" s="16">
        <v>1</v>
      </c>
      <c r="AH56" s="16">
        <v>0</v>
      </c>
      <c r="AI56" s="16">
        <v>0</v>
      </c>
      <c r="AJ56" s="5">
        <v>0</v>
      </c>
      <c r="AK56" s="5">
        <v>1</v>
      </c>
      <c r="AL56" s="5">
        <v>0</v>
      </c>
      <c r="AM56" s="20"/>
      <c r="AN56" s="20">
        <v>0</v>
      </c>
      <c r="AO56" s="16"/>
      <c r="AP56" s="16"/>
      <c r="AQ56" s="16"/>
      <c r="AR56" s="16">
        <v>0</v>
      </c>
      <c r="AS56" s="16">
        <v>0</v>
      </c>
      <c r="AT56" s="16"/>
      <c r="AU56" s="16"/>
      <c r="AV56" s="16"/>
      <c r="AW56" s="16"/>
      <c r="AX56" s="16">
        <v>0</v>
      </c>
      <c r="AY56" s="16">
        <v>0</v>
      </c>
      <c r="AZ56" s="16">
        <v>0</v>
      </c>
      <c r="BA56" s="16">
        <v>0</v>
      </c>
    </row>
    <row r="57" spans="1:53" x14ac:dyDescent="0.2">
      <c r="A57" s="14"/>
      <c r="B57" s="14" t="str">
        <f t="shared" si="6"/>
        <v>Parry 1993</v>
      </c>
      <c r="C57" s="61">
        <f t="shared" si="7"/>
        <v>10</v>
      </c>
      <c r="D57" s="58">
        <v>1993</v>
      </c>
      <c r="E57" s="17"/>
      <c r="F57" s="58">
        <v>1</v>
      </c>
      <c r="G57" s="16">
        <v>1991</v>
      </c>
      <c r="H57" s="15">
        <f>LOOKUP(G57,CPI!A$69:A$100,CPI!O$69:O$100)</f>
        <v>1.600998531571219</v>
      </c>
      <c r="I57" s="52">
        <v>1990</v>
      </c>
      <c r="J57" s="23">
        <f t="shared" ref="J57:J62" si="18">2/112</f>
        <v>1.7857142857142856E-2</v>
      </c>
      <c r="K57" s="15"/>
      <c r="L57" s="62"/>
      <c r="M57" s="56">
        <f t="shared" si="12"/>
        <v>0.32833276968522335</v>
      </c>
      <c r="N57" s="14">
        <f>44/12*0.026</f>
        <v>9.5333333333333325E-2</v>
      </c>
      <c r="O57" s="18">
        <f t="shared" si="14"/>
        <v>9.5333333333333325E-2</v>
      </c>
      <c r="P57" s="16">
        <v>0</v>
      </c>
      <c r="Q57" s="16">
        <v>1</v>
      </c>
      <c r="R57" s="16">
        <v>0</v>
      </c>
      <c r="S57" s="14"/>
      <c r="T57" s="56" t="str">
        <f t="shared" si="5"/>
        <v/>
      </c>
      <c r="U57" s="56" t="str">
        <f t="shared" si="16"/>
        <v/>
      </c>
      <c r="V57" s="56" t="str">
        <f t="shared" si="17"/>
        <v/>
      </c>
      <c r="W57" s="14"/>
      <c r="X57" s="14"/>
      <c r="Y57" s="14"/>
      <c r="Z57" s="14"/>
      <c r="AA57" s="18">
        <f t="shared" si="15"/>
        <v>9.5333333333333325E-2</v>
      </c>
      <c r="AB57" s="14"/>
      <c r="AC57" s="14"/>
      <c r="AD57" s="14"/>
      <c r="AE57" s="14"/>
      <c r="AF57" s="16">
        <v>0</v>
      </c>
      <c r="AG57" s="16">
        <v>1</v>
      </c>
      <c r="AH57" s="16">
        <v>0</v>
      </c>
      <c r="AI57" s="16">
        <v>0</v>
      </c>
      <c r="AJ57" s="5">
        <v>0</v>
      </c>
      <c r="AK57" s="5">
        <v>1</v>
      </c>
      <c r="AL57" s="5">
        <v>0</v>
      </c>
      <c r="AM57" s="20"/>
      <c r="AN57" s="20">
        <v>0</v>
      </c>
      <c r="AO57" s="16"/>
      <c r="AP57" s="16"/>
      <c r="AQ57" s="16"/>
      <c r="AR57" s="16">
        <v>0</v>
      </c>
      <c r="AS57" s="16">
        <v>0</v>
      </c>
      <c r="AT57" s="16"/>
      <c r="AU57" s="16"/>
      <c r="AV57" s="16"/>
      <c r="AW57" s="16"/>
      <c r="AX57" s="16">
        <v>0</v>
      </c>
      <c r="AY57" s="16">
        <v>0</v>
      </c>
      <c r="AZ57" s="16">
        <v>0</v>
      </c>
      <c r="BA57" s="16">
        <v>0</v>
      </c>
    </row>
    <row r="58" spans="1:53" x14ac:dyDescent="0.2">
      <c r="A58" s="14"/>
      <c r="B58" s="14" t="str">
        <f t="shared" si="6"/>
        <v>Parry 1993</v>
      </c>
      <c r="C58" s="61">
        <f t="shared" si="7"/>
        <v>10</v>
      </c>
      <c r="D58" s="58">
        <v>1993</v>
      </c>
      <c r="E58" s="17"/>
      <c r="F58" s="58">
        <v>1</v>
      </c>
      <c r="G58" s="16">
        <v>1991</v>
      </c>
      <c r="H58" s="15">
        <f>LOOKUP(G58,CPI!A$69:A$100,CPI!O$69:O$100)</f>
        <v>1.600998531571219</v>
      </c>
      <c r="I58" s="52">
        <v>1990</v>
      </c>
      <c r="J58" s="23">
        <f t="shared" si="18"/>
        <v>1.7857142857142856E-2</v>
      </c>
      <c r="K58" s="15"/>
      <c r="L58" s="62"/>
      <c r="M58" s="56">
        <f t="shared" si="12"/>
        <v>1.9699966181113404</v>
      </c>
      <c r="N58" s="14">
        <f>44/12*0.156</f>
        <v>0.57199999999999995</v>
      </c>
      <c r="O58" s="18">
        <f t="shared" si="14"/>
        <v>0.57199999999999995</v>
      </c>
      <c r="P58" s="16">
        <v>0</v>
      </c>
      <c r="Q58" s="16">
        <v>1</v>
      </c>
      <c r="R58" s="16">
        <v>0</v>
      </c>
      <c r="S58" s="14"/>
      <c r="T58" s="56" t="str">
        <f t="shared" si="5"/>
        <v/>
      </c>
      <c r="U58" s="56" t="str">
        <f t="shared" si="16"/>
        <v/>
      </c>
      <c r="V58" s="56" t="str">
        <f t="shared" si="17"/>
        <v/>
      </c>
      <c r="W58" s="14"/>
      <c r="X58" s="14"/>
      <c r="Y58" s="14"/>
      <c r="Z58" s="14"/>
      <c r="AA58" s="18">
        <f t="shared" si="15"/>
        <v>0.57199999999999995</v>
      </c>
      <c r="AB58" s="14"/>
      <c r="AC58" s="14"/>
      <c r="AD58" s="14"/>
      <c r="AE58" s="14"/>
      <c r="AF58" s="16">
        <v>0</v>
      </c>
      <c r="AG58" s="16">
        <v>1</v>
      </c>
      <c r="AH58" s="16">
        <v>0</v>
      </c>
      <c r="AI58" s="16">
        <v>0</v>
      </c>
      <c r="AJ58" s="5">
        <v>0</v>
      </c>
      <c r="AK58" s="5">
        <v>1</v>
      </c>
      <c r="AL58" s="5">
        <v>0</v>
      </c>
      <c r="AM58" s="20"/>
      <c r="AN58" s="20">
        <v>0</v>
      </c>
      <c r="AO58" s="16"/>
      <c r="AP58" s="16"/>
      <c r="AQ58" s="16"/>
      <c r="AR58" s="16">
        <v>0</v>
      </c>
      <c r="AS58" s="16">
        <v>0</v>
      </c>
      <c r="AT58" s="16"/>
      <c r="AU58" s="16"/>
      <c r="AV58" s="16"/>
      <c r="AW58" s="16"/>
      <c r="AX58" s="16">
        <v>0</v>
      </c>
      <c r="AY58" s="16">
        <v>0</v>
      </c>
      <c r="AZ58" s="16">
        <v>0</v>
      </c>
      <c r="BA58" s="16">
        <v>0</v>
      </c>
    </row>
    <row r="59" spans="1:53" x14ac:dyDescent="0.2">
      <c r="A59" s="14"/>
      <c r="B59" s="14" t="str">
        <f t="shared" si="6"/>
        <v>Parry 1993</v>
      </c>
      <c r="C59" s="61">
        <f t="shared" si="7"/>
        <v>10</v>
      </c>
      <c r="D59" s="58">
        <v>1993</v>
      </c>
      <c r="E59" s="17"/>
      <c r="F59" s="58">
        <v>1</v>
      </c>
      <c r="G59" s="16">
        <v>1991</v>
      </c>
      <c r="H59" s="15">
        <f>LOOKUP(G59,CPI!A$69:A$100,CPI!O$69:O$100)</f>
        <v>1.600998531571219</v>
      </c>
      <c r="I59" s="52">
        <v>1990</v>
      </c>
      <c r="J59" s="23">
        <f t="shared" si="18"/>
        <v>1.7857142857142856E-2</v>
      </c>
      <c r="K59" s="15"/>
      <c r="L59" s="62"/>
      <c r="M59" s="56">
        <f t="shared" si="12"/>
        <v>0.8713446580107852</v>
      </c>
      <c r="N59" s="14">
        <f>44/12*0.069</f>
        <v>0.253</v>
      </c>
      <c r="O59" s="18">
        <f t="shared" si="14"/>
        <v>0.253</v>
      </c>
      <c r="P59" s="16">
        <v>0</v>
      </c>
      <c r="Q59" s="16">
        <v>1</v>
      </c>
      <c r="R59" s="16">
        <v>0</v>
      </c>
      <c r="S59" s="14"/>
      <c r="T59" s="56" t="str">
        <f t="shared" si="5"/>
        <v/>
      </c>
      <c r="U59" s="56" t="str">
        <f t="shared" si="16"/>
        <v/>
      </c>
      <c r="V59" s="56" t="str">
        <f t="shared" si="17"/>
        <v/>
      </c>
      <c r="W59" s="14"/>
      <c r="X59" s="14"/>
      <c r="Y59" s="14"/>
      <c r="Z59" s="14"/>
      <c r="AA59" s="18">
        <f t="shared" si="15"/>
        <v>0.253</v>
      </c>
      <c r="AB59" s="14"/>
      <c r="AC59" s="14"/>
      <c r="AD59" s="14"/>
      <c r="AE59" s="14"/>
      <c r="AF59" s="16">
        <v>0</v>
      </c>
      <c r="AG59" s="16">
        <v>1</v>
      </c>
      <c r="AH59" s="16">
        <v>0</v>
      </c>
      <c r="AI59" s="16">
        <v>0</v>
      </c>
      <c r="AJ59" s="5">
        <v>0</v>
      </c>
      <c r="AK59" s="5">
        <v>1</v>
      </c>
      <c r="AL59" s="5">
        <v>0</v>
      </c>
      <c r="AM59" s="20"/>
      <c r="AN59" s="20">
        <v>0</v>
      </c>
      <c r="AO59" s="16"/>
      <c r="AP59" s="16"/>
      <c r="AQ59" s="16"/>
      <c r="AR59" s="16">
        <v>0</v>
      </c>
      <c r="AS59" s="16">
        <v>0</v>
      </c>
      <c r="AT59" s="16"/>
      <c r="AU59" s="16"/>
      <c r="AV59" s="16"/>
      <c r="AW59" s="16"/>
      <c r="AX59" s="16">
        <v>0</v>
      </c>
      <c r="AY59" s="16">
        <v>0</v>
      </c>
      <c r="AZ59" s="16">
        <v>0</v>
      </c>
      <c r="BA59" s="16">
        <v>0</v>
      </c>
    </row>
    <row r="60" spans="1:53" x14ac:dyDescent="0.2">
      <c r="A60" s="14"/>
      <c r="B60" s="14" t="str">
        <f t="shared" si="6"/>
        <v>Parry 1993</v>
      </c>
      <c r="C60" s="61">
        <f t="shared" si="7"/>
        <v>10</v>
      </c>
      <c r="D60" s="58">
        <v>1993</v>
      </c>
      <c r="E60" s="17"/>
      <c r="F60" s="58">
        <v>1</v>
      </c>
      <c r="G60" s="16">
        <v>1991</v>
      </c>
      <c r="H60" s="15">
        <f>LOOKUP(G60,CPI!A$69:A$100,CPI!O$69:O$100)</f>
        <v>1.600998531571219</v>
      </c>
      <c r="I60" s="52">
        <v>1990</v>
      </c>
      <c r="J60" s="23">
        <f t="shared" si="18"/>
        <v>1.7857142857142856E-2</v>
      </c>
      <c r="K60" s="15"/>
      <c r="L60" s="62"/>
      <c r="M60" s="56">
        <f t="shared" si="12"/>
        <v>5.2280679480647105</v>
      </c>
      <c r="N60" s="14">
        <f>44/12*0.414</f>
        <v>1.5179999999999998</v>
      </c>
      <c r="O60" s="18">
        <f t="shared" si="14"/>
        <v>1.5179999999999998</v>
      </c>
      <c r="P60" s="16">
        <v>0</v>
      </c>
      <c r="Q60" s="16">
        <v>1</v>
      </c>
      <c r="R60" s="16">
        <v>0</v>
      </c>
      <c r="S60" s="14"/>
      <c r="T60" s="56" t="str">
        <f t="shared" si="5"/>
        <v/>
      </c>
      <c r="U60" s="56" t="str">
        <f t="shared" si="16"/>
        <v/>
      </c>
      <c r="V60" s="56" t="str">
        <f t="shared" si="17"/>
        <v/>
      </c>
      <c r="W60" s="14"/>
      <c r="X60" s="14"/>
      <c r="Y60" s="14"/>
      <c r="Z60" s="14"/>
      <c r="AA60" s="18">
        <f t="shared" si="15"/>
        <v>1.5179999999999998</v>
      </c>
      <c r="AB60" s="14"/>
      <c r="AC60" s="14"/>
      <c r="AD60" s="14"/>
      <c r="AE60" s="14"/>
      <c r="AF60" s="16">
        <v>0</v>
      </c>
      <c r="AG60" s="16">
        <v>1</v>
      </c>
      <c r="AH60" s="16">
        <v>0</v>
      </c>
      <c r="AI60" s="16">
        <v>0</v>
      </c>
      <c r="AJ60" s="5">
        <v>0</v>
      </c>
      <c r="AK60" s="5">
        <v>1</v>
      </c>
      <c r="AL60" s="5">
        <v>0</v>
      </c>
      <c r="AM60" s="20"/>
      <c r="AN60" s="20">
        <v>0</v>
      </c>
      <c r="AO60" s="16"/>
      <c r="AP60" s="16"/>
      <c r="AQ60" s="16"/>
      <c r="AR60" s="16">
        <v>0</v>
      </c>
      <c r="AS60" s="16">
        <v>0</v>
      </c>
      <c r="AT60" s="16"/>
      <c r="AU60" s="16"/>
      <c r="AV60" s="16"/>
      <c r="AW60" s="16"/>
      <c r="AX60" s="16">
        <v>0</v>
      </c>
      <c r="AY60" s="16">
        <v>0</v>
      </c>
      <c r="AZ60" s="16">
        <v>0</v>
      </c>
      <c r="BA60" s="16">
        <v>0</v>
      </c>
    </row>
    <row r="61" spans="1:53" x14ac:dyDescent="0.2">
      <c r="A61" s="14"/>
      <c r="B61" s="14" t="str">
        <f t="shared" si="6"/>
        <v>Parry 1993</v>
      </c>
      <c r="C61" s="61">
        <f t="shared" si="7"/>
        <v>10</v>
      </c>
      <c r="D61" s="58">
        <v>1993</v>
      </c>
      <c r="E61" s="17"/>
      <c r="F61" s="58">
        <v>1</v>
      </c>
      <c r="G61" s="16">
        <v>1991</v>
      </c>
      <c r="H61" s="15">
        <f>LOOKUP(G61,CPI!A$69:A$100,CPI!O$69:O$100)</f>
        <v>1.600998531571219</v>
      </c>
      <c r="I61" s="52">
        <v>1990</v>
      </c>
      <c r="J61" s="23">
        <f t="shared" si="18"/>
        <v>1.7857142857142856E-2</v>
      </c>
      <c r="K61" s="15"/>
      <c r="L61" s="62"/>
      <c r="M61" s="56">
        <f t="shared" si="12"/>
        <v>0.26519185243806509</v>
      </c>
      <c r="N61" s="14">
        <f>44/12*0.021</f>
        <v>7.6999999999999999E-2</v>
      </c>
      <c r="O61" s="18">
        <f t="shared" si="14"/>
        <v>7.6999999999999999E-2</v>
      </c>
      <c r="P61" s="16">
        <v>0</v>
      </c>
      <c r="Q61" s="16">
        <v>1</v>
      </c>
      <c r="R61" s="16">
        <v>0</v>
      </c>
      <c r="S61" s="14"/>
      <c r="T61" s="56" t="str">
        <f t="shared" si="5"/>
        <v/>
      </c>
      <c r="U61" s="56" t="str">
        <f t="shared" si="16"/>
        <v/>
      </c>
      <c r="V61" s="56" t="str">
        <f t="shared" si="17"/>
        <v/>
      </c>
      <c r="W61" s="14"/>
      <c r="X61" s="14"/>
      <c r="Y61" s="14"/>
      <c r="Z61" s="14"/>
      <c r="AA61" s="18">
        <f t="shared" si="15"/>
        <v>7.6999999999999999E-2</v>
      </c>
      <c r="AB61" s="14"/>
      <c r="AC61" s="14"/>
      <c r="AD61" s="14"/>
      <c r="AE61" s="14"/>
      <c r="AF61" s="16">
        <v>0</v>
      </c>
      <c r="AG61" s="16">
        <v>1</v>
      </c>
      <c r="AH61" s="16">
        <v>0</v>
      </c>
      <c r="AI61" s="16">
        <v>0</v>
      </c>
      <c r="AJ61" s="5">
        <v>0</v>
      </c>
      <c r="AK61" s="5">
        <v>1</v>
      </c>
      <c r="AL61" s="5">
        <v>0</v>
      </c>
      <c r="AM61" s="20"/>
      <c r="AN61" s="20">
        <v>0</v>
      </c>
      <c r="AO61" s="16"/>
      <c r="AP61" s="16"/>
      <c r="AQ61" s="16"/>
      <c r="AR61" s="16">
        <v>0</v>
      </c>
      <c r="AS61" s="16">
        <v>0</v>
      </c>
      <c r="AT61" s="16"/>
      <c r="AU61" s="16"/>
      <c r="AV61" s="16"/>
      <c r="AW61" s="16"/>
      <c r="AX61" s="16">
        <v>0</v>
      </c>
      <c r="AY61" s="16">
        <v>0</v>
      </c>
      <c r="AZ61" s="16">
        <v>0</v>
      </c>
      <c r="BA61" s="16">
        <v>0</v>
      </c>
    </row>
    <row r="62" spans="1:53" x14ac:dyDescent="0.2">
      <c r="A62" s="14"/>
      <c r="B62" s="14" t="str">
        <f t="shared" si="6"/>
        <v>Parry 1993</v>
      </c>
      <c r="C62" s="61">
        <f t="shared" si="7"/>
        <v>10</v>
      </c>
      <c r="D62" s="58">
        <v>1993</v>
      </c>
      <c r="E62" s="17"/>
      <c r="F62" s="58">
        <v>1</v>
      </c>
      <c r="G62" s="16">
        <v>1991</v>
      </c>
      <c r="H62" s="15">
        <f>LOOKUP(G62,CPI!A$69:A$100,CPI!O$69:O$100)</f>
        <v>1.600998531571219</v>
      </c>
      <c r="I62" s="52">
        <v>1990</v>
      </c>
      <c r="J62" s="23">
        <f t="shared" si="18"/>
        <v>1.7857142857142856E-2</v>
      </c>
      <c r="K62" s="15"/>
      <c r="L62" s="62"/>
      <c r="M62" s="56">
        <f t="shared" ref="M62:M90" si="19">AA62*H62*(1+$L$2)^(2015-I62)</f>
        <v>1.5911511146283903</v>
      </c>
      <c r="N62" s="14">
        <f>44/12*0.126</f>
        <v>0.46199999999999997</v>
      </c>
      <c r="O62" s="18">
        <f t="shared" si="14"/>
        <v>0.46199999999999997</v>
      </c>
      <c r="P62" s="16">
        <v>0</v>
      </c>
      <c r="Q62" s="16">
        <v>1</v>
      </c>
      <c r="R62" s="16">
        <v>0</v>
      </c>
      <c r="S62" s="14"/>
      <c r="T62" s="56" t="str">
        <f t="shared" si="5"/>
        <v/>
      </c>
      <c r="U62" s="56" t="str">
        <f t="shared" si="16"/>
        <v/>
      </c>
      <c r="V62" s="56" t="str">
        <f t="shared" si="17"/>
        <v/>
      </c>
      <c r="W62" s="14"/>
      <c r="X62" s="14"/>
      <c r="Y62" s="14"/>
      <c r="Z62" s="14"/>
      <c r="AA62" s="18">
        <f t="shared" si="15"/>
        <v>0.46199999999999997</v>
      </c>
      <c r="AB62" s="14"/>
      <c r="AC62" s="14"/>
      <c r="AD62" s="14"/>
      <c r="AE62" s="14"/>
      <c r="AF62" s="16">
        <v>0</v>
      </c>
      <c r="AG62" s="16">
        <v>1</v>
      </c>
      <c r="AH62" s="16">
        <v>0</v>
      </c>
      <c r="AI62" s="16">
        <v>0</v>
      </c>
      <c r="AJ62" s="5">
        <v>0</v>
      </c>
      <c r="AK62" s="5">
        <v>1</v>
      </c>
      <c r="AL62" s="5">
        <v>0</v>
      </c>
      <c r="AM62" s="20"/>
      <c r="AN62" s="20">
        <v>0</v>
      </c>
      <c r="AO62" s="16"/>
      <c r="AP62" s="16"/>
      <c r="AQ62" s="16"/>
      <c r="AR62" s="16">
        <v>0</v>
      </c>
      <c r="AS62" s="16">
        <v>0</v>
      </c>
      <c r="AT62" s="16"/>
      <c r="AU62" s="16"/>
      <c r="AV62" s="16"/>
      <c r="AW62" s="16"/>
      <c r="AX62" s="16">
        <v>0</v>
      </c>
      <c r="AY62" s="16">
        <v>0</v>
      </c>
      <c r="AZ62" s="16">
        <v>0</v>
      </c>
      <c r="BA62" s="16">
        <v>0</v>
      </c>
    </row>
    <row r="63" spans="1:53" x14ac:dyDescent="0.2">
      <c r="A63" s="14"/>
      <c r="B63" s="14" t="str">
        <f t="shared" si="6"/>
        <v>Parry 1993</v>
      </c>
      <c r="C63" s="61">
        <f t="shared" si="7"/>
        <v>10</v>
      </c>
      <c r="D63" s="58">
        <v>1993</v>
      </c>
      <c r="E63" s="17"/>
      <c r="F63" s="58">
        <v>1</v>
      </c>
      <c r="G63" s="16">
        <v>1991</v>
      </c>
      <c r="H63" s="15">
        <f>LOOKUP(G63,CPI!A$69:A$100,CPI!O$69:O$100)</f>
        <v>1.600998531571219</v>
      </c>
      <c r="I63" s="52">
        <v>1990</v>
      </c>
      <c r="J63" s="23">
        <f>4/112</f>
        <v>3.5714285714285712E-2</v>
      </c>
      <c r="K63" s="15"/>
      <c r="L63" s="62"/>
      <c r="M63" s="56">
        <f t="shared" si="19"/>
        <v>0.39147368693238177</v>
      </c>
      <c r="N63" s="14">
        <f>44/12*0.031</f>
        <v>0.11366666666666667</v>
      </c>
      <c r="O63" s="18">
        <f t="shared" si="14"/>
        <v>0.11366666666666667</v>
      </c>
      <c r="P63" s="16">
        <v>0</v>
      </c>
      <c r="Q63" s="16">
        <v>1</v>
      </c>
      <c r="R63" s="16">
        <v>0</v>
      </c>
      <c r="S63" s="14"/>
      <c r="T63" s="56" t="str">
        <f t="shared" si="5"/>
        <v/>
      </c>
      <c r="U63" s="56" t="str">
        <f t="shared" si="16"/>
        <v/>
      </c>
      <c r="V63" s="56" t="str">
        <f t="shared" si="17"/>
        <v/>
      </c>
      <c r="W63" s="14"/>
      <c r="X63" s="14"/>
      <c r="Y63" s="14"/>
      <c r="Z63" s="14"/>
      <c r="AA63" s="18">
        <f t="shared" si="15"/>
        <v>0.11366666666666667</v>
      </c>
      <c r="AB63" s="14"/>
      <c r="AC63" s="14"/>
      <c r="AD63" s="14"/>
      <c r="AE63" s="14"/>
      <c r="AF63" s="16">
        <v>0</v>
      </c>
      <c r="AG63" s="16">
        <v>1</v>
      </c>
      <c r="AH63" s="16">
        <v>0</v>
      </c>
      <c r="AI63" s="16">
        <v>0</v>
      </c>
      <c r="AJ63" s="5">
        <v>0</v>
      </c>
      <c r="AK63" s="5">
        <v>1</v>
      </c>
      <c r="AL63" s="5">
        <v>0</v>
      </c>
      <c r="AM63" s="20"/>
      <c r="AN63" s="20">
        <v>0</v>
      </c>
      <c r="AO63" s="16"/>
      <c r="AP63" s="16"/>
      <c r="AQ63" s="16"/>
      <c r="AR63" s="16">
        <v>0</v>
      </c>
      <c r="AS63" s="16">
        <v>0</v>
      </c>
      <c r="AT63" s="16"/>
      <c r="AU63" s="16"/>
      <c r="AV63" s="16"/>
      <c r="AW63" s="16"/>
      <c r="AX63" s="16">
        <v>0</v>
      </c>
      <c r="AY63" s="16">
        <v>0</v>
      </c>
      <c r="AZ63" s="16">
        <v>0</v>
      </c>
      <c r="BA63" s="16">
        <v>0</v>
      </c>
    </row>
    <row r="64" spans="1:53" x14ac:dyDescent="0.2">
      <c r="A64" s="14"/>
      <c r="B64" s="14" t="str">
        <f t="shared" si="6"/>
        <v>Parry 1993</v>
      </c>
      <c r="C64" s="61">
        <f t="shared" si="7"/>
        <v>10</v>
      </c>
      <c r="D64" s="58">
        <v>1993</v>
      </c>
      <c r="E64" s="17"/>
      <c r="F64" s="58">
        <v>1</v>
      </c>
      <c r="G64" s="16">
        <v>1991</v>
      </c>
      <c r="H64" s="15">
        <f>LOOKUP(G64,CPI!A$69:A$100,CPI!O$69:O$100)</f>
        <v>1.600998531571219</v>
      </c>
      <c r="I64" s="52">
        <v>1990</v>
      </c>
      <c r="J64" s="23">
        <f>4/112</f>
        <v>3.5714285714285712E-2</v>
      </c>
      <c r="K64" s="15"/>
      <c r="L64" s="62"/>
      <c r="M64" s="56">
        <f t="shared" si="19"/>
        <v>2.3488421215942901</v>
      </c>
      <c r="N64" s="14">
        <f>44/12*0.186</f>
        <v>0.68199999999999994</v>
      </c>
      <c r="O64" s="18">
        <f t="shared" si="14"/>
        <v>0.68199999999999994</v>
      </c>
      <c r="P64" s="16">
        <v>0</v>
      </c>
      <c r="Q64" s="16">
        <v>1</v>
      </c>
      <c r="R64" s="16">
        <v>0</v>
      </c>
      <c r="S64" s="14"/>
      <c r="T64" s="56" t="str">
        <f t="shared" si="5"/>
        <v/>
      </c>
      <c r="U64" s="56" t="str">
        <f t="shared" si="16"/>
        <v/>
      </c>
      <c r="V64" s="56" t="str">
        <f t="shared" si="17"/>
        <v/>
      </c>
      <c r="W64" s="14"/>
      <c r="X64" s="14"/>
      <c r="Y64" s="14"/>
      <c r="Z64" s="14"/>
      <c r="AA64" s="18">
        <f t="shared" si="15"/>
        <v>0.68199999999999994</v>
      </c>
      <c r="AB64" s="14"/>
      <c r="AC64" s="14"/>
      <c r="AD64" s="14"/>
      <c r="AE64" s="14"/>
      <c r="AF64" s="16">
        <v>0</v>
      </c>
      <c r="AG64" s="16">
        <v>1</v>
      </c>
      <c r="AH64" s="16">
        <v>0</v>
      </c>
      <c r="AI64" s="16">
        <v>0</v>
      </c>
      <c r="AJ64" s="5">
        <v>0</v>
      </c>
      <c r="AK64" s="5">
        <v>1</v>
      </c>
      <c r="AL64" s="5">
        <v>0</v>
      </c>
      <c r="AM64" s="20"/>
      <c r="AN64" s="20">
        <v>0</v>
      </c>
      <c r="AO64" s="16"/>
      <c r="AP64" s="16"/>
      <c r="AQ64" s="16"/>
      <c r="AR64" s="16">
        <v>0</v>
      </c>
      <c r="AS64" s="16">
        <v>0</v>
      </c>
      <c r="AT64" s="16"/>
      <c r="AU64" s="16"/>
      <c r="AV64" s="16"/>
      <c r="AW64" s="16"/>
      <c r="AX64" s="16">
        <v>0</v>
      </c>
      <c r="AY64" s="16">
        <v>0</v>
      </c>
      <c r="AZ64" s="16">
        <v>0</v>
      </c>
      <c r="BA64" s="16">
        <v>0</v>
      </c>
    </row>
    <row r="65" spans="1:53" x14ac:dyDescent="0.2">
      <c r="A65" s="14"/>
      <c r="B65" s="14" t="str">
        <f t="shared" si="6"/>
        <v>Parry 1993</v>
      </c>
      <c r="C65" s="61">
        <f t="shared" si="7"/>
        <v>10</v>
      </c>
      <c r="D65" s="58">
        <v>1993</v>
      </c>
      <c r="E65" s="17"/>
      <c r="F65" s="58">
        <v>1</v>
      </c>
      <c r="G65" s="16">
        <v>1991</v>
      </c>
      <c r="H65" s="15">
        <f>LOOKUP(G65,CPI!A$69:A$100,CPI!O$69:O$100)</f>
        <v>1.600998531571219</v>
      </c>
      <c r="I65" s="52">
        <v>1990</v>
      </c>
      <c r="J65" s="23">
        <f>4/112</f>
        <v>3.5714285714285712E-2</v>
      </c>
      <c r="K65" s="15"/>
      <c r="L65" s="62"/>
      <c r="M65" s="56">
        <f t="shared" si="19"/>
        <v>0.78294737386476354</v>
      </c>
      <c r="N65" s="14">
        <f>44/12*0.062</f>
        <v>0.22733333333333333</v>
      </c>
      <c r="O65" s="18">
        <f t="shared" si="14"/>
        <v>0.22733333333333333</v>
      </c>
      <c r="P65" s="16">
        <v>0</v>
      </c>
      <c r="Q65" s="16">
        <v>1</v>
      </c>
      <c r="R65" s="16">
        <v>0</v>
      </c>
      <c r="S65" s="14"/>
      <c r="T65" s="56" t="str">
        <f t="shared" si="5"/>
        <v/>
      </c>
      <c r="U65" s="56" t="str">
        <f t="shared" si="16"/>
        <v/>
      </c>
      <c r="V65" s="56" t="str">
        <f t="shared" si="17"/>
        <v/>
      </c>
      <c r="W65" s="14"/>
      <c r="X65" s="14"/>
      <c r="Y65" s="14"/>
      <c r="Z65" s="14"/>
      <c r="AA65" s="18">
        <f t="shared" si="15"/>
        <v>0.22733333333333333</v>
      </c>
      <c r="AB65" s="14"/>
      <c r="AC65" s="14"/>
      <c r="AD65" s="14"/>
      <c r="AE65" s="14"/>
      <c r="AF65" s="16">
        <v>0</v>
      </c>
      <c r="AG65" s="16">
        <v>1</v>
      </c>
      <c r="AH65" s="16">
        <v>0</v>
      </c>
      <c r="AI65" s="16">
        <v>0</v>
      </c>
      <c r="AJ65" s="5">
        <v>0</v>
      </c>
      <c r="AK65" s="5">
        <v>1</v>
      </c>
      <c r="AL65" s="5">
        <v>0</v>
      </c>
      <c r="AM65" s="20"/>
      <c r="AN65" s="20">
        <v>0</v>
      </c>
      <c r="AO65" s="16"/>
      <c r="AP65" s="16"/>
      <c r="AQ65" s="16"/>
      <c r="AR65" s="16">
        <v>0</v>
      </c>
      <c r="AS65" s="16">
        <v>0</v>
      </c>
      <c r="AT65" s="16"/>
      <c r="AU65" s="16"/>
      <c r="AV65" s="16"/>
      <c r="AW65" s="16"/>
      <c r="AX65" s="16">
        <v>0</v>
      </c>
      <c r="AY65" s="16">
        <v>0</v>
      </c>
      <c r="AZ65" s="16">
        <v>0</v>
      </c>
      <c r="BA65" s="16">
        <v>0</v>
      </c>
    </row>
    <row r="66" spans="1:53" x14ac:dyDescent="0.2">
      <c r="A66" s="14"/>
      <c r="B66" s="14" t="str">
        <f t="shared" si="6"/>
        <v>Parry 1993</v>
      </c>
      <c r="C66" s="61">
        <f t="shared" si="7"/>
        <v>10</v>
      </c>
      <c r="D66" s="58">
        <v>1993</v>
      </c>
      <c r="E66" s="17"/>
      <c r="F66" s="58">
        <v>1</v>
      </c>
      <c r="G66" s="16">
        <v>1991</v>
      </c>
      <c r="H66" s="15">
        <f>LOOKUP(G66,CPI!A$69:A$100,CPI!O$69:O$100)</f>
        <v>1.600998531571219</v>
      </c>
      <c r="I66" s="52">
        <v>1990</v>
      </c>
      <c r="J66" s="23">
        <f>4/112</f>
        <v>3.5714285714285712E-2</v>
      </c>
      <c r="K66" s="15"/>
      <c r="L66" s="62"/>
      <c r="M66" s="56">
        <f t="shared" si="19"/>
        <v>4.6976842431885801</v>
      </c>
      <c r="N66" s="14">
        <f>44/12*0.372</f>
        <v>1.3639999999999999</v>
      </c>
      <c r="O66" s="18">
        <f t="shared" si="14"/>
        <v>1.3639999999999999</v>
      </c>
      <c r="P66" s="16">
        <v>0</v>
      </c>
      <c r="Q66" s="16">
        <v>1</v>
      </c>
      <c r="R66" s="16">
        <v>0</v>
      </c>
      <c r="S66" s="14"/>
      <c r="T66" s="56" t="str">
        <f t="shared" si="5"/>
        <v/>
      </c>
      <c r="U66" s="56" t="str">
        <f t="shared" si="16"/>
        <v/>
      </c>
      <c r="V66" s="56" t="str">
        <f t="shared" si="17"/>
        <v/>
      </c>
      <c r="W66" s="14"/>
      <c r="X66" s="14"/>
      <c r="Y66" s="14"/>
      <c r="Z66" s="14"/>
      <c r="AA66" s="18">
        <f t="shared" si="15"/>
        <v>1.3639999999999999</v>
      </c>
      <c r="AB66" s="14"/>
      <c r="AC66" s="14"/>
      <c r="AD66" s="14"/>
      <c r="AE66" s="14"/>
      <c r="AF66" s="16">
        <v>0</v>
      </c>
      <c r="AG66" s="16">
        <v>1</v>
      </c>
      <c r="AH66" s="16">
        <v>0</v>
      </c>
      <c r="AI66" s="16">
        <v>0</v>
      </c>
      <c r="AJ66" s="5">
        <v>0</v>
      </c>
      <c r="AK66" s="5">
        <v>1</v>
      </c>
      <c r="AL66" s="5">
        <v>0</v>
      </c>
      <c r="AM66" s="20"/>
      <c r="AN66" s="20">
        <v>0</v>
      </c>
      <c r="AO66" s="16"/>
      <c r="AP66" s="16"/>
      <c r="AQ66" s="16"/>
      <c r="AR66" s="16">
        <v>0</v>
      </c>
      <c r="AS66" s="16">
        <v>0</v>
      </c>
      <c r="AT66" s="16"/>
      <c r="AU66" s="16"/>
      <c r="AV66" s="16"/>
      <c r="AW66" s="16"/>
      <c r="AX66" s="16">
        <v>0</v>
      </c>
      <c r="AY66" s="16">
        <v>0</v>
      </c>
      <c r="AZ66" s="16">
        <v>0</v>
      </c>
      <c r="BA66" s="16">
        <v>0</v>
      </c>
    </row>
    <row r="67" spans="1:53" x14ac:dyDescent="0.2">
      <c r="A67" s="14"/>
      <c r="B67" s="14" t="str">
        <f t="shared" si="6"/>
        <v>Parry 1993</v>
      </c>
      <c r="C67" s="61">
        <f t="shared" si="7"/>
        <v>10</v>
      </c>
      <c r="D67" s="58">
        <v>1993</v>
      </c>
      <c r="E67" s="17"/>
      <c r="F67" s="58">
        <v>1</v>
      </c>
      <c r="G67" s="16">
        <v>1991</v>
      </c>
      <c r="H67" s="15">
        <f>LOOKUP(G67,CPI!A$69:A$100,CPI!O$69:O$100)</f>
        <v>1.600998531571219</v>
      </c>
      <c r="I67" s="52">
        <v>1990</v>
      </c>
      <c r="J67" s="23">
        <f>2/112</f>
        <v>1.7857142857142856E-2</v>
      </c>
      <c r="K67" s="15"/>
      <c r="L67" s="62"/>
      <c r="M67" s="56">
        <f t="shared" si="19"/>
        <v>1.4901256470329369</v>
      </c>
      <c r="N67" s="14">
        <f>44/12*0.118</f>
        <v>0.43266666666666664</v>
      </c>
      <c r="O67" s="18">
        <f t="shared" si="14"/>
        <v>0.43266666666666664</v>
      </c>
      <c r="P67" s="16">
        <v>0</v>
      </c>
      <c r="Q67" s="16">
        <v>1</v>
      </c>
      <c r="R67" s="16">
        <v>0</v>
      </c>
      <c r="S67" s="14"/>
      <c r="T67" s="56" t="str">
        <f t="shared" si="5"/>
        <v/>
      </c>
      <c r="U67" s="56" t="str">
        <f t="shared" si="16"/>
        <v/>
      </c>
      <c r="V67" s="56" t="str">
        <f t="shared" si="17"/>
        <v/>
      </c>
      <c r="W67" s="14"/>
      <c r="X67" s="14"/>
      <c r="Y67" s="14"/>
      <c r="Z67" s="14"/>
      <c r="AA67" s="18">
        <f t="shared" si="15"/>
        <v>0.43266666666666664</v>
      </c>
      <c r="AB67" s="14"/>
      <c r="AC67" s="14"/>
      <c r="AD67" s="14"/>
      <c r="AE67" s="14"/>
      <c r="AF67" s="16">
        <v>0</v>
      </c>
      <c r="AG67" s="16">
        <v>1</v>
      </c>
      <c r="AH67" s="16">
        <v>0</v>
      </c>
      <c r="AI67" s="16">
        <v>0</v>
      </c>
      <c r="AJ67" s="5">
        <v>0</v>
      </c>
      <c r="AK67" s="5">
        <v>1</v>
      </c>
      <c r="AL67" s="5">
        <v>0</v>
      </c>
      <c r="AM67" s="20"/>
      <c r="AN67" s="20">
        <v>0</v>
      </c>
      <c r="AO67" s="16"/>
      <c r="AP67" s="16"/>
      <c r="AQ67" s="16"/>
      <c r="AR67" s="16">
        <v>0</v>
      </c>
      <c r="AS67" s="16">
        <v>0</v>
      </c>
      <c r="AT67" s="16"/>
      <c r="AU67" s="16"/>
      <c r="AV67" s="16"/>
      <c r="AW67" s="16"/>
      <c r="AX67" s="16">
        <v>0</v>
      </c>
      <c r="AY67" s="16">
        <v>0</v>
      </c>
      <c r="AZ67" s="16">
        <v>0</v>
      </c>
      <c r="BA67" s="16">
        <v>0</v>
      </c>
    </row>
    <row r="68" spans="1:53" x14ac:dyDescent="0.2">
      <c r="A68" s="14"/>
      <c r="B68" s="14" t="str">
        <f t="shared" si="6"/>
        <v>Parry 1993</v>
      </c>
      <c r="C68" s="61">
        <f t="shared" si="7"/>
        <v>10</v>
      </c>
      <c r="D68" s="58">
        <v>1993</v>
      </c>
      <c r="E68" s="17"/>
      <c r="F68" s="58">
        <v>1</v>
      </c>
      <c r="G68" s="16">
        <v>1991</v>
      </c>
      <c r="H68" s="15">
        <f>LOOKUP(G68,CPI!A$69:A$100,CPI!O$69:O$100)</f>
        <v>1.600998531571219</v>
      </c>
      <c r="I68" s="52">
        <v>1990</v>
      </c>
      <c r="J68" s="23">
        <f>2/112</f>
        <v>1.7857142857142856E-2</v>
      </c>
      <c r="K68" s="15"/>
      <c r="L68" s="62"/>
      <c r="M68" s="56">
        <f t="shared" si="19"/>
        <v>8.9407538821976207</v>
      </c>
      <c r="N68" s="14">
        <f>44/12*0.708</f>
        <v>2.5959999999999996</v>
      </c>
      <c r="O68" s="18">
        <f t="shared" si="14"/>
        <v>2.5959999999999996</v>
      </c>
      <c r="P68" s="16">
        <v>0</v>
      </c>
      <c r="Q68" s="16">
        <v>1</v>
      </c>
      <c r="R68" s="16">
        <v>0</v>
      </c>
      <c r="S68" s="14"/>
      <c r="T68" s="56" t="str">
        <f t="shared" si="5"/>
        <v/>
      </c>
      <c r="U68" s="56" t="str">
        <f t="shared" si="16"/>
        <v/>
      </c>
      <c r="V68" s="56" t="str">
        <f t="shared" si="17"/>
        <v/>
      </c>
      <c r="W68" s="14"/>
      <c r="X68" s="14"/>
      <c r="Y68" s="14"/>
      <c r="Z68" s="14"/>
      <c r="AA68" s="18">
        <f t="shared" si="15"/>
        <v>2.5959999999999996</v>
      </c>
      <c r="AB68" s="14"/>
      <c r="AC68" s="14"/>
      <c r="AD68" s="14"/>
      <c r="AE68" s="14"/>
      <c r="AF68" s="16">
        <v>0</v>
      </c>
      <c r="AG68" s="16">
        <v>1</v>
      </c>
      <c r="AH68" s="16">
        <v>0</v>
      </c>
      <c r="AI68" s="16">
        <v>0</v>
      </c>
      <c r="AJ68" s="5">
        <v>0</v>
      </c>
      <c r="AK68" s="5">
        <v>1</v>
      </c>
      <c r="AL68" s="5">
        <v>0</v>
      </c>
      <c r="AM68" s="20"/>
      <c r="AN68" s="20">
        <v>0</v>
      </c>
      <c r="AO68" s="16"/>
      <c r="AP68" s="16"/>
      <c r="AQ68" s="16"/>
      <c r="AR68" s="16">
        <v>0</v>
      </c>
      <c r="AS68" s="16">
        <v>0</v>
      </c>
      <c r="AT68" s="16"/>
      <c r="AU68" s="16"/>
      <c r="AV68" s="16"/>
      <c r="AW68" s="16"/>
      <c r="AX68" s="16">
        <v>0</v>
      </c>
      <c r="AY68" s="16">
        <v>0</v>
      </c>
      <c r="AZ68" s="16">
        <v>0</v>
      </c>
      <c r="BA68" s="16">
        <v>0</v>
      </c>
    </row>
    <row r="69" spans="1:53" x14ac:dyDescent="0.2">
      <c r="A69" s="14"/>
      <c r="B69" s="14" t="str">
        <f t="shared" si="6"/>
        <v>Parry 1993</v>
      </c>
      <c r="C69" s="61">
        <f t="shared" si="7"/>
        <v>10</v>
      </c>
      <c r="D69" s="58">
        <v>1993</v>
      </c>
      <c r="E69" s="17"/>
      <c r="F69" s="58">
        <v>1</v>
      </c>
      <c r="G69" s="16">
        <v>1991</v>
      </c>
      <c r="H69" s="15">
        <f>LOOKUP(G69,CPI!A$69:A$100,CPI!O$69:O$100)</f>
        <v>1.600998531571219</v>
      </c>
      <c r="I69" s="52">
        <v>1990</v>
      </c>
      <c r="J69" s="23">
        <f>2/112</f>
        <v>1.7857142857142856E-2</v>
      </c>
      <c r="K69" s="15"/>
      <c r="L69" s="62"/>
      <c r="M69" s="56">
        <f t="shared" si="19"/>
        <v>3.9021086858743859</v>
      </c>
      <c r="N69" s="14">
        <f>44/12*0.309</f>
        <v>1.133</v>
      </c>
      <c r="O69" s="18">
        <f t="shared" si="14"/>
        <v>1.133</v>
      </c>
      <c r="P69" s="16">
        <v>0</v>
      </c>
      <c r="Q69" s="16">
        <v>1</v>
      </c>
      <c r="R69" s="16">
        <v>0</v>
      </c>
      <c r="S69" s="14"/>
      <c r="T69" s="56" t="str">
        <f t="shared" si="5"/>
        <v/>
      </c>
      <c r="U69" s="56" t="str">
        <f t="shared" si="16"/>
        <v/>
      </c>
      <c r="V69" s="56" t="str">
        <f t="shared" si="17"/>
        <v/>
      </c>
      <c r="W69" s="14"/>
      <c r="X69" s="14"/>
      <c r="Y69" s="14"/>
      <c r="Z69" s="14"/>
      <c r="AA69" s="18">
        <f t="shared" si="15"/>
        <v>1.133</v>
      </c>
      <c r="AB69" s="14"/>
      <c r="AC69" s="14"/>
      <c r="AD69" s="14"/>
      <c r="AE69" s="14"/>
      <c r="AF69" s="16">
        <v>0</v>
      </c>
      <c r="AG69" s="16">
        <v>1</v>
      </c>
      <c r="AH69" s="16">
        <v>0</v>
      </c>
      <c r="AI69" s="16">
        <v>0</v>
      </c>
      <c r="AJ69" s="5">
        <v>0</v>
      </c>
      <c r="AK69" s="5">
        <v>1</v>
      </c>
      <c r="AL69" s="5">
        <v>0</v>
      </c>
      <c r="AM69" s="20"/>
      <c r="AN69" s="20">
        <v>0</v>
      </c>
      <c r="AO69" s="16"/>
      <c r="AP69" s="16"/>
      <c r="AQ69" s="16"/>
      <c r="AR69" s="16">
        <v>0</v>
      </c>
      <c r="AS69" s="16">
        <v>0</v>
      </c>
      <c r="AT69" s="16"/>
      <c r="AU69" s="16"/>
      <c r="AV69" s="16"/>
      <c r="AW69" s="16"/>
      <c r="AX69" s="16">
        <v>0</v>
      </c>
      <c r="AY69" s="16">
        <v>0</v>
      </c>
      <c r="AZ69" s="16">
        <v>0</v>
      </c>
      <c r="BA69" s="16">
        <v>0</v>
      </c>
    </row>
    <row r="70" spans="1:53" x14ac:dyDescent="0.2">
      <c r="A70" s="14"/>
      <c r="B70" s="14" t="str">
        <f t="shared" si="6"/>
        <v>Parry 1993</v>
      </c>
      <c r="C70" s="61">
        <f t="shared" si="7"/>
        <v>10</v>
      </c>
      <c r="D70" s="58">
        <v>1993</v>
      </c>
      <c r="E70" s="17"/>
      <c r="F70" s="58">
        <v>1</v>
      </c>
      <c r="G70" s="16">
        <v>1991</v>
      </c>
      <c r="H70" s="15">
        <f>LOOKUP(G70,CPI!A$69:A$100,CPI!O$69:O$100)</f>
        <v>1.600998531571219</v>
      </c>
      <c r="I70" s="52">
        <v>1990</v>
      </c>
      <c r="J70" s="23">
        <f>2/112</f>
        <v>1.7857142857142856E-2</v>
      </c>
      <c r="K70" s="15"/>
      <c r="L70" s="62"/>
      <c r="M70" s="56">
        <f t="shared" si="19"/>
        <v>23.412652115246317</v>
      </c>
      <c r="N70" s="14">
        <f>44/12*1.854</f>
        <v>6.798</v>
      </c>
      <c r="O70" s="18">
        <f t="shared" si="14"/>
        <v>6.798</v>
      </c>
      <c r="P70" s="16">
        <v>0</v>
      </c>
      <c r="Q70" s="16">
        <v>1</v>
      </c>
      <c r="R70" s="16">
        <v>0</v>
      </c>
      <c r="S70" s="14"/>
      <c r="T70" s="56" t="str">
        <f t="shared" si="5"/>
        <v/>
      </c>
      <c r="U70" s="56" t="str">
        <f t="shared" si="16"/>
        <v/>
      </c>
      <c r="V70" s="56" t="str">
        <f t="shared" si="17"/>
        <v/>
      </c>
      <c r="W70" s="14"/>
      <c r="X70" s="14"/>
      <c r="Y70" s="14"/>
      <c r="Z70" s="14"/>
      <c r="AA70" s="18">
        <f t="shared" si="15"/>
        <v>6.798</v>
      </c>
      <c r="AB70" s="14"/>
      <c r="AC70" s="14"/>
      <c r="AD70" s="14"/>
      <c r="AE70" s="14"/>
      <c r="AF70" s="16">
        <v>0</v>
      </c>
      <c r="AG70" s="16">
        <v>1</v>
      </c>
      <c r="AH70" s="16">
        <v>0</v>
      </c>
      <c r="AI70" s="16">
        <v>0</v>
      </c>
      <c r="AJ70" s="5">
        <v>0</v>
      </c>
      <c r="AK70" s="5">
        <v>1</v>
      </c>
      <c r="AL70" s="5">
        <v>0</v>
      </c>
      <c r="AM70" s="20"/>
      <c r="AN70" s="20">
        <v>0</v>
      </c>
      <c r="AO70" s="16"/>
      <c r="AP70" s="16"/>
      <c r="AQ70" s="16"/>
      <c r="AR70" s="16">
        <v>0</v>
      </c>
      <c r="AS70" s="16">
        <v>0</v>
      </c>
      <c r="AT70" s="16"/>
      <c r="AU70" s="16"/>
      <c r="AV70" s="16"/>
      <c r="AW70" s="16"/>
      <c r="AX70" s="16">
        <v>0</v>
      </c>
      <c r="AY70" s="16">
        <v>0</v>
      </c>
      <c r="AZ70" s="16">
        <v>0</v>
      </c>
      <c r="BA70" s="16">
        <v>0</v>
      </c>
    </row>
    <row r="71" spans="1:53" x14ac:dyDescent="0.2">
      <c r="A71" s="14"/>
      <c r="B71" s="14" t="str">
        <f t="shared" si="6"/>
        <v>Parry 1993</v>
      </c>
      <c r="C71" s="61">
        <f t="shared" si="7"/>
        <v>10</v>
      </c>
      <c r="D71" s="58">
        <v>1993</v>
      </c>
      <c r="E71" s="17"/>
      <c r="F71" s="58">
        <v>1</v>
      </c>
      <c r="G71" s="16">
        <v>1991</v>
      </c>
      <c r="H71" s="15">
        <f>LOOKUP(G71,CPI!A$69:A$100,CPI!O$69:O$100)</f>
        <v>1.600998531571219</v>
      </c>
      <c r="I71" s="52">
        <v>1990</v>
      </c>
      <c r="J71" s="23">
        <f>1/112</f>
        <v>8.9285714285714281E-3</v>
      </c>
      <c r="K71" s="15"/>
      <c r="L71" s="62"/>
      <c r="M71" s="56">
        <f t="shared" si="19"/>
        <v>1.1617928773477137</v>
      </c>
      <c r="N71" s="14">
        <f>44/12*0.092</f>
        <v>0.33733333333333332</v>
      </c>
      <c r="O71" s="18">
        <f t="shared" si="14"/>
        <v>0.33733333333333332</v>
      </c>
      <c r="P71" s="16">
        <v>0</v>
      </c>
      <c r="Q71" s="16">
        <v>1</v>
      </c>
      <c r="R71" s="16">
        <v>0</v>
      </c>
      <c r="S71" s="14"/>
      <c r="T71" s="56" t="str">
        <f t="shared" si="5"/>
        <v/>
      </c>
      <c r="U71" s="56" t="str">
        <f t="shared" si="16"/>
        <v/>
      </c>
      <c r="V71" s="56" t="str">
        <f t="shared" si="17"/>
        <v/>
      </c>
      <c r="W71" s="14"/>
      <c r="X71" s="14"/>
      <c r="Y71" s="14"/>
      <c r="Z71" s="14"/>
      <c r="AA71" s="18">
        <f t="shared" si="15"/>
        <v>0.33733333333333332</v>
      </c>
      <c r="AB71" s="14"/>
      <c r="AC71" s="14"/>
      <c r="AD71" s="14"/>
      <c r="AE71" s="14"/>
      <c r="AF71" s="16">
        <v>0</v>
      </c>
      <c r="AG71" s="16">
        <v>1</v>
      </c>
      <c r="AH71" s="16">
        <v>0</v>
      </c>
      <c r="AI71" s="16">
        <v>0</v>
      </c>
      <c r="AJ71" s="5">
        <v>0</v>
      </c>
      <c r="AK71" s="5">
        <v>1</v>
      </c>
      <c r="AL71" s="5">
        <v>0</v>
      </c>
      <c r="AM71" s="20"/>
      <c r="AN71" s="20">
        <v>0</v>
      </c>
      <c r="AO71" s="16"/>
      <c r="AP71" s="16"/>
      <c r="AQ71" s="16"/>
      <c r="AR71" s="16">
        <v>0</v>
      </c>
      <c r="AS71" s="16">
        <v>0</v>
      </c>
      <c r="AT71" s="16"/>
      <c r="AU71" s="16"/>
      <c r="AV71" s="16"/>
      <c r="AW71" s="16"/>
      <c r="AX71" s="16">
        <v>0</v>
      </c>
      <c r="AY71" s="16">
        <v>0</v>
      </c>
      <c r="AZ71" s="16">
        <v>0</v>
      </c>
      <c r="BA71" s="16">
        <v>0</v>
      </c>
    </row>
    <row r="72" spans="1:53" x14ac:dyDescent="0.2">
      <c r="A72" s="14"/>
      <c r="B72" s="14" t="str">
        <f t="shared" si="6"/>
        <v>Parry 1993</v>
      </c>
      <c r="C72" s="61">
        <f t="shared" si="7"/>
        <v>10</v>
      </c>
      <c r="D72" s="58">
        <v>1993</v>
      </c>
      <c r="E72" s="17"/>
      <c r="F72" s="58">
        <v>1</v>
      </c>
      <c r="G72" s="16">
        <v>1991</v>
      </c>
      <c r="H72" s="15">
        <f>LOOKUP(G72,CPI!A$69:A$100,CPI!O$69:O$100)</f>
        <v>1.600998531571219</v>
      </c>
      <c r="I72" s="52">
        <v>1990</v>
      </c>
      <c r="J72" s="23">
        <f>1/112</f>
        <v>8.9285714285714281E-3</v>
      </c>
      <c r="K72" s="15"/>
      <c r="L72" s="62"/>
      <c r="M72" s="56">
        <f t="shared" si="19"/>
        <v>6.9707572640862816</v>
      </c>
      <c r="N72" s="14">
        <f>44/12*0.552</f>
        <v>2.024</v>
      </c>
      <c r="O72" s="18">
        <f t="shared" ref="O72:O98" si="20">N72</f>
        <v>2.024</v>
      </c>
      <c r="P72" s="16">
        <v>0</v>
      </c>
      <c r="Q72" s="16">
        <v>1</v>
      </c>
      <c r="R72" s="16">
        <v>0</v>
      </c>
      <c r="S72" s="14"/>
      <c r="T72" s="56" t="str">
        <f t="shared" si="5"/>
        <v/>
      </c>
      <c r="U72" s="56" t="str">
        <f t="shared" si="16"/>
        <v/>
      </c>
      <c r="V72" s="56" t="str">
        <f t="shared" si="17"/>
        <v/>
      </c>
      <c r="W72" s="14"/>
      <c r="X72" s="14"/>
      <c r="Y72" s="14"/>
      <c r="Z72" s="14"/>
      <c r="AA72" s="18">
        <f t="shared" ref="AA72:AA98" si="21">N72</f>
        <v>2.024</v>
      </c>
      <c r="AB72" s="14"/>
      <c r="AC72" s="14"/>
      <c r="AD72" s="14"/>
      <c r="AE72" s="14"/>
      <c r="AF72" s="16">
        <v>0</v>
      </c>
      <c r="AG72" s="16">
        <v>1</v>
      </c>
      <c r="AH72" s="16">
        <v>0</v>
      </c>
      <c r="AI72" s="16">
        <v>0</v>
      </c>
      <c r="AJ72" s="5">
        <v>0</v>
      </c>
      <c r="AK72" s="5">
        <v>1</v>
      </c>
      <c r="AL72" s="5">
        <v>0</v>
      </c>
      <c r="AM72" s="20"/>
      <c r="AN72" s="20">
        <v>0</v>
      </c>
      <c r="AO72" s="16"/>
      <c r="AP72" s="16"/>
      <c r="AQ72" s="16"/>
      <c r="AR72" s="16">
        <v>0</v>
      </c>
      <c r="AS72" s="16">
        <v>0</v>
      </c>
      <c r="AT72" s="16"/>
      <c r="AU72" s="16"/>
      <c r="AV72" s="16"/>
      <c r="AW72" s="16"/>
      <c r="AX72" s="16">
        <v>0</v>
      </c>
      <c r="AY72" s="16">
        <v>0</v>
      </c>
      <c r="AZ72" s="16">
        <v>0</v>
      </c>
      <c r="BA72" s="16">
        <v>0</v>
      </c>
    </row>
    <row r="73" spans="1:53" x14ac:dyDescent="0.2">
      <c r="A73" s="14"/>
      <c r="B73" s="14" t="str">
        <f t="shared" si="6"/>
        <v>Parry 1993</v>
      </c>
      <c r="C73" s="61">
        <f t="shared" si="7"/>
        <v>10</v>
      </c>
      <c r="D73" s="58">
        <v>1993</v>
      </c>
      <c r="E73" s="17"/>
      <c r="F73" s="58">
        <v>1</v>
      </c>
      <c r="G73" s="16">
        <v>1991</v>
      </c>
      <c r="H73" s="15">
        <f>LOOKUP(G73,CPI!A$69:A$100,CPI!O$69:O$100)</f>
        <v>1.600998531571219</v>
      </c>
      <c r="I73" s="52">
        <v>1990</v>
      </c>
      <c r="J73" s="23">
        <f>2/112</f>
        <v>1.7857142857142856E-2</v>
      </c>
      <c r="K73" s="15"/>
      <c r="L73" s="62"/>
      <c r="M73" s="56">
        <f t="shared" si="19"/>
        <v>1.7679456829204339</v>
      </c>
      <c r="N73" s="14">
        <f>44/12*0.14</f>
        <v>0.51333333333333331</v>
      </c>
      <c r="O73" s="18">
        <f t="shared" si="20"/>
        <v>0.51333333333333331</v>
      </c>
      <c r="P73" s="16">
        <v>0</v>
      </c>
      <c r="Q73" s="16">
        <v>1</v>
      </c>
      <c r="R73" s="16">
        <v>0</v>
      </c>
      <c r="S73" s="14"/>
      <c r="T73" s="56" t="str">
        <f t="shared" ref="T73:T131" si="22">IF(OR(M73="",S73=""),"",S73*H73*(1+$L$2)^(2015-I73))</f>
        <v/>
      </c>
      <c r="U73" s="56" t="str">
        <f t="shared" si="16"/>
        <v/>
      </c>
      <c r="V73" s="56" t="str">
        <f t="shared" si="17"/>
        <v/>
      </c>
      <c r="W73" s="14"/>
      <c r="X73" s="14"/>
      <c r="Y73" s="14"/>
      <c r="Z73" s="14"/>
      <c r="AA73" s="18">
        <f t="shared" si="21"/>
        <v>0.51333333333333331</v>
      </c>
      <c r="AB73" s="14"/>
      <c r="AC73" s="14"/>
      <c r="AD73" s="14"/>
      <c r="AE73" s="14"/>
      <c r="AF73" s="16">
        <v>0</v>
      </c>
      <c r="AG73" s="16">
        <v>1</v>
      </c>
      <c r="AH73" s="16">
        <v>0</v>
      </c>
      <c r="AI73" s="16">
        <v>0</v>
      </c>
      <c r="AJ73" s="5">
        <v>0</v>
      </c>
      <c r="AK73" s="5">
        <v>1</v>
      </c>
      <c r="AL73" s="5">
        <v>0</v>
      </c>
      <c r="AM73" s="20"/>
      <c r="AN73" s="20">
        <v>0</v>
      </c>
      <c r="AO73" s="16"/>
      <c r="AP73" s="16"/>
      <c r="AQ73" s="16"/>
      <c r="AR73" s="16">
        <v>0</v>
      </c>
      <c r="AS73" s="16">
        <v>0</v>
      </c>
      <c r="AT73" s="16"/>
      <c r="AU73" s="16"/>
      <c r="AV73" s="16"/>
      <c r="AW73" s="16"/>
      <c r="AX73" s="16">
        <v>0</v>
      </c>
      <c r="AY73" s="16">
        <v>0</v>
      </c>
      <c r="AZ73" s="16">
        <v>0</v>
      </c>
      <c r="BA73" s="16">
        <v>0</v>
      </c>
    </row>
    <row r="74" spans="1:53" x14ac:dyDescent="0.2">
      <c r="A74" s="14"/>
      <c r="B74" s="14" t="str">
        <f t="shared" ref="B74:B137" si="23">+IF(A74="",B73,A74&amp;" "&amp;D74)</f>
        <v>Parry 1993</v>
      </c>
      <c r="C74" s="61">
        <f t="shared" ref="C74:C137" si="24">+IF(A74="",C73,C73+1)</f>
        <v>10</v>
      </c>
      <c r="D74" s="58">
        <v>1993</v>
      </c>
      <c r="E74" s="17"/>
      <c r="F74" s="58">
        <v>1</v>
      </c>
      <c r="G74" s="16">
        <v>1991</v>
      </c>
      <c r="H74" s="15">
        <f>LOOKUP(G74,CPI!A$69:A$100,CPI!O$69:O$100)</f>
        <v>1.600998531571219</v>
      </c>
      <c r="I74" s="52">
        <v>1990</v>
      </c>
      <c r="J74" s="23">
        <f>2/112</f>
        <v>1.7857142857142856E-2</v>
      </c>
      <c r="K74" s="15"/>
      <c r="L74" s="62"/>
      <c r="M74" s="56">
        <f t="shared" si="19"/>
        <v>10.607674097522601</v>
      </c>
      <c r="N74" s="14">
        <f>44/12*0.84</f>
        <v>3.0799999999999996</v>
      </c>
      <c r="O74" s="18">
        <f t="shared" si="20"/>
        <v>3.0799999999999996</v>
      </c>
      <c r="P74" s="16">
        <v>0</v>
      </c>
      <c r="Q74" s="16">
        <v>1</v>
      </c>
      <c r="R74" s="16">
        <v>0</v>
      </c>
      <c r="S74" s="14"/>
      <c r="T74" s="56" t="str">
        <f t="shared" si="22"/>
        <v/>
      </c>
      <c r="U74" s="56" t="str">
        <f t="shared" si="16"/>
        <v/>
      </c>
      <c r="V74" s="56" t="str">
        <f t="shared" si="17"/>
        <v/>
      </c>
      <c r="W74" s="14"/>
      <c r="X74" s="14"/>
      <c r="Y74" s="14"/>
      <c r="Z74" s="14"/>
      <c r="AA74" s="18">
        <f t="shared" si="21"/>
        <v>3.0799999999999996</v>
      </c>
      <c r="AB74" s="14"/>
      <c r="AC74" s="14"/>
      <c r="AD74" s="14"/>
      <c r="AE74" s="14"/>
      <c r="AF74" s="16">
        <v>0</v>
      </c>
      <c r="AG74" s="16">
        <v>1</v>
      </c>
      <c r="AH74" s="16">
        <v>0</v>
      </c>
      <c r="AI74" s="16">
        <v>0</v>
      </c>
      <c r="AJ74" s="5">
        <v>0</v>
      </c>
      <c r="AK74" s="5">
        <v>1</v>
      </c>
      <c r="AL74" s="5">
        <v>0</v>
      </c>
      <c r="AM74" s="20"/>
      <c r="AN74" s="20">
        <v>0</v>
      </c>
      <c r="AO74" s="16"/>
      <c r="AP74" s="16"/>
      <c r="AQ74" s="16"/>
      <c r="AR74" s="16">
        <v>0</v>
      </c>
      <c r="AS74" s="16">
        <v>0</v>
      </c>
      <c r="AT74" s="16"/>
      <c r="AU74" s="16"/>
      <c r="AV74" s="16"/>
      <c r="AW74" s="16"/>
      <c r="AX74" s="16">
        <v>0</v>
      </c>
      <c r="AY74" s="16">
        <v>0</v>
      </c>
      <c r="AZ74" s="16">
        <v>0</v>
      </c>
      <c r="BA74" s="16">
        <v>0</v>
      </c>
    </row>
    <row r="75" spans="1:53" x14ac:dyDescent="0.2">
      <c r="A75" s="14"/>
      <c r="B75" s="14" t="str">
        <f t="shared" si="23"/>
        <v>Parry 1993</v>
      </c>
      <c r="C75" s="61">
        <f t="shared" si="24"/>
        <v>10</v>
      </c>
      <c r="D75" s="58">
        <v>1993</v>
      </c>
      <c r="E75" s="17"/>
      <c r="F75" s="58">
        <v>1</v>
      </c>
      <c r="G75" s="16">
        <v>1991</v>
      </c>
      <c r="H75" s="15">
        <f>LOOKUP(G75,CPI!A$69:A$100,CPI!O$69:O$100)</f>
        <v>1.600998531571219</v>
      </c>
      <c r="I75" s="52">
        <v>1990</v>
      </c>
      <c r="J75" s="23">
        <f>2/112</f>
        <v>1.7857142857142856E-2</v>
      </c>
      <c r="K75" s="15"/>
      <c r="L75" s="62"/>
      <c r="M75" s="56">
        <f t="shared" si="19"/>
        <v>3.4853786320431408</v>
      </c>
      <c r="N75" s="14">
        <f>44/12*0.276</f>
        <v>1.012</v>
      </c>
      <c r="O75" s="18">
        <f t="shared" si="20"/>
        <v>1.012</v>
      </c>
      <c r="P75" s="16">
        <v>0</v>
      </c>
      <c r="Q75" s="16">
        <v>1</v>
      </c>
      <c r="R75" s="16">
        <v>0</v>
      </c>
      <c r="S75" s="14"/>
      <c r="T75" s="56" t="str">
        <f t="shared" si="22"/>
        <v/>
      </c>
      <c r="U75" s="56" t="str">
        <f t="shared" si="16"/>
        <v/>
      </c>
      <c r="V75" s="56" t="str">
        <f t="shared" si="17"/>
        <v/>
      </c>
      <c r="W75" s="14"/>
      <c r="X75" s="14"/>
      <c r="Y75" s="14"/>
      <c r="Z75" s="14"/>
      <c r="AA75" s="18">
        <f t="shared" si="21"/>
        <v>1.012</v>
      </c>
      <c r="AB75" s="14"/>
      <c r="AC75" s="14"/>
      <c r="AD75" s="14"/>
      <c r="AE75" s="14"/>
      <c r="AF75" s="16">
        <v>0</v>
      </c>
      <c r="AG75" s="16">
        <v>1</v>
      </c>
      <c r="AH75" s="16">
        <v>0</v>
      </c>
      <c r="AI75" s="16">
        <v>0</v>
      </c>
      <c r="AJ75" s="5">
        <v>0</v>
      </c>
      <c r="AK75" s="5">
        <v>1</v>
      </c>
      <c r="AL75" s="5">
        <v>0</v>
      </c>
      <c r="AM75" s="20"/>
      <c r="AN75" s="20">
        <v>0</v>
      </c>
      <c r="AO75" s="16"/>
      <c r="AP75" s="16"/>
      <c r="AQ75" s="16"/>
      <c r="AR75" s="16">
        <v>0</v>
      </c>
      <c r="AS75" s="16">
        <v>0</v>
      </c>
      <c r="AT75" s="16"/>
      <c r="AU75" s="16"/>
      <c r="AV75" s="16"/>
      <c r="AW75" s="16"/>
      <c r="AX75" s="16">
        <v>0</v>
      </c>
      <c r="AY75" s="16">
        <v>0</v>
      </c>
      <c r="AZ75" s="16">
        <v>0</v>
      </c>
      <c r="BA75" s="16">
        <v>0</v>
      </c>
    </row>
    <row r="76" spans="1:53" x14ac:dyDescent="0.2">
      <c r="A76" s="14"/>
      <c r="B76" s="14" t="str">
        <f t="shared" si="23"/>
        <v>Parry 1993</v>
      </c>
      <c r="C76" s="61">
        <f t="shared" si="24"/>
        <v>10</v>
      </c>
      <c r="D76" s="58">
        <v>1993</v>
      </c>
      <c r="E76" s="17"/>
      <c r="F76" s="58">
        <v>1</v>
      </c>
      <c r="G76" s="16">
        <v>1991</v>
      </c>
      <c r="H76" s="15">
        <f>LOOKUP(G76,CPI!A$69:A$100,CPI!O$69:O$100)</f>
        <v>1.600998531571219</v>
      </c>
      <c r="I76" s="52">
        <v>1990</v>
      </c>
      <c r="J76" s="23">
        <f>2/112</f>
        <v>1.7857142857142856E-2</v>
      </c>
      <c r="K76" s="15"/>
      <c r="L76" s="62"/>
      <c r="M76" s="56">
        <f t="shared" si="19"/>
        <v>20.912271792258842</v>
      </c>
      <c r="N76" s="14">
        <f>44/12*1.656</f>
        <v>6.0719999999999992</v>
      </c>
      <c r="O76" s="18">
        <f t="shared" si="20"/>
        <v>6.0719999999999992</v>
      </c>
      <c r="P76" s="16">
        <v>0</v>
      </c>
      <c r="Q76" s="16">
        <v>1</v>
      </c>
      <c r="R76" s="16">
        <v>0</v>
      </c>
      <c r="S76" s="14"/>
      <c r="T76" s="56" t="str">
        <f t="shared" si="22"/>
        <v/>
      </c>
      <c r="U76" s="56" t="str">
        <f t="shared" si="16"/>
        <v/>
      </c>
      <c r="V76" s="56" t="str">
        <f t="shared" si="17"/>
        <v/>
      </c>
      <c r="W76" s="14"/>
      <c r="X76" s="14"/>
      <c r="Y76" s="14"/>
      <c r="Z76" s="14"/>
      <c r="AA76" s="18">
        <f t="shared" si="21"/>
        <v>6.0719999999999992</v>
      </c>
      <c r="AB76" s="14"/>
      <c r="AC76" s="14"/>
      <c r="AD76" s="14"/>
      <c r="AE76" s="14"/>
      <c r="AF76" s="16">
        <v>0</v>
      </c>
      <c r="AG76" s="16">
        <v>1</v>
      </c>
      <c r="AH76" s="16">
        <v>0</v>
      </c>
      <c r="AI76" s="16">
        <v>0</v>
      </c>
      <c r="AJ76" s="5">
        <v>0</v>
      </c>
      <c r="AK76" s="5">
        <v>1</v>
      </c>
      <c r="AL76" s="5">
        <v>0</v>
      </c>
      <c r="AM76" s="20"/>
      <c r="AN76" s="20">
        <v>0</v>
      </c>
      <c r="AO76" s="16"/>
      <c r="AP76" s="16"/>
      <c r="AQ76" s="16"/>
      <c r="AR76" s="16">
        <v>0</v>
      </c>
      <c r="AS76" s="16">
        <v>0</v>
      </c>
      <c r="AT76" s="16"/>
      <c r="AU76" s="16"/>
      <c r="AV76" s="16"/>
      <c r="AW76" s="16"/>
      <c r="AX76" s="16">
        <v>0</v>
      </c>
      <c r="AY76" s="16">
        <v>0</v>
      </c>
      <c r="AZ76" s="16">
        <v>0</v>
      </c>
      <c r="BA76" s="16">
        <v>0</v>
      </c>
    </row>
    <row r="77" spans="1:53" x14ac:dyDescent="0.2">
      <c r="A77" s="14"/>
      <c r="B77" s="14" t="str">
        <f t="shared" si="23"/>
        <v>Parry 1993</v>
      </c>
      <c r="C77" s="61">
        <f t="shared" si="24"/>
        <v>10</v>
      </c>
      <c r="D77" s="58">
        <v>1993</v>
      </c>
      <c r="E77" s="17"/>
      <c r="F77" s="58">
        <v>1</v>
      </c>
      <c r="G77" s="16">
        <v>1991</v>
      </c>
      <c r="H77" s="15">
        <f>LOOKUP(G77,CPI!A$69:A$100,CPI!O$69:O$100)</f>
        <v>1.600998531571219</v>
      </c>
      <c r="I77" s="52">
        <v>1990</v>
      </c>
      <c r="J77" s="23">
        <f t="shared" ref="J77:J82" si="25">1/112</f>
        <v>8.9285714285714281E-3</v>
      </c>
      <c r="K77" s="15"/>
      <c r="L77" s="62"/>
      <c r="M77" s="56">
        <f t="shared" si="19"/>
        <v>7.0970390985805984</v>
      </c>
      <c r="N77" s="14">
        <f>44/12*0.562</f>
        <v>2.0606666666666666</v>
      </c>
      <c r="O77" s="18">
        <f t="shared" si="20"/>
        <v>2.0606666666666666</v>
      </c>
      <c r="P77" s="16">
        <v>0</v>
      </c>
      <c r="Q77" s="16">
        <v>1</v>
      </c>
      <c r="R77" s="16">
        <v>0</v>
      </c>
      <c r="S77" s="14"/>
      <c r="T77" s="56" t="str">
        <f t="shared" si="22"/>
        <v/>
      </c>
      <c r="U77" s="56" t="str">
        <f t="shared" si="16"/>
        <v/>
      </c>
      <c r="V77" s="56" t="str">
        <f t="shared" si="17"/>
        <v/>
      </c>
      <c r="W77" s="14"/>
      <c r="X77" s="14"/>
      <c r="Y77" s="14"/>
      <c r="Z77" s="14"/>
      <c r="AA77" s="18">
        <f t="shared" si="21"/>
        <v>2.0606666666666666</v>
      </c>
      <c r="AB77" s="14"/>
      <c r="AC77" s="14"/>
      <c r="AD77" s="14"/>
      <c r="AE77" s="14"/>
      <c r="AF77" s="16">
        <v>0</v>
      </c>
      <c r="AG77" s="16">
        <v>1</v>
      </c>
      <c r="AH77" s="16">
        <v>0</v>
      </c>
      <c r="AI77" s="16">
        <v>0</v>
      </c>
      <c r="AJ77" s="5">
        <v>0</v>
      </c>
      <c r="AK77" s="5">
        <v>1</v>
      </c>
      <c r="AL77" s="5">
        <v>0</v>
      </c>
      <c r="AM77" s="20"/>
      <c r="AN77" s="20">
        <v>0</v>
      </c>
      <c r="AO77" s="16"/>
      <c r="AP77" s="16"/>
      <c r="AQ77" s="16"/>
      <c r="AR77" s="16">
        <v>0</v>
      </c>
      <c r="AS77" s="16">
        <v>0</v>
      </c>
      <c r="AT77" s="16"/>
      <c r="AU77" s="16"/>
      <c r="AV77" s="16"/>
      <c r="AW77" s="16"/>
      <c r="AX77" s="16">
        <v>0</v>
      </c>
      <c r="AY77" s="16">
        <v>0</v>
      </c>
      <c r="AZ77" s="16">
        <v>0</v>
      </c>
      <c r="BA77" s="16">
        <v>0</v>
      </c>
    </row>
    <row r="78" spans="1:53" x14ac:dyDescent="0.2">
      <c r="A78" s="14"/>
      <c r="B78" s="14" t="str">
        <f t="shared" si="23"/>
        <v>Parry 1993</v>
      </c>
      <c r="C78" s="61">
        <f t="shared" si="24"/>
        <v>10</v>
      </c>
      <c r="D78" s="58">
        <v>1993</v>
      </c>
      <c r="E78" s="17"/>
      <c r="F78" s="58">
        <v>1</v>
      </c>
      <c r="G78" s="16">
        <v>1991</v>
      </c>
      <c r="H78" s="15">
        <f>LOOKUP(G78,CPI!A$69:A$100,CPI!O$69:O$100)</f>
        <v>1.600998531571219</v>
      </c>
      <c r="I78" s="52">
        <v>1990</v>
      </c>
      <c r="J78" s="23">
        <f t="shared" si="25"/>
        <v>8.9285714285714281E-3</v>
      </c>
      <c r="K78" s="15"/>
      <c r="L78" s="62"/>
      <c r="M78" s="56">
        <f t="shared" si="19"/>
        <v>39.854546966406353</v>
      </c>
      <c r="N78" s="14">
        <f>44/12*3.156</f>
        <v>11.571999999999999</v>
      </c>
      <c r="O78" s="18">
        <f t="shared" si="20"/>
        <v>11.571999999999999</v>
      </c>
      <c r="P78" s="16">
        <v>0</v>
      </c>
      <c r="Q78" s="16">
        <v>1</v>
      </c>
      <c r="R78" s="16">
        <v>0</v>
      </c>
      <c r="S78" s="14"/>
      <c r="T78" s="56" t="str">
        <f t="shared" si="22"/>
        <v/>
      </c>
      <c r="U78" s="56" t="str">
        <f t="shared" si="16"/>
        <v/>
      </c>
      <c r="V78" s="56" t="str">
        <f t="shared" si="17"/>
        <v/>
      </c>
      <c r="W78" s="14"/>
      <c r="X78" s="14"/>
      <c r="Y78" s="14"/>
      <c r="Z78" s="14"/>
      <c r="AA78" s="18">
        <f t="shared" si="21"/>
        <v>11.571999999999999</v>
      </c>
      <c r="AB78" s="14"/>
      <c r="AC78" s="14"/>
      <c r="AD78" s="14"/>
      <c r="AE78" s="14"/>
      <c r="AF78" s="16">
        <v>0</v>
      </c>
      <c r="AG78" s="16">
        <v>1</v>
      </c>
      <c r="AH78" s="16">
        <v>0</v>
      </c>
      <c r="AI78" s="16">
        <v>0</v>
      </c>
      <c r="AJ78" s="5">
        <v>0</v>
      </c>
      <c r="AK78" s="5">
        <v>1</v>
      </c>
      <c r="AL78" s="5">
        <v>0</v>
      </c>
      <c r="AM78" s="20"/>
      <c r="AN78" s="20">
        <v>0</v>
      </c>
      <c r="AO78" s="16"/>
      <c r="AP78" s="16"/>
      <c r="AQ78" s="16"/>
      <c r="AR78" s="16">
        <v>0</v>
      </c>
      <c r="AS78" s="16">
        <v>0</v>
      </c>
      <c r="AT78" s="16"/>
      <c r="AU78" s="16"/>
      <c r="AV78" s="16"/>
      <c r="AW78" s="16"/>
      <c r="AX78" s="16">
        <v>0</v>
      </c>
      <c r="AY78" s="16">
        <v>0</v>
      </c>
      <c r="AZ78" s="16">
        <v>0</v>
      </c>
      <c r="BA78" s="16">
        <v>0</v>
      </c>
    </row>
    <row r="79" spans="1:53" x14ac:dyDescent="0.2">
      <c r="A79" s="14"/>
      <c r="B79" s="14" t="str">
        <f t="shared" si="23"/>
        <v>Parry 1993</v>
      </c>
      <c r="C79" s="61">
        <f t="shared" si="24"/>
        <v>10</v>
      </c>
      <c r="D79" s="58">
        <v>1993</v>
      </c>
      <c r="E79" s="17"/>
      <c r="F79" s="58">
        <v>1</v>
      </c>
      <c r="G79" s="16">
        <v>1991</v>
      </c>
      <c r="H79" s="15">
        <f>LOOKUP(G79,CPI!A$69:A$100,CPI!O$69:O$100)</f>
        <v>1.600998531571219</v>
      </c>
      <c r="I79" s="52">
        <v>1990</v>
      </c>
      <c r="J79" s="23">
        <f t="shared" si="25"/>
        <v>8.9285714285714281E-3</v>
      </c>
      <c r="K79" s="15"/>
      <c r="L79" s="62"/>
      <c r="M79" s="56">
        <f t="shared" si="19"/>
        <v>17.32586769262025</v>
      </c>
      <c r="N79" s="14">
        <f>44/12*1.372</f>
        <v>5.0306666666666668</v>
      </c>
      <c r="O79" s="18">
        <f t="shared" si="20"/>
        <v>5.0306666666666668</v>
      </c>
      <c r="P79" s="16">
        <v>0</v>
      </c>
      <c r="Q79" s="16">
        <v>1</v>
      </c>
      <c r="R79" s="16">
        <v>0</v>
      </c>
      <c r="S79" s="14"/>
      <c r="T79" s="56" t="str">
        <f t="shared" si="22"/>
        <v/>
      </c>
      <c r="U79" s="56" t="str">
        <f t="shared" si="16"/>
        <v/>
      </c>
      <c r="V79" s="56" t="str">
        <f t="shared" si="17"/>
        <v/>
      </c>
      <c r="W79" s="14"/>
      <c r="X79" s="14"/>
      <c r="Y79" s="14"/>
      <c r="Z79" s="14"/>
      <c r="AA79" s="18">
        <f t="shared" si="21"/>
        <v>5.0306666666666668</v>
      </c>
      <c r="AB79" s="14"/>
      <c r="AC79" s="14"/>
      <c r="AD79" s="14"/>
      <c r="AE79" s="14"/>
      <c r="AF79" s="16">
        <v>0</v>
      </c>
      <c r="AG79" s="16">
        <v>1</v>
      </c>
      <c r="AH79" s="16">
        <v>0</v>
      </c>
      <c r="AI79" s="16">
        <v>0</v>
      </c>
      <c r="AJ79" s="5">
        <v>0</v>
      </c>
      <c r="AK79" s="5">
        <v>1</v>
      </c>
      <c r="AL79" s="5">
        <v>0</v>
      </c>
      <c r="AM79" s="20"/>
      <c r="AN79" s="20">
        <v>0</v>
      </c>
      <c r="AO79" s="16"/>
      <c r="AP79" s="16"/>
      <c r="AQ79" s="16"/>
      <c r="AR79" s="16">
        <v>0</v>
      </c>
      <c r="AS79" s="16">
        <v>0</v>
      </c>
      <c r="AT79" s="16"/>
      <c r="AU79" s="16"/>
      <c r="AV79" s="16"/>
      <c r="AW79" s="16"/>
      <c r="AX79" s="16">
        <v>0</v>
      </c>
      <c r="AY79" s="16">
        <v>0</v>
      </c>
      <c r="AZ79" s="16">
        <v>0</v>
      </c>
      <c r="BA79" s="16">
        <v>0</v>
      </c>
    </row>
    <row r="80" spans="1:53" x14ac:dyDescent="0.2">
      <c r="A80" s="14"/>
      <c r="B80" s="14" t="str">
        <f t="shared" si="23"/>
        <v>Parry 1993</v>
      </c>
      <c r="C80" s="61">
        <f t="shared" si="24"/>
        <v>10</v>
      </c>
      <c r="D80" s="58">
        <v>1993</v>
      </c>
      <c r="E80" s="17"/>
      <c r="F80" s="58">
        <v>1</v>
      </c>
      <c r="G80" s="16">
        <v>1991</v>
      </c>
      <c r="H80" s="15">
        <f>LOOKUP(G80,CPI!A$69:A$100,CPI!O$69:O$100)</f>
        <v>1.600998531571219</v>
      </c>
      <c r="I80" s="52">
        <v>1990</v>
      </c>
      <c r="J80" s="23">
        <f t="shared" si="25"/>
        <v>8.9285714285714281E-3</v>
      </c>
      <c r="K80" s="15"/>
      <c r="L80" s="62"/>
      <c r="M80" s="56">
        <f t="shared" si="19"/>
        <v>103.9552061557215</v>
      </c>
      <c r="N80" s="14">
        <f>44/12*8.232</f>
        <v>30.183999999999997</v>
      </c>
      <c r="O80" s="18">
        <f t="shared" si="20"/>
        <v>30.183999999999997</v>
      </c>
      <c r="P80" s="16">
        <v>0</v>
      </c>
      <c r="Q80" s="16">
        <v>1</v>
      </c>
      <c r="R80" s="16">
        <v>0</v>
      </c>
      <c r="S80" s="14"/>
      <c r="T80" s="56" t="str">
        <f t="shared" si="22"/>
        <v/>
      </c>
      <c r="U80" s="56" t="str">
        <f t="shared" si="16"/>
        <v/>
      </c>
      <c r="V80" s="56" t="str">
        <f t="shared" si="17"/>
        <v/>
      </c>
      <c r="W80" s="14"/>
      <c r="X80" s="14"/>
      <c r="Y80" s="14"/>
      <c r="Z80" s="14"/>
      <c r="AA80" s="18">
        <f t="shared" si="21"/>
        <v>30.183999999999997</v>
      </c>
      <c r="AB80" s="14"/>
      <c r="AC80" s="14"/>
      <c r="AD80" s="14"/>
      <c r="AE80" s="14"/>
      <c r="AF80" s="16">
        <v>0</v>
      </c>
      <c r="AG80" s="16">
        <v>1</v>
      </c>
      <c r="AH80" s="16">
        <v>0</v>
      </c>
      <c r="AI80" s="16">
        <v>0</v>
      </c>
      <c r="AJ80" s="5">
        <v>0</v>
      </c>
      <c r="AK80" s="5">
        <v>1</v>
      </c>
      <c r="AL80" s="5">
        <v>0</v>
      </c>
      <c r="AM80" s="20"/>
      <c r="AN80" s="20">
        <v>0</v>
      </c>
      <c r="AO80" s="16"/>
      <c r="AP80" s="16"/>
      <c r="AQ80" s="16"/>
      <c r="AR80" s="16">
        <v>0</v>
      </c>
      <c r="AS80" s="16">
        <v>0</v>
      </c>
      <c r="AT80" s="16"/>
      <c r="AU80" s="16"/>
      <c r="AV80" s="16"/>
      <c r="AW80" s="16"/>
      <c r="AX80" s="16">
        <v>0</v>
      </c>
      <c r="AY80" s="16">
        <v>0</v>
      </c>
      <c r="AZ80" s="16">
        <v>0</v>
      </c>
      <c r="BA80" s="16">
        <v>0</v>
      </c>
    </row>
    <row r="81" spans="1:53" x14ac:dyDescent="0.2">
      <c r="A81" s="14"/>
      <c r="B81" s="14" t="str">
        <f t="shared" si="23"/>
        <v>Parry 1993</v>
      </c>
      <c r="C81" s="61">
        <f t="shared" si="24"/>
        <v>10</v>
      </c>
      <c r="D81" s="58">
        <v>1993</v>
      </c>
      <c r="E81" s="17"/>
      <c r="F81" s="58">
        <v>1</v>
      </c>
      <c r="G81" s="16">
        <v>1991</v>
      </c>
      <c r="H81" s="15">
        <f>LOOKUP(G81,CPI!A$69:A$100,CPI!O$69:O$100)</f>
        <v>1.600998531571219</v>
      </c>
      <c r="I81" s="52">
        <v>1990</v>
      </c>
      <c r="J81" s="23">
        <f t="shared" si="25"/>
        <v>8.9285714285714281E-3</v>
      </c>
      <c r="K81" s="15"/>
      <c r="L81" s="62"/>
      <c r="M81" s="56">
        <f t="shared" si="19"/>
        <v>115.92672406578272</v>
      </c>
      <c r="N81" s="14">
        <f>44/12*9.18</f>
        <v>33.659999999999997</v>
      </c>
      <c r="O81" s="18">
        <f t="shared" si="20"/>
        <v>33.659999999999997</v>
      </c>
      <c r="P81" s="16">
        <v>0</v>
      </c>
      <c r="Q81" s="16">
        <v>1</v>
      </c>
      <c r="R81" s="16">
        <v>0</v>
      </c>
      <c r="S81" s="14"/>
      <c r="T81" s="56" t="str">
        <f t="shared" si="22"/>
        <v/>
      </c>
      <c r="U81" s="56" t="str">
        <f t="shared" si="16"/>
        <v/>
      </c>
      <c r="V81" s="56" t="str">
        <f t="shared" si="17"/>
        <v/>
      </c>
      <c r="W81" s="14"/>
      <c r="X81" s="14"/>
      <c r="Y81" s="14"/>
      <c r="Z81" s="14"/>
      <c r="AA81" s="18">
        <f t="shared" si="21"/>
        <v>33.659999999999997</v>
      </c>
      <c r="AB81" s="14"/>
      <c r="AC81" s="14"/>
      <c r="AD81" s="14"/>
      <c r="AE81" s="14"/>
      <c r="AF81" s="16">
        <v>0</v>
      </c>
      <c r="AG81" s="16">
        <v>1</v>
      </c>
      <c r="AH81" s="16">
        <v>0</v>
      </c>
      <c r="AI81" s="16">
        <v>0</v>
      </c>
      <c r="AJ81" s="5">
        <v>0</v>
      </c>
      <c r="AK81" s="5">
        <v>1</v>
      </c>
      <c r="AL81" s="5">
        <v>0</v>
      </c>
      <c r="AM81" s="20"/>
      <c r="AN81" s="20">
        <v>0</v>
      </c>
      <c r="AO81" s="16"/>
      <c r="AP81" s="16"/>
      <c r="AQ81" s="16"/>
      <c r="AR81" s="16">
        <v>0</v>
      </c>
      <c r="AS81" s="16">
        <v>0</v>
      </c>
      <c r="AT81" s="16"/>
      <c r="AU81" s="16"/>
      <c r="AV81" s="16"/>
      <c r="AW81" s="16"/>
      <c r="AX81" s="16">
        <v>0</v>
      </c>
      <c r="AY81" s="16">
        <v>0</v>
      </c>
      <c r="AZ81" s="16">
        <v>0</v>
      </c>
      <c r="BA81" s="16">
        <v>0</v>
      </c>
    </row>
    <row r="82" spans="1:53" x14ac:dyDescent="0.2">
      <c r="A82" s="14"/>
      <c r="B82" s="14" t="str">
        <f t="shared" si="23"/>
        <v>Parry 1993</v>
      </c>
      <c r="C82" s="61">
        <f t="shared" si="24"/>
        <v>10</v>
      </c>
      <c r="D82" s="58">
        <v>1993</v>
      </c>
      <c r="E82" s="17"/>
      <c r="F82" s="58">
        <v>1</v>
      </c>
      <c r="G82" s="16">
        <v>1991</v>
      </c>
      <c r="H82" s="15">
        <f>LOOKUP(G82,CPI!A$69:A$100,CPI!O$69:O$100)</f>
        <v>1.600998531571219</v>
      </c>
      <c r="I82" s="52">
        <v>1990</v>
      </c>
      <c r="J82" s="23">
        <f t="shared" si="25"/>
        <v>8.9285714285714281E-3</v>
      </c>
      <c r="K82" s="15"/>
      <c r="L82" s="62"/>
      <c r="M82" s="56">
        <f t="shared" si="19"/>
        <v>695.81290806368497</v>
      </c>
      <c r="N82" s="14">
        <f>44/12*55.1</f>
        <v>202.03333333333333</v>
      </c>
      <c r="O82" s="18">
        <f t="shared" si="20"/>
        <v>202.03333333333333</v>
      </c>
      <c r="P82" s="16">
        <v>0</v>
      </c>
      <c r="Q82" s="16">
        <v>1</v>
      </c>
      <c r="R82" s="16">
        <v>0</v>
      </c>
      <c r="S82" s="14"/>
      <c r="T82" s="56" t="str">
        <f t="shared" si="22"/>
        <v/>
      </c>
      <c r="U82" s="56" t="str">
        <f t="shared" si="16"/>
        <v/>
      </c>
      <c r="V82" s="56" t="str">
        <f t="shared" si="17"/>
        <v/>
      </c>
      <c r="W82" s="14"/>
      <c r="X82" s="14"/>
      <c r="Y82" s="14"/>
      <c r="Z82" s="14"/>
      <c r="AA82" s="18">
        <f t="shared" si="21"/>
        <v>202.03333333333333</v>
      </c>
      <c r="AB82" s="14"/>
      <c r="AC82" s="14"/>
      <c r="AD82" s="14"/>
      <c r="AE82" s="14"/>
      <c r="AF82" s="16">
        <v>0</v>
      </c>
      <c r="AG82" s="16">
        <v>1</v>
      </c>
      <c r="AH82" s="16">
        <v>0</v>
      </c>
      <c r="AI82" s="16">
        <v>0</v>
      </c>
      <c r="AJ82" s="5">
        <v>0</v>
      </c>
      <c r="AK82" s="5">
        <v>1</v>
      </c>
      <c r="AL82" s="5">
        <v>0</v>
      </c>
      <c r="AM82" s="20"/>
      <c r="AN82" s="20">
        <v>0</v>
      </c>
      <c r="AO82" s="16"/>
      <c r="AP82" s="16"/>
      <c r="AQ82" s="16"/>
      <c r="AR82" s="16">
        <v>0</v>
      </c>
      <c r="AS82" s="16">
        <v>0</v>
      </c>
      <c r="AT82" s="16"/>
      <c r="AU82" s="16"/>
      <c r="AV82" s="16"/>
      <c r="AW82" s="16"/>
      <c r="AX82" s="16">
        <v>0</v>
      </c>
      <c r="AY82" s="16">
        <v>0</v>
      </c>
      <c r="AZ82" s="16">
        <v>0</v>
      </c>
      <c r="BA82" s="16">
        <v>0</v>
      </c>
    </row>
    <row r="83" spans="1:53" x14ac:dyDescent="0.2">
      <c r="A83" s="14"/>
      <c r="B83" s="14" t="str">
        <f t="shared" si="23"/>
        <v>Parry 1993</v>
      </c>
      <c r="C83" s="61">
        <f t="shared" si="24"/>
        <v>10</v>
      </c>
      <c r="D83" s="58">
        <v>1993</v>
      </c>
      <c r="E83" s="17"/>
      <c r="F83" s="58">
        <v>1</v>
      </c>
      <c r="G83" s="16">
        <v>1991</v>
      </c>
      <c r="H83" s="15">
        <f>LOOKUP(G83,CPI!A$69:A$100,CPI!O$69:O$100)</f>
        <v>1.600998531571219</v>
      </c>
      <c r="I83" s="52">
        <v>1990</v>
      </c>
      <c r="J83" s="23">
        <f>2/112</f>
        <v>1.7857142857142856E-2</v>
      </c>
      <c r="K83" s="15"/>
      <c r="L83" s="62"/>
      <c r="M83" s="56">
        <f t="shared" si="19"/>
        <v>174.26893160215704</v>
      </c>
      <c r="N83" s="14">
        <f>44/12*13.8</f>
        <v>50.6</v>
      </c>
      <c r="O83" s="18">
        <f t="shared" si="20"/>
        <v>50.6</v>
      </c>
      <c r="P83" s="16">
        <v>0</v>
      </c>
      <c r="Q83" s="16">
        <v>1</v>
      </c>
      <c r="R83" s="16">
        <v>0</v>
      </c>
      <c r="S83" s="14"/>
      <c r="T83" s="56" t="str">
        <f t="shared" si="22"/>
        <v/>
      </c>
      <c r="U83" s="56" t="str">
        <f t="shared" si="16"/>
        <v/>
      </c>
      <c r="V83" s="56" t="str">
        <f t="shared" si="17"/>
        <v/>
      </c>
      <c r="W83" s="14"/>
      <c r="X83" s="14"/>
      <c r="Y83" s="14"/>
      <c r="Z83" s="14"/>
      <c r="AA83" s="18">
        <f t="shared" si="21"/>
        <v>50.6</v>
      </c>
      <c r="AB83" s="14"/>
      <c r="AC83" s="14"/>
      <c r="AD83" s="14"/>
      <c r="AE83" s="14"/>
      <c r="AF83" s="16">
        <v>0</v>
      </c>
      <c r="AG83" s="16">
        <v>1</v>
      </c>
      <c r="AH83" s="16">
        <v>0</v>
      </c>
      <c r="AI83" s="16">
        <v>0</v>
      </c>
      <c r="AJ83" s="5">
        <v>0</v>
      </c>
      <c r="AK83" s="5">
        <v>1</v>
      </c>
      <c r="AL83" s="5">
        <v>0</v>
      </c>
      <c r="AM83" s="20"/>
      <c r="AN83" s="20">
        <v>0</v>
      </c>
      <c r="AO83" s="16"/>
      <c r="AP83" s="16"/>
      <c r="AQ83" s="16"/>
      <c r="AR83" s="16">
        <v>0</v>
      </c>
      <c r="AS83" s="16">
        <v>0</v>
      </c>
      <c r="AT83" s="16"/>
      <c r="AU83" s="16"/>
      <c r="AV83" s="16"/>
      <c r="AW83" s="16"/>
      <c r="AX83" s="16">
        <v>0</v>
      </c>
      <c r="AY83" s="16">
        <v>0</v>
      </c>
      <c r="AZ83" s="16">
        <v>0</v>
      </c>
      <c r="BA83" s="16">
        <v>0</v>
      </c>
    </row>
    <row r="84" spans="1:53" x14ac:dyDescent="0.2">
      <c r="A84" s="14"/>
      <c r="B84" s="14" t="str">
        <f t="shared" si="23"/>
        <v>Parry 1993</v>
      </c>
      <c r="C84" s="61">
        <f t="shared" si="24"/>
        <v>10</v>
      </c>
      <c r="D84" s="58">
        <v>1993</v>
      </c>
      <c r="E84" s="17"/>
      <c r="F84" s="58">
        <v>1</v>
      </c>
      <c r="G84" s="16">
        <v>1991</v>
      </c>
      <c r="H84" s="15">
        <f>LOOKUP(G84,CPI!A$69:A$100,CPI!O$69:O$100)</f>
        <v>1.600998531571219</v>
      </c>
      <c r="I84" s="52">
        <v>1990</v>
      </c>
      <c r="J84" s="23">
        <f>2/112</f>
        <v>1.7857142857142856E-2</v>
      </c>
      <c r="K84" s="15"/>
      <c r="L84" s="62"/>
      <c r="M84" s="56">
        <f t="shared" si="19"/>
        <v>1045.3610259439536</v>
      </c>
      <c r="N84" s="14">
        <f>44/12*82.78</f>
        <v>303.52666666666664</v>
      </c>
      <c r="O84" s="18">
        <f t="shared" si="20"/>
        <v>303.52666666666664</v>
      </c>
      <c r="P84" s="16">
        <v>0</v>
      </c>
      <c r="Q84" s="16">
        <v>1</v>
      </c>
      <c r="R84" s="16">
        <v>0</v>
      </c>
      <c r="S84" s="14"/>
      <c r="T84" s="56" t="str">
        <f t="shared" si="22"/>
        <v/>
      </c>
      <c r="U84" s="56" t="str">
        <f t="shared" si="16"/>
        <v/>
      </c>
      <c r="V84" s="56" t="str">
        <f t="shared" si="17"/>
        <v/>
      </c>
      <c r="W84" s="14"/>
      <c r="X84" s="14"/>
      <c r="Y84" s="14"/>
      <c r="Z84" s="14"/>
      <c r="AA84" s="18">
        <f t="shared" si="21"/>
        <v>303.52666666666664</v>
      </c>
      <c r="AB84" s="14"/>
      <c r="AC84" s="14"/>
      <c r="AD84" s="14"/>
      <c r="AE84" s="14"/>
      <c r="AF84" s="16">
        <v>0</v>
      </c>
      <c r="AG84" s="16">
        <v>1</v>
      </c>
      <c r="AH84" s="16">
        <v>0</v>
      </c>
      <c r="AI84" s="16">
        <v>0</v>
      </c>
      <c r="AJ84" s="5">
        <v>0</v>
      </c>
      <c r="AK84" s="5">
        <v>1</v>
      </c>
      <c r="AL84" s="5">
        <v>0</v>
      </c>
      <c r="AM84" s="20"/>
      <c r="AN84" s="20">
        <v>0</v>
      </c>
      <c r="AO84" s="16"/>
      <c r="AP84" s="16"/>
      <c r="AQ84" s="16"/>
      <c r="AR84" s="16">
        <v>0</v>
      </c>
      <c r="AS84" s="16">
        <v>0</v>
      </c>
      <c r="AT84" s="16"/>
      <c r="AU84" s="16"/>
      <c r="AV84" s="16"/>
      <c r="AW84" s="16"/>
      <c r="AX84" s="16">
        <v>0</v>
      </c>
      <c r="AY84" s="16">
        <v>0</v>
      </c>
      <c r="AZ84" s="16">
        <v>0</v>
      </c>
      <c r="BA84" s="16">
        <v>0</v>
      </c>
    </row>
    <row r="85" spans="1:53" x14ac:dyDescent="0.2">
      <c r="A85" s="14"/>
      <c r="B85" s="14" t="str">
        <f t="shared" si="23"/>
        <v>Parry 1993</v>
      </c>
      <c r="C85" s="61">
        <f t="shared" si="24"/>
        <v>10</v>
      </c>
      <c r="D85" s="58">
        <v>1993</v>
      </c>
      <c r="E85" s="17"/>
      <c r="F85" s="58">
        <v>1</v>
      </c>
      <c r="G85" s="16">
        <v>1991</v>
      </c>
      <c r="H85" s="15">
        <f>LOOKUP(G85,CPI!A$69:A$100,CPI!O$69:O$100)</f>
        <v>1.600998531571219</v>
      </c>
      <c r="I85" s="52">
        <v>1990</v>
      </c>
      <c r="J85" s="23">
        <f>2/112</f>
        <v>1.7857142857142856E-2</v>
      </c>
      <c r="K85" s="15"/>
      <c r="L85" s="62"/>
      <c r="M85" s="56">
        <f t="shared" si="19"/>
        <v>348.28529953532541</v>
      </c>
      <c r="N85" s="14">
        <f>44/12*27.58</f>
        <v>101.12666666666665</v>
      </c>
      <c r="O85" s="18">
        <f t="shared" si="20"/>
        <v>101.12666666666665</v>
      </c>
      <c r="P85" s="16">
        <v>0</v>
      </c>
      <c r="Q85" s="16">
        <v>1</v>
      </c>
      <c r="R85" s="16">
        <v>0</v>
      </c>
      <c r="S85" s="14"/>
      <c r="T85" s="56" t="str">
        <f t="shared" si="22"/>
        <v/>
      </c>
      <c r="U85" s="56" t="str">
        <f t="shared" si="16"/>
        <v/>
      </c>
      <c r="V85" s="56" t="str">
        <f t="shared" si="17"/>
        <v/>
      </c>
      <c r="W85" s="14"/>
      <c r="X85" s="14"/>
      <c r="Y85" s="14"/>
      <c r="Z85" s="14"/>
      <c r="AA85" s="18">
        <f t="shared" si="21"/>
        <v>101.12666666666665</v>
      </c>
      <c r="AB85" s="14"/>
      <c r="AC85" s="14"/>
      <c r="AD85" s="14"/>
      <c r="AE85" s="14"/>
      <c r="AF85" s="16">
        <v>0</v>
      </c>
      <c r="AG85" s="16">
        <v>1</v>
      </c>
      <c r="AH85" s="16">
        <v>0</v>
      </c>
      <c r="AI85" s="16">
        <v>0</v>
      </c>
      <c r="AJ85" s="5">
        <v>0</v>
      </c>
      <c r="AK85" s="5">
        <v>1</v>
      </c>
      <c r="AL85" s="5">
        <v>0</v>
      </c>
      <c r="AM85" s="20"/>
      <c r="AN85" s="20">
        <v>0</v>
      </c>
      <c r="AO85" s="16"/>
      <c r="AP85" s="16"/>
      <c r="AQ85" s="16"/>
      <c r="AR85" s="16">
        <v>0</v>
      </c>
      <c r="AS85" s="16">
        <v>0</v>
      </c>
      <c r="AT85" s="16"/>
      <c r="AU85" s="16"/>
      <c r="AV85" s="16"/>
      <c r="AW85" s="16"/>
      <c r="AX85" s="16">
        <v>0</v>
      </c>
      <c r="AY85" s="16">
        <v>0</v>
      </c>
      <c r="AZ85" s="16">
        <v>0</v>
      </c>
      <c r="BA85" s="16">
        <v>0</v>
      </c>
    </row>
    <row r="86" spans="1:53" x14ac:dyDescent="0.2">
      <c r="A86" s="14"/>
      <c r="B86" s="14" t="str">
        <f t="shared" si="23"/>
        <v>Parry 1993</v>
      </c>
      <c r="C86" s="61">
        <f t="shared" si="24"/>
        <v>10</v>
      </c>
      <c r="D86" s="58">
        <v>1993</v>
      </c>
      <c r="E86" s="17"/>
      <c r="F86" s="58">
        <v>1</v>
      </c>
      <c r="G86" s="16">
        <v>1991</v>
      </c>
      <c r="H86" s="15">
        <f>LOOKUP(G86,CPI!A$69:A$100,CPI!O$69:O$100)</f>
        <v>1.600998531571219</v>
      </c>
      <c r="I86" s="52">
        <v>1990</v>
      </c>
      <c r="J86" s="23">
        <f>2/112</f>
        <v>1.7857142857142856E-2</v>
      </c>
      <c r="K86" s="15"/>
      <c r="L86" s="62"/>
      <c r="M86" s="56">
        <f t="shared" si="19"/>
        <v>2089.3329517084699</v>
      </c>
      <c r="N86" s="14">
        <f>44/12*165.45</f>
        <v>606.65</v>
      </c>
      <c r="O86" s="18">
        <f t="shared" si="20"/>
        <v>606.65</v>
      </c>
      <c r="P86" s="16">
        <v>0</v>
      </c>
      <c r="Q86" s="16">
        <v>1</v>
      </c>
      <c r="R86" s="16">
        <v>0</v>
      </c>
      <c r="S86" s="14"/>
      <c r="T86" s="56" t="str">
        <f t="shared" si="22"/>
        <v/>
      </c>
      <c r="U86" s="56" t="str">
        <f t="shared" si="16"/>
        <v/>
      </c>
      <c r="V86" s="56" t="str">
        <f t="shared" si="17"/>
        <v/>
      </c>
      <c r="W86" s="14"/>
      <c r="X86" s="14"/>
      <c r="Y86" s="14"/>
      <c r="Z86" s="14"/>
      <c r="AA86" s="18">
        <f t="shared" si="21"/>
        <v>606.65</v>
      </c>
      <c r="AB86" s="14"/>
      <c r="AC86" s="14"/>
      <c r="AD86" s="14"/>
      <c r="AE86" s="14"/>
      <c r="AF86" s="16">
        <v>0</v>
      </c>
      <c r="AG86" s="16">
        <v>1</v>
      </c>
      <c r="AH86" s="16">
        <v>0</v>
      </c>
      <c r="AI86" s="16">
        <v>0</v>
      </c>
      <c r="AJ86" s="5">
        <v>0</v>
      </c>
      <c r="AK86" s="5">
        <v>1</v>
      </c>
      <c r="AL86" s="5">
        <v>0</v>
      </c>
      <c r="AM86" s="20"/>
      <c r="AN86" s="20">
        <v>0</v>
      </c>
      <c r="AO86" s="16"/>
      <c r="AP86" s="16"/>
      <c r="AQ86" s="16"/>
      <c r="AR86" s="16">
        <v>0</v>
      </c>
      <c r="AS86" s="16">
        <v>0</v>
      </c>
      <c r="AT86" s="16"/>
      <c r="AU86" s="16"/>
      <c r="AV86" s="16"/>
      <c r="AW86" s="16"/>
      <c r="AX86" s="16">
        <v>0</v>
      </c>
      <c r="AY86" s="16">
        <v>0</v>
      </c>
      <c r="AZ86" s="16">
        <v>0</v>
      </c>
      <c r="BA86" s="16">
        <v>0</v>
      </c>
    </row>
    <row r="87" spans="1:53" x14ac:dyDescent="0.2">
      <c r="A87" s="14"/>
      <c r="B87" s="14" t="str">
        <f t="shared" si="23"/>
        <v>Parry 1993</v>
      </c>
      <c r="C87" s="61">
        <f t="shared" si="24"/>
        <v>10</v>
      </c>
      <c r="D87" s="58">
        <v>1993</v>
      </c>
      <c r="E87" s="17"/>
      <c r="F87" s="58">
        <v>1</v>
      </c>
      <c r="G87" s="16">
        <v>1991</v>
      </c>
      <c r="H87" s="15">
        <f>LOOKUP(G87,CPI!A$69:A$100,CPI!O$69:O$100)</f>
        <v>1.600998531571219</v>
      </c>
      <c r="I87" s="52">
        <v>1990</v>
      </c>
      <c r="J87" s="23">
        <f>1/112</f>
        <v>8.9285714285714281E-3</v>
      </c>
      <c r="K87" s="15"/>
      <c r="L87" s="62"/>
      <c r="M87" s="56">
        <f t="shared" si="19"/>
        <v>664.11616760561151</v>
      </c>
      <c r="N87" s="14">
        <f>44/12*52.59</f>
        <v>192.83</v>
      </c>
      <c r="O87" s="18">
        <f t="shared" si="20"/>
        <v>192.83</v>
      </c>
      <c r="P87" s="16">
        <v>0</v>
      </c>
      <c r="Q87" s="16">
        <v>1</v>
      </c>
      <c r="R87" s="16">
        <v>0</v>
      </c>
      <c r="S87" s="14"/>
      <c r="T87" s="56" t="str">
        <f t="shared" si="22"/>
        <v/>
      </c>
      <c r="U87" s="56" t="str">
        <f t="shared" ref="U87:U113" si="26">+V87</f>
        <v/>
      </c>
      <c r="V87" s="56" t="str">
        <f t="shared" ref="V87:V113" si="27">+T87</f>
        <v/>
      </c>
      <c r="W87" s="14"/>
      <c r="X87" s="14"/>
      <c r="Y87" s="14"/>
      <c r="Z87" s="14"/>
      <c r="AA87" s="18">
        <f t="shared" si="21"/>
        <v>192.83</v>
      </c>
      <c r="AB87" s="14"/>
      <c r="AC87" s="14"/>
      <c r="AD87" s="14"/>
      <c r="AE87" s="14"/>
      <c r="AF87" s="16">
        <v>0</v>
      </c>
      <c r="AG87" s="16">
        <v>1</v>
      </c>
      <c r="AH87" s="16">
        <v>0</v>
      </c>
      <c r="AI87" s="16">
        <v>0</v>
      </c>
      <c r="AJ87" s="5">
        <v>0</v>
      </c>
      <c r="AK87" s="5">
        <v>1</v>
      </c>
      <c r="AL87" s="5">
        <v>0</v>
      </c>
      <c r="AM87" s="20"/>
      <c r="AN87" s="20">
        <v>0</v>
      </c>
      <c r="AO87" s="16"/>
      <c r="AP87" s="16"/>
      <c r="AQ87" s="16"/>
      <c r="AR87" s="16">
        <v>0</v>
      </c>
      <c r="AS87" s="16">
        <v>0</v>
      </c>
      <c r="AT87" s="16"/>
      <c r="AU87" s="16"/>
      <c r="AV87" s="16"/>
      <c r="AW87" s="16"/>
      <c r="AX87" s="16">
        <v>0</v>
      </c>
      <c r="AY87" s="16">
        <v>0</v>
      </c>
      <c r="AZ87" s="16">
        <v>0</v>
      </c>
      <c r="BA87" s="16">
        <v>0</v>
      </c>
    </row>
    <row r="88" spans="1:53" x14ac:dyDescent="0.2">
      <c r="A88" s="14"/>
      <c r="B88" s="14" t="str">
        <f t="shared" si="23"/>
        <v>Parry 1993</v>
      </c>
      <c r="C88" s="61">
        <f t="shared" si="24"/>
        <v>10</v>
      </c>
      <c r="D88" s="58">
        <v>1993</v>
      </c>
      <c r="E88" s="17"/>
      <c r="F88" s="58">
        <v>1</v>
      </c>
      <c r="G88" s="16">
        <v>1991</v>
      </c>
      <c r="H88" s="15">
        <f>LOOKUP(G88,CPI!A$69:A$100,CPI!O$69:O$100)</f>
        <v>1.600998531571219</v>
      </c>
      <c r="I88" s="52">
        <v>1990</v>
      </c>
      <c r="J88" s="23">
        <f>1/112</f>
        <v>8.9285714285714281E-3</v>
      </c>
      <c r="K88" s="15"/>
      <c r="L88" s="62"/>
      <c r="M88" s="56">
        <f t="shared" si="19"/>
        <v>3984.3181601301858</v>
      </c>
      <c r="N88" s="14">
        <f>44/12*315.51</f>
        <v>1156.8699999999999</v>
      </c>
      <c r="O88" s="18">
        <f t="shared" si="20"/>
        <v>1156.8699999999999</v>
      </c>
      <c r="P88" s="16">
        <v>0</v>
      </c>
      <c r="Q88" s="16">
        <v>1</v>
      </c>
      <c r="R88" s="16">
        <v>0</v>
      </c>
      <c r="S88" s="14"/>
      <c r="T88" s="56" t="str">
        <f t="shared" si="22"/>
        <v/>
      </c>
      <c r="U88" s="56" t="str">
        <f t="shared" si="26"/>
        <v/>
      </c>
      <c r="V88" s="56" t="str">
        <f t="shared" si="27"/>
        <v/>
      </c>
      <c r="W88" s="14"/>
      <c r="X88" s="14"/>
      <c r="Y88" s="14"/>
      <c r="Z88" s="14"/>
      <c r="AA88" s="18">
        <f t="shared" si="21"/>
        <v>1156.8699999999999</v>
      </c>
      <c r="AB88" s="14"/>
      <c r="AC88" s="14"/>
      <c r="AD88" s="14"/>
      <c r="AE88" s="14"/>
      <c r="AF88" s="16">
        <v>0</v>
      </c>
      <c r="AG88" s="16">
        <v>1</v>
      </c>
      <c r="AH88" s="16">
        <v>0</v>
      </c>
      <c r="AI88" s="16">
        <v>0</v>
      </c>
      <c r="AJ88" s="5">
        <v>0</v>
      </c>
      <c r="AK88" s="5">
        <v>1</v>
      </c>
      <c r="AL88" s="5">
        <v>0</v>
      </c>
      <c r="AM88" s="20"/>
      <c r="AN88" s="20">
        <v>0</v>
      </c>
      <c r="AO88" s="16"/>
      <c r="AP88" s="16"/>
      <c r="AQ88" s="16"/>
      <c r="AR88" s="16">
        <v>0</v>
      </c>
      <c r="AS88" s="16">
        <v>0</v>
      </c>
      <c r="AT88" s="16"/>
      <c r="AU88" s="16"/>
      <c r="AV88" s="16"/>
      <c r="AW88" s="16"/>
      <c r="AX88" s="16">
        <v>0</v>
      </c>
      <c r="AY88" s="16">
        <v>0</v>
      </c>
      <c r="AZ88" s="16">
        <v>0</v>
      </c>
      <c r="BA88" s="16">
        <v>0</v>
      </c>
    </row>
    <row r="89" spans="1:53" x14ac:dyDescent="0.2">
      <c r="A89" s="14"/>
      <c r="B89" s="14" t="str">
        <f t="shared" si="23"/>
        <v>Parry 1993</v>
      </c>
      <c r="C89" s="61">
        <f t="shared" si="24"/>
        <v>10</v>
      </c>
      <c r="D89" s="58">
        <v>1993</v>
      </c>
      <c r="E89" s="17"/>
      <c r="F89" s="58">
        <v>1</v>
      </c>
      <c r="G89" s="16">
        <v>1991</v>
      </c>
      <c r="H89" s="15">
        <f>LOOKUP(G89,CPI!A$69:A$100,CPI!O$69:O$100)</f>
        <v>1.600998531571219</v>
      </c>
      <c r="I89" s="52">
        <v>1990</v>
      </c>
      <c r="J89" s="23">
        <f>1/112</f>
        <v>8.9285714285714281E-3</v>
      </c>
      <c r="K89" s="15"/>
      <c r="L89" s="62"/>
      <c r="M89" s="56">
        <f t="shared" si="19"/>
        <v>1732.8393329310138</v>
      </c>
      <c r="N89" s="14">
        <f>44/12*137.22</f>
        <v>503.14</v>
      </c>
      <c r="O89" s="18">
        <f t="shared" si="20"/>
        <v>503.14</v>
      </c>
      <c r="P89" s="16">
        <v>0</v>
      </c>
      <c r="Q89" s="16">
        <v>1</v>
      </c>
      <c r="R89" s="16">
        <v>0</v>
      </c>
      <c r="S89" s="14"/>
      <c r="T89" s="56" t="str">
        <f t="shared" si="22"/>
        <v/>
      </c>
      <c r="U89" s="56" t="str">
        <f t="shared" si="26"/>
        <v/>
      </c>
      <c r="V89" s="56" t="str">
        <f t="shared" si="27"/>
        <v/>
      </c>
      <c r="W89" s="14"/>
      <c r="X89" s="14"/>
      <c r="Y89" s="14"/>
      <c r="Z89" s="14"/>
      <c r="AA89" s="18">
        <f t="shared" si="21"/>
        <v>503.14</v>
      </c>
      <c r="AB89" s="14"/>
      <c r="AC89" s="14"/>
      <c r="AD89" s="14"/>
      <c r="AE89" s="14"/>
      <c r="AF89" s="16">
        <v>0</v>
      </c>
      <c r="AG89" s="16">
        <v>1</v>
      </c>
      <c r="AH89" s="16">
        <v>0</v>
      </c>
      <c r="AI89" s="16">
        <v>0</v>
      </c>
      <c r="AJ89" s="5">
        <v>0</v>
      </c>
      <c r="AK89" s="5">
        <v>1</v>
      </c>
      <c r="AL89" s="5">
        <v>0</v>
      </c>
      <c r="AM89" s="20"/>
      <c r="AN89" s="20">
        <v>0</v>
      </c>
      <c r="AO89" s="16"/>
      <c r="AP89" s="16"/>
      <c r="AQ89" s="16"/>
      <c r="AR89" s="16">
        <v>0</v>
      </c>
      <c r="AS89" s="16">
        <v>0</v>
      </c>
      <c r="AT89" s="16"/>
      <c r="AU89" s="16"/>
      <c r="AV89" s="16"/>
      <c r="AW89" s="16"/>
      <c r="AX89" s="16">
        <v>0</v>
      </c>
      <c r="AY89" s="16">
        <v>0</v>
      </c>
      <c r="AZ89" s="16">
        <v>0</v>
      </c>
      <c r="BA89" s="16">
        <v>0</v>
      </c>
    </row>
    <row r="90" spans="1:53" x14ac:dyDescent="0.2">
      <c r="A90" s="14"/>
      <c r="B90" s="14" t="str">
        <f t="shared" si="23"/>
        <v>Parry 1993</v>
      </c>
      <c r="C90" s="61">
        <f t="shared" si="24"/>
        <v>10</v>
      </c>
      <c r="D90" s="58">
        <v>1993</v>
      </c>
      <c r="E90" s="17"/>
      <c r="F90" s="58">
        <v>1</v>
      </c>
      <c r="G90" s="16">
        <v>1991</v>
      </c>
      <c r="H90" s="15">
        <f>LOOKUP(G90,CPI!A$69:A$100,CPI!O$69:O$100)</f>
        <v>1.600998531571219</v>
      </c>
      <c r="I90" s="52">
        <v>1990</v>
      </c>
      <c r="J90" s="23">
        <f>1/112</f>
        <v>8.9285714285714281E-3</v>
      </c>
      <c r="K90" s="15"/>
      <c r="L90" s="62"/>
      <c r="M90" s="56">
        <f t="shared" si="19"/>
        <v>10396.657152082598</v>
      </c>
      <c r="N90" s="14">
        <f>44/12*823.29</f>
        <v>3018.7299999999996</v>
      </c>
      <c r="O90" s="18">
        <f t="shared" si="20"/>
        <v>3018.7299999999996</v>
      </c>
      <c r="P90" s="16">
        <v>0</v>
      </c>
      <c r="Q90" s="16">
        <v>1</v>
      </c>
      <c r="R90" s="16">
        <v>0</v>
      </c>
      <c r="S90" s="14"/>
      <c r="T90" s="56" t="str">
        <f t="shared" si="22"/>
        <v/>
      </c>
      <c r="U90" s="56" t="str">
        <f t="shared" si="26"/>
        <v/>
      </c>
      <c r="V90" s="56" t="str">
        <f t="shared" si="27"/>
        <v/>
      </c>
      <c r="W90" s="14"/>
      <c r="X90" s="14"/>
      <c r="Y90" s="14"/>
      <c r="Z90" s="14"/>
      <c r="AA90" s="18">
        <f t="shared" si="21"/>
        <v>3018.7299999999996</v>
      </c>
      <c r="AB90" s="14"/>
      <c r="AC90" s="14"/>
      <c r="AD90" s="14"/>
      <c r="AE90" s="14"/>
      <c r="AF90" s="16">
        <v>0</v>
      </c>
      <c r="AG90" s="16">
        <v>1</v>
      </c>
      <c r="AH90" s="16">
        <v>0</v>
      </c>
      <c r="AI90" s="16">
        <v>0</v>
      </c>
      <c r="AJ90" s="5">
        <v>0</v>
      </c>
      <c r="AK90" s="5">
        <v>1</v>
      </c>
      <c r="AL90" s="5">
        <v>0</v>
      </c>
      <c r="AM90" s="20"/>
      <c r="AN90" s="20">
        <v>0</v>
      </c>
      <c r="AO90" s="16"/>
      <c r="AP90" s="16"/>
      <c r="AQ90" s="16"/>
      <c r="AR90" s="16">
        <v>0</v>
      </c>
      <c r="AS90" s="16">
        <v>0</v>
      </c>
      <c r="AT90" s="16"/>
      <c r="AU90" s="16"/>
      <c r="AV90" s="16"/>
      <c r="AW90" s="16"/>
      <c r="AX90" s="16">
        <v>0</v>
      </c>
      <c r="AY90" s="16">
        <v>0</v>
      </c>
      <c r="AZ90" s="16">
        <v>0</v>
      </c>
      <c r="BA90" s="16">
        <v>0</v>
      </c>
    </row>
    <row r="91" spans="1:53" x14ac:dyDescent="0.2">
      <c r="A91" s="14" t="s">
        <v>185</v>
      </c>
      <c r="B91" s="14" t="str">
        <f t="shared" si="23"/>
        <v>Peck &amp; Teisberg 1993</v>
      </c>
      <c r="C91" s="61">
        <f t="shared" si="24"/>
        <v>11</v>
      </c>
      <c r="D91" s="58">
        <v>1993</v>
      </c>
      <c r="E91" s="17" t="s">
        <v>106</v>
      </c>
      <c r="F91" s="58">
        <v>1</v>
      </c>
      <c r="G91" s="22">
        <v>1989</v>
      </c>
      <c r="H91" s="15">
        <f>LOOKUP(G91,CPI!A$69:A$100,CPI!O$69:O$100)</f>
        <v>1.7585161290322582</v>
      </c>
      <c r="I91" s="52">
        <v>2030</v>
      </c>
      <c r="J91" s="15">
        <v>0.5</v>
      </c>
      <c r="K91" s="59">
        <v>3.7037037037037035E-2</v>
      </c>
      <c r="L91" s="57">
        <f>(AA92/AA91)^(1/(I92-I91))-1</f>
        <v>1.5475704893386233E-2</v>
      </c>
      <c r="M91" s="56">
        <f>AA91*H91*(1+$L$2)^(2015-I91)</f>
        <v>11.105528860183005</v>
      </c>
      <c r="N91" s="14">
        <v>10</v>
      </c>
      <c r="O91" s="18">
        <f t="shared" si="20"/>
        <v>10</v>
      </c>
      <c r="P91" s="16">
        <v>0</v>
      </c>
      <c r="Q91" s="16">
        <v>1</v>
      </c>
      <c r="R91" s="16">
        <v>0</v>
      </c>
      <c r="S91" s="14"/>
      <c r="T91" s="56" t="str">
        <f t="shared" si="22"/>
        <v/>
      </c>
      <c r="U91" s="56" t="str">
        <f t="shared" si="26"/>
        <v/>
      </c>
      <c r="V91" s="56" t="str">
        <f t="shared" si="27"/>
        <v/>
      </c>
      <c r="W91" s="14"/>
      <c r="X91" s="14"/>
      <c r="Y91" s="14"/>
      <c r="Z91" s="14"/>
      <c r="AA91" s="18">
        <f t="shared" si="21"/>
        <v>10</v>
      </c>
      <c r="AB91" s="14"/>
      <c r="AC91" s="14"/>
      <c r="AD91" s="14"/>
      <c r="AE91" s="14"/>
      <c r="AF91" s="16">
        <v>0</v>
      </c>
      <c r="AG91" s="16">
        <v>1</v>
      </c>
      <c r="AH91" s="16">
        <v>0</v>
      </c>
      <c r="AI91" s="16">
        <v>1</v>
      </c>
      <c r="AJ91" s="5">
        <v>0</v>
      </c>
      <c r="AK91" s="5">
        <v>0</v>
      </c>
      <c r="AL91" s="5">
        <v>0</v>
      </c>
      <c r="AM91" s="20">
        <v>5</v>
      </c>
      <c r="AN91" s="20">
        <v>3</v>
      </c>
      <c r="AO91" s="16"/>
      <c r="AP91" s="16"/>
      <c r="AQ91" s="16"/>
      <c r="AR91" s="16">
        <v>0</v>
      </c>
      <c r="AS91" s="16">
        <v>0</v>
      </c>
      <c r="AT91" s="16"/>
      <c r="AU91" s="16"/>
      <c r="AV91" s="16"/>
      <c r="AW91" s="16"/>
      <c r="AX91" s="16">
        <v>0</v>
      </c>
      <c r="AY91" s="16">
        <v>0</v>
      </c>
      <c r="AZ91" s="16">
        <v>0</v>
      </c>
      <c r="BA91" s="16">
        <v>1</v>
      </c>
    </row>
    <row r="92" spans="1:53" x14ac:dyDescent="0.2">
      <c r="A92" s="14"/>
      <c r="B92" s="14" t="str">
        <f t="shared" si="23"/>
        <v>Peck &amp; Teisberg 1993</v>
      </c>
      <c r="C92" s="61">
        <f t="shared" si="24"/>
        <v>11</v>
      </c>
      <c r="D92" s="58">
        <v>1993</v>
      </c>
      <c r="E92" s="17"/>
      <c r="F92" s="58">
        <v>1</v>
      </c>
      <c r="G92" s="22">
        <v>1989</v>
      </c>
      <c r="H92" s="15">
        <f>LOOKUP(G92,CPI!A$69:A$100,CPI!O$69:O$100)</f>
        <v>1.7585161290322582</v>
      </c>
      <c r="I92" s="5">
        <v>2100</v>
      </c>
      <c r="J92" s="44">
        <v>0</v>
      </c>
      <c r="K92" s="44"/>
      <c r="L92" s="65"/>
      <c r="N92" s="3">
        <v>29.3</v>
      </c>
      <c r="O92" s="37">
        <f t="shared" si="20"/>
        <v>29.3</v>
      </c>
      <c r="P92" s="16">
        <v>0</v>
      </c>
      <c r="Q92" s="16">
        <v>1</v>
      </c>
      <c r="R92" s="16">
        <v>0</v>
      </c>
      <c r="S92" s="3"/>
      <c r="T92" s="56" t="str">
        <f t="shared" si="22"/>
        <v/>
      </c>
      <c r="U92" s="56" t="str">
        <f t="shared" si="26"/>
        <v/>
      </c>
      <c r="V92" s="56" t="str">
        <f t="shared" si="27"/>
        <v/>
      </c>
      <c r="W92" s="3"/>
      <c r="X92" s="3"/>
      <c r="Y92" s="3"/>
      <c r="Z92" s="3"/>
      <c r="AA92" s="37">
        <f t="shared" si="21"/>
        <v>29.3</v>
      </c>
      <c r="AB92" s="3"/>
      <c r="AC92" s="3"/>
      <c r="AD92" s="3"/>
      <c r="AE92" s="3"/>
      <c r="AF92" s="16">
        <v>0</v>
      </c>
      <c r="AG92" s="16">
        <v>1</v>
      </c>
      <c r="AH92" s="16">
        <v>0</v>
      </c>
      <c r="AI92" s="16">
        <v>1</v>
      </c>
      <c r="AJ92" s="5">
        <v>0</v>
      </c>
      <c r="AK92" s="5">
        <v>0</v>
      </c>
      <c r="AL92" s="5">
        <v>0</v>
      </c>
      <c r="AM92" s="20">
        <v>5</v>
      </c>
      <c r="AN92" s="20">
        <v>3</v>
      </c>
      <c r="AO92" s="16"/>
      <c r="AP92" s="16"/>
      <c r="AQ92" s="16"/>
      <c r="AR92" s="16">
        <v>0</v>
      </c>
      <c r="AS92" s="16">
        <v>0</v>
      </c>
      <c r="AT92" s="16"/>
      <c r="AU92" s="16"/>
      <c r="AV92" s="16"/>
      <c r="AW92" s="16"/>
      <c r="AX92" s="16">
        <v>0</v>
      </c>
      <c r="AY92" s="16">
        <v>0</v>
      </c>
      <c r="AZ92" s="16">
        <v>0</v>
      </c>
      <c r="BA92" s="16">
        <v>1</v>
      </c>
    </row>
    <row r="93" spans="1:53" x14ac:dyDescent="0.2">
      <c r="A93" s="14"/>
      <c r="B93" s="14" t="str">
        <f t="shared" si="23"/>
        <v>Peck &amp; Teisberg 1993</v>
      </c>
      <c r="C93" s="61">
        <f t="shared" si="24"/>
        <v>11</v>
      </c>
      <c r="D93" s="58">
        <v>1993</v>
      </c>
      <c r="E93" s="17"/>
      <c r="F93" s="58">
        <v>1</v>
      </c>
      <c r="G93" s="22">
        <v>1989</v>
      </c>
      <c r="H93" s="15">
        <f>LOOKUP(G93,CPI!A$69:A$100,CPI!O$69:O$100)</f>
        <v>1.7585161290322582</v>
      </c>
      <c r="I93" s="52">
        <v>2030</v>
      </c>
      <c r="J93" s="15">
        <f>0.5/26</f>
        <v>1.9230769230769232E-2</v>
      </c>
      <c r="K93" s="59">
        <v>3.7037037037037035E-2</v>
      </c>
      <c r="L93" s="57">
        <f>(AA94/AA93)^(1/(I94-I93))-1</f>
        <v>1.5994717571488515E-2</v>
      </c>
      <c r="M93" s="56">
        <f>AA93*H93*(1+$L$2)^(2015-I93)</f>
        <v>24.210052915198954</v>
      </c>
      <c r="N93" s="14">
        <v>21.8</v>
      </c>
      <c r="O93" s="18">
        <f t="shared" si="20"/>
        <v>21.8</v>
      </c>
      <c r="P93" s="16">
        <v>0</v>
      </c>
      <c r="Q93" s="16">
        <v>1</v>
      </c>
      <c r="R93" s="16">
        <v>0</v>
      </c>
      <c r="S93" s="14"/>
      <c r="T93" s="56" t="str">
        <f t="shared" si="22"/>
        <v/>
      </c>
      <c r="U93" s="56" t="str">
        <f t="shared" si="26"/>
        <v/>
      </c>
      <c r="V93" s="56" t="str">
        <f t="shared" si="27"/>
        <v/>
      </c>
      <c r="W93" s="14"/>
      <c r="X93" s="14"/>
      <c r="Y93" s="14"/>
      <c r="Z93" s="14"/>
      <c r="AA93" s="18">
        <f t="shared" si="21"/>
        <v>21.8</v>
      </c>
      <c r="AB93" s="14"/>
      <c r="AC93" s="14"/>
      <c r="AD93" s="14"/>
      <c r="AE93" s="14"/>
      <c r="AF93" s="16">
        <v>0</v>
      </c>
      <c r="AG93" s="16">
        <v>1</v>
      </c>
      <c r="AH93" s="16">
        <v>0</v>
      </c>
      <c r="AI93" s="16">
        <v>1</v>
      </c>
      <c r="AJ93" s="5">
        <v>0</v>
      </c>
      <c r="AK93" s="5">
        <v>0</v>
      </c>
      <c r="AL93" s="5">
        <v>0</v>
      </c>
      <c r="AM93" s="20">
        <v>5</v>
      </c>
      <c r="AN93" s="20">
        <v>3</v>
      </c>
      <c r="AO93" s="16"/>
      <c r="AP93" s="16"/>
      <c r="AQ93" s="16"/>
      <c r="AR93" s="16">
        <v>0</v>
      </c>
      <c r="AS93" s="16">
        <v>0</v>
      </c>
      <c r="AT93" s="16"/>
      <c r="AU93" s="16"/>
      <c r="AV93" s="16"/>
      <c r="AW93" s="16"/>
      <c r="AX93" s="16">
        <v>0</v>
      </c>
      <c r="AY93" s="16">
        <v>0</v>
      </c>
      <c r="AZ93" s="16">
        <v>0</v>
      </c>
      <c r="BA93" s="16">
        <v>1</v>
      </c>
    </row>
    <row r="94" spans="1:53" x14ac:dyDescent="0.2">
      <c r="A94" s="14"/>
      <c r="B94" s="14" t="str">
        <f t="shared" si="23"/>
        <v>Peck &amp; Teisberg 1993</v>
      </c>
      <c r="C94" s="61">
        <f t="shared" si="24"/>
        <v>11</v>
      </c>
      <c r="D94" s="58">
        <v>1993</v>
      </c>
      <c r="E94" s="17"/>
      <c r="F94" s="58">
        <v>1</v>
      </c>
      <c r="G94" s="22">
        <v>1989</v>
      </c>
      <c r="H94" s="15">
        <f>LOOKUP(G94,CPI!A$69:A$100,CPI!O$69:O$100)</f>
        <v>1.7585161290322582</v>
      </c>
      <c r="I94" s="5">
        <v>2100</v>
      </c>
      <c r="J94" s="44">
        <v>0</v>
      </c>
      <c r="K94" s="44"/>
      <c r="L94" s="65"/>
      <c r="N94" s="3">
        <v>66.2</v>
      </c>
      <c r="O94" s="37">
        <f t="shared" si="20"/>
        <v>66.2</v>
      </c>
      <c r="P94" s="16">
        <v>0</v>
      </c>
      <c r="Q94" s="16">
        <v>1</v>
      </c>
      <c r="R94" s="16">
        <v>0</v>
      </c>
      <c r="S94" s="3"/>
      <c r="T94" s="56" t="str">
        <f t="shared" si="22"/>
        <v/>
      </c>
      <c r="U94" s="56" t="str">
        <f t="shared" si="26"/>
        <v/>
      </c>
      <c r="V94" s="56" t="str">
        <f t="shared" si="27"/>
        <v/>
      </c>
      <c r="W94" s="3"/>
      <c r="X94" s="3"/>
      <c r="Y94" s="3"/>
      <c r="Z94" s="3"/>
      <c r="AA94" s="37">
        <f t="shared" si="21"/>
        <v>66.2</v>
      </c>
      <c r="AB94" s="3"/>
      <c r="AC94" s="3"/>
      <c r="AD94" s="3"/>
      <c r="AE94" s="3"/>
      <c r="AF94" s="16">
        <v>0</v>
      </c>
      <c r="AG94" s="16">
        <v>1</v>
      </c>
      <c r="AH94" s="16">
        <v>0</v>
      </c>
      <c r="AI94" s="16">
        <v>1</v>
      </c>
      <c r="AJ94" s="5">
        <v>0</v>
      </c>
      <c r="AK94" s="5">
        <v>0</v>
      </c>
      <c r="AL94" s="5">
        <v>0</v>
      </c>
      <c r="AM94" s="20">
        <v>5</v>
      </c>
      <c r="AN94" s="20">
        <v>3</v>
      </c>
      <c r="AO94" s="16"/>
      <c r="AP94" s="16"/>
      <c r="AQ94" s="16"/>
      <c r="AR94" s="16">
        <v>0</v>
      </c>
      <c r="AS94" s="16">
        <v>0</v>
      </c>
      <c r="AT94" s="16"/>
      <c r="AU94" s="16"/>
      <c r="AV94" s="16"/>
      <c r="AW94" s="16"/>
      <c r="AX94" s="16">
        <v>0</v>
      </c>
      <c r="AY94" s="16">
        <v>0</v>
      </c>
      <c r="AZ94" s="16">
        <v>0</v>
      </c>
      <c r="BA94" s="16">
        <v>1</v>
      </c>
    </row>
    <row r="95" spans="1:53" x14ac:dyDescent="0.2">
      <c r="A95" s="14"/>
      <c r="B95" s="14" t="str">
        <f t="shared" si="23"/>
        <v>Peck &amp; Teisberg 1993</v>
      </c>
      <c r="C95" s="61">
        <f t="shared" si="24"/>
        <v>11</v>
      </c>
      <c r="D95" s="58">
        <v>1993</v>
      </c>
      <c r="E95" s="17"/>
      <c r="F95" s="58">
        <v>1</v>
      </c>
      <c r="G95" s="22">
        <v>1989</v>
      </c>
      <c r="H95" s="15">
        <f>LOOKUP(G95,CPI!A$69:A$100,CPI!O$69:O$100)</f>
        <v>1.7585161290322582</v>
      </c>
      <c r="I95" s="52">
        <v>2030</v>
      </c>
      <c r="J95" s="15">
        <f t="shared" ref="J95:J143" si="28">0.5/26</f>
        <v>1.9230769230769232E-2</v>
      </c>
      <c r="K95" s="59">
        <v>3.7037037037037035E-2</v>
      </c>
      <c r="L95" s="57">
        <f>(AA96/AA95)^(1/(I96-I95))-1</f>
        <v>1.5708417755646797E-2</v>
      </c>
      <c r="M95" s="56">
        <f>AA95*H95*(1+$L$2)^(2015-I95)</f>
        <v>24.543218781004448</v>
      </c>
      <c r="N95" s="14">
        <v>22.1</v>
      </c>
      <c r="O95" s="18">
        <f t="shared" si="20"/>
        <v>22.1</v>
      </c>
      <c r="P95" s="16">
        <v>0</v>
      </c>
      <c r="Q95" s="16">
        <v>1</v>
      </c>
      <c r="R95" s="16">
        <v>0</v>
      </c>
      <c r="S95" s="14"/>
      <c r="T95" s="56" t="str">
        <f t="shared" si="22"/>
        <v/>
      </c>
      <c r="U95" s="56" t="str">
        <f t="shared" si="26"/>
        <v/>
      </c>
      <c r="V95" s="56" t="str">
        <f t="shared" si="27"/>
        <v/>
      </c>
      <c r="W95" s="14"/>
      <c r="X95" s="14"/>
      <c r="Y95" s="14"/>
      <c r="Z95" s="14"/>
      <c r="AA95" s="18">
        <f t="shared" si="21"/>
        <v>22.1</v>
      </c>
      <c r="AB95" s="14"/>
      <c r="AC95" s="14"/>
      <c r="AD95" s="14"/>
      <c r="AE95" s="14"/>
      <c r="AF95" s="16">
        <v>0</v>
      </c>
      <c r="AG95" s="16">
        <v>1</v>
      </c>
      <c r="AH95" s="16">
        <v>0</v>
      </c>
      <c r="AI95" s="16">
        <v>1</v>
      </c>
      <c r="AJ95" s="5">
        <v>0</v>
      </c>
      <c r="AK95" s="5">
        <v>0</v>
      </c>
      <c r="AL95" s="5">
        <v>0</v>
      </c>
      <c r="AM95" s="20">
        <v>5</v>
      </c>
      <c r="AN95" s="20">
        <v>3</v>
      </c>
      <c r="AO95" s="16"/>
      <c r="AP95" s="16"/>
      <c r="AQ95" s="16"/>
      <c r="AR95" s="16">
        <v>0</v>
      </c>
      <c r="AS95" s="16">
        <v>0</v>
      </c>
      <c r="AT95" s="16"/>
      <c r="AU95" s="16"/>
      <c r="AV95" s="16"/>
      <c r="AW95" s="16"/>
      <c r="AX95" s="16">
        <v>0</v>
      </c>
      <c r="AY95" s="16">
        <v>0</v>
      </c>
      <c r="AZ95" s="16">
        <v>0</v>
      </c>
      <c r="BA95" s="16">
        <v>1</v>
      </c>
    </row>
    <row r="96" spans="1:53" x14ac:dyDescent="0.2">
      <c r="A96" s="14"/>
      <c r="B96" s="14" t="str">
        <f t="shared" si="23"/>
        <v>Peck &amp; Teisberg 1993</v>
      </c>
      <c r="C96" s="61">
        <f t="shared" si="24"/>
        <v>11</v>
      </c>
      <c r="D96" s="58">
        <v>1993</v>
      </c>
      <c r="E96" s="17"/>
      <c r="F96" s="58">
        <v>1</v>
      </c>
      <c r="G96" s="22">
        <v>1989</v>
      </c>
      <c r="H96" s="15">
        <f>LOOKUP(G96,CPI!A$69:A$100,CPI!O$69:O$100)</f>
        <v>1.7585161290322582</v>
      </c>
      <c r="I96" s="5">
        <v>2100</v>
      </c>
      <c r="J96" s="44">
        <v>0</v>
      </c>
      <c r="K96" s="44"/>
      <c r="L96" s="65"/>
      <c r="N96" s="3">
        <v>65.8</v>
      </c>
      <c r="O96" s="37">
        <f t="shared" si="20"/>
        <v>65.8</v>
      </c>
      <c r="P96" s="16">
        <v>0</v>
      </c>
      <c r="Q96" s="16">
        <v>1</v>
      </c>
      <c r="R96" s="16">
        <v>0</v>
      </c>
      <c r="S96" s="3"/>
      <c r="T96" s="56" t="str">
        <f t="shared" si="22"/>
        <v/>
      </c>
      <c r="U96" s="56" t="str">
        <f t="shared" si="26"/>
        <v/>
      </c>
      <c r="V96" s="56" t="str">
        <f t="shared" si="27"/>
        <v/>
      </c>
      <c r="W96" s="3"/>
      <c r="X96" s="3"/>
      <c r="Y96" s="3"/>
      <c r="Z96" s="3"/>
      <c r="AA96" s="37">
        <f t="shared" si="21"/>
        <v>65.8</v>
      </c>
      <c r="AB96" s="3"/>
      <c r="AC96" s="3"/>
      <c r="AD96" s="3"/>
      <c r="AE96" s="3"/>
      <c r="AF96" s="16">
        <v>0</v>
      </c>
      <c r="AG96" s="16">
        <v>1</v>
      </c>
      <c r="AH96" s="16">
        <v>0</v>
      </c>
      <c r="AI96" s="16">
        <v>1</v>
      </c>
      <c r="AJ96" s="5">
        <v>0</v>
      </c>
      <c r="AK96" s="5">
        <v>0</v>
      </c>
      <c r="AL96" s="5">
        <v>0</v>
      </c>
      <c r="AM96" s="20">
        <v>5</v>
      </c>
      <c r="AN96" s="20">
        <v>3</v>
      </c>
      <c r="AO96" s="16"/>
      <c r="AP96" s="16"/>
      <c r="AQ96" s="16"/>
      <c r="AR96" s="16">
        <v>0</v>
      </c>
      <c r="AS96" s="16">
        <v>0</v>
      </c>
      <c r="AT96" s="16"/>
      <c r="AU96" s="16"/>
      <c r="AV96" s="16"/>
      <c r="AW96" s="16"/>
      <c r="AX96" s="16">
        <v>0</v>
      </c>
      <c r="AY96" s="16">
        <v>0</v>
      </c>
      <c r="AZ96" s="16">
        <v>0</v>
      </c>
      <c r="BA96" s="16">
        <v>1</v>
      </c>
    </row>
    <row r="97" spans="1:53" x14ac:dyDescent="0.2">
      <c r="A97" s="14"/>
      <c r="B97" s="14" t="str">
        <f t="shared" si="23"/>
        <v>Peck &amp; Teisberg 1993</v>
      </c>
      <c r="C97" s="61">
        <f t="shared" si="24"/>
        <v>11</v>
      </c>
      <c r="D97" s="58">
        <v>1993</v>
      </c>
      <c r="E97" s="17"/>
      <c r="F97" s="58">
        <v>1</v>
      </c>
      <c r="G97" s="22">
        <v>1989</v>
      </c>
      <c r="H97" s="15">
        <f>LOOKUP(G97,CPI!A$69:A$100,CPI!O$69:O$100)</f>
        <v>1.7585161290322582</v>
      </c>
      <c r="I97" s="52">
        <v>2030</v>
      </c>
      <c r="J97" s="15">
        <f t="shared" si="28"/>
        <v>1.9230769230769232E-2</v>
      </c>
      <c r="K97" s="59">
        <v>3.7037037037037035E-2</v>
      </c>
      <c r="L97" s="57">
        <f>(AA98/AA97)^(1/(I98-I97))-1</f>
        <v>1.6152417924019336E-2</v>
      </c>
      <c r="M97" s="56">
        <f>AA97*H97*(1+$L$2)^(2015-I97)</f>
        <v>25.431661089819084</v>
      </c>
      <c r="N97" s="14">
        <v>22.9</v>
      </c>
      <c r="O97" s="18">
        <f t="shared" si="20"/>
        <v>22.9</v>
      </c>
      <c r="P97" s="16">
        <v>0</v>
      </c>
      <c r="Q97" s="16">
        <v>1</v>
      </c>
      <c r="R97" s="16">
        <v>0</v>
      </c>
      <c r="S97" s="14"/>
      <c r="T97" s="56" t="str">
        <f t="shared" si="22"/>
        <v/>
      </c>
      <c r="U97" s="56" t="str">
        <f t="shared" si="26"/>
        <v/>
      </c>
      <c r="V97" s="56" t="str">
        <f t="shared" si="27"/>
        <v/>
      </c>
      <c r="W97" s="14"/>
      <c r="X97" s="14"/>
      <c r="Y97" s="14"/>
      <c r="Z97" s="14"/>
      <c r="AA97" s="18">
        <f t="shared" si="21"/>
        <v>22.9</v>
      </c>
      <c r="AB97" s="14"/>
      <c r="AC97" s="14"/>
      <c r="AD97" s="14"/>
      <c r="AE97" s="14"/>
      <c r="AF97" s="16">
        <v>0</v>
      </c>
      <c r="AG97" s="16">
        <v>1</v>
      </c>
      <c r="AH97" s="16">
        <v>0</v>
      </c>
      <c r="AI97" s="16">
        <v>1</v>
      </c>
      <c r="AJ97" s="5">
        <v>0</v>
      </c>
      <c r="AK97" s="5">
        <v>0</v>
      </c>
      <c r="AL97" s="5">
        <v>0</v>
      </c>
      <c r="AM97" s="20">
        <v>5</v>
      </c>
      <c r="AN97" s="20">
        <v>3</v>
      </c>
      <c r="AO97" s="16"/>
      <c r="AP97" s="16"/>
      <c r="AQ97" s="16"/>
      <c r="AR97" s="16">
        <v>0</v>
      </c>
      <c r="AS97" s="16">
        <v>0</v>
      </c>
      <c r="AT97" s="16"/>
      <c r="AU97" s="16"/>
      <c r="AV97" s="16"/>
      <c r="AW97" s="16"/>
      <c r="AX97" s="16">
        <v>0</v>
      </c>
      <c r="AY97" s="16">
        <v>0</v>
      </c>
      <c r="AZ97" s="16">
        <v>0</v>
      </c>
      <c r="BA97" s="16">
        <v>1</v>
      </c>
    </row>
    <row r="98" spans="1:53" x14ac:dyDescent="0.2">
      <c r="A98" s="14"/>
      <c r="B98" s="14" t="str">
        <f t="shared" si="23"/>
        <v>Peck &amp; Teisberg 1993</v>
      </c>
      <c r="C98" s="61">
        <f t="shared" si="24"/>
        <v>11</v>
      </c>
      <c r="D98" s="58">
        <v>1993</v>
      </c>
      <c r="E98" s="17"/>
      <c r="F98" s="58">
        <v>1</v>
      </c>
      <c r="G98" s="22">
        <v>1989</v>
      </c>
      <c r="H98" s="15">
        <f>LOOKUP(G98,CPI!A$69:A$100,CPI!O$69:O$100)</f>
        <v>1.7585161290322582</v>
      </c>
      <c r="I98" s="5">
        <v>2100</v>
      </c>
      <c r="J98" s="44">
        <v>0</v>
      </c>
      <c r="K98" s="44"/>
      <c r="L98" s="65"/>
      <c r="N98" s="3">
        <v>70.3</v>
      </c>
      <c r="O98" s="37">
        <f t="shared" si="20"/>
        <v>70.3</v>
      </c>
      <c r="P98" s="16">
        <v>0</v>
      </c>
      <c r="Q98" s="16">
        <v>1</v>
      </c>
      <c r="R98" s="16">
        <v>0</v>
      </c>
      <c r="S98" s="3"/>
      <c r="T98" s="56" t="str">
        <f t="shared" si="22"/>
        <v/>
      </c>
      <c r="U98" s="56" t="str">
        <f t="shared" si="26"/>
        <v/>
      </c>
      <c r="V98" s="56" t="str">
        <f t="shared" si="27"/>
        <v/>
      </c>
      <c r="W98" s="3"/>
      <c r="X98" s="3"/>
      <c r="Y98" s="3"/>
      <c r="Z98" s="3"/>
      <c r="AA98" s="37">
        <f t="shared" si="21"/>
        <v>70.3</v>
      </c>
      <c r="AB98" s="3"/>
      <c r="AC98" s="3"/>
      <c r="AD98" s="3"/>
      <c r="AE98" s="3"/>
      <c r="AF98" s="16">
        <v>0</v>
      </c>
      <c r="AG98" s="16">
        <v>1</v>
      </c>
      <c r="AH98" s="16">
        <v>0</v>
      </c>
      <c r="AI98" s="16">
        <v>1</v>
      </c>
      <c r="AJ98" s="5">
        <v>0</v>
      </c>
      <c r="AK98" s="5">
        <v>0</v>
      </c>
      <c r="AL98" s="5">
        <v>0</v>
      </c>
      <c r="AM98" s="20">
        <v>5</v>
      </c>
      <c r="AN98" s="20">
        <v>3</v>
      </c>
      <c r="AO98" s="16"/>
      <c r="AP98" s="16"/>
      <c r="AQ98" s="16"/>
      <c r="AR98" s="16">
        <v>0</v>
      </c>
      <c r="AS98" s="16">
        <v>0</v>
      </c>
      <c r="AT98" s="16"/>
      <c r="AU98" s="16"/>
      <c r="AV98" s="16"/>
      <c r="AW98" s="16"/>
      <c r="AX98" s="16">
        <v>0</v>
      </c>
      <c r="AY98" s="16">
        <v>0</v>
      </c>
      <c r="AZ98" s="16">
        <v>0</v>
      </c>
      <c r="BA98" s="16">
        <v>1</v>
      </c>
    </row>
    <row r="99" spans="1:53" x14ac:dyDescent="0.2">
      <c r="A99" s="14"/>
      <c r="B99" s="14" t="str">
        <f t="shared" si="23"/>
        <v>Peck &amp; Teisberg 1993</v>
      </c>
      <c r="C99" s="61">
        <f t="shared" si="24"/>
        <v>11</v>
      </c>
      <c r="D99" s="58">
        <v>1993</v>
      </c>
      <c r="E99" s="17"/>
      <c r="F99" s="58">
        <v>1</v>
      </c>
      <c r="G99" s="22">
        <v>1989</v>
      </c>
      <c r="H99" s="15">
        <f>LOOKUP(G99,CPI!A$69:A$100,CPI!O$69:O$100)</f>
        <v>1.7585161290322582</v>
      </c>
      <c r="I99" s="52">
        <v>2030</v>
      </c>
      <c r="J99" s="15">
        <f t="shared" si="28"/>
        <v>1.9230769230769232E-2</v>
      </c>
      <c r="K99" s="59">
        <v>3.7037037037037035E-2</v>
      </c>
      <c r="L99" s="57">
        <f>(AA100/AA99)^(1/(I100-I99))-1</f>
        <v>1.8152717291093579E-2</v>
      </c>
      <c r="M99" s="56">
        <f>AA99*H99*(1+$L$2)^(2015-I99)</f>
        <v>24.210052915198954</v>
      </c>
      <c r="N99" s="14">
        <v>21.8</v>
      </c>
      <c r="O99" s="18">
        <f t="shared" ref="O99:O130" si="29">N99</f>
        <v>21.8</v>
      </c>
      <c r="P99" s="16">
        <v>0</v>
      </c>
      <c r="Q99" s="16">
        <v>1</v>
      </c>
      <c r="R99" s="16">
        <v>0</v>
      </c>
      <c r="S99" s="14"/>
      <c r="T99" s="56" t="str">
        <f t="shared" si="22"/>
        <v/>
      </c>
      <c r="U99" s="56" t="str">
        <f t="shared" si="26"/>
        <v/>
      </c>
      <c r="V99" s="56" t="str">
        <f t="shared" si="27"/>
        <v/>
      </c>
      <c r="W99" s="14"/>
      <c r="X99" s="14"/>
      <c r="Y99" s="14"/>
      <c r="Z99" s="14"/>
      <c r="AA99" s="18">
        <f t="shared" ref="AA99:AA130" si="30">N99</f>
        <v>21.8</v>
      </c>
      <c r="AB99" s="14"/>
      <c r="AC99" s="14"/>
      <c r="AD99" s="14"/>
      <c r="AE99" s="14"/>
      <c r="AF99" s="16">
        <v>0</v>
      </c>
      <c r="AG99" s="16">
        <v>1</v>
      </c>
      <c r="AH99" s="16">
        <v>0</v>
      </c>
      <c r="AI99" s="16">
        <v>1</v>
      </c>
      <c r="AJ99" s="5">
        <v>0</v>
      </c>
      <c r="AK99" s="5">
        <v>0</v>
      </c>
      <c r="AL99" s="5">
        <v>0</v>
      </c>
      <c r="AM99" s="20">
        <v>5</v>
      </c>
      <c r="AN99" s="20">
        <v>3</v>
      </c>
      <c r="AO99" s="16"/>
      <c r="AP99" s="16"/>
      <c r="AQ99" s="16"/>
      <c r="AR99" s="16">
        <v>0</v>
      </c>
      <c r="AS99" s="16">
        <v>0</v>
      </c>
      <c r="AT99" s="16"/>
      <c r="AU99" s="16"/>
      <c r="AV99" s="16"/>
      <c r="AW99" s="16"/>
      <c r="AX99" s="16">
        <v>0</v>
      </c>
      <c r="AY99" s="16">
        <v>0</v>
      </c>
      <c r="AZ99" s="16">
        <v>0</v>
      </c>
      <c r="BA99" s="16">
        <v>1</v>
      </c>
    </row>
    <row r="100" spans="1:53" x14ac:dyDescent="0.2">
      <c r="A100" s="14"/>
      <c r="B100" s="14" t="str">
        <f t="shared" si="23"/>
        <v>Peck &amp; Teisberg 1993</v>
      </c>
      <c r="C100" s="61">
        <f t="shared" si="24"/>
        <v>11</v>
      </c>
      <c r="D100" s="58">
        <v>1993</v>
      </c>
      <c r="E100" s="17"/>
      <c r="F100" s="58">
        <v>1</v>
      </c>
      <c r="G100" s="22">
        <v>1989</v>
      </c>
      <c r="H100" s="15">
        <f>LOOKUP(G100,CPI!A$69:A$100,CPI!O$69:O$100)</f>
        <v>1.7585161290322582</v>
      </c>
      <c r="I100" s="5">
        <v>2100</v>
      </c>
      <c r="J100" s="44">
        <v>0</v>
      </c>
      <c r="K100" s="44"/>
      <c r="L100" s="65"/>
      <c r="N100" s="3">
        <v>76.8</v>
      </c>
      <c r="O100" s="37">
        <f t="shared" si="29"/>
        <v>76.8</v>
      </c>
      <c r="P100" s="16">
        <v>0</v>
      </c>
      <c r="Q100" s="16">
        <v>1</v>
      </c>
      <c r="R100" s="16">
        <v>0</v>
      </c>
      <c r="S100" s="3"/>
      <c r="T100" s="56" t="str">
        <f t="shared" si="22"/>
        <v/>
      </c>
      <c r="U100" s="56" t="str">
        <f t="shared" si="26"/>
        <v/>
      </c>
      <c r="V100" s="56" t="str">
        <f t="shared" si="27"/>
        <v/>
      </c>
      <c r="W100" s="3"/>
      <c r="X100" s="3"/>
      <c r="Y100" s="3"/>
      <c r="Z100" s="3"/>
      <c r="AA100" s="37">
        <f t="shared" si="30"/>
        <v>76.8</v>
      </c>
      <c r="AB100" s="3"/>
      <c r="AC100" s="3"/>
      <c r="AD100" s="3"/>
      <c r="AE100" s="3"/>
      <c r="AF100" s="16">
        <v>0</v>
      </c>
      <c r="AG100" s="16">
        <v>1</v>
      </c>
      <c r="AH100" s="16">
        <v>0</v>
      </c>
      <c r="AI100" s="16">
        <v>1</v>
      </c>
      <c r="AJ100" s="5">
        <v>0</v>
      </c>
      <c r="AK100" s="5">
        <v>0</v>
      </c>
      <c r="AL100" s="5">
        <v>0</v>
      </c>
      <c r="AM100" s="20">
        <v>5</v>
      </c>
      <c r="AN100" s="20">
        <v>3</v>
      </c>
      <c r="AO100" s="16"/>
      <c r="AP100" s="16"/>
      <c r="AQ100" s="16"/>
      <c r="AR100" s="16">
        <v>0</v>
      </c>
      <c r="AS100" s="16">
        <v>0</v>
      </c>
      <c r="AT100" s="16"/>
      <c r="AU100" s="16"/>
      <c r="AV100" s="16"/>
      <c r="AW100" s="16"/>
      <c r="AX100" s="16">
        <v>0</v>
      </c>
      <c r="AY100" s="16">
        <v>0</v>
      </c>
      <c r="AZ100" s="16">
        <v>0</v>
      </c>
      <c r="BA100" s="16">
        <v>1</v>
      </c>
    </row>
    <row r="101" spans="1:53" x14ac:dyDescent="0.2">
      <c r="A101" s="14"/>
      <c r="B101" s="14" t="str">
        <f t="shared" si="23"/>
        <v>Peck &amp; Teisberg 1993</v>
      </c>
      <c r="C101" s="61">
        <f t="shared" si="24"/>
        <v>11</v>
      </c>
      <c r="D101" s="58">
        <v>1993</v>
      </c>
      <c r="E101" s="17"/>
      <c r="F101" s="58">
        <v>1</v>
      </c>
      <c r="G101" s="22">
        <v>1989</v>
      </c>
      <c r="H101" s="15">
        <f>LOOKUP(G101,CPI!A$69:A$100,CPI!O$69:O$100)</f>
        <v>1.7585161290322582</v>
      </c>
      <c r="I101" s="52">
        <v>2030</v>
      </c>
      <c r="J101" s="15">
        <f t="shared" si="28"/>
        <v>1.9230769230769232E-2</v>
      </c>
      <c r="K101" s="59">
        <v>3.7037037037037035E-2</v>
      </c>
      <c r="L101" s="57">
        <f>(AA102/AA101)^(1/(I102-I101))-1</f>
        <v>1.5774425110088419E-2</v>
      </c>
      <c r="M101" s="56">
        <f>AA101*H101*(1+$L$2)^(2015-I101)</f>
        <v>24.543218781004448</v>
      </c>
      <c r="N101" s="14">
        <v>22.1</v>
      </c>
      <c r="O101" s="18">
        <f t="shared" si="29"/>
        <v>22.1</v>
      </c>
      <c r="P101" s="16">
        <v>0</v>
      </c>
      <c r="Q101" s="16">
        <v>1</v>
      </c>
      <c r="R101" s="16">
        <v>0</v>
      </c>
      <c r="S101" s="14"/>
      <c r="T101" s="56" t="str">
        <f t="shared" si="22"/>
        <v/>
      </c>
      <c r="U101" s="56" t="str">
        <f t="shared" si="26"/>
        <v/>
      </c>
      <c r="V101" s="56" t="str">
        <f t="shared" si="27"/>
        <v/>
      </c>
      <c r="W101" s="14"/>
      <c r="X101" s="14"/>
      <c r="Y101" s="14"/>
      <c r="Z101" s="14"/>
      <c r="AA101" s="18">
        <f t="shared" si="30"/>
        <v>22.1</v>
      </c>
      <c r="AB101" s="14"/>
      <c r="AC101" s="14"/>
      <c r="AD101" s="14"/>
      <c r="AE101" s="14"/>
      <c r="AF101" s="16">
        <v>0</v>
      </c>
      <c r="AG101" s="16">
        <v>1</v>
      </c>
      <c r="AH101" s="16">
        <v>0</v>
      </c>
      <c r="AI101" s="16">
        <v>1</v>
      </c>
      <c r="AJ101" s="5">
        <v>0</v>
      </c>
      <c r="AK101" s="5">
        <v>0</v>
      </c>
      <c r="AL101" s="5">
        <v>0</v>
      </c>
      <c r="AM101" s="20">
        <v>5</v>
      </c>
      <c r="AN101" s="20">
        <v>3</v>
      </c>
      <c r="AO101" s="16"/>
      <c r="AP101" s="16"/>
      <c r="AQ101" s="16"/>
      <c r="AR101" s="16">
        <v>0</v>
      </c>
      <c r="AS101" s="16">
        <v>0</v>
      </c>
      <c r="AT101" s="16"/>
      <c r="AU101" s="16"/>
      <c r="AV101" s="16"/>
      <c r="AW101" s="16"/>
      <c r="AX101" s="16">
        <v>0</v>
      </c>
      <c r="AY101" s="16">
        <v>0</v>
      </c>
      <c r="AZ101" s="16">
        <v>0</v>
      </c>
      <c r="BA101" s="16">
        <v>1</v>
      </c>
    </row>
    <row r="102" spans="1:53" x14ac:dyDescent="0.2">
      <c r="A102" s="14"/>
      <c r="B102" s="14" t="str">
        <f t="shared" si="23"/>
        <v>Peck &amp; Teisberg 1993</v>
      </c>
      <c r="C102" s="61">
        <f t="shared" si="24"/>
        <v>11</v>
      </c>
      <c r="D102" s="58">
        <v>1993</v>
      </c>
      <c r="E102" s="17"/>
      <c r="F102" s="58">
        <v>1</v>
      </c>
      <c r="G102" s="22">
        <v>1989</v>
      </c>
      <c r="H102" s="15">
        <f>LOOKUP(G102,CPI!A$69:A$100,CPI!O$69:O$100)</f>
        <v>1.7585161290322582</v>
      </c>
      <c r="I102" s="5">
        <v>2100</v>
      </c>
      <c r="J102" s="44">
        <v>0</v>
      </c>
      <c r="K102" s="44"/>
      <c r="L102" s="65"/>
      <c r="N102" s="3">
        <v>66.099999999999994</v>
      </c>
      <c r="O102" s="37">
        <f t="shared" si="29"/>
        <v>66.099999999999994</v>
      </c>
      <c r="P102" s="16">
        <v>0</v>
      </c>
      <c r="Q102" s="16">
        <v>1</v>
      </c>
      <c r="R102" s="16">
        <v>0</v>
      </c>
      <c r="S102" s="3"/>
      <c r="T102" s="56" t="str">
        <f t="shared" si="22"/>
        <v/>
      </c>
      <c r="U102" s="56" t="str">
        <f t="shared" si="26"/>
        <v/>
      </c>
      <c r="V102" s="56" t="str">
        <f t="shared" si="27"/>
        <v/>
      </c>
      <c r="W102" s="3"/>
      <c r="X102" s="3"/>
      <c r="Y102" s="3"/>
      <c r="Z102" s="3"/>
      <c r="AA102" s="37">
        <f t="shared" si="30"/>
        <v>66.099999999999994</v>
      </c>
      <c r="AB102" s="3"/>
      <c r="AC102" s="3"/>
      <c r="AD102" s="3"/>
      <c r="AE102" s="3"/>
      <c r="AF102" s="16">
        <v>0</v>
      </c>
      <c r="AG102" s="16">
        <v>1</v>
      </c>
      <c r="AH102" s="16">
        <v>0</v>
      </c>
      <c r="AI102" s="16">
        <v>1</v>
      </c>
      <c r="AJ102" s="5">
        <v>0</v>
      </c>
      <c r="AK102" s="5">
        <v>0</v>
      </c>
      <c r="AL102" s="5">
        <v>0</v>
      </c>
      <c r="AM102" s="20">
        <v>5</v>
      </c>
      <c r="AN102" s="20">
        <v>3</v>
      </c>
      <c r="AO102" s="16"/>
      <c r="AP102" s="16"/>
      <c r="AQ102" s="16"/>
      <c r="AR102" s="16">
        <v>0</v>
      </c>
      <c r="AS102" s="16">
        <v>0</v>
      </c>
      <c r="AT102" s="16"/>
      <c r="AU102" s="16"/>
      <c r="AV102" s="16"/>
      <c r="AW102" s="16"/>
      <c r="AX102" s="16">
        <v>0</v>
      </c>
      <c r="AY102" s="16">
        <v>0</v>
      </c>
      <c r="AZ102" s="16">
        <v>0</v>
      </c>
      <c r="BA102" s="16">
        <v>1</v>
      </c>
    </row>
    <row r="103" spans="1:53" x14ac:dyDescent="0.2">
      <c r="A103" s="14"/>
      <c r="B103" s="14" t="str">
        <f t="shared" si="23"/>
        <v>Peck &amp; Teisberg 1993</v>
      </c>
      <c r="C103" s="61">
        <f t="shared" si="24"/>
        <v>11</v>
      </c>
      <c r="D103" s="58">
        <v>1993</v>
      </c>
      <c r="E103" s="17"/>
      <c r="F103" s="58">
        <v>1</v>
      </c>
      <c r="G103" s="22">
        <v>1989</v>
      </c>
      <c r="H103" s="15">
        <f>LOOKUP(G103,CPI!A$69:A$100,CPI!O$69:O$100)</f>
        <v>1.7585161290322582</v>
      </c>
      <c r="I103" s="52">
        <v>2030</v>
      </c>
      <c r="J103" s="15">
        <f t="shared" si="28"/>
        <v>1.9230769230769232E-2</v>
      </c>
      <c r="K103" s="59">
        <v>3.7037037037037035E-2</v>
      </c>
      <c r="L103" s="57">
        <f>(AA104/AA103)^(1/(I104-I103))-1</f>
        <v>1.3512589345815673E-2</v>
      </c>
      <c r="M103" s="56">
        <f>AA103*H103*(1+$L$2)^(2015-I103)</f>
        <v>3.7758798124622222</v>
      </c>
      <c r="N103" s="14">
        <v>3.4</v>
      </c>
      <c r="O103" s="18">
        <f t="shared" si="29"/>
        <v>3.4</v>
      </c>
      <c r="P103" s="16">
        <v>0</v>
      </c>
      <c r="Q103" s="16">
        <v>1</v>
      </c>
      <c r="R103" s="16">
        <v>0</v>
      </c>
      <c r="S103" s="14"/>
      <c r="T103" s="56" t="str">
        <f t="shared" si="22"/>
        <v/>
      </c>
      <c r="U103" s="56" t="str">
        <f t="shared" si="26"/>
        <v/>
      </c>
      <c r="V103" s="56" t="str">
        <f t="shared" si="27"/>
        <v/>
      </c>
      <c r="W103" s="14"/>
      <c r="X103" s="14"/>
      <c r="Y103" s="14"/>
      <c r="Z103" s="14"/>
      <c r="AA103" s="18">
        <f t="shared" si="30"/>
        <v>3.4</v>
      </c>
      <c r="AB103" s="14"/>
      <c r="AC103" s="14"/>
      <c r="AD103" s="14"/>
      <c r="AE103" s="14"/>
      <c r="AF103" s="16">
        <v>0</v>
      </c>
      <c r="AG103" s="16">
        <v>1</v>
      </c>
      <c r="AH103" s="16">
        <v>0</v>
      </c>
      <c r="AI103" s="16">
        <v>1</v>
      </c>
      <c r="AJ103" s="5">
        <v>0</v>
      </c>
      <c r="AK103" s="5">
        <v>0</v>
      </c>
      <c r="AL103" s="5">
        <v>0</v>
      </c>
      <c r="AM103" s="20">
        <v>5</v>
      </c>
      <c r="AN103" s="20">
        <v>3</v>
      </c>
      <c r="AO103" s="16"/>
      <c r="AP103" s="16"/>
      <c r="AQ103" s="16"/>
      <c r="AR103" s="16">
        <v>0</v>
      </c>
      <c r="AS103" s="16">
        <v>0</v>
      </c>
      <c r="AT103" s="16"/>
      <c r="AU103" s="16"/>
      <c r="AV103" s="16"/>
      <c r="AW103" s="16"/>
      <c r="AX103" s="16">
        <v>0</v>
      </c>
      <c r="AY103" s="16">
        <v>0</v>
      </c>
      <c r="AZ103" s="16">
        <v>0</v>
      </c>
      <c r="BA103" s="16">
        <v>1</v>
      </c>
    </row>
    <row r="104" spans="1:53" x14ac:dyDescent="0.2">
      <c r="A104" s="14"/>
      <c r="B104" s="14" t="str">
        <f t="shared" si="23"/>
        <v>Peck &amp; Teisberg 1993</v>
      </c>
      <c r="C104" s="61">
        <f t="shared" si="24"/>
        <v>11</v>
      </c>
      <c r="D104" s="58">
        <v>1993</v>
      </c>
      <c r="E104" s="17"/>
      <c r="F104" s="58">
        <v>1</v>
      </c>
      <c r="G104" s="22">
        <v>1989</v>
      </c>
      <c r="H104" s="15">
        <f>LOOKUP(G104,CPI!A$69:A$100,CPI!O$69:O$100)</f>
        <v>1.7585161290322582</v>
      </c>
      <c r="I104" s="5">
        <v>2100</v>
      </c>
      <c r="J104" s="44">
        <v>0</v>
      </c>
      <c r="K104" s="44"/>
      <c r="L104" s="65"/>
      <c r="N104" s="3">
        <v>8.6999999999999993</v>
      </c>
      <c r="O104" s="37">
        <f t="shared" si="29"/>
        <v>8.6999999999999993</v>
      </c>
      <c r="P104" s="16">
        <v>0</v>
      </c>
      <c r="Q104" s="16">
        <v>1</v>
      </c>
      <c r="R104" s="16">
        <v>0</v>
      </c>
      <c r="S104" s="3"/>
      <c r="T104" s="56" t="str">
        <f t="shared" si="22"/>
        <v/>
      </c>
      <c r="U104" s="56" t="str">
        <f t="shared" si="26"/>
        <v/>
      </c>
      <c r="V104" s="56" t="str">
        <f t="shared" si="27"/>
        <v/>
      </c>
      <c r="W104" s="3"/>
      <c r="X104" s="3"/>
      <c r="Y104" s="3"/>
      <c r="Z104" s="3"/>
      <c r="AA104" s="37">
        <f t="shared" si="30"/>
        <v>8.6999999999999993</v>
      </c>
      <c r="AB104" s="3"/>
      <c r="AC104" s="3"/>
      <c r="AD104" s="3"/>
      <c r="AE104" s="3"/>
      <c r="AF104" s="16">
        <v>0</v>
      </c>
      <c r="AG104" s="16">
        <v>1</v>
      </c>
      <c r="AH104" s="16">
        <v>0</v>
      </c>
      <c r="AI104" s="16">
        <v>1</v>
      </c>
      <c r="AJ104" s="5">
        <v>0</v>
      </c>
      <c r="AK104" s="5">
        <v>0</v>
      </c>
      <c r="AL104" s="5">
        <v>0</v>
      </c>
      <c r="AM104" s="20">
        <v>5</v>
      </c>
      <c r="AN104" s="20">
        <v>3</v>
      </c>
      <c r="AO104" s="16"/>
      <c r="AP104" s="16"/>
      <c r="AQ104" s="16"/>
      <c r="AR104" s="16">
        <v>0</v>
      </c>
      <c r="AS104" s="16">
        <v>0</v>
      </c>
      <c r="AT104" s="16"/>
      <c r="AU104" s="16"/>
      <c r="AV104" s="16"/>
      <c r="AW104" s="16"/>
      <c r="AX104" s="16">
        <v>0</v>
      </c>
      <c r="AY104" s="16">
        <v>0</v>
      </c>
      <c r="AZ104" s="16">
        <v>0</v>
      </c>
      <c r="BA104" s="16">
        <v>1</v>
      </c>
    </row>
    <row r="105" spans="1:53" x14ac:dyDescent="0.2">
      <c r="A105" s="14"/>
      <c r="B105" s="14" t="str">
        <f t="shared" si="23"/>
        <v>Peck &amp; Teisberg 1993</v>
      </c>
      <c r="C105" s="61">
        <f t="shared" si="24"/>
        <v>11</v>
      </c>
      <c r="D105" s="58">
        <v>1993</v>
      </c>
      <c r="E105" s="17"/>
      <c r="F105" s="58">
        <v>1</v>
      </c>
      <c r="G105" s="22">
        <v>1989</v>
      </c>
      <c r="H105" s="15">
        <f>LOOKUP(G105,CPI!A$69:A$100,CPI!O$69:O$100)</f>
        <v>1.7585161290322582</v>
      </c>
      <c r="I105" s="52">
        <v>2030</v>
      </c>
      <c r="J105" s="15">
        <f t="shared" si="28"/>
        <v>1.9230769230769232E-2</v>
      </c>
      <c r="K105" s="59">
        <v>3.7037037037037035E-2</v>
      </c>
      <c r="L105" s="57">
        <f>(AA106/AA105)^(1/(I106-I105))-1</f>
        <v>1.5004639248692886E-2</v>
      </c>
      <c r="M105" s="56">
        <f>AA105*H105*(1+$L$2)^(2015-I105)</f>
        <v>6.1080408731006539</v>
      </c>
      <c r="N105" s="14">
        <v>5.5</v>
      </c>
      <c r="O105" s="18">
        <f t="shared" si="29"/>
        <v>5.5</v>
      </c>
      <c r="P105" s="16">
        <v>0</v>
      </c>
      <c r="Q105" s="16">
        <v>1</v>
      </c>
      <c r="R105" s="16">
        <v>0</v>
      </c>
      <c r="S105" s="14"/>
      <c r="T105" s="56" t="str">
        <f t="shared" si="22"/>
        <v/>
      </c>
      <c r="U105" s="56" t="str">
        <f t="shared" si="26"/>
        <v/>
      </c>
      <c r="V105" s="56" t="str">
        <f t="shared" si="27"/>
        <v/>
      </c>
      <c r="W105" s="14"/>
      <c r="X105" s="14"/>
      <c r="Y105" s="14"/>
      <c r="Z105" s="14"/>
      <c r="AA105" s="18">
        <f t="shared" si="30"/>
        <v>5.5</v>
      </c>
      <c r="AB105" s="14"/>
      <c r="AC105" s="14"/>
      <c r="AD105" s="14"/>
      <c r="AE105" s="14"/>
      <c r="AF105" s="16">
        <v>0</v>
      </c>
      <c r="AG105" s="16">
        <v>1</v>
      </c>
      <c r="AH105" s="16">
        <v>0</v>
      </c>
      <c r="AI105" s="16">
        <v>1</v>
      </c>
      <c r="AJ105" s="5">
        <v>0</v>
      </c>
      <c r="AK105" s="5">
        <v>0</v>
      </c>
      <c r="AL105" s="5">
        <v>0</v>
      </c>
      <c r="AM105" s="20">
        <v>5</v>
      </c>
      <c r="AN105" s="20">
        <v>3</v>
      </c>
      <c r="AO105" s="16"/>
      <c r="AP105" s="16"/>
      <c r="AQ105" s="16"/>
      <c r="AR105" s="16">
        <v>0</v>
      </c>
      <c r="AS105" s="16">
        <v>0</v>
      </c>
      <c r="AT105" s="16"/>
      <c r="AU105" s="16"/>
      <c r="AV105" s="16"/>
      <c r="AW105" s="16"/>
      <c r="AX105" s="16">
        <v>0</v>
      </c>
      <c r="AY105" s="16">
        <v>0</v>
      </c>
      <c r="AZ105" s="16">
        <v>0</v>
      </c>
      <c r="BA105" s="16">
        <v>1</v>
      </c>
    </row>
    <row r="106" spans="1:53" x14ac:dyDescent="0.2">
      <c r="A106" s="14"/>
      <c r="B106" s="14" t="str">
        <f t="shared" si="23"/>
        <v>Peck &amp; Teisberg 1993</v>
      </c>
      <c r="C106" s="61">
        <f t="shared" si="24"/>
        <v>11</v>
      </c>
      <c r="D106" s="58">
        <v>1993</v>
      </c>
      <c r="E106" s="17"/>
      <c r="F106" s="58">
        <v>1</v>
      </c>
      <c r="G106" s="22">
        <v>1989</v>
      </c>
      <c r="H106" s="15">
        <f>LOOKUP(G106,CPI!A$69:A$100,CPI!O$69:O$100)</f>
        <v>1.7585161290322582</v>
      </c>
      <c r="I106" s="5">
        <v>2100</v>
      </c>
      <c r="J106" s="44">
        <v>0</v>
      </c>
      <c r="K106" s="44"/>
      <c r="L106" s="65"/>
      <c r="N106" s="3">
        <v>15.6</v>
      </c>
      <c r="O106" s="37">
        <f t="shared" si="29"/>
        <v>15.6</v>
      </c>
      <c r="P106" s="16">
        <v>0</v>
      </c>
      <c r="Q106" s="16">
        <v>1</v>
      </c>
      <c r="R106" s="16">
        <v>0</v>
      </c>
      <c r="S106" s="3"/>
      <c r="T106" s="56" t="str">
        <f t="shared" si="22"/>
        <v/>
      </c>
      <c r="U106" s="56" t="str">
        <f t="shared" si="26"/>
        <v/>
      </c>
      <c r="V106" s="56" t="str">
        <f t="shared" si="27"/>
        <v/>
      </c>
      <c r="W106" s="3"/>
      <c r="X106" s="3"/>
      <c r="Y106" s="3"/>
      <c r="Z106" s="3"/>
      <c r="AA106" s="37">
        <f t="shared" si="30"/>
        <v>15.6</v>
      </c>
      <c r="AB106" s="3"/>
      <c r="AC106" s="3"/>
      <c r="AD106" s="3"/>
      <c r="AE106" s="3"/>
      <c r="AF106" s="16">
        <v>0</v>
      </c>
      <c r="AG106" s="16">
        <v>1</v>
      </c>
      <c r="AH106" s="16">
        <v>0</v>
      </c>
      <c r="AI106" s="16">
        <v>1</v>
      </c>
      <c r="AJ106" s="5">
        <v>0</v>
      </c>
      <c r="AK106" s="5">
        <v>0</v>
      </c>
      <c r="AL106" s="5">
        <v>0</v>
      </c>
      <c r="AM106" s="20">
        <v>5</v>
      </c>
      <c r="AN106" s="20">
        <v>3</v>
      </c>
      <c r="AO106" s="16"/>
      <c r="AP106" s="16"/>
      <c r="AQ106" s="16"/>
      <c r="AR106" s="16">
        <v>0</v>
      </c>
      <c r="AS106" s="16">
        <v>0</v>
      </c>
      <c r="AT106" s="16"/>
      <c r="AU106" s="16"/>
      <c r="AV106" s="16"/>
      <c r="AW106" s="16"/>
      <c r="AX106" s="16">
        <v>0</v>
      </c>
      <c r="AY106" s="16">
        <v>0</v>
      </c>
      <c r="AZ106" s="16">
        <v>0</v>
      </c>
      <c r="BA106" s="16">
        <v>1</v>
      </c>
    </row>
    <row r="107" spans="1:53" x14ac:dyDescent="0.2">
      <c r="A107" s="14"/>
      <c r="B107" s="14" t="str">
        <f t="shared" si="23"/>
        <v>Peck &amp; Teisberg 1993</v>
      </c>
      <c r="C107" s="61">
        <f t="shared" si="24"/>
        <v>11</v>
      </c>
      <c r="D107" s="58">
        <v>1993</v>
      </c>
      <c r="E107" s="17"/>
      <c r="F107" s="58">
        <v>1</v>
      </c>
      <c r="G107" s="22">
        <v>1989</v>
      </c>
      <c r="H107" s="15">
        <f>LOOKUP(G107,CPI!A$69:A$100,CPI!O$69:O$100)</f>
        <v>1.7585161290322582</v>
      </c>
      <c r="I107" s="52">
        <v>2030</v>
      </c>
      <c r="J107" s="15">
        <f t="shared" si="28"/>
        <v>1.9230769230769232E-2</v>
      </c>
      <c r="K107" s="59">
        <v>3.7037037037037035E-2</v>
      </c>
      <c r="L107" s="57">
        <f>(AA108/AA107)^(1/(I108-I107))-1</f>
        <v>5.6486338155408156E-3</v>
      </c>
      <c r="M107" s="56">
        <f>AA107*H107*(1+$L$2)^(2015-I107)</f>
        <v>13.326634632219609</v>
      </c>
      <c r="N107" s="14">
        <v>12</v>
      </c>
      <c r="O107" s="18">
        <f t="shared" si="29"/>
        <v>12</v>
      </c>
      <c r="P107" s="16">
        <v>0</v>
      </c>
      <c r="Q107" s="16">
        <v>1</v>
      </c>
      <c r="R107" s="16">
        <v>0</v>
      </c>
      <c r="S107" s="14"/>
      <c r="T107" s="56" t="str">
        <f t="shared" si="22"/>
        <v/>
      </c>
      <c r="U107" s="56" t="str">
        <f t="shared" si="26"/>
        <v/>
      </c>
      <c r="V107" s="56" t="str">
        <f t="shared" si="27"/>
        <v/>
      </c>
      <c r="W107" s="14"/>
      <c r="X107" s="14"/>
      <c r="Y107" s="14"/>
      <c r="Z107" s="14"/>
      <c r="AA107" s="18">
        <f t="shared" si="30"/>
        <v>12</v>
      </c>
      <c r="AB107" s="14"/>
      <c r="AC107" s="14"/>
      <c r="AD107" s="14"/>
      <c r="AE107" s="14"/>
      <c r="AF107" s="16">
        <v>0</v>
      </c>
      <c r="AG107" s="16">
        <v>1</v>
      </c>
      <c r="AH107" s="16">
        <v>0</v>
      </c>
      <c r="AI107" s="16">
        <v>1</v>
      </c>
      <c r="AJ107" s="5">
        <v>0</v>
      </c>
      <c r="AK107" s="5">
        <v>0</v>
      </c>
      <c r="AL107" s="5">
        <v>0</v>
      </c>
      <c r="AM107" s="20">
        <v>5</v>
      </c>
      <c r="AN107" s="20">
        <v>3</v>
      </c>
      <c r="AO107" s="16"/>
      <c r="AP107" s="16"/>
      <c r="AQ107" s="16"/>
      <c r="AR107" s="16">
        <v>0</v>
      </c>
      <c r="AS107" s="16">
        <v>0</v>
      </c>
      <c r="AT107" s="16"/>
      <c r="AU107" s="16"/>
      <c r="AV107" s="16"/>
      <c r="AW107" s="16"/>
      <c r="AX107" s="16">
        <v>0</v>
      </c>
      <c r="AY107" s="16">
        <v>0</v>
      </c>
      <c r="AZ107" s="16">
        <v>0</v>
      </c>
      <c r="BA107" s="16">
        <v>1</v>
      </c>
    </row>
    <row r="108" spans="1:53" x14ac:dyDescent="0.2">
      <c r="A108" s="14"/>
      <c r="B108" s="14" t="str">
        <f t="shared" si="23"/>
        <v>Peck &amp; Teisberg 1993</v>
      </c>
      <c r="C108" s="61">
        <f t="shared" si="24"/>
        <v>11</v>
      </c>
      <c r="D108" s="58">
        <v>1993</v>
      </c>
      <c r="E108" s="17"/>
      <c r="F108" s="58">
        <v>1</v>
      </c>
      <c r="G108" s="22">
        <v>1989</v>
      </c>
      <c r="H108" s="15">
        <f>LOOKUP(G108,CPI!A$69:A$100,CPI!O$69:O$100)</f>
        <v>1.7585161290322582</v>
      </c>
      <c r="I108" s="5">
        <v>2100</v>
      </c>
      <c r="J108" s="44">
        <v>0</v>
      </c>
      <c r="K108" s="44"/>
      <c r="L108" s="65"/>
      <c r="N108" s="3">
        <v>17.8</v>
      </c>
      <c r="O108" s="37">
        <f t="shared" si="29"/>
        <v>17.8</v>
      </c>
      <c r="P108" s="16">
        <v>0</v>
      </c>
      <c r="Q108" s="16">
        <v>1</v>
      </c>
      <c r="R108" s="16">
        <v>0</v>
      </c>
      <c r="S108" s="3"/>
      <c r="T108" s="56" t="str">
        <f t="shared" si="22"/>
        <v/>
      </c>
      <c r="U108" s="56" t="str">
        <f t="shared" si="26"/>
        <v/>
      </c>
      <c r="V108" s="56" t="str">
        <f t="shared" si="27"/>
        <v/>
      </c>
      <c r="W108" s="3"/>
      <c r="X108" s="3"/>
      <c r="Y108" s="3"/>
      <c r="Z108" s="3"/>
      <c r="AA108" s="37">
        <f t="shared" si="30"/>
        <v>17.8</v>
      </c>
      <c r="AB108" s="3"/>
      <c r="AC108" s="3"/>
      <c r="AD108" s="3"/>
      <c r="AE108" s="3"/>
      <c r="AF108" s="16">
        <v>0</v>
      </c>
      <c r="AG108" s="16">
        <v>1</v>
      </c>
      <c r="AH108" s="16">
        <v>0</v>
      </c>
      <c r="AI108" s="16">
        <v>1</v>
      </c>
      <c r="AJ108" s="5">
        <v>0</v>
      </c>
      <c r="AK108" s="5">
        <v>0</v>
      </c>
      <c r="AL108" s="5">
        <v>0</v>
      </c>
      <c r="AM108" s="20">
        <v>5</v>
      </c>
      <c r="AN108" s="20">
        <v>3</v>
      </c>
      <c r="AO108" s="16"/>
      <c r="AP108" s="16"/>
      <c r="AQ108" s="16"/>
      <c r="AR108" s="16">
        <v>0</v>
      </c>
      <c r="AS108" s="16">
        <v>0</v>
      </c>
      <c r="AT108" s="16"/>
      <c r="AU108" s="16"/>
      <c r="AV108" s="16"/>
      <c r="AW108" s="16"/>
      <c r="AX108" s="16">
        <v>0</v>
      </c>
      <c r="AY108" s="16">
        <v>0</v>
      </c>
      <c r="AZ108" s="16">
        <v>0</v>
      </c>
      <c r="BA108" s="16">
        <v>1</v>
      </c>
    </row>
    <row r="109" spans="1:53" x14ac:dyDescent="0.2">
      <c r="A109" s="14"/>
      <c r="B109" s="14" t="str">
        <f t="shared" si="23"/>
        <v>Peck &amp; Teisberg 1993</v>
      </c>
      <c r="C109" s="61">
        <f t="shared" si="24"/>
        <v>11</v>
      </c>
      <c r="D109" s="58">
        <v>1993</v>
      </c>
      <c r="E109" s="17"/>
      <c r="F109" s="58">
        <v>1</v>
      </c>
      <c r="G109" s="22">
        <v>1989</v>
      </c>
      <c r="H109" s="15">
        <f>LOOKUP(G109,CPI!A$69:A$100,CPI!O$69:O$100)</f>
        <v>1.7585161290322582</v>
      </c>
      <c r="I109" s="52">
        <v>2030</v>
      </c>
      <c r="J109" s="15">
        <f t="shared" si="28"/>
        <v>1.9230769230769232E-2</v>
      </c>
      <c r="K109" s="59">
        <v>3.7037037037037035E-2</v>
      </c>
      <c r="L109" s="57">
        <f>(AA110/AA109)^(1/(I110-I109))-1</f>
        <v>1.5028942302166559E-2</v>
      </c>
      <c r="M109" s="56">
        <f>AA109*H109*(1+$L$2)^(2015-I109)</f>
        <v>11.882915880395815</v>
      </c>
      <c r="N109" s="14">
        <v>10.7</v>
      </c>
      <c r="O109" s="18">
        <f t="shared" si="29"/>
        <v>10.7</v>
      </c>
      <c r="P109" s="16">
        <v>0</v>
      </c>
      <c r="Q109" s="16">
        <v>1</v>
      </c>
      <c r="R109" s="16">
        <v>0</v>
      </c>
      <c r="S109" s="14"/>
      <c r="T109" s="56" t="str">
        <f t="shared" si="22"/>
        <v/>
      </c>
      <c r="U109" s="56" t="str">
        <f t="shared" si="26"/>
        <v/>
      </c>
      <c r="V109" s="56" t="str">
        <f t="shared" si="27"/>
        <v/>
      </c>
      <c r="W109" s="14"/>
      <c r="X109" s="14"/>
      <c r="Y109" s="14"/>
      <c r="Z109" s="14"/>
      <c r="AA109" s="18">
        <f t="shared" si="30"/>
        <v>10.7</v>
      </c>
      <c r="AB109" s="14"/>
      <c r="AC109" s="14"/>
      <c r="AD109" s="14"/>
      <c r="AE109" s="14"/>
      <c r="AF109" s="16">
        <v>0</v>
      </c>
      <c r="AG109" s="16">
        <v>1</v>
      </c>
      <c r="AH109" s="16">
        <v>0</v>
      </c>
      <c r="AI109" s="16">
        <v>1</v>
      </c>
      <c r="AJ109" s="5">
        <v>0</v>
      </c>
      <c r="AK109" s="5">
        <v>0</v>
      </c>
      <c r="AL109" s="5">
        <v>0</v>
      </c>
      <c r="AM109" s="20">
        <v>5</v>
      </c>
      <c r="AN109" s="20">
        <v>3</v>
      </c>
      <c r="AO109" s="16"/>
      <c r="AP109" s="16"/>
      <c r="AQ109" s="16"/>
      <c r="AR109" s="16">
        <v>0</v>
      </c>
      <c r="AS109" s="16">
        <v>0</v>
      </c>
      <c r="AT109" s="16"/>
      <c r="AU109" s="16"/>
      <c r="AV109" s="16"/>
      <c r="AW109" s="16"/>
      <c r="AX109" s="16">
        <v>0</v>
      </c>
      <c r="AY109" s="16">
        <v>0</v>
      </c>
      <c r="AZ109" s="16">
        <v>0</v>
      </c>
      <c r="BA109" s="16">
        <v>1</v>
      </c>
    </row>
    <row r="110" spans="1:53" x14ac:dyDescent="0.2">
      <c r="A110" s="14"/>
      <c r="B110" s="14" t="str">
        <f t="shared" si="23"/>
        <v>Peck &amp; Teisberg 1993</v>
      </c>
      <c r="C110" s="61">
        <f t="shared" si="24"/>
        <v>11</v>
      </c>
      <c r="D110" s="58">
        <v>1993</v>
      </c>
      <c r="E110" s="17"/>
      <c r="F110" s="58">
        <v>1</v>
      </c>
      <c r="G110" s="22">
        <v>1989</v>
      </c>
      <c r="H110" s="15">
        <f>LOOKUP(G110,CPI!A$69:A$100,CPI!O$69:O$100)</f>
        <v>1.7585161290322582</v>
      </c>
      <c r="I110" s="5">
        <v>2100</v>
      </c>
      <c r="J110" s="44">
        <v>0</v>
      </c>
      <c r="K110" s="44"/>
      <c r="L110" s="65"/>
      <c r="N110" s="3">
        <v>30.4</v>
      </c>
      <c r="O110" s="37">
        <f t="shared" si="29"/>
        <v>30.4</v>
      </c>
      <c r="P110" s="16">
        <v>0</v>
      </c>
      <c r="Q110" s="16">
        <v>1</v>
      </c>
      <c r="R110" s="16">
        <v>0</v>
      </c>
      <c r="S110" s="3"/>
      <c r="T110" s="56" t="str">
        <f t="shared" si="22"/>
        <v/>
      </c>
      <c r="U110" s="56" t="str">
        <f t="shared" si="26"/>
        <v/>
      </c>
      <c r="V110" s="56" t="str">
        <f t="shared" si="27"/>
        <v/>
      </c>
      <c r="W110" s="3"/>
      <c r="X110" s="3"/>
      <c r="Y110" s="3"/>
      <c r="Z110" s="3"/>
      <c r="AA110" s="37">
        <f t="shared" si="30"/>
        <v>30.4</v>
      </c>
      <c r="AB110" s="3"/>
      <c r="AC110" s="3"/>
      <c r="AD110" s="3"/>
      <c r="AE110" s="3"/>
      <c r="AF110" s="16">
        <v>0</v>
      </c>
      <c r="AG110" s="16">
        <v>1</v>
      </c>
      <c r="AH110" s="16">
        <v>0</v>
      </c>
      <c r="AI110" s="16">
        <v>1</v>
      </c>
      <c r="AJ110" s="5">
        <v>0</v>
      </c>
      <c r="AK110" s="5">
        <v>0</v>
      </c>
      <c r="AL110" s="5">
        <v>0</v>
      </c>
      <c r="AM110" s="20">
        <v>5</v>
      </c>
      <c r="AN110" s="20">
        <v>3</v>
      </c>
      <c r="AO110" s="16"/>
      <c r="AP110" s="16"/>
      <c r="AQ110" s="16"/>
      <c r="AR110" s="16">
        <v>0</v>
      </c>
      <c r="AS110" s="16">
        <v>0</v>
      </c>
      <c r="AT110" s="16"/>
      <c r="AU110" s="16"/>
      <c r="AV110" s="16"/>
      <c r="AW110" s="16"/>
      <c r="AX110" s="16">
        <v>0</v>
      </c>
      <c r="AY110" s="16">
        <v>0</v>
      </c>
      <c r="AZ110" s="16">
        <v>0</v>
      </c>
      <c r="BA110" s="16">
        <v>1</v>
      </c>
    </row>
    <row r="111" spans="1:53" x14ac:dyDescent="0.2">
      <c r="A111" s="14"/>
      <c r="B111" s="14" t="str">
        <f t="shared" si="23"/>
        <v>Peck &amp; Teisberg 1993</v>
      </c>
      <c r="C111" s="61">
        <f t="shared" si="24"/>
        <v>11</v>
      </c>
      <c r="D111" s="58">
        <v>1993</v>
      </c>
      <c r="E111" s="17"/>
      <c r="F111" s="58">
        <v>1</v>
      </c>
      <c r="G111" s="22">
        <v>1989</v>
      </c>
      <c r="H111" s="15">
        <f>LOOKUP(G111,CPI!A$69:A$100,CPI!O$69:O$100)</f>
        <v>1.7585161290322582</v>
      </c>
      <c r="I111" s="52">
        <v>2030</v>
      </c>
      <c r="J111" s="15">
        <f t="shared" si="28"/>
        <v>1.9230769230769232E-2</v>
      </c>
      <c r="K111" s="59">
        <v>3.7037037037037035E-2</v>
      </c>
      <c r="L111" s="57">
        <f>(AA112/AA111)^(1/(I112-I111))-1</f>
        <v>1.6019491245115036E-2</v>
      </c>
      <c r="M111" s="56">
        <f>AA111*H111*(1+$L$2)^(2015-I111)</f>
        <v>21.211560122949543</v>
      </c>
      <c r="N111" s="14">
        <v>19.100000000000001</v>
      </c>
      <c r="O111" s="18">
        <f t="shared" si="29"/>
        <v>19.100000000000001</v>
      </c>
      <c r="P111" s="16">
        <v>0</v>
      </c>
      <c r="Q111" s="16">
        <v>1</v>
      </c>
      <c r="R111" s="16">
        <v>0</v>
      </c>
      <c r="S111" s="14"/>
      <c r="T111" s="56" t="str">
        <f t="shared" si="22"/>
        <v/>
      </c>
      <c r="U111" s="56" t="str">
        <f t="shared" si="26"/>
        <v/>
      </c>
      <c r="V111" s="56" t="str">
        <f t="shared" si="27"/>
        <v/>
      </c>
      <c r="W111" s="14"/>
      <c r="X111" s="14"/>
      <c r="Y111" s="14"/>
      <c r="Z111" s="14"/>
      <c r="AA111" s="18">
        <f t="shared" si="30"/>
        <v>19.100000000000001</v>
      </c>
      <c r="AB111" s="14"/>
      <c r="AC111" s="14"/>
      <c r="AD111" s="14"/>
      <c r="AE111" s="14"/>
      <c r="AF111" s="16">
        <v>0</v>
      </c>
      <c r="AG111" s="16">
        <v>1</v>
      </c>
      <c r="AH111" s="16">
        <v>0</v>
      </c>
      <c r="AI111" s="16">
        <v>1</v>
      </c>
      <c r="AJ111" s="5">
        <v>0</v>
      </c>
      <c r="AK111" s="5">
        <v>0</v>
      </c>
      <c r="AL111" s="5">
        <v>0</v>
      </c>
      <c r="AM111" s="20">
        <v>5</v>
      </c>
      <c r="AN111" s="20">
        <v>3</v>
      </c>
      <c r="AO111" s="16"/>
      <c r="AP111" s="16"/>
      <c r="AQ111" s="16"/>
      <c r="AR111" s="16">
        <v>0</v>
      </c>
      <c r="AS111" s="16">
        <v>0</v>
      </c>
      <c r="AT111" s="16"/>
      <c r="AU111" s="16"/>
      <c r="AV111" s="16"/>
      <c r="AW111" s="16"/>
      <c r="AX111" s="16">
        <v>0</v>
      </c>
      <c r="AY111" s="16">
        <v>0</v>
      </c>
      <c r="AZ111" s="16">
        <v>0</v>
      </c>
      <c r="BA111" s="16">
        <v>1</v>
      </c>
    </row>
    <row r="112" spans="1:53" x14ac:dyDescent="0.2">
      <c r="A112" s="14"/>
      <c r="B112" s="14" t="str">
        <f t="shared" si="23"/>
        <v>Peck &amp; Teisberg 1993</v>
      </c>
      <c r="C112" s="61">
        <f t="shared" si="24"/>
        <v>11</v>
      </c>
      <c r="D112" s="58">
        <v>1993</v>
      </c>
      <c r="E112" s="17"/>
      <c r="F112" s="58">
        <v>1</v>
      </c>
      <c r="G112" s="22">
        <v>1989</v>
      </c>
      <c r="H112" s="15">
        <f>LOOKUP(G112,CPI!A$69:A$100,CPI!O$69:O$100)</f>
        <v>1.7585161290322582</v>
      </c>
      <c r="I112" s="5">
        <v>2100</v>
      </c>
      <c r="J112" s="44">
        <v>0</v>
      </c>
      <c r="K112" s="44"/>
      <c r="L112" s="65"/>
      <c r="N112" s="3">
        <v>58.1</v>
      </c>
      <c r="O112" s="37">
        <f t="shared" si="29"/>
        <v>58.1</v>
      </c>
      <c r="P112" s="16">
        <v>0</v>
      </c>
      <c r="Q112" s="16">
        <v>1</v>
      </c>
      <c r="R112" s="16">
        <v>0</v>
      </c>
      <c r="S112" s="3"/>
      <c r="T112" s="56" t="str">
        <f t="shared" si="22"/>
        <v/>
      </c>
      <c r="U112" s="56" t="str">
        <f t="shared" si="26"/>
        <v/>
      </c>
      <c r="V112" s="56" t="str">
        <f t="shared" si="27"/>
        <v/>
      </c>
      <c r="W112" s="3"/>
      <c r="X112" s="3"/>
      <c r="Y112" s="3"/>
      <c r="Z112" s="3"/>
      <c r="AA112" s="37">
        <f t="shared" si="30"/>
        <v>58.1</v>
      </c>
      <c r="AB112" s="3"/>
      <c r="AC112" s="3"/>
      <c r="AD112" s="3"/>
      <c r="AE112" s="3"/>
      <c r="AF112" s="16">
        <v>0</v>
      </c>
      <c r="AG112" s="16">
        <v>1</v>
      </c>
      <c r="AH112" s="16">
        <v>0</v>
      </c>
      <c r="AI112" s="16">
        <v>1</v>
      </c>
      <c r="AJ112" s="5">
        <v>0</v>
      </c>
      <c r="AK112" s="5">
        <v>0</v>
      </c>
      <c r="AL112" s="5">
        <v>0</v>
      </c>
      <c r="AM112" s="20">
        <v>5</v>
      </c>
      <c r="AN112" s="20">
        <v>3</v>
      </c>
      <c r="AO112" s="16"/>
      <c r="AP112" s="16"/>
      <c r="AQ112" s="16"/>
      <c r="AR112" s="16">
        <v>0</v>
      </c>
      <c r="AS112" s="16">
        <v>0</v>
      </c>
      <c r="AT112" s="16"/>
      <c r="AU112" s="16"/>
      <c r="AV112" s="16"/>
      <c r="AW112" s="16"/>
      <c r="AX112" s="16">
        <v>0</v>
      </c>
      <c r="AY112" s="16">
        <v>0</v>
      </c>
      <c r="AZ112" s="16">
        <v>0</v>
      </c>
      <c r="BA112" s="16">
        <v>1</v>
      </c>
    </row>
    <row r="113" spans="1:53" x14ac:dyDescent="0.2">
      <c r="A113" s="14"/>
      <c r="B113" s="14" t="str">
        <f t="shared" si="23"/>
        <v>Peck &amp; Teisberg 1993</v>
      </c>
      <c r="C113" s="61">
        <f t="shared" si="24"/>
        <v>11</v>
      </c>
      <c r="D113" s="58">
        <v>1993</v>
      </c>
      <c r="E113" s="17"/>
      <c r="F113" s="58">
        <v>1</v>
      </c>
      <c r="G113" s="22">
        <v>1989</v>
      </c>
      <c r="H113" s="15">
        <f>LOOKUP(G113,CPI!A$69:A$100,CPI!O$69:O$100)</f>
        <v>1.7585161290322582</v>
      </c>
      <c r="I113" s="52">
        <v>2030</v>
      </c>
      <c r="J113" s="15">
        <f t="shared" si="28"/>
        <v>1.9230769230769232E-2</v>
      </c>
      <c r="K113" s="59">
        <v>3.7037037037037035E-2</v>
      </c>
      <c r="L113" s="57">
        <f>(AA114/AA113)^(1/(I114-I113))-1</f>
        <v>1.6240451583114712E-2</v>
      </c>
      <c r="M113" s="56">
        <f>AA113*H113*(1+$L$2)^(2015-I113)</f>
        <v>21.322615411551372</v>
      </c>
      <c r="N113" s="14">
        <v>19.2</v>
      </c>
      <c r="O113" s="18">
        <f t="shared" si="29"/>
        <v>19.2</v>
      </c>
      <c r="P113" s="16">
        <v>0</v>
      </c>
      <c r="Q113" s="16">
        <v>1</v>
      </c>
      <c r="R113" s="16">
        <v>0</v>
      </c>
      <c r="S113" s="14"/>
      <c r="T113" s="56" t="str">
        <f t="shared" si="22"/>
        <v/>
      </c>
      <c r="U113" s="56" t="str">
        <f t="shared" si="26"/>
        <v/>
      </c>
      <c r="V113" s="56" t="str">
        <f t="shared" si="27"/>
        <v/>
      </c>
      <c r="W113" s="14"/>
      <c r="X113" s="14"/>
      <c r="Y113" s="14"/>
      <c r="Z113" s="14"/>
      <c r="AA113" s="18">
        <f t="shared" si="30"/>
        <v>19.2</v>
      </c>
      <c r="AB113" s="14"/>
      <c r="AC113" s="14"/>
      <c r="AD113" s="14"/>
      <c r="AE113" s="14"/>
      <c r="AF113" s="16">
        <v>0</v>
      </c>
      <c r="AG113" s="16">
        <v>1</v>
      </c>
      <c r="AH113" s="16">
        <v>0</v>
      </c>
      <c r="AI113" s="16">
        <v>1</v>
      </c>
      <c r="AJ113" s="5">
        <v>0</v>
      </c>
      <c r="AK113" s="5">
        <v>0</v>
      </c>
      <c r="AL113" s="5">
        <v>0</v>
      </c>
      <c r="AM113" s="20">
        <v>5</v>
      </c>
      <c r="AN113" s="20">
        <v>3</v>
      </c>
      <c r="AO113" s="16"/>
      <c r="AP113" s="16"/>
      <c r="AQ113" s="16"/>
      <c r="AR113" s="16">
        <v>0</v>
      </c>
      <c r="AS113" s="16">
        <v>0</v>
      </c>
      <c r="AT113" s="16"/>
      <c r="AU113" s="16"/>
      <c r="AV113" s="16"/>
      <c r="AW113" s="16"/>
      <c r="AX113" s="16">
        <v>0</v>
      </c>
      <c r="AY113" s="16">
        <v>0</v>
      </c>
      <c r="AZ113" s="16">
        <v>0</v>
      </c>
      <c r="BA113" s="16">
        <v>1</v>
      </c>
    </row>
    <row r="114" spans="1:53" x14ac:dyDescent="0.2">
      <c r="A114" s="14"/>
      <c r="B114" s="14" t="str">
        <f t="shared" si="23"/>
        <v>Peck &amp; Teisberg 1993</v>
      </c>
      <c r="C114" s="61">
        <f t="shared" si="24"/>
        <v>11</v>
      </c>
      <c r="D114" s="58">
        <v>1993</v>
      </c>
      <c r="E114" s="17"/>
      <c r="F114" s="58">
        <v>1</v>
      </c>
      <c r="G114" s="22">
        <v>1989</v>
      </c>
      <c r="H114" s="15">
        <f>LOOKUP(G114,CPI!A$69:A$100,CPI!O$69:O$100)</f>
        <v>1.7585161290322582</v>
      </c>
      <c r="I114" s="5">
        <v>2100</v>
      </c>
      <c r="J114" s="44">
        <v>0</v>
      </c>
      <c r="K114" s="44"/>
      <c r="L114" s="65"/>
      <c r="N114" s="3">
        <v>59.3</v>
      </c>
      <c r="O114" s="37">
        <f t="shared" si="29"/>
        <v>59.3</v>
      </c>
      <c r="P114" s="16">
        <v>0</v>
      </c>
      <c r="Q114" s="16">
        <v>1</v>
      </c>
      <c r="R114" s="16">
        <v>0</v>
      </c>
      <c r="S114" s="3"/>
      <c r="T114" s="56" t="str">
        <f t="shared" si="22"/>
        <v/>
      </c>
      <c r="U114" s="56" t="str">
        <f t="shared" ref="U114:U145" si="31">+V114</f>
        <v/>
      </c>
      <c r="V114" s="56" t="str">
        <f t="shared" ref="V114:V145" si="32">+T114</f>
        <v/>
      </c>
      <c r="W114" s="3"/>
      <c r="X114" s="3"/>
      <c r="Y114" s="3"/>
      <c r="Z114" s="3"/>
      <c r="AA114" s="37">
        <f t="shared" si="30"/>
        <v>59.3</v>
      </c>
      <c r="AB114" s="3"/>
      <c r="AC114" s="3"/>
      <c r="AD114" s="3"/>
      <c r="AE114" s="3"/>
      <c r="AF114" s="16">
        <v>0</v>
      </c>
      <c r="AG114" s="16">
        <v>1</v>
      </c>
      <c r="AH114" s="16">
        <v>0</v>
      </c>
      <c r="AI114" s="16">
        <v>1</v>
      </c>
      <c r="AJ114" s="5">
        <v>0</v>
      </c>
      <c r="AK114" s="5">
        <v>0</v>
      </c>
      <c r="AL114" s="5">
        <v>0</v>
      </c>
      <c r="AM114" s="20">
        <v>5</v>
      </c>
      <c r="AN114" s="20">
        <v>3</v>
      </c>
      <c r="AO114" s="16"/>
      <c r="AP114" s="16"/>
      <c r="AQ114" s="16"/>
      <c r="AR114" s="16">
        <v>0</v>
      </c>
      <c r="AS114" s="16">
        <v>0</v>
      </c>
      <c r="AT114" s="16"/>
      <c r="AU114" s="16"/>
      <c r="AV114" s="16"/>
      <c r="AW114" s="16"/>
      <c r="AX114" s="16">
        <v>0</v>
      </c>
      <c r="AY114" s="16">
        <v>0</v>
      </c>
      <c r="AZ114" s="16">
        <v>0</v>
      </c>
      <c r="BA114" s="16">
        <v>1</v>
      </c>
    </row>
    <row r="115" spans="1:53" x14ac:dyDescent="0.2">
      <c r="A115" s="14"/>
      <c r="B115" s="14" t="str">
        <f t="shared" si="23"/>
        <v>Peck &amp; Teisberg 1993</v>
      </c>
      <c r="C115" s="61">
        <f t="shared" si="24"/>
        <v>11</v>
      </c>
      <c r="D115" s="58">
        <v>1993</v>
      </c>
      <c r="E115" s="17"/>
      <c r="F115" s="58">
        <v>1</v>
      </c>
      <c r="G115" s="22">
        <v>1989</v>
      </c>
      <c r="H115" s="15">
        <f>LOOKUP(G115,CPI!A$69:A$100,CPI!O$69:O$100)</f>
        <v>1.7585161290322582</v>
      </c>
      <c r="I115" s="52">
        <v>2030</v>
      </c>
      <c r="J115" s="15">
        <f t="shared" si="28"/>
        <v>1.9230769230769232E-2</v>
      </c>
      <c r="K115" s="59">
        <v>3.7037037037037035E-2</v>
      </c>
      <c r="L115" s="57">
        <f>(AA116/AA115)^(1/(I116-I115))-1</f>
        <v>1.2070572143270342E-2</v>
      </c>
      <c r="M115" s="56">
        <f>AA115*H115*(1+$L$2)^(2015-I115)</f>
        <v>19.323620216718428</v>
      </c>
      <c r="N115" s="14">
        <v>17.399999999999999</v>
      </c>
      <c r="O115" s="18">
        <f t="shared" si="29"/>
        <v>17.399999999999999</v>
      </c>
      <c r="P115" s="16">
        <v>0</v>
      </c>
      <c r="Q115" s="16">
        <v>1</v>
      </c>
      <c r="R115" s="16">
        <v>0</v>
      </c>
      <c r="S115" s="14"/>
      <c r="T115" s="56" t="str">
        <f t="shared" si="22"/>
        <v/>
      </c>
      <c r="U115" s="56" t="str">
        <f t="shared" si="31"/>
        <v/>
      </c>
      <c r="V115" s="56" t="str">
        <f t="shared" si="32"/>
        <v/>
      </c>
      <c r="W115" s="14"/>
      <c r="X115" s="14"/>
      <c r="Y115" s="14"/>
      <c r="Z115" s="14"/>
      <c r="AA115" s="18">
        <f t="shared" si="30"/>
        <v>17.399999999999999</v>
      </c>
      <c r="AB115" s="14"/>
      <c r="AC115" s="14"/>
      <c r="AD115" s="14"/>
      <c r="AE115" s="14"/>
      <c r="AF115" s="16">
        <v>0</v>
      </c>
      <c r="AG115" s="16">
        <v>1</v>
      </c>
      <c r="AH115" s="16">
        <v>0</v>
      </c>
      <c r="AI115" s="16">
        <v>1</v>
      </c>
      <c r="AJ115" s="5">
        <v>0</v>
      </c>
      <c r="AK115" s="5">
        <v>0</v>
      </c>
      <c r="AL115" s="5">
        <v>0</v>
      </c>
      <c r="AM115" s="20">
        <v>5</v>
      </c>
      <c r="AN115" s="20">
        <v>3</v>
      </c>
      <c r="AO115" s="16"/>
      <c r="AP115" s="16"/>
      <c r="AQ115" s="16"/>
      <c r="AR115" s="16">
        <v>0</v>
      </c>
      <c r="AS115" s="16">
        <v>0</v>
      </c>
      <c r="AT115" s="16"/>
      <c r="AU115" s="16"/>
      <c r="AV115" s="16"/>
      <c r="AW115" s="16"/>
      <c r="AX115" s="16">
        <v>0</v>
      </c>
      <c r="AY115" s="16">
        <v>0</v>
      </c>
      <c r="AZ115" s="16">
        <v>0</v>
      </c>
      <c r="BA115" s="16">
        <v>1</v>
      </c>
    </row>
    <row r="116" spans="1:53" x14ac:dyDescent="0.2">
      <c r="A116" s="14"/>
      <c r="B116" s="14" t="str">
        <f t="shared" si="23"/>
        <v>Peck &amp; Teisberg 1993</v>
      </c>
      <c r="C116" s="61">
        <f t="shared" si="24"/>
        <v>11</v>
      </c>
      <c r="D116" s="58">
        <v>1993</v>
      </c>
      <c r="E116" s="17"/>
      <c r="F116" s="58">
        <v>1</v>
      </c>
      <c r="G116" s="22">
        <v>1989</v>
      </c>
      <c r="H116" s="15">
        <f>LOOKUP(G116,CPI!A$69:A$100,CPI!O$69:O$100)</f>
        <v>1.7585161290322582</v>
      </c>
      <c r="I116" s="5">
        <v>2100</v>
      </c>
      <c r="J116" s="44">
        <v>0</v>
      </c>
      <c r="K116" s="44"/>
      <c r="L116" s="65"/>
      <c r="N116" s="3">
        <v>40.299999999999997</v>
      </c>
      <c r="O116" s="37">
        <f t="shared" si="29"/>
        <v>40.299999999999997</v>
      </c>
      <c r="P116" s="16">
        <v>0</v>
      </c>
      <c r="Q116" s="16">
        <v>1</v>
      </c>
      <c r="R116" s="16">
        <v>0</v>
      </c>
      <c r="S116" s="3"/>
      <c r="T116" s="56" t="str">
        <f t="shared" si="22"/>
        <v/>
      </c>
      <c r="U116" s="56" t="str">
        <f t="shared" si="31"/>
        <v/>
      </c>
      <c r="V116" s="56" t="str">
        <f t="shared" si="32"/>
        <v/>
      </c>
      <c r="W116" s="3"/>
      <c r="X116" s="3"/>
      <c r="Y116" s="3"/>
      <c r="Z116" s="3"/>
      <c r="AA116" s="37">
        <f t="shared" si="30"/>
        <v>40.299999999999997</v>
      </c>
      <c r="AB116" s="3"/>
      <c r="AC116" s="3"/>
      <c r="AD116" s="3"/>
      <c r="AE116" s="3"/>
      <c r="AF116" s="16">
        <v>0</v>
      </c>
      <c r="AG116" s="16">
        <v>1</v>
      </c>
      <c r="AH116" s="16">
        <v>0</v>
      </c>
      <c r="AI116" s="16">
        <v>1</v>
      </c>
      <c r="AJ116" s="5">
        <v>0</v>
      </c>
      <c r="AK116" s="5">
        <v>0</v>
      </c>
      <c r="AL116" s="5">
        <v>0</v>
      </c>
      <c r="AM116" s="20">
        <v>5</v>
      </c>
      <c r="AN116" s="20">
        <v>3</v>
      </c>
      <c r="AO116" s="16"/>
      <c r="AP116" s="16"/>
      <c r="AQ116" s="16"/>
      <c r="AR116" s="16">
        <v>0</v>
      </c>
      <c r="AS116" s="16">
        <v>0</v>
      </c>
      <c r="AT116" s="16"/>
      <c r="AU116" s="16"/>
      <c r="AV116" s="16"/>
      <c r="AW116" s="16"/>
      <c r="AX116" s="16">
        <v>0</v>
      </c>
      <c r="AY116" s="16">
        <v>0</v>
      </c>
      <c r="AZ116" s="16">
        <v>0</v>
      </c>
      <c r="BA116" s="16">
        <v>1</v>
      </c>
    </row>
    <row r="117" spans="1:53" x14ac:dyDescent="0.2">
      <c r="A117" s="14"/>
      <c r="B117" s="14" t="str">
        <f t="shared" si="23"/>
        <v>Peck &amp; Teisberg 1993</v>
      </c>
      <c r="C117" s="61">
        <f t="shared" si="24"/>
        <v>11</v>
      </c>
      <c r="D117" s="58">
        <v>1993</v>
      </c>
      <c r="E117" s="17"/>
      <c r="F117" s="58">
        <v>1</v>
      </c>
      <c r="G117" s="22">
        <v>1989</v>
      </c>
      <c r="H117" s="15">
        <f>LOOKUP(G117,CPI!A$69:A$100,CPI!O$69:O$100)</f>
        <v>1.7585161290322582</v>
      </c>
      <c r="I117" s="52">
        <v>2030</v>
      </c>
      <c r="J117" s="15">
        <f t="shared" si="28"/>
        <v>1.9230769230769232E-2</v>
      </c>
      <c r="K117" s="59">
        <v>3.7037037037037035E-2</v>
      </c>
      <c r="L117" s="57">
        <f>(AA118/AA117)^(1/(I118-I117))-1</f>
        <v>1.5167617133759137E-2</v>
      </c>
      <c r="M117" s="56">
        <f>AA117*H117*(1+$L$2)^(2015-I117)</f>
        <v>25.320605801217255</v>
      </c>
      <c r="N117" s="14">
        <v>22.8</v>
      </c>
      <c r="O117" s="18">
        <f t="shared" si="29"/>
        <v>22.8</v>
      </c>
      <c r="P117" s="16">
        <v>0</v>
      </c>
      <c r="Q117" s="16">
        <v>1</v>
      </c>
      <c r="R117" s="16">
        <v>0</v>
      </c>
      <c r="S117" s="14"/>
      <c r="T117" s="56" t="str">
        <f t="shared" si="22"/>
        <v/>
      </c>
      <c r="U117" s="56" t="str">
        <f t="shared" si="31"/>
        <v/>
      </c>
      <c r="V117" s="56" t="str">
        <f t="shared" si="32"/>
        <v/>
      </c>
      <c r="W117" s="14"/>
      <c r="X117" s="14"/>
      <c r="Y117" s="14"/>
      <c r="Z117" s="14"/>
      <c r="AA117" s="18">
        <f t="shared" si="30"/>
        <v>22.8</v>
      </c>
      <c r="AB117" s="14"/>
      <c r="AC117" s="14"/>
      <c r="AD117" s="14"/>
      <c r="AE117" s="14"/>
      <c r="AF117" s="16">
        <v>0</v>
      </c>
      <c r="AG117" s="16">
        <v>1</v>
      </c>
      <c r="AH117" s="16">
        <v>0</v>
      </c>
      <c r="AI117" s="16">
        <v>1</v>
      </c>
      <c r="AJ117" s="5">
        <v>0</v>
      </c>
      <c r="AK117" s="5">
        <v>0</v>
      </c>
      <c r="AL117" s="5">
        <v>0</v>
      </c>
      <c r="AM117" s="20">
        <v>5</v>
      </c>
      <c r="AN117" s="20">
        <v>3</v>
      </c>
      <c r="AO117" s="16"/>
      <c r="AP117" s="16"/>
      <c r="AQ117" s="16"/>
      <c r="AR117" s="16">
        <v>0</v>
      </c>
      <c r="AS117" s="16">
        <v>0</v>
      </c>
      <c r="AT117" s="16"/>
      <c r="AU117" s="16"/>
      <c r="AV117" s="16"/>
      <c r="AW117" s="16"/>
      <c r="AX117" s="16">
        <v>0</v>
      </c>
      <c r="AY117" s="16">
        <v>0</v>
      </c>
      <c r="AZ117" s="16">
        <v>0</v>
      </c>
      <c r="BA117" s="16">
        <v>1</v>
      </c>
    </row>
    <row r="118" spans="1:53" x14ac:dyDescent="0.2">
      <c r="A118" s="14"/>
      <c r="B118" s="14" t="str">
        <f t="shared" si="23"/>
        <v>Peck &amp; Teisberg 1993</v>
      </c>
      <c r="C118" s="61">
        <f t="shared" si="24"/>
        <v>11</v>
      </c>
      <c r="D118" s="58">
        <v>1993</v>
      </c>
      <c r="E118" s="17"/>
      <c r="F118" s="58">
        <v>1</v>
      </c>
      <c r="G118" s="22">
        <v>1989</v>
      </c>
      <c r="H118" s="15">
        <f>LOOKUP(G118,CPI!A$69:A$100,CPI!O$69:O$100)</f>
        <v>1.7585161290322582</v>
      </c>
      <c r="I118" s="5">
        <v>2100</v>
      </c>
      <c r="J118" s="44">
        <v>0</v>
      </c>
      <c r="K118" s="44"/>
      <c r="L118" s="65"/>
      <c r="N118" s="3">
        <v>65.400000000000006</v>
      </c>
      <c r="O118" s="37">
        <f t="shared" si="29"/>
        <v>65.400000000000006</v>
      </c>
      <c r="P118" s="16">
        <v>0</v>
      </c>
      <c r="Q118" s="16">
        <v>1</v>
      </c>
      <c r="R118" s="16">
        <v>0</v>
      </c>
      <c r="S118" s="3"/>
      <c r="T118" s="56" t="str">
        <f t="shared" si="22"/>
        <v/>
      </c>
      <c r="U118" s="56" t="str">
        <f t="shared" si="31"/>
        <v/>
      </c>
      <c r="V118" s="56" t="str">
        <f t="shared" si="32"/>
        <v/>
      </c>
      <c r="W118" s="3"/>
      <c r="X118" s="3"/>
      <c r="Y118" s="3"/>
      <c r="Z118" s="3"/>
      <c r="AA118" s="37">
        <f t="shared" si="30"/>
        <v>65.400000000000006</v>
      </c>
      <c r="AB118" s="3"/>
      <c r="AC118" s="3"/>
      <c r="AD118" s="3"/>
      <c r="AE118" s="3"/>
      <c r="AF118" s="16">
        <v>0</v>
      </c>
      <c r="AG118" s="16">
        <v>1</v>
      </c>
      <c r="AH118" s="16">
        <v>0</v>
      </c>
      <c r="AI118" s="16">
        <v>1</v>
      </c>
      <c r="AJ118" s="5">
        <v>0</v>
      </c>
      <c r="AK118" s="5">
        <v>0</v>
      </c>
      <c r="AL118" s="5">
        <v>0</v>
      </c>
      <c r="AM118" s="20">
        <v>5</v>
      </c>
      <c r="AN118" s="20">
        <v>3</v>
      </c>
      <c r="AO118" s="16"/>
      <c r="AP118" s="16"/>
      <c r="AQ118" s="16"/>
      <c r="AR118" s="16">
        <v>0</v>
      </c>
      <c r="AS118" s="16">
        <v>0</v>
      </c>
      <c r="AT118" s="16"/>
      <c r="AU118" s="16"/>
      <c r="AV118" s="16"/>
      <c r="AW118" s="16"/>
      <c r="AX118" s="16">
        <v>0</v>
      </c>
      <c r="AY118" s="16">
        <v>0</v>
      </c>
      <c r="AZ118" s="16">
        <v>0</v>
      </c>
      <c r="BA118" s="16">
        <v>1</v>
      </c>
    </row>
    <row r="119" spans="1:53" x14ac:dyDescent="0.2">
      <c r="A119" s="14"/>
      <c r="B119" s="14" t="str">
        <f t="shared" si="23"/>
        <v>Peck &amp; Teisberg 1993</v>
      </c>
      <c r="C119" s="61">
        <f t="shared" si="24"/>
        <v>11</v>
      </c>
      <c r="D119" s="58">
        <v>1993</v>
      </c>
      <c r="E119" s="17"/>
      <c r="F119" s="58">
        <v>1</v>
      </c>
      <c r="G119" s="22">
        <v>1989</v>
      </c>
      <c r="H119" s="15">
        <f>LOOKUP(G119,CPI!A$69:A$100,CPI!O$69:O$100)</f>
        <v>1.7585161290322582</v>
      </c>
      <c r="I119" s="52">
        <v>2030</v>
      </c>
      <c r="J119" s="15">
        <f t="shared" si="28"/>
        <v>1.9230769230769232E-2</v>
      </c>
      <c r="K119" s="59">
        <v>3.7037037037037035E-2</v>
      </c>
      <c r="L119" s="57">
        <f>(AA120/AA119)^(1/(I120-I119))-1</f>
        <v>1.5862577662846489E-2</v>
      </c>
      <c r="M119" s="56">
        <f>AA119*H119*(1+$L$2)^(2015-I119)</f>
        <v>24.210052915198954</v>
      </c>
      <c r="N119" s="14">
        <v>21.8</v>
      </c>
      <c r="O119" s="18">
        <f t="shared" si="29"/>
        <v>21.8</v>
      </c>
      <c r="P119" s="16">
        <v>0</v>
      </c>
      <c r="Q119" s="16">
        <v>1</v>
      </c>
      <c r="R119" s="16">
        <v>0</v>
      </c>
      <c r="S119" s="14"/>
      <c r="T119" s="56" t="str">
        <f t="shared" si="22"/>
        <v/>
      </c>
      <c r="U119" s="56" t="str">
        <f t="shared" si="31"/>
        <v/>
      </c>
      <c r="V119" s="56" t="str">
        <f t="shared" si="32"/>
        <v/>
      </c>
      <c r="W119" s="14"/>
      <c r="X119" s="14"/>
      <c r="Y119" s="14"/>
      <c r="Z119" s="14"/>
      <c r="AA119" s="18">
        <f t="shared" si="30"/>
        <v>21.8</v>
      </c>
      <c r="AB119" s="14"/>
      <c r="AC119" s="14"/>
      <c r="AD119" s="14"/>
      <c r="AE119" s="14"/>
      <c r="AF119" s="16">
        <v>0</v>
      </c>
      <c r="AG119" s="16">
        <v>1</v>
      </c>
      <c r="AH119" s="16">
        <v>0</v>
      </c>
      <c r="AI119" s="16">
        <v>1</v>
      </c>
      <c r="AJ119" s="5">
        <v>0</v>
      </c>
      <c r="AK119" s="5">
        <v>0</v>
      </c>
      <c r="AL119" s="5">
        <v>0</v>
      </c>
      <c r="AM119" s="20">
        <v>5</v>
      </c>
      <c r="AN119" s="20">
        <v>3</v>
      </c>
      <c r="AO119" s="16"/>
      <c r="AP119" s="16"/>
      <c r="AQ119" s="16"/>
      <c r="AR119" s="16">
        <v>0</v>
      </c>
      <c r="AS119" s="16">
        <v>0</v>
      </c>
      <c r="AT119" s="16"/>
      <c r="AU119" s="16"/>
      <c r="AV119" s="16"/>
      <c r="AW119" s="16"/>
      <c r="AX119" s="16">
        <v>0</v>
      </c>
      <c r="AY119" s="16">
        <v>0</v>
      </c>
      <c r="AZ119" s="16">
        <v>0</v>
      </c>
      <c r="BA119" s="16">
        <v>1</v>
      </c>
    </row>
    <row r="120" spans="1:53" x14ac:dyDescent="0.2">
      <c r="A120" s="14"/>
      <c r="B120" s="14" t="str">
        <f t="shared" si="23"/>
        <v>Peck &amp; Teisberg 1993</v>
      </c>
      <c r="C120" s="61">
        <f t="shared" si="24"/>
        <v>11</v>
      </c>
      <c r="D120" s="58">
        <v>1993</v>
      </c>
      <c r="E120" s="17"/>
      <c r="F120" s="58">
        <v>1</v>
      </c>
      <c r="G120" s="22">
        <v>1989</v>
      </c>
      <c r="H120" s="15">
        <f>LOOKUP(G120,CPI!A$69:A$100,CPI!O$69:O$100)</f>
        <v>1.7585161290322582</v>
      </c>
      <c r="I120" s="5">
        <v>2100</v>
      </c>
      <c r="J120" s="44">
        <v>0</v>
      </c>
      <c r="K120" s="44"/>
      <c r="L120" s="65"/>
      <c r="N120" s="3">
        <v>65.599999999999994</v>
      </c>
      <c r="O120" s="37">
        <f t="shared" si="29"/>
        <v>65.599999999999994</v>
      </c>
      <c r="P120" s="16">
        <v>0</v>
      </c>
      <c r="Q120" s="16">
        <v>1</v>
      </c>
      <c r="R120" s="16">
        <v>0</v>
      </c>
      <c r="S120" s="3"/>
      <c r="T120" s="56" t="str">
        <f t="shared" si="22"/>
        <v/>
      </c>
      <c r="U120" s="56" t="str">
        <f t="shared" si="31"/>
        <v/>
      </c>
      <c r="V120" s="56" t="str">
        <f t="shared" si="32"/>
        <v/>
      </c>
      <c r="W120" s="3"/>
      <c r="X120" s="3"/>
      <c r="Y120" s="3"/>
      <c r="Z120" s="3"/>
      <c r="AA120" s="37">
        <f t="shared" si="30"/>
        <v>65.599999999999994</v>
      </c>
      <c r="AB120" s="3"/>
      <c r="AC120" s="3"/>
      <c r="AD120" s="3"/>
      <c r="AE120" s="3"/>
      <c r="AF120" s="16">
        <v>0</v>
      </c>
      <c r="AG120" s="16">
        <v>1</v>
      </c>
      <c r="AH120" s="16">
        <v>0</v>
      </c>
      <c r="AI120" s="16">
        <v>1</v>
      </c>
      <c r="AJ120" s="5">
        <v>0</v>
      </c>
      <c r="AK120" s="5">
        <v>0</v>
      </c>
      <c r="AL120" s="5">
        <v>0</v>
      </c>
      <c r="AM120" s="20">
        <v>5</v>
      </c>
      <c r="AN120" s="20">
        <v>3</v>
      </c>
      <c r="AO120" s="16"/>
      <c r="AP120" s="16"/>
      <c r="AQ120" s="16"/>
      <c r="AR120" s="16">
        <v>0</v>
      </c>
      <c r="AS120" s="16">
        <v>0</v>
      </c>
      <c r="AT120" s="16"/>
      <c r="AU120" s="16"/>
      <c r="AV120" s="16"/>
      <c r="AW120" s="16"/>
      <c r="AX120" s="16">
        <v>0</v>
      </c>
      <c r="AY120" s="16">
        <v>0</v>
      </c>
      <c r="AZ120" s="16">
        <v>0</v>
      </c>
      <c r="BA120" s="16">
        <v>1</v>
      </c>
    </row>
    <row r="121" spans="1:53" x14ac:dyDescent="0.2">
      <c r="A121" s="14"/>
      <c r="B121" s="14" t="str">
        <f t="shared" si="23"/>
        <v>Peck &amp; Teisberg 1993</v>
      </c>
      <c r="C121" s="61">
        <f t="shared" si="24"/>
        <v>11</v>
      </c>
      <c r="D121" s="58">
        <v>1993</v>
      </c>
      <c r="E121" s="17"/>
      <c r="F121" s="58">
        <v>1</v>
      </c>
      <c r="G121" s="22">
        <v>1989</v>
      </c>
      <c r="H121" s="15">
        <f>LOOKUP(G121,CPI!A$69:A$100,CPI!O$69:O$100)</f>
        <v>1.7585161290322582</v>
      </c>
      <c r="I121" s="52">
        <v>2030</v>
      </c>
      <c r="J121" s="15">
        <f t="shared" si="28"/>
        <v>1.9230769230769232E-2</v>
      </c>
      <c r="K121" s="59">
        <v>3.7037037037037035E-2</v>
      </c>
      <c r="L121" s="57">
        <f>(AA122/AA121)^(1/(I122-I121))-1</f>
        <v>1.5198014070569421E-2</v>
      </c>
      <c r="M121" s="56">
        <f>AA121*H121*(1+$L$2)^(2015-I121)</f>
        <v>24.765329358208103</v>
      </c>
      <c r="N121" s="14">
        <v>22.3</v>
      </c>
      <c r="O121" s="18">
        <f t="shared" si="29"/>
        <v>22.3</v>
      </c>
      <c r="P121" s="16">
        <v>0</v>
      </c>
      <c r="Q121" s="16">
        <v>1</v>
      </c>
      <c r="R121" s="16">
        <v>0</v>
      </c>
      <c r="S121" s="14"/>
      <c r="T121" s="56" t="str">
        <f t="shared" si="22"/>
        <v/>
      </c>
      <c r="U121" s="56" t="str">
        <f t="shared" si="31"/>
        <v/>
      </c>
      <c r="V121" s="56" t="str">
        <f t="shared" si="32"/>
        <v/>
      </c>
      <c r="W121" s="14"/>
      <c r="X121" s="14"/>
      <c r="Y121" s="14"/>
      <c r="Z121" s="14"/>
      <c r="AA121" s="18">
        <f t="shared" si="30"/>
        <v>22.3</v>
      </c>
      <c r="AB121" s="14"/>
      <c r="AC121" s="14"/>
      <c r="AD121" s="14"/>
      <c r="AE121" s="14"/>
      <c r="AF121" s="16">
        <v>0</v>
      </c>
      <c r="AG121" s="16">
        <v>1</v>
      </c>
      <c r="AH121" s="16">
        <v>0</v>
      </c>
      <c r="AI121" s="16">
        <v>1</v>
      </c>
      <c r="AJ121" s="5">
        <v>0</v>
      </c>
      <c r="AK121" s="5">
        <v>0</v>
      </c>
      <c r="AL121" s="5">
        <v>0</v>
      </c>
      <c r="AM121" s="20">
        <v>5</v>
      </c>
      <c r="AN121" s="20">
        <v>3</v>
      </c>
      <c r="AO121" s="16"/>
      <c r="AP121" s="16"/>
      <c r="AQ121" s="16"/>
      <c r="AR121" s="16">
        <v>0</v>
      </c>
      <c r="AS121" s="16">
        <v>0</v>
      </c>
      <c r="AT121" s="16"/>
      <c r="AU121" s="16"/>
      <c r="AV121" s="16"/>
      <c r="AW121" s="16"/>
      <c r="AX121" s="16">
        <v>0</v>
      </c>
      <c r="AY121" s="16">
        <v>0</v>
      </c>
      <c r="AZ121" s="16">
        <v>0</v>
      </c>
      <c r="BA121" s="16">
        <v>1</v>
      </c>
    </row>
    <row r="122" spans="1:53" x14ac:dyDescent="0.2">
      <c r="A122" s="14"/>
      <c r="B122" s="14" t="str">
        <f t="shared" si="23"/>
        <v>Peck &amp; Teisberg 1993</v>
      </c>
      <c r="C122" s="61">
        <f t="shared" si="24"/>
        <v>11</v>
      </c>
      <c r="D122" s="58">
        <v>1993</v>
      </c>
      <c r="E122" s="17"/>
      <c r="F122" s="58">
        <v>1</v>
      </c>
      <c r="G122" s="22">
        <v>1989</v>
      </c>
      <c r="H122" s="15">
        <f>LOOKUP(G122,CPI!A$69:A$100,CPI!O$69:O$100)</f>
        <v>1.7585161290322582</v>
      </c>
      <c r="I122" s="5">
        <v>2100</v>
      </c>
      <c r="J122" s="44">
        <v>0</v>
      </c>
      <c r="K122" s="44"/>
      <c r="L122" s="65"/>
      <c r="N122" s="3">
        <v>64.099999999999994</v>
      </c>
      <c r="O122" s="37">
        <f t="shared" si="29"/>
        <v>64.099999999999994</v>
      </c>
      <c r="P122" s="16">
        <v>0</v>
      </c>
      <c r="Q122" s="16">
        <v>1</v>
      </c>
      <c r="R122" s="16">
        <v>0</v>
      </c>
      <c r="S122" s="3"/>
      <c r="T122" s="56" t="str">
        <f t="shared" si="22"/>
        <v/>
      </c>
      <c r="U122" s="56" t="str">
        <f t="shared" si="31"/>
        <v/>
      </c>
      <c r="V122" s="56" t="str">
        <f t="shared" si="32"/>
        <v/>
      </c>
      <c r="W122" s="3"/>
      <c r="X122" s="3"/>
      <c r="Y122" s="3"/>
      <c r="Z122" s="3"/>
      <c r="AA122" s="37">
        <f t="shared" si="30"/>
        <v>64.099999999999994</v>
      </c>
      <c r="AB122" s="3"/>
      <c r="AC122" s="3"/>
      <c r="AD122" s="3"/>
      <c r="AE122" s="3"/>
      <c r="AF122" s="16">
        <v>0</v>
      </c>
      <c r="AG122" s="16">
        <v>1</v>
      </c>
      <c r="AH122" s="16">
        <v>0</v>
      </c>
      <c r="AI122" s="16">
        <v>1</v>
      </c>
      <c r="AJ122" s="5">
        <v>0</v>
      </c>
      <c r="AK122" s="5">
        <v>0</v>
      </c>
      <c r="AL122" s="5">
        <v>0</v>
      </c>
      <c r="AM122" s="20">
        <v>5</v>
      </c>
      <c r="AN122" s="20">
        <v>3</v>
      </c>
      <c r="AO122" s="16"/>
      <c r="AP122" s="16"/>
      <c r="AQ122" s="16"/>
      <c r="AR122" s="16">
        <v>0</v>
      </c>
      <c r="AS122" s="16">
        <v>0</v>
      </c>
      <c r="AT122" s="16"/>
      <c r="AU122" s="16"/>
      <c r="AV122" s="16"/>
      <c r="AW122" s="16"/>
      <c r="AX122" s="16">
        <v>0</v>
      </c>
      <c r="AY122" s="16">
        <v>0</v>
      </c>
      <c r="AZ122" s="16">
        <v>0</v>
      </c>
      <c r="BA122" s="16">
        <v>1</v>
      </c>
    </row>
    <row r="123" spans="1:53" x14ac:dyDescent="0.2">
      <c r="A123" s="14"/>
      <c r="B123" s="14" t="str">
        <f t="shared" si="23"/>
        <v>Peck &amp; Teisberg 1993</v>
      </c>
      <c r="C123" s="61">
        <f t="shared" si="24"/>
        <v>11</v>
      </c>
      <c r="D123" s="58">
        <v>1993</v>
      </c>
      <c r="E123" s="17"/>
      <c r="F123" s="58">
        <v>1</v>
      </c>
      <c r="G123" s="22">
        <v>1989</v>
      </c>
      <c r="H123" s="15">
        <f>LOOKUP(G123,CPI!A$69:A$100,CPI!O$69:O$100)</f>
        <v>1.7585161290322582</v>
      </c>
      <c r="I123" s="52">
        <v>2030</v>
      </c>
      <c r="J123" s="15">
        <f t="shared" si="28"/>
        <v>1.9230769230769232E-2</v>
      </c>
      <c r="K123" s="59">
        <v>3.7037037037037035E-2</v>
      </c>
      <c r="L123" s="57">
        <f>(AA124/AA123)^(1/(I124-I123))-1</f>
        <v>1.5709406594831998E-2</v>
      </c>
      <c r="M123" s="56">
        <f>AA123*H123*(1+$L$2)^(2015-I123)</f>
        <v>24.765329358208103</v>
      </c>
      <c r="N123" s="14">
        <v>22.3</v>
      </c>
      <c r="O123" s="18">
        <f t="shared" si="29"/>
        <v>22.3</v>
      </c>
      <c r="P123" s="16">
        <v>0</v>
      </c>
      <c r="Q123" s="16">
        <v>1</v>
      </c>
      <c r="R123" s="16">
        <v>0</v>
      </c>
      <c r="S123" s="14"/>
      <c r="T123" s="56" t="str">
        <f t="shared" si="22"/>
        <v/>
      </c>
      <c r="U123" s="56" t="str">
        <f t="shared" si="31"/>
        <v/>
      </c>
      <c r="V123" s="56" t="str">
        <f t="shared" si="32"/>
        <v/>
      </c>
      <c r="W123" s="14"/>
      <c r="X123" s="14"/>
      <c r="Y123" s="14"/>
      <c r="Z123" s="14"/>
      <c r="AA123" s="18">
        <f t="shared" si="30"/>
        <v>22.3</v>
      </c>
      <c r="AB123" s="14"/>
      <c r="AC123" s="14"/>
      <c r="AD123" s="14"/>
      <c r="AE123" s="14"/>
      <c r="AF123" s="16">
        <v>0</v>
      </c>
      <c r="AG123" s="16">
        <v>1</v>
      </c>
      <c r="AH123" s="16">
        <v>0</v>
      </c>
      <c r="AI123" s="16">
        <v>1</v>
      </c>
      <c r="AJ123" s="5">
        <v>0</v>
      </c>
      <c r="AK123" s="5">
        <v>0</v>
      </c>
      <c r="AL123" s="5">
        <v>0</v>
      </c>
      <c r="AM123" s="20">
        <v>5</v>
      </c>
      <c r="AN123" s="20">
        <v>3</v>
      </c>
      <c r="AO123" s="16"/>
      <c r="AP123" s="16"/>
      <c r="AQ123" s="16"/>
      <c r="AR123" s="16">
        <v>0</v>
      </c>
      <c r="AS123" s="16">
        <v>0</v>
      </c>
      <c r="AT123" s="16"/>
      <c r="AU123" s="16"/>
      <c r="AV123" s="16"/>
      <c r="AW123" s="16"/>
      <c r="AX123" s="16">
        <v>0</v>
      </c>
      <c r="AY123" s="16">
        <v>0</v>
      </c>
      <c r="AZ123" s="16">
        <v>0</v>
      </c>
      <c r="BA123" s="16">
        <v>1</v>
      </c>
    </row>
    <row r="124" spans="1:53" x14ac:dyDescent="0.2">
      <c r="A124" s="14"/>
      <c r="B124" s="14" t="str">
        <f t="shared" si="23"/>
        <v>Peck &amp; Teisberg 1993</v>
      </c>
      <c r="C124" s="61">
        <f t="shared" si="24"/>
        <v>11</v>
      </c>
      <c r="D124" s="58">
        <v>1993</v>
      </c>
      <c r="E124" s="17"/>
      <c r="F124" s="58">
        <v>1</v>
      </c>
      <c r="G124" s="22">
        <v>1989</v>
      </c>
      <c r="H124" s="15">
        <f>LOOKUP(G124,CPI!A$69:A$100,CPI!O$69:O$100)</f>
        <v>1.7585161290322582</v>
      </c>
      <c r="I124" s="5">
        <v>2100</v>
      </c>
      <c r="J124" s="44">
        <v>0</v>
      </c>
      <c r="K124" s="44"/>
      <c r="L124" s="65"/>
      <c r="N124" s="3">
        <v>66.400000000000006</v>
      </c>
      <c r="O124" s="37">
        <f t="shared" si="29"/>
        <v>66.400000000000006</v>
      </c>
      <c r="P124" s="16">
        <v>0</v>
      </c>
      <c r="Q124" s="16">
        <v>1</v>
      </c>
      <c r="R124" s="16">
        <v>0</v>
      </c>
      <c r="S124" s="3"/>
      <c r="T124" s="56" t="str">
        <f t="shared" si="22"/>
        <v/>
      </c>
      <c r="U124" s="56" t="str">
        <f t="shared" si="31"/>
        <v/>
      </c>
      <c r="V124" s="56" t="str">
        <f t="shared" si="32"/>
        <v/>
      </c>
      <c r="W124" s="3"/>
      <c r="X124" s="3"/>
      <c r="Y124" s="3"/>
      <c r="Z124" s="3"/>
      <c r="AA124" s="37">
        <f t="shared" si="30"/>
        <v>66.400000000000006</v>
      </c>
      <c r="AB124" s="3"/>
      <c r="AC124" s="3"/>
      <c r="AD124" s="3"/>
      <c r="AE124" s="3"/>
      <c r="AF124" s="16">
        <v>0</v>
      </c>
      <c r="AG124" s="16">
        <v>1</v>
      </c>
      <c r="AH124" s="16">
        <v>0</v>
      </c>
      <c r="AI124" s="16">
        <v>1</v>
      </c>
      <c r="AJ124" s="5">
        <v>0</v>
      </c>
      <c r="AK124" s="5">
        <v>0</v>
      </c>
      <c r="AL124" s="5">
        <v>0</v>
      </c>
      <c r="AM124" s="20">
        <v>5</v>
      </c>
      <c r="AN124" s="20">
        <v>3</v>
      </c>
      <c r="AO124" s="16"/>
      <c r="AP124" s="16"/>
      <c r="AQ124" s="16"/>
      <c r="AR124" s="16">
        <v>0</v>
      </c>
      <c r="AS124" s="16">
        <v>0</v>
      </c>
      <c r="AT124" s="16"/>
      <c r="AU124" s="16"/>
      <c r="AV124" s="16"/>
      <c r="AW124" s="16"/>
      <c r="AX124" s="16">
        <v>0</v>
      </c>
      <c r="AY124" s="16">
        <v>0</v>
      </c>
      <c r="AZ124" s="16">
        <v>0</v>
      </c>
      <c r="BA124" s="16">
        <v>1</v>
      </c>
    </row>
    <row r="125" spans="1:53" x14ac:dyDescent="0.2">
      <c r="A125" s="14"/>
      <c r="B125" s="14" t="str">
        <f t="shared" si="23"/>
        <v>Peck &amp; Teisberg 1993</v>
      </c>
      <c r="C125" s="61">
        <f t="shared" si="24"/>
        <v>11</v>
      </c>
      <c r="D125" s="58">
        <v>1993</v>
      </c>
      <c r="E125" s="17"/>
      <c r="F125" s="58">
        <v>1</v>
      </c>
      <c r="G125" s="22">
        <v>1989</v>
      </c>
      <c r="H125" s="15">
        <f>LOOKUP(G125,CPI!A$69:A$100,CPI!O$69:O$100)</f>
        <v>1.7585161290322582</v>
      </c>
      <c r="I125" s="52">
        <v>2030</v>
      </c>
      <c r="J125" s="15">
        <f t="shared" si="28"/>
        <v>1.9230769230769232E-2</v>
      </c>
      <c r="K125" s="59">
        <v>3.7037037037037035E-2</v>
      </c>
      <c r="L125" s="57">
        <f>(AA126/AA125)^(1/(I126-I125))-1</f>
        <v>1.5402138583196612E-2</v>
      </c>
      <c r="M125" s="56">
        <f>AA125*H125*(1+$L$2)^(2015-I125)</f>
        <v>24.876384646809932</v>
      </c>
      <c r="N125" s="14">
        <v>22.4</v>
      </c>
      <c r="O125" s="18">
        <f t="shared" si="29"/>
        <v>22.4</v>
      </c>
      <c r="P125" s="16">
        <v>0</v>
      </c>
      <c r="Q125" s="16">
        <v>1</v>
      </c>
      <c r="R125" s="16">
        <v>0</v>
      </c>
      <c r="S125" s="14"/>
      <c r="T125" s="56" t="str">
        <f t="shared" si="22"/>
        <v/>
      </c>
      <c r="U125" s="56" t="str">
        <f t="shared" si="31"/>
        <v/>
      </c>
      <c r="V125" s="56" t="str">
        <f t="shared" si="32"/>
        <v/>
      </c>
      <c r="W125" s="14"/>
      <c r="X125" s="14"/>
      <c r="Y125" s="14"/>
      <c r="Z125" s="14"/>
      <c r="AA125" s="18">
        <f t="shared" si="30"/>
        <v>22.4</v>
      </c>
      <c r="AB125" s="14"/>
      <c r="AC125" s="14"/>
      <c r="AD125" s="14"/>
      <c r="AE125" s="14"/>
      <c r="AF125" s="16">
        <v>0</v>
      </c>
      <c r="AG125" s="16">
        <v>1</v>
      </c>
      <c r="AH125" s="16">
        <v>0</v>
      </c>
      <c r="AI125" s="16">
        <v>1</v>
      </c>
      <c r="AJ125" s="5">
        <v>0</v>
      </c>
      <c r="AK125" s="5">
        <v>0</v>
      </c>
      <c r="AL125" s="5">
        <v>0</v>
      </c>
      <c r="AM125" s="20">
        <v>5</v>
      </c>
      <c r="AN125" s="20">
        <v>3</v>
      </c>
      <c r="AO125" s="16"/>
      <c r="AP125" s="16"/>
      <c r="AQ125" s="16"/>
      <c r="AR125" s="16">
        <v>0</v>
      </c>
      <c r="AS125" s="16">
        <v>0</v>
      </c>
      <c r="AT125" s="16"/>
      <c r="AU125" s="16"/>
      <c r="AV125" s="16"/>
      <c r="AW125" s="16"/>
      <c r="AX125" s="16">
        <v>0</v>
      </c>
      <c r="AY125" s="16">
        <v>0</v>
      </c>
      <c r="AZ125" s="16">
        <v>0</v>
      </c>
      <c r="BA125" s="16">
        <v>1</v>
      </c>
    </row>
    <row r="126" spans="1:53" x14ac:dyDescent="0.2">
      <c r="A126" s="14"/>
      <c r="B126" s="14" t="str">
        <f t="shared" si="23"/>
        <v>Peck &amp; Teisberg 1993</v>
      </c>
      <c r="C126" s="61">
        <f t="shared" si="24"/>
        <v>11</v>
      </c>
      <c r="D126" s="58">
        <v>1993</v>
      </c>
      <c r="E126" s="17"/>
      <c r="F126" s="58">
        <v>1</v>
      </c>
      <c r="G126" s="22">
        <v>1989</v>
      </c>
      <c r="H126" s="15">
        <f>LOOKUP(G126,CPI!A$69:A$100,CPI!O$69:O$100)</f>
        <v>1.7585161290322582</v>
      </c>
      <c r="I126" s="5">
        <v>2100</v>
      </c>
      <c r="J126" s="44">
        <v>0</v>
      </c>
      <c r="K126" s="44"/>
      <c r="L126" s="65"/>
      <c r="N126" s="3">
        <v>65.3</v>
      </c>
      <c r="O126" s="37">
        <f t="shared" si="29"/>
        <v>65.3</v>
      </c>
      <c r="P126" s="16">
        <v>0</v>
      </c>
      <c r="Q126" s="16">
        <v>1</v>
      </c>
      <c r="R126" s="16">
        <v>0</v>
      </c>
      <c r="S126" s="3"/>
      <c r="T126" s="56" t="str">
        <f t="shared" si="22"/>
        <v/>
      </c>
      <c r="U126" s="56" t="str">
        <f t="shared" si="31"/>
        <v/>
      </c>
      <c r="V126" s="56" t="str">
        <f t="shared" si="32"/>
        <v/>
      </c>
      <c r="W126" s="3"/>
      <c r="X126" s="3"/>
      <c r="Y126" s="3"/>
      <c r="Z126" s="3"/>
      <c r="AA126" s="37">
        <f t="shared" si="30"/>
        <v>65.3</v>
      </c>
      <c r="AB126" s="3"/>
      <c r="AC126" s="3"/>
      <c r="AD126" s="3"/>
      <c r="AE126" s="3"/>
      <c r="AF126" s="16">
        <v>0</v>
      </c>
      <c r="AG126" s="16">
        <v>1</v>
      </c>
      <c r="AH126" s="16">
        <v>0</v>
      </c>
      <c r="AI126" s="16">
        <v>1</v>
      </c>
      <c r="AJ126" s="5">
        <v>0</v>
      </c>
      <c r="AK126" s="5">
        <v>0</v>
      </c>
      <c r="AL126" s="5">
        <v>0</v>
      </c>
      <c r="AM126" s="20">
        <v>5</v>
      </c>
      <c r="AN126" s="20">
        <v>3</v>
      </c>
      <c r="AO126" s="16"/>
      <c r="AP126" s="16"/>
      <c r="AQ126" s="16"/>
      <c r="AR126" s="16">
        <v>0</v>
      </c>
      <c r="AS126" s="16">
        <v>0</v>
      </c>
      <c r="AT126" s="16"/>
      <c r="AU126" s="16"/>
      <c r="AV126" s="16"/>
      <c r="AW126" s="16"/>
      <c r="AX126" s="16">
        <v>0</v>
      </c>
      <c r="AY126" s="16">
        <v>0</v>
      </c>
      <c r="AZ126" s="16">
        <v>0</v>
      </c>
      <c r="BA126" s="16">
        <v>1</v>
      </c>
    </row>
    <row r="127" spans="1:53" x14ac:dyDescent="0.2">
      <c r="A127" s="14"/>
      <c r="B127" s="14" t="str">
        <f t="shared" si="23"/>
        <v>Peck &amp; Teisberg 1993</v>
      </c>
      <c r="C127" s="61">
        <f t="shared" si="24"/>
        <v>11</v>
      </c>
      <c r="D127" s="58">
        <v>1993</v>
      </c>
      <c r="E127" s="17"/>
      <c r="F127" s="58">
        <v>1</v>
      </c>
      <c r="G127" s="22">
        <v>1989</v>
      </c>
      <c r="H127" s="15">
        <f>LOOKUP(G127,CPI!A$69:A$100,CPI!O$69:O$100)</f>
        <v>1.7585161290322582</v>
      </c>
      <c r="I127" s="52">
        <v>2030</v>
      </c>
      <c r="J127" s="15">
        <f t="shared" si="28"/>
        <v>1.9230769230769232E-2</v>
      </c>
      <c r="K127" s="59">
        <v>3.7037037037037035E-2</v>
      </c>
      <c r="L127" s="57">
        <f>(AA128/AA127)^(1/(I128-I127))-1</f>
        <v>1.7766293283558721E-2</v>
      </c>
      <c r="M127" s="56">
        <f>AA127*H127*(1+$L$2)^(2015-I127)</f>
        <v>63.967846234654118</v>
      </c>
      <c r="N127" s="14">
        <v>57.6</v>
      </c>
      <c r="O127" s="18">
        <f t="shared" si="29"/>
        <v>57.6</v>
      </c>
      <c r="P127" s="16">
        <v>0</v>
      </c>
      <c r="Q127" s="16">
        <v>1</v>
      </c>
      <c r="R127" s="16">
        <v>0</v>
      </c>
      <c r="S127" s="14"/>
      <c r="T127" s="56" t="str">
        <f t="shared" si="22"/>
        <v/>
      </c>
      <c r="U127" s="56" t="str">
        <f t="shared" si="31"/>
        <v/>
      </c>
      <c r="V127" s="56" t="str">
        <f t="shared" si="32"/>
        <v/>
      </c>
      <c r="W127" s="14"/>
      <c r="X127" s="14"/>
      <c r="Y127" s="14"/>
      <c r="Z127" s="14"/>
      <c r="AA127" s="18">
        <f t="shared" si="30"/>
        <v>57.6</v>
      </c>
      <c r="AB127" s="14"/>
      <c r="AC127" s="14"/>
      <c r="AD127" s="14"/>
      <c r="AE127" s="14"/>
      <c r="AF127" s="16">
        <v>0</v>
      </c>
      <c r="AG127" s="16">
        <v>1</v>
      </c>
      <c r="AH127" s="16">
        <v>0</v>
      </c>
      <c r="AI127" s="16">
        <v>1</v>
      </c>
      <c r="AJ127" s="5">
        <v>0</v>
      </c>
      <c r="AK127" s="5">
        <v>0</v>
      </c>
      <c r="AL127" s="5">
        <v>0</v>
      </c>
      <c r="AM127" s="20">
        <v>5</v>
      </c>
      <c r="AN127" s="20">
        <v>3</v>
      </c>
      <c r="AO127" s="16"/>
      <c r="AP127" s="16"/>
      <c r="AQ127" s="16"/>
      <c r="AR127" s="16">
        <v>0</v>
      </c>
      <c r="AS127" s="16">
        <v>0</v>
      </c>
      <c r="AT127" s="16"/>
      <c r="AU127" s="16"/>
      <c r="AV127" s="16"/>
      <c r="AW127" s="16"/>
      <c r="AX127" s="16">
        <v>0</v>
      </c>
      <c r="AY127" s="16">
        <v>0</v>
      </c>
      <c r="AZ127" s="16">
        <v>0</v>
      </c>
      <c r="BA127" s="16">
        <v>1</v>
      </c>
    </row>
    <row r="128" spans="1:53" x14ac:dyDescent="0.2">
      <c r="A128" s="14"/>
      <c r="B128" s="14" t="str">
        <f t="shared" si="23"/>
        <v>Peck &amp; Teisberg 1993</v>
      </c>
      <c r="C128" s="61">
        <f t="shared" si="24"/>
        <v>11</v>
      </c>
      <c r="D128" s="58">
        <v>1993</v>
      </c>
      <c r="E128" s="17"/>
      <c r="F128" s="58">
        <v>1</v>
      </c>
      <c r="G128" s="22">
        <v>1989</v>
      </c>
      <c r="H128" s="15">
        <f>LOOKUP(G128,CPI!A$69:A$100,CPI!O$69:O$100)</f>
        <v>1.7585161290322582</v>
      </c>
      <c r="I128" s="5">
        <v>2100</v>
      </c>
      <c r="J128" s="44">
        <v>0</v>
      </c>
      <c r="K128" s="44"/>
      <c r="L128" s="65"/>
      <c r="N128" s="3">
        <v>197.6</v>
      </c>
      <c r="O128" s="37">
        <f t="shared" si="29"/>
        <v>197.6</v>
      </c>
      <c r="P128" s="16">
        <v>0</v>
      </c>
      <c r="Q128" s="16">
        <v>1</v>
      </c>
      <c r="R128" s="16">
        <v>0</v>
      </c>
      <c r="S128" s="3"/>
      <c r="T128" s="56" t="str">
        <f t="shared" si="22"/>
        <v/>
      </c>
      <c r="U128" s="56" t="str">
        <f t="shared" si="31"/>
        <v/>
      </c>
      <c r="V128" s="56" t="str">
        <f t="shared" si="32"/>
        <v/>
      </c>
      <c r="W128" s="3"/>
      <c r="X128" s="3"/>
      <c r="Y128" s="3"/>
      <c r="Z128" s="3"/>
      <c r="AA128" s="37">
        <f t="shared" si="30"/>
        <v>197.6</v>
      </c>
      <c r="AB128" s="3"/>
      <c r="AC128" s="3"/>
      <c r="AD128" s="3"/>
      <c r="AE128" s="3"/>
      <c r="AF128" s="16">
        <v>0</v>
      </c>
      <c r="AG128" s="16">
        <v>1</v>
      </c>
      <c r="AH128" s="16">
        <v>0</v>
      </c>
      <c r="AI128" s="16">
        <v>1</v>
      </c>
      <c r="AJ128" s="5">
        <v>0</v>
      </c>
      <c r="AK128" s="5">
        <v>0</v>
      </c>
      <c r="AL128" s="5">
        <v>0</v>
      </c>
      <c r="AM128" s="20">
        <v>5</v>
      </c>
      <c r="AN128" s="20">
        <v>3</v>
      </c>
      <c r="AO128" s="16"/>
      <c r="AP128" s="16"/>
      <c r="AQ128" s="16"/>
      <c r="AR128" s="16">
        <v>0</v>
      </c>
      <c r="AS128" s="16">
        <v>0</v>
      </c>
      <c r="AT128" s="16"/>
      <c r="AU128" s="16"/>
      <c r="AV128" s="16"/>
      <c r="AW128" s="16"/>
      <c r="AX128" s="16">
        <v>0</v>
      </c>
      <c r="AY128" s="16">
        <v>0</v>
      </c>
      <c r="AZ128" s="16">
        <v>0</v>
      </c>
      <c r="BA128" s="16">
        <v>1</v>
      </c>
    </row>
    <row r="129" spans="1:53" x14ac:dyDescent="0.2">
      <c r="A129" s="14"/>
      <c r="B129" s="14" t="str">
        <f t="shared" si="23"/>
        <v>Peck &amp; Teisberg 1993</v>
      </c>
      <c r="C129" s="61">
        <f t="shared" si="24"/>
        <v>11</v>
      </c>
      <c r="D129" s="58">
        <v>1993</v>
      </c>
      <c r="E129" s="17"/>
      <c r="F129" s="58">
        <v>1</v>
      </c>
      <c r="G129" s="22">
        <v>1989</v>
      </c>
      <c r="H129" s="15">
        <f>LOOKUP(G129,CPI!A$69:A$100,CPI!O$69:O$100)</f>
        <v>1.7585161290322582</v>
      </c>
      <c r="I129" s="52">
        <v>2030</v>
      </c>
      <c r="J129" s="15">
        <f t="shared" si="28"/>
        <v>1.9230769230769232E-2</v>
      </c>
      <c r="K129" s="59">
        <v>3.7037037037037035E-2</v>
      </c>
      <c r="L129" s="57">
        <f>(AA130/AA129)^(1/(I130-I129))-1</f>
        <v>1.6275278424694672E-2</v>
      </c>
      <c r="M129" s="56">
        <f>AA129*H129*(1+$L$2)^(2015-I129)</f>
        <v>43.977894286324712</v>
      </c>
      <c r="N129" s="14">
        <v>39.6</v>
      </c>
      <c r="O129" s="18">
        <f t="shared" si="29"/>
        <v>39.6</v>
      </c>
      <c r="P129" s="16">
        <v>0</v>
      </c>
      <c r="Q129" s="16">
        <v>1</v>
      </c>
      <c r="R129" s="16">
        <v>0</v>
      </c>
      <c r="S129" s="14"/>
      <c r="T129" s="56" t="str">
        <f t="shared" si="22"/>
        <v/>
      </c>
      <c r="U129" s="56" t="str">
        <f t="shared" si="31"/>
        <v/>
      </c>
      <c r="V129" s="56" t="str">
        <f t="shared" si="32"/>
        <v/>
      </c>
      <c r="W129" s="14"/>
      <c r="X129" s="14"/>
      <c r="Y129" s="14"/>
      <c r="Z129" s="14"/>
      <c r="AA129" s="18">
        <f t="shared" si="30"/>
        <v>39.6</v>
      </c>
      <c r="AB129" s="14"/>
      <c r="AC129" s="14"/>
      <c r="AD129" s="14"/>
      <c r="AE129" s="14"/>
      <c r="AF129" s="16">
        <v>0</v>
      </c>
      <c r="AG129" s="16">
        <v>1</v>
      </c>
      <c r="AH129" s="16">
        <v>0</v>
      </c>
      <c r="AI129" s="16">
        <v>1</v>
      </c>
      <c r="AJ129" s="5">
        <v>0</v>
      </c>
      <c r="AK129" s="5">
        <v>0</v>
      </c>
      <c r="AL129" s="5">
        <v>0</v>
      </c>
      <c r="AM129" s="20">
        <v>5</v>
      </c>
      <c r="AN129" s="20">
        <v>3</v>
      </c>
      <c r="AO129" s="16"/>
      <c r="AP129" s="16"/>
      <c r="AQ129" s="16"/>
      <c r="AR129" s="16">
        <v>0</v>
      </c>
      <c r="AS129" s="16">
        <v>0</v>
      </c>
      <c r="AT129" s="16"/>
      <c r="AU129" s="16"/>
      <c r="AV129" s="16"/>
      <c r="AW129" s="16"/>
      <c r="AX129" s="16">
        <v>0</v>
      </c>
      <c r="AY129" s="16">
        <v>0</v>
      </c>
      <c r="AZ129" s="16">
        <v>0</v>
      </c>
      <c r="BA129" s="16">
        <v>1</v>
      </c>
    </row>
    <row r="130" spans="1:53" x14ac:dyDescent="0.2">
      <c r="A130" s="14"/>
      <c r="B130" s="14" t="str">
        <f t="shared" si="23"/>
        <v>Peck &amp; Teisberg 1993</v>
      </c>
      <c r="C130" s="61">
        <f t="shared" si="24"/>
        <v>11</v>
      </c>
      <c r="D130" s="58">
        <v>1993</v>
      </c>
      <c r="E130" s="17"/>
      <c r="F130" s="58">
        <v>1</v>
      </c>
      <c r="G130" s="22">
        <v>1989</v>
      </c>
      <c r="H130" s="15">
        <f>LOOKUP(G130,CPI!A$69:A$100,CPI!O$69:O$100)</f>
        <v>1.7585161290322582</v>
      </c>
      <c r="I130" s="5">
        <v>2100</v>
      </c>
      <c r="J130" s="44">
        <v>0</v>
      </c>
      <c r="K130" s="44"/>
      <c r="L130" s="65"/>
      <c r="N130" s="3">
        <v>122.6</v>
      </c>
      <c r="O130" s="37">
        <f t="shared" si="29"/>
        <v>122.6</v>
      </c>
      <c r="P130" s="16">
        <v>0</v>
      </c>
      <c r="Q130" s="16">
        <v>1</v>
      </c>
      <c r="R130" s="16">
        <v>0</v>
      </c>
      <c r="S130" s="3"/>
      <c r="T130" s="56" t="str">
        <f t="shared" si="22"/>
        <v/>
      </c>
      <c r="U130" s="56" t="str">
        <f t="shared" si="31"/>
        <v/>
      </c>
      <c r="V130" s="56" t="str">
        <f t="shared" si="32"/>
        <v/>
      </c>
      <c r="W130" s="3"/>
      <c r="X130" s="3"/>
      <c r="Y130" s="3"/>
      <c r="Z130" s="3"/>
      <c r="AA130" s="37">
        <f t="shared" si="30"/>
        <v>122.6</v>
      </c>
      <c r="AB130" s="3"/>
      <c r="AC130" s="3"/>
      <c r="AD130" s="3"/>
      <c r="AE130" s="3"/>
      <c r="AF130" s="16">
        <v>0</v>
      </c>
      <c r="AG130" s="16">
        <v>1</v>
      </c>
      <c r="AH130" s="16">
        <v>0</v>
      </c>
      <c r="AI130" s="16">
        <v>1</v>
      </c>
      <c r="AJ130" s="5">
        <v>0</v>
      </c>
      <c r="AK130" s="5">
        <v>0</v>
      </c>
      <c r="AL130" s="5">
        <v>0</v>
      </c>
      <c r="AM130" s="20">
        <v>5</v>
      </c>
      <c r="AN130" s="20">
        <v>3</v>
      </c>
      <c r="AO130" s="16"/>
      <c r="AP130" s="16"/>
      <c r="AQ130" s="16"/>
      <c r="AR130" s="16">
        <v>0</v>
      </c>
      <c r="AS130" s="16">
        <v>0</v>
      </c>
      <c r="AT130" s="16"/>
      <c r="AU130" s="16"/>
      <c r="AV130" s="16"/>
      <c r="AW130" s="16"/>
      <c r="AX130" s="16">
        <v>0</v>
      </c>
      <c r="AY130" s="16">
        <v>0</v>
      </c>
      <c r="AZ130" s="16">
        <v>0</v>
      </c>
      <c r="BA130" s="16">
        <v>1</v>
      </c>
    </row>
    <row r="131" spans="1:53" x14ac:dyDescent="0.2">
      <c r="A131" s="14"/>
      <c r="B131" s="14" t="str">
        <f t="shared" si="23"/>
        <v>Peck &amp; Teisberg 1993</v>
      </c>
      <c r="C131" s="61">
        <f t="shared" si="24"/>
        <v>11</v>
      </c>
      <c r="D131" s="58">
        <v>1993</v>
      </c>
      <c r="E131" s="17"/>
      <c r="F131" s="58">
        <v>1</v>
      </c>
      <c r="G131" s="22">
        <v>1989</v>
      </c>
      <c r="H131" s="15">
        <f>LOOKUP(G131,CPI!A$69:A$100,CPI!O$69:O$100)</f>
        <v>1.7585161290322582</v>
      </c>
      <c r="I131" s="52">
        <v>2030</v>
      </c>
      <c r="J131" s="15">
        <f t="shared" si="28"/>
        <v>1.9230769230769232E-2</v>
      </c>
      <c r="K131" s="59">
        <v>3.7037037037037035E-2</v>
      </c>
      <c r="L131" s="57">
        <f>(AA132/AA131)^(1/(I132-I131))-1</f>
        <v>2.3240320654192015E-2</v>
      </c>
      <c r="M131" s="56">
        <f>AA131*H131*(1+$L$2)^(2015-I131)</f>
        <v>36.092968795594771</v>
      </c>
      <c r="N131" s="14">
        <v>32.5</v>
      </c>
      <c r="O131" s="18">
        <f t="shared" ref="O131:O152" si="33">N131</f>
        <v>32.5</v>
      </c>
      <c r="P131" s="16">
        <v>0</v>
      </c>
      <c r="Q131" s="16">
        <v>1</v>
      </c>
      <c r="R131" s="16">
        <v>0</v>
      </c>
      <c r="S131" s="14"/>
      <c r="T131" s="56" t="str">
        <f t="shared" si="22"/>
        <v/>
      </c>
      <c r="U131" s="56" t="str">
        <f t="shared" si="31"/>
        <v/>
      </c>
      <c r="V131" s="56" t="str">
        <f t="shared" si="32"/>
        <v/>
      </c>
      <c r="W131" s="14"/>
      <c r="X131" s="14"/>
      <c r="Y131" s="14"/>
      <c r="Z131" s="14"/>
      <c r="AA131" s="18">
        <f t="shared" ref="AA131:AA156" si="34">N131</f>
        <v>32.5</v>
      </c>
      <c r="AB131" s="14"/>
      <c r="AC131" s="14"/>
      <c r="AD131" s="14"/>
      <c r="AE131" s="14"/>
      <c r="AF131" s="16">
        <v>0</v>
      </c>
      <c r="AG131" s="16">
        <v>1</v>
      </c>
      <c r="AH131" s="16">
        <v>0</v>
      </c>
      <c r="AI131" s="16">
        <v>1</v>
      </c>
      <c r="AJ131" s="5">
        <v>0</v>
      </c>
      <c r="AK131" s="5">
        <v>0</v>
      </c>
      <c r="AL131" s="5">
        <v>0</v>
      </c>
      <c r="AM131" s="20">
        <v>5</v>
      </c>
      <c r="AN131" s="20">
        <v>3</v>
      </c>
      <c r="AO131" s="16"/>
      <c r="AP131" s="16"/>
      <c r="AQ131" s="16"/>
      <c r="AR131" s="16">
        <v>0</v>
      </c>
      <c r="AS131" s="16">
        <v>0</v>
      </c>
      <c r="AT131" s="16"/>
      <c r="AU131" s="16"/>
      <c r="AV131" s="16"/>
      <c r="AW131" s="16"/>
      <c r="AX131" s="16">
        <v>0</v>
      </c>
      <c r="AY131" s="16">
        <v>0</v>
      </c>
      <c r="AZ131" s="16">
        <v>0</v>
      </c>
      <c r="BA131" s="16">
        <v>1</v>
      </c>
    </row>
    <row r="132" spans="1:53" x14ac:dyDescent="0.2">
      <c r="A132" s="14"/>
      <c r="B132" s="14" t="str">
        <f t="shared" si="23"/>
        <v>Peck &amp; Teisberg 1993</v>
      </c>
      <c r="C132" s="61">
        <f t="shared" si="24"/>
        <v>11</v>
      </c>
      <c r="D132" s="58">
        <v>1993</v>
      </c>
      <c r="E132" s="17"/>
      <c r="F132" s="58">
        <v>1</v>
      </c>
      <c r="G132" s="22">
        <v>1989</v>
      </c>
      <c r="H132" s="15">
        <f>LOOKUP(G132,CPI!A$69:A$100,CPI!O$69:O$100)</f>
        <v>1.7585161290322582</v>
      </c>
      <c r="I132" s="5">
        <v>2100</v>
      </c>
      <c r="J132" s="44">
        <v>0</v>
      </c>
      <c r="K132" s="44"/>
      <c r="L132" s="65"/>
      <c r="N132" s="3">
        <v>162.30000000000001</v>
      </c>
      <c r="O132" s="37">
        <f t="shared" si="33"/>
        <v>162.30000000000001</v>
      </c>
      <c r="P132" s="16">
        <v>0</v>
      </c>
      <c r="Q132" s="16">
        <v>1</v>
      </c>
      <c r="R132" s="16">
        <v>0</v>
      </c>
      <c r="S132" s="3"/>
      <c r="T132" s="56" t="str">
        <f t="shared" ref="T132:T187" si="35">IF(OR(M132="",S132=""),"",S132*H132*(1+$L$2)^(2015-I132))</f>
        <v/>
      </c>
      <c r="U132" s="56" t="str">
        <f t="shared" si="31"/>
        <v/>
      </c>
      <c r="V132" s="56" t="str">
        <f t="shared" si="32"/>
        <v/>
      </c>
      <c r="W132" s="3"/>
      <c r="X132" s="3"/>
      <c r="Y132" s="3"/>
      <c r="Z132" s="3"/>
      <c r="AA132" s="37">
        <f t="shared" si="34"/>
        <v>162.30000000000001</v>
      </c>
      <c r="AB132" s="3"/>
      <c r="AC132" s="3"/>
      <c r="AD132" s="3"/>
      <c r="AE132" s="3"/>
      <c r="AF132" s="16">
        <v>0</v>
      </c>
      <c r="AG132" s="16">
        <v>1</v>
      </c>
      <c r="AH132" s="16">
        <v>0</v>
      </c>
      <c r="AI132" s="16">
        <v>1</v>
      </c>
      <c r="AJ132" s="5">
        <v>0</v>
      </c>
      <c r="AK132" s="5">
        <v>0</v>
      </c>
      <c r="AL132" s="5">
        <v>0</v>
      </c>
      <c r="AM132" s="20">
        <v>5</v>
      </c>
      <c r="AN132" s="20">
        <v>3</v>
      </c>
      <c r="AO132" s="16"/>
      <c r="AP132" s="16"/>
      <c r="AQ132" s="16"/>
      <c r="AR132" s="16">
        <v>0</v>
      </c>
      <c r="AS132" s="16">
        <v>0</v>
      </c>
      <c r="AT132" s="16"/>
      <c r="AU132" s="16"/>
      <c r="AV132" s="16"/>
      <c r="AW132" s="16"/>
      <c r="AX132" s="16">
        <v>0</v>
      </c>
      <c r="AY132" s="16">
        <v>0</v>
      </c>
      <c r="AZ132" s="16">
        <v>0</v>
      </c>
      <c r="BA132" s="16">
        <v>1</v>
      </c>
    </row>
    <row r="133" spans="1:53" x14ac:dyDescent="0.2">
      <c r="A133" s="14"/>
      <c r="B133" s="14" t="str">
        <f t="shared" si="23"/>
        <v>Peck &amp; Teisberg 1993</v>
      </c>
      <c r="C133" s="61">
        <f t="shared" si="24"/>
        <v>11</v>
      </c>
      <c r="D133" s="58">
        <v>1993</v>
      </c>
      <c r="E133" s="17"/>
      <c r="F133" s="58">
        <v>1</v>
      </c>
      <c r="G133" s="22">
        <v>1989</v>
      </c>
      <c r="H133" s="15">
        <f>LOOKUP(G133,CPI!A$69:A$100,CPI!O$69:O$100)</f>
        <v>1.7585161290322582</v>
      </c>
      <c r="I133" s="52">
        <v>2030</v>
      </c>
      <c r="J133" s="15">
        <f t="shared" si="28"/>
        <v>1.9230769230769232E-2</v>
      </c>
      <c r="K133" s="59">
        <v>3.7037037037037035E-2</v>
      </c>
      <c r="L133" s="57">
        <f>(AA134/AA133)^(1/(I134-I133))-1</f>
        <v>1.6438785680132018E-2</v>
      </c>
      <c r="M133" s="56">
        <f>AA133*H133*(1+$L$2)^(2015-I133)</f>
        <v>57.637694784349804</v>
      </c>
      <c r="N133" s="14">
        <v>51.9</v>
      </c>
      <c r="O133" s="18">
        <f t="shared" si="33"/>
        <v>51.9</v>
      </c>
      <c r="P133" s="16">
        <v>0</v>
      </c>
      <c r="Q133" s="16">
        <v>1</v>
      </c>
      <c r="R133" s="16">
        <v>0</v>
      </c>
      <c r="S133" s="14"/>
      <c r="T133" s="56" t="str">
        <f t="shared" si="35"/>
        <v/>
      </c>
      <c r="U133" s="56" t="str">
        <f t="shared" si="31"/>
        <v/>
      </c>
      <c r="V133" s="56" t="str">
        <f t="shared" si="32"/>
        <v/>
      </c>
      <c r="W133" s="14"/>
      <c r="X133" s="14"/>
      <c r="Y133" s="14"/>
      <c r="Z133" s="14"/>
      <c r="AA133" s="18">
        <f t="shared" si="34"/>
        <v>51.9</v>
      </c>
      <c r="AB133" s="14"/>
      <c r="AC133" s="14"/>
      <c r="AD133" s="14"/>
      <c r="AE133" s="14"/>
      <c r="AF133" s="16">
        <v>0</v>
      </c>
      <c r="AG133" s="16">
        <v>1</v>
      </c>
      <c r="AH133" s="16">
        <v>0</v>
      </c>
      <c r="AI133" s="16">
        <v>1</v>
      </c>
      <c r="AJ133" s="5">
        <v>0</v>
      </c>
      <c r="AK133" s="5">
        <v>0</v>
      </c>
      <c r="AL133" s="5">
        <v>0</v>
      </c>
      <c r="AM133" s="20">
        <v>5</v>
      </c>
      <c r="AN133" s="20">
        <v>3</v>
      </c>
      <c r="AO133" s="16"/>
      <c r="AP133" s="16"/>
      <c r="AQ133" s="16"/>
      <c r="AR133" s="16">
        <v>0</v>
      </c>
      <c r="AS133" s="16">
        <v>0</v>
      </c>
      <c r="AT133" s="16"/>
      <c r="AU133" s="16"/>
      <c r="AV133" s="16"/>
      <c r="AW133" s="16"/>
      <c r="AX133" s="16">
        <v>0</v>
      </c>
      <c r="AY133" s="16">
        <v>0</v>
      </c>
      <c r="AZ133" s="16">
        <v>0</v>
      </c>
      <c r="BA133" s="16">
        <v>1</v>
      </c>
    </row>
    <row r="134" spans="1:53" x14ac:dyDescent="0.2">
      <c r="A134" s="14"/>
      <c r="B134" s="14" t="str">
        <f t="shared" si="23"/>
        <v>Peck &amp; Teisberg 1993</v>
      </c>
      <c r="C134" s="61">
        <f t="shared" si="24"/>
        <v>11</v>
      </c>
      <c r="D134" s="58">
        <v>1993</v>
      </c>
      <c r="E134" s="17"/>
      <c r="F134" s="58">
        <v>1</v>
      </c>
      <c r="G134" s="22">
        <v>1989</v>
      </c>
      <c r="H134" s="15">
        <f>LOOKUP(G134,CPI!A$69:A$100,CPI!O$69:O$100)</f>
        <v>1.7585161290322582</v>
      </c>
      <c r="I134" s="5">
        <v>2100</v>
      </c>
      <c r="J134" s="44">
        <v>0</v>
      </c>
      <c r="K134" s="44"/>
      <c r="L134" s="65"/>
      <c r="N134" s="3">
        <v>162.5</v>
      </c>
      <c r="O134" s="37">
        <f t="shared" si="33"/>
        <v>162.5</v>
      </c>
      <c r="P134" s="16">
        <v>0</v>
      </c>
      <c r="Q134" s="16">
        <v>1</v>
      </c>
      <c r="R134" s="16">
        <v>0</v>
      </c>
      <c r="S134" s="3"/>
      <c r="T134" s="56" t="str">
        <f t="shared" si="35"/>
        <v/>
      </c>
      <c r="U134" s="56" t="str">
        <f t="shared" si="31"/>
        <v/>
      </c>
      <c r="V134" s="56" t="str">
        <f t="shared" si="32"/>
        <v/>
      </c>
      <c r="W134" s="3"/>
      <c r="X134" s="3"/>
      <c r="Y134" s="3"/>
      <c r="Z134" s="3"/>
      <c r="AA134" s="37">
        <f t="shared" si="34"/>
        <v>162.5</v>
      </c>
      <c r="AB134" s="3"/>
      <c r="AC134" s="3"/>
      <c r="AD134" s="3"/>
      <c r="AE134" s="3"/>
      <c r="AF134" s="16">
        <v>0</v>
      </c>
      <c r="AG134" s="16">
        <v>1</v>
      </c>
      <c r="AH134" s="16">
        <v>0</v>
      </c>
      <c r="AI134" s="16">
        <v>1</v>
      </c>
      <c r="AJ134" s="5">
        <v>0</v>
      </c>
      <c r="AK134" s="5">
        <v>0</v>
      </c>
      <c r="AL134" s="5">
        <v>0</v>
      </c>
      <c r="AM134" s="20">
        <v>5</v>
      </c>
      <c r="AN134" s="20">
        <v>3</v>
      </c>
      <c r="AO134" s="16"/>
      <c r="AP134" s="16"/>
      <c r="AQ134" s="16"/>
      <c r="AR134" s="16">
        <v>0</v>
      </c>
      <c r="AS134" s="16">
        <v>0</v>
      </c>
      <c r="AT134" s="16"/>
      <c r="AU134" s="16"/>
      <c r="AV134" s="16"/>
      <c r="AW134" s="16"/>
      <c r="AX134" s="16">
        <v>0</v>
      </c>
      <c r="AY134" s="16">
        <v>0</v>
      </c>
      <c r="AZ134" s="16">
        <v>0</v>
      </c>
      <c r="BA134" s="16">
        <v>1</v>
      </c>
    </row>
    <row r="135" spans="1:53" x14ac:dyDescent="0.2">
      <c r="A135" s="14"/>
      <c r="B135" s="14" t="str">
        <f t="shared" si="23"/>
        <v>Peck &amp; Teisberg 1993</v>
      </c>
      <c r="C135" s="61">
        <f t="shared" si="24"/>
        <v>11</v>
      </c>
      <c r="D135" s="58">
        <v>1993</v>
      </c>
      <c r="E135" s="17"/>
      <c r="F135" s="58">
        <v>1</v>
      </c>
      <c r="G135" s="22">
        <v>1989</v>
      </c>
      <c r="H135" s="15">
        <f>LOOKUP(G135,CPI!A$69:A$100,CPI!O$69:O$100)</f>
        <v>1.7585161290322582</v>
      </c>
      <c r="I135" s="52">
        <v>2030</v>
      </c>
      <c r="J135" s="15">
        <f t="shared" si="28"/>
        <v>1.9230769230769232E-2</v>
      </c>
      <c r="K135" s="59">
        <v>3.7037037037037035E-2</v>
      </c>
      <c r="L135" s="57">
        <f>(AA136/AA135)^(1/(I136-I135))-1</f>
        <v>1.5200841963524114E-2</v>
      </c>
      <c r="M135" s="56">
        <f>AA135*H135*(1+$L$2)^(2015-I135)</f>
        <v>27.541711573253856</v>
      </c>
      <c r="N135" s="14">
        <v>24.8</v>
      </c>
      <c r="O135" s="18">
        <f t="shared" si="33"/>
        <v>24.8</v>
      </c>
      <c r="P135" s="16">
        <v>0</v>
      </c>
      <c r="Q135" s="16">
        <v>1</v>
      </c>
      <c r="R135" s="16">
        <v>0</v>
      </c>
      <c r="S135" s="14"/>
      <c r="T135" s="56" t="str">
        <f t="shared" si="35"/>
        <v/>
      </c>
      <c r="U135" s="56" t="str">
        <f t="shared" si="31"/>
        <v/>
      </c>
      <c r="V135" s="56" t="str">
        <f t="shared" si="32"/>
        <v/>
      </c>
      <c r="W135" s="14"/>
      <c r="X135" s="14"/>
      <c r="Y135" s="14"/>
      <c r="Z135" s="14"/>
      <c r="AA135" s="18">
        <f t="shared" si="34"/>
        <v>24.8</v>
      </c>
      <c r="AB135" s="14"/>
      <c r="AC135" s="14"/>
      <c r="AD135" s="14"/>
      <c r="AE135" s="14"/>
      <c r="AF135" s="16">
        <v>0</v>
      </c>
      <c r="AG135" s="16">
        <v>1</v>
      </c>
      <c r="AH135" s="16">
        <v>0</v>
      </c>
      <c r="AI135" s="16">
        <v>1</v>
      </c>
      <c r="AJ135" s="5">
        <v>0</v>
      </c>
      <c r="AK135" s="5">
        <v>0</v>
      </c>
      <c r="AL135" s="5">
        <v>0</v>
      </c>
      <c r="AM135" s="20">
        <v>5</v>
      </c>
      <c r="AN135" s="20">
        <v>3</v>
      </c>
      <c r="AO135" s="16"/>
      <c r="AP135" s="16"/>
      <c r="AQ135" s="16"/>
      <c r="AR135" s="16">
        <v>0</v>
      </c>
      <c r="AS135" s="16">
        <v>0</v>
      </c>
      <c r="AT135" s="16"/>
      <c r="AU135" s="16"/>
      <c r="AV135" s="16"/>
      <c r="AW135" s="16"/>
      <c r="AX135" s="16">
        <v>0</v>
      </c>
      <c r="AY135" s="16">
        <v>0</v>
      </c>
      <c r="AZ135" s="16">
        <v>0</v>
      </c>
      <c r="BA135" s="16">
        <v>1</v>
      </c>
    </row>
    <row r="136" spans="1:53" x14ac:dyDescent="0.2">
      <c r="A136" s="14"/>
      <c r="B136" s="14" t="str">
        <f t="shared" si="23"/>
        <v>Peck &amp; Teisberg 1993</v>
      </c>
      <c r="C136" s="61">
        <f t="shared" si="24"/>
        <v>11</v>
      </c>
      <c r="D136" s="58">
        <v>1993</v>
      </c>
      <c r="E136" s="17"/>
      <c r="F136" s="58">
        <v>1</v>
      </c>
      <c r="G136" s="22">
        <v>1989</v>
      </c>
      <c r="H136" s="15">
        <f>LOOKUP(G136,CPI!A$69:A$100,CPI!O$69:O$100)</f>
        <v>1.7585161290322582</v>
      </c>
      <c r="I136" s="5">
        <v>2100</v>
      </c>
      <c r="J136" s="44">
        <v>0</v>
      </c>
      <c r="K136" s="44"/>
      <c r="L136" s="65"/>
      <c r="N136" s="3">
        <v>71.3</v>
      </c>
      <c r="O136" s="37">
        <f t="shared" si="33"/>
        <v>71.3</v>
      </c>
      <c r="P136" s="16">
        <v>0</v>
      </c>
      <c r="Q136" s="16">
        <v>1</v>
      </c>
      <c r="R136" s="16">
        <v>0</v>
      </c>
      <c r="S136" s="3"/>
      <c r="T136" s="56" t="str">
        <f t="shared" si="35"/>
        <v/>
      </c>
      <c r="U136" s="56" t="str">
        <f t="shared" si="31"/>
        <v/>
      </c>
      <c r="V136" s="56" t="str">
        <f t="shared" si="32"/>
        <v/>
      </c>
      <c r="W136" s="3"/>
      <c r="X136" s="3"/>
      <c r="Y136" s="3"/>
      <c r="Z136" s="3"/>
      <c r="AA136" s="37">
        <f t="shared" si="34"/>
        <v>71.3</v>
      </c>
      <c r="AB136" s="3"/>
      <c r="AC136" s="3"/>
      <c r="AD136" s="3"/>
      <c r="AE136" s="3"/>
      <c r="AF136" s="16">
        <v>0</v>
      </c>
      <c r="AG136" s="16">
        <v>1</v>
      </c>
      <c r="AH136" s="16">
        <v>0</v>
      </c>
      <c r="AI136" s="16">
        <v>1</v>
      </c>
      <c r="AJ136" s="5">
        <v>0</v>
      </c>
      <c r="AK136" s="5">
        <v>0</v>
      </c>
      <c r="AL136" s="5">
        <v>0</v>
      </c>
      <c r="AM136" s="20">
        <v>5</v>
      </c>
      <c r="AN136" s="20">
        <v>3</v>
      </c>
      <c r="AO136" s="16"/>
      <c r="AP136" s="16"/>
      <c r="AQ136" s="16"/>
      <c r="AR136" s="16">
        <v>0</v>
      </c>
      <c r="AS136" s="16">
        <v>0</v>
      </c>
      <c r="AT136" s="16"/>
      <c r="AU136" s="16"/>
      <c r="AV136" s="16"/>
      <c r="AW136" s="16"/>
      <c r="AX136" s="16">
        <v>0</v>
      </c>
      <c r="AY136" s="16">
        <v>0</v>
      </c>
      <c r="AZ136" s="16">
        <v>0</v>
      </c>
      <c r="BA136" s="16">
        <v>1</v>
      </c>
    </row>
    <row r="137" spans="1:53" x14ac:dyDescent="0.2">
      <c r="A137" s="14"/>
      <c r="B137" s="14" t="str">
        <f t="shared" si="23"/>
        <v>Peck &amp; Teisberg 1993</v>
      </c>
      <c r="C137" s="61">
        <f t="shared" si="24"/>
        <v>11</v>
      </c>
      <c r="D137" s="58">
        <v>1993</v>
      </c>
      <c r="E137" s="17"/>
      <c r="F137" s="58">
        <v>1</v>
      </c>
      <c r="G137" s="22">
        <v>1989</v>
      </c>
      <c r="H137" s="15">
        <f>LOOKUP(G137,CPI!A$69:A$100,CPI!O$69:O$100)</f>
        <v>1.7585161290322582</v>
      </c>
      <c r="I137" s="52">
        <v>2030</v>
      </c>
      <c r="J137" s="15">
        <f t="shared" si="28"/>
        <v>1.9230769230769232E-2</v>
      </c>
      <c r="K137" s="59">
        <v>3.7037037037037035E-2</v>
      </c>
      <c r="L137" s="57">
        <f>(AA138/AA137)^(1/(I138-I137))-1</f>
        <v>1.4965333358966326E-2</v>
      </c>
      <c r="M137" s="56">
        <f>AA137*H137*(1+$L$2)^(2015-I137)</f>
        <v>27.874877439059347</v>
      </c>
      <c r="N137" s="14">
        <v>25.1</v>
      </c>
      <c r="O137" s="18">
        <f t="shared" si="33"/>
        <v>25.1</v>
      </c>
      <c r="P137" s="16">
        <v>0</v>
      </c>
      <c r="Q137" s="16">
        <v>1</v>
      </c>
      <c r="R137" s="16">
        <v>0</v>
      </c>
      <c r="S137" s="14"/>
      <c r="T137" s="56" t="str">
        <f t="shared" si="35"/>
        <v/>
      </c>
      <c r="U137" s="56" t="str">
        <f t="shared" si="31"/>
        <v/>
      </c>
      <c r="V137" s="56" t="str">
        <f t="shared" si="32"/>
        <v/>
      </c>
      <c r="W137" s="14"/>
      <c r="X137" s="14"/>
      <c r="Y137" s="14"/>
      <c r="Z137" s="14"/>
      <c r="AA137" s="18">
        <f t="shared" si="34"/>
        <v>25.1</v>
      </c>
      <c r="AB137" s="14"/>
      <c r="AC137" s="14"/>
      <c r="AD137" s="14"/>
      <c r="AE137" s="14"/>
      <c r="AF137" s="16">
        <v>0</v>
      </c>
      <c r="AG137" s="16">
        <v>1</v>
      </c>
      <c r="AH137" s="16">
        <v>0</v>
      </c>
      <c r="AI137" s="16">
        <v>1</v>
      </c>
      <c r="AJ137" s="5">
        <v>0</v>
      </c>
      <c r="AK137" s="5">
        <v>0</v>
      </c>
      <c r="AL137" s="5">
        <v>0</v>
      </c>
      <c r="AM137" s="20">
        <v>5</v>
      </c>
      <c r="AN137" s="20">
        <v>3</v>
      </c>
      <c r="AO137" s="16"/>
      <c r="AP137" s="16"/>
      <c r="AQ137" s="16"/>
      <c r="AR137" s="16">
        <v>0</v>
      </c>
      <c r="AS137" s="16">
        <v>0</v>
      </c>
      <c r="AT137" s="16"/>
      <c r="AU137" s="16"/>
      <c r="AV137" s="16"/>
      <c r="AW137" s="16"/>
      <c r="AX137" s="16">
        <v>0</v>
      </c>
      <c r="AY137" s="16">
        <v>0</v>
      </c>
      <c r="AZ137" s="16">
        <v>0</v>
      </c>
      <c r="BA137" s="16">
        <v>1</v>
      </c>
    </row>
    <row r="138" spans="1:53" x14ac:dyDescent="0.2">
      <c r="A138" s="14"/>
      <c r="B138" s="14" t="str">
        <f t="shared" ref="B138:B201" si="36">+IF(A138="",B137,A138&amp;" "&amp;D138)</f>
        <v>Peck &amp; Teisberg 1993</v>
      </c>
      <c r="C138" s="61">
        <f t="shared" ref="C138:C201" si="37">+IF(A138="",C137,C137+1)</f>
        <v>11</v>
      </c>
      <c r="D138" s="58">
        <v>1993</v>
      </c>
      <c r="E138" s="17"/>
      <c r="F138" s="58">
        <v>1</v>
      </c>
      <c r="G138" s="22">
        <v>1989</v>
      </c>
      <c r="H138" s="15">
        <f>LOOKUP(G138,CPI!A$69:A$100,CPI!O$69:O$100)</f>
        <v>1.7585161290322582</v>
      </c>
      <c r="I138" s="5">
        <v>2100</v>
      </c>
      <c r="J138" s="44">
        <v>0</v>
      </c>
      <c r="K138" s="44"/>
      <c r="L138" s="65"/>
      <c r="N138" s="3">
        <v>71</v>
      </c>
      <c r="O138" s="37">
        <f t="shared" si="33"/>
        <v>71</v>
      </c>
      <c r="P138" s="16">
        <v>0</v>
      </c>
      <c r="Q138" s="16">
        <v>1</v>
      </c>
      <c r="R138" s="16">
        <v>0</v>
      </c>
      <c r="S138" s="3"/>
      <c r="T138" s="56" t="str">
        <f t="shared" si="35"/>
        <v/>
      </c>
      <c r="U138" s="56" t="str">
        <f t="shared" si="31"/>
        <v/>
      </c>
      <c r="V138" s="56" t="str">
        <f t="shared" si="32"/>
        <v/>
      </c>
      <c r="W138" s="3"/>
      <c r="X138" s="3"/>
      <c r="Y138" s="3"/>
      <c r="Z138" s="3"/>
      <c r="AA138" s="37">
        <f t="shared" si="34"/>
        <v>71</v>
      </c>
      <c r="AB138" s="3"/>
      <c r="AC138" s="3"/>
      <c r="AD138" s="3"/>
      <c r="AE138" s="3"/>
      <c r="AF138" s="16">
        <v>0</v>
      </c>
      <c r="AG138" s="16">
        <v>1</v>
      </c>
      <c r="AH138" s="16">
        <v>0</v>
      </c>
      <c r="AI138" s="16">
        <v>1</v>
      </c>
      <c r="AJ138" s="5">
        <v>0</v>
      </c>
      <c r="AK138" s="5">
        <v>0</v>
      </c>
      <c r="AL138" s="5">
        <v>0</v>
      </c>
      <c r="AM138" s="20">
        <v>5</v>
      </c>
      <c r="AN138" s="20">
        <v>3</v>
      </c>
      <c r="AO138" s="16"/>
      <c r="AP138" s="16"/>
      <c r="AQ138" s="16"/>
      <c r="AR138" s="16">
        <v>0</v>
      </c>
      <c r="AS138" s="16">
        <v>0</v>
      </c>
      <c r="AT138" s="16"/>
      <c r="AU138" s="16"/>
      <c r="AV138" s="16"/>
      <c r="AW138" s="16"/>
      <c r="AX138" s="16">
        <v>0</v>
      </c>
      <c r="AY138" s="16">
        <v>0</v>
      </c>
      <c r="AZ138" s="16">
        <v>0</v>
      </c>
      <c r="BA138" s="16">
        <v>1</v>
      </c>
    </row>
    <row r="139" spans="1:53" x14ac:dyDescent="0.2">
      <c r="A139" s="14"/>
      <c r="B139" s="14" t="str">
        <f t="shared" si="36"/>
        <v>Peck &amp; Teisberg 1993</v>
      </c>
      <c r="C139" s="61">
        <f t="shared" si="37"/>
        <v>11</v>
      </c>
      <c r="D139" s="58">
        <v>1993</v>
      </c>
      <c r="E139" s="17"/>
      <c r="F139" s="58">
        <v>1</v>
      </c>
      <c r="G139" s="22">
        <v>1989</v>
      </c>
      <c r="H139" s="15">
        <f>LOOKUP(G139,CPI!A$69:A$100,CPI!O$69:O$100)</f>
        <v>1.7585161290322582</v>
      </c>
      <c r="I139" s="52">
        <v>2030</v>
      </c>
      <c r="J139" s="15">
        <f t="shared" si="28"/>
        <v>1.9230769230769232E-2</v>
      </c>
      <c r="K139" s="59">
        <v>3.7037037037037035E-2</v>
      </c>
      <c r="L139" s="57">
        <f>(AA140/AA139)^(1/(I140-I139))-1</f>
        <v>1.9153929028025374E-2</v>
      </c>
      <c r="M139" s="56">
        <f>AA139*H139*(1+$L$2)^(2015-I139)</f>
        <v>31.42864667431791</v>
      </c>
      <c r="N139" s="14">
        <v>28.3</v>
      </c>
      <c r="O139" s="18">
        <f t="shared" si="33"/>
        <v>28.3</v>
      </c>
      <c r="P139" s="16">
        <v>0</v>
      </c>
      <c r="Q139" s="16">
        <v>1</v>
      </c>
      <c r="R139" s="16">
        <v>0</v>
      </c>
      <c r="S139" s="14"/>
      <c r="T139" s="56" t="str">
        <f t="shared" si="35"/>
        <v/>
      </c>
      <c r="U139" s="56" t="str">
        <f t="shared" si="31"/>
        <v/>
      </c>
      <c r="V139" s="56" t="str">
        <f t="shared" si="32"/>
        <v/>
      </c>
      <c r="W139" s="14"/>
      <c r="X139" s="14"/>
      <c r="Y139" s="14"/>
      <c r="Z139" s="14"/>
      <c r="AA139" s="18">
        <f t="shared" si="34"/>
        <v>28.3</v>
      </c>
      <c r="AB139" s="14"/>
      <c r="AC139" s="14"/>
      <c r="AD139" s="14"/>
      <c r="AE139" s="14"/>
      <c r="AF139" s="16">
        <v>0</v>
      </c>
      <c r="AG139" s="16">
        <v>1</v>
      </c>
      <c r="AH139" s="16">
        <v>0</v>
      </c>
      <c r="AI139" s="16">
        <v>1</v>
      </c>
      <c r="AJ139" s="5">
        <v>0</v>
      </c>
      <c r="AK139" s="5">
        <v>0</v>
      </c>
      <c r="AL139" s="5">
        <v>0</v>
      </c>
      <c r="AM139" s="20">
        <v>5</v>
      </c>
      <c r="AN139" s="20">
        <v>3</v>
      </c>
      <c r="AO139" s="16"/>
      <c r="AP139" s="16"/>
      <c r="AQ139" s="16"/>
      <c r="AR139" s="16">
        <v>0</v>
      </c>
      <c r="AS139" s="16">
        <v>0</v>
      </c>
      <c r="AT139" s="16"/>
      <c r="AU139" s="16"/>
      <c r="AV139" s="16"/>
      <c r="AW139" s="16"/>
      <c r="AX139" s="16">
        <v>0</v>
      </c>
      <c r="AY139" s="16">
        <v>0</v>
      </c>
      <c r="AZ139" s="16">
        <v>0</v>
      </c>
      <c r="BA139" s="16">
        <v>1</v>
      </c>
    </row>
    <row r="140" spans="1:53" x14ac:dyDescent="0.2">
      <c r="A140" s="14"/>
      <c r="B140" s="14" t="str">
        <f t="shared" si="36"/>
        <v>Peck &amp; Teisberg 1993</v>
      </c>
      <c r="C140" s="61">
        <f t="shared" si="37"/>
        <v>11</v>
      </c>
      <c r="D140" s="58">
        <v>1993</v>
      </c>
      <c r="E140" s="17"/>
      <c r="F140" s="58">
        <v>1</v>
      </c>
      <c r="G140" s="22">
        <v>1989</v>
      </c>
      <c r="H140" s="15">
        <f>LOOKUP(G140,CPI!A$69:A$100,CPI!O$69:O$100)</f>
        <v>1.7585161290322582</v>
      </c>
      <c r="I140" s="5">
        <v>2100</v>
      </c>
      <c r="J140" s="44">
        <v>0</v>
      </c>
      <c r="K140" s="44"/>
      <c r="L140" s="65"/>
      <c r="N140" s="3">
        <v>106.8</v>
      </c>
      <c r="O140" s="37">
        <f t="shared" si="33"/>
        <v>106.8</v>
      </c>
      <c r="P140" s="16">
        <v>0</v>
      </c>
      <c r="Q140" s="16">
        <v>1</v>
      </c>
      <c r="R140" s="16">
        <v>0</v>
      </c>
      <c r="S140" s="3"/>
      <c r="T140" s="56" t="str">
        <f t="shared" si="35"/>
        <v/>
      </c>
      <c r="U140" s="56" t="str">
        <f t="shared" si="31"/>
        <v/>
      </c>
      <c r="V140" s="56" t="str">
        <f t="shared" si="32"/>
        <v/>
      </c>
      <c r="W140" s="3"/>
      <c r="X140" s="3"/>
      <c r="Y140" s="3"/>
      <c r="Z140" s="3"/>
      <c r="AA140" s="37">
        <f t="shared" si="34"/>
        <v>106.8</v>
      </c>
      <c r="AB140" s="3"/>
      <c r="AC140" s="3"/>
      <c r="AD140" s="3"/>
      <c r="AE140" s="3"/>
      <c r="AF140" s="16">
        <v>0</v>
      </c>
      <c r="AG140" s="16">
        <v>1</v>
      </c>
      <c r="AH140" s="16">
        <v>0</v>
      </c>
      <c r="AI140" s="16">
        <v>1</v>
      </c>
      <c r="AJ140" s="5">
        <v>0</v>
      </c>
      <c r="AK140" s="5">
        <v>0</v>
      </c>
      <c r="AL140" s="5">
        <v>0</v>
      </c>
      <c r="AM140" s="20">
        <v>5</v>
      </c>
      <c r="AN140" s="20">
        <v>3</v>
      </c>
      <c r="AO140" s="16"/>
      <c r="AP140" s="16"/>
      <c r="AQ140" s="16"/>
      <c r="AR140" s="16">
        <v>0</v>
      </c>
      <c r="AS140" s="16">
        <v>0</v>
      </c>
      <c r="AT140" s="16"/>
      <c r="AU140" s="16"/>
      <c r="AV140" s="16"/>
      <c r="AW140" s="16"/>
      <c r="AX140" s="16">
        <v>0</v>
      </c>
      <c r="AY140" s="16">
        <v>0</v>
      </c>
      <c r="AZ140" s="16">
        <v>0</v>
      </c>
      <c r="BA140" s="16">
        <v>1</v>
      </c>
    </row>
    <row r="141" spans="1:53" x14ac:dyDescent="0.2">
      <c r="A141" s="14"/>
      <c r="B141" s="14" t="str">
        <f t="shared" si="36"/>
        <v>Peck &amp; Teisberg 1993</v>
      </c>
      <c r="C141" s="61">
        <f t="shared" si="37"/>
        <v>11</v>
      </c>
      <c r="D141" s="58">
        <v>1993</v>
      </c>
      <c r="E141" s="17"/>
      <c r="F141" s="58">
        <v>1</v>
      </c>
      <c r="G141" s="22">
        <v>1989</v>
      </c>
      <c r="H141" s="15">
        <f>LOOKUP(G141,CPI!A$69:A$100,CPI!O$69:O$100)</f>
        <v>1.7585161290322582</v>
      </c>
      <c r="I141" s="52">
        <v>2030</v>
      </c>
      <c r="J141" s="15">
        <f t="shared" si="28"/>
        <v>1.9230769230769232E-2</v>
      </c>
      <c r="K141" s="59">
        <v>3.7037037037037035E-2</v>
      </c>
      <c r="L141" s="57">
        <f>(AA142/AA141)^(1/(I142-I141))-1</f>
        <v>1.5856606904206982E-2</v>
      </c>
      <c r="M141" s="56">
        <f>AA141*H141*(1+$L$2)^(2015-I141)</f>
        <v>13.992966363830588</v>
      </c>
      <c r="N141" s="14">
        <v>12.6</v>
      </c>
      <c r="O141" s="18">
        <f t="shared" si="33"/>
        <v>12.6</v>
      </c>
      <c r="P141" s="16">
        <v>0</v>
      </c>
      <c r="Q141" s="16">
        <v>1</v>
      </c>
      <c r="R141" s="16">
        <v>0</v>
      </c>
      <c r="S141" s="14"/>
      <c r="T141" s="56" t="str">
        <f t="shared" si="35"/>
        <v/>
      </c>
      <c r="U141" s="56" t="str">
        <f t="shared" si="31"/>
        <v/>
      </c>
      <c r="V141" s="56" t="str">
        <f t="shared" si="32"/>
        <v/>
      </c>
      <c r="W141" s="14"/>
      <c r="X141" s="14"/>
      <c r="Y141" s="14"/>
      <c r="Z141" s="14"/>
      <c r="AA141" s="18">
        <f t="shared" si="34"/>
        <v>12.6</v>
      </c>
      <c r="AB141" s="14"/>
      <c r="AC141" s="14"/>
      <c r="AD141" s="14"/>
      <c r="AE141" s="14"/>
      <c r="AF141" s="16">
        <v>0</v>
      </c>
      <c r="AG141" s="16">
        <v>1</v>
      </c>
      <c r="AH141" s="16">
        <v>0</v>
      </c>
      <c r="AI141" s="16">
        <v>1</v>
      </c>
      <c r="AJ141" s="5">
        <v>0</v>
      </c>
      <c r="AK141" s="5">
        <v>0</v>
      </c>
      <c r="AL141" s="5">
        <v>0</v>
      </c>
      <c r="AM141" s="20"/>
      <c r="AN141" s="20" t="s">
        <v>25</v>
      </c>
      <c r="AO141" s="16"/>
      <c r="AP141" s="16"/>
      <c r="AQ141" s="16"/>
      <c r="AR141" s="16">
        <v>0</v>
      </c>
      <c r="AS141" s="16">
        <v>0</v>
      </c>
      <c r="AT141" s="16"/>
      <c r="AU141" s="16"/>
      <c r="AV141" s="16"/>
      <c r="AW141" s="16"/>
      <c r="AX141" s="16">
        <v>0</v>
      </c>
      <c r="AY141" s="16">
        <v>0</v>
      </c>
      <c r="AZ141" s="16">
        <v>0</v>
      </c>
      <c r="BA141" s="16">
        <v>1</v>
      </c>
    </row>
    <row r="142" spans="1:53" x14ac:dyDescent="0.2">
      <c r="A142" s="14"/>
      <c r="B142" s="14" t="str">
        <f t="shared" si="36"/>
        <v>Peck &amp; Teisberg 1993</v>
      </c>
      <c r="C142" s="61">
        <f t="shared" si="37"/>
        <v>11</v>
      </c>
      <c r="D142" s="58">
        <v>1993</v>
      </c>
      <c r="E142" s="17"/>
      <c r="F142" s="58">
        <v>1</v>
      </c>
      <c r="G142" s="22">
        <v>1989</v>
      </c>
      <c r="H142" s="15">
        <f>LOOKUP(G142,CPI!A$69:A$100,CPI!O$69:O$100)</f>
        <v>1.7585161290322582</v>
      </c>
      <c r="I142" s="5">
        <v>2100</v>
      </c>
      <c r="J142" s="44">
        <v>0</v>
      </c>
      <c r="K142" s="44"/>
      <c r="L142" s="65"/>
      <c r="N142" s="3">
        <v>37.9</v>
      </c>
      <c r="O142" s="37">
        <f t="shared" si="33"/>
        <v>37.9</v>
      </c>
      <c r="P142" s="16">
        <v>0</v>
      </c>
      <c r="Q142" s="16">
        <v>1</v>
      </c>
      <c r="R142" s="16">
        <v>0</v>
      </c>
      <c r="S142" s="3"/>
      <c r="T142" s="56" t="str">
        <f t="shared" si="35"/>
        <v/>
      </c>
      <c r="U142" s="56" t="str">
        <f t="shared" si="31"/>
        <v/>
      </c>
      <c r="V142" s="56" t="str">
        <f t="shared" si="32"/>
        <v/>
      </c>
      <c r="W142" s="3"/>
      <c r="X142" s="3"/>
      <c r="Y142" s="3"/>
      <c r="Z142" s="3"/>
      <c r="AA142" s="37">
        <f t="shared" si="34"/>
        <v>37.9</v>
      </c>
      <c r="AB142" s="3"/>
      <c r="AC142" s="3"/>
      <c r="AD142" s="3"/>
      <c r="AE142" s="3"/>
      <c r="AF142" s="16">
        <v>0</v>
      </c>
      <c r="AG142" s="16">
        <v>1</v>
      </c>
      <c r="AH142" s="16">
        <v>0</v>
      </c>
      <c r="AI142" s="16">
        <v>1</v>
      </c>
      <c r="AJ142" s="5">
        <v>0</v>
      </c>
      <c r="AK142" s="5">
        <v>0</v>
      </c>
      <c r="AL142" s="5">
        <v>0</v>
      </c>
      <c r="AM142" s="20"/>
      <c r="AN142" s="20" t="s">
        <v>25</v>
      </c>
      <c r="AO142" s="16"/>
      <c r="AP142" s="16"/>
      <c r="AQ142" s="16"/>
      <c r="AR142" s="16">
        <v>0</v>
      </c>
      <c r="AS142" s="16">
        <v>0</v>
      </c>
      <c r="AT142" s="16"/>
      <c r="AU142" s="16"/>
      <c r="AV142" s="16"/>
      <c r="AW142" s="16"/>
      <c r="AX142" s="16">
        <v>0</v>
      </c>
      <c r="AY142" s="16">
        <v>0</v>
      </c>
      <c r="AZ142" s="16">
        <v>0</v>
      </c>
      <c r="BA142" s="16">
        <v>1</v>
      </c>
    </row>
    <row r="143" spans="1:53" x14ac:dyDescent="0.2">
      <c r="A143" s="14"/>
      <c r="B143" s="14" t="str">
        <f t="shared" si="36"/>
        <v>Peck &amp; Teisberg 1993</v>
      </c>
      <c r="C143" s="61">
        <f t="shared" si="37"/>
        <v>11</v>
      </c>
      <c r="D143" s="58">
        <v>1993</v>
      </c>
      <c r="E143" s="17"/>
      <c r="F143" s="58">
        <v>1</v>
      </c>
      <c r="G143" s="22">
        <v>1989</v>
      </c>
      <c r="H143" s="15">
        <f>LOOKUP(G143,CPI!A$69:A$100,CPI!O$69:O$100)</f>
        <v>1.7585161290322582</v>
      </c>
      <c r="I143" s="52">
        <v>2030</v>
      </c>
      <c r="J143" s="15">
        <f t="shared" si="28"/>
        <v>1.9230769230769232E-2</v>
      </c>
      <c r="K143" s="59">
        <v>3.7037037037037035E-2</v>
      </c>
      <c r="L143" s="57">
        <f>(AA144/AA143)^(1/(I144-I143))-1</f>
        <v>1.6000283169701923E-2</v>
      </c>
      <c r="M143" s="56">
        <f>AA143*H143*(1+$L$2)^(2015-I143)</f>
        <v>49.863824582221696</v>
      </c>
      <c r="N143" s="14">
        <v>44.9</v>
      </c>
      <c r="O143" s="18">
        <f t="shared" si="33"/>
        <v>44.9</v>
      </c>
      <c r="P143" s="16">
        <v>0</v>
      </c>
      <c r="Q143" s="16">
        <v>1</v>
      </c>
      <c r="R143" s="16">
        <v>0</v>
      </c>
      <c r="S143" s="14"/>
      <c r="T143" s="56" t="str">
        <f t="shared" si="35"/>
        <v/>
      </c>
      <c r="U143" s="56" t="str">
        <f t="shared" si="31"/>
        <v/>
      </c>
      <c r="V143" s="56" t="str">
        <f t="shared" si="32"/>
        <v/>
      </c>
      <c r="W143" s="14"/>
      <c r="X143" s="14"/>
      <c r="Y143" s="14"/>
      <c r="Z143" s="14"/>
      <c r="AA143" s="18">
        <f t="shared" si="34"/>
        <v>44.9</v>
      </c>
      <c r="AB143" s="14"/>
      <c r="AC143" s="14"/>
      <c r="AD143" s="14"/>
      <c r="AE143" s="14"/>
      <c r="AF143" s="16">
        <v>0</v>
      </c>
      <c r="AG143" s="16">
        <v>1</v>
      </c>
      <c r="AH143" s="16">
        <v>0</v>
      </c>
      <c r="AI143" s="16">
        <v>1</v>
      </c>
      <c r="AJ143" s="5">
        <v>0</v>
      </c>
      <c r="AK143" s="5">
        <v>0</v>
      </c>
      <c r="AL143" s="5">
        <v>0</v>
      </c>
      <c r="AM143" s="20"/>
      <c r="AN143" s="20" t="s">
        <v>25</v>
      </c>
      <c r="AO143" s="16"/>
      <c r="AP143" s="16"/>
      <c r="AQ143" s="16"/>
      <c r="AR143" s="16">
        <v>0</v>
      </c>
      <c r="AS143" s="16">
        <v>0</v>
      </c>
      <c r="AT143" s="16"/>
      <c r="AU143" s="16"/>
      <c r="AV143" s="16"/>
      <c r="AW143" s="16"/>
      <c r="AX143" s="16">
        <v>0</v>
      </c>
      <c r="AY143" s="16">
        <v>0</v>
      </c>
      <c r="AZ143" s="16">
        <v>0</v>
      </c>
      <c r="BA143" s="16">
        <v>1</v>
      </c>
    </row>
    <row r="144" spans="1:53" x14ac:dyDescent="0.2">
      <c r="A144" s="14"/>
      <c r="B144" s="14" t="str">
        <f t="shared" si="36"/>
        <v>Peck &amp; Teisberg 1993</v>
      </c>
      <c r="C144" s="61">
        <f t="shared" si="37"/>
        <v>11</v>
      </c>
      <c r="D144" s="58">
        <v>1993</v>
      </c>
      <c r="E144" s="17"/>
      <c r="F144" s="58">
        <v>1</v>
      </c>
      <c r="G144" s="22">
        <v>1989</v>
      </c>
      <c r="H144" s="15">
        <f>LOOKUP(G144,CPI!A$69:A$100,CPI!O$69:O$100)</f>
        <v>1.7585161290322582</v>
      </c>
      <c r="I144" s="5">
        <v>2100</v>
      </c>
      <c r="J144" s="44">
        <v>0</v>
      </c>
      <c r="K144" s="44"/>
      <c r="L144" s="65"/>
      <c r="N144" s="3">
        <v>136.4</v>
      </c>
      <c r="O144" s="37">
        <f t="shared" si="33"/>
        <v>136.4</v>
      </c>
      <c r="P144" s="16">
        <v>0</v>
      </c>
      <c r="Q144" s="16">
        <v>1</v>
      </c>
      <c r="R144" s="16">
        <v>0</v>
      </c>
      <c r="S144" s="3"/>
      <c r="T144" s="56" t="str">
        <f t="shared" si="35"/>
        <v/>
      </c>
      <c r="U144" s="56" t="str">
        <f t="shared" si="31"/>
        <v/>
      </c>
      <c r="V144" s="56" t="str">
        <f t="shared" si="32"/>
        <v/>
      </c>
      <c r="W144" s="3"/>
      <c r="X144" s="3"/>
      <c r="Y144" s="3"/>
      <c r="Z144" s="3"/>
      <c r="AA144" s="37">
        <f t="shared" si="34"/>
        <v>136.4</v>
      </c>
      <c r="AB144" s="3"/>
      <c r="AC144" s="3"/>
      <c r="AD144" s="3"/>
      <c r="AE144" s="3"/>
      <c r="AF144" s="16">
        <v>0</v>
      </c>
      <c r="AG144" s="16">
        <v>1</v>
      </c>
      <c r="AH144" s="16">
        <v>0</v>
      </c>
      <c r="AI144" s="16">
        <v>1</v>
      </c>
      <c r="AJ144" s="5">
        <v>0</v>
      </c>
      <c r="AK144" s="5">
        <v>0</v>
      </c>
      <c r="AL144" s="5">
        <v>0</v>
      </c>
      <c r="AM144" s="20"/>
      <c r="AN144" s="20" t="s">
        <v>25</v>
      </c>
      <c r="AO144" s="16"/>
      <c r="AP144" s="16"/>
      <c r="AQ144" s="16"/>
      <c r="AR144" s="16">
        <v>0</v>
      </c>
      <c r="AS144" s="16">
        <v>0</v>
      </c>
      <c r="AT144" s="16"/>
      <c r="AU144" s="16"/>
      <c r="AV144" s="16"/>
      <c r="AW144" s="16"/>
      <c r="AX144" s="16">
        <v>0</v>
      </c>
      <c r="AY144" s="16">
        <v>0</v>
      </c>
      <c r="AZ144" s="16">
        <v>0</v>
      </c>
      <c r="BA144" s="16">
        <v>1</v>
      </c>
    </row>
    <row r="145" spans="1:53" x14ac:dyDescent="0.2">
      <c r="A145" s="14" t="s">
        <v>184</v>
      </c>
      <c r="B145" s="14" t="str">
        <f t="shared" si="36"/>
        <v>Reilly &amp; Richards 1993</v>
      </c>
      <c r="C145" s="61">
        <f t="shared" si="37"/>
        <v>12</v>
      </c>
      <c r="D145" s="58">
        <v>1993</v>
      </c>
      <c r="E145" s="17" t="s">
        <v>107</v>
      </c>
      <c r="F145" s="58">
        <v>1</v>
      </c>
      <c r="G145" s="22">
        <v>1990</v>
      </c>
      <c r="H145" s="15">
        <f>LOOKUP(G145,CPI!A$69:A$100,CPI!O$69:O$100)</f>
        <v>1.6683703136954862</v>
      </c>
      <c r="I145" s="52">
        <v>1990</v>
      </c>
      <c r="J145" s="15">
        <v>0.2</v>
      </c>
      <c r="K145" s="15"/>
      <c r="L145" s="62"/>
      <c r="M145" s="56">
        <f t="shared" ref="M145:M152" si="38">AA145*H145*(1+$L$2)^(2015-I145)</f>
        <v>51.322406156611436</v>
      </c>
      <c r="N145" s="14">
        <f>3.9*44/12</f>
        <v>14.299999999999999</v>
      </c>
      <c r="O145" s="18">
        <f t="shared" si="33"/>
        <v>14.299999999999999</v>
      </c>
      <c r="P145" s="16">
        <v>0</v>
      </c>
      <c r="Q145" s="16">
        <v>1</v>
      </c>
      <c r="R145" s="16">
        <v>0</v>
      </c>
      <c r="S145" s="14"/>
      <c r="T145" s="56" t="str">
        <f t="shared" si="35"/>
        <v/>
      </c>
      <c r="U145" s="56" t="str">
        <f t="shared" si="31"/>
        <v/>
      </c>
      <c r="V145" s="56" t="str">
        <f t="shared" si="32"/>
        <v/>
      </c>
      <c r="W145" s="14"/>
      <c r="X145" s="14"/>
      <c r="Y145" s="14"/>
      <c r="Z145" s="14"/>
      <c r="AA145" s="18">
        <f t="shared" si="34"/>
        <v>14.299999999999999</v>
      </c>
      <c r="AB145" s="14"/>
      <c r="AC145" s="14"/>
      <c r="AD145" s="14"/>
      <c r="AE145" s="14"/>
      <c r="AF145" s="16">
        <v>0</v>
      </c>
      <c r="AG145" s="16">
        <v>1</v>
      </c>
      <c r="AH145" s="16">
        <v>0</v>
      </c>
      <c r="AI145" s="16">
        <v>0</v>
      </c>
      <c r="AJ145" s="5">
        <v>0</v>
      </c>
      <c r="AK145" s="5">
        <v>0</v>
      </c>
      <c r="AL145" s="5">
        <v>0</v>
      </c>
      <c r="AM145" s="20">
        <v>5</v>
      </c>
      <c r="AN145" s="20">
        <v>3</v>
      </c>
      <c r="AO145" s="16"/>
      <c r="AP145" s="16"/>
      <c r="AQ145" s="16"/>
      <c r="AR145" s="16">
        <v>0</v>
      </c>
      <c r="AS145" s="16">
        <v>0</v>
      </c>
      <c r="AT145" s="16"/>
      <c r="AU145" s="16"/>
      <c r="AV145" s="16"/>
      <c r="AW145" s="16"/>
      <c r="AX145" s="16">
        <v>0</v>
      </c>
      <c r="AY145" s="16">
        <v>0</v>
      </c>
      <c r="AZ145" s="16">
        <v>0</v>
      </c>
      <c r="BA145" s="16">
        <v>0</v>
      </c>
    </row>
    <row r="146" spans="1:53" x14ac:dyDescent="0.2">
      <c r="A146" s="14"/>
      <c r="B146" s="14" t="str">
        <f t="shared" si="36"/>
        <v>Reilly &amp; Richards 1993</v>
      </c>
      <c r="C146" s="61">
        <f t="shared" si="37"/>
        <v>12</v>
      </c>
      <c r="D146" s="58">
        <v>1993</v>
      </c>
      <c r="E146" s="17"/>
      <c r="F146" s="58">
        <v>1</v>
      </c>
      <c r="G146" s="22">
        <v>1990</v>
      </c>
      <c r="H146" s="15">
        <f>LOOKUP(G146,CPI!A$69:A$100,CPI!O$69:O$100)</f>
        <v>1.6683703136954862</v>
      </c>
      <c r="I146" s="52">
        <v>1990</v>
      </c>
      <c r="J146" s="15">
        <v>0.2</v>
      </c>
      <c r="K146" s="15"/>
      <c r="L146" s="62"/>
      <c r="M146" s="56">
        <f t="shared" si="38"/>
        <v>76.325629668806755</v>
      </c>
      <c r="N146" s="14">
        <f>5.8*44/12</f>
        <v>21.266666666666666</v>
      </c>
      <c r="O146" s="18">
        <f t="shared" si="33"/>
        <v>21.266666666666666</v>
      </c>
      <c r="P146" s="16">
        <v>0</v>
      </c>
      <c r="Q146" s="16">
        <v>1</v>
      </c>
      <c r="R146" s="16">
        <v>0</v>
      </c>
      <c r="S146" s="14"/>
      <c r="T146" s="56" t="str">
        <f t="shared" si="35"/>
        <v/>
      </c>
      <c r="U146" s="56" t="str">
        <f t="shared" ref="U146:U157" si="39">+V146</f>
        <v/>
      </c>
      <c r="V146" s="56" t="str">
        <f t="shared" ref="V146:V157" si="40">+T146</f>
        <v/>
      </c>
      <c r="W146" s="14"/>
      <c r="X146" s="14"/>
      <c r="Y146" s="14"/>
      <c r="Z146" s="14"/>
      <c r="AA146" s="18">
        <f t="shared" si="34"/>
        <v>21.266666666666666</v>
      </c>
      <c r="AB146" s="14"/>
      <c r="AC146" s="14"/>
      <c r="AD146" s="14"/>
      <c r="AE146" s="14"/>
      <c r="AF146" s="16">
        <v>0</v>
      </c>
      <c r="AG146" s="16">
        <v>1</v>
      </c>
      <c r="AH146" s="16">
        <v>0</v>
      </c>
      <c r="AI146" s="16">
        <v>0</v>
      </c>
      <c r="AJ146" s="5">
        <v>0</v>
      </c>
      <c r="AK146" s="5">
        <v>0</v>
      </c>
      <c r="AL146" s="5">
        <v>0</v>
      </c>
      <c r="AM146" s="20">
        <v>5</v>
      </c>
      <c r="AN146" s="20">
        <v>3</v>
      </c>
      <c r="AO146" s="16"/>
      <c r="AP146" s="16"/>
      <c r="AQ146" s="16"/>
      <c r="AR146" s="16">
        <v>0</v>
      </c>
      <c r="AS146" s="16">
        <v>0</v>
      </c>
      <c r="AT146" s="16"/>
      <c r="AU146" s="16"/>
      <c r="AV146" s="16"/>
      <c r="AW146" s="16"/>
      <c r="AX146" s="16">
        <v>0</v>
      </c>
      <c r="AY146" s="16">
        <v>0</v>
      </c>
      <c r="AZ146" s="16">
        <v>0</v>
      </c>
      <c r="BA146" s="16">
        <v>0</v>
      </c>
    </row>
    <row r="147" spans="1:53" x14ac:dyDescent="0.2">
      <c r="A147" s="14"/>
      <c r="B147" s="14" t="str">
        <f t="shared" si="36"/>
        <v>Reilly &amp; Richards 1993</v>
      </c>
      <c r="C147" s="61">
        <f t="shared" si="37"/>
        <v>12</v>
      </c>
      <c r="D147" s="58">
        <v>1993</v>
      </c>
      <c r="E147" s="17"/>
      <c r="F147" s="58">
        <v>1</v>
      </c>
      <c r="G147" s="22">
        <v>1990</v>
      </c>
      <c r="H147" s="15">
        <f>LOOKUP(G147,CPI!A$69:A$100,CPI!O$69:O$100)</f>
        <v>1.6683703136954862</v>
      </c>
      <c r="I147" s="52">
        <v>1990</v>
      </c>
      <c r="J147" s="15">
        <v>0.1</v>
      </c>
      <c r="K147" s="15"/>
      <c r="L147" s="62"/>
      <c r="M147" s="56">
        <f t="shared" si="38"/>
        <v>184.23427851091284</v>
      </c>
      <c r="N147" s="14">
        <f>14*44/12</f>
        <v>51.333333333333336</v>
      </c>
      <c r="O147" s="18">
        <f t="shared" si="33"/>
        <v>51.333333333333336</v>
      </c>
      <c r="P147" s="16">
        <v>0</v>
      </c>
      <c r="Q147" s="16">
        <v>1</v>
      </c>
      <c r="R147" s="16">
        <v>0</v>
      </c>
      <c r="S147" s="14"/>
      <c r="T147" s="56" t="str">
        <f t="shared" si="35"/>
        <v/>
      </c>
      <c r="U147" s="56" t="str">
        <f t="shared" si="39"/>
        <v/>
      </c>
      <c r="V147" s="56" t="str">
        <f t="shared" si="40"/>
        <v/>
      </c>
      <c r="W147" s="14"/>
      <c r="X147" s="14"/>
      <c r="Y147" s="14"/>
      <c r="Z147" s="14"/>
      <c r="AA147" s="18">
        <f t="shared" si="34"/>
        <v>51.333333333333336</v>
      </c>
      <c r="AB147" s="14"/>
      <c r="AC147" s="14"/>
      <c r="AD147" s="14"/>
      <c r="AE147" s="14"/>
      <c r="AF147" s="16">
        <v>0</v>
      </c>
      <c r="AG147" s="16">
        <v>1</v>
      </c>
      <c r="AH147" s="16">
        <v>0</v>
      </c>
      <c r="AI147" s="16">
        <v>0</v>
      </c>
      <c r="AJ147" s="5">
        <v>0</v>
      </c>
      <c r="AK147" s="5">
        <v>0</v>
      </c>
      <c r="AL147" s="5">
        <v>0</v>
      </c>
      <c r="AM147" s="20">
        <v>2</v>
      </c>
      <c r="AN147" s="20">
        <v>0</v>
      </c>
      <c r="AO147" s="16"/>
      <c r="AP147" s="16"/>
      <c r="AQ147" s="16"/>
      <c r="AR147" s="16">
        <v>0</v>
      </c>
      <c r="AS147" s="16">
        <v>0</v>
      </c>
      <c r="AT147" s="16"/>
      <c r="AU147" s="16"/>
      <c r="AV147" s="16"/>
      <c r="AW147" s="16"/>
      <c r="AX147" s="16">
        <v>0</v>
      </c>
      <c r="AY147" s="16">
        <v>0</v>
      </c>
      <c r="AZ147" s="16">
        <v>0</v>
      </c>
      <c r="BA147" s="16">
        <v>0</v>
      </c>
    </row>
    <row r="148" spans="1:53" x14ac:dyDescent="0.2">
      <c r="A148" s="14"/>
      <c r="B148" s="14" t="str">
        <f t="shared" si="36"/>
        <v>Reilly &amp; Richards 1993</v>
      </c>
      <c r="C148" s="61">
        <f t="shared" si="37"/>
        <v>12</v>
      </c>
      <c r="D148" s="58">
        <v>1993</v>
      </c>
      <c r="E148" s="17"/>
      <c r="F148" s="58">
        <v>1</v>
      </c>
      <c r="G148" s="22">
        <v>1990</v>
      </c>
      <c r="H148" s="15">
        <f>LOOKUP(G148,CPI!A$69:A$100,CPI!O$69:O$100)</f>
        <v>1.6683703136954862</v>
      </c>
      <c r="I148" s="52">
        <v>1990</v>
      </c>
      <c r="J148" s="15">
        <v>0.1</v>
      </c>
      <c r="K148" s="15"/>
      <c r="L148" s="62"/>
      <c r="M148" s="56">
        <f t="shared" si="38"/>
        <v>157.91509586649673</v>
      </c>
      <c r="N148" s="14">
        <f>12*44/12</f>
        <v>44</v>
      </c>
      <c r="O148" s="18">
        <f t="shared" si="33"/>
        <v>44</v>
      </c>
      <c r="P148" s="16">
        <v>0</v>
      </c>
      <c r="Q148" s="16">
        <v>1</v>
      </c>
      <c r="R148" s="16">
        <v>0</v>
      </c>
      <c r="S148" s="14"/>
      <c r="T148" s="56" t="str">
        <f t="shared" si="35"/>
        <v/>
      </c>
      <c r="U148" s="56" t="str">
        <f t="shared" si="39"/>
        <v/>
      </c>
      <c r="V148" s="56" t="str">
        <f t="shared" si="40"/>
        <v/>
      </c>
      <c r="W148" s="14"/>
      <c r="X148" s="14"/>
      <c r="Y148" s="14"/>
      <c r="Z148" s="14"/>
      <c r="AA148" s="18">
        <f t="shared" si="34"/>
        <v>44</v>
      </c>
      <c r="AB148" s="14"/>
      <c r="AC148" s="14"/>
      <c r="AD148" s="14"/>
      <c r="AE148" s="14"/>
      <c r="AF148" s="16">
        <v>0</v>
      </c>
      <c r="AG148" s="16">
        <v>1</v>
      </c>
      <c r="AH148" s="16">
        <v>0</v>
      </c>
      <c r="AI148" s="16">
        <v>0</v>
      </c>
      <c r="AJ148" s="5">
        <v>0</v>
      </c>
      <c r="AK148" s="5">
        <v>0</v>
      </c>
      <c r="AL148" s="5">
        <v>0</v>
      </c>
      <c r="AM148" s="20">
        <v>2</v>
      </c>
      <c r="AN148" s="20">
        <v>0</v>
      </c>
      <c r="AO148" s="16"/>
      <c r="AP148" s="16"/>
      <c r="AQ148" s="16"/>
      <c r="AR148" s="16">
        <v>0</v>
      </c>
      <c r="AS148" s="16">
        <v>0</v>
      </c>
      <c r="AT148" s="16"/>
      <c r="AU148" s="16"/>
      <c r="AV148" s="16"/>
      <c r="AW148" s="16"/>
      <c r="AX148" s="16">
        <v>0</v>
      </c>
      <c r="AY148" s="16">
        <v>0</v>
      </c>
      <c r="AZ148" s="16">
        <v>0</v>
      </c>
      <c r="BA148" s="16">
        <v>0</v>
      </c>
    </row>
    <row r="149" spans="1:53" x14ac:dyDescent="0.2">
      <c r="A149" s="14"/>
      <c r="B149" s="14" t="str">
        <f t="shared" si="36"/>
        <v>Reilly &amp; Richards 1993</v>
      </c>
      <c r="C149" s="61">
        <f t="shared" si="37"/>
        <v>12</v>
      </c>
      <c r="D149" s="58">
        <v>1993</v>
      </c>
      <c r="E149" s="17"/>
      <c r="F149" s="58">
        <v>1</v>
      </c>
      <c r="G149" s="22">
        <v>1990</v>
      </c>
      <c r="H149" s="15">
        <f>LOOKUP(G149,CPI!A$69:A$100,CPI!O$69:O$100)</f>
        <v>1.6683703136954862</v>
      </c>
      <c r="I149" s="52">
        <v>1990</v>
      </c>
      <c r="J149" s="15">
        <v>0.1</v>
      </c>
      <c r="K149" s="15"/>
      <c r="L149" s="62"/>
      <c r="M149" s="56">
        <f t="shared" si="38"/>
        <v>28.95110090885774</v>
      </c>
      <c r="N149" s="14">
        <f>2.2*44/12</f>
        <v>8.0666666666666682</v>
      </c>
      <c r="O149" s="18">
        <f t="shared" si="33"/>
        <v>8.0666666666666682</v>
      </c>
      <c r="P149" s="16">
        <v>0</v>
      </c>
      <c r="Q149" s="16">
        <v>1</v>
      </c>
      <c r="R149" s="16">
        <v>0</v>
      </c>
      <c r="S149" s="14"/>
      <c r="T149" s="56" t="str">
        <f t="shared" si="35"/>
        <v/>
      </c>
      <c r="U149" s="56" t="str">
        <f t="shared" si="39"/>
        <v/>
      </c>
      <c r="V149" s="56" t="str">
        <f t="shared" si="40"/>
        <v/>
      </c>
      <c r="W149" s="14"/>
      <c r="X149" s="14"/>
      <c r="Y149" s="14"/>
      <c r="Z149" s="14"/>
      <c r="AA149" s="18">
        <f t="shared" si="34"/>
        <v>8.0666666666666682</v>
      </c>
      <c r="AB149" s="14"/>
      <c r="AC149" s="14"/>
      <c r="AD149" s="14"/>
      <c r="AE149" s="14"/>
      <c r="AF149" s="16">
        <v>0</v>
      </c>
      <c r="AG149" s="16">
        <v>1</v>
      </c>
      <c r="AH149" s="16">
        <v>0</v>
      </c>
      <c r="AI149" s="16">
        <v>0</v>
      </c>
      <c r="AJ149" s="5">
        <v>0</v>
      </c>
      <c r="AK149" s="5">
        <v>0</v>
      </c>
      <c r="AL149" s="5">
        <v>0</v>
      </c>
      <c r="AM149" s="20">
        <v>8</v>
      </c>
      <c r="AN149" s="20">
        <v>6</v>
      </c>
      <c r="AO149" s="16"/>
      <c r="AP149" s="16"/>
      <c r="AQ149" s="16"/>
      <c r="AR149" s="16">
        <v>0</v>
      </c>
      <c r="AS149" s="16">
        <v>0</v>
      </c>
      <c r="AT149" s="16"/>
      <c r="AU149" s="16"/>
      <c r="AV149" s="16"/>
      <c r="AW149" s="16"/>
      <c r="AX149" s="16">
        <v>0</v>
      </c>
      <c r="AY149" s="16">
        <v>0</v>
      </c>
      <c r="AZ149" s="16">
        <v>0</v>
      </c>
      <c r="BA149" s="16">
        <v>0</v>
      </c>
    </row>
    <row r="150" spans="1:53" x14ac:dyDescent="0.2">
      <c r="A150" s="14"/>
      <c r="B150" s="14" t="str">
        <f t="shared" si="36"/>
        <v>Reilly &amp; Richards 1993</v>
      </c>
      <c r="C150" s="61">
        <f t="shared" si="37"/>
        <v>12</v>
      </c>
      <c r="D150" s="58">
        <v>1993</v>
      </c>
      <c r="E150" s="17"/>
      <c r="F150" s="58">
        <v>1</v>
      </c>
      <c r="G150" s="22">
        <v>1990</v>
      </c>
      <c r="H150" s="15">
        <f>LOOKUP(G150,CPI!A$69:A$100,CPI!O$69:O$100)</f>
        <v>1.6683703136954862</v>
      </c>
      <c r="I150" s="52">
        <v>1990</v>
      </c>
      <c r="J150" s="15">
        <v>0.1</v>
      </c>
      <c r="K150" s="15"/>
      <c r="L150" s="62"/>
      <c r="M150" s="56">
        <f t="shared" si="38"/>
        <v>50.006447024390631</v>
      </c>
      <c r="N150" s="14">
        <f>3.8*44/12</f>
        <v>13.933333333333332</v>
      </c>
      <c r="O150" s="18">
        <f t="shared" si="33"/>
        <v>13.933333333333332</v>
      </c>
      <c r="P150" s="16">
        <v>0</v>
      </c>
      <c r="Q150" s="16">
        <v>1</v>
      </c>
      <c r="R150" s="16">
        <v>0</v>
      </c>
      <c r="S150" s="14"/>
      <c r="T150" s="56" t="str">
        <f t="shared" si="35"/>
        <v/>
      </c>
      <c r="U150" s="56" t="str">
        <f t="shared" si="39"/>
        <v/>
      </c>
      <c r="V150" s="56" t="str">
        <f t="shared" si="40"/>
        <v/>
      </c>
      <c r="W150" s="14"/>
      <c r="X150" s="14"/>
      <c r="Y150" s="14"/>
      <c r="Z150" s="14"/>
      <c r="AA150" s="18">
        <f t="shared" si="34"/>
        <v>13.933333333333332</v>
      </c>
      <c r="AB150" s="14"/>
      <c r="AC150" s="14"/>
      <c r="AD150" s="14"/>
      <c r="AE150" s="14"/>
      <c r="AF150" s="16">
        <v>0</v>
      </c>
      <c r="AG150" s="16">
        <v>1</v>
      </c>
      <c r="AH150" s="16">
        <v>0</v>
      </c>
      <c r="AI150" s="16">
        <v>0</v>
      </c>
      <c r="AJ150" s="5">
        <v>0</v>
      </c>
      <c r="AK150" s="5">
        <v>0</v>
      </c>
      <c r="AL150" s="5">
        <v>0</v>
      </c>
      <c r="AM150" s="20">
        <v>8</v>
      </c>
      <c r="AN150" s="20">
        <v>6</v>
      </c>
      <c r="AO150" s="16"/>
      <c r="AP150" s="16"/>
      <c r="AQ150" s="16"/>
      <c r="AR150" s="16">
        <v>0</v>
      </c>
      <c r="AS150" s="16">
        <v>0</v>
      </c>
      <c r="AT150" s="16"/>
      <c r="AU150" s="16"/>
      <c r="AV150" s="16"/>
      <c r="AW150" s="16"/>
      <c r="AX150" s="16">
        <v>0</v>
      </c>
      <c r="AY150" s="16">
        <v>0</v>
      </c>
      <c r="AZ150" s="16">
        <v>0</v>
      </c>
      <c r="BA150" s="16">
        <v>0</v>
      </c>
    </row>
    <row r="151" spans="1:53" x14ac:dyDescent="0.2">
      <c r="A151" s="14"/>
      <c r="B151" s="14" t="str">
        <f t="shared" si="36"/>
        <v>Reilly &amp; Richards 1993</v>
      </c>
      <c r="C151" s="61">
        <f t="shared" si="37"/>
        <v>12</v>
      </c>
      <c r="D151" s="58">
        <v>1993</v>
      </c>
      <c r="E151" s="17"/>
      <c r="F151" s="58">
        <v>1</v>
      </c>
      <c r="G151" s="22">
        <v>1990</v>
      </c>
      <c r="H151" s="15">
        <f>LOOKUP(G151,CPI!A$69:A$100,CPI!O$69:O$100)</f>
        <v>1.6683703136954862</v>
      </c>
      <c r="I151" s="52">
        <v>1990</v>
      </c>
      <c r="J151" s="15">
        <v>0.1</v>
      </c>
      <c r="K151" s="15"/>
      <c r="L151" s="62"/>
      <c r="M151" s="56">
        <f t="shared" si="38"/>
        <v>67.113915743261103</v>
      </c>
      <c r="N151" s="14">
        <f>5.1*44/12</f>
        <v>18.7</v>
      </c>
      <c r="O151" s="18">
        <f t="shared" si="33"/>
        <v>18.7</v>
      </c>
      <c r="P151" s="16">
        <v>0</v>
      </c>
      <c r="Q151" s="16">
        <v>1</v>
      </c>
      <c r="R151" s="16">
        <v>0</v>
      </c>
      <c r="S151" s="14"/>
      <c r="T151" s="56" t="str">
        <f t="shared" si="35"/>
        <v/>
      </c>
      <c r="U151" s="56" t="str">
        <f t="shared" si="39"/>
        <v/>
      </c>
      <c r="V151" s="56" t="str">
        <f t="shared" si="40"/>
        <v/>
      </c>
      <c r="W151" s="14"/>
      <c r="X151" s="14"/>
      <c r="Y151" s="14"/>
      <c r="Z151" s="14"/>
      <c r="AA151" s="18">
        <f t="shared" si="34"/>
        <v>18.7</v>
      </c>
      <c r="AB151" s="14"/>
      <c r="AC151" s="14"/>
      <c r="AD151" s="14"/>
      <c r="AE151" s="14"/>
      <c r="AF151" s="16">
        <v>0</v>
      </c>
      <c r="AG151" s="16">
        <v>1</v>
      </c>
      <c r="AH151" s="16">
        <v>0</v>
      </c>
      <c r="AI151" s="16">
        <v>0</v>
      </c>
      <c r="AJ151" s="5">
        <v>0</v>
      </c>
      <c r="AK151" s="5">
        <v>0</v>
      </c>
      <c r="AL151" s="5">
        <v>0</v>
      </c>
      <c r="AM151" s="20">
        <v>5</v>
      </c>
      <c r="AN151" s="20">
        <v>3</v>
      </c>
      <c r="AO151" s="16"/>
      <c r="AP151" s="16"/>
      <c r="AQ151" s="16"/>
      <c r="AR151" s="16">
        <v>0</v>
      </c>
      <c r="AS151" s="16">
        <v>0</v>
      </c>
      <c r="AT151" s="16"/>
      <c r="AU151" s="16"/>
      <c r="AV151" s="16"/>
      <c r="AW151" s="16"/>
      <c r="AX151" s="16">
        <v>0</v>
      </c>
      <c r="AY151" s="16">
        <v>0</v>
      </c>
      <c r="AZ151" s="16">
        <v>0</v>
      </c>
      <c r="BA151" s="16">
        <v>0</v>
      </c>
    </row>
    <row r="152" spans="1:53" x14ac:dyDescent="0.2">
      <c r="A152" s="14"/>
      <c r="B152" s="14" t="str">
        <f t="shared" si="36"/>
        <v>Reilly &amp; Richards 1993</v>
      </c>
      <c r="C152" s="61">
        <f t="shared" si="37"/>
        <v>12</v>
      </c>
      <c r="D152" s="58">
        <v>1993</v>
      </c>
      <c r="E152" s="17"/>
      <c r="F152" s="58">
        <v>1</v>
      </c>
      <c r="G152" s="22">
        <v>1990</v>
      </c>
      <c r="H152" s="15">
        <f>LOOKUP(G152,CPI!A$69:A$100,CPI!O$69:O$100)</f>
        <v>1.6683703136954862</v>
      </c>
      <c r="I152" s="52">
        <v>1990</v>
      </c>
      <c r="J152" s="15">
        <v>0.1</v>
      </c>
      <c r="K152" s="15"/>
      <c r="L152" s="62"/>
      <c r="M152" s="56">
        <f t="shared" si="38"/>
        <v>80.273507065469161</v>
      </c>
      <c r="N152" s="14">
        <f>6.1*44/12</f>
        <v>22.366666666666664</v>
      </c>
      <c r="O152" s="18">
        <f t="shared" si="33"/>
        <v>22.366666666666664</v>
      </c>
      <c r="P152" s="16">
        <v>0</v>
      </c>
      <c r="Q152" s="16">
        <v>1</v>
      </c>
      <c r="R152" s="16">
        <v>0</v>
      </c>
      <c r="S152" s="14"/>
      <c r="T152" s="56" t="str">
        <f t="shared" si="35"/>
        <v/>
      </c>
      <c r="U152" s="56" t="str">
        <f t="shared" si="39"/>
        <v/>
      </c>
      <c r="V152" s="56" t="str">
        <f t="shared" si="40"/>
        <v/>
      </c>
      <c r="W152" s="14"/>
      <c r="X152" s="14"/>
      <c r="Y152" s="14"/>
      <c r="Z152" s="14"/>
      <c r="AA152" s="18">
        <f t="shared" si="34"/>
        <v>22.366666666666664</v>
      </c>
      <c r="AB152" s="14"/>
      <c r="AC152" s="14"/>
      <c r="AD152" s="14"/>
      <c r="AE152" s="14"/>
      <c r="AF152" s="16">
        <v>0</v>
      </c>
      <c r="AG152" s="16">
        <v>1</v>
      </c>
      <c r="AH152" s="16">
        <v>0</v>
      </c>
      <c r="AI152" s="16">
        <v>0</v>
      </c>
      <c r="AJ152" s="5">
        <v>0</v>
      </c>
      <c r="AK152" s="5">
        <v>0</v>
      </c>
      <c r="AL152" s="5">
        <v>0</v>
      </c>
      <c r="AM152" s="20">
        <v>5</v>
      </c>
      <c r="AN152" s="20">
        <v>3</v>
      </c>
      <c r="AO152" s="16"/>
      <c r="AP152" s="16"/>
      <c r="AQ152" s="16"/>
      <c r="AR152" s="16">
        <v>0</v>
      </c>
      <c r="AS152" s="16">
        <v>0</v>
      </c>
      <c r="AT152" s="16"/>
      <c r="AU152" s="16"/>
      <c r="AV152" s="16"/>
      <c r="AW152" s="16"/>
      <c r="AX152" s="16">
        <v>0</v>
      </c>
      <c r="AY152" s="16">
        <v>0</v>
      </c>
      <c r="AZ152" s="16">
        <v>0</v>
      </c>
      <c r="BA152" s="16">
        <v>0</v>
      </c>
    </row>
    <row r="153" spans="1:53" x14ac:dyDescent="0.2">
      <c r="A153" s="14" t="s">
        <v>24</v>
      </c>
      <c r="B153" s="14" t="str">
        <f t="shared" si="36"/>
        <v>Azar 1994</v>
      </c>
      <c r="C153" s="61">
        <f t="shared" si="37"/>
        <v>13</v>
      </c>
      <c r="D153" s="58">
        <v>1994</v>
      </c>
      <c r="E153" s="17" t="s">
        <v>78</v>
      </c>
      <c r="F153" s="58">
        <v>1</v>
      </c>
      <c r="G153" s="22">
        <v>1990</v>
      </c>
      <c r="H153" s="15">
        <f>LOOKUP(G153,CPI!A$69:A$100,CPI!O$69:O$100)</f>
        <v>1.6683703136954862</v>
      </c>
      <c r="I153" s="69">
        <v>1990</v>
      </c>
      <c r="J153" s="15">
        <v>0.25</v>
      </c>
      <c r="K153" s="15"/>
      <c r="L153" s="62"/>
      <c r="M153" s="56">
        <f>AA153*H153*(1+$L$2)^(2015-I153)</f>
        <v>179.44897257556445</v>
      </c>
      <c r="N153" s="14">
        <v>50</v>
      </c>
      <c r="O153" s="18">
        <f>N153</f>
        <v>50</v>
      </c>
      <c r="P153" s="16">
        <v>0</v>
      </c>
      <c r="Q153" s="16">
        <v>1</v>
      </c>
      <c r="R153" s="16">
        <v>0</v>
      </c>
      <c r="S153" s="14"/>
      <c r="T153" s="56" t="str">
        <f>IF(OR(M153="",S153=""),"",S153*H153*(1+$L$2)^(2015-I153))</f>
        <v/>
      </c>
      <c r="U153" s="56" t="str">
        <f>+V153</f>
        <v/>
      </c>
      <c r="V153" s="56" t="str">
        <f>+T153</f>
        <v/>
      </c>
      <c r="W153" s="14"/>
      <c r="X153" s="14"/>
      <c r="Y153" s="14"/>
      <c r="Z153" s="14"/>
      <c r="AA153" s="18">
        <f>N153</f>
        <v>50</v>
      </c>
      <c r="AB153" s="14"/>
      <c r="AC153" s="14"/>
      <c r="AD153" s="14"/>
      <c r="AE153" s="14"/>
      <c r="AF153" s="16">
        <v>0</v>
      </c>
      <c r="AG153" s="16">
        <v>0</v>
      </c>
      <c r="AH153" s="16">
        <v>0</v>
      </c>
      <c r="AI153" s="16">
        <v>0</v>
      </c>
      <c r="AJ153" s="5">
        <v>0</v>
      </c>
      <c r="AK153" s="5">
        <v>0</v>
      </c>
      <c r="AL153" s="5">
        <v>0</v>
      </c>
      <c r="AM153" s="20"/>
      <c r="AN153" s="20">
        <v>0</v>
      </c>
      <c r="AO153" s="16"/>
      <c r="AP153" s="16"/>
      <c r="AQ153" s="16"/>
      <c r="AR153" s="16">
        <v>0</v>
      </c>
      <c r="AS153" s="16">
        <v>0</v>
      </c>
      <c r="AT153" s="16"/>
      <c r="AU153" s="16"/>
      <c r="AV153" s="16"/>
      <c r="AW153" s="16"/>
      <c r="AX153" s="16">
        <v>0</v>
      </c>
      <c r="AY153" s="16">
        <v>0</v>
      </c>
      <c r="AZ153" s="16">
        <v>0</v>
      </c>
      <c r="BA153" s="16">
        <v>0</v>
      </c>
    </row>
    <row r="154" spans="1:53" x14ac:dyDescent="0.2">
      <c r="A154" s="14"/>
      <c r="B154" s="14" t="str">
        <f t="shared" si="36"/>
        <v>Azar 1994</v>
      </c>
      <c r="C154" s="61">
        <f t="shared" si="37"/>
        <v>13</v>
      </c>
      <c r="D154" s="58">
        <v>1994</v>
      </c>
      <c r="E154" s="17"/>
      <c r="F154" s="58">
        <v>1</v>
      </c>
      <c r="G154" s="22">
        <v>1990</v>
      </c>
      <c r="H154" s="15">
        <f>LOOKUP(G154,CPI!A$69:A$100,CPI!O$69:O$100)</f>
        <v>1.6683703136954862</v>
      </c>
      <c r="I154" s="69">
        <v>1990</v>
      </c>
      <c r="J154" s="15">
        <v>0.5</v>
      </c>
      <c r="K154" s="15"/>
      <c r="L154" s="62"/>
      <c r="M154" s="56">
        <f>AA154*H154*(1+$L$2)^(2015-I154)</f>
        <v>717.79589030225782</v>
      </c>
      <c r="N154" s="14">
        <v>200</v>
      </c>
      <c r="O154" s="18">
        <f>N154</f>
        <v>200</v>
      </c>
      <c r="P154" s="16">
        <v>0</v>
      </c>
      <c r="Q154" s="16">
        <v>1</v>
      </c>
      <c r="R154" s="16">
        <v>0</v>
      </c>
      <c r="S154" s="14"/>
      <c r="T154" s="56" t="str">
        <f>IF(OR(M154="",S154=""),"",S154*H154*(1+$L$2)^(2015-I154))</f>
        <v/>
      </c>
      <c r="U154" s="56" t="str">
        <f>+V154</f>
        <v/>
      </c>
      <c r="V154" s="56" t="str">
        <f>+T154</f>
        <v/>
      </c>
      <c r="W154" s="14"/>
      <c r="X154" s="14"/>
      <c r="Y154" s="14"/>
      <c r="Z154" s="14"/>
      <c r="AA154" s="18">
        <f>N154</f>
        <v>200</v>
      </c>
      <c r="AB154" s="14"/>
      <c r="AC154" s="14"/>
      <c r="AD154" s="14"/>
      <c r="AE154" s="14"/>
      <c r="AF154" s="16">
        <v>0</v>
      </c>
      <c r="AG154" s="16">
        <v>0</v>
      </c>
      <c r="AH154" s="16">
        <v>0</v>
      </c>
      <c r="AI154" s="16">
        <v>0</v>
      </c>
      <c r="AJ154" s="5">
        <v>0</v>
      </c>
      <c r="AK154" s="5">
        <v>0</v>
      </c>
      <c r="AL154" s="5">
        <v>0</v>
      </c>
      <c r="AM154" s="20"/>
      <c r="AN154" s="20">
        <v>0</v>
      </c>
      <c r="AO154" s="16"/>
      <c r="AP154" s="16"/>
      <c r="AQ154" s="16"/>
      <c r="AR154" s="16">
        <v>0</v>
      </c>
      <c r="AS154" s="16">
        <v>0</v>
      </c>
      <c r="AT154" s="16"/>
      <c r="AU154" s="16"/>
      <c r="AV154" s="16"/>
      <c r="AW154" s="16"/>
      <c r="AX154" s="16">
        <v>0</v>
      </c>
      <c r="AY154" s="16">
        <v>0</v>
      </c>
      <c r="AZ154" s="16">
        <v>0</v>
      </c>
      <c r="BA154" s="16">
        <v>0</v>
      </c>
    </row>
    <row r="155" spans="1:53" x14ac:dyDescent="0.2">
      <c r="A155" s="14"/>
      <c r="B155" s="14" t="str">
        <f t="shared" si="36"/>
        <v>Azar 1994</v>
      </c>
      <c r="C155" s="61">
        <f t="shared" si="37"/>
        <v>13</v>
      </c>
      <c r="D155" s="58">
        <v>1994</v>
      </c>
      <c r="E155" s="17"/>
      <c r="F155" s="58">
        <v>1</v>
      </c>
      <c r="G155" s="22">
        <v>1990</v>
      </c>
      <c r="H155" s="15">
        <f>LOOKUP(G155,CPI!A$69:A$100,CPI!O$69:O$100)</f>
        <v>1.6683703136954862</v>
      </c>
      <c r="I155" s="69">
        <v>1990</v>
      </c>
      <c r="J155" s="15">
        <v>0.25</v>
      </c>
      <c r="K155" s="15"/>
      <c r="L155" s="62"/>
      <c r="M155" s="56">
        <f>AA155*H155*(1+$L$2)^(2015-I155)</f>
        <v>1794.4897257556447</v>
      </c>
      <c r="N155" s="14">
        <v>500</v>
      </c>
      <c r="O155" s="18">
        <f>N155</f>
        <v>500</v>
      </c>
      <c r="P155" s="16">
        <v>0</v>
      </c>
      <c r="Q155" s="16">
        <v>1</v>
      </c>
      <c r="R155" s="16">
        <v>0</v>
      </c>
      <c r="S155" s="14"/>
      <c r="T155" s="56" t="str">
        <f>IF(OR(M155="",S155=""),"",S155*H155*(1+$L$2)^(2015-I155))</f>
        <v/>
      </c>
      <c r="U155" s="56" t="str">
        <f>+V155</f>
        <v/>
      </c>
      <c r="V155" s="56" t="str">
        <f>+T155</f>
        <v/>
      </c>
      <c r="W155" s="14"/>
      <c r="X155" s="14"/>
      <c r="Y155" s="14"/>
      <c r="Z155" s="14"/>
      <c r="AA155" s="18">
        <f>N155</f>
        <v>500</v>
      </c>
      <c r="AB155" s="14"/>
      <c r="AC155" s="14"/>
      <c r="AD155" s="14"/>
      <c r="AE155" s="14"/>
      <c r="AF155" s="16">
        <v>0</v>
      </c>
      <c r="AG155" s="16">
        <v>0</v>
      </c>
      <c r="AH155" s="16">
        <v>0</v>
      </c>
      <c r="AI155" s="16">
        <v>0</v>
      </c>
      <c r="AJ155" s="5">
        <v>0</v>
      </c>
      <c r="AK155" s="5">
        <v>0</v>
      </c>
      <c r="AL155" s="5">
        <v>0</v>
      </c>
      <c r="AM155" s="20"/>
      <c r="AN155" s="20">
        <v>0</v>
      </c>
      <c r="AO155" s="16"/>
      <c r="AP155" s="16"/>
      <c r="AQ155" s="16"/>
      <c r="AR155" s="16">
        <v>0</v>
      </c>
      <c r="AS155" s="16">
        <v>0</v>
      </c>
      <c r="AT155" s="16"/>
      <c r="AU155" s="16"/>
      <c r="AV155" s="16"/>
      <c r="AW155" s="16"/>
      <c r="AX155" s="16">
        <v>0</v>
      </c>
      <c r="AY155" s="16">
        <v>0</v>
      </c>
      <c r="AZ155" s="16">
        <v>0</v>
      </c>
      <c r="BA155" s="16">
        <v>0</v>
      </c>
    </row>
    <row r="156" spans="1:53" x14ac:dyDescent="0.2">
      <c r="A156" s="14" t="s">
        <v>3</v>
      </c>
      <c r="B156" s="14" t="str">
        <f t="shared" si="36"/>
        <v>Fankhauser 1994</v>
      </c>
      <c r="C156" s="61">
        <f t="shared" si="37"/>
        <v>14</v>
      </c>
      <c r="D156" s="58">
        <v>1994</v>
      </c>
      <c r="E156" s="17" t="s">
        <v>76</v>
      </c>
      <c r="F156" s="58">
        <v>1</v>
      </c>
      <c r="G156" s="16">
        <v>1988</v>
      </c>
      <c r="H156" s="15">
        <f>LOOKUP(G156,CPI!A$69:A$100,CPI!O$69:O$100)</f>
        <v>1.8432459847844465</v>
      </c>
      <c r="I156" s="16">
        <f>+ROUNDDOWN(AVERAGE($AV156:$AW156),0)</f>
        <v>1995</v>
      </c>
      <c r="J156" s="15">
        <v>1</v>
      </c>
      <c r="K156" s="15"/>
      <c r="L156" s="62"/>
      <c r="N156" s="18">
        <f>O156</f>
        <v>20.3</v>
      </c>
      <c r="O156" s="14">
        <v>20.3</v>
      </c>
      <c r="P156" s="16">
        <v>1</v>
      </c>
      <c r="Q156" s="16">
        <v>0</v>
      </c>
      <c r="R156" s="16">
        <v>0</v>
      </c>
      <c r="S156" s="14">
        <v>14.3</v>
      </c>
      <c r="T156" s="56" t="str">
        <f t="shared" si="35"/>
        <v/>
      </c>
      <c r="U156" s="56" t="str">
        <f t="shared" si="39"/>
        <v/>
      </c>
      <c r="V156" s="56" t="str">
        <f t="shared" si="40"/>
        <v/>
      </c>
      <c r="W156" s="14"/>
      <c r="X156" s="14">
        <v>6.2</v>
      </c>
      <c r="Y156" s="14"/>
      <c r="Z156" s="14"/>
      <c r="AA156" s="18">
        <f t="shared" si="34"/>
        <v>20.3</v>
      </c>
      <c r="AB156" s="14"/>
      <c r="AC156" s="14"/>
      <c r="AD156" s="14">
        <v>45.2</v>
      </c>
      <c r="AE156" s="14"/>
      <c r="AF156" s="16">
        <v>1</v>
      </c>
      <c r="AG156" s="16">
        <v>1</v>
      </c>
      <c r="AH156" s="16">
        <v>0</v>
      </c>
      <c r="AI156" s="16">
        <v>1</v>
      </c>
      <c r="AJ156" s="5">
        <v>0</v>
      </c>
      <c r="AK156" s="5">
        <v>0</v>
      </c>
      <c r="AL156" s="5">
        <v>0</v>
      </c>
      <c r="AM156" s="20" t="s">
        <v>25</v>
      </c>
      <c r="AN156" s="20" t="s">
        <v>25</v>
      </c>
      <c r="AO156" s="5">
        <v>1</v>
      </c>
      <c r="AP156" s="16"/>
      <c r="AQ156" s="16"/>
      <c r="AR156" s="16">
        <v>0</v>
      </c>
      <c r="AS156" s="16">
        <v>0</v>
      </c>
      <c r="AT156" s="16"/>
      <c r="AU156" s="3">
        <v>3.5</v>
      </c>
      <c r="AV156" s="5">
        <v>1991</v>
      </c>
      <c r="AW156" s="5">
        <v>2000</v>
      </c>
      <c r="AX156" s="16">
        <v>0</v>
      </c>
      <c r="AY156" s="16">
        <v>0</v>
      </c>
      <c r="AZ156" s="16">
        <v>0</v>
      </c>
      <c r="BA156" s="16">
        <v>0</v>
      </c>
    </row>
    <row r="157" spans="1:53" x14ac:dyDescent="0.2">
      <c r="A157" s="14"/>
      <c r="B157" s="14" t="str">
        <f t="shared" si="36"/>
        <v>Fankhauser 1994</v>
      </c>
      <c r="C157" s="61">
        <f t="shared" si="37"/>
        <v>14</v>
      </c>
      <c r="D157" s="58">
        <v>1994</v>
      </c>
      <c r="E157" s="17"/>
      <c r="F157" s="58">
        <v>1</v>
      </c>
      <c r="G157" s="16">
        <v>1988</v>
      </c>
      <c r="H157" s="15">
        <f>LOOKUP(G157,CPI!A$69:A$100,CPI!O$69:O$100)</f>
        <v>1.8432459847844465</v>
      </c>
      <c r="I157" s="5">
        <f t="shared" ref="I157:I159" si="41">+ROUNDDOWN(AVERAGE($AV157:$AW157),0)</f>
        <v>2005</v>
      </c>
      <c r="J157" s="44">
        <v>0</v>
      </c>
      <c r="K157" s="44">
        <v>1</v>
      </c>
      <c r="L157" s="57">
        <f>(AA158/AA156)^(1/(I159-I157))-1</f>
        <v>1.1069999459051738E-2</v>
      </c>
      <c r="N157" s="49">
        <f t="shared" ref="N157:N159" si="42">O157</f>
        <v>22.8</v>
      </c>
      <c r="O157" s="3">
        <v>22.8</v>
      </c>
      <c r="P157" s="16">
        <v>1</v>
      </c>
      <c r="Q157" s="16">
        <v>0</v>
      </c>
      <c r="R157" s="16">
        <v>0</v>
      </c>
      <c r="S157" s="3">
        <v>16</v>
      </c>
      <c r="T157" s="56" t="str">
        <f t="shared" si="35"/>
        <v/>
      </c>
      <c r="U157" s="56" t="str">
        <f t="shared" si="39"/>
        <v/>
      </c>
      <c r="V157" s="56" t="str">
        <f t="shared" si="40"/>
        <v/>
      </c>
      <c r="W157" s="3"/>
      <c r="X157" s="3">
        <v>7.4</v>
      </c>
      <c r="Y157" s="3"/>
      <c r="Z157" s="3"/>
      <c r="AA157" s="37">
        <f>+O157</f>
        <v>22.8</v>
      </c>
      <c r="AB157" s="3"/>
      <c r="AC157" s="3"/>
      <c r="AD157" s="3">
        <v>52.9</v>
      </c>
      <c r="AE157" s="3"/>
      <c r="AF157" s="16">
        <v>1</v>
      </c>
      <c r="AG157" s="16">
        <v>1</v>
      </c>
      <c r="AH157" s="16">
        <v>0</v>
      </c>
      <c r="AI157" s="16">
        <v>1</v>
      </c>
      <c r="AJ157" s="5">
        <v>0</v>
      </c>
      <c r="AK157" s="5">
        <v>0</v>
      </c>
      <c r="AL157" s="5">
        <v>0</v>
      </c>
      <c r="AM157" s="20" t="s">
        <v>25</v>
      </c>
      <c r="AN157" s="20" t="s">
        <v>25</v>
      </c>
      <c r="AO157" s="5">
        <v>1</v>
      </c>
      <c r="AP157" s="16"/>
      <c r="AQ157" s="16"/>
      <c r="AR157" s="16">
        <v>0</v>
      </c>
      <c r="AS157" s="16">
        <v>0</v>
      </c>
      <c r="AT157" s="16"/>
      <c r="AU157" s="3">
        <v>5.5</v>
      </c>
      <c r="AV157" s="5">
        <v>2001</v>
      </c>
      <c r="AW157" s="5">
        <v>2010</v>
      </c>
      <c r="AX157" s="16">
        <v>0</v>
      </c>
      <c r="AY157" s="16">
        <v>0</v>
      </c>
      <c r="AZ157" s="16">
        <v>0</v>
      </c>
      <c r="BA157" s="16">
        <v>0</v>
      </c>
    </row>
    <row r="158" spans="1:53" x14ac:dyDescent="0.2">
      <c r="A158" s="14"/>
      <c r="B158" s="14" t="str">
        <f t="shared" si="36"/>
        <v>Fankhauser 1994</v>
      </c>
      <c r="C158" s="61">
        <f t="shared" si="37"/>
        <v>14</v>
      </c>
      <c r="D158" s="58">
        <v>1994</v>
      </c>
      <c r="E158" s="17"/>
      <c r="F158" s="58">
        <v>1</v>
      </c>
      <c r="G158" s="16">
        <v>1988</v>
      </c>
      <c r="H158" s="15">
        <f>LOOKUP(G158,CPI!A$69:A$100,CPI!O$69:O$100)</f>
        <v>1.8432459847844465</v>
      </c>
      <c r="I158" s="52">
        <f t="shared" si="41"/>
        <v>2015</v>
      </c>
      <c r="J158" s="44">
        <v>0</v>
      </c>
      <c r="K158" s="44"/>
      <c r="L158" s="65"/>
      <c r="M158" s="56">
        <f>AA158*H158*(1+$L$2)^(2015-I158)</f>
        <v>46.634123415046496</v>
      </c>
      <c r="N158" s="49">
        <f t="shared" si="42"/>
        <v>25.3</v>
      </c>
      <c r="O158" s="3">
        <v>25.3</v>
      </c>
      <c r="P158" s="16">
        <v>1</v>
      </c>
      <c r="Q158" s="16">
        <v>0</v>
      </c>
      <c r="R158" s="16">
        <v>0</v>
      </c>
      <c r="S158" s="3">
        <v>17.5</v>
      </c>
      <c r="T158" s="56">
        <f t="shared" si="35"/>
        <v>32.256804733727812</v>
      </c>
      <c r="U158" s="56">
        <f>+(AA158-X158)/1.96*H158*(1+$L$2)^(2015-I158)</f>
        <v>15.987337623130403</v>
      </c>
      <c r="V158" s="56">
        <f>+(AD158-AA158)/1.96*H158*(1+$L$2)^(2015-I158)</f>
        <v>29.247423534079736</v>
      </c>
      <c r="W158" s="3"/>
      <c r="X158" s="3">
        <v>8.3000000000000007</v>
      </c>
      <c r="Y158" s="3"/>
      <c r="Z158" s="3"/>
      <c r="AA158" s="37">
        <f>+O158</f>
        <v>25.3</v>
      </c>
      <c r="AB158" s="3"/>
      <c r="AC158" s="3"/>
      <c r="AD158" s="3">
        <v>56.4</v>
      </c>
      <c r="AE158" s="3"/>
      <c r="AF158" s="16">
        <v>1</v>
      </c>
      <c r="AG158" s="16">
        <v>1</v>
      </c>
      <c r="AH158" s="16">
        <v>0</v>
      </c>
      <c r="AI158" s="16">
        <v>1</v>
      </c>
      <c r="AJ158" s="5">
        <v>0</v>
      </c>
      <c r="AK158" s="5">
        <v>0</v>
      </c>
      <c r="AL158" s="5">
        <v>0</v>
      </c>
      <c r="AM158" s="20" t="s">
        <v>25</v>
      </c>
      <c r="AN158" s="20" t="s">
        <v>25</v>
      </c>
      <c r="AO158" s="5">
        <v>1</v>
      </c>
      <c r="AP158" s="16"/>
      <c r="AQ158" s="16"/>
      <c r="AR158" s="16">
        <v>0</v>
      </c>
      <c r="AS158" s="16">
        <v>0</v>
      </c>
      <c r="AT158" s="16"/>
      <c r="AU158" s="3">
        <v>6</v>
      </c>
      <c r="AV158" s="5">
        <v>2011</v>
      </c>
      <c r="AW158" s="5">
        <v>2020</v>
      </c>
      <c r="AX158" s="16">
        <v>0</v>
      </c>
      <c r="AY158" s="16">
        <v>0</v>
      </c>
      <c r="AZ158" s="16">
        <v>0</v>
      </c>
      <c r="BA158" s="16">
        <v>0</v>
      </c>
    </row>
    <row r="159" spans="1:53" x14ac:dyDescent="0.2">
      <c r="A159" s="14"/>
      <c r="B159" s="14" t="str">
        <f t="shared" si="36"/>
        <v>Fankhauser 1994</v>
      </c>
      <c r="C159" s="61">
        <f t="shared" si="37"/>
        <v>14</v>
      </c>
      <c r="D159" s="58">
        <v>1994</v>
      </c>
      <c r="E159" s="17"/>
      <c r="F159" s="58">
        <v>1</v>
      </c>
      <c r="G159" s="16">
        <v>1988</v>
      </c>
      <c r="H159" s="15">
        <f>LOOKUP(G159,CPI!A$69:A$100,CPI!O$69:O$100)</f>
        <v>1.8432459847844465</v>
      </c>
      <c r="I159" s="5">
        <f t="shared" si="41"/>
        <v>2025</v>
      </c>
      <c r="J159" s="44">
        <v>0</v>
      </c>
      <c r="K159" s="44"/>
      <c r="L159" s="65"/>
      <c r="N159" s="49">
        <f t="shared" si="42"/>
        <v>27.8</v>
      </c>
      <c r="O159" s="3">
        <v>27.8</v>
      </c>
      <c r="P159" s="16">
        <v>1</v>
      </c>
      <c r="Q159" s="16">
        <v>0</v>
      </c>
      <c r="R159" s="16">
        <v>0</v>
      </c>
      <c r="S159" s="3">
        <v>19</v>
      </c>
      <c r="T159" s="56" t="str">
        <f t="shared" si="35"/>
        <v/>
      </c>
      <c r="U159" s="56" t="str">
        <f t="shared" ref="U159:U175" si="43">+V159</f>
        <v/>
      </c>
      <c r="V159" s="56" t="str">
        <f t="shared" ref="V159:V175" si="44">+T159</f>
        <v/>
      </c>
      <c r="W159" s="3"/>
      <c r="X159" s="3">
        <v>9.1999999999999993</v>
      </c>
      <c r="Y159" s="3"/>
      <c r="Z159" s="3"/>
      <c r="AA159" s="37">
        <f>+O159</f>
        <v>27.8</v>
      </c>
      <c r="AB159" s="3"/>
      <c r="AC159" s="3"/>
      <c r="AD159" s="3">
        <v>64.2</v>
      </c>
      <c r="AE159" s="3"/>
      <c r="AF159" s="16">
        <v>1</v>
      </c>
      <c r="AG159" s="16">
        <v>1</v>
      </c>
      <c r="AH159" s="16">
        <v>0</v>
      </c>
      <c r="AI159" s="16">
        <v>1</v>
      </c>
      <c r="AJ159" s="5">
        <v>0</v>
      </c>
      <c r="AK159" s="5">
        <v>0</v>
      </c>
      <c r="AL159" s="5">
        <v>0</v>
      </c>
      <c r="AM159" s="20" t="s">
        <v>25</v>
      </c>
      <c r="AN159" s="20" t="s">
        <v>25</v>
      </c>
      <c r="AO159" s="5">
        <v>1</v>
      </c>
      <c r="AP159" s="16"/>
      <c r="AQ159" s="16"/>
      <c r="AR159" s="16">
        <v>0</v>
      </c>
      <c r="AS159" s="16">
        <v>0</v>
      </c>
      <c r="AT159" s="16"/>
      <c r="AU159" s="3">
        <v>7</v>
      </c>
      <c r="AV159" s="5">
        <v>2021</v>
      </c>
      <c r="AW159" s="5">
        <v>2030</v>
      </c>
      <c r="AX159" s="16">
        <v>0</v>
      </c>
      <c r="AY159" s="16">
        <v>0</v>
      </c>
      <c r="AZ159" s="16">
        <v>0</v>
      </c>
      <c r="BA159" s="16">
        <v>0</v>
      </c>
    </row>
    <row r="160" spans="1:53" x14ac:dyDescent="0.2">
      <c r="A160" s="14" t="s">
        <v>9</v>
      </c>
      <c r="B160" s="14" t="str">
        <f t="shared" si="36"/>
        <v>Nordhaus 1994</v>
      </c>
      <c r="C160" s="61">
        <f t="shared" si="37"/>
        <v>15</v>
      </c>
      <c r="D160" s="58">
        <v>1994</v>
      </c>
      <c r="E160" s="46" t="s">
        <v>77</v>
      </c>
      <c r="F160" s="58">
        <v>0</v>
      </c>
      <c r="G160" s="22">
        <v>1989</v>
      </c>
      <c r="H160" s="15">
        <f>LOOKUP(G160,CPI!A$69:A$100,CPI!O$69:O$100)</f>
        <v>1.7585161290322582</v>
      </c>
      <c r="I160" s="22">
        <v>1995</v>
      </c>
      <c r="J160" s="15">
        <v>1</v>
      </c>
      <c r="K160" s="15"/>
      <c r="L160" s="62"/>
      <c r="M160" s="56">
        <f>AA160*H160*(1+$L$2)^(2015-I160)</f>
        <v>17.168993753475988</v>
      </c>
      <c r="N160" s="14">
        <v>5.29</v>
      </c>
      <c r="O160" s="18">
        <f>N160</f>
        <v>5.29</v>
      </c>
      <c r="P160" s="16">
        <v>0</v>
      </c>
      <c r="Q160" s="16">
        <v>1</v>
      </c>
      <c r="R160" s="16">
        <v>0</v>
      </c>
      <c r="S160" s="14"/>
      <c r="T160" s="56" t="str">
        <f>IF(OR(M160="",S160=""),"",S160*H160*(1+$L$2)^(2015-I160))</f>
        <v/>
      </c>
      <c r="U160" s="56" t="str">
        <f>+V160</f>
        <v/>
      </c>
      <c r="V160" s="56" t="str">
        <f>+T160</f>
        <v/>
      </c>
      <c r="W160" s="14"/>
      <c r="X160" s="14"/>
      <c r="Y160" s="14"/>
      <c r="Z160" s="14"/>
      <c r="AA160" s="18">
        <f>N160</f>
        <v>5.29</v>
      </c>
      <c r="AB160" s="14"/>
      <c r="AC160" s="14"/>
      <c r="AD160" s="14"/>
      <c r="AE160" s="14"/>
      <c r="AF160" s="16">
        <v>1</v>
      </c>
      <c r="AG160" s="16">
        <v>1</v>
      </c>
      <c r="AH160" s="16">
        <v>0</v>
      </c>
      <c r="AI160" s="16">
        <v>1</v>
      </c>
      <c r="AJ160" s="5">
        <v>0</v>
      </c>
      <c r="AK160" s="5">
        <v>1</v>
      </c>
      <c r="AL160" s="5">
        <v>0</v>
      </c>
      <c r="AM160" s="20">
        <v>5</v>
      </c>
      <c r="AN160" s="20">
        <v>3</v>
      </c>
      <c r="AO160" s="16"/>
      <c r="AP160" s="16"/>
      <c r="AQ160" s="16"/>
      <c r="AR160" s="16">
        <v>0</v>
      </c>
      <c r="AS160" s="16">
        <v>0</v>
      </c>
      <c r="AT160" s="16"/>
      <c r="AU160" s="14"/>
      <c r="AV160" s="16"/>
      <c r="AW160" s="16"/>
      <c r="AX160" s="16">
        <v>0</v>
      </c>
      <c r="AY160" s="16">
        <v>1</v>
      </c>
      <c r="AZ160" s="16">
        <v>0</v>
      </c>
      <c r="BA160" s="16">
        <v>1</v>
      </c>
    </row>
    <row r="161" spans="1:53" x14ac:dyDescent="0.2">
      <c r="A161" s="14"/>
      <c r="B161" s="14" t="str">
        <f t="shared" si="36"/>
        <v>Nordhaus 1994</v>
      </c>
      <c r="C161" s="61">
        <f t="shared" si="37"/>
        <v>15</v>
      </c>
      <c r="D161" s="58">
        <v>1994</v>
      </c>
      <c r="E161" s="17"/>
      <c r="F161" s="58">
        <v>0</v>
      </c>
      <c r="G161" s="22">
        <v>1989</v>
      </c>
      <c r="H161" s="15">
        <f>LOOKUP(G161,CPI!A$69:A$100,CPI!O$69:O$100)</f>
        <v>1.7585161290322582</v>
      </c>
      <c r="I161" s="52">
        <v>2005</v>
      </c>
      <c r="J161" s="44">
        <v>0</v>
      </c>
      <c r="K161" s="59">
        <v>1</v>
      </c>
      <c r="L161" s="57">
        <f>(AA162/AA161)^(1/(I162-I161))-1</f>
        <v>1.9363899512133687E-2</v>
      </c>
      <c r="M161" s="56">
        <f>AA161*H161*(1+$L$2)^(2015-I161)</f>
        <v>17.200863906607989</v>
      </c>
      <c r="N161" s="3">
        <v>7.2</v>
      </c>
      <c r="O161" s="3">
        <f>N161</f>
        <v>7.2</v>
      </c>
      <c r="P161" s="16">
        <v>0</v>
      </c>
      <c r="Q161" s="16">
        <v>1</v>
      </c>
      <c r="R161" s="16">
        <v>0</v>
      </c>
      <c r="S161" s="3"/>
      <c r="T161" s="56" t="str">
        <f>IF(OR(M161="",S161=""),"",S161*H161*(1+$L$2)^(2015-I161))</f>
        <v/>
      </c>
      <c r="U161" s="56" t="str">
        <f>+V161</f>
        <v/>
      </c>
      <c r="V161" s="56" t="str">
        <f>+T161</f>
        <v/>
      </c>
      <c r="W161" s="3"/>
      <c r="X161" s="3"/>
      <c r="Y161" s="3"/>
      <c r="Z161" s="3"/>
      <c r="AA161" s="37">
        <f>N161</f>
        <v>7.2</v>
      </c>
      <c r="AB161" s="3"/>
      <c r="AC161" s="3"/>
      <c r="AD161" s="3"/>
      <c r="AE161" s="3"/>
      <c r="AF161" s="16">
        <v>1</v>
      </c>
      <c r="AG161" s="16">
        <v>1</v>
      </c>
      <c r="AH161" s="16">
        <v>0</v>
      </c>
      <c r="AI161" s="16">
        <v>1</v>
      </c>
      <c r="AJ161" s="5">
        <v>0</v>
      </c>
      <c r="AK161" s="5">
        <v>1</v>
      </c>
      <c r="AL161" s="5">
        <v>0</v>
      </c>
      <c r="AM161" s="20">
        <v>5</v>
      </c>
      <c r="AN161" s="20">
        <v>3</v>
      </c>
      <c r="AO161" s="16"/>
      <c r="AP161" s="16"/>
      <c r="AQ161" s="16"/>
      <c r="AR161" s="16">
        <v>0</v>
      </c>
      <c r="AS161" s="16">
        <v>0</v>
      </c>
      <c r="AT161" s="16"/>
      <c r="AU161" s="14"/>
      <c r="AV161" s="16"/>
      <c r="AW161" s="16"/>
      <c r="AX161" s="16">
        <v>0</v>
      </c>
      <c r="AY161" s="16">
        <v>1</v>
      </c>
      <c r="AZ161" s="16">
        <v>0</v>
      </c>
      <c r="BA161" s="16">
        <v>1</v>
      </c>
    </row>
    <row r="162" spans="1:53" x14ac:dyDescent="0.2">
      <c r="A162" s="14"/>
      <c r="B162" s="14" t="str">
        <f t="shared" si="36"/>
        <v>Nordhaus 1994</v>
      </c>
      <c r="C162" s="61">
        <f t="shared" si="37"/>
        <v>15</v>
      </c>
      <c r="D162" s="58">
        <v>1994</v>
      </c>
      <c r="E162" s="17"/>
      <c r="F162" s="58">
        <v>0</v>
      </c>
      <c r="G162" s="22">
        <v>1989</v>
      </c>
      <c r="H162" s="15">
        <f>LOOKUP(G162,CPI!A$69:A$100,CPI!O$69:O$100)</f>
        <v>1.7585161290322582</v>
      </c>
      <c r="I162" s="5">
        <v>2035</v>
      </c>
      <c r="J162" s="44">
        <v>0</v>
      </c>
      <c r="K162" s="44"/>
      <c r="L162" s="65"/>
      <c r="N162" s="3">
        <v>12.8</v>
      </c>
      <c r="O162" s="3">
        <f>N162</f>
        <v>12.8</v>
      </c>
      <c r="P162" s="16">
        <v>0</v>
      </c>
      <c r="Q162" s="16">
        <v>1</v>
      </c>
      <c r="R162" s="16">
        <v>0</v>
      </c>
      <c r="S162" s="3"/>
      <c r="T162" s="56" t="str">
        <f>IF(OR(M162="",S162=""),"",S162*H162*(1+$L$2)^(2015-I162))</f>
        <v/>
      </c>
      <c r="U162" s="56" t="str">
        <f>+V162</f>
        <v/>
      </c>
      <c r="V162" s="56" t="str">
        <f>+T162</f>
        <v/>
      </c>
      <c r="W162" s="3"/>
      <c r="X162" s="3"/>
      <c r="Y162" s="3"/>
      <c r="Z162" s="3"/>
      <c r="AA162" s="37">
        <f>N162</f>
        <v>12.8</v>
      </c>
      <c r="AB162" s="3"/>
      <c r="AC162" s="3"/>
      <c r="AD162" s="3"/>
      <c r="AE162" s="3"/>
      <c r="AF162" s="16">
        <v>1</v>
      </c>
      <c r="AG162" s="16">
        <v>1</v>
      </c>
      <c r="AH162" s="16">
        <v>0</v>
      </c>
      <c r="AI162" s="16">
        <v>1</v>
      </c>
      <c r="AJ162" s="5">
        <v>0</v>
      </c>
      <c r="AK162" s="5">
        <v>1</v>
      </c>
      <c r="AL162" s="5">
        <v>0</v>
      </c>
      <c r="AM162" s="20">
        <v>5</v>
      </c>
      <c r="AN162" s="20">
        <v>3</v>
      </c>
      <c r="AO162" s="16"/>
      <c r="AP162" s="16"/>
      <c r="AQ162" s="16"/>
      <c r="AR162" s="16">
        <v>0</v>
      </c>
      <c r="AS162" s="16">
        <v>0</v>
      </c>
      <c r="AT162" s="16"/>
      <c r="AU162" s="14"/>
      <c r="AV162" s="16"/>
      <c r="AW162" s="16"/>
      <c r="AX162" s="16">
        <v>0</v>
      </c>
      <c r="AY162" s="16">
        <v>1</v>
      </c>
      <c r="AZ162" s="16">
        <v>0</v>
      </c>
      <c r="BA162" s="16">
        <v>1</v>
      </c>
    </row>
    <row r="163" spans="1:53" x14ac:dyDescent="0.2">
      <c r="A163" s="14" t="s">
        <v>10</v>
      </c>
      <c r="B163" s="14" t="str">
        <f t="shared" si="36"/>
        <v>Maddison 1995</v>
      </c>
      <c r="C163" s="61">
        <f t="shared" si="37"/>
        <v>16</v>
      </c>
      <c r="D163" s="58">
        <v>1995</v>
      </c>
      <c r="E163" s="17" t="s">
        <v>79</v>
      </c>
      <c r="F163" s="58">
        <v>1</v>
      </c>
      <c r="G163" s="16">
        <v>1990</v>
      </c>
      <c r="H163" s="15">
        <f>LOOKUP(G163,CPI!A$69:A$100,CPI!O$69:O$100)</f>
        <v>1.6683703136954862</v>
      </c>
      <c r="I163" s="16">
        <v>2000</v>
      </c>
      <c r="J163" s="15">
        <v>1</v>
      </c>
      <c r="K163" s="15"/>
      <c r="L163" s="62"/>
      <c r="N163" s="14">
        <v>16.84</v>
      </c>
      <c r="O163" s="18">
        <f t="shared" ref="O163:O173" si="45">N163</f>
        <v>16.84</v>
      </c>
      <c r="P163" s="16">
        <v>0</v>
      </c>
      <c r="Q163" s="16">
        <v>1</v>
      </c>
      <c r="R163" s="16">
        <v>0</v>
      </c>
      <c r="S163" s="14"/>
      <c r="T163" s="56" t="str">
        <f t="shared" si="35"/>
        <v/>
      </c>
      <c r="U163" s="56" t="str">
        <f t="shared" si="43"/>
        <v/>
      </c>
      <c r="V163" s="56" t="str">
        <f t="shared" si="44"/>
        <v/>
      </c>
      <c r="W163" s="14"/>
      <c r="X163" s="14"/>
      <c r="Y163" s="14"/>
      <c r="Z163" s="14"/>
      <c r="AA163" s="18">
        <f t="shared" ref="AA163:AA173" si="46">N163</f>
        <v>16.84</v>
      </c>
      <c r="AB163" s="14"/>
      <c r="AC163" s="14"/>
      <c r="AD163" s="14"/>
      <c r="AE163" s="14"/>
      <c r="AF163" s="16">
        <v>0</v>
      </c>
      <c r="AG163" s="16">
        <v>1</v>
      </c>
      <c r="AH163" s="16">
        <v>0</v>
      </c>
      <c r="AI163" s="16">
        <v>1</v>
      </c>
      <c r="AJ163" s="5">
        <v>0</v>
      </c>
      <c r="AK163" s="5">
        <v>0</v>
      </c>
      <c r="AL163" s="5">
        <v>0</v>
      </c>
      <c r="AM163" s="20">
        <v>5</v>
      </c>
      <c r="AN163" s="20">
        <v>3</v>
      </c>
      <c r="AO163" s="16"/>
      <c r="AP163" s="47">
        <v>3.5122164048865603</v>
      </c>
      <c r="AQ163" s="47"/>
      <c r="AR163" s="16">
        <v>0</v>
      </c>
      <c r="AS163" s="16">
        <v>0</v>
      </c>
      <c r="AT163" s="16"/>
      <c r="AU163" s="3">
        <v>1</v>
      </c>
      <c r="AV163" s="16"/>
      <c r="AW163" s="16"/>
      <c r="AX163" s="16">
        <v>0</v>
      </c>
      <c r="AY163" s="16">
        <v>0</v>
      </c>
      <c r="AZ163" s="16">
        <v>0</v>
      </c>
      <c r="BA163" s="16">
        <v>1</v>
      </c>
    </row>
    <row r="164" spans="1:53" x14ac:dyDescent="0.2">
      <c r="A164" s="14"/>
      <c r="B164" s="14" t="str">
        <f t="shared" si="36"/>
        <v>Maddison 1995</v>
      </c>
      <c r="C164" s="61">
        <f t="shared" si="37"/>
        <v>16</v>
      </c>
      <c r="D164" s="58">
        <v>1995</v>
      </c>
      <c r="E164" s="17"/>
      <c r="F164" s="58">
        <v>1</v>
      </c>
      <c r="G164" s="16">
        <v>1990</v>
      </c>
      <c r="H164" s="15">
        <f>LOOKUP(G164,CPI!A$69:A$100,CPI!O$69:O$100)</f>
        <v>1.6683703136954862</v>
      </c>
      <c r="I164" s="52">
        <v>2010</v>
      </c>
      <c r="J164" s="44">
        <v>0</v>
      </c>
      <c r="K164" s="59">
        <v>1</v>
      </c>
      <c r="L164" s="57">
        <f>(AA165/AA164)^(1/(I165-I164))-1</f>
        <v>2.5691628083151175E-2</v>
      </c>
      <c r="M164" s="56">
        <f>AA164*H164*(1+$L$2)^(2015-I164)</f>
        <v>43.033787516004104</v>
      </c>
      <c r="N164" s="3">
        <v>22.13</v>
      </c>
      <c r="O164" s="3">
        <f t="shared" si="45"/>
        <v>22.13</v>
      </c>
      <c r="P164" s="16">
        <v>0</v>
      </c>
      <c r="Q164" s="16">
        <v>1</v>
      </c>
      <c r="R164" s="16">
        <v>0</v>
      </c>
      <c r="S164" s="3"/>
      <c r="T164" s="56" t="str">
        <f t="shared" si="35"/>
        <v/>
      </c>
      <c r="U164" s="56" t="str">
        <f t="shared" si="43"/>
        <v/>
      </c>
      <c r="V164" s="56" t="str">
        <f t="shared" si="44"/>
        <v/>
      </c>
      <c r="W164" s="3"/>
      <c r="X164" s="3"/>
      <c r="Y164" s="3"/>
      <c r="Z164" s="3"/>
      <c r="AA164" s="37">
        <f t="shared" si="46"/>
        <v>22.13</v>
      </c>
      <c r="AB164" s="3"/>
      <c r="AC164" s="3"/>
      <c r="AD164" s="3"/>
      <c r="AE164" s="3"/>
      <c r="AF164" s="16">
        <v>0</v>
      </c>
      <c r="AG164" s="16">
        <v>1</v>
      </c>
      <c r="AH164" s="16">
        <v>0</v>
      </c>
      <c r="AI164" s="16">
        <v>1</v>
      </c>
      <c r="AJ164" s="5">
        <v>0</v>
      </c>
      <c r="AK164" s="5">
        <v>0</v>
      </c>
      <c r="AL164" s="5">
        <v>0</v>
      </c>
      <c r="AM164" s="20">
        <v>5</v>
      </c>
      <c r="AN164" s="20">
        <v>3</v>
      </c>
      <c r="AO164" s="16"/>
      <c r="AP164" s="47">
        <v>2.8414594769131432</v>
      </c>
      <c r="AQ164" s="47"/>
      <c r="AR164" s="16">
        <v>0</v>
      </c>
      <c r="AS164" s="16">
        <v>0</v>
      </c>
      <c r="AT164" s="16"/>
      <c r="AU164" s="3">
        <v>1.2</v>
      </c>
      <c r="AV164" s="16"/>
      <c r="AW164" s="16"/>
      <c r="AX164" s="16">
        <v>0</v>
      </c>
      <c r="AY164" s="16">
        <v>0</v>
      </c>
      <c r="AZ164" s="16">
        <v>0</v>
      </c>
      <c r="BA164" s="16">
        <v>1</v>
      </c>
    </row>
    <row r="165" spans="1:53" x14ac:dyDescent="0.2">
      <c r="A165" s="14"/>
      <c r="B165" s="14" t="str">
        <f t="shared" si="36"/>
        <v>Maddison 1995</v>
      </c>
      <c r="C165" s="61">
        <f t="shared" si="37"/>
        <v>16</v>
      </c>
      <c r="D165" s="58">
        <v>1995</v>
      </c>
      <c r="E165" s="17"/>
      <c r="F165" s="58">
        <v>1</v>
      </c>
      <c r="G165" s="16">
        <v>1990</v>
      </c>
      <c r="H165" s="15">
        <f>LOOKUP(G165,CPI!A$69:A$100,CPI!O$69:O$100)</f>
        <v>1.6683703136954862</v>
      </c>
      <c r="I165" s="5">
        <v>2020</v>
      </c>
      <c r="J165" s="44">
        <v>0</v>
      </c>
      <c r="K165" s="44"/>
      <c r="L165" s="65"/>
      <c r="N165" s="3">
        <v>28.52</v>
      </c>
      <c r="O165" s="3">
        <f t="shared" si="45"/>
        <v>28.52</v>
      </c>
      <c r="P165" s="16">
        <v>0</v>
      </c>
      <c r="Q165" s="16">
        <v>1</v>
      </c>
      <c r="R165" s="16">
        <v>0</v>
      </c>
      <c r="S165" s="3"/>
      <c r="T165" s="56" t="str">
        <f t="shared" si="35"/>
        <v/>
      </c>
      <c r="U165" s="56" t="str">
        <f t="shared" si="43"/>
        <v/>
      </c>
      <c r="V165" s="56" t="str">
        <f t="shared" si="44"/>
        <v/>
      </c>
      <c r="W165" s="3"/>
      <c r="X165" s="3"/>
      <c r="Y165" s="3"/>
      <c r="Z165" s="3"/>
      <c r="AA165" s="37">
        <f t="shared" si="46"/>
        <v>28.52</v>
      </c>
      <c r="AB165" s="3"/>
      <c r="AC165" s="3"/>
      <c r="AD165" s="3"/>
      <c r="AE165" s="3"/>
      <c r="AF165" s="16">
        <v>0</v>
      </c>
      <c r="AG165" s="16">
        <v>1</v>
      </c>
      <c r="AH165" s="16">
        <v>0</v>
      </c>
      <c r="AI165" s="16">
        <v>1</v>
      </c>
      <c r="AJ165" s="5">
        <v>0</v>
      </c>
      <c r="AK165" s="5">
        <v>0</v>
      </c>
      <c r="AL165" s="5">
        <v>0</v>
      </c>
      <c r="AM165" s="20">
        <v>5</v>
      </c>
      <c r="AN165" s="20">
        <v>3</v>
      </c>
      <c r="AO165" s="16"/>
      <c r="AP165" s="47">
        <v>2.83882323359316</v>
      </c>
      <c r="AQ165" s="47"/>
      <c r="AR165" s="16">
        <v>0</v>
      </c>
      <c r="AS165" s="16">
        <v>0</v>
      </c>
      <c r="AT165" s="16"/>
      <c r="AU165" s="3">
        <v>1.4</v>
      </c>
      <c r="AV165" s="16"/>
      <c r="AW165" s="16"/>
      <c r="AX165" s="16">
        <v>0</v>
      </c>
      <c r="AY165" s="16">
        <v>0</v>
      </c>
      <c r="AZ165" s="16">
        <v>0</v>
      </c>
      <c r="BA165" s="16">
        <v>1</v>
      </c>
    </row>
    <row r="166" spans="1:53" x14ac:dyDescent="0.2">
      <c r="A166" s="14"/>
      <c r="B166" s="14" t="str">
        <f t="shared" si="36"/>
        <v>Maddison 1995</v>
      </c>
      <c r="C166" s="61">
        <f t="shared" si="37"/>
        <v>16</v>
      </c>
      <c r="D166" s="58">
        <v>1995</v>
      </c>
      <c r="E166" s="17"/>
      <c r="F166" s="58">
        <v>1</v>
      </c>
      <c r="G166" s="16">
        <v>1990</v>
      </c>
      <c r="H166" s="15">
        <f>LOOKUP(G166,CPI!A$69:A$100,CPI!O$69:O$100)</f>
        <v>1.6683703136954862</v>
      </c>
      <c r="I166" s="5">
        <v>2030</v>
      </c>
      <c r="J166" s="44">
        <v>0</v>
      </c>
      <c r="K166" s="44"/>
      <c r="L166" s="65"/>
      <c r="N166" s="3">
        <v>36.270000000000003</v>
      </c>
      <c r="O166" s="3">
        <f t="shared" si="45"/>
        <v>36.270000000000003</v>
      </c>
      <c r="P166" s="16">
        <v>0</v>
      </c>
      <c r="Q166" s="16">
        <v>1</v>
      </c>
      <c r="R166" s="16">
        <v>0</v>
      </c>
      <c r="S166" s="3"/>
      <c r="T166" s="56" t="str">
        <f t="shared" si="35"/>
        <v/>
      </c>
      <c r="U166" s="56" t="str">
        <f t="shared" si="43"/>
        <v/>
      </c>
      <c r="V166" s="56" t="str">
        <f t="shared" si="44"/>
        <v/>
      </c>
      <c r="W166" s="3"/>
      <c r="X166" s="3"/>
      <c r="Y166" s="3"/>
      <c r="Z166" s="3"/>
      <c r="AA166" s="37">
        <f t="shared" si="46"/>
        <v>36.270000000000003</v>
      </c>
      <c r="AB166" s="3"/>
      <c r="AC166" s="3"/>
      <c r="AD166" s="3"/>
      <c r="AE166" s="3"/>
      <c r="AF166" s="16">
        <v>0</v>
      </c>
      <c r="AG166" s="16">
        <v>1</v>
      </c>
      <c r="AH166" s="16">
        <v>0</v>
      </c>
      <c r="AI166" s="16">
        <v>1</v>
      </c>
      <c r="AJ166" s="5">
        <v>0</v>
      </c>
      <c r="AK166" s="5">
        <v>0</v>
      </c>
      <c r="AL166" s="5">
        <v>0</v>
      </c>
      <c r="AM166" s="20">
        <v>5</v>
      </c>
      <c r="AN166" s="20">
        <v>3</v>
      </c>
      <c r="AO166" s="16"/>
      <c r="AP166" s="47">
        <v>3.0336858597728149</v>
      </c>
      <c r="AQ166" s="47"/>
      <c r="AR166" s="16">
        <v>0</v>
      </c>
      <c r="AS166" s="16">
        <v>0</v>
      </c>
      <c r="AT166" s="16"/>
      <c r="AU166" s="3">
        <v>1.6</v>
      </c>
      <c r="AV166" s="16"/>
      <c r="AW166" s="16"/>
      <c r="AX166" s="16">
        <v>0</v>
      </c>
      <c r="AY166" s="16">
        <v>0</v>
      </c>
      <c r="AZ166" s="16">
        <v>0</v>
      </c>
      <c r="BA166" s="16">
        <v>1</v>
      </c>
    </row>
    <row r="167" spans="1:53" x14ac:dyDescent="0.2">
      <c r="A167" s="14"/>
      <c r="B167" s="14" t="str">
        <f t="shared" si="36"/>
        <v>Maddison 1995</v>
      </c>
      <c r="C167" s="61">
        <f t="shared" si="37"/>
        <v>16</v>
      </c>
      <c r="D167" s="58">
        <v>1995</v>
      </c>
      <c r="E167" s="17"/>
      <c r="F167" s="58">
        <v>1</v>
      </c>
      <c r="G167" s="16">
        <v>1990</v>
      </c>
      <c r="H167" s="15">
        <f>LOOKUP(G167,CPI!A$69:A$100,CPI!O$69:O$100)</f>
        <v>1.6683703136954862</v>
      </c>
      <c r="I167" s="5">
        <v>2040</v>
      </c>
      <c r="J167" s="44">
        <v>0</v>
      </c>
      <c r="K167" s="44"/>
      <c r="L167" s="65"/>
      <c r="N167" s="3">
        <v>45.71</v>
      </c>
      <c r="O167" s="3">
        <f t="shared" si="45"/>
        <v>45.71</v>
      </c>
      <c r="P167" s="16">
        <v>0</v>
      </c>
      <c r="Q167" s="16">
        <v>1</v>
      </c>
      <c r="R167" s="16">
        <v>0</v>
      </c>
      <c r="S167" s="3"/>
      <c r="T167" s="56" t="str">
        <f t="shared" si="35"/>
        <v/>
      </c>
      <c r="U167" s="56" t="str">
        <f t="shared" si="43"/>
        <v/>
      </c>
      <c r="V167" s="56" t="str">
        <f t="shared" si="44"/>
        <v/>
      </c>
      <c r="W167" s="3"/>
      <c r="X167" s="3"/>
      <c r="Y167" s="3"/>
      <c r="Z167" s="3"/>
      <c r="AA167" s="37">
        <f t="shared" si="46"/>
        <v>45.71</v>
      </c>
      <c r="AB167" s="3"/>
      <c r="AC167" s="3"/>
      <c r="AD167" s="3"/>
      <c r="AE167" s="3"/>
      <c r="AF167" s="16">
        <v>0</v>
      </c>
      <c r="AG167" s="16">
        <v>1</v>
      </c>
      <c r="AH167" s="16">
        <v>0</v>
      </c>
      <c r="AI167" s="16">
        <v>1</v>
      </c>
      <c r="AJ167" s="5">
        <v>0</v>
      </c>
      <c r="AK167" s="5">
        <v>0</v>
      </c>
      <c r="AL167" s="5">
        <v>0</v>
      </c>
      <c r="AM167" s="20">
        <v>5</v>
      </c>
      <c r="AN167" s="20">
        <v>3</v>
      </c>
      <c r="AO167" s="16"/>
      <c r="AP167" s="47">
        <v>2.3125469571750568</v>
      </c>
      <c r="AQ167" s="47"/>
      <c r="AR167" s="16">
        <v>0</v>
      </c>
      <c r="AS167" s="16">
        <v>0</v>
      </c>
      <c r="AT167" s="16"/>
      <c r="AU167" s="3">
        <v>1.8</v>
      </c>
      <c r="AV167" s="16"/>
      <c r="AW167" s="16"/>
      <c r="AX167" s="16">
        <v>0</v>
      </c>
      <c r="AY167" s="16">
        <v>0</v>
      </c>
      <c r="AZ167" s="16">
        <v>0</v>
      </c>
      <c r="BA167" s="16">
        <v>1</v>
      </c>
    </row>
    <row r="168" spans="1:53" x14ac:dyDescent="0.2">
      <c r="A168" s="14"/>
      <c r="B168" s="14" t="str">
        <f t="shared" si="36"/>
        <v>Maddison 1995</v>
      </c>
      <c r="C168" s="61">
        <f t="shared" si="37"/>
        <v>16</v>
      </c>
      <c r="D168" s="58">
        <v>1995</v>
      </c>
      <c r="E168" s="17"/>
      <c r="F168" s="58">
        <v>1</v>
      </c>
      <c r="G168" s="16">
        <v>1990</v>
      </c>
      <c r="H168" s="15">
        <f>LOOKUP(G168,CPI!A$69:A$100,CPI!O$69:O$100)</f>
        <v>1.6683703136954862</v>
      </c>
      <c r="I168" s="5">
        <v>2050</v>
      </c>
      <c r="J168" s="44">
        <v>0</v>
      </c>
      <c r="K168" s="44"/>
      <c r="L168" s="65"/>
      <c r="N168" s="3">
        <v>56.93</v>
      </c>
      <c r="O168" s="3">
        <f t="shared" si="45"/>
        <v>56.93</v>
      </c>
      <c r="P168" s="16">
        <v>0</v>
      </c>
      <c r="Q168" s="16">
        <v>1</v>
      </c>
      <c r="R168" s="16">
        <v>0</v>
      </c>
      <c r="S168" s="3"/>
      <c r="T168" s="56" t="str">
        <f t="shared" si="35"/>
        <v/>
      </c>
      <c r="U168" s="56" t="str">
        <f t="shared" si="43"/>
        <v/>
      </c>
      <c r="V168" s="56" t="str">
        <f t="shared" si="44"/>
        <v/>
      </c>
      <c r="W168" s="3"/>
      <c r="X168" s="3"/>
      <c r="Y168" s="3"/>
      <c r="Z168" s="3"/>
      <c r="AA168" s="37">
        <f t="shared" si="46"/>
        <v>56.93</v>
      </c>
      <c r="AB168" s="3"/>
      <c r="AC168" s="3"/>
      <c r="AD168" s="3"/>
      <c r="AE168" s="3"/>
      <c r="AF168" s="16">
        <v>0</v>
      </c>
      <c r="AG168" s="16">
        <v>1</v>
      </c>
      <c r="AH168" s="16">
        <v>0</v>
      </c>
      <c r="AI168" s="16">
        <v>1</v>
      </c>
      <c r="AJ168" s="5">
        <v>0</v>
      </c>
      <c r="AK168" s="5">
        <v>0</v>
      </c>
      <c r="AL168" s="5">
        <v>0</v>
      </c>
      <c r="AM168" s="20">
        <v>5</v>
      </c>
      <c r="AN168" s="20">
        <v>3</v>
      </c>
      <c r="AO168" s="16"/>
      <c r="AP168" s="47">
        <v>2.3126678057114969</v>
      </c>
      <c r="AQ168" s="47"/>
      <c r="AR168" s="16">
        <v>0</v>
      </c>
      <c r="AS168" s="16">
        <v>0</v>
      </c>
      <c r="AT168" s="16"/>
      <c r="AU168" s="3">
        <v>2</v>
      </c>
      <c r="AV168" s="16"/>
      <c r="AW168" s="16"/>
      <c r="AX168" s="16">
        <v>0</v>
      </c>
      <c r="AY168" s="16">
        <v>0</v>
      </c>
      <c r="AZ168" s="16">
        <v>0</v>
      </c>
      <c r="BA168" s="16">
        <v>1</v>
      </c>
    </row>
    <row r="169" spans="1:53" x14ac:dyDescent="0.2">
      <c r="A169" s="14"/>
      <c r="B169" s="14" t="str">
        <f t="shared" si="36"/>
        <v>Maddison 1995</v>
      </c>
      <c r="C169" s="61">
        <f t="shared" si="37"/>
        <v>16</v>
      </c>
      <c r="D169" s="58">
        <v>1995</v>
      </c>
      <c r="E169" s="17"/>
      <c r="F169" s="58">
        <v>1</v>
      </c>
      <c r="G169" s="16">
        <v>1990</v>
      </c>
      <c r="H169" s="15">
        <f>LOOKUP(G169,CPI!A$69:A$100,CPI!O$69:O$100)</f>
        <v>1.6683703136954862</v>
      </c>
      <c r="I169" s="5">
        <v>2060</v>
      </c>
      <c r="J169" s="44">
        <v>0</v>
      </c>
      <c r="K169" s="44"/>
      <c r="L169" s="65"/>
      <c r="N169" s="3">
        <v>70.25</v>
      </c>
      <c r="O169" s="3">
        <f t="shared" si="45"/>
        <v>70.25</v>
      </c>
      <c r="P169" s="16">
        <v>0</v>
      </c>
      <c r="Q169" s="16">
        <v>1</v>
      </c>
      <c r="R169" s="16">
        <v>0</v>
      </c>
      <c r="S169" s="3"/>
      <c r="T169" s="56" t="str">
        <f t="shared" si="35"/>
        <v/>
      </c>
      <c r="U169" s="56" t="str">
        <f t="shared" si="43"/>
        <v/>
      </c>
      <c r="V169" s="56" t="str">
        <f t="shared" si="44"/>
        <v/>
      </c>
      <c r="W169" s="3"/>
      <c r="X169" s="3"/>
      <c r="Y169" s="3"/>
      <c r="Z169" s="3"/>
      <c r="AA169" s="37">
        <f t="shared" si="46"/>
        <v>70.25</v>
      </c>
      <c r="AB169" s="3"/>
      <c r="AC169" s="3"/>
      <c r="AD169" s="3"/>
      <c r="AE169" s="3"/>
      <c r="AF169" s="16">
        <v>0</v>
      </c>
      <c r="AG169" s="16">
        <v>1</v>
      </c>
      <c r="AH169" s="16">
        <v>0</v>
      </c>
      <c r="AI169" s="16">
        <v>1</v>
      </c>
      <c r="AJ169" s="5">
        <v>0</v>
      </c>
      <c r="AK169" s="5">
        <v>0</v>
      </c>
      <c r="AL169" s="5">
        <v>0</v>
      </c>
      <c r="AM169" s="20">
        <v>5</v>
      </c>
      <c r="AN169" s="20">
        <v>3</v>
      </c>
      <c r="AO169" s="16"/>
      <c r="AP169" s="47">
        <v>2.1647338685697299</v>
      </c>
      <c r="AQ169" s="47"/>
      <c r="AR169" s="16">
        <v>0</v>
      </c>
      <c r="AS169" s="16">
        <v>0</v>
      </c>
      <c r="AT169" s="16"/>
      <c r="AU169" s="3">
        <v>2.2999999999999998</v>
      </c>
      <c r="AV169" s="16"/>
      <c r="AW169" s="16"/>
      <c r="AX169" s="16">
        <v>0</v>
      </c>
      <c r="AY169" s="16">
        <v>0</v>
      </c>
      <c r="AZ169" s="16">
        <v>0</v>
      </c>
      <c r="BA169" s="16">
        <v>1</v>
      </c>
    </row>
    <row r="170" spans="1:53" x14ac:dyDescent="0.2">
      <c r="A170" s="14"/>
      <c r="B170" s="14" t="str">
        <f t="shared" si="36"/>
        <v>Maddison 1995</v>
      </c>
      <c r="C170" s="61">
        <f t="shared" si="37"/>
        <v>16</v>
      </c>
      <c r="D170" s="58">
        <v>1995</v>
      </c>
      <c r="E170" s="17"/>
      <c r="F170" s="58">
        <v>1</v>
      </c>
      <c r="G170" s="16">
        <v>1990</v>
      </c>
      <c r="H170" s="15">
        <f>LOOKUP(G170,CPI!A$69:A$100,CPI!O$69:O$100)</f>
        <v>1.6683703136954862</v>
      </c>
      <c r="I170" s="5">
        <v>2070</v>
      </c>
      <c r="J170" s="44">
        <v>0</v>
      </c>
      <c r="K170" s="44"/>
      <c r="L170" s="65"/>
      <c r="N170" s="3">
        <v>86.02</v>
      </c>
      <c r="O170" s="3">
        <f t="shared" si="45"/>
        <v>86.02</v>
      </c>
      <c r="P170" s="16">
        <v>0</v>
      </c>
      <c r="Q170" s="16">
        <v>1</v>
      </c>
      <c r="R170" s="16">
        <v>0</v>
      </c>
      <c r="S170" s="3"/>
      <c r="T170" s="56" t="str">
        <f t="shared" si="35"/>
        <v/>
      </c>
      <c r="U170" s="56" t="str">
        <f t="shared" si="43"/>
        <v/>
      </c>
      <c r="V170" s="56" t="str">
        <f t="shared" si="44"/>
        <v/>
      </c>
      <c r="W170" s="3"/>
      <c r="X170" s="3"/>
      <c r="Y170" s="3"/>
      <c r="Z170" s="3"/>
      <c r="AA170" s="37">
        <f t="shared" si="46"/>
        <v>86.02</v>
      </c>
      <c r="AB170" s="3"/>
      <c r="AC170" s="3"/>
      <c r="AD170" s="3"/>
      <c r="AE170" s="3"/>
      <c r="AF170" s="16">
        <v>0</v>
      </c>
      <c r="AG170" s="16">
        <v>1</v>
      </c>
      <c r="AH170" s="16">
        <v>0</v>
      </c>
      <c r="AI170" s="16">
        <v>1</v>
      </c>
      <c r="AJ170" s="5">
        <v>0</v>
      </c>
      <c r="AK170" s="5">
        <v>0</v>
      </c>
      <c r="AL170" s="5">
        <v>0</v>
      </c>
      <c r="AM170" s="20">
        <v>5</v>
      </c>
      <c r="AN170" s="20">
        <v>3</v>
      </c>
      <c r="AO170" s="16"/>
      <c r="AP170" s="47">
        <v>2.1657296504522119</v>
      </c>
      <c r="AQ170" s="47"/>
      <c r="AR170" s="16">
        <v>0</v>
      </c>
      <c r="AS170" s="16">
        <v>0</v>
      </c>
      <c r="AT170" s="16"/>
      <c r="AU170" s="3">
        <v>2.5</v>
      </c>
      <c r="AV170" s="16"/>
      <c r="AW170" s="16"/>
      <c r="AX170" s="16">
        <v>0</v>
      </c>
      <c r="AY170" s="16">
        <v>0</v>
      </c>
      <c r="AZ170" s="16">
        <v>0</v>
      </c>
      <c r="BA170" s="16">
        <v>1</v>
      </c>
    </row>
    <row r="171" spans="1:53" x14ac:dyDescent="0.2">
      <c r="A171" s="14"/>
      <c r="B171" s="14" t="str">
        <f t="shared" si="36"/>
        <v>Maddison 1995</v>
      </c>
      <c r="C171" s="61">
        <f t="shared" si="37"/>
        <v>16</v>
      </c>
      <c r="D171" s="58">
        <v>1995</v>
      </c>
      <c r="E171" s="17"/>
      <c r="F171" s="58">
        <v>1</v>
      </c>
      <c r="G171" s="16">
        <v>1990</v>
      </c>
      <c r="H171" s="15">
        <f>LOOKUP(G171,CPI!A$69:A$100,CPI!O$69:O$100)</f>
        <v>1.6683703136954862</v>
      </c>
      <c r="I171" s="5">
        <v>2080</v>
      </c>
      <c r="J171" s="44">
        <v>0</v>
      </c>
      <c r="K171" s="44"/>
      <c r="L171" s="65"/>
      <c r="N171" s="3">
        <v>104.67</v>
      </c>
      <c r="O171" s="3">
        <f t="shared" si="45"/>
        <v>104.67</v>
      </c>
      <c r="P171" s="16">
        <v>0</v>
      </c>
      <c r="Q171" s="16">
        <v>1</v>
      </c>
      <c r="R171" s="16">
        <v>0</v>
      </c>
      <c r="S171" s="3"/>
      <c r="T171" s="56" t="str">
        <f t="shared" si="35"/>
        <v/>
      </c>
      <c r="U171" s="56" t="str">
        <f t="shared" si="43"/>
        <v/>
      </c>
      <c r="V171" s="56" t="str">
        <f t="shared" si="44"/>
        <v/>
      </c>
      <c r="W171" s="3"/>
      <c r="X171" s="3"/>
      <c r="Y171" s="3"/>
      <c r="Z171" s="3"/>
      <c r="AA171" s="37">
        <f t="shared" si="46"/>
        <v>104.67</v>
      </c>
      <c r="AB171" s="3"/>
      <c r="AC171" s="3"/>
      <c r="AD171" s="3"/>
      <c r="AE171" s="3"/>
      <c r="AF171" s="16">
        <v>0</v>
      </c>
      <c r="AG171" s="16">
        <v>1</v>
      </c>
      <c r="AH171" s="16">
        <v>0</v>
      </c>
      <c r="AI171" s="16">
        <v>1</v>
      </c>
      <c r="AJ171" s="5">
        <v>0</v>
      </c>
      <c r="AK171" s="5">
        <v>0</v>
      </c>
      <c r="AL171" s="5">
        <v>0</v>
      </c>
      <c r="AM171" s="20">
        <v>5</v>
      </c>
      <c r="AN171" s="20">
        <v>3</v>
      </c>
      <c r="AO171" s="16"/>
      <c r="AP171" s="47">
        <v>2.0983189337619708</v>
      </c>
      <c r="AQ171" s="47"/>
      <c r="AR171" s="16">
        <v>0</v>
      </c>
      <c r="AS171" s="16">
        <v>0</v>
      </c>
      <c r="AT171" s="16"/>
      <c r="AU171" s="3">
        <v>2.8</v>
      </c>
      <c r="AV171" s="16"/>
      <c r="AW171" s="16"/>
      <c r="AX171" s="16">
        <v>0</v>
      </c>
      <c r="AY171" s="16">
        <v>0</v>
      </c>
      <c r="AZ171" s="16">
        <v>0</v>
      </c>
      <c r="BA171" s="16">
        <v>1</v>
      </c>
    </row>
    <row r="172" spans="1:53" x14ac:dyDescent="0.2">
      <c r="A172" s="14"/>
      <c r="B172" s="14" t="str">
        <f t="shared" si="36"/>
        <v>Maddison 1995</v>
      </c>
      <c r="C172" s="61">
        <f t="shared" si="37"/>
        <v>16</v>
      </c>
      <c r="D172" s="58">
        <v>1995</v>
      </c>
      <c r="E172" s="17"/>
      <c r="F172" s="58">
        <v>1</v>
      </c>
      <c r="G172" s="16">
        <v>1990</v>
      </c>
      <c r="H172" s="15">
        <f>LOOKUP(G172,CPI!A$69:A$100,CPI!O$69:O$100)</f>
        <v>1.6683703136954862</v>
      </c>
      <c r="I172" s="5">
        <v>2090</v>
      </c>
      <c r="J172" s="44">
        <v>0</v>
      </c>
      <c r="K172" s="44"/>
      <c r="L172" s="65"/>
      <c r="N172" s="3">
        <v>126.71</v>
      </c>
      <c r="O172" s="3">
        <f t="shared" si="45"/>
        <v>126.71</v>
      </c>
      <c r="P172" s="16">
        <v>0</v>
      </c>
      <c r="Q172" s="16">
        <v>1</v>
      </c>
      <c r="R172" s="16">
        <v>0</v>
      </c>
      <c r="S172" s="3"/>
      <c r="T172" s="56" t="str">
        <f t="shared" si="35"/>
        <v/>
      </c>
      <c r="U172" s="56" t="str">
        <f t="shared" si="43"/>
        <v/>
      </c>
      <c r="V172" s="56" t="str">
        <f t="shared" si="44"/>
        <v/>
      </c>
      <c r="W172" s="3"/>
      <c r="X172" s="3"/>
      <c r="Y172" s="3"/>
      <c r="Z172" s="3"/>
      <c r="AA172" s="37">
        <f t="shared" si="46"/>
        <v>126.71</v>
      </c>
      <c r="AB172" s="3"/>
      <c r="AC172" s="3"/>
      <c r="AD172" s="3"/>
      <c r="AE172" s="3"/>
      <c r="AF172" s="16">
        <v>0</v>
      </c>
      <c r="AG172" s="16">
        <v>1</v>
      </c>
      <c r="AH172" s="16">
        <v>0</v>
      </c>
      <c r="AI172" s="16">
        <v>1</v>
      </c>
      <c r="AJ172" s="5">
        <v>0</v>
      </c>
      <c r="AK172" s="5">
        <v>0</v>
      </c>
      <c r="AL172" s="5">
        <v>0</v>
      </c>
      <c r="AM172" s="20">
        <v>5</v>
      </c>
      <c r="AN172" s="20">
        <v>3</v>
      </c>
      <c r="AO172" s="16"/>
      <c r="AP172" s="47">
        <v>2.032218777679363</v>
      </c>
      <c r="AQ172" s="47"/>
      <c r="AR172" s="16">
        <v>0</v>
      </c>
      <c r="AS172" s="16">
        <v>0</v>
      </c>
      <c r="AT172" s="16"/>
      <c r="AU172" s="3">
        <v>3</v>
      </c>
      <c r="AV172" s="16"/>
      <c r="AW172" s="16"/>
      <c r="AX172" s="16">
        <v>0</v>
      </c>
      <c r="AY172" s="16">
        <v>0</v>
      </c>
      <c r="AZ172" s="16">
        <v>0</v>
      </c>
      <c r="BA172" s="16">
        <v>1</v>
      </c>
    </row>
    <row r="173" spans="1:53" x14ac:dyDescent="0.2">
      <c r="A173" s="14"/>
      <c r="B173" s="14" t="str">
        <f t="shared" si="36"/>
        <v>Maddison 1995</v>
      </c>
      <c r="C173" s="61">
        <f t="shared" si="37"/>
        <v>16</v>
      </c>
      <c r="D173" s="58">
        <v>1995</v>
      </c>
      <c r="E173" s="17"/>
      <c r="F173" s="58">
        <v>1</v>
      </c>
      <c r="G173" s="16">
        <v>1990</v>
      </c>
      <c r="H173" s="15">
        <f>LOOKUP(G173,CPI!A$69:A$100,CPI!O$69:O$100)</f>
        <v>1.6683703136954862</v>
      </c>
      <c r="I173" s="5">
        <v>2100</v>
      </c>
      <c r="J173" s="44">
        <v>0</v>
      </c>
      <c r="K173" s="44"/>
      <c r="L173" s="65"/>
      <c r="N173" s="3">
        <v>152.76</v>
      </c>
      <c r="O173" s="3">
        <f t="shared" si="45"/>
        <v>152.76</v>
      </c>
      <c r="P173" s="16">
        <v>0</v>
      </c>
      <c r="Q173" s="16">
        <v>1</v>
      </c>
      <c r="R173" s="16">
        <v>0</v>
      </c>
      <c r="S173" s="3"/>
      <c r="T173" s="56" t="str">
        <f t="shared" si="35"/>
        <v/>
      </c>
      <c r="U173" s="56" t="str">
        <f t="shared" si="43"/>
        <v/>
      </c>
      <c r="V173" s="56" t="str">
        <f t="shared" si="44"/>
        <v/>
      </c>
      <c r="W173" s="3"/>
      <c r="X173" s="3"/>
      <c r="Y173" s="3"/>
      <c r="Z173" s="3"/>
      <c r="AA173" s="37">
        <f t="shared" si="46"/>
        <v>152.76</v>
      </c>
      <c r="AB173" s="3"/>
      <c r="AC173" s="3"/>
      <c r="AD173" s="3"/>
      <c r="AE173" s="3"/>
      <c r="AF173" s="16">
        <v>0</v>
      </c>
      <c r="AG173" s="16">
        <v>1</v>
      </c>
      <c r="AH173" s="16">
        <v>0</v>
      </c>
      <c r="AI173" s="16">
        <v>1</v>
      </c>
      <c r="AJ173" s="5">
        <v>0</v>
      </c>
      <c r="AK173" s="5">
        <v>0</v>
      </c>
      <c r="AL173" s="5">
        <v>0</v>
      </c>
      <c r="AM173" s="20">
        <v>5</v>
      </c>
      <c r="AN173" s="20">
        <v>3</v>
      </c>
      <c r="AO173" s="16"/>
      <c r="AP173" s="47">
        <v>2.0322061191626406</v>
      </c>
      <c r="AQ173" s="47"/>
      <c r="AR173" s="16">
        <v>0</v>
      </c>
      <c r="AS173" s="16">
        <v>0</v>
      </c>
      <c r="AT173" s="16"/>
      <c r="AU173" s="3">
        <v>3.3</v>
      </c>
      <c r="AV173" s="16"/>
      <c r="AW173" s="16"/>
      <c r="AX173" s="16">
        <v>0</v>
      </c>
      <c r="AY173" s="16">
        <v>0</v>
      </c>
      <c r="AZ173" s="16">
        <v>0</v>
      </c>
      <c r="BA173" s="16">
        <v>1</v>
      </c>
    </row>
    <row r="174" spans="1:53" x14ac:dyDescent="0.2">
      <c r="A174" s="14" t="s">
        <v>20</v>
      </c>
      <c r="B174" s="14" t="str">
        <f t="shared" si="36"/>
        <v>Schauer 1995</v>
      </c>
      <c r="C174" s="61">
        <f t="shared" si="37"/>
        <v>17</v>
      </c>
      <c r="D174" s="58">
        <v>1995</v>
      </c>
      <c r="E174" s="17" t="s">
        <v>81</v>
      </c>
      <c r="F174" s="58">
        <v>1</v>
      </c>
      <c r="G174" s="22">
        <v>1990</v>
      </c>
      <c r="H174" s="15">
        <f>LOOKUP(G174,CPI!A$69:A$100,CPI!O$69:O$100)</f>
        <v>1.6683703136954862</v>
      </c>
      <c r="I174" s="69">
        <v>1990</v>
      </c>
      <c r="J174" s="15">
        <v>0.5</v>
      </c>
      <c r="K174" s="15"/>
      <c r="L174" s="62"/>
      <c r="M174" s="56">
        <f t="shared" ref="M174:M200" si="47">AA174*H174*(1+$L$2)^(2015-I174)</f>
        <v>6.3273707730144029</v>
      </c>
      <c r="N174" s="18">
        <f>O174</f>
        <v>8.2720000000000002</v>
      </c>
      <c r="O174" s="14">
        <f>8.272</f>
        <v>8.2720000000000002</v>
      </c>
      <c r="P174" s="16">
        <v>0</v>
      </c>
      <c r="Q174" s="16">
        <v>0</v>
      </c>
      <c r="R174" s="16">
        <v>1</v>
      </c>
      <c r="S174" s="14">
        <v>21.16</v>
      </c>
      <c r="T174" s="56">
        <f t="shared" si="35"/>
        <v>75.942805193978899</v>
      </c>
      <c r="U174" s="56">
        <f t="shared" si="43"/>
        <v>75.942805193978899</v>
      </c>
      <c r="V174" s="56">
        <f t="shared" si="44"/>
        <v>75.942805193978899</v>
      </c>
      <c r="W174" s="14"/>
      <c r="X174" s="14"/>
      <c r="Y174" s="14"/>
      <c r="Z174" s="14"/>
      <c r="AA174" s="14">
        <v>1.7629999999999999</v>
      </c>
      <c r="AB174" s="14"/>
      <c r="AC174" s="14"/>
      <c r="AD174" s="14"/>
      <c r="AE174" s="14"/>
      <c r="AF174" s="16">
        <v>1</v>
      </c>
      <c r="AG174" s="16">
        <v>1</v>
      </c>
      <c r="AH174" s="16">
        <v>0</v>
      </c>
      <c r="AI174" s="16">
        <v>1</v>
      </c>
      <c r="AJ174" s="5">
        <v>0</v>
      </c>
      <c r="AK174" s="5">
        <v>0</v>
      </c>
      <c r="AL174" s="5">
        <v>0</v>
      </c>
      <c r="AM174" s="20">
        <v>4.91</v>
      </c>
      <c r="AN174" s="20">
        <v>2.3000000000000003</v>
      </c>
      <c r="AO174" s="16"/>
      <c r="AP174" s="16"/>
      <c r="AQ174" s="16"/>
      <c r="AR174" s="16">
        <v>0</v>
      </c>
      <c r="AS174" s="16">
        <v>0</v>
      </c>
      <c r="AT174" s="16"/>
      <c r="AU174" s="16"/>
      <c r="AV174" s="16"/>
      <c r="AW174" s="16"/>
      <c r="AX174" s="16">
        <v>0</v>
      </c>
      <c r="AY174" s="16">
        <v>0</v>
      </c>
      <c r="AZ174" s="16">
        <v>0</v>
      </c>
      <c r="BA174" s="16">
        <v>0</v>
      </c>
    </row>
    <row r="175" spans="1:53" x14ac:dyDescent="0.2">
      <c r="A175" s="14"/>
      <c r="B175" s="14" t="str">
        <f t="shared" si="36"/>
        <v>Schauer 1995</v>
      </c>
      <c r="C175" s="61">
        <f t="shared" si="37"/>
        <v>17</v>
      </c>
      <c r="D175" s="58">
        <v>1995</v>
      </c>
      <c r="E175" s="17"/>
      <c r="F175" s="58">
        <v>1</v>
      </c>
      <c r="G175" s="22">
        <v>1990</v>
      </c>
      <c r="H175" s="15">
        <f>LOOKUP(G175,CPI!A$69:A$100,CPI!O$69:O$100)</f>
        <v>1.6683703136954862</v>
      </c>
      <c r="I175" s="69">
        <v>1990</v>
      </c>
      <c r="J175" s="15">
        <v>0.5</v>
      </c>
      <c r="K175" s="15"/>
      <c r="L175" s="62"/>
      <c r="M175" s="56">
        <f t="shared" si="47"/>
        <v>192.08218024488423</v>
      </c>
      <c r="N175" s="18">
        <f>O175</f>
        <v>112.5</v>
      </c>
      <c r="O175" s="14">
        <f>112.5</f>
        <v>112.5</v>
      </c>
      <c r="P175" s="16">
        <v>0</v>
      </c>
      <c r="Q175" s="16">
        <v>0</v>
      </c>
      <c r="R175" s="16">
        <v>1</v>
      </c>
      <c r="S175" s="14">
        <v>149.80000000000001</v>
      </c>
      <c r="T175" s="56">
        <f t="shared" si="35"/>
        <v>537.62912183639116</v>
      </c>
      <c r="U175" s="56">
        <f t="shared" si="43"/>
        <v>537.62912183639116</v>
      </c>
      <c r="V175" s="56">
        <f t="shared" si="44"/>
        <v>537.62912183639116</v>
      </c>
      <c r="W175" s="14"/>
      <c r="X175" s="14"/>
      <c r="Y175" s="14"/>
      <c r="Z175" s="14"/>
      <c r="AA175" s="14">
        <v>53.52</v>
      </c>
      <c r="AB175" s="14"/>
      <c r="AC175" s="14"/>
      <c r="AD175" s="14"/>
      <c r="AE175" s="14"/>
      <c r="AF175" s="16">
        <v>1</v>
      </c>
      <c r="AG175" s="16">
        <v>1</v>
      </c>
      <c r="AH175" s="16">
        <v>0</v>
      </c>
      <c r="AI175" s="16">
        <v>1</v>
      </c>
      <c r="AJ175" s="5">
        <v>0</v>
      </c>
      <c r="AK175" s="5">
        <v>0</v>
      </c>
      <c r="AL175" s="5">
        <v>0</v>
      </c>
      <c r="AM175" s="20">
        <v>4.91</v>
      </c>
      <c r="AN175" s="20">
        <v>2.3000000000000003</v>
      </c>
      <c r="AO175" s="16"/>
      <c r="AP175" s="16"/>
      <c r="AQ175" s="16"/>
      <c r="AR175" s="16">
        <v>0</v>
      </c>
      <c r="AS175" s="16">
        <v>0</v>
      </c>
      <c r="AT175" s="16"/>
      <c r="AU175" s="16"/>
      <c r="AV175" s="16"/>
      <c r="AW175" s="16"/>
      <c r="AX175" s="16">
        <v>0</v>
      </c>
      <c r="AY175" s="16">
        <v>0</v>
      </c>
      <c r="AZ175" s="16">
        <v>0</v>
      </c>
      <c r="BA175" s="16">
        <v>0</v>
      </c>
    </row>
    <row r="176" spans="1:53" x14ac:dyDescent="0.2">
      <c r="A176" s="14" t="s">
        <v>183</v>
      </c>
      <c r="B176" s="14" t="str">
        <f t="shared" si="36"/>
        <v>Azar &amp; Sterner 1996</v>
      </c>
      <c r="C176" s="61">
        <f t="shared" si="37"/>
        <v>18</v>
      </c>
      <c r="D176" s="58">
        <v>1996</v>
      </c>
      <c r="E176" s="17" t="s">
        <v>82</v>
      </c>
      <c r="F176" s="58">
        <v>1</v>
      </c>
      <c r="G176" s="22">
        <v>1990</v>
      </c>
      <c r="H176" s="15">
        <f>LOOKUP(G176,CPI!A$69:A$100,CPI!O$69:O$100)</f>
        <v>1.6683703136954862</v>
      </c>
      <c r="I176" s="69">
        <v>1990</v>
      </c>
      <c r="J176" s="15">
        <f>4/90</f>
        <v>4.4444444444444446E-2</v>
      </c>
      <c r="K176" s="15"/>
      <c r="L176" s="62"/>
      <c r="M176" s="56">
        <f t="shared" si="47"/>
        <v>305.06325337845959</v>
      </c>
      <c r="N176" s="14">
        <v>85</v>
      </c>
      <c r="O176" s="18">
        <f t="shared" ref="O176:O194" si="48">N176</f>
        <v>85</v>
      </c>
      <c r="P176" s="16">
        <v>0</v>
      </c>
      <c r="Q176" s="16">
        <v>1</v>
      </c>
      <c r="R176" s="16">
        <v>0</v>
      </c>
      <c r="S176" s="14"/>
      <c r="T176" s="56" t="str">
        <f t="shared" si="35"/>
        <v/>
      </c>
      <c r="U176" s="56" t="str">
        <f t="shared" ref="U176:U194" si="49">+V176</f>
        <v/>
      </c>
      <c r="V176" s="56" t="str">
        <f t="shared" ref="V176:V194" si="50">+T176</f>
        <v/>
      </c>
      <c r="W176" s="14"/>
      <c r="X176" s="14"/>
      <c r="Y176" s="14"/>
      <c r="Z176" s="14"/>
      <c r="AA176" s="18">
        <f t="shared" ref="AA176:AA219" si="51">N176</f>
        <v>85</v>
      </c>
      <c r="AB176" s="14"/>
      <c r="AC176" s="14"/>
      <c r="AD176" s="14"/>
      <c r="AE176" s="14"/>
      <c r="AF176" s="16">
        <v>0</v>
      </c>
      <c r="AG176" s="16">
        <v>1</v>
      </c>
      <c r="AH176" s="16">
        <v>0</v>
      </c>
      <c r="AI176" s="16">
        <v>1</v>
      </c>
      <c r="AJ176" s="5">
        <v>0</v>
      </c>
      <c r="AK176" s="5">
        <v>0</v>
      </c>
      <c r="AL176" s="5">
        <v>0</v>
      </c>
      <c r="AM176" s="20">
        <v>2</v>
      </c>
      <c r="AN176" s="20">
        <v>0</v>
      </c>
      <c r="AO176" s="16"/>
      <c r="AP176" s="16"/>
      <c r="AQ176" s="16"/>
      <c r="AR176" s="16">
        <v>0</v>
      </c>
      <c r="AS176" s="16">
        <v>1</v>
      </c>
      <c r="AT176" s="16"/>
      <c r="AU176" s="16"/>
      <c r="AV176" s="16"/>
      <c r="AW176" s="16"/>
      <c r="AX176" s="16">
        <v>0</v>
      </c>
      <c r="AY176" s="16">
        <v>0</v>
      </c>
      <c r="AZ176" s="16">
        <v>0</v>
      </c>
      <c r="BA176" s="16">
        <v>0</v>
      </c>
    </row>
    <row r="177" spans="1:53" x14ac:dyDescent="0.2">
      <c r="A177" s="14"/>
      <c r="B177" s="14" t="str">
        <f t="shared" si="36"/>
        <v>Azar &amp; Sterner 1996</v>
      </c>
      <c r="C177" s="61">
        <f t="shared" si="37"/>
        <v>18</v>
      </c>
      <c r="D177" s="58">
        <v>1996</v>
      </c>
      <c r="E177" s="17"/>
      <c r="F177" s="58">
        <v>1</v>
      </c>
      <c r="G177" s="22">
        <v>1990</v>
      </c>
      <c r="H177" s="15">
        <f>LOOKUP(G177,CPI!A$69:A$100,CPI!O$69:O$100)</f>
        <v>1.6683703136954862</v>
      </c>
      <c r="I177" s="69">
        <v>1990</v>
      </c>
      <c r="J177" s="15">
        <f>8/90</f>
        <v>8.8888888888888892E-2</v>
      </c>
      <c r="K177" s="15"/>
      <c r="L177" s="62"/>
      <c r="M177" s="56">
        <f t="shared" si="47"/>
        <v>717.79589030225782</v>
      </c>
      <c r="N177" s="14">
        <v>200</v>
      </c>
      <c r="O177" s="18">
        <f t="shared" si="48"/>
        <v>200</v>
      </c>
      <c r="P177" s="16">
        <v>0</v>
      </c>
      <c r="Q177" s="16">
        <v>1</v>
      </c>
      <c r="R177" s="16">
        <v>0</v>
      </c>
      <c r="S177" s="14"/>
      <c r="T177" s="56" t="str">
        <f t="shared" si="35"/>
        <v/>
      </c>
      <c r="U177" s="56" t="str">
        <f t="shared" si="49"/>
        <v/>
      </c>
      <c r="V177" s="56" t="str">
        <f t="shared" si="50"/>
        <v/>
      </c>
      <c r="W177" s="14"/>
      <c r="X177" s="14"/>
      <c r="Y177" s="14"/>
      <c r="Z177" s="14"/>
      <c r="AA177" s="18">
        <f t="shared" si="51"/>
        <v>200</v>
      </c>
      <c r="AB177" s="14"/>
      <c r="AC177" s="14"/>
      <c r="AD177" s="14"/>
      <c r="AE177" s="14"/>
      <c r="AF177" s="16">
        <v>0</v>
      </c>
      <c r="AG177" s="16">
        <v>1</v>
      </c>
      <c r="AH177" s="16">
        <v>0</v>
      </c>
      <c r="AI177" s="16">
        <v>1</v>
      </c>
      <c r="AJ177" s="5">
        <v>0</v>
      </c>
      <c r="AK177" s="5">
        <v>0</v>
      </c>
      <c r="AL177" s="5">
        <v>0</v>
      </c>
      <c r="AM177" s="20">
        <v>2</v>
      </c>
      <c r="AN177" s="20">
        <v>0</v>
      </c>
      <c r="AO177" s="16"/>
      <c r="AP177" s="16"/>
      <c r="AQ177" s="16"/>
      <c r="AR177" s="16">
        <v>0</v>
      </c>
      <c r="AS177" s="16">
        <v>1</v>
      </c>
      <c r="AT177" s="16"/>
      <c r="AU177" s="16"/>
      <c r="AV177" s="16"/>
      <c r="AW177" s="16"/>
      <c r="AX177" s="16">
        <v>0</v>
      </c>
      <c r="AY177" s="16">
        <v>0</v>
      </c>
      <c r="AZ177" s="16">
        <v>0</v>
      </c>
      <c r="BA177" s="16">
        <v>0</v>
      </c>
    </row>
    <row r="178" spans="1:53" x14ac:dyDescent="0.2">
      <c r="A178" s="14"/>
      <c r="B178" s="14" t="str">
        <f t="shared" si="36"/>
        <v>Azar &amp; Sterner 1996</v>
      </c>
      <c r="C178" s="61">
        <f t="shared" si="37"/>
        <v>18</v>
      </c>
      <c r="D178" s="58">
        <v>1996</v>
      </c>
      <c r="E178" s="17"/>
      <c r="F178" s="58">
        <v>1</v>
      </c>
      <c r="G178" s="22">
        <v>1990</v>
      </c>
      <c r="H178" s="15">
        <f>LOOKUP(G178,CPI!A$69:A$100,CPI!O$69:O$100)</f>
        <v>1.6683703136954862</v>
      </c>
      <c r="I178" s="69">
        <v>1990</v>
      </c>
      <c r="J178" s="15">
        <f>3/90</f>
        <v>3.3333333333333333E-2</v>
      </c>
      <c r="K178" s="15"/>
      <c r="L178" s="62"/>
      <c r="M178" s="56">
        <f t="shared" si="47"/>
        <v>269.1734588633467</v>
      </c>
      <c r="N178" s="14">
        <v>75</v>
      </c>
      <c r="O178" s="18">
        <f t="shared" si="48"/>
        <v>75</v>
      </c>
      <c r="P178" s="16">
        <v>0</v>
      </c>
      <c r="Q178" s="16">
        <v>1</v>
      </c>
      <c r="R178" s="16">
        <v>0</v>
      </c>
      <c r="S178" s="14"/>
      <c r="T178" s="56" t="str">
        <f t="shared" si="35"/>
        <v/>
      </c>
      <c r="U178" s="56" t="str">
        <f t="shared" si="49"/>
        <v/>
      </c>
      <c r="V178" s="56" t="str">
        <f t="shared" si="50"/>
        <v/>
      </c>
      <c r="W178" s="14"/>
      <c r="X178" s="14"/>
      <c r="Y178" s="14"/>
      <c r="Z178" s="14"/>
      <c r="AA178" s="18">
        <f t="shared" si="51"/>
        <v>75</v>
      </c>
      <c r="AB178" s="14"/>
      <c r="AC178" s="14"/>
      <c r="AD178" s="14"/>
      <c r="AE178" s="14"/>
      <c r="AF178" s="16">
        <v>0</v>
      </c>
      <c r="AG178" s="16">
        <v>1</v>
      </c>
      <c r="AH178" s="16">
        <v>0</v>
      </c>
      <c r="AI178" s="16">
        <v>1</v>
      </c>
      <c r="AJ178" s="5">
        <v>0</v>
      </c>
      <c r="AK178" s="5">
        <v>0</v>
      </c>
      <c r="AL178" s="5">
        <v>0</v>
      </c>
      <c r="AM178" s="20">
        <v>2.1</v>
      </c>
      <c r="AN178" s="20">
        <v>0.1</v>
      </c>
      <c r="AO178" s="16"/>
      <c r="AP178" s="16"/>
      <c r="AQ178" s="16"/>
      <c r="AR178" s="16">
        <v>0</v>
      </c>
      <c r="AS178" s="16">
        <v>1</v>
      </c>
      <c r="AT178" s="16"/>
      <c r="AU178" s="16"/>
      <c r="AV178" s="16"/>
      <c r="AW178" s="16"/>
      <c r="AX178" s="16">
        <v>0</v>
      </c>
      <c r="AY178" s="16">
        <v>0</v>
      </c>
      <c r="AZ178" s="16">
        <v>0</v>
      </c>
      <c r="BA178" s="16">
        <v>0</v>
      </c>
    </row>
    <row r="179" spans="1:53" x14ac:dyDescent="0.2">
      <c r="A179" s="14"/>
      <c r="B179" s="14" t="str">
        <f t="shared" si="36"/>
        <v>Azar &amp; Sterner 1996</v>
      </c>
      <c r="C179" s="61">
        <f t="shared" si="37"/>
        <v>18</v>
      </c>
      <c r="D179" s="58">
        <v>1996</v>
      </c>
      <c r="E179" s="17"/>
      <c r="F179" s="58">
        <v>1</v>
      </c>
      <c r="G179" s="22">
        <v>1990</v>
      </c>
      <c r="H179" s="15">
        <f>LOOKUP(G179,CPI!A$69:A$100,CPI!O$69:O$100)</f>
        <v>1.6683703136954862</v>
      </c>
      <c r="I179" s="69">
        <v>1990</v>
      </c>
      <c r="J179" s="15">
        <f>6/90</f>
        <v>6.6666666666666666E-2</v>
      </c>
      <c r="K179" s="15"/>
      <c r="L179" s="62"/>
      <c r="M179" s="56">
        <f t="shared" si="47"/>
        <v>502.45712321158049</v>
      </c>
      <c r="N179" s="14">
        <v>140</v>
      </c>
      <c r="O179" s="18">
        <f t="shared" si="48"/>
        <v>140</v>
      </c>
      <c r="P179" s="16">
        <v>0</v>
      </c>
      <c r="Q179" s="16">
        <v>1</v>
      </c>
      <c r="R179" s="16">
        <v>0</v>
      </c>
      <c r="S179" s="14"/>
      <c r="T179" s="56" t="str">
        <f t="shared" si="35"/>
        <v/>
      </c>
      <c r="U179" s="56" t="str">
        <f t="shared" si="49"/>
        <v/>
      </c>
      <c r="V179" s="56" t="str">
        <f t="shared" si="50"/>
        <v/>
      </c>
      <c r="W179" s="14"/>
      <c r="X179" s="14"/>
      <c r="Y179" s="14"/>
      <c r="Z179" s="14"/>
      <c r="AA179" s="18">
        <f t="shared" si="51"/>
        <v>140</v>
      </c>
      <c r="AB179" s="14"/>
      <c r="AC179" s="14"/>
      <c r="AD179" s="14"/>
      <c r="AE179" s="14"/>
      <c r="AF179" s="16">
        <v>0</v>
      </c>
      <c r="AG179" s="16">
        <v>1</v>
      </c>
      <c r="AH179" s="16">
        <v>0</v>
      </c>
      <c r="AI179" s="16">
        <v>1</v>
      </c>
      <c r="AJ179" s="5">
        <v>0</v>
      </c>
      <c r="AK179" s="5">
        <v>0</v>
      </c>
      <c r="AL179" s="5">
        <v>0</v>
      </c>
      <c r="AM179" s="20">
        <v>2.1</v>
      </c>
      <c r="AN179" s="20">
        <v>0.1</v>
      </c>
      <c r="AO179" s="16"/>
      <c r="AP179" s="16"/>
      <c r="AQ179" s="16"/>
      <c r="AR179" s="16">
        <v>0</v>
      </c>
      <c r="AS179" s="16">
        <v>1</v>
      </c>
      <c r="AT179" s="16"/>
      <c r="AU179" s="16"/>
      <c r="AV179" s="16"/>
      <c r="AW179" s="16"/>
      <c r="AX179" s="16">
        <v>0</v>
      </c>
      <c r="AY179" s="16">
        <v>0</v>
      </c>
      <c r="AZ179" s="16">
        <v>0</v>
      </c>
      <c r="BA179" s="16">
        <v>0</v>
      </c>
    </row>
    <row r="180" spans="1:53" x14ac:dyDescent="0.2">
      <c r="A180" s="14"/>
      <c r="B180" s="14" t="str">
        <f t="shared" si="36"/>
        <v>Azar &amp; Sterner 1996</v>
      </c>
      <c r="C180" s="61">
        <f t="shared" si="37"/>
        <v>18</v>
      </c>
      <c r="D180" s="58">
        <v>1996</v>
      </c>
      <c r="E180" s="17"/>
      <c r="F180" s="58">
        <v>1</v>
      </c>
      <c r="G180" s="22">
        <v>1990</v>
      </c>
      <c r="H180" s="15">
        <f>LOOKUP(G180,CPI!A$69:A$100,CPI!O$69:O$100)</f>
        <v>1.6683703136954862</v>
      </c>
      <c r="I180" s="69">
        <v>1990</v>
      </c>
      <c r="J180" s="15">
        <f>2/90</f>
        <v>2.2222222222222223E-2</v>
      </c>
      <c r="K180" s="15"/>
      <c r="L180" s="62"/>
      <c r="M180" s="56">
        <f t="shared" si="47"/>
        <v>114.84734244836126</v>
      </c>
      <c r="N180" s="14">
        <v>32</v>
      </c>
      <c r="O180" s="18">
        <f t="shared" si="48"/>
        <v>32</v>
      </c>
      <c r="P180" s="16">
        <v>0</v>
      </c>
      <c r="Q180" s="16">
        <v>1</v>
      </c>
      <c r="R180" s="16">
        <v>0</v>
      </c>
      <c r="S180" s="14"/>
      <c r="T180" s="56" t="str">
        <f t="shared" si="35"/>
        <v/>
      </c>
      <c r="U180" s="56" t="str">
        <f t="shared" si="49"/>
        <v/>
      </c>
      <c r="V180" s="56" t="str">
        <f t="shared" si="50"/>
        <v/>
      </c>
      <c r="W180" s="14"/>
      <c r="X180" s="14"/>
      <c r="Y180" s="14"/>
      <c r="Z180" s="14"/>
      <c r="AA180" s="18">
        <f t="shared" si="51"/>
        <v>32</v>
      </c>
      <c r="AB180" s="14"/>
      <c r="AC180" s="14"/>
      <c r="AD180" s="14"/>
      <c r="AE180" s="14"/>
      <c r="AF180" s="16">
        <v>0</v>
      </c>
      <c r="AG180" s="16">
        <v>1</v>
      </c>
      <c r="AH180" s="16">
        <v>0</v>
      </c>
      <c r="AI180" s="16">
        <v>1</v>
      </c>
      <c r="AJ180" s="5">
        <v>0</v>
      </c>
      <c r="AK180" s="5">
        <v>0</v>
      </c>
      <c r="AL180" s="5">
        <v>0</v>
      </c>
      <c r="AM180" s="20">
        <v>3</v>
      </c>
      <c r="AN180" s="20">
        <v>1</v>
      </c>
      <c r="AO180" s="16"/>
      <c r="AP180" s="16"/>
      <c r="AQ180" s="16"/>
      <c r="AR180" s="16">
        <v>0</v>
      </c>
      <c r="AS180" s="16">
        <v>1</v>
      </c>
      <c r="AT180" s="16"/>
      <c r="AU180" s="16"/>
      <c r="AV180" s="16"/>
      <c r="AW180" s="16"/>
      <c r="AX180" s="16">
        <v>0</v>
      </c>
      <c r="AY180" s="16">
        <v>0</v>
      </c>
      <c r="AZ180" s="16">
        <v>0</v>
      </c>
      <c r="BA180" s="16">
        <v>0</v>
      </c>
    </row>
    <row r="181" spans="1:53" x14ac:dyDescent="0.2">
      <c r="A181" s="14"/>
      <c r="B181" s="14" t="str">
        <f t="shared" si="36"/>
        <v>Azar &amp; Sterner 1996</v>
      </c>
      <c r="C181" s="61">
        <f t="shared" si="37"/>
        <v>18</v>
      </c>
      <c r="D181" s="58">
        <v>1996</v>
      </c>
      <c r="E181" s="17"/>
      <c r="F181" s="58">
        <v>1</v>
      </c>
      <c r="G181" s="22">
        <v>1990</v>
      </c>
      <c r="H181" s="15">
        <f>LOOKUP(G181,CPI!A$69:A$100,CPI!O$69:O$100)</f>
        <v>1.6683703136954862</v>
      </c>
      <c r="I181" s="69">
        <v>1990</v>
      </c>
      <c r="J181" s="15">
        <f>4/90</f>
        <v>4.4444444444444446E-2</v>
      </c>
      <c r="K181" s="15"/>
      <c r="L181" s="62"/>
      <c r="M181" s="56">
        <f t="shared" si="47"/>
        <v>118.43632189987254</v>
      </c>
      <c r="N181" s="14">
        <v>33</v>
      </c>
      <c r="O181" s="18">
        <f t="shared" si="48"/>
        <v>33</v>
      </c>
      <c r="P181" s="16">
        <v>0</v>
      </c>
      <c r="Q181" s="16">
        <v>1</v>
      </c>
      <c r="R181" s="16">
        <v>0</v>
      </c>
      <c r="S181" s="14"/>
      <c r="T181" s="56" t="str">
        <f t="shared" si="35"/>
        <v/>
      </c>
      <c r="U181" s="56" t="str">
        <f t="shared" si="49"/>
        <v/>
      </c>
      <c r="V181" s="56" t="str">
        <f t="shared" si="50"/>
        <v/>
      </c>
      <c r="W181" s="14"/>
      <c r="X181" s="14"/>
      <c r="Y181" s="14"/>
      <c r="Z181" s="14"/>
      <c r="AA181" s="18">
        <f t="shared" si="51"/>
        <v>33</v>
      </c>
      <c r="AB181" s="14"/>
      <c r="AC181" s="14"/>
      <c r="AD181" s="14"/>
      <c r="AE181" s="14"/>
      <c r="AF181" s="16">
        <v>0</v>
      </c>
      <c r="AG181" s="16">
        <v>1</v>
      </c>
      <c r="AH181" s="16">
        <v>0</v>
      </c>
      <c r="AI181" s="16">
        <v>1</v>
      </c>
      <c r="AJ181" s="5">
        <v>0</v>
      </c>
      <c r="AK181" s="5">
        <v>0</v>
      </c>
      <c r="AL181" s="5">
        <v>0</v>
      </c>
      <c r="AM181" s="20">
        <v>3</v>
      </c>
      <c r="AN181" s="20">
        <v>1</v>
      </c>
      <c r="AO181" s="16"/>
      <c r="AP181" s="16"/>
      <c r="AQ181" s="16"/>
      <c r="AR181" s="16">
        <v>0</v>
      </c>
      <c r="AS181" s="16">
        <v>1</v>
      </c>
      <c r="AT181" s="16"/>
      <c r="AU181" s="16"/>
      <c r="AV181" s="16"/>
      <c r="AW181" s="16"/>
      <c r="AX181" s="16">
        <v>0</v>
      </c>
      <c r="AY181" s="16">
        <v>0</v>
      </c>
      <c r="AZ181" s="16">
        <v>0</v>
      </c>
      <c r="BA181" s="16">
        <v>0</v>
      </c>
    </row>
    <row r="182" spans="1:53" x14ac:dyDescent="0.2">
      <c r="A182" s="14"/>
      <c r="B182" s="14" t="str">
        <f t="shared" si="36"/>
        <v>Azar &amp; Sterner 1996</v>
      </c>
      <c r="C182" s="61">
        <f t="shared" si="37"/>
        <v>18</v>
      </c>
      <c r="D182" s="58">
        <v>1996</v>
      </c>
      <c r="E182" s="17"/>
      <c r="F182" s="58">
        <v>1</v>
      </c>
      <c r="G182" s="22">
        <v>1990</v>
      </c>
      <c r="H182" s="15">
        <f>LOOKUP(G182,CPI!A$69:A$100,CPI!O$69:O$100)</f>
        <v>1.6683703136954862</v>
      </c>
      <c r="I182" s="69">
        <v>1990</v>
      </c>
      <c r="J182" s="15">
        <f>1/90</f>
        <v>1.1111111111111112E-2</v>
      </c>
      <c r="K182" s="15"/>
      <c r="L182" s="62"/>
      <c r="M182" s="56">
        <f t="shared" si="47"/>
        <v>46.656732869646767</v>
      </c>
      <c r="N182" s="14">
        <v>13</v>
      </c>
      <c r="O182" s="18">
        <f t="shared" si="48"/>
        <v>13</v>
      </c>
      <c r="P182" s="16">
        <v>0</v>
      </c>
      <c r="Q182" s="16">
        <v>1</v>
      </c>
      <c r="R182" s="16">
        <v>0</v>
      </c>
      <c r="S182" s="14"/>
      <c r="T182" s="56" t="str">
        <f t="shared" si="35"/>
        <v/>
      </c>
      <c r="U182" s="56" t="str">
        <f t="shared" si="49"/>
        <v/>
      </c>
      <c r="V182" s="56" t="str">
        <f t="shared" si="50"/>
        <v/>
      </c>
      <c r="W182" s="14"/>
      <c r="X182" s="14"/>
      <c r="Y182" s="14"/>
      <c r="Z182" s="14"/>
      <c r="AA182" s="18">
        <f t="shared" si="51"/>
        <v>13</v>
      </c>
      <c r="AB182" s="14"/>
      <c r="AC182" s="14"/>
      <c r="AD182" s="14"/>
      <c r="AE182" s="14"/>
      <c r="AF182" s="16">
        <v>0</v>
      </c>
      <c r="AG182" s="16">
        <v>1</v>
      </c>
      <c r="AH182" s="16">
        <v>0</v>
      </c>
      <c r="AI182" s="16">
        <v>1</v>
      </c>
      <c r="AJ182" s="5">
        <v>0</v>
      </c>
      <c r="AK182" s="5">
        <v>0</v>
      </c>
      <c r="AL182" s="5">
        <v>0</v>
      </c>
      <c r="AM182" s="20">
        <v>5</v>
      </c>
      <c r="AN182" s="20">
        <v>3</v>
      </c>
      <c r="AO182" s="16"/>
      <c r="AP182" s="16"/>
      <c r="AQ182" s="16"/>
      <c r="AR182" s="16">
        <v>0</v>
      </c>
      <c r="AS182" s="16">
        <v>1</v>
      </c>
      <c r="AT182" s="16"/>
      <c r="AU182" s="16"/>
      <c r="AV182" s="16"/>
      <c r="AW182" s="16"/>
      <c r="AX182" s="16">
        <v>0</v>
      </c>
      <c r="AY182" s="16">
        <v>0</v>
      </c>
      <c r="AZ182" s="16">
        <v>0</v>
      </c>
      <c r="BA182" s="16">
        <v>0</v>
      </c>
    </row>
    <row r="183" spans="1:53" x14ac:dyDescent="0.2">
      <c r="A183" s="14"/>
      <c r="B183" s="14" t="str">
        <f t="shared" si="36"/>
        <v>Azar &amp; Sterner 1996</v>
      </c>
      <c r="C183" s="61">
        <f t="shared" si="37"/>
        <v>18</v>
      </c>
      <c r="D183" s="58">
        <v>1996</v>
      </c>
      <c r="E183" s="17"/>
      <c r="F183" s="58">
        <v>1</v>
      </c>
      <c r="G183" s="22">
        <v>1990</v>
      </c>
      <c r="H183" s="15">
        <f>LOOKUP(G183,CPI!A$69:A$100,CPI!O$69:O$100)</f>
        <v>1.6683703136954862</v>
      </c>
      <c r="I183" s="69">
        <v>1990</v>
      </c>
      <c r="J183" s="15">
        <f>2/90</f>
        <v>2.2222222222222223E-2</v>
      </c>
      <c r="K183" s="15"/>
      <c r="L183" s="62"/>
      <c r="M183" s="56">
        <f t="shared" si="47"/>
        <v>46.656732869646767</v>
      </c>
      <c r="N183" s="14">
        <v>13</v>
      </c>
      <c r="O183" s="18">
        <f t="shared" si="48"/>
        <v>13</v>
      </c>
      <c r="P183" s="16">
        <v>0</v>
      </c>
      <c r="Q183" s="16">
        <v>1</v>
      </c>
      <c r="R183" s="16">
        <v>0</v>
      </c>
      <c r="S183" s="14"/>
      <c r="T183" s="56" t="str">
        <f t="shared" si="35"/>
        <v/>
      </c>
      <c r="U183" s="56" t="str">
        <f t="shared" si="49"/>
        <v/>
      </c>
      <c r="V183" s="56" t="str">
        <f t="shared" si="50"/>
        <v/>
      </c>
      <c r="W183" s="14"/>
      <c r="X183" s="14"/>
      <c r="Y183" s="14"/>
      <c r="Z183" s="14"/>
      <c r="AA183" s="18">
        <f t="shared" si="51"/>
        <v>13</v>
      </c>
      <c r="AB183" s="14"/>
      <c r="AC183" s="14"/>
      <c r="AD183" s="14"/>
      <c r="AE183" s="14"/>
      <c r="AF183" s="16">
        <v>0</v>
      </c>
      <c r="AG183" s="16">
        <v>1</v>
      </c>
      <c r="AH183" s="16">
        <v>0</v>
      </c>
      <c r="AI183" s="16">
        <v>1</v>
      </c>
      <c r="AJ183" s="5">
        <v>0</v>
      </c>
      <c r="AK183" s="5">
        <v>0</v>
      </c>
      <c r="AL183" s="5">
        <v>0</v>
      </c>
      <c r="AM183" s="20">
        <v>5</v>
      </c>
      <c r="AN183" s="20">
        <v>3</v>
      </c>
      <c r="AO183" s="16"/>
      <c r="AP183" s="16"/>
      <c r="AQ183" s="16"/>
      <c r="AR183" s="16">
        <v>0</v>
      </c>
      <c r="AS183" s="16">
        <v>1</v>
      </c>
      <c r="AT183" s="16"/>
      <c r="AU183" s="16"/>
      <c r="AV183" s="16"/>
      <c r="AW183" s="16"/>
      <c r="AX183" s="16">
        <v>0</v>
      </c>
      <c r="AY183" s="16">
        <v>0</v>
      </c>
      <c r="AZ183" s="16">
        <v>0</v>
      </c>
      <c r="BA183" s="16">
        <v>0</v>
      </c>
    </row>
    <row r="184" spans="1:53" x14ac:dyDescent="0.2">
      <c r="A184" s="14"/>
      <c r="B184" s="14" t="str">
        <f t="shared" si="36"/>
        <v>Azar &amp; Sterner 1996</v>
      </c>
      <c r="C184" s="61">
        <f t="shared" si="37"/>
        <v>18</v>
      </c>
      <c r="D184" s="58">
        <v>1996</v>
      </c>
      <c r="E184" s="17"/>
      <c r="F184" s="58">
        <v>1</v>
      </c>
      <c r="G184" s="22">
        <v>1990</v>
      </c>
      <c r="H184" s="15">
        <f>LOOKUP(G184,CPI!A$69:A$100,CPI!O$69:O$100)</f>
        <v>1.6683703136954862</v>
      </c>
      <c r="I184" s="69">
        <v>1990</v>
      </c>
      <c r="J184" s="15">
        <f>8/90</f>
        <v>8.8888888888888892E-2</v>
      </c>
      <c r="K184" s="15"/>
      <c r="L184" s="62"/>
      <c r="M184" s="56">
        <f t="shared" si="47"/>
        <v>933.13465739293531</v>
      </c>
      <c r="N184" s="14">
        <v>260</v>
      </c>
      <c r="O184" s="18">
        <f t="shared" si="48"/>
        <v>260</v>
      </c>
      <c r="P184" s="16">
        <v>0</v>
      </c>
      <c r="Q184" s="16">
        <v>1</v>
      </c>
      <c r="R184" s="16">
        <v>0</v>
      </c>
      <c r="S184" s="14"/>
      <c r="T184" s="56" t="str">
        <f t="shared" si="35"/>
        <v/>
      </c>
      <c r="U184" s="56" t="str">
        <f t="shared" si="49"/>
        <v/>
      </c>
      <c r="V184" s="56" t="str">
        <f t="shared" si="50"/>
        <v/>
      </c>
      <c r="W184" s="14"/>
      <c r="X184" s="14"/>
      <c r="Y184" s="14"/>
      <c r="Z184" s="14"/>
      <c r="AA184" s="18">
        <f t="shared" si="51"/>
        <v>260</v>
      </c>
      <c r="AB184" s="14"/>
      <c r="AC184" s="14"/>
      <c r="AD184" s="14"/>
      <c r="AE184" s="14"/>
      <c r="AF184" s="16">
        <v>0</v>
      </c>
      <c r="AG184" s="16">
        <v>1</v>
      </c>
      <c r="AH184" s="16">
        <v>0</v>
      </c>
      <c r="AI184" s="16">
        <v>1</v>
      </c>
      <c r="AJ184" s="5">
        <v>0</v>
      </c>
      <c r="AK184" s="5">
        <v>0</v>
      </c>
      <c r="AL184" s="5">
        <v>0</v>
      </c>
      <c r="AM184" s="20">
        <v>2</v>
      </c>
      <c r="AN184" s="20">
        <v>0</v>
      </c>
      <c r="AO184" s="16"/>
      <c r="AP184" s="16"/>
      <c r="AQ184" s="16"/>
      <c r="AR184" s="16">
        <v>1</v>
      </c>
      <c r="AS184" s="16">
        <v>1</v>
      </c>
      <c r="AT184" s="16"/>
      <c r="AU184" s="16"/>
      <c r="AV184" s="16"/>
      <c r="AW184" s="16"/>
      <c r="AX184" s="16">
        <v>0</v>
      </c>
      <c r="AY184" s="16">
        <v>0</v>
      </c>
      <c r="AZ184" s="16">
        <v>0</v>
      </c>
      <c r="BA184" s="16">
        <v>0</v>
      </c>
    </row>
    <row r="185" spans="1:53" x14ac:dyDescent="0.2">
      <c r="A185" s="14"/>
      <c r="B185" s="14" t="str">
        <f t="shared" si="36"/>
        <v>Azar &amp; Sterner 1996</v>
      </c>
      <c r="C185" s="61">
        <f t="shared" si="37"/>
        <v>18</v>
      </c>
      <c r="D185" s="58">
        <v>1996</v>
      </c>
      <c r="E185" s="17"/>
      <c r="F185" s="58">
        <v>1</v>
      </c>
      <c r="G185" s="22">
        <v>1990</v>
      </c>
      <c r="H185" s="15">
        <f>LOOKUP(G185,CPI!A$69:A$100,CPI!O$69:O$100)</f>
        <v>1.6683703136954862</v>
      </c>
      <c r="I185" s="69">
        <v>1990</v>
      </c>
      <c r="J185" s="15">
        <f>16/90</f>
        <v>0.17777777777777778</v>
      </c>
      <c r="K185" s="15"/>
      <c r="L185" s="62"/>
      <c r="M185" s="56">
        <f t="shared" si="47"/>
        <v>2117.4978763916606</v>
      </c>
      <c r="N185" s="14">
        <v>590</v>
      </c>
      <c r="O185" s="18">
        <f t="shared" si="48"/>
        <v>590</v>
      </c>
      <c r="P185" s="16">
        <v>0</v>
      </c>
      <c r="Q185" s="16">
        <v>1</v>
      </c>
      <c r="R185" s="16">
        <v>0</v>
      </c>
      <c r="S185" s="14"/>
      <c r="T185" s="56" t="str">
        <f t="shared" si="35"/>
        <v/>
      </c>
      <c r="U185" s="56" t="str">
        <f t="shared" si="49"/>
        <v/>
      </c>
      <c r="V185" s="56" t="str">
        <f t="shared" si="50"/>
        <v/>
      </c>
      <c r="W185" s="14"/>
      <c r="X185" s="14"/>
      <c r="Y185" s="14"/>
      <c r="Z185" s="14"/>
      <c r="AA185" s="18">
        <f t="shared" si="51"/>
        <v>590</v>
      </c>
      <c r="AB185" s="14"/>
      <c r="AC185" s="14"/>
      <c r="AD185" s="14"/>
      <c r="AE185" s="14"/>
      <c r="AF185" s="16">
        <v>0</v>
      </c>
      <c r="AG185" s="16">
        <v>1</v>
      </c>
      <c r="AH185" s="16">
        <v>0</v>
      </c>
      <c r="AI185" s="16">
        <v>1</v>
      </c>
      <c r="AJ185" s="5">
        <v>0</v>
      </c>
      <c r="AK185" s="5">
        <v>0</v>
      </c>
      <c r="AL185" s="5">
        <v>0</v>
      </c>
      <c r="AM185" s="20">
        <v>2</v>
      </c>
      <c r="AN185" s="20">
        <v>0</v>
      </c>
      <c r="AO185" s="16"/>
      <c r="AP185" s="16"/>
      <c r="AQ185" s="16"/>
      <c r="AR185" s="16">
        <v>1</v>
      </c>
      <c r="AS185" s="16">
        <v>1</v>
      </c>
      <c r="AT185" s="16"/>
      <c r="AU185" s="16"/>
      <c r="AV185" s="16"/>
      <c r="AW185" s="16"/>
      <c r="AX185" s="16">
        <v>0</v>
      </c>
      <c r="AY185" s="16">
        <v>0</v>
      </c>
      <c r="AZ185" s="16">
        <v>0</v>
      </c>
      <c r="BA185" s="16">
        <v>0</v>
      </c>
    </row>
    <row r="186" spans="1:53" x14ac:dyDescent="0.2">
      <c r="A186" s="14"/>
      <c r="B186" s="14" t="str">
        <f t="shared" si="36"/>
        <v>Azar &amp; Sterner 1996</v>
      </c>
      <c r="C186" s="61">
        <f t="shared" si="37"/>
        <v>18</v>
      </c>
      <c r="D186" s="58">
        <v>1996</v>
      </c>
      <c r="E186" s="17"/>
      <c r="F186" s="58">
        <v>1</v>
      </c>
      <c r="G186" s="22">
        <v>1990</v>
      </c>
      <c r="H186" s="15">
        <f>LOOKUP(G186,CPI!A$69:A$100,CPI!O$69:O$100)</f>
        <v>1.6683703136954862</v>
      </c>
      <c r="I186" s="69">
        <v>1990</v>
      </c>
      <c r="J186" s="15">
        <f>6/90</f>
        <v>6.6666666666666666E-2</v>
      </c>
      <c r="K186" s="15"/>
      <c r="L186" s="62"/>
      <c r="M186" s="56">
        <f t="shared" si="47"/>
        <v>825.46527384759656</v>
      </c>
      <c r="N186" s="14">
        <v>230</v>
      </c>
      <c r="O186" s="18">
        <f t="shared" si="48"/>
        <v>230</v>
      </c>
      <c r="P186" s="16">
        <v>0</v>
      </c>
      <c r="Q186" s="16">
        <v>1</v>
      </c>
      <c r="R186" s="16">
        <v>0</v>
      </c>
      <c r="S186" s="14"/>
      <c r="T186" s="56" t="str">
        <f t="shared" si="35"/>
        <v/>
      </c>
      <c r="U186" s="56" t="str">
        <f t="shared" si="49"/>
        <v/>
      </c>
      <c r="V186" s="56" t="str">
        <f t="shared" si="50"/>
        <v/>
      </c>
      <c r="W186" s="14"/>
      <c r="X186" s="14"/>
      <c r="Y186" s="14"/>
      <c r="Z186" s="14"/>
      <c r="AA186" s="18">
        <f t="shared" si="51"/>
        <v>230</v>
      </c>
      <c r="AB186" s="14"/>
      <c r="AC186" s="14"/>
      <c r="AD186" s="14"/>
      <c r="AE186" s="14"/>
      <c r="AF186" s="16">
        <v>0</v>
      </c>
      <c r="AG186" s="16">
        <v>1</v>
      </c>
      <c r="AH186" s="16">
        <v>0</v>
      </c>
      <c r="AI186" s="16">
        <v>1</v>
      </c>
      <c r="AJ186" s="5">
        <v>0</v>
      </c>
      <c r="AK186" s="5">
        <v>0</v>
      </c>
      <c r="AL186" s="5">
        <v>0</v>
      </c>
      <c r="AM186" s="20">
        <v>2.1</v>
      </c>
      <c r="AN186" s="20">
        <v>0.1</v>
      </c>
      <c r="AO186" s="16"/>
      <c r="AP186" s="16"/>
      <c r="AQ186" s="16"/>
      <c r="AR186" s="16">
        <v>1</v>
      </c>
      <c r="AS186" s="16">
        <v>1</v>
      </c>
      <c r="AT186" s="16"/>
      <c r="AU186" s="16"/>
      <c r="AV186" s="16"/>
      <c r="AW186" s="16"/>
      <c r="AX186" s="16">
        <v>0</v>
      </c>
      <c r="AY186" s="16">
        <v>0</v>
      </c>
      <c r="AZ186" s="16">
        <v>0</v>
      </c>
      <c r="BA186" s="16">
        <v>0</v>
      </c>
    </row>
    <row r="187" spans="1:53" x14ac:dyDescent="0.2">
      <c r="A187" s="14"/>
      <c r="B187" s="14" t="str">
        <f t="shared" si="36"/>
        <v>Azar &amp; Sterner 1996</v>
      </c>
      <c r="C187" s="61">
        <f t="shared" si="37"/>
        <v>18</v>
      </c>
      <c r="D187" s="58">
        <v>1996</v>
      </c>
      <c r="E187" s="17"/>
      <c r="F187" s="58">
        <v>1</v>
      </c>
      <c r="G187" s="22">
        <v>1990</v>
      </c>
      <c r="H187" s="15">
        <f>LOOKUP(G187,CPI!A$69:A$100,CPI!O$69:O$100)</f>
        <v>1.6683703136954862</v>
      </c>
      <c r="I187" s="69">
        <v>1990</v>
      </c>
      <c r="J187" s="15">
        <f>12/90</f>
        <v>0.13333333333333333</v>
      </c>
      <c r="K187" s="15"/>
      <c r="L187" s="62"/>
      <c r="M187" s="56">
        <f t="shared" si="47"/>
        <v>1471.4815751196288</v>
      </c>
      <c r="N187" s="14">
        <v>410</v>
      </c>
      <c r="O187" s="18">
        <f t="shared" si="48"/>
        <v>410</v>
      </c>
      <c r="P187" s="16">
        <v>0</v>
      </c>
      <c r="Q187" s="16">
        <v>1</v>
      </c>
      <c r="R187" s="16">
        <v>0</v>
      </c>
      <c r="S187" s="14"/>
      <c r="T187" s="56" t="str">
        <f t="shared" si="35"/>
        <v/>
      </c>
      <c r="U187" s="56" t="str">
        <f t="shared" si="49"/>
        <v/>
      </c>
      <c r="V187" s="56" t="str">
        <f t="shared" si="50"/>
        <v/>
      </c>
      <c r="W187" s="14"/>
      <c r="X187" s="14"/>
      <c r="Y187" s="14"/>
      <c r="Z187" s="14"/>
      <c r="AA187" s="18">
        <f t="shared" si="51"/>
        <v>410</v>
      </c>
      <c r="AB187" s="14"/>
      <c r="AC187" s="14"/>
      <c r="AD187" s="14"/>
      <c r="AE187" s="14"/>
      <c r="AF187" s="16">
        <v>0</v>
      </c>
      <c r="AG187" s="16">
        <v>1</v>
      </c>
      <c r="AH187" s="16">
        <v>0</v>
      </c>
      <c r="AI187" s="16">
        <v>1</v>
      </c>
      <c r="AJ187" s="5">
        <v>0</v>
      </c>
      <c r="AK187" s="5">
        <v>0</v>
      </c>
      <c r="AL187" s="5">
        <v>0</v>
      </c>
      <c r="AM187" s="20">
        <v>2.1</v>
      </c>
      <c r="AN187" s="20">
        <v>0.1</v>
      </c>
      <c r="AO187" s="16"/>
      <c r="AP187" s="16"/>
      <c r="AQ187" s="16"/>
      <c r="AR187" s="16">
        <v>1</v>
      </c>
      <c r="AS187" s="16">
        <v>1</v>
      </c>
      <c r="AT187" s="16"/>
      <c r="AU187" s="16"/>
      <c r="AV187" s="16"/>
      <c r="AW187" s="16"/>
      <c r="AX187" s="16">
        <v>0</v>
      </c>
      <c r="AY187" s="16">
        <v>0</v>
      </c>
      <c r="AZ187" s="16">
        <v>0</v>
      </c>
      <c r="BA187" s="16">
        <v>0</v>
      </c>
    </row>
    <row r="188" spans="1:53" x14ac:dyDescent="0.2">
      <c r="A188" s="14"/>
      <c r="B188" s="14" t="str">
        <f t="shared" si="36"/>
        <v>Azar &amp; Sterner 1996</v>
      </c>
      <c r="C188" s="61">
        <f t="shared" si="37"/>
        <v>18</v>
      </c>
      <c r="D188" s="58">
        <v>1996</v>
      </c>
      <c r="E188" s="17"/>
      <c r="F188" s="58">
        <v>1</v>
      </c>
      <c r="G188" s="22">
        <v>1990</v>
      </c>
      <c r="H188" s="15">
        <f>LOOKUP(G188,CPI!A$69:A$100,CPI!O$69:O$100)</f>
        <v>1.6683703136954862</v>
      </c>
      <c r="I188" s="69">
        <v>1990</v>
      </c>
      <c r="J188" s="15">
        <f>4/90</f>
        <v>4.4444444444444446E-2</v>
      </c>
      <c r="K188" s="15"/>
      <c r="L188" s="62"/>
      <c r="M188" s="56">
        <f t="shared" si="47"/>
        <v>340.95304789357249</v>
      </c>
      <c r="N188" s="14">
        <v>95</v>
      </c>
      <c r="O188" s="18">
        <f t="shared" si="48"/>
        <v>95</v>
      </c>
      <c r="P188" s="16">
        <v>0</v>
      </c>
      <c r="Q188" s="16">
        <v>1</v>
      </c>
      <c r="R188" s="16">
        <v>0</v>
      </c>
      <c r="S188" s="14"/>
      <c r="T188" s="56" t="str">
        <f t="shared" ref="T188:T262" si="52">IF(OR(M188="",S188=""),"",S188*H188*(1+$L$2)^(2015-I188))</f>
        <v/>
      </c>
      <c r="U188" s="56" t="str">
        <f t="shared" si="49"/>
        <v/>
      </c>
      <c r="V188" s="56" t="str">
        <f t="shared" si="50"/>
        <v/>
      </c>
      <c r="W188" s="14"/>
      <c r="X188" s="14"/>
      <c r="Y188" s="14"/>
      <c r="Z188" s="14"/>
      <c r="AA188" s="18">
        <f t="shared" si="51"/>
        <v>95</v>
      </c>
      <c r="AB188" s="14"/>
      <c r="AC188" s="14"/>
      <c r="AD188" s="14"/>
      <c r="AE188" s="14"/>
      <c r="AF188" s="16">
        <v>0</v>
      </c>
      <c r="AG188" s="16">
        <v>1</v>
      </c>
      <c r="AH188" s="16">
        <v>0</v>
      </c>
      <c r="AI188" s="16">
        <v>1</v>
      </c>
      <c r="AJ188" s="5">
        <v>0</v>
      </c>
      <c r="AK188" s="5">
        <v>0</v>
      </c>
      <c r="AL188" s="5">
        <v>0</v>
      </c>
      <c r="AM188" s="20">
        <v>3</v>
      </c>
      <c r="AN188" s="20">
        <v>1</v>
      </c>
      <c r="AO188" s="16"/>
      <c r="AP188" s="16"/>
      <c r="AQ188" s="16"/>
      <c r="AR188" s="16">
        <v>1</v>
      </c>
      <c r="AS188" s="16">
        <v>1</v>
      </c>
      <c r="AT188" s="16"/>
      <c r="AU188" s="16"/>
      <c r="AV188" s="16"/>
      <c r="AW188" s="16"/>
      <c r="AX188" s="16">
        <v>0</v>
      </c>
      <c r="AY188" s="16">
        <v>0</v>
      </c>
      <c r="AZ188" s="16">
        <v>0</v>
      </c>
      <c r="BA188" s="16">
        <v>0</v>
      </c>
    </row>
    <row r="189" spans="1:53" x14ac:dyDescent="0.2">
      <c r="A189" s="14"/>
      <c r="B189" s="14" t="str">
        <f t="shared" si="36"/>
        <v>Azar &amp; Sterner 1996</v>
      </c>
      <c r="C189" s="61">
        <f t="shared" si="37"/>
        <v>18</v>
      </c>
      <c r="D189" s="58">
        <v>1996</v>
      </c>
      <c r="E189" s="17"/>
      <c r="F189" s="58">
        <v>1</v>
      </c>
      <c r="G189" s="22">
        <v>1990</v>
      </c>
      <c r="H189" s="15">
        <f>LOOKUP(G189,CPI!A$69:A$100,CPI!O$69:O$100)</f>
        <v>1.6683703136954862</v>
      </c>
      <c r="I189" s="69">
        <v>1990</v>
      </c>
      <c r="J189" s="15">
        <f>8/90</f>
        <v>8.8888888888888892E-2</v>
      </c>
      <c r="K189" s="15"/>
      <c r="L189" s="62"/>
      <c r="M189" s="56">
        <f t="shared" si="47"/>
        <v>351.71998624810635</v>
      </c>
      <c r="N189" s="14">
        <v>98</v>
      </c>
      <c r="O189" s="18">
        <f t="shared" si="48"/>
        <v>98</v>
      </c>
      <c r="P189" s="16">
        <v>0</v>
      </c>
      <c r="Q189" s="16">
        <v>1</v>
      </c>
      <c r="R189" s="16">
        <v>0</v>
      </c>
      <c r="S189" s="14"/>
      <c r="T189" s="56" t="str">
        <f t="shared" si="52"/>
        <v/>
      </c>
      <c r="U189" s="56" t="str">
        <f t="shared" si="49"/>
        <v/>
      </c>
      <c r="V189" s="56" t="str">
        <f t="shared" si="50"/>
        <v/>
      </c>
      <c r="W189" s="14"/>
      <c r="X189" s="14"/>
      <c r="Y189" s="14"/>
      <c r="Z189" s="14"/>
      <c r="AA189" s="18">
        <f t="shared" si="51"/>
        <v>98</v>
      </c>
      <c r="AB189" s="14"/>
      <c r="AC189" s="14"/>
      <c r="AD189" s="14"/>
      <c r="AE189" s="14"/>
      <c r="AF189" s="16">
        <v>0</v>
      </c>
      <c r="AG189" s="16">
        <v>1</v>
      </c>
      <c r="AH189" s="16">
        <v>0</v>
      </c>
      <c r="AI189" s="16">
        <v>1</v>
      </c>
      <c r="AJ189" s="5">
        <v>0</v>
      </c>
      <c r="AK189" s="5">
        <v>0</v>
      </c>
      <c r="AL189" s="5">
        <v>0</v>
      </c>
      <c r="AM189" s="20">
        <v>3</v>
      </c>
      <c r="AN189" s="20">
        <v>1</v>
      </c>
      <c r="AO189" s="16"/>
      <c r="AP189" s="16"/>
      <c r="AQ189" s="16"/>
      <c r="AR189" s="16">
        <v>1</v>
      </c>
      <c r="AS189" s="16">
        <v>1</v>
      </c>
      <c r="AT189" s="16"/>
      <c r="AU189" s="16"/>
      <c r="AV189" s="16"/>
      <c r="AW189" s="16"/>
      <c r="AX189" s="16">
        <v>0</v>
      </c>
      <c r="AY189" s="16">
        <v>0</v>
      </c>
      <c r="AZ189" s="16">
        <v>0</v>
      </c>
      <c r="BA189" s="16">
        <v>0</v>
      </c>
    </row>
    <row r="190" spans="1:53" x14ac:dyDescent="0.2">
      <c r="A190" s="14"/>
      <c r="B190" s="14" t="str">
        <f t="shared" si="36"/>
        <v>Azar &amp; Sterner 1996</v>
      </c>
      <c r="C190" s="61">
        <f t="shared" si="37"/>
        <v>18</v>
      </c>
      <c r="D190" s="58">
        <v>1996</v>
      </c>
      <c r="E190" s="17"/>
      <c r="F190" s="58">
        <v>1</v>
      </c>
      <c r="G190" s="22">
        <v>1990</v>
      </c>
      <c r="H190" s="15">
        <f>LOOKUP(G190,CPI!A$69:A$100,CPI!O$69:O$100)</f>
        <v>1.6683703136954862</v>
      </c>
      <c r="I190" s="69">
        <v>1990</v>
      </c>
      <c r="J190" s="15">
        <f>2/90</f>
        <v>2.2222222222222223E-2</v>
      </c>
      <c r="K190" s="15"/>
      <c r="L190" s="62"/>
      <c r="M190" s="56">
        <f t="shared" si="47"/>
        <v>139.97019860894028</v>
      </c>
      <c r="N190" s="14">
        <v>39</v>
      </c>
      <c r="O190" s="18">
        <f t="shared" si="48"/>
        <v>39</v>
      </c>
      <c r="P190" s="16">
        <v>0</v>
      </c>
      <c r="Q190" s="16">
        <v>1</v>
      </c>
      <c r="R190" s="16">
        <v>0</v>
      </c>
      <c r="S190" s="14"/>
      <c r="T190" s="56" t="str">
        <f t="shared" si="52"/>
        <v/>
      </c>
      <c r="U190" s="56" t="str">
        <f t="shared" si="49"/>
        <v/>
      </c>
      <c r="V190" s="56" t="str">
        <f t="shared" si="50"/>
        <v/>
      </c>
      <c r="W190" s="14"/>
      <c r="X190" s="14"/>
      <c r="Y190" s="14"/>
      <c r="Z190" s="14"/>
      <c r="AA190" s="18">
        <f t="shared" si="51"/>
        <v>39</v>
      </c>
      <c r="AB190" s="14"/>
      <c r="AC190" s="14"/>
      <c r="AD190" s="14"/>
      <c r="AE190" s="14"/>
      <c r="AF190" s="16">
        <v>0</v>
      </c>
      <c r="AG190" s="16">
        <v>1</v>
      </c>
      <c r="AH190" s="16">
        <v>0</v>
      </c>
      <c r="AI190" s="16">
        <v>1</v>
      </c>
      <c r="AJ190" s="5">
        <v>0</v>
      </c>
      <c r="AK190" s="5">
        <v>0</v>
      </c>
      <c r="AL190" s="5">
        <v>0</v>
      </c>
      <c r="AM190" s="20">
        <v>5</v>
      </c>
      <c r="AN190" s="20">
        <v>3</v>
      </c>
      <c r="AO190" s="16"/>
      <c r="AP190" s="16"/>
      <c r="AQ190" s="16"/>
      <c r="AR190" s="16">
        <v>1</v>
      </c>
      <c r="AS190" s="16">
        <v>1</v>
      </c>
      <c r="AT190" s="16"/>
      <c r="AU190" s="16"/>
      <c r="AV190" s="16"/>
      <c r="AW190" s="16"/>
      <c r="AX190" s="16">
        <v>0</v>
      </c>
      <c r="AY190" s="16">
        <v>0</v>
      </c>
      <c r="AZ190" s="16">
        <v>0</v>
      </c>
      <c r="BA190" s="16">
        <v>0</v>
      </c>
    </row>
    <row r="191" spans="1:53" x14ac:dyDescent="0.2">
      <c r="A191" s="14"/>
      <c r="B191" s="14" t="str">
        <f t="shared" si="36"/>
        <v>Azar &amp; Sterner 1996</v>
      </c>
      <c r="C191" s="61">
        <f t="shared" si="37"/>
        <v>18</v>
      </c>
      <c r="D191" s="58">
        <v>1996</v>
      </c>
      <c r="E191" s="17"/>
      <c r="F191" s="58">
        <v>1</v>
      </c>
      <c r="G191" s="22">
        <v>1990</v>
      </c>
      <c r="H191" s="15">
        <f>LOOKUP(G191,CPI!A$69:A$100,CPI!O$69:O$100)</f>
        <v>1.6683703136954862</v>
      </c>
      <c r="I191" s="69">
        <v>1990</v>
      </c>
      <c r="J191" s="15">
        <f>4/90</f>
        <v>4.4444444444444446E-2</v>
      </c>
      <c r="K191" s="15"/>
      <c r="L191" s="62"/>
      <c r="M191" s="56">
        <f t="shared" si="47"/>
        <v>139.97019860894028</v>
      </c>
      <c r="N191" s="14">
        <v>39</v>
      </c>
      <c r="O191" s="18">
        <f t="shared" si="48"/>
        <v>39</v>
      </c>
      <c r="P191" s="16">
        <v>0</v>
      </c>
      <c r="Q191" s="16">
        <v>1</v>
      </c>
      <c r="R191" s="16">
        <v>0</v>
      </c>
      <c r="S191" s="14"/>
      <c r="T191" s="56" t="str">
        <f t="shared" si="52"/>
        <v/>
      </c>
      <c r="U191" s="56" t="str">
        <f t="shared" si="49"/>
        <v/>
      </c>
      <c r="V191" s="56" t="str">
        <f t="shared" si="50"/>
        <v/>
      </c>
      <c r="W191" s="14"/>
      <c r="X191" s="14"/>
      <c r="Y191" s="14"/>
      <c r="Z191" s="14"/>
      <c r="AA191" s="18">
        <f t="shared" si="51"/>
        <v>39</v>
      </c>
      <c r="AB191" s="14"/>
      <c r="AC191" s="14"/>
      <c r="AD191" s="14"/>
      <c r="AE191" s="14"/>
      <c r="AF191" s="16">
        <v>0</v>
      </c>
      <c r="AG191" s="16">
        <v>1</v>
      </c>
      <c r="AH191" s="16">
        <v>0</v>
      </c>
      <c r="AI191" s="16">
        <v>1</v>
      </c>
      <c r="AJ191" s="5">
        <v>0</v>
      </c>
      <c r="AK191" s="5">
        <v>0</v>
      </c>
      <c r="AL191" s="5">
        <v>0</v>
      </c>
      <c r="AM191" s="20">
        <v>5</v>
      </c>
      <c r="AN191" s="20">
        <v>3</v>
      </c>
      <c r="AO191" s="16"/>
      <c r="AP191" s="16"/>
      <c r="AQ191" s="16"/>
      <c r="AR191" s="16">
        <v>1</v>
      </c>
      <c r="AS191" s="16">
        <v>1</v>
      </c>
      <c r="AT191" s="16"/>
      <c r="AU191" s="16"/>
      <c r="AV191" s="16"/>
      <c r="AW191" s="16"/>
      <c r="AX191" s="16">
        <v>0</v>
      </c>
      <c r="AY191" s="16">
        <v>0</v>
      </c>
      <c r="AZ191" s="16">
        <v>0</v>
      </c>
      <c r="BA191" s="16">
        <v>0</v>
      </c>
    </row>
    <row r="192" spans="1:53" x14ac:dyDescent="0.2">
      <c r="A192" s="14" t="s">
        <v>13</v>
      </c>
      <c r="B192" s="14" t="str">
        <f t="shared" si="36"/>
        <v>Downing et al. 1996</v>
      </c>
      <c r="C192" s="61">
        <f t="shared" si="37"/>
        <v>19</v>
      </c>
      <c r="D192" s="58">
        <v>1996</v>
      </c>
      <c r="E192" s="17" t="s">
        <v>83</v>
      </c>
      <c r="F192" s="58">
        <v>0</v>
      </c>
      <c r="G192" s="22">
        <v>1990</v>
      </c>
      <c r="H192" s="15">
        <f>LOOKUP(G192,CPI!A$69:A$100,CPI!O$69:O$100)</f>
        <v>1.6683703136954862</v>
      </c>
      <c r="I192" s="69">
        <v>1995</v>
      </c>
      <c r="J192" s="15">
        <v>0.5</v>
      </c>
      <c r="K192" s="15"/>
      <c r="L192" s="62"/>
      <c r="M192" s="56">
        <f t="shared" si="47"/>
        <v>164.5945600759469</v>
      </c>
      <c r="N192" s="14">
        <v>53.454000000000001</v>
      </c>
      <c r="O192" s="18">
        <f t="shared" si="48"/>
        <v>53.454000000000001</v>
      </c>
      <c r="P192" s="16">
        <v>0</v>
      </c>
      <c r="Q192" s="16">
        <v>1</v>
      </c>
      <c r="R192" s="16">
        <v>0</v>
      </c>
      <c r="S192" s="14"/>
      <c r="T192" s="56" t="str">
        <f t="shared" si="52"/>
        <v/>
      </c>
      <c r="U192" s="56" t="str">
        <f t="shared" si="49"/>
        <v/>
      </c>
      <c r="V192" s="56" t="str">
        <f t="shared" si="50"/>
        <v/>
      </c>
      <c r="W192" s="14"/>
      <c r="X192" s="14"/>
      <c r="Y192" s="14"/>
      <c r="Z192" s="14"/>
      <c r="AA192" s="18">
        <f t="shared" si="51"/>
        <v>53.454000000000001</v>
      </c>
      <c r="AB192" s="14"/>
      <c r="AC192" s="14"/>
      <c r="AD192" s="14"/>
      <c r="AE192" s="14"/>
      <c r="AF192" s="16">
        <v>1</v>
      </c>
      <c r="AG192" s="16">
        <v>0</v>
      </c>
      <c r="AH192" s="16">
        <v>1</v>
      </c>
      <c r="AI192" s="16">
        <v>1</v>
      </c>
      <c r="AJ192" s="5">
        <v>0</v>
      </c>
      <c r="AK192" s="5">
        <v>0</v>
      </c>
      <c r="AL192" s="5">
        <v>0</v>
      </c>
      <c r="AM192" s="20">
        <v>0</v>
      </c>
      <c r="AN192" s="20">
        <v>-2</v>
      </c>
      <c r="AO192" s="16"/>
      <c r="AP192" s="16"/>
      <c r="AQ192" s="16"/>
      <c r="AR192" s="16">
        <v>0</v>
      </c>
      <c r="AS192" s="16">
        <v>0</v>
      </c>
      <c r="AT192" s="16"/>
      <c r="AU192" s="16"/>
      <c r="AV192" s="16"/>
      <c r="AW192" s="16"/>
      <c r="AX192" s="16">
        <v>0</v>
      </c>
      <c r="AY192" s="16">
        <v>0</v>
      </c>
      <c r="AZ192" s="16">
        <v>0</v>
      </c>
      <c r="BA192" s="16">
        <v>0</v>
      </c>
    </row>
    <row r="193" spans="1:53" x14ac:dyDescent="0.2">
      <c r="A193" s="14"/>
      <c r="B193" s="14" t="str">
        <f t="shared" si="36"/>
        <v>Downing et al. 1996</v>
      </c>
      <c r="C193" s="61">
        <f t="shared" si="37"/>
        <v>19</v>
      </c>
      <c r="D193" s="58">
        <v>1996</v>
      </c>
      <c r="E193" s="17"/>
      <c r="F193" s="58">
        <v>0</v>
      </c>
      <c r="G193" s="22">
        <v>1990</v>
      </c>
      <c r="H193" s="15">
        <f>LOOKUP(G193,CPI!A$69:A$100,CPI!O$69:O$100)</f>
        <v>1.6683703136954862</v>
      </c>
      <c r="I193" s="69">
        <v>1995</v>
      </c>
      <c r="J193" s="15">
        <v>0.5</v>
      </c>
      <c r="K193" s="15"/>
      <c r="L193" s="62"/>
      <c r="M193" s="56">
        <f t="shared" si="47"/>
        <v>56.349018771089689</v>
      </c>
      <c r="N193" s="14">
        <v>18.3</v>
      </c>
      <c r="O193" s="18">
        <f t="shared" si="48"/>
        <v>18.3</v>
      </c>
      <c r="P193" s="16">
        <v>0</v>
      </c>
      <c r="Q193" s="16">
        <v>1</v>
      </c>
      <c r="R193" s="16">
        <v>0</v>
      </c>
      <c r="S193" s="14"/>
      <c r="T193" s="56" t="str">
        <f t="shared" si="52"/>
        <v/>
      </c>
      <c r="U193" s="56" t="str">
        <f t="shared" si="49"/>
        <v/>
      </c>
      <c r="V193" s="56" t="str">
        <f t="shared" si="50"/>
        <v/>
      </c>
      <c r="W193" s="14"/>
      <c r="X193" s="14"/>
      <c r="Y193" s="14"/>
      <c r="Z193" s="14"/>
      <c r="AA193" s="18">
        <f t="shared" si="51"/>
        <v>18.3</v>
      </c>
      <c r="AB193" s="14"/>
      <c r="AC193" s="14"/>
      <c r="AD193" s="14"/>
      <c r="AE193" s="14"/>
      <c r="AF193" s="16">
        <v>1</v>
      </c>
      <c r="AG193" s="16">
        <v>0</v>
      </c>
      <c r="AH193" s="16">
        <v>1</v>
      </c>
      <c r="AI193" s="16">
        <v>1</v>
      </c>
      <c r="AJ193" s="5">
        <v>0</v>
      </c>
      <c r="AK193" s="5">
        <v>0</v>
      </c>
      <c r="AL193" s="5">
        <v>0</v>
      </c>
      <c r="AM193" s="20">
        <v>0</v>
      </c>
      <c r="AN193" s="20">
        <v>-2</v>
      </c>
      <c r="AO193" s="16"/>
      <c r="AP193" s="16"/>
      <c r="AQ193" s="16"/>
      <c r="AR193" s="16">
        <v>0</v>
      </c>
      <c r="AS193" s="16">
        <v>0</v>
      </c>
      <c r="AT193" s="16"/>
      <c r="AU193" s="16"/>
      <c r="AV193" s="16"/>
      <c r="AW193" s="16"/>
      <c r="AX193" s="16">
        <v>0</v>
      </c>
      <c r="AY193" s="16">
        <v>0</v>
      </c>
      <c r="AZ193" s="16">
        <v>0</v>
      </c>
      <c r="BA193" s="16">
        <v>0</v>
      </c>
    </row>
    <row r="194" spans="1:53" x14ac:dyDescent="0.2">
      <c r="A194" s="14" t="s">
        <v>15</v>
      </c>
      <c r="B194" s="14" t="str">
        <f t="shared" si="36"/>
        <v>Hohmeyer 1996</v>
      </c>
      <c r="C194" s="61">
        <f t="shared" si="37"/>
        <v>20</v>
      </c>
      <c r="D194" s="58">
        <v>1996</v>
      </c>
      <c r="E194" s="17" t="s">
        <v>84</v>
      </c>
      <c r="F194" s="58">
        <v>0</v>
      </c>
      <c r="G194" s="22">
        <v>1990</v>
      </c>
      <c r="H194" s="15">
        <f>LOOKUP(G194,CPI!A$69:A$100,CPI!O$69:O$100)</f>
        <v>1.6683703136954862</v>
      </c>
      <c r="I194" s="69">
        <v>1995</v>
      </c>
      <c r="J194" s="15">
        <v>1</v>
      </c>
      <c r="K194" s="15"/>
      <c r="L194" s="62"/>
      <c r="M194" s="56">
        <f t="shared" si="47"/>
        <v>2463.3450828891664</v>
      </c>
      <c r="N194" s="14">
        <v>800</v>
      </c>
      <c r="O194" s="18">
        <f t="shared" si="48"/>
        <v>800</v>
      </c>
      <c r="P194" s="16">
        <v>0</v>
      </c>
      <c r="Q194" s="16">
        <v>1</v>
      </c>
      <c r="R194" s="16">
        <v>0</v>
      </c>
      <c r="S194" s="14"/>
      <c r="T194" s="56" t="str">
        <f t="shared" si="52"/>
        <v/>
      </c>
      <c r="U194" s="56" t="str">
        <f t="shared" si="49"/>
        <v/>
      </c>
      <c r="V194" s="56" t="str">
        <f t="shared" si="50"/>
        <v/>
      </c>
      <c r="W194" s="14"/>
      <c r="X194" s="14"/>
      <c r="Y194" s="14"/>
      <c r="Z194" s="14"/>
      <c r="AA194" s="18">
        <f t="shared" si="51"/>
        <v>800</v>
      </c>
      <c r="AB194" s="14"/>
      <c r="AC194" s="14"/>
      <c r="AD194" s="14"/>
      <c r="AE194" s="14"/>
      <c r="AF194" s="16">
        <v>0</v>
      </c>
      <c r="AG194" s="16">
        <v>0</v>
      </c>
      <c r="AH194" s="16">
        <v>0</v>
      </c>
      <c r="AI194" s="16">
        <v>1</v>
      </c>
      <c r="AJ194" s="48">
        <v>0</v>
      </c>
      <c r="AK194" s="48">
        <v>0</v>
      </c>
      <c r="AL194" s="48">
        <v>0</v>
      </c>
      <c r="AM194" s="20">
        <v>0</v>
      </c>
      <c r="AN194" s="20">
        <v>-2</v>
      </c>
      <c r="AO194" s="16"/>
      <c r="AP194" s="16"/>
      <c r="AQ194" s="16"/>
      <c r="AR194" s="16">
        <v>0</v>
      </c>
      <c r="AS194" s="16">
        <v>0</v>
      </c>
      <c r="AT194" s="16"/>
      <c r="AU194" s="16"/>
      <c r="AV194" s="16"/>
      <c r="AW194" s="16"/>
      <c r="AX194" s="16">
        <v>0</v>
      </c>
      <c r="AY194" s="16">
        <v>0</v>
      </c>
      <c r="AZ194" s="16">
        <v>0</v>
      </c>
      <c r="BA194" s="16">
        <v>0</v>
      </c>
    </row>
    <row r="195" spans="1:53" x14ac:dyDescent="0.2">
      <c r="A195" s="14" t="s">
        <v>4</v>
      </c>
      <c r="B195" s="14" t="str">
        <f t="shared" si="36"/>
        <v>Hope &amp; Maul 1996</v>
      </c>
      <c r="C195" s="61">
        <f t="shared" si="37"/>
        <v>21</v>
      </c>
      <c r="D195" s="58">
        <v>1996</v>
      </c>
      <c r="E195" s="17" t="s">
        <v>85</v>
      </c>
      <c r="F195" s="58">
        <v>1</v>
      </c>
      <c r="G195" s="22">
        <v>1990</v>
      </c>
      <c r="H195" s="15">
        <f>LOOKUP(G195,CPI!A$69:A$100,CPI!O$69:O$100)</f>
        <v>1.6683703136954862</v>
      </c>
      <c r="I195" s="52">
        <v>1990</v>
      </c>
      <c r="J195" s="15">
        <v>0.1</v>
      </c>
      <c r="K195" s="15"/>
      <c r="L195" s="62"/>
      <c r="M195" s="56">
        <f t="shared" si="47"/>
        <v>25.122856160579026</v>
      </c>
      <c r="N195" s="18">
        <f t="shared" ref="N195:N200" si="53">O195</f>
        <v>7</v>
      </c>
      <c r="O195" s="14">
        <v>7</v>
      </c>
      <c r="P195" s="16">
        <v>1</v>
      </c>
      <c r="Q195" s="16">
        <v>0</v>
      </c>
      <c r="R195" s="16">
        <v>0</v>
      </c>
      <c r="S195" s="14"/>
      <c r="T195" s="56" t="str">
        <f t="shared" si="52"/>
        <v/>
      </c>
      <c r="U195" s="56">
        <f t="shared" ref="U195:U200" si="54">+(AA195-X195)/1.96*H195*(1+$L$2)^(2015-I195)</f>
        <v>7.3244478602271217</v>
      </c>
      <c r="V195" s="56">
        <f t="shared" ref="V195:V200" si="55">+(AD195-AA195)/1.96*H195*(1+$L$2)^(2015-I195)</f>
        <v>7.3244478602271217</v>
      </c>
      <c r="W195" s="14"/>
      <c r="X195" s="14">
        <v>3</v>
      </c>
      <c r="Y195" s="14"/>
      <c r="Z195" s="14"/>
      <c r="AA195" s="18">
        <f t="shared" si="51"/>
        <v>7</v>
      </c>
      <c r="AB195" s="14"/>
      <c r="AC195" s="14"/>
      <c r="AD195" s="14">
        <v>11</v>
      </c>
      <c r="AE195" s="14"/>
      <c r="AF195" s="16">
        <v>1</v>
      </c>
      <c r="AG195" s="16">
        <v>1</v>
      </c>
      <c r="AH195" s="16">
        <v>0</v>
      </c>
      <c r="AI195" s="16">
        <v>0</v>
      </c>
      <c r="AJ195" s="5">
        <v>0</v>
      </c>
      <c r="AK195" s="5">
        <v>0</v>
      </c>
      <c r="AL195" s="5">
        <v>1</v>
      </c>
      <c r="AM195" s="20">
        <v>4</v>
      </c>
      <c r="AN195" s="20">
        <v>2</v>
      </c>
      <c r="AO195" s="16"/>
      <c r="AP195" s="16"/>
      <c r="AQ195" s="16"/>
      <c r="AR195" s="16">
        <v>0</v>
      </c>
      <c r="AS195" s="16">
        <v>0</v>
      </c>
      <c r="AT195" s="16"/>
      <c r="AU195" s="16"/>
      <c r="AV195" s="16"/>
      <c r="AW195" s="16"/>
      <c r="AX195" s="16">
        <v>1</v>
      </c>
      <c r="AY195" s="16">
        <v>0</v>
      </c>
      <c r="AZ195" s="16">
        <v>0</v>
      </c>
      <c r="BA195" s="16">
        <v>0</v>
      </c>
    </row>
    <row r="196" spans="1:53" x14ac:dyDescent="0.2">
      <c r="A196" s="14"/>
      <c r="B196" s="14" t="str">
        <f t="shared" si="36"/>
        <v>Hope &amp; Maul 1996</v>
      </c>
      <c r="C196" s="61">
        <f t="shared" si="37"/>
        <v>21</v>
      </c>
      <c r="D196" s="58">
        <v>1996</v>
      </c>
      <c r="E196" s="17"/>
      <c r="F196" s="58">
        <v>1</v>
      </c>
      <c r="G196" s="22">
        <v>1990</v>
      </c>
      <c r="H196" s="15">
        <f>LOOKUP(G196,CPI!A$69:A$100,CPI!O$69:O$100)</f>
        <v>1.6683703136954862</v>
      </c>
      <c r="I196" s="52">
        <v>1990</v>
      </c>
      <c r="J196" s="15">
        <v>1</v>
      </c>
      <c r="K196" s="15"/>
      <c r="L196" s="62"/>
      <c r="M196" s="56">
        <f t="shared" si="47"/>
        <v>86.135506836270949</v>
      </c>
      <c r="N196" s="18">
        <f t="shared" si="53"/>
        <v>24</v>
      </c>
      <c r="O196" s="14">
        <v>24</v>
      </c>
      <c r="P196" s="16">
        <v>1</v>
      </c>
      <c r="Q196" s="16">
        <v>0</v>
      </c>
      <c r="R196" s="16">
        <v>0</v>
      </c>
      <c r="S196" s="14"/>
      <c r="T196" s="56" t="str">
        <f t="shared" si="52"/>
        <v/>
      </c>
      <c r="U196" s="56">
        <f t="shared" si="54"/>
        <v>43.946687161362725</v>
      </c>
      <c r="V196" s="56">
        <f t="shared" si="55"/>
        <v>450.45354340396796</v>
      </c>
      <c r="W196" s="14"/>
      <c r="X196" s="14">
        <v>0</v>
      </c>
      <c r="Y196" s="14"/>
      <c r="Z196" s="14">
        <v>3</v>
      </c>
      <c r="AA196" s="18">
        <f t="shared" si="51"/>
        <v>24</v>
      </c>
      <c r="AB196" s="14">
        <v>50</v>
      </c>
      <c r="AC196" s="14"/>
      <c r="AD196" s="14">
        <v>270</v>
      </c>
      <c r="AE196" s="14"/>
      <c r="AF196" s="16">
        <v>1</v>
      </c>
      <c r="AG196" s="16">
        <v>1</v>
      </c>
      <c r="AH196" s="16">
        <v>0</v>
      </c>
      <c r="AI196" s="16">
        <v>0</v>
      </c>
      <c r="AJ196" s="5">
        <v>0</v>
      </c>
      <c r="AK196" s="5">
        <v>0</v>
      </c>
      <c r="AL196" s="5">
        <v>1</v>
      </c>
      <c r="AM196" s="20">
        <v>4</v>
      </c>
      <c r="AN196" s="20">
        <v>2</v>
      </c>
      <c r="AO196" s="16"/>
      <c r="AP196" s="16"/>
      <c r="AQ196" s="16"/>
      <c r="AR196" s="16">
        <v>0</v>
      </c>
      <c r="AS196" s="16">
        <v>0</v>
      </c>
      <c r="AT196" s="16"/>
      <c r="AU196" s="16"/>
      <c r="AV196" s="16"/>
      <c r="AW196" s="16"/>
      <c r="AX196" s="16">
        <v>1</v>
      </c>
      <c r="AY196" s="16">
        <v>0</v>
      </c>
      <c r="AZ196" s="16">
        <v>0</v>
      </c>
      <c r="BA196" s="16">
        <v>0</v>
      </c>
    </row>
    <row r="197" spans="1:53" x14ac:dyDescent="0.2">
      <c r="A197" s="14"/>
      <c r="B197" s="14" t="str">
        <f t="shared" si="36"/>
        <v>Hope &amp; Maul 1996</v>
      </c>
      <c r="C197" s="61">
        <f t="shared" si="37"/>
        <v>21</v>
      </c>
      <c r="D197" s="58">
        <v>1996</v>
      </c>
      <c r="E197" s="17"/>
      <c r="F197" s="58">
        <v>1</v>
      </c>
      <c r="G197" s="22">
        <v>1990</v>
      </c>
      <c r="H197" s="15">
        <f>LOOKUP(G197,CPI!A$69:A$100,CPI!O$69:O$100)</f>
        <v>1.6683703136954862</v>
      </c>
      <c r="I197" s="52">
        <v>1990</v>
      </c>
      <c r="J197" s="15">
        <v>0.1</v>
      </c>
      <c r="K197" s="15"/>
      <c r="L197" s="62"/>
      <c r="M197" s="56">
        <f t="shared" si="47"/>
        <v>32.300815063601604</v>
      </c>
      <c r="N197" s="18">
        <f t="shared" si="53"/>
        <v>9</v>
      </c>
      <c r="O197" s="14">
        <v>9</v>
      </c>
      <c r="P197" s="16">
        <v>1</v>
      </c>
      <c r="Q197" s="16">
        <v>0</v>
      </c>
      <c r="R197" s="16">
        <v>0</v>
      </c>
      <c r="S197" s="14"/>
      <c r="T197" s="56" t="str">
        <f t="shared" si="52"/>
        <v/>
      </c>
      <c r="U197" s="56">
        <f t="shared" si="54"/>
        <v>9.1555598252839019</v>
      </c>
      <c r="V197" s="56">
        <f t="shared" si="55"/>
        <v>9.1555598252839019</v>
      </c>
      <c r="W197" s="14"/>
      <c r="X197" s="14">
        <v>4</v>
      </c>
      <c r="Y197" s="14"/>
      <c r="Z197" s="14"/>
      <c r="AA197" s="18">
        <f t="shared" si="51"/>
        <v>9</v>
      </c>
      <c r="AB197" s="14"/>
      <c r="AC197" s="14"/>
      <c r="AD197" s="14">
        <v>14</v>
      </c>
      <c r="AE197" s="14"/>
      <c r="AF197" s="16">
        <v>1</v>
      </c>
      <c r="AG197" s="16">
        <v>1</v>
      </c>
      <c r="AH197" s="16">
        <v>0</v>
      </c>
      <c r="AI197" s="16">
        <v>0</v>
      </c>
      <c r="AJ197" s="5">
        <v>0</v>
      </c>
      <c r="AK197" s="5">
        <v>0</v>
      </c>
      <c r="AL197" s="5">
        <v>1</v>
      </c>
      <c r="AM197" s="20">
        <v>4</v>
      </c>
      <c r="AN197" s="20">
        <v>2</v>
      </c>
      <c r="AO197" s="16"/>
      <c r="AP197" s="16"/>
      <c r="AQ197" s="16"/>
      <c r="AR197" s="16">
        <v>0</v>
      </c>
      <c r="AS197" s="16">
        <v>0</v>
      </c>
      <c r="AT197" s="16"/>
      <c r="AU197" s="16"/>
      <c r="AV197" s="16"/>
      <c r="AW197" s="16"/>
      <c r="AX197" s="16">
        <v>1</v>
      </c>
      <c r="AY197" s="16">
        <v>0</v>
      </c>
      <c r="AZ197" s="16">
        <v>0</v>
      </c>
      <c r="BA197" s="16">
        <v>0</v>
      </c>
    </row>
    <row r="198" spans="1:53" x14ac:dyDescent="0.2">
      <c r="A198" s="14"/>
      <c r="B198" s="14" t="str">
        <f t="shared" si="36"/>
        <v>Hope &amp; Maul 1996</v>
      </c>
      <c r="C198" s="61">
        <f t="shared" si="37"/>
        <v>21</v>
      </c>
      <c r="D198" s="58">
        <v>1996</v>
      </c>
      <c r="E198" s="17"/>
      <c r="F198" s="58">
        <v>1</v>
      </c>
      <c r="G198" s="22">
        <v>1990</v>
      </c>
      <c r="H198" s="15">
        <f>LOOKUP(G198,CPI!A$69:A$100,CPI!O$69:O$100)</f>
        <v>1.6683703136954862</v>
      </c>
      <c r="I198" s="52">
        <v>1990</v>
      </c>
      <c r="J198" s="15">
        <v>0.1</v>
      </c>
      <c r="K198" s="15"/>
      <c r="L198" s="62"/>
      <c r="M198" s="56">
        <f t="shared" si="47"/>
        <v>68.190609578714501</v>
      </c>
      <c r="N198" s="18">
        <f t="shared" si="53"/>
        <v>19</v>
      </c>
      <c r="O198" s="14">
        <v>19</v>
      </c>
      <c r="P198" s="16">
        <v>1</v>
      </c>
      <c r="Q198" s="16">
        <v>0</v>
      </c>
      <c r="R198" s="16">
        <v>0</v>
      </c>
      <c r="S198" s="14"/>
      <c r="T198" s="56" t="str">
        <f t="shared" si="52"/>
        <v/>
      </c>
      <c r="U198" s="56">
        <f t="shared" si="54"/>
        <v>20.142231615624585</v>
      </c>
      <c r="V198" s="56">
        <f t="shared" si="55"/>
        <v>23.804455545738143</v>
      </c>
      <c r="W198" s="14"/>
      <c r="X198" s="14">
        <v>8</v>
      </c>
      <c r="Y198" s="14"/>
      <c r="Z198" s="14"/>
      <c r="AA198" s="18">
        <f t="shared" si="51"/>
        <v>19</v>
      </c>
      <c r="AB198" s="14"/>
      <c r="AC198" s="14"/>
      <c r="AD198" s="14">
        <v>32</v>
      </c>
      <c r="AE198" s="14"/>
      <c r="AF198" s="16">
        <v>1</v>
      </c>
      <c r="AG198" s="16">
        <v>1</v>
      </c>
      <c r="AH198" s="16">
        <v>0</v>
      </c>
      <c r="AI198" s="16">
        <v>0</v>
      </c>
      <c r="AJ198" s="5">
        <v>0</v>
      </c>
      <c r="AK198" s="5">
        <v>0</v>
      </c>
      <c r="AL198" s="5">
        <v>1</v>
      </c>
      <c r="AM198" s="20">
        <v>4</v>
      </c>
      <c r="AN198" s="20">
        <v>2</v>
      </c>
      <c r="AO198" s="16"/>
      <c r="AP198" s="16"/>
      <c r="AQ198" s="16"/>
      <c r="AR198" s="16">
        <v>0</v>
      </c>
      <c r="AS198" s="16">
        <v>0</v>
      </c>
      <c r="AT198" s="16"/>
      <c r="AU198" s="16"/>
      <c r="AV198" s="16"/>
      <c r="AW198" s="16"/>
      <c r="AX198" s="16">
        <v>1</v>
      </c>
      <c r="AY198" s="16">
        <v>0</v>
      </c>
      <c r="AZ198" s="16">
        <v>0</v>
      </c>
      <c r="BA198" s="16">
        <v>0</v>
      </c>
    </row>
    <row r="199" spans="1:53" x14ac:dyDescent="0.2">
      <c r="A199" s="14"/>
      <c r="B199" s="14" t="str">
        <f t="shared" si="36"/>
        <v>Hope &amp; Maul 1996</v>
      </c>
      <c r="C199" s="61">
        <f t="shared" si="37"/>
        <v>21</v>
      </c>
      <c r="D199" s="58">
        <v>1996</v>
      </c>
      <c r="E199" s="17"/>
      <c r="F199" s="58">
        <v>1</v>
      </c>
      <c r="G199" s="22">
        <v>1990</v>
      </c>
      <c r="H199" s="15">
        <f>LOOKUP(G199,CPI!A$69:A$100,CPI!O$69:O$100)</f>
        <v>1.6683703136954862</v>
      </c>
      <c r="I199" s="52">
        <v>1990</v>
      </c>
      <c r="J199" s="15">
        <v>0.6</v>
      </c>
      <c r="K199" s="15"/>
      <c r="L199" s="62"/>
      <c r="M199" s="56">
        <f t="shared" si="47"/>
        <v>17.944897257556448</v>
      </c>
      <c r="N199" s="18">
        <f t="shared" si="53"/>
        <v>5</v>
      </c>
      <c r="O199" s="14">
        <v>5</v>
      </c>
      <c r="P199" s="16">
        <v>1</v>
      </c>
      <c r="Q199" s="16">
        <v>0</v>
      </c>
      <c r="R199" s="16">
        <v>0</v>
      </c>
      <c r="S199" s="14"/>
      <c r="T199" s="56" t="str">
        <f t="shared" si="52"/>
        <v/>
      </c>
      <c r="U199" s="56">
        <f t="shared" si="54"/>
        <v>5.4933358951703406</v>
      </c>
      <c r="V199" s="56">
        <f t="shared" si="55"/>
        <v>3.6622239301135608</v>
      </c>
      <c r="W199" s="14"/>
      <c r="X199" s="14">
        <v>2</v>
      </c>
      <c r="Y199" s="14"/>
      <c r="Z199" s="14"/>
      <c r="AA199" s="18">
        <f t="shared" si="51"/>
        <v>5</v>
      </c>
      <c r="AB199" s="14"/>
      <c r="AC199" s="14"/>
      <c r="AD199" s="14">
        <v>7</v>
      </c>
      <c r="AE199" s="14"/>
      <c r="AF199" s="16">
        <v>1</v>
      </c>
      <c r="AG199" s="16">
        <v>1</v>
      </c>
      <c r="AH199" s="16">
        <v>0</v>
      </c>
      <c r="AI199" s="16">
        <v>1</v>
      </c>
      <c r="AJ199" s="5">
        <v>0</v>
      </c>
      <c r="AK199" s="5">
        <v>0</v>
      </c>
      <c r="AL199" s="5">
        <v>1</v>
      </c>
      <c r="AM199" s="20">
        <v>4</v>
      </c>
      <c r="AN199" s="20">
        <v>2</v>
      </c>
      <c r="AO199" s="16"/>
      <c r="AP199" s="16"/>
      <c r="AQ199" s="16"/>
      <c r="AR199" s="16">
        <v>0</v>
      </c>
      <c r="AS199" s="16">
        <v>0</v>
      </c>
      <c r="AT199" s="16"/>
      <c r="AU199" s="16"/>
      <c r="AV199" s="16"/>
      <c r="AW199" s="16"/>
      <c r="AX199" s="16">
        <v>1</v>
      </c>
      <c r="AY199" s="16">
        <v>0</v>
      </c>
      <c r="AZ199" s="16">
        <v>0</v>
      </c>
      <c r="BA199" s="16">
        <v>0</v>
      </c>
    </row>
    <row r="200" spans="1:53" x14ac:dyDescent="0.2">
      <c r="A200" s="14"/>
      <c r="B200" s="14" t="str">
        <f t="shared" si="36"/>
        <v>Hope &amp; Maul 1996</v>
      </c>
      <c r="C200" s="61">
        <f t="shared" si="37"/>
        <v>21</v>
      </c>
      <c r="D200" s="58">
        <v>1996</v>
      </c>
      <c r="E200" s="17"/>
      <c r="F200" s="58">
        <v>1</v>
      </c>
      <c r="G200" s="22">
        <v>1990</v>
      </c>
      <c r="H200" s="15">
        <f>LOOKUP(G200,CPI!A$69:A$100,CPI!O$69:O$100)</f>
        <v>1.6683703136954862</v>
      </c>
      <c r="I200" s="52">
        <v>1990</v>
      </c>
      <c r="J200" s="15">
        <v>0.1</v>
      </c>
      <c r="K200" s="15"/>
      <c r="L200" s="62"/>
      <c r="M200" s="56">
        <f t="shared" si="47"/>
        <v>104.0804040938274</v>
      </c>
      <c r="N200" s="18">
        <f t="shared" si="53"/>
        <v>29</v>
      </c>
      <c r="O200" s="14">
        <v>29</v>
      </c>
      <c r="P200" s="16">
        <v>1</v>
      </c>
      <c r="Q200" s="16">
        <v>0</v>
      </c>
      <c r="R200" s="16">
        <v>0</v>
      </c>
      <c r="S200" s="14"/>
      <c r="T200" s="56" t="str">
        <f t="shared" si="52"/>
        <v/>
      </c>
      <c r="U200" s="56">
        <f t="shared" si="54"/>
        <v>31.128903405965264</v>
      </c>
      <c r="V200" s="56">
        <f t="shared" si="55"/>
        <v>29.297791440908487</v>
      </c>
      <c r="W200" s="14"/>
      <c r="X200" s="14">
        <v>12</v>
      </c>
      <c r="Y200" s="14"/>
      <c r="Z200" s="14"/>
      <c r="AA200" s="18">
        <f t="shared" si="51"/>
        <v>29</v>
      </c>
      <c r="AB200" s="14"/>
      <c r="AC200" s="14"/>
      <c r="AD200" s="14">
        <v>45</v>
      </c>
      <c r="AE200" s="14"/>
      <c r="AF200" s="16">
        <v>1</v>
      </c>
      <c r="AG200" s="16">
        <v>1</v>
      </c>
      <c r="AH200" s="16">
        <v>0</v>
      </c>
      <c r="AI200" s="16">
        <v>0</v>
      </c>
      <c r="AJ200" s="5">
        <v>0</v>
      </c>
      <c r="AK200" s="5">
        <v>0</v>
      </c>
      <c r="AL200" s="5">
        <v>1</v>
      </c>
      <c r="AM200" s="20">
        <v>4</v>
      </c>
      <c r="AN200" s="20">
        <v>2</v>
      </c>
      <c r="AO200" s="16"/>
      <c r="AP200" s="16"/>
      <c r="AQ200" s="16"/>
      <c r="AR200" s="16">
        <v>0</v>
      </c>
      <c r="AS200" s="16">
        <v>0</v>
      </c>
      <c r="AT200" s="16"/>
      <c r="AU200" s="16"/>
      <c r="AV200" s="16"/>
      <c r="AW200" s="16"/>
      <c r="AX200" s="16">
        <v>1</v>
      </c>
      <c r="AY200" s="16">
        <v>0</v>
      </c>
      <c r="AZ200" s="16">
        <v>0</v>
      </c>
      <c r="BA200" s="16">
        <v>0</v>
      </c>
    </row>
    <row r="201" spans="1:53" x14ac:dyDescent="0.2">
      <c r="A201" s="14" t="s">
        <v>7</v>
      </c>
      <c r="B201" s="14" t="str">
        <f t="shared" si="36"/>
        <v>Nordhaus &amp; Yang 1996</v>
      </c>
      <c r="C201" s="61">
        <f t="shared" si="37"/>
        <v>22</v>
      </c>
      <c r="D201" s="58">
        <v>1996</v>
      </c>
      <c r="E201" s="17" t="s">
        <v>86</v>
      </c>
      <c r="F201" s="58">
        <v>1</v>
      </c>
      <c r="G201" s="16">
        <v>1990</v>
      </c>
      <c r="H201" s="15">
        <f>LOOKUP(G201,CPI!A$69:A$100,CPI!O$69:O$100)</f>
        <v>1.6683703136954862</v>
      </c>
      <c r="I201" s="16">
        <v>2000</v>
      </c>
      <c r="J201" s="15">
        <v>1</v>
      </c>
      <c r="K201" s="15"/>
      <c r="L201" s="62"/>
      <c r="N201" s="14">
        <v>6.19</v>
      </c>
      <c r="O201" s="18">
        <f t="shared" ref="O201:O216" si="56">N201</f>
        <v>6.19</v>
      </c>
      <c r="P201" s="16">
        <v>0</v>
      </c>
      <c r="Q201" s="16">
        <v>1</v>
      </c>
      <c r="R201" s="16">
        <v>0</v>
      </c>
      <c r="S201" s="14"/>
      <c r="T201" s="56" t="str">
        <f t="shared" si="52"/>
        <v/>
      </c>
      <c r="U201" s="56" t="str">
        <f t="shared" ref="U201:U206" si="57">+V201</f>
        <v/>
      </c>
      <c r="V201" s="56" t="str">
        <f t="shared" ref="V201:V206" si="58">+T201</f>
        <v/>
      </c>
      <c r="W201" s="14"/>
      <c r="X201" s="14"/>
      <c r="Y201" s="14"/>
      <c r="Z201" s="14"/>
      <c r="AA201" s="18">
        <f t="shared" si="51"/>
        <v>6.19</v>
      </c>
      <c r="AB201" s="14"/>
      <c r="AC201" s="14"/>
      <c r="AD201" s="14"/>
      <c r="AE201" s="14"/>
      <c r="AF201" s="16">
        <v>1</v>
      </c>
      <c r="AG201" s="16">
        <v>1</v>
      </c>
      <c r="AH201" s="16">
        <v>0</v>
      </c>
      <c r="AI201" s="16">
        <v>1</v>
      </c>
      <c r="AJ201" s="5">
        <v>0</v>
      </c>
      <c r="AK201" s="5">
        <v>1</v>
      </c>
      <c r="AL201" s="5">
        <v>0</v>
      </c>
      <c r="AM201" s="20">
        <v>5</v>
      </c>
      <c r="AN201" s="20">
        <v>3</v>
      </c>
      <c r="AO201" s="16"/>
      <c r="AP201" s="16"/>
      <c r="AQ201" s="16"/>
      <c r="AR201" s="16">
        <v>0</v>
      </c>
      <c r="AS201" s="16">
        <v>0</v>
      </c>
      <c r="AT201" s="16"/>
      <c r="AU201" s="16"/>
      <c r="AV201" s="16"/>
      <c r="AW201" s="16"/>
      <c r="AX201" s="16">
        <v>0</v>
      </c>
      <c r="AY201" s="16">
        <v>1</v>
      </c>
      <c r="AZ201" s="16">
        <v>0</v>
      </c>
      <c r="BA201" s="16">
        <v>1</v>
      </c>
    </row>
    <row r="202" spans="1:53" x14ac:dyDescent="0.2">
      <c r="A202" s="14"/>
      <c r="B202" s="14" t="str">
        <f t="shared" ref="B202:B265" si="59">+IF(A202="",B201,A202&amp;" "&amp;D202)</f>
        <v>Nordhaus &amp; Yang 1996</v>
      </c>
      <c r="C202" s="61">
        <f t="shared" ref="C202:C265" si="60">+IF(A202="",C201,C201+1)</f>
        <v>22</v>
      </c>
      <c r="D202" s="58">
        <v>1996</v>
      </c>
      <c r="E202" s="17"/>
      <c r="F202" s="58">
        <v>1</v>
      </c>
      <c r="G202" s="16">
        <v>1990</v>
      </c>
      <c r="H202" s="15">
        <f>LOOKUP(G202,CPI!A$69:A$100,CPI!O$69:O$100)</f>
        <v>1.6683703136954862</v>
      </c>
      <c r="I202" s="52">
        <v>2010</v>
      </c>
      <c r="J202" s="44">
        <v>0</v>
      </c>
      <c r="K202" s="59">
        <v>1</v>
      </c>
      <c r="L202" s="57">
        <f>(AA203/AA202)^(1/(I203-I202))-1</f>
        <v>2.1229350311761985E-2</v>
      </c>
      <c r="M202" s="56">
        <f>AA202*H202*(1+$L$2)^(2015-I202)</f>
        <v>14.973346763363379</v>
      </c>
      <c r="N202" s="3">
        <v>7.7</v>
      </c>
      <c r="O202" s="37">
        <f t="shared" si="56"/>
        <v>7.7</v>
      </c>
      <c r="P202" s="16">
        <v>0</v>
      </c>
      <c r="Q202" s="16">
        <v>1</v>
      </c>
      <c r="R202" s="16">
        <v>0</v>
      </c>
      <c r="S202" s="3"/>
      <c r="T202" s="56" t="str">
        <f t="shared" si="52"/>
        <v/>
      </c>
      <c r="U202" s="56" t="str">
        <f t="shared" si="57"/>
        <v/>
      </c>
      <c r="V202" s="56" t="str">
        <f t="shared" si="58"/>
        <v/>
      </c>
      <c r="W202" s="3"/>
      <c r="X202" s="3"/>
      <c r="Y202" s="3"/>
      <c r="Z202" s="3"/>
      <c r="AA202" s="37">
        <f t="shared" si="51"/>
        <v>7.7</v>
      </c>
      <c r="AB202" s="3"/>
      <c r="AC202" s="3"/>
      <c r="AD202" s="3"/>
      <c r="AE202" s="3"/>
      <c r="AF202" s="16">
        <v>1</v>
      </c>
      <c r="AG202" s="16">
        <v>1</v>
      </c>
      <c r="AH202" s="16">
        <v>0</v>
      </c>
      <c r="AI202" s="16">
        <v>1</v>
      </c>
      <c r="AJ202" s="5">
        <v>0</v>
      </c>
      <c r="AK202" s="5">
        <v>1</v>
      </c>
      <c r="AL202" s="5">
        <v>0</v>
      </c>
      <c r="AM202" s="20">
        <v>5</v>
      </c>
      <c r="AN202" s="20">
        <v>3</v>
      </c>
      <c r="AO202" s="16"/>
      <c r="AP202" s="16"/>
      <c r="AQ202" s="16"/>
      <c r="AR202" s="16">
        <v>0</v>
      </c>
      <c r="AS202" s="16">
        <v>0</v>
      </c>
      <c r="AT202" s="16"/>
      <c r="AU202" s="16"/>
      <c r="AV202" s="16"/>
      <c r="AW202" s="16"/>
      <c r="AX202" s="16">
        <v>0</v>
      </c>
      <c r="AY202" s="16">
        <v>1</v>
      </c>
      <c r="AZ202" s="16">
        <v>0</v>
      </c>
      <c r="BA202" s="16">
        <v>1</v>
      </c>
    </row>
    <row r="203" spans="1:53" x14ac:dyDescent="0.2">
      <c r="A203" s="14"/>
      <c r="B203" s="14" t="str">
        <f t="shared" si="59"/>
        <v>Nordhaus &amp; Yang 1996</v>
      </c>
      <c r="C203" s="61">
        <f t="shared" si="60"/>
        <v>22</v>
      </c>
      <c r="D203" s="58">
        <v>1996</v>
      </c>
      <c r="E203" s="17"/>
      <c r="F203" s="58">
        <v>1</v>
      </c>
      <c r="G203" s="16">
        <v>1990</v>
      </c>
      <c r="H203" s="15">
        <f>LOOKUP(G203,CPI!A$69:A$100,CPI!O$69:O$100)</f>
        <v>1.6683703136954862</v>
      </c>
      <c r="I203" s="5">
        <v>2020</v>
      </c>
      <c r="J203" s="44">
        <v>0</v>
      </c>
      <c r="K203" s="44"/>
      <c r="L203" s="65"/>
      <c r="N203" s="3">
        <v>9.5</v>
      </c>
      <c r="O203" s="37">
        <f t="shared" si="56"/>
        <v>9.5</v>
      </c>
      <c r="P203" s="16">
        <v>0</v>
      </c>
      <c r="Q203" s="16">
        <v>1</v>
      </c>
      <c r="R203" s="16">
        <v>0</v>
      </c>
      <c r="S203" s="3"/>
      <c r="T203" s="56" t="str">
        <f t="shared" si="52"/>
        <v/>
      </c>
      <c r="U203" s="56" t="str">
        <f t="shared" si="57"/>
        <v/>
      </c>
      <c r="V203" s="56" t="str">
        <f t="shared" si="58"/>
        <v/>
      </c>
      <c r="W203" s="3"/>
      <c r="X203" s="3"/>
      <c r="Y203" s="3"/>
      <c r="Z203" s="3"/>
      <c r="AA203" s="37">
        <f t="shared" si="51"/>
        <v>9.5</v>
      </c>
      <c r="AB203" s="3"/>
      <c r="AC203" s="3"/>
      <c r="AD203" s="3"/>
      <c r="AE203" s="3"/>
      <c r="AF203" s="16">
        <v>1</v>
      </c>
      <c r="AG203" s="16">
        <v>1</v>
      </c>
      <c r="AH203" s="16">
        <v>0</v>
      </c>
      <c r="AI203" s="16">
        <v>1</v>
      </c>
      <c r="AJ203" s="5">
        <v>0</v>
      </c>
      <c r="AK203" s="5">
        <v>1</v>
      </c>
      <c r="AL203" s="5">
        <v>0</v>
      </c>
      <c r="AM203" s="20">
        <v>5</v>
      </c>
      <c r="AN203" s="20">
        <v>3</v>
      </c>
      <c r="AO203" s="16"/>
      <c r="AP203" s="16"/>
      <c r="AQ203" s="16"/>
      <c r="AR203" s="16">
        <v>0</v>
      </c>
      <c r="AS203" s="16">
        <v>0</v>
      </c>
      <c r="AT203" s="16"/>
      <c r="AU203" s="16"/>
      <c r="AV203" s="16"/>
      <c r="AW203" s="16"/>
      <c r="AX203" s="16">
        <v>0</v>
      </c>
      <c r="AY203" s="16">
        <v>1</v>
      </c>
      <c r="AZ203" s="16">
        <v>0</v>
      </c>
      <c r="BA203" s="16">
        <v>1</v>
      </c>
    </row>
    <row r="204" spans="1:53" x14ac:dyDescent="0.2">
      <c r="A204" s="14"/>
      <c r="B204" s="14" t="str">
        <f t="shared" si="59"/>
        <v>Nordhaus &amp; Yang 1996</v>
      </c>
      <c r="C204" s="61">
        <f t="shared" si="60"/>
        <v>22</v>
      </c>
      <c r="D204" s="58">
        <v>1996</v>
      </c>
      <c r="E204" s="17"/>
      <c r="F204" s="58">
        <v>1</v>
      </c>
      <c r="G204" s="16">
        <v>1990</v>
      </c>
      <c r="H204" s="15">
        <f>LOOKUP(G204,CPI!A$69:A$100,CPI!O$69:O$100)</f>
        <v>1.6683703136954862</v>
      </c>
      <c r="I204" s="5">
        <v>2030</v>
      </c>
      <c r="J204" s="44">
        <v>0</v>
      </c>
      <c r="K204" s="44"/>
      <c r="L204" s="65"/>
      <c r="N204" s="3">
        <v>12.2</v>
      </c>
      <c r="O204" s="37">
        <f t="shared" si="56"/>
        <v>12.2</v>
      </c>
      <c r="P204" s="16">
        <v>0</v>
      </c>
      <c r="Q204" s="16">
        <v>1</v>
      </c>
      <c r="R204" s="16">
        <v>0</v>
      </c>
      <c r="S204" s="3"/>
      <c r="T204" s="56" t="str">
        <f t="shared" si="52"/>
        <v/>
      </c>
      <c r="U204" s="56" t="str">
        <f t="shared" si="57"/>
        <v/>
      </c>
      <c r="V204" s="56" t="str">
        <f t="shared" si="58"/>
        <v/>
      </c>
      <c r="W204" s="3"/>
      <c r="X204" s="3"/>
      <c r="Y204" s="3"/>
      <c r="Z204" s="3"/>
      <c r="AA204" s="37">
        <f t="shared" si="51"/>
        <v>12.2</v>
      </c>
      <c r="AB204" s="3"/>
      <c r="AC204" s="3"/>
      <c r="AD204" s="3"/>
      <c r="AE204" s="3"/>
      <c r="AF204" s="16">
        <v>1</v>
      </c>
      <c r="AG204" s="16">
        <v>1</v>
      </c>
      <c r="AH204" s="16">
        <v>0</v>
      </c>
      <c r="AI204" s="16">
        <v>1</v>
      </c>
      <c r="AJ204" s="5">
        <v>0</v>
      </c>
      <c r="AK204" s="5">
        <v>1</v>
      </c>
      <c r="AL204" s="5">
        <v>0</v>
      </c>
      <c r="AM204" s="20">
        <v>5</v>
      </c>
      <c r="AN204" s="20">
        <v>3</v>
      </c>
      <c r="AO204" s="16"/>
      <c r="AP204" s="16"/>
      <c r="AQ204" s="16"/>
      <c r="AR204" s="16">
        <v>0</v>
      </c>
      <c r="AS204" s="16">
        <v>0</v>
      </c>
      <c r="AT204" s="16"/>
      <c r="AU204" s="16"/>
      <c r="AV204" s="16"/>
      <c r="AW204" s="16"/>
      <c r="AX204" s="16">
        <v>0</v>
      </c>
      <c r="AY204" s="16">
        <v>1</v>
      </c>
      <c r="AZ204" s="16">
        <v>0</v>
      </c>
      <c r="BA204" s="16">
        <v>1</v>
      </c>
    </row>
    <row r="205" spans="1:53" x14ac:dyDescent="0.2">
      <c r="A205" s="14"/>
      <c r="B205" s="14" t="str">
        <f t="shared" si="59"/>
        <v>Nordhaus &amp; Yang 1996</v>
      </c>
      <c r="C205" s="61">
        <f t="shared" si="60"/>
        <v>22</v>
      </c>
      <c r="D205" s="58">
        <v>1996</v>
      </c>
      <c r="E205" s="17"/>
      <c r="F205" s="58">
        <v>1</v>
      </c>
      <c r="G205" s="16">
        <v>1990</v>
      </c>
      <c r="H205" s="15">
        <f>LOOKUP(G205,CPI!A$69:A$100,CPI!O$69:O$100)</f>
        <v>1.6683703136954862</v>
      </c>
      <c r="I205" s="5">
        <v>2050</v>
      </c>
      <c r="J205" s="44">
        <v>0</v>
      </c>
      <c r="K205" s="44"/>
      <c r="L205" s="65"/>
      <c r="N205" s="3">
        <v>17.7</v>
      </c>
      <c r="O205" s="37">
        <f t="shared" si="56"/>
        <v>17.7</v>
      </c>
      <c r="P205" s="16">
        <v>0</v>
      </c>
      <c r="Q205" s="16">
        <v>1</v>
      </c>
      <c r="R205" s="16">
        <v>0</v>
      </c>
      <c r="S205" s="3"/>
      <c r="T205" s="56" t="str">
        <f t="shared" si="52"/>
        <v/>
      </c>
      <c r="U205" s="56" t="str">
        <f t="shared" si="57"/>
        <v/>
      </c>
      <c r="V205" s="56" t="str">
        <f t="shared" si="58"/>
        <v/>
      </c>
      <c r="W205" s="3"/>
      <c r="X205" s="3"/>
      <c r="Y205" s="3"/>
      <c r="Z205" s="3"/>
      <c r="AA205" s="37">
        <f t="shared" si="51"/>
        <v>17.7</v>
      </c>
      <c r="AB205" s="3"/>
      <c r="AC205" s="3"/>
      <c r="AD205" s="3"/>
      <c r="AE205" s="3"/>
      <c r="AF205" s="16">
        <v>1</v>
      </c>
      <c r="AG205" s="16">
        <v>1</v>
      </c>
      <c r="AH205" s="16">
        <v>0</v>
      </c>
      <c r="AI205" s="16">
        <v>1</v>
      </c>
      <c r="AJ205" s="5">
        <v>0</v>
      </c>
      <c r="AK205" s="5">
        <v>1</v>
      </c>
      <c r="AL205" s="5">
        <v>0</v>
      </c>
      <c r="AM205" s="20">
        <v>5</v>
      </c>
      <c r="AN205" s="20">
        <v>3</v>
      </c>
      <c r="AO205" s="16"/>
      <c r="AP205" s="16"/>
      <c r="AQ205" s="16"/>
      <c r="AR205" s="16">
        <v>0</v>
      </c>
      <c r="AS205" s="16">
        <v>0</v>
      </c>
      <c r="AT205" s="16"/>
      <c r="AU205" s="16"/>
      <c r="AV205" s="16"/>
      <c r="AW205" s="16"/>
      <c r="AX205" s="16">
        <v>0</v>
      </c>
      <c r="AY205" s="16">
        <v>1</v>
      </c>
      <c r="AZ205" s="16">
        <v>0</v>
      </c>
      <c r="BA205" s="16">
        <v>1</v>
      </c>
    </row>
    <row r="206" spans="1:53" x14ac:dyDescent="0.2">
      <c r="A206" s="14"/>
      <c r="B206" s="14" t="str">
        <f t="shared" si="59"/>
        <v>Nordhaus &amp; Yang 1996</v>
      </c>
      <c r="C206" s="61">
        <f t="shared" si="60"/>
        <v>22</v>
      </c>
      <c r="D206" s="58">
        <v>1996</v>
      </c>
      <c r="E206" s="17"/>
      <c r="F206" s="58">
        <v>1</v>
      </c>
      <c r="G206" s="16">
        <v>1990</v>
      </c>
      <c r="H206" s="15">
        <f>LOOKUP(G206,CPI!A$69:A$100,CPI!O$69:O$100)</f>
        <v>1.6683703136954862</v>
      </c>
      <c r="I206" s="5">
        <v>2100</v>
      </c>
      <c r="J206" s="44">
        <v>0</v>
      </c>
      <c r="K206" s="44"/>
      <c r="L206" s="65"/>
      <c r="N206" s="3">
        <v>30</v>
      </c>
      <c r="O206" s="37">
        <f t="shared" si="56"/>
        <v>30</v>
      </c>
      <c r="P206" s="16">
        <v>0</v>
      </c>
      <c r="Q206" s="16">
        <v>1</v>
      </c>
      <c r="R206" s="16">
        <v>0</v>
      </c>
      <c r="S206" s="3"/>
      <c r="T206" s="56" t="str">
        <f t="shared" si="52"/>
        <v/>
      </c>
      <c r="U206" s="56" t="str">
        <f t="shared" si="57"/>
        <v/>
      </c>
      <c r="V206" s="56" t="str">
        <f t="shared" si="58"/>
        <v/>
      </c>
      <c r="W206" s="3"/>
      <c r="X206" s="3"/>
      <c r="Y206" s="3"/>
      <c r="Z206" s="3"/>
      <c r="AA206" s="37">
        <f t="shared" si="51"/>
        <v>30</v>
      </c>
      <c r="AB206" s="3"/>
      <c r="AC206" s="3"/>
      <c r="AD206" s="3"/>
      <c r="AE206" s="3"/>
      <c r="AF206" s="16">
        <v>1</v>
      </c>
      <c r="AG206" s="16">
        <v>1</v>
      </c>
      <c r="AH206" s="16">
        <v>0</v>
      </c>
      <c r="AI206" s="16">
        <v>1</v>
      </c>
      <c r="AJ206" s="5">
        <v>0</v>
      </c>
      <c r="AK206" s="5">
        <v>1</v>
      </c>
      <c r="AL206" s="5">
        <v>0</v>
      </c>
      <c r="AM206" s="20">
        <v>5</v>
      </c>
      <c r="AN206" s="20">
        <v>3</v>
      </c>
      <c r="AO206" s="16"/>
      <c r="AP206" s="16"/>
      <c r="AQ206" s="16"/>
      <c r="AR206" s="16">
        <v>0</v>
      </c>
      <c r="AS206" s="16">
        <v>0</v>
      </c>
      <c r="AT206" s="16"/>
      <c r="AU206" s="16"/>
      <c r="AV206" s="16"/>
      <c r="AW206" s="16"/>
      <c r="AX206" s="16">
        <v>0</v>
      </c>
      <c r="AY206" s="16">
        <v>1</v>
      </c>
      <c r="AZ206" s="16">
        <v>0</v>
      </c>
      <c r="BA206" s="16">
        <v>1</v>
      </c>
    </row>
    <row r="207" spans="1:53" x14ac:dyDescent="0.2">
      <c r="A207" s="14" t="s">
        <v>5</v>
      </c>
      <c r="B207" s="14" t="str">
        <f t="shared" si="59"/>
        <v>Plambeck &amp; Hope 1996</v>
      </c>
      <c r="C207" s="61">
        <f t="shared" si="60"/>
        <v>23</v>
      </c>
      <c r="D207" s="58">
        <v>1996</v>
      </c>
      <c r="E207" s="17" t="s">
        <v>80</v>
      </c>
      <c r="F207" s="58">
        <v>1</v>
      </c>
      <c r="G207" s="22">
        <v>1990</v>
      </c>
      <c r="H207" s="15">
        <f>LOOKUP(G207,CPI!A$69:A$100,CPI!O$69:O$100)</f>
        <v>1.6683703136954862</v>
      </c>
      <c r="I207" s="52">
        <v>1990</v>
      </c>
      <c r="J207" s="15">
        <f>2/16</f>
        <v>0.125</v>
      </c>
      <c r="K207" s="15"/>
      <c r="L207" s="62"/>
      <c r="M207" s="56">
        <f t="shared" ref="M207:M215" si="61">AA207*H207*(1+$L$2)^(2015-I207)</f>
        <v>10.766938354533869</v>
      </c>
      <c r="N207" s="18">
        <f t="shared" ref="N207:N213" si="62">O207</f>
        <v>3</v>
      </c>
      <c r="O207" s="14">
        <v>3</v>
      </c>
      <c r="P207" s="16">
        <v>1</v>
      </c>
      <c r="Q207" s="16">
        <v>0</v>
      </c>
      <c r="R207" s="16">
        <v>0</v>
      </c>
      <c r="S207" s="14"/>
      <c r="T207" s="56" t="str">
        <f t="shared" ref="T207:T214" si="63">IF(OR(M207="",S207=""),"",S207*H207*(1+$L$2)^(2015-I207))</f>
        <v/>
      </c>
      <c r="U207" s="56">
        <f t="shared" ref="U207:U214" si="64">+(AA207-X207)/1.96*H207*(1+$L$2)^(2015-I207)</f>
        <v>3.6622239301135608</v>
      </c>
      <c r="V207" s="56">
        <f t="shared" ref="V207:V214" si="65">+(AD207-AA207)/1.96*H207*(1+$L$2)^(2015-I207)</f>
        <v>5.4933358951703406</v>
      </c>
      <c r="W207" s="14"/>
      <c r="X207" s="14">
        <v>1</v>
      </c>
      <c r="Y207" s="14"/>
      <c r="Z207" s="14"/>
      <c r="AA207" s="18">
        <f t="shared" ref="AA207:AA214" si="66">N207</f>
        <v>3</v>
      </c>
      <c r="AB207" s="14"/>
      <c r="AC207" s="14"/>
      <c r="AD207" s="14">
        <v>6</v>
      </c>
      <c r="AE207" s="14"/>
      <c r="AF207" s="16">
        <v>1</v>
      </c>
      <c r="AG207" s="16">
        <v>1</v>
      </c>
      <c r="AH207" s="16">
        <v>0</v>
      </c>
      <c r="AI207" s="16">
        <v>1</v>
      </c>
      <c r="AJ207" s="5">
        <v>0</v>
      </c>
      <c r="AK207" s="5">
        <v>0</v>
      </c>
      <c r="AL207" s="5">
        <v>1</v>
      </c>
      <c r="AM207" s="20">
        <v>5</v>
      </c>
      <c r="AN207" s="20">
        <v>3</v>
      </c>
      <c r="AO207" s="16"/>
      <c r="AP207" s="16"/>
      <c r="AQ207" s="16"/>
      <c r="AR207" s="16">
        <v>0</v>
      </c>
      <c r="AS207" s="16">
        <v>0</v>
      </c>
      <c r="AT207" s="16"/>
      <c r="AU207" s="16"/>
      <c r="AV207" s="16"/>
      <c r="AW207" s="16"/>
      <c r="AX207" s="16">
        <v>1</v>
      </c>
      <c r="AY207" s="16">
        <v>0</v>
      </c>
      <c r="AZ207" s="16">
        <v>0</v>
      </c>
      <c r="BA207" s="16">
        <v>0</v>
      </c>
    </row>
    <row r="208" spans="1:53" x14ac:dyDescent="0.2">
      <c r="A208" s="14"/>
      <c r="B208" s="14" t="str">
        <f t="shared" si="59"/>
        <v>Plambeck &amp; Hope 1996</v>
      </c>
      <c r="C208" s="61">
        <f t="shared" si="60"/>
        <v>23</v>
      </c>
      <c r="D208" s="58">
        <v>1996</v>
      </c>
      <c r="E208" s="17"/>
      <c r="F208" s="58">
        <v>1</v>
      </c>
      <c r="G208" s="22">
        <v>1990</v>
      </c>
      <c r="H208" s="15">
        <f>LOOKUP(G208,CPI!A$69:A$100,CPI!O$69:O$100)</f>
        <v>1.6683703136954862</v>
      </c>
      <c r="I208" s="52">
        <v>1990</v>
      </c>
      <c r="J208" s="15">
        <f>1/16</f>
        <v>6.25E-2</v>
      </c>
      <c r="K208" s="15"/>
      <c r="L208" s="62"/>
      <c r="M208" s="56">
        <f t="shared" si="61"/>
        <v>17.944897257556448</v>
      </c>
      <c r="N208" s="18">
        <f t="shared" ref="N208" si="67">O208</f>
        <v>5</v>
      </c>
      <c r="O208" s="14">
        <v>5</v>
      </c>
      <c r="P208" s="16">
        <v>1</v>
      </c>
      <c r="Q208" s="16">
        <v>0</v>
      </c>
      <c r="R208" s="16">
        <v>0</v>
      </c>
      <c r="S208" s="14"/>
      <c r="T208" s="56" t="str">
        <f t="shared" si="63"/>
        <v/>
      </c>
      <c r="U208" s="56">
        <f t="shared" si="64"/>
        <v>5.4933358951703406</v>
      </c>
      <c r="V208" s="56">
        <f t="shared" si="65"/>
        <v>12.817783755397462</v>
      </c>
      <c r="W208" s="14"/>
      <c r="X208" s="14">
        <v>2</v>
      </c>
      <c r="Y208" s="14"/>
      <c r="Z208" s="14"/>
      <c r="AA208" s="18">
        <f t="shared" si="66"/>
        <v>5</v>
      </c>
      <c r="AB208" s="14"/>
      <c r="AC208" s="14"/>
      <c r="AD208" s="14">
        <v>12</v>
      </c>
      <c r="AE208" s="14"/>
      <c r="AF208" s="16">
        <v>1</v>
      </c>
      <c r="AG208" s="16">
        <v>1</v>
      </c>
      <c r="AH208" s="16">
        <v>0</v>
      </c>
      <c r="AI208" s="16">
        <v>1</v>
      </c>
      <c r="AJ208" s="5">
        <v>0</v>
      </c>
      <c r="AK208" s="5">
        <v>0</v>
      </c>
      <c r="AL208" s="5">
        <v>1</v>
      </c>
      <c r="AM208" s="20">
        <v>5</v>
      </c>
      <c r="AN208" s="20">
        <v>3</v>
      </c>
      <c r="AO208" s="16"/>
      <c r="AP208" s="16"/>
      <c r="AQ208" s="16"/>
      <c r="AR208" s="16">
        <v>0</v>
      </c>
      <c r="AS208" s="16">
        <v>0</v>
      </c>
      <c r="AT208" s="16"/>
      <c r="AU208" s="16"/>
      <c r="AV208" s="16"/>
      <c r="AW208" s="16"/>
      <c r="AX208" s="16">
        <v>1</v>
      </c>
      <c r="AY208" s="16">
        <v>0</v>
      </c>
      <c r="AZ208" s="16">
        <v>0</v>
      </c>
      <c r="BA208" s="16">
        <v>0</v>
      </c>
    </row>
    <row r="209" spans="1:53" x14ac:dyDescent="0.2">
      <c r="A209" s="14"/>
      <c r="B209" s="14" t="str">
        <f t="shared" si="59"/>
        <v>Plambeck &amp; Hope 1996</v>
      </c>
      <c r="C209" s="61">
        <f t="shared" si="60"/>
        <v>23</v>
      </c>
      <c r="D209" s="58">
        <v>1996</v>
      </c>
      <c r="E209" s="17"/>
      <c r="F209" s="58">
        <v>1</v>
      </c>
      <c r="G209" s="22">
        <v>1990</v>
      </c>
      <c r="H209" s="15">
        <f>LOOKUP(G209,CPI!A$69:A$100,CPI!O$69:O$100)</f>
        <v>1.6683703136954862</v>
      </c>
      <c r="I209" s="52">
        <v>1990</v>
      </c>
      <c r="J209" s="15">
        <f>2/16</f>
        <v>0.125</v>
      </c>
      <c r="K209" s="15"/>
      <c r="L209" s="62"/>
      <c r="M209" s="56">
        <f t="shared" si="61"/>
        <v>28.711835612090315</v>
      </c>
      <c r="N209" s="18">
        <f t="shared" si="62"/>
        <v>8</v>
      </c>
      <c r="O209" s="14">
        <v>8</v>
      </c>
      <c r="P209" s="16">
        <v>1</v>
      </c>
      <c r="Q209" s="16">
        <v>0</v>
      </c>
      <c r="R209" s="16">
        <v>0</v>
      </c>
      <c r="S209" s="14"/>
      <c r="T209" s="56" t="str">
        <f t="shared" si="63"/>
        <v/>
      </c>
      <c r="U209" s="56">
        <f t="shared" si="64"/>
        <v>9.1555598252839019</v>
      </c>
      <c r="V209" s="56">
        <f t="shared" si="65"/>
        <v>7.3244478602271217</v>
      </c>
      <c r="W209" s="14"/>
      <c r="X209" s="14">
        <v>3</v>
      </c>
      <c r="Y209" s="14"/>
      <c r="Z209" s="14"/>
      <c r="AA209" s="18">
        <f t="shared" si="66"/>
        <v>8</v>
      </c>
      <c r="AB209" s="14"/>
      <c r="AC209" s="14"/>
      <c r="AD209" s="14">
        <v>12</v>
      </c>
      <c r="AE209" s="14"/>
      <c r="AF209" s="16">
        <v>1</v>
      </c>
      <c r="AG209" s="16">
        <v>1</v>
      </c>
      <c r="AH209" s="16">
        <v>0</v>
      </c>
      <c r="AI209" s="16">
        <v>1</v>
      </c>
      <c r="AJ209" s="5">
        <v>0</v>
      </c>
      <c r="AK209" s="5">
        <v>0</v>
      </c>
      <c r="AL209" s="5">
        <v>1</v>
      </c>
      <c r="AM209" s="20">
        <v>5</v>
      </c>
      <c r="AN209" s="20">
        <v>3</v>
      </c>
      <c r="AO209" s="16"/>
      <c r="AP209" s="16"/>
      <c r="AQ209" s="16"/>
      <c r="AR209" s="16">
        <v>0</v>
      </c>
      <c r="AS209" s="16">
        <v>0</v>
      </c>
      <c r="AT209" s="16"/>
      <c r="AU209" s="16"/>
      <c r="AV209" s="16"/>
      <c r="AW209" s="16"/>
      <c r="AX209" s="16">
        <v>1</v>
      </c>
      <c r="AY209" s="16">
        <v>0</v>
      </c>
      <c r="AZ209" s="16">
        <v>0</v>
      </c>
      <c r="BA209" s="16">
        <v>0</v>
      </c>
    </row>
    <row r="210" spans="1:53" x14ac:dyDescent="0.2">
      <c r="A210" s="14"/>
      <c r="B210" s="14" t="str">
        <f t="shared" si="59"/>
        <v>Plambeck &amp; Hope 1996</v>
      </c>
      <c r="C210" s="61">
        <f t="shared" si="60"/>
        <v>23</v>
      </c>
      <c r="D210" s="58">
        <v>1996</v>
      </c>
      <c r="E210" s="17"/>
      <c r="F210" s="58">
        <v>1</v>
      </c>
      <c r="G210" s="22">
        <v>1990</v>
      </c>
      <c r="H210" s="15">
        <f>LOOKUP(G210,CPI!A$69:A$100,CPI!O$69:O$100)</f>
        <v>1.6683703136954862</v>
      </c>
      <c r="I210" s="52">
        <v>1990</v>
      </c>
      <c r="J210" s="15">
        <f>2/16</f>
        <v>0.125</v>
      </c>
      <c r="K210" s="15"/>
      <c r="L210" s="62"/>
      <c r="M210" s="56">
        <f t="shared" si="61"/>
        <v>28.711835612090315</v>
      </c>
      <c r="N210" s="18">
        <f t="shared" si="62"/>
        <v>8</v>
      </c>
      <c r="O210" s="14">
        <v>8</v>
      </c>
      <c r="P210" s="16">
        <v>1</v>
      </c>
      <c r="Q210" s="16">
        <v>0</v>
      </c>
      <c r="R210" s="16">
        <v>0</v>
      </c>
      <c r="S210" s="14"/>
      <c r="T210" s="56" t="str">
        <f t="shared" si="63"/>
        <v/>
      </c>
      <c r="U210" s="56">
        <f t="shared" si="64"/>
        <v>3.6622239301135608</v>
      </c>
      <c r="V210" s="56">
        <f t="shared" si="65"/>
        <v>18.311119650567804</v>
      </c>
      <c r="W210" s="14"/>
      <c r="X210" s="14">
        <v>6</v>
      </c>
      <c r="Y210" s="14"/>
      <c r="Z210" s="14"/>
      <c r="AA210" s="18">
        <f t="shared" si="66"/>
        <v>8</v>
      </c>
      <c r="AB210" s="14"/>
      <c r="AC210" s="14"/>
      <c r="AD210" s="14">
        <v>18</v>
      </c>
      <c r="AE210" s="14"/>
      <c r="AF210" s="16">
        <v>1</v>
      </c>
      <c r="AG210" s="16">
        <v>1</v>
      </c>
      <c r="AH210" s="16">
        <v>0</v>
      </c>
      <c r="AI210" s="16">
        <v>1</v>
      </c>
      <c r="AJ210" s="5">
        <v>0</v>
      </c>
      <c r="AK210" s="5">
        <v>0</v>
      </c>
      <c r="AL210" s="5">
        <v>1</v>
      </c>
      <c r="AM210" s="20">
        <v>5</v>
      </c>
      <c r="AN210" s="20">
        <v>3</v>
      </c>
      <c r="AO210" s="16"/>
      <c r="AP210" s="16"/>
      <c r="AQ210" s="16"/>
      <c r="AR210" s="16">
        <v>0</v>
      </c>
      <c r="AS210" s="16">
        <v>0</v>
      </c>
      <c r="AT210" s="16"/>
      <c r="AU210" s="16"/>
      <c r="AV210" s="16"/>
      <c r="AW210" s="16"/>
      <c r="AX210" s="16">
        <v>1</v>
      </c>
      <c r="AY210" s="16">
        <v>0</v>
      </c>
      <c r="AZ210" s="16">
        <v>0</v>
      </c>
      <c r="BA210" s="16">
        <v>0</v>
      </c>
    </row>
    <row r="211" spans="1:53" x14ac:dyDescent="0.2">
      <c r="A211" s="14"/>
      <c r="B211" s="14" t="str">
        <f t="shared" si="59"/>
        <v>Plambeck &amp; Hope 1996</v>
      </c>
      <c r="C211" s="61">
        <f t="shared" si="60"/>
        <v>23</v>
      </c>
      <c r="D211" s="58">
        <v>1996</v>
      </c>
      <c r="E211" s="17"/>
      <c r="F211" s="58">
        <v>1</v>
      </c>
      <c r="G211" s="22">
        <v>1990</v>
      </c>
      <c r="H211" s="15">
        <f>LOOKUP(G211,CPI!A$69:A$100,CPI!O$69:O$100)</f>
        <v>1.6683703136954862</v>
      </c>
      <c r="I211" s="52">
        <v>1990</v>
      </c>
      <c r="J211" s="15">
        <f>4/16</f>
        <v>0.25</v>
      </c>
      <c r="K211" s="15"/>
      <c r="L211" s="62"/>
      <c r="M211" s="56">
        <f t="shared" si="61"/>
        <v>75.368568481737086</v>
      </c>
      <c r="N211" s="18">
        <f t="shared" si="62"/>
        <v>21</v>
      </c>
      <c r="O211" s="14">
        <v>21</v>
      </c>
      <c r="P211" s="16">
        <v>1</v>
      </c>
      <c r="Q211" s="16">
        <v>0</v>
      </c>
      <c r="R211" s="16">
        <v>0</v>
      </c>
      <c r="S211" s="14"/>
      <c r="T211" s="56" t="str">
        <f t="shared" si="63"/>
        <v/>
      </c>
      <c r="U211" s="56">
        <f t="shared" si="64"/>
        <v>20.142231615624585</v>
      </c>
      <c r="V211" s="56">
        <f t="shared" si="65"/>
        <v>49.440023056533065</v>
      </c>
      <c r="W211" s="14"/>
      <c r="X211" s="14">
        <v>10</v>
      </c>
      <c r="Y211" s="14"/>
      <c r="Z211" s="14"/>
      <c r="AA211" s="18">
        <f t="shared" si="66"/>
        <v>21</v>
      </c>
      <c r="AB211" s="14"/>
      <c r="AC211" s="14"/>
      <c r="AD211" s="14">
        <v>48</v>
      </c>
      <c r="AE211" s="14"/>
      <c r="AF211" s="16">
        <v>1</v>
      </c>
      <c r="AG211" s="16">
        <v>1</v>
      </c>
      <c r="AH211" s="16">
        <v>0</v>
      </c>
      <c r="AI211" s="16">
        <v>1</v>
      </c>
      <c r="AJ211" s="5">
        <v>0</v>
      </c>
      <c r="AK211" s="5">
        <v>0</v>
      </c>
      <c r="AL211" s="5">
        <v>1</v>
      </c>
      <c r="AM211" s="20">
        <v>5</v>
      </c>
      <c r="AN211" s="20">
        <v>3</v>
      </c>
      <c r="AO211" s="16"/>
      <c r="AP211" s="16"/>
      <c r="AQ211" s="16"/>
      <c r="AR211" s="16">
        <v>0</v>
      </c>
      <c r="AS211" s="16">
        <v>0</v>
      </c>
      <c r="AT211" s="16"/>
      <c r="AU211" s="16"/>
      <c r="AV211" s="16"/>
      <c r="AW211" s="16"/>
      <c r="AX211" s="16">
        <v>1</v>
      </c>
      <c r="AY211" s="16">
        <v>0</v>
      </c>
      <c r="AZ211" s="16">
        <v>0</v>
      </c>
      <c r="BA211" s="16">
        <v>0</v>
      </c>
    </row>
    <row r="212" spans="1:53" x14ac:dyDescent="0.2">
      <c r="A212" s="14"/>
      <c r="B212" s="14" t="str">
        <f t="shared" si="59"/>
        <v>Plambeck &amp; Hope 1996</v>
      </c>
      <c r="C212" s="61">
        <f t="shared" si="60"/>
        <v>23</v>
      </c>
      <c r="D212" s="58">
        <v>1996</v>
      </c>
      <c r="E212" s="17"/>
      <c r="F212" s="58">
        <v>1</v>
      </c>
      <c r="G212" s="22">
        <v>1990</v>
      </c>
      <c r="H212" s="15">
        <f>LOOKUP(G212,CPI!A$69:A$100,CPI!O$69:O$100)</f>
        <v>1.6683703136954862</v>
      </c>
      <c r="I212" s="52">
        <v>1990</v>
      </c>
      <c r="J212" s="15">
        <f>2/16</f>
        <v>0.125</v>
      </c>
      <c r="K212" s="15"/>
      <c r="L212" s="62"/>
      <c r="M212" s="56">
        <f t="shared" si="61"/>
        <v>165.09305476951931</v>
      </c>
      <c r="N212" s="18">
        <f t="shared" si="62"/>
        <v>46</v>
      </c>
      <c r="O212" s="14">
        <v>46</v>
      </c>
      <c r="P212" s="16">
        <v>1</v>
      </c>
      <c r="Q212" s="16">
        <v>0</v>
      </c>
      <c r="R212" s="16">
        <v>0</v>
      </c>
      <c r="S212" s="14"/>
      <c r="T212" s="56" t="str">
        <f t="shared" si="63"/>
        <v/>
      </c>
      <c r="U212" s="56">
        <f t="shared" si="64"/>
        <v>47.608911091476287</v>
      </c>
      <c r="V212" s="56">
        <f t="shared" si="65"/>
        <v>87.89337432272545</v>
      </c>
      <c r="W212" s="14"/>
      <c r="X212" s="14">
        <v>20</v>
      </c>
      <c r="Y212" s="14"/>
      <c r="Z212" s="14"/>
      <c r="AA212" s="18">
        <f t="shared" si="66"/>
        <v>46</v>
      </c>
      <c r="AB212" s="14"/>
      <c r="AC212" s="14"/>
      <c r="AD212" s="14">
        <v>94</v>
      </c>
      <c r="AE212" s="14"/>
      <c r="AF212" s="16">
        <v>1</v>
      </c>
      <c r="AG212" s="16">
        <v>1</v>
      </c>
      <c r="AH212" s="16">
        <v>0</v>
      </c>
      <c r="AI212" s="16">
        <v>1</v>
      </c>
      <c r="AJ212" s="5">
        <v>0</v>
      </c>
      <c r="AK212" s="5">
        <v>0</v>
      </c>
      <c r="AL212" s="5">
        <v>1</v>
      </c>
      <c r="AM212" s="20">
        <v>4</v>
      </c>
      <c r="AN212" s="20">
        <v>2</v>
      </c>
      <c r="AO212" s="16"/>
      <c r="AP212" s="16"/>
      <c r="AQ212" s="16"/>
      <c r="AR212" s="16">
        <v>0</v>
      </c>
      <c r="AS212" s="16">
        <v>0</v>
      </c>
      <c r="AT212" s="16"/>
      <c r="AU212" s="16"/>
      <c r="AV212" s="16"/>
      <c r="AW212" s="16"/>
      <c r="AX212" s="16">
        <v>1</v>
      </c>
      <c r="AY212" s="16">
        <v>0</v>
      </c>
      <c r="AZ212" s="16">
        <v>0</v>
      </c>
      <c r="BA212" s="16">
        <v>0</v>
      </c>
    </row>
    <row r="213" spans="1:53" x14ac:dyDescent="0.2">
      <c r="A213" s="14"/>
      <c r="B213" s="14" t="str">
        <f t="shared" si="59"/>
        <v>Plambeck &amp; Hope 1996</v>
      </c>
      <c r="C213" s="61">
        <f t="shared" si="60"/>
        <v>23</v>
      </c>
      <c r="D213" s="58">
        <v>1996</v>
      </c>
      <c r="E213" s="17"/>
      <c r="F213" s="58">
        <v>1</v>
      </c>
      <c r="G213" s="22">
        <v>1990</v>
      </c>
      <c r="H213" s="15">
        <f>LOOKUP(G213,CPI!A$69:A$100,CPI!O$69:O$100)</f>
        <v>1.6683703136954862</v>
      </c>
      <c r="I213" s="52">
        <v>1990</v>
      </c>
      <c r="J213" s="15">
        <f>2/16</f>
        <v>0.125</v>
      </c>
      <c r="K213" s="15"/>
      <c r="L213" s="62"/>
      <c r="M213" s="56">
        <f t="shared" si="61"/>
        <v>1579.1509586649674</v>
      </c>
      <c r="N213" s="18">
        <f t="shared" si="62"/>
        <v>440</v>
      </c>
      <c r="O213" s="14">
        <v>440</v>
      </c>
      <c r="P213" s="16">
        <v>1</v>
      </c>
      <c r="Q213" s="16">
        <v>0</v>
      </c>
      <c r="R213" s="16">
        <v>0</v>
      </c>
      <c r="S213" s="14"/>
      <c r="T213" s="56" t="str">
        <f t="shared" si="63"/>
        <v/>
      </c>
      <c r="U213" s="56">
        <f t="shared" si="64"/>
        <v>91.555598252839019</v>
      </c>
      <c r="V213" s="56">
        <f t="shared" si="65"/>
        <v>73.244478602271215</v>
      </c>
      <c r="W213" s="14"/>
      <c r="X213" s="14">
        <v>390</v>
      </c>
      <c r="Y213" s="14"/>
      <c r="Z213" s="14"/>
      <c r="AA213" s="18">
        <f t="shared" si="66"/>
        <v>440</v>
      </c>
      <c r="AB213" s="14"/>
      <c r="AC213" s="14"/>
      <c r="AD213" s="14">
        <v>480</v>
      </c>
      <c r="AE213" s="14"/>
      <c r="AF213" s="16">
        <v>1</v>
      </c>
      <c r="AG213" s="16">
        <v>1</v>
      </c>
      <c r="AH213" s="16">
        <v>0</v>
      </c>
      <c r="AI213" s="16">
        <v>1</v>
      </c>
      <c r="AJ213" s="5">
        <v>0</v>
      </c>
      <c r="AK213" s="5">
        <v>0</v>
      </c>
      <c r="AL213" s="5">
        <v>1</v>
      </c>
      <c r="AM213" s="20">
        <v>2</v>
      </c>
      <c r="AN213" s="20">
        <v>0</v>
      </c>
      <c r="AO213" s="16"/>
      <c r="AP213" s="16"/>
      <c r="AQ213" s="16"/>
      <c r="AR213" s="16">
        <v>0</v>
      </c>
      <c r="AS213" s="16">
        <v>0</v>
      </c>
      <c r="AT213" s="16"/>
      <c r="AU213" s="16"/>
      <c r="AV213" s="16"/>
      <c r="AW213" s="16"/>
      <c r="AX213" s="16">
        <v>1</v>
      </c>
      <c r="AY213" s="16">
        <v>0</v>
      </c>
      <c r="AZ213" s="16">
        <v>0</v>
      </c>
      <c r="BA213" s="16">
        <v>0</v>
      </c>
    </row>
    <row r="214" spans="1:53" x14ac:dyDescent="0.2">
      <c r="A214" s="14"/>
      <c r="B214" s="14" t="str">
        <f t="shared" si="59"/>
        <v>Plambeck &amp; Hope 1996</v>
      </c>
      <c r="C214" s="61">
        <f t="shared" si="60"/>
        <v>23</v>
      </c>
      <c r="D214" s="58">
        <v>1996</v>
      </c>
      <c r="E214" s="17"/>
      <c r="F214" s="58">
        <v>1</v>
      </c>
      <c r="G214" s="22">
        <v>1990</v>
      </c>
      <c r="H214" s="15">
        <f>LOOKUP(G214,CPI!A$69:A$100,CPI!O$69:O$100)</f>
        <v>1.6683703136954862</v>
      </c>
      <c r="I214" s="52">
        <v>1990</v>
      </c>
      <c r="J214" s="15">
        <f>1/16</f>
        <v>6.25E-2</v>
      </c>
      <c r="K214" s="15"/>
      <c r="L214" s="62"/>
      <c r="M214" s="56">
        <f t="shared" si="61"/>
        <v>114.84734244836126</v>
      </c>
      <c r="N214" s="18">
        <f t="shared" ref="N214" si="68">O214</f>
        <v>32</v>
      </c>
      <c r="O214" s="14">
        <v>32</v>
      </c>
      <c r="P214" s="16">
        <v>1</v>
      </c>
      <c r="Q214" s="16">
        <v>0</v>
      </c>
      <c r="R214" s="16">
        <v>0</v>
      </c>
      <c r="S214" s="14"/>
      <c r="T214" s="56" t="str">
        <f t="shared" si="63"/>
        <v/>
      </c>
      <c r="U214" s="56">
        <f t="shared" si="64"/>
        <v>18.311119650567804</v>
      </c>
      <c r="V214" s="56">
        <f t="shared" si="65"/>
        <v>43.946687161362725</v>
      </c>
      <c r="W214" s="14"/>
      <c r="X214" s="14">
        <v>22</v>
      </c>
      <c r="Y214" s="14"/>
      <c r="Z214" s="14"/>
      <c r="AA214" s="18">
        <f t="shared" si="66"/>
        <v>32</v>
      </c>
      <c r="AB214" s="14"/>
      <c r="AC214" s="14"/>
      <c r="AD214" s="14">
        <v>56</v>
      </c>
      <c r="AE214" s="14"/>
      <c r="AF214" s="16">
        <v>1</v>
      </c>
      <c r="AG214" s="16">
        <v>1</v>
      </c>
      <c r="AH214" s="16">
        <v>0</v>
      </c>
      <c r="AI214" s="16">
        <v>1</v>
      </c>
      <c r="AJ214" s="5">
        <v>0</v>
      </c>
      <c r="AK214" s="5">
        <v>0</v>
      </c>
      <c r="AL214" s="5">
        <v>1</v>
      </c>
      <c r="AM214" s="20">
        <v>5</v>
      </c>
      <c r="AN214" s="20">
        <v>3</v>
      </c>
      <c r="AO214" s="16"/>
      <c r="AP214" s="16"/>
      <c r="AQ214" s="16"/>
      <c r="AR214" s="16">
        <v>0</v>
      </c>
      <c r="AS214" s="16">
        <v>0</v>
      </c>
      <c r="AT214" s="16"/>
      <c r="AU214" s="16"/>
      <c r="AV214" s="16"/>
      <c r="AW214" s="16"/>
      <c r="AX214" s="16">
        <v>1</v>
      </c>
      <c r="AY214" s="16">
        <v>0</v>
      </c>
      <c r="AZ214" s="16">
        <v>0</v>
      </c>
      <c r="BA214" s="16">
        <v>0</v>
      </c>
    </row>
    <row r="215" spans="1:53" x14ac:dyDescent="0.2">
      <c r="A215" s="14" t="s">
        <v>2</v>
      </c>
      <c r="B215" s="14" t="str">
        <f t="shared" si="59"/>
        <v>Cline 1997</v>
      </c>
      <c r="C215" s="61">
        <f t="shared" si="60"/>
        <v>24</v>
      </c>
      <c r="D215" s="58">
        <v>1997</v>
      </c>
      <c r="E215" s="24" t="s">
        <v>88</v>
      </c>
      <c r="F215" s="58">
        <v>0</v>
      </c>
      <c r="G215" s="22">
        <v>1995</v>
      </c>
      <c r="H215" s="15">
        <f>LOOKUP(G215,CPI!A$69:A$100,CPI!O$69:O$100)</f>
        <v>1.4308136482939633</v>
      </c>
      <c r="I215" s="69">
        <v>1995</v>
      </c>
      <c r="J215" s="15">
        <v>1</v>
      </c>
      <c r="K215" s="59">
        <v>1</v>
      </c>
      <c r="L215" s="57">
        <f>(AA216/AA215)^(1/(I216-I215))-1</f>
        <v>5.676240779509234E-3</v>
      </c>
      <c r="M215" s="56">
        <f t="shared" si="61"/>
        <v>231.7250656559599</v>
      </c>
      <c r="N215" s="18">
        <f>(X215+AD215)/2</f>
        <v>87.75</v>
      </c>
      <c r="O215" s="18">
        <f t="shared" si="56"/>
        <v>87.75</v>
      </c>
      <c r="P215" s="16">
        <v>0</v>
      </c>
      <c r="Q215" s="16">
        <v>1</v>
      </c>
      <c r="R215" s="16">
        <v>0</v>
      </c>
      <c r="S215" s="14">
        <f>(AA215-X215)/2</f>
        <v>39.875</v>
      </c>
      <c r="T215" s="56">
        <f t="shared" si="52"/>
        <v>105.29956687215271</v>
      </c>
      <c r="U215" s="56">
        <f>+(AA215-X215)/1.96*H215*(1+$L$2)^(2015-I215)</f>
        <v>107.44853762464562</v>
      </c>
      <c r="V215" s="56">
        <f>+(AD215-AA215)/1.96*H215*(1+$L$2)^(2015-I215)</f>
        <v>107.44853762464562</v>
      </c>
      <c r="W215" s="14"/>
      <c r="X215" s="14">
        <v>8</v>
      </c>
      <c r="Y215" s="14"/>
      <c r="Z215" s="14"/>
      <c r="AA215" s="18">
        <f t="shared" si="51"/>
        <v>87.75</v>
      </c>
      <c r="AB215" s="14"/>
      <c r="AC215" s="14"/>
      <c r="AD215" s="14">
        <v>167.5</v>
      </c>
      <c r="AE215" s="14"/>
      <c r="AF215" s="16">
        <v>1</v>
      </c>
      <c r="AG215" s="16">
        <v>1</v>
      </c>
      <c r="AH215" s="16">
        <v>0</v>
      </c>
      <c r="AI215" s="16">
        <v>1</v>
      </c>
      <c r="AJ215" s="5">
        <v>0</v>
      </c>
      <c r="AK215" s="5">
        <v>1</v>
      </c>
      <c r="AL215" s="5">
        <v>0</v>
      </c>
      <c r="AM215" s="20" t="s">
        <v>25</v>
      </c>
      <c r="AN215" s="20" t="s">
        <v>25</v>
      </c>
      <c r="AO215" s="16"/>
      <c r="AP215" s="16"/>
      <c r="AQ215" s="16"/>
      <c r="AR215" s="16">
        <v>0</v>
      </c>
      <c r="AS215" s="16">
        <v>0</v>
      </c>
      <c r="AT215" s="16"/>
      <c r="AU215" s="16"/>
      <c r="AV215" s="16"/>
      <c r="AW215" s="16"/>
      <c r="AX215" s="16">
        <v>0</v>
      </c>
      <c r="AY215" s="16">
        <v>0</v>
      </c>
      <c r="AZ215" s="16">
        <v>0</v>
      </c>
      <c r="BA215" s="16">
        <v>1</v>
      </c>
    </row>
    <row r="216" spans="1:53" x14ac:dyDescent="0.2">
      <c r="A216" s="14"/>
      <c r="B216" s="14" t="str">
        <f t="shared" si="59"/>
        <v>Cline 1997</v>
      </c>
      <c r="C216" s="61">
        <f t="shared" si="60"/>
        <v>24</v>
      </c>
      <c r="D216" s="58">
        <v>1997</v>
      </c>
      <c r="E216" s="24"/>
      <c r="F216" s="58">
        <v>0</v>
      </c>
      <c r="G216" s="22">
        <v>1995</v>
      </c>
      <c r="H216" s="15">
        <f>LOOKUP(G216,CPI!A$69:A$100,CPI!O$69:O$100)</f>
        <v>1.4308136482939633</v>
      </c>
      <c r="I216" s="48">
        <v>2025</v>
      </c>
      <c r="J216" s="44">
        <v>0</v>
      </c>
      <c r="K216" s="44"/>
      <c r="L216" s="65"/>
      <c r="N216" s="37">
        <f>(X216+AD216)/2</f>
        <v>103.99029850746268</v>
      </c>
      <c r="O216" s="37">
        <f t="shared" si="56"/>
        <v>103.99029850746268</v>
      </c>
      <c r="P216" s="16">
        <v>0</v>
      </c>
      <c r="Q216" s="16">
        <v>1</v>
      </c>
      <c r="R216" s="16">
        <v>0</v>
      </c>
      <c r="S216" s="3">
        <f>(AA216-X216)/2</f>
        <v>47.254850746268659</v>
      </c>
      <c r="T216" s="56" t="str">
        <f t="shared" si="52"/>
        <v/>
      </c>
      <c r="U216" s="56" t="str">
        <f>+V216</f>
        <v/>
      </c>
      <c r="V216" s="56" t="str">
        <f>+T216</f>
        <v/>
      </c>
      <c r="W216" s="3"/>
      <c r="X216" s="7">
        <f>+AD216/AD215*X215</f>
        <v>9.4805970149253724</v>
      </c>
      <c r="Y216" s="3"/>
      <c r="Z216" s="3"/>
      <c r="AA216" s="49">
        <f t="shared" si="51"/>
        <v>103.99029850746268</v>
      </c>
      <c r="AB216" s="3"/>
      <c r="AC216" s="3"/>
      <c r="AD216" s="3">
        <v>198.5</v>
      </c>
      <c r="AE216" s="3"/>
      <c r="AF216" s="16">
        <v>1</v>
      </c>
      <c r="AG216" s="16">
        <v>1</v>
      </c>
      <c r="AH216" s="16">
        <v>0</v>
      </c>
      <c r="AI216" s="16">
        <v>1</v>
      </c>
      <c r="AJ216" s="5">
        <v>0</v>
      </c>
      <c r="AK216" s="5">
        <v>1</v>
      </c>
      <c r="AL216" s="5">
        <v>0</v>
      </c>
      <c r="AM216" s="20" t="s">
        <v>25</v>
      </c>
      <c r="AN216" s="20" t="s">
        <v>25</v>
      </c>
      <c r="AO216" s="16"/>
      <c r="AP216" s="16"/>
      <c r="AQ216" s="16"/>
      <c r="AR216" s="16">
        <v>0</v>
      </c>
      <c r="AS216" s="16">
        <v>0</v>
      </c>
      <c r="AT216" s="16"/>
      <c r="AU216" s="16"/>
      <c r="AV216" s="16"/>
      <c r="AW216" s="16"/>
      <c r="AX216" s="16">
        <v>0</v>
      </c>
      <c r="AY216" s="16">
        <v>0</v>
      </c>
      <c r="AZ216" s="16">
        <v>0</v>
      </c>
      <c r="BA216" s="16">
        <v>1</v>
      </c>
    </row>
    <row r="217" spans="1:53" x14ac:dyDescent="0.2">
      <c r="A217" s="14" t="s">
        <v>8</v>
      </c>
      <c r="B217" s="14" t="str">
        <f t="shared" si="59"/>
        <v>Nordhaus &amp; Popp 1997</v>
      </c>
      <c r="C217" s="61">
        <f t="shared" si="60"/>
        <v>25</v>
      </c>
      <c r="D217" s="58">
        <v>1997</v>
      </c>
      <c r="E217" s="17" t="s">
        <v>87</v>
      </c>
      <c r="F217" s="58">
        <v>1</v>
      </c>
      <c r="G217" s="22">
        <v>1990</v>
      </c>
      <c r="H217" s="15">
        <f>LOOKUP(G217,CPI!A$69:A$100,CPI!O$69:O$100)</f>
        <v>1.6683703136954862</v>
      </c>
      <c r="I217" s="69">
        <v>2000</v>
      </c>
      <c r="J217" s="15">
        <v>0.9</v>
      </c>
      <c r="K217" s="59">
        <v>0.5</v>
      </c>
      <c r="L217" s="57">
        <f>(AA218/AA217)^(1/(I218-I217))-1</f>
        <v>2.2092102671131597E-2</v>
      </c>
      <c r="M217" s="56">
        <f>AA217*H217*(1+$L$2)^(2015-I217)</f>
        <v>30.750525708258014</v>
      </c>
      <c r="N217" s="18">
        <f>O217</f>
        <v>11.64</v>
      </c>
      <c r="O217" s="14">
        <v>11.64</v>
      </c>
      <c r="P217" s="16">
        <v>1</v>
      </c>
      <c r="Q217" s="16">
        <v>0</v>
      </c>
      <c r="R217" s="16">
        <v>0</v>
      </c>
      <c r="S217" s="3">
        <v>0.78100000000000003</v>
      </c>
      <c r="T217" s="56">
        <f t="shared" si="52"/>
        <v>2.0632440359234971</v>
      </c>
      <c r="U217" s="56">
        <f>+(AA217-Y217)/1.645*H217*(1+$L$2)^(2015-I217)</f>
        <v>18.629090455080632</v>
      </c>
      <c r="V217" s="56">
        <f>+(AC217-AA217)/1.645*H217*(1+$L$2)^(2015-I217)</f>
        <v>35.668284397184557</v>
      </c>
      <c r="W217" s="14"/>
      <c r="X217" s="14"/>
      <c r="Y217" s="14">
        <v>0.04</v>
      </c>
      <c r="Z217" s="14"/>
      <c r="AA217" s="18">
        <f t="shared" si="51"/>
        <v>11.64</v>
      </c>
      <c r="AB217" s="14"/>
      <c r="AC217" s="14">
        <v>33.85</v>
      </c>
      <c r="AD217" s="14"/>
      <c r="AE217" s="14"/>
      <c r="AF217" s="16">
        <v>0</v>
      </c>
      <c r="AG217" s="16">
        <v>1</v>
      </c>
      <c r="AH217" s="16">
        <v>0</v>
      </c>
      <c r="AI217" s="16">
        <v>1</v>
      </c>
      <c r="AJ217" s="5">
        <v>0</v>
      </c>
      <c r="AK217" s="5">
        <v>1</v>
      </c>
      <c r="AL217" s="5">
        <v>0</v>
      </c>
      <c r="AM217" s="20">
        <v>5</v>
      </c>
      <c r="AN217" s="20">
        <v>3</v>
      </c>
      <c r="AO217" s="16">
        <v>1</v>
      </c>
      <c r="AP217" s="16">
        <v>2</v>
      </c>
      <c r="AQ217" s="16"/>
      <c r="AR217" s="16">
        <v>0</v>
      </c>
      <c r="AS217" s="16">
        <v>0</v>
      </c>
      <c r="AT217" s="16"/>
      <c r="AU217" s="16"/>
      <c r="AV217" s="16"/>
      <c r="AW217" s="16"/>
      <c r="AX217" s="16">
        <v>0</v>
      </c>
      <c r="AY217" s="16">
        <v>1</v>
      </c>
      <c r="AZ217" s="16">
        <v>0</v>
      </c>
      <c r="BA217" s="16">
        <v>1</v>
      </c>
    </row>
    <row r="218" spans="1:53" x14ac:dyDescent="0.2">
      <c r="A218" s="14"/>
      <c r="B218" s="14" t="str">
        <f t="shared" si="59"/>
        <v>Nordhaus &amp; Popp 1997</v>
      </c>
      <c r="C218" s="61">
        <f t="shared" si="60"/>
        <v>25</v>
      </c>
      <c r="D218" s="58">
        <v>1997</v>
      </c>
      <c r="E218" s="17"/>
      <c r="F218" s="58">
        <v>1</v>
      </c>
      <c r="G218" s="22">
        <v>1990</v>
      </c>
      <c r="H218" s="15">
        <f>LOOKUP(G218,CPI!A$69:A$100,CPI!O$69:O$100)</f>
        <v>1.6683703136954862</v>
      </c>
      <c r="I218" s="48">
        <v>2050</v>
      </c>
      <c r="J218" s="44">
        <v>0</v>
      </c>
      <c r="K218" s="44"/>
      <c r="L218" s="65"/>
      <c r="N218" s="49">
        <f>O218</f>
        <v>34.71</v>
      </c>
      <c r="O218" s="37">
        <v>34.71</v>
      </c>
      <c r="P218" s="16">
        <v>1</v>
      </c>
      <c r="Q218" s="16">
        <v>0</v>
      </c>
      <c r="R218" s="16">
        <v>0</v>
      </c>
      <c r="S218" s="3">
        <v>2.4729999999999999</v>
      </c>
      <c r="T218" s="56" t="str">
        <f t="shared" si="52"/>
        <v/>
      </c>
      <c r="U218" s="56" t="str">
        <f t="shared" ref="U218:U229" si="69">+V218</f>
        <v/>
      </c>
      <c r="V218" s="56" t="str">
        <f t="shared" ref="V218:V229" si="70">+T218</f>
        <v/>
      </c>
      <c r="W218" s="3"/>
      <c r="X218" s="3"/>
      <c r="Y218" s="3">
        <v>0.11</v>
      </c>
      <c r="Z218" s="3"/>
      <c r="AA218" s="49">
        <f t="shared" si="51"/>
        <v>34.71</v>
      </c>
      <c r="AB218" s="3"/>
      <c r="AC218" s="3">
        <v>101.5</v>
      </c>
      <c r="AD218" s="3"/>
      <c r="AE218" s="3"/>
      <c r="AF218" s="16">
        <v>0</v>
      </c>
      <c r="AG218" s="16">
        <v>1</v>
      </c>
      <c r="AH218" s="16">
        <v>0</v>
      </c>
      <c r="AI218" s="16">
        <v>1</v>
      </c>
      <c r="AJ218" s="5">
        <v>0</v>
      </c>
      <c r="AK218" s="5">
        <v>1</v>
      </c>
      <c r="AL218" s="5">
        <v>0</v>
      </c>
      <c r="AM218" s="20">
        <v>5</v>
      </c>
      <c r="AN218" s="20">
        <v>3</v>
      </c>
      <c r="AO218" s="16">
        <v>1</v>
      </c>
      <c r="AP218" s="16">
        <v>2</v>
      </c>
      <c r="AQ218" s="16"/>
      <c r="AR218" s="16">
        <v>0</v>
      </c>
      <c r="AS218" s="16">
        <v>0</v>
      </c>
      <c r="AT218" s="16"/>
      <c r="AU218" s="16"/>
      <c r="AV218" s="16"/>
      <c r="AW218" s="16"/>
      <c r="AX218" s="16">
        <v>0</v>
      </c>
      <c r="AY218" s="16">
        <v>1</v>
      </c>
      <c r="AZ218" s="16">
        <v>0</v>
      </c>
      <c r="BA218" s="16">
        <v>1</v>
      </c>
    </row>
    <row r="219" spans="1:53" x14ac:dyDescent="0.2">
      <c r="A219" s="14"/>
      <c r="B219" s="14" t="str">
        <f t="shared" si="59"/>
        <v>Nordhaus &amp; Popp 1997</v>
      </c>
      <c r="C219" s="61">
        <f t="shared" si="60"/>
        <v>25</v>
      </c>
      <c r="D219" s="58">
        <v>1997</v>
      </c>
      <c r="E219" s="17"/>
      <c r="F219" s="58">
        <v>1</v>
      </c>
      <c r="G219" s="22">
        <v>1990</v>
      </c>
      <c r="H219" s="15">
        <f>LOOKUP(G219,CPI!A$69:A$100,CPI!O$69:O$100)</f>
        <v>1.6683703136954862</v>
      </c>
      <c r="I219" s="48">
        <v>2100</v>
      </c>
      <c r="J219" s="44">
        <v>0</v>
      </c>
      <c r="K219" s="44"/>
      <c r="L219" s="65"/>
      <c r="N219" s="49">
        <f>O219</f>
        <v>67.23</v>
      </c>
      <c r="O219" s="37">
        <v>67.23</v>
      </c>
      <c r="P219" s="16">
        <v>1</v>
      </c>
      <c r="Q219" s="16">
        <v>0</v>
      </c>
      <c r="R219" s="16">
        <v>0</v>
      </c>
      <c r="S219" s="3">
        <v>5.6719999999999997</v>
      </c>
      <c r="T219" s="56" t="str">
        <f t="shared" si="52"/>
        <v/>
      </c>
      <c r="U219" s="56" t="str">
        <f t="shared" si="69"/>
        <v/>
      </c>
      <c r="V219" s="56" t="str">
        <f t="shared" si="70"/>
        <v/>
      </c>
      <c r="W219" s="3"/>
      <c r="X219" s="3"/>
      <c r="Y219" s="3">
        <v>0.18</v>
      </c>
      <c r="Z219" s="3"/>
      <c r="AA219" s="49">
        <f t="shared" si="51"/>
        <v>67.23</v>
      </c>
      <c r="AB219" s="3"/>
      <c r="AC219" s="3">
        <v>177.5</v>
      </c>
      <c r="AD219" s="3"/>
      <c r="AE219" s="3"/>
      <c r="AF219" s="16">
        <v>0</v>
      </c>
      <c r="AG219" s="16">
        <v>1</v>
      </c>
      <c r="AH219" s="16">
        <v>0</v>
      </c>
      <c r="AI219" s="16">
        <v>1</v>
      </c>
      <c r="AJ219" s="5">
        <v>0</v>
      </c>
      <c r="AK219" s="5">
        <v>1</v>
      </c>
      <c r="AL219" s="5">
        <v>0</v>
      </c>
      <c r="AM219" s="20">
        <v>5</v>
      </c>
      <c r="AN219" s="20">
        <v>3</v>
      </c>
      <c r="AO219" s="16">
        <v>1</v>
      </c>
      <c r="AP219" s="16">
        <v>2</v>
      </c>
      <c r="AQ219" s="16"/>
      <c r="AR219" s="16">
        <v>0</v>
      </c>
      <c r="AS219" s="16">
        <v>0</v>
      </c>
      <c r="AT219" s="16"/>
      <c r="AU219" s="16"/>
      <c r="AV219" s="16"/>
      <c r="AW219" s="16"/>
      <c r="AX219" s="16">
        <v>0</v>
      </c>
      <c r="AY219" s="16">
        <v>1</v>
      </c>
      <c r="AZ219" s="16">
        <v>0</v>
      </c>
      <c r="BA219" s="16">
        <v>1</v>
      </c>
    </row>
    <row r="220" spans="1:53" x14ac:dyDescent="0.2">
      <c r="A220" s="14"/>
      <c r="B220" s="14" t="str">
        <f t="shared" si="59"/>
        <v>Nordhaus &amp; Popp 1997</v>
      </c>
      <c r="C220" s="61">
        <f t="shared" si="60"/>
        <v>25</v>
      </c>
      <c r="D220" s="58">
        <v>1997</v>
      </c>
      <c r="E220" s="17"/>
      <c r="F220" s="58">
        <v>1</v>
      </c>
      <c r="G220" s="22">
        <v>1990</v>
      </c>
      <c r="H220" s="15">
        <f>LOOKUP(G220,CPI!A$69:A$100,CPI!O$69:O$100)</f>
        <v>1.6683703136954862</v>
      </c>
      <c r="I220" s="22">
        <v>2000</v>
      </c>
      <c r="J220" s="15">
        <v>0.1</v>
      </c>
      <c r="K220" s="15"/>
      <c r="L220" s="62"/>
      <c r="N220" s="26">
        <f>O220</f>
        <v>6.25</v>
      </c>
      <c r="O220" s="14">
        <v>6.25</v>
      </c>
      <c r="P220" s="16">
        <v>1</v>
      </c>
      <c r="Q220" s="16">
        <v>0</v>
      </c>
      <c r="R220" s="16">
        <v>0</v>
      </c>
      <c r="S220" s="14"/>
      <c r="T220" s="56" t="str">
        <f t="shared" si="52"/>
        <v/>
      </c>
      <c r="U220" s="56" t="str">
        <f t="shared" si="69"/>
        <v/>
      </c>
      <c r="V220" s="56" t="str">
        <f t="shared" si="70"/>
        <v/>
      </c>
      <c r="W220" s="14"/>
      <c r="X220" s="14"/>
      <c r="Y220" s="14"/>
      <c r="Z220" s="14"/>
      <c r="AA220" s="18">
        <f t="shared" ref="AA220:AA225" si="71">+O220</f>
        <v>6.25</v>
      </c>
      <c r="AB220" s="14"/>
      <c r="AC220" s="14"/>
      <c r="AD220" s="14"/>
      <c r="AE220" s="14"/>
      <c r="AF220" s="16">
        <v>0</v>
      </c>
      <c r="AG220" s="16">
        <v>1</v>
      </c>
      <c r="AH220" s="16">
        <v>0</v>
      </c>
      <c r="AI220" s="16">
        <v>1</v>
      </c>
      <c r="AJ220" s="5">
        <v>0</v>
      </c>
      <c r="AK220" s="5">
        <v>1</v>
      </c>
      <c r="AL220" s="5">
        <v>0</v>
      </c>
      <c r="AM220" s="20">
        <v>5</v>
      </c>
      <c r="AN220" s="20" t="s">
        <v>25</v>
      </c>
      <c r="AO220" s="16"/>
      <c r="AP220" s="16">
        <v>2</v>
      </c>
      <c r="AQ220" s="16"/>
      <c r="AR220" s="16">
        <v>0</v>
      </c>
      <c r="AS220" s="16">
        <v>0</v>
      </c>
      <c r="AT220" s="16"/>
      <c r="AU220" s="16"/>
      <c r="AV220" s="16"/>
      <c r="AW220" s="16"/>
      <c r="AX220" s="16">
        <v>0</v>
      </c>
      <c r="AY220" s="16">
        <v>1</v>
      </c>
      <c r="AZ220" s="16">
        <v>0</v>
      </c>
      <c r="BA220" s="16">
        <v>1</v>
      </c>
    </row>
    <row r="221" spans="1:53" x14ac:dyDescent="0.2">
      <c r="A221" s="14"/>
      <c r="B221" s="14" t="str">
        <f t="shared" si="59"/>
        <v>Nordhaus &amp; Popp 1997</v>
      </c>
      <c r="C221" s="61">
        <f t="shared" si="60"/>
        <v>25</v>
      </c>
      <c r="D221" s="58">
        <v>1997</v>
      </c>
      <c r="E221" s="17"/>
      <c r="F221" s="58">
        <v>1</v>
      </c>
      <c r="G221" s="22">
        <v>1990</v>
      </c>
      <c r="H221" s="15">
        <f>LOOKUP(G221,CPI!A$69:A$100,CPI!O$69:O$100)</f>
        <v>1.6683703136954862</v>
      </c>
      <c r="I221" s="69">
        <v>2010</v>
      </c>
      <c r="J221" s="44">
        <v>0</v>
      </c>
      <c r="K221" s="59">
        <v>0.5</v>
      </c>
      <c r="L221" s="57">
        <f>(AA222/AA221)^(1/(I222-I221))-1</f>
        <v>5.7036492179821874E-2</v>
      </c>
      <c r="M221" s="56">
        <f>AA221*H221*(1+$L$2)^(2015-I221)</f>
        <v>13.009310369727405</v>
      </c>
      <c r="N221" s="49">
        <f>O221</f>
        <v>6.69</v>
      </c>
      <c r="O221" s="3">
        <v>6.69</v>
      </c>
      <c r="P221" s="16">
        <v>1</v>
      </c>
      <c r="Q221" s="16">
        <v>0</v>
      </c>
      <c r="R221" s="16">
        <v>0</v>
      </c>
      <c r="S221" s="3"/>
      <c r="T221" s="56" t="str">
        <f t="shared" si="52"/>
        <v/>
      </c>
      <c r="U221" s="56" t="str">
        <f t="shared" si="69"/>
        <v/>
      </c>
      <c r="V221" s="56" t="str">
        <f t="shared" si="70"/>
        <v/>
      </c>
      <c r="W221" s="3"/>
      <c r="X221" s="3"/>
      <c r="Y221" s="3"/>
      <c r="Z221" s="3"/>
      <c r="AA221" s="49">
        <f t="shared" si="71"/>
        <v>6.69</v>
      </c>
      <c r="AB221" s="3"/>
      <c r="AC221" s="3"/>
      <c r="AD221" s="3"/>
      <c r="AE221" s="3"/>
      <c r="AF221" s="16">
        <v>0</v>
      </c>
      <c r="AG221" s="16">
        <v>1</v>
      </c>
      <c r="AH221" s="16">
        <v>0</v>
      </c>
      <c r="AI221" s="16">
        <v>1</v>
      </c>
      <c r="AJ221" s="5">
        <v>0</v>
      </c>
      <c r="AK221" s="5">
        <v>1</v>
      </c>
      <c r="AL221" s="5">
        <v>0</v>
      </c>
      <c r="AM221" s="20">
        <v>5</v>
      </c>
      <c r="AN221" s="20" t="s">
        <v>25</v>
      </c>
      <c r="AO221" s="16"/>
      <c r="AP221" s="16">
        <v>2</v>
      </c>
      <c r="AQ221" s="16"/>
      <c r="AR221" s="16">
        <v>0</v>
      </c>
      <c r="AS221" s="16">
        <v>0</v>
      </c>
      <c r="AT221" s="16"/>
      <c r="AU221" s="16"/>
      <c r="AV221" s="16"/>
      <c r="AW221" s="16"/>
      <c r="AX221" s="16">
        <v>0</v>
      </c>
      <c r="AY221" s="16">
        <v>1</v>
      </c>
      <c r="AZ221" s="16">
        <v>0</v>
      </c>
      <c r="BA221" s="16">
        <v>1</v>
      </c>
    </row>
    <row r="222" spans="1:53" x14ac:dyDescent="0.2">
      <c r="A222" s="14"/>
      <c r="B222" s="14" t="str">
        <f t="shared" si="59"/>
        <v>Nordhaus &amp; Popp 1997</v>
      </c>
      <c r="C222" s="61">
        <f t="shared" si="60"/>
        <v>25</v>
      </c>
      <c r="D222" s="58">
        <v>1997</v>
      </c>
      <c r="E222" s="17"/>
      <c r="F222" s="58">
        <v>1</v>
      </c>
      <c r="G222" s="22">
        <v>1990</v>
      </c>
      <c r="H222" s="15">
        <f>LOOKUP(G222,CPI!A$69:A$100,CPI!O$69:O$100)</f>
        <v>1.6683703136954862</v>
      </c>
      <c r="I222" s="48">
        <v>2020</v>
      </c>
      <c r="J222" s="44">
        <v>0</v>
      </c>
      <c r="K222" s="44"/>
      <c r="L222" s="65"/>
      <c r="N222" s="49">
        <f t="shared" ref="N222:N225" si="72">O222</f>
        <v>11.65</v>
      </c>
      <c r="O222" s="3">
        <v>11.65</v>
      </c>
      <c r="P222" s="16">
        <v>1</v>
      </c>
      <c r="Q222" s="16">
        <v>0</v>
      </c>
      <c r="R222" s="16">
        <v>0</v>
      </c>
      <c r="S222" s="3"/>
      <c r="T222" s="56" t="str">
        <f t="shared" si="52"/>
        <v/>
      </c>
      <c r="U222" s="56" t="str">
        <f t="shared" si="69"/>
        <v/>
      </c>
      <c r="V222" s="56" t="str">
        <f t="shared" si="70"/>
        <v/>
      </c>
      <c r="W222" s="3"/>
      <c r="X222" s="3"/>
      <c r="Y222" s="3"/>
      <c r="Z222" s="3"/>
      <c r="AA222" s="49">
        <f t="shared" si="71"/>
        <v>11.65</v>
      </c>
      <c r="AB222" s="3"/>
      <c r="AC222" s="3"/>
      <c r="AD222" s="3"/>
      <c r="AE222" s="3"/>
      <c r="AF222" s="16">
        <v>0</v>
      </c>
      <c r="AG222" s="16">
        <v>1</v>
      </c>
      <c r="AH222" s="16">
        <v>0</v>
      </c>
      <c r="AI222" s="16">
        <v>1</v>
      </c>
      <c r="AJ222" s="5">
        <v>0</v>
      </c>
      <c r="AK222" s="5">
        <v>1</v>
      </c>
      <c r="AL222" s="5">
        <v>0</v>
      </c>
      <c r="AM222" s="20">
        <v>5</v>
      </c>
      <c r="AN222" s="20" t="s">
        <v>25</v>
      </c>
      <c r="AO222" s="16"/>
      <c r="AP222" s="16">
        <v>2</v>
      </c>
      <c r="AQ222" s="16"/>
      <c r="AR222" s="16">
        <v>0</v>
      </c>
      <c r="AS222" s="16">
        <v>0</v>
      </c>
      <c r="AT222" s="16"/>
      <c r="AU222" s="16"/>
      <c r="AV222" s="16"/>
      <c r="AW222" s="16"/>
      <c r="AX222" s="16">
        <v>0</v>
      </c>
      <c r="AY222" s="16">
        <v>1</v>
      </c>
      <c r="AZ222" s="16">
        <v>0</v>
      </c>
      <c r="BA222" s="16">
        <v>1</v>
      </c>
    </row>
    <row r="223" spans="1:53" x14ac:dyDescent="0.2">
      <c r="A223" s="14"/>
      <c r="B223" s="14" t="str">
        <f t="shared" si="59"/>
        <v>Nordhaus &amp; Popp 1997</v>
      </c>
      <c r="C223" s="61">
        <f t="shared" si="60"/>
        <v>25</v>
      </c>
      <c r="D223" s="58">
        <v>1997</v>
      </c>
      <c r="E223" s="17"/>
      <c r="F223" s="58">
        <v>1</v>
      </c>
      <c r="G223" s="22">
        <v>1990</v>
      </c>
      <c r="H223" s="15">
        <f>LOOKUP(G223,CPI!A$69:A$100,CPI!O$69:O$100)</f>
        <v>1.6683703136954862</v>
      </c>
      <c r="I223" s="48">
        <v>2030</v>
      </c>
      <c r="J223" s="44">
        <v>0</v>
      </c>
      <c r="K223" s="44"/>
      <c r="L223" s="65"/>
      <c r="N223" s="49">
        <f t="shared" si="72"/>
        <v>15.09</v>
      </c>
      <c r="O223" s="3">
        <v>15.09</v>
      </c>
      <c r="P223" s="16">
        <v>1</v>
      </c>
      <c r="Q223" s="16">
        <v>0</v>
      </c>
      <c r="R223" s="16">
        <v>0</v>
      </c>
      <c r="S223" s="3"/>
      <c r="T223" s="56" t="str">
        <f t="shared" si="52"/>
        <v/>
      </c>
      <c r="U223" s="56" t="str">
        <f t="shared" si="69"/>
        <v/>
      </c>
      <c r="V223" s="56" t="str">
        <f t="shared" si="70"/>
        <v/>
      </c>
      <c r="W223" s="3"/>
      <c r="X223" s="3"/>
      <c r="Y223" s="3"/>
      <c r="Z223" s="3"/>
      <c r="AA223" s="49">
        <f t="shared" si="71"/>
        <v>15.09</v>
      </c>
      <c r="AB223" s="3"/>
      <c r="AC223" s="3"/>
      <c r="AD223" s="3"/>
      <c r="AE223" s="3"/>
      <c r="AF223" s="16">
        <v>0</v>
      </c>
      <c r="AG223" s="16">
        <v>1</v>
      </c>
      <c r="AH223" s="16">
        <v>0</v>
      </c>
      <c r="AI223" s="16">
        <v>1</v>
      </c>
      <c r="AJ223" s="5">
        <v>0</v>
      </c>
      <c r="AK223" s="5">
        <v>1</v>
      </c>
      <c r="AL223" s="5">
        <v>0</v>
      </c>
      <c r="AM223" s="20">
        <v>5</v>
      </c>
      <c r="AN223" s="20" t="s">
        <v>25</v>
      </c>
      <c r="AO223" s="16"/>
      <c r="AP223" s="16">
        <v>2</v>
      </c>
      <c r="AQ223" s="16"/>
      <c r="AR223" s="16">
        <v>0</v>
      </c>
      <c r="AS223" s="16">
        <v>0</v>
      </c>
      <c r="AT223" s="16"/>
      <c r="AU223" s="16"/>
      <c r="AV223" s="16"/>
      <c r="AW223" s="16"/>
      <c r="AX223" s="16">
        <v>0</v>
      </c>
      <c r="AY223" s="16">
        <v>1</v>
      </c>
      <c r="AZ223" s="16">
        <v>0</v>
      </c>
      <c r="BA223" s="16">
        <v>1</v>
      </c>
    </row>
    <row r="224" spans="1:53" x14ac:dyDescent="0.2">
      <c r="A224" s="14"/>
      <c r="B224" s="14" t="str">
        <f t="shared" si="59"/>
        <v>Nordhaus &amp; Popp 1997</v>
      </c>
      <c r="C224" s="61">
        <f t="shared" si="60"/>
        <v>25</v>
      </c>
      <c r="D224" s="58">
        <v>1997</v>
      </c>
      <c r="E224" s="17"/>
      <c r="F224" s="58">
        <v>1</v>
      </c>
      <c r="G224" s="22">
        <v>1990</v>
      </c>
      <c r="H224" s="15">
        <f>LOOKUP(G224,CPI!A$69:A$100,CPI!O$69:O$100)</f>
        <v>1.6683703136954862</v>
      </c>
      <c r="I224" s="48">
        <v>2040</v>
      </c>
      <c r="J224" s="44">
        <v>0</v>
      </c>
      <c r="K224" s="44"/>
      <c r="L224" s="65"/>
      <c r="N224" s="49">
        <f t="shared" si="72"/>
        <v>18.96</v>
      </c>
      <c r="O224" s="3">
        <v>18.96</v>
      </c>
      <c r="P224" s="16">
        <v>1</v>
      </c>
      <c r="Q224" s="16">
        <v>0</v>
      </c>
      <c r="R224" s="16">
        <v>0</v>
      </c>
      <c r="S224" s="3"/>
      <c r="T224" s="56" t="str">
        <f t="shared" si="52"/>
        <v/>
      </c>
      <c r="U224" s="56" t="str">
        <f t="shared" si="69"/>
        <v/>
      </c>
      <c r="V224" s="56" t="str">
        <f t="shared" si="70"/>
        <v/>
      </c>
      <c r="W224" s="3"/>
      <c r="X224" s="3"/>
      <c r="Y224" s="3"/>
      <c r="Z224" s="3"/>
      <c r="AA224" s="49">
        <f t="shared" si="71"/>
        <v>18.96</v>
      </c>
      <c r="AB224" s="3"/>
      <c r="AC224" s="3"/>
      <c r="AD224" s="3"/>
      <c r="AE224" s="3"/>
      <c r="AF224" s="16">
        <v>0</v>
      </c>
      <c r="AG224" s="16">
        <v>1</v>
      </c>
      <c r="AH224" s="16">
        <v>0</v>
      </c>
      <c r="AI224" s="16">
        <v>1</v>
      </c>
      <c r="AJ224" s="5">
        <v>0</v>
      </c>
      <c r="AK224" s="5">
        <v>1</v>
      </c>
      <c r="AL224" s="5">
        <v>0</v>
      </c>
      <c r="AM224" s="20">
        <v>5</v>
      </c>
      <c r="AN224" s="20" t="s">
        <v>25</v>
      </c>
      <c r="AO224" s="16"/>
      <c r="AP224" s="16">
        <v>2</v>
      </c>
      <c r="AQ224" s="16"/>
      <c r="AR224" s="16">
        <v>0</v>
      </c>
      <c r="AS224" s="16">
        <v>0</v>
      </c>
      <c r="AT224" s="16"/>
      <c r="AU224" s="16"/>
      <c r="AV224" s="16"/>
      <c r="AW224" s="16"/>
      <c r="AX224" s="16">
        <v>0</v>
      </c>
      <c r="AY224" s="16">
        <v>1</v>
      </c>
      <c r="AZ224" s="16">
        <v>0</v>
      </c>
      <c r="BA224" s="16">
        <v>1</v>
      </c>
    </row>
    <row r="225" spans="1:53" x14ac:dyDescent="0.2">
      <c r="A225" s="14"/>
      <c r="B225" s="14" t="str">
        <f t="shared" si="59"/>
        <v>Nordhaus &amp; Popp 1997</v>
      </c>
      <c r="C225" s="61">
        <f t="shared" si="60"/>
        <v>25</v>
      </c>
      <c r="D225" s="58">
        <v>1997</v>
      </c>
      <c r="E225" s="17"/>
      <c r="F225" s="58">
        <v>1</v>
      </c>
      <c r="G225" s="22">
        <v>1990</v>
      </c>
      <c r="H225" s="15">
        <f>LOOKUP(G225,CPI!A$69:A$100,CPI!O$69:O$100)</f>
        <v>1.6683703136954862</v>
      </c>
      <c r="I225" s="48">
        <v>2050</v>
      </c>
      <c r="J225" s="44">
        <v>0</v>
      </c>
      <c r="K225" s="44"/>
      <c r="L225" s="65"/>
      <c r="N225" s="49">
        <f t="shared" si="72"/>
        <v>23.18</v>
      </c>
      <c r="O225" s="3">
        <v>23.18</v>
      </c>
      <c r="P225" s="16">
        <v>1</v>
      </c>
      <c r="Q225" s="16">
        <v>0</v>
      </c>
      <c r="R225" s="16">
        <v>0</v>
      </c>
      <c r="S225" s="3"/>
      <c r="T225" s="56" t="str">
        <f t="shared" si="52"/>
        <v/>
      </c>
      <c r="U225" s="56" t="str">
        <f t="shared" si="69"/>
        <v/>
      </c>
      <c r="V225" s="56" t="str">
        <f t="shared" si="70"/>
        <v/>
      </c>
      <c r="W225" s="3"/>
      <c r="X225" s="3"/>
      <c r="Y225" s="3"/>
      <c r="Z225" s="3"/>
      <c r="AA225" s="49">
        <f t="shared" si="71"/>
        <v>23.18</v>
      </c>
      <c r="AB225" s="3"/>
      <c r="AC225" s="3"/>
      <c r="AD225" s="3"/>
      <c r="AE225" s="3"/>
      <c r="AF225" s="16">
        <v>0</v>
      </c>
      <c r="AG225" s="16">
        <v>1</v>
      </c>
      <c r="AH225" s="16">
        <v>0</v>
      </c>
      <c r="AI225" s="16">
        <v>1</v>
      </c>
      <c r="AJ225" s="5">
        <v>0</v>
      </c>
      <c r="AK225" s="5">
        <v>1</v>
      </c>
      <c r="AL225" s="5">
        <v>0</v>
      </c>
      <c r="AM225" s="20">
        <v>5</v>
      </c>
      <c r="AN225" s="20" t="s">
        <v>25</v>
      </c>
      <c r="AO225" s="16"/>
      <c r="AP225" s="16">
        <v>2</v>
      </c>
      <c r="AQ225" s="16"/>
      <c r="AR225" s="16">
        <v>0</v>
      </c>
      <c r="AS225" s="16">
        <v>0</v>
      </c>
      <c r="AT225" s="16"/>
      <c r="AU225" s="16"/>
      <c r="AV225" s="16"/>
      <c r="AW225" s="16"/>
      <c r="AX225" s="16">
        <v>0</v>
      </c>
      <c r="AY225" s="16">
        <v>1</v>
      </c>
      <c r="AZ225" s="16">
        <v>0</v>
      </c>
      <c r="BA225" s="16">
        <v>1</v>
      </c>
    </row>
    <row r="226" spans="1:53" x14ac:dyDescent="0.2">
      <c r="A226" s="14" t="s">
        <v>12</v>
      </c>
      <c r="B226" s="14" t="str">
        <f t="shared" si="59"/>
        <v>Eyre et al. 1999</v>
      </c>
      <c r="C226" s="61">
        <f t="shared" si="60"/>
        <v>26</v>
      </c>
      <c r="D226" s="58">
        <v>1999</v>
      </c>
      <c r="E226" s="17" t="s">
        <v>89</v>
      </c>
      <c r="F226" s="58">
        <v>0</v>
      </c>
      <c r="G226" s="22">
        <v>1995</v>
      </c>
      <c r="H226" s="15">
        <f>LOOKUP(G226,CPI!A$69:A$100,CPI!O$69:O$100)</f>
        <v>1.4308136482939633</v>
      </c>
      <c r="I226" s="69">
        <v>1995</v>
      </c>
      <c r="J226" s="15">
        <v>0.5</v>
      </c>
      <c r="K226" s="15"/>
      <c r="L226" s="62"/>
      <c r="M226" s="56">
        <f t="shared" ref="M226:M262" si="73">AA226*H226*(1+$L$2)^(2015-I226)</f>
        <v>448.92605312265732</v>
      </c>
      <c r="N226" s="14">
        <v>170</v>
      </c>
      <c r="O226" s="18">
        <f>N226</f>
        <v>170</v>
      </c>
      <c r="P226" s="16">
        <v>0</v>
      </c>
      <c r="Q226" s="16">
        <v>1</v>
      </c>
      <c r="R226" s="16">
        <v>0</v>
      </c>
      <c r="S226" s="14"/>
      <c r="T226" s="56" t="str">
        <f t="shared" si="52"/>
        <v/>
      </c>
      <c r="U226" s="56" t="str">
        <f t="shared" si="69"/>
        <v/>
      </c>
      <c r="V226" s="56" t="str">
        <f t="shared" si="70"/>
        <v/>
      </c>
      <c r="W226" s="14"/>
      <c r="X226" s="14"/>
      <c r="Y226" s="14"/>
      <c r="Z226" s="14"/>
      <c r="AA226" s="18">
        <f>N226</f>
        <v>170</v>
      </c>
      <c r="AB226" s="14"/>
      <c r="AC226" s="14"/>
      <c r="AD226" s="14"/>
      <c r="AE226" s="14"/>
      <c r="AF226" s="16">
        <v>0</v>
      </c>
      <c r="AG226" s="16">
        <v>1</v>
      </c>
      <c r="AH226" s="16">
        <v>1</v>
      </c>
      <c r="AI226" s="16">
        <v>1</v>
      </c>
      <c r="AJ226" s="5">
        <v>1</v>
      </c>
      <c r="AK226" s="5">
        <v>0</v>
      </c>
      <c r="AL226" s="5">
        <v>0</v>
      </c>
      <c r="AM226" s="20">
        <v>1</v>
      </c>
      <c r="AN226" s="20">
        <v>-1</v>
      </c>
      <c r="AO226" s="16"/>
      <c r="AP226" s="16"/>
      <c r="AQ226" s="16"/>
      <c r="AR226" s="16">
        <v>1</v>
      </c>
      <c r="AS226" s="16">
        <v>0</v>
      </c>
      <c r="AT226" s="16"/>
      <c r="AU226" s="16"/>
      <c r="AV226" s="16"/>
      <c r="AW226" s="16"/>
      <c r="AX226" s="16">
        <v>0</v>
      </c>
      <c r="AY226" s="16">
        <v>0</v>
      </c>
      <c r="AZ226" s="16">
        <v>0</v>
      </c>
      <c r="BA226" s="16">
        <v>0</v>
      </c>
    </row>
    <row r="227" spans="1:53" x14ac:dyDescent="0.2">
      <c r="A227" s="14"/>
      <c r="B227" s="14" t="str">
        <f t="shared" si="59"/>
        <v>Eyre et al. 1999</v>
      </c>
      <c r="C227" s="61">
        <f t="shared" si="60"/>
        <v>26</v>
      </c>
      <c r="D227" s="58">
        <v>1999</v>
      </c>
      <c r="E227" s="17"/>
      <c r="F227" s="58">
        <v>0</v>
      </c>
      <c r="G227" s="22">
        <v>1995</v>
      </c>
      <c r="H227" s="15">
        <f>LOOKUP(G227,CPI!A$69:A$100,CPI!O$69:O$100)</f>
        <v>1.4308136482939633</v>
      </c>
      <c r="I227" s="69">
        <v>1995</v>
      </c>
      <c r="J227" s="15">
        <v>0.5</v>
      </c>
      <c r="K227" s="15"/>
      <c r="L227" s="62"/>
      <c r="M227" s="56">
        <f t="shared" si="73"/>
        <v>184.85190422697656</v>
      </c>
      <c r="N227" s="14">
        <v>70</v>
      </c>
      <c r="O227" s="18">
        <f>N227</f>
        <v>70</v>
      </c>
      <c r="P227" s="16">
        <v>0</v>
      </c>
      <c r="Q227" s="16">
        <v>1</v>
      </c>
      <c r="R227" s="16">
        <v>0</v>
      </c>
      <c r="S227" s="14"/>
      <c r="T227" s="56" t="str">
        <f t="shared" si="52"/>
        <v/>
      </c>
      <c r="U227" s="56" t="str">
        <f t="shared" si="69"/>
        <v/>
      </c>
      <c r="V227" s="56" t="str">
        <f t="shared" si="70"/>
        <v/>
      </c>
      <c r="W227" s="14"/>
      <c r="X227" s="14"/>
      <c r="Y227" s="14"/>
      <c r="Z227" s="14"/>
      <c r="AA227" s="18">
        <f>N227</f>
        <v>70</v>
      </c>
      <c r="AB227" s="14"/>
      <c r="AC227" s="14"/>
      <c r="AD227" s="14"/>
      <c r="AE227" s="14"/>
      <c r="AF227" s="16">
        <v>0</v>
      </c>
      <c r="AG227" s="16">
        <v>1</v>
      </c>
      <c r="AH227" s="16">
        <v>1</v>
      </c>
      <c r="AI227" s="16">
        <v>1</v>
      </c>
      <c r="AJ227" s="5">
        <v>1</v>
      </c>
      <c r="AK227" s="5">
        <v>0</v>
      </c>
      <c r="AL227" s="5">
        <v>0</v>
      </c>
      <c r="AM227" s="20">
        <v>3</v>
      </c>
      <c r="AN227" s="20">
        <v>1</v>
      </c>
      <c r="AO227" s="16"/>
      <c r="AP227" s="16"/>
      <c r="AQ227" s="16"/>
      <c r="AR227" s="16">
        <v>1</v>
      </c>
      <c r="AS227" s="16">
        <v>0</v>
      </c>
      <c r="AT227" s="16"/>
      <c r="AU227" s="16"/>
      <c r="AV227" s="16"/>
      <c r="AW227" s="16"/>
      <c r="AX227" s="16">
        <v>0</v>
      </c>
      <c r="AY227" s="16">
        <v>0</v>
      </c>
      <c r="AZ227" s="16">
        <v>0</v>
      </c>
      <c r="BA227" s="16">
        <v>0</v>
      </c>
    </row>
    <row r="228" spans="1:53" x14ac:dyDescent="0.2">
      <c r="A228" s="14"/>
      <c r="B228" s="14" t="str">
        <f t="shared" si="59"/>
        <v>Eyre et al. 1999</v>
      </c>
      <c r="C228" s="61">
        <f t="shared" si="60"/>
        <v>26</v>
      </c>
      <c r="D228" s="58">
        <v>1999</v>
      </c>
      <c r="E228" s="17"/>
      <c r="F228" s="58">
        <v>0</v>
      </c>
      <c r="G228" s="22">
        <v>1995</v>
      </c>
      <c r="H228" s="15">
        <f>LOOKUP(G228,CPI!A$69:A$100,CPI!O$69:O$100)</f>
        <v>1.4308136482939633</v>
      </c>
      <c r="I228" s="69">
        <v>1995</v>
      </c>
      <c r="J228" s="15">
        <v>0.5</v>
      </c>
      <c r="K228" s="15"/>
      <c r="L228" s="62"/>
      <c r="M228" s="56">
        <f t="shared" si="73"/>
        <v>422.51863823308923</v>
      </c>
      <c r="N228" s="14">
        <v>160</v>
      </c>
      <c r="O228" s="18">
        <f>N228</f>
        <v>160</v>
      </c>
      <c r="P228" s="16">
        <v>0</v>
      </c>
      <c r="Q228" s="16">
        <v>1</v>
      </c>
      <c r="R228" s="16">
        <v>0</v>
      </c>
      <c r="S228" s="14"/>
      <c r="T228" s="56" t="str">
        <f t="shared" si="52"/>
        <v/>
      </c>
      <c r="U228" s="56" t="str">
        <f t="shared" si="69"/>
        <v/>
      </c>
      <c r="V228" s="56" t="str">
        <f t="shared" si="70"/>
        <v/>
      </c>
      <c r="W228" s="14"/>
      <c r="X228" s="14"/>
      <c r="Y228" s="14"/>
      <c r="Z228" s="14"/>
      <c r="AA228" s="18">
        <f>N228</f>
        <v>160</v>
      </c>
      <c r="AB228" s="14"/>
      <c r="AC228" s="14"/>
      <c r="AD228" s="14"/>
      <c r="AE228" s="14"/>
      <c r="AF228" s="16">
        <v>0</v>
      </c>
      <c r="AG228" s="16">
        <v>1</v>
      </c>
      <c r="AH228" s="16">
        <v>1</v>
      </c>
      <c r="AI228" s="16">
        <v>1</v>
      </c>
      <c r="AJ228" s="5">
        <v>0</v>
      </c>
      <c r="AK228" s="5">
        <v>0</v>
      </c>
      <c r="AL228" s="5">
        <v>0</v>
      </c>
      <c r="AM228" s="20">
        <v>1</v>
      </c>
      <c r="AN228" s="20">
        <v>-1</v>
      </c>
      <c r="AO228" s="16"/>
      <c r="AP228" s="16"/>
      <c r="AQ228" s="16"/>
      <c r="AR228" s="16">
        <v>1</v>
      </c>
      <c r="AS228" s="16">
        <v>0</v>
      </c>
      <c r="AT228" s="16"/>
      <c r="AU228" s="16"/>
      <c r="AV228" s="16"/>
      <c r="AW228" s="16"/>
      <c r="AX228" s="16">
        <v>0</v>
      </c>
      <c r="AY228" s="16">
        <v>0</v>
      </c>
      <c r="AZ228" s="16">
        <v>0</v>
      </c>
      <c r="BA228" s="16">
        <v>0</v>
      </c>
    </row>
    <row r="229" spans="1:53" x14ac:dyDescent="0.2">
      <c r="A229" s="14"/>
      <c r="B229" s="14" t="str">
        <f t="shared" si="59"/>
        <v>Eyre et al. 1999</v>
      </c>
      <c r="C229" s="61">
        <f t="shared" si="60"/>
        <v>26</v>
      </c>
      <c r="D229" s="58">
        <v>1999</v>
      </c>
      <c r="E229" s="17"/>
      <c r="F229" s="58">
        <v>0</v>
      </c>
      <c r="G229" s="22">
        <v>1995</v>
      </c>
      <c r="H229" s="15">
        <f>LOOKUP(G229,CPI!A$69:A$100,CPI!O$69:O$100)</f>
        <v>1.4308136482939633</v>
      </c>
      <c r="I229" s="69">
        <v>1995</v>
      </c>
      <c r="J229" s="15">
        <v>0.5</v>
      </c>
      <c r="K229" s="15"/>
      <c r="L229" s="62"/>
      <c r="M229" s="56">
        <f t="shared" si="73"/>
        <v>195.41487018280378</v>
      </c>
      <c r="N229" s="14">
        <v>74</v>
      </c>
      <c r="O229" s="18">
        <f>N229</f>
        <v>74</v>
      </c>
      <c r="P229" s="16">
        <v>0</v>
      </c>
      <c r="Q229" s="16">
        <v>1</v>
      </c>
      <c r="R229" s="16">
        <v>0</v>
      </c>
      <c r="S229" s="14"/>
      <c r="T229" s="56" t="str">
        <f t="shared" si="52"/>
        <v/>
      </c>
      <c r="U229" s="56" t="str">
        <f t="shared" si="69"/>
        <v/>
      </c>
      <c r="V229" s="56" t="str">
        <f t="shared" si="70"/>
        <v/>
      </c>
      <c r="W229" s="14"/>
      <c r="X229" s="14"/>
      <c r="Y229" s="14"/>
      <c r="Z229" s="14"/>
      <c r="AA229" s="18">
        <f>N229</f>
        <v>74</v>
      </c>
      <c r="AB229" s="14"/>
      <c r="AC229" s="14"/>
      <c r="AD229" s="14"/>
      <c r="AE229" s="14"/>
      <c r="AF229" s="16">
        <v>0</v>
      </c>
      <c r="AG229" s="16">
        <v>1</v>
      </c>
      <c r="AH229" s="16">
        <v>1</v>
      </c>
      <c r="AI229" s="16">
        <v>1</v>
      </c>
      <c r="AJ229" s="5">
        <v>0</v>
      </c>
      <c r="AK229" s="5">
        <v>0</v>
      </c>
      <c r="AL229" s="5">
        <v>0</v>
      </c>
      <c r="AM229" s="20">
        <v>3</v>
      </c>
      <c r="AN229" s="20">
        <v>1</v>
      </c>
      <c r="AO229" s="16"/>
      <c r="AP229" s="16"/>
      <c r="AQ229" s="16"/>
      <c r="AR229" s="16">
        <v>1</v>
      </c>
      <c r="AS229" s="16">
        <v>0</v>
      </c>
      <c r="AT229" s="16"/>
      <c r="AU229" s="16"/>
      <c r="AV229" s="16"/>
      <c r="AW229" s="16"/>
      <c r="AX229" s="16">
        <v>0</v>
      </c>
      <c r="AY229" s="16">
        <v>0</v>
      </c>
      <c r="AZ229" s="16">
        <v>0</v>
      </c>
      <c r="BA229" s="16">
        <v>0</v>
      </c>
    </row>
    <row r="230" spans="1:53" x14ac:dyDescent="0.2">
      <c r="A230" s="19" t="s">
        <v>182</v>
      </c>
      <c r="B230" s="14" t="str">
        <f t="shared" si="59"/>
        <v>Roughgarden &amp; Schneider 1999</v>
      </c>
      <c r="C230" s="61">
        <f t="shared" si="60"/>
        <v>27</v>
      </c>
      <c r="D230" s="58">
        <v>1999</v>
      </c>
      <c r="E230" s="17" t="s">
        <v>91</v>
      </c>
      <c r="F230" s="58">
        <v>1</v>
      </c>
      <c r="G230" s="16">
        <v>1990</v>
      </c>
      <c r="H230" s="15">
        <f>LOOKUP(G230,CPI!A$69:A$100,CPI!O$69:O$100)</f>
        <v>1.6683703136954862</v>
      </c>
      <c r="I230" s="52">
        <v>1995</v>
      </c>
      <c r="J230" s="15">
        <v>1</v>
      </c>
      <c r="K230" s="59">
        <v>1</v>
      </c>
      <c r="L230" s="57">
        <f>(AA231/AA230)^(1/(I231-I230))-1</f>
        <v>1.3707995289387487E-2</v>
      </c>
      <c r="M230" s="56">
        <f>AA230*H230*(1+$L$2)^(2015-I230)</f>
        <v>70.359293930021835</v>
      </c>
      <c r="N230" s="26">
        <f>O230</f>
        <v>40.42</v>
      </c>
      <c r="O230" s="14">
        <v>40.42</v>
      </c>
      <c r="P230" s="16">
        <v>0</v>
      </c>
      <c r="Q230" s="16">
        <v>0</v>
      </c>
      <c r="R230" s="16">
        <v>1</v>
      </c>
      <c r="S230" s="14"/>
      <c r="T230" s="56" t="str">
        <f>IF(OR(M230="",S230=""),"",S230*H230*(1+$L$2)^(2015-I230))</f>
        <v/>
      </c>
      <c r="U230" s="56">
        <f>+(AA230-X230)/1.96*H230*(1+$L$2)^(2015-I230)</f>
        <v>35.897598943888688</v>
      </c>
      <c r="V230" s="56">
        <f>+(AD230-AA230)/1.96*H230*(1+$L$2)^(2015-I230)</f>
        <v>267.76309689262087</v>
      </c>
      <c r="W230" s="14"/>
      <c r="X230" s="14">
        <v>0</v>
      </c>
      <c r="Y230" s="14"/>
      <c r="Z230" s="14"/>
      <c r="AA230" s="14">
        <v>22.85</v>
      </c>
      <c r="AB230" s="14"/>
      <c r="AC230" s="14"/>
      <c r="AD230" s="14">
        <v>193.29</v>
      </c>
      <c r="AE230" s="14"/>
      <c r="AF230" s="16">
        <v>1</v>
      </c>
      <c r="AG230" s="16">
        <v>1</v>
      </c>
      <c r="AH230" s="16">
        <v>0</v>
      </c>
      <c r="AI230" s="16">
        <v>1</v>
      </c>
      <c r="AJ230" s="5">
        <v>0</v>
      </c>
      <c r="AK230" s="5">
        <v>1</v>
      </c>
      <c r="AL230" s="5">
        <v>0</v>
      </c>
      <c r="AM230" s="20">
        <v>5</v>
      </c>
      <c r="AN230" s="20">
        <v>3</v>
      </c>
      <c r="AO230" s="16"/>
      <c r="AP230" s="16"/>
      <c r="AQ230" s="16"/>
      <c r="AR230" s="16">
        <v>0</v>
      </c>
      <c r="AS230" s="16">
        <v>0</v>
      </c>
      <c r="AT230" s="16"/>
      <c r="AU230" s="16"/>
      <c r="AV230" s="16"/>
      <c r="AW230" s="16"/>
      <c r="AX230" s="16">
        <v>0</v>
      </c>
      <c r="AY230" s="16">
        <v>0</v>
      </c>
      <c r="AZ230" s="16">
        <v>0</v>
      </c>
      <c r="BA230" s="16">
        <v>1</v>
      </c>
    </row>
    <row r="231" spans="1:53" x14ac:dyDescent="0.2">
      <c r="A231" s="14"/>
      <c r="B231" s="14" t="str">
        <f t="shared" si="59"/>
        <v>Roughgarden &amp; Schneider 1999</v>
      </c>
      <c r="C231" s="61">
        <f t="shared" si="60"/>
        <v>27</v>
      </c>
      <c r="D231" s="58">
        <v>1999</v>
      </c>
      <c r="E231" s="17"/>
      <c r="F231" s="58">
        <v>1</v>
      </c>
      <c r="G231" s="16">
        <v>1990</v>
      </c>
      <c r="H231" s="15">
        <f>LOOKUP(G231,CPI!A$69:A$100,CPI!O$69:O$100)</f>
        <v>1.6683703136954862</v>
      </c>
      <c r="I231" s="5">
        <v>2055</v>
      </c>
      <c r="J231" s="44">
        <v>0</v>
      </c>
      <c r="K231" s="44"/>
      <c r="L231" s="65"/>
      <c r="N231" s="49">
        <f t="shared" ref="N231:N232" si="74">O231</f>
        <v>84.1</v>
      </c>
      <c r="O231" s="3">
        <v>84.1</v>
      </c>
      <c r="P231" s="16">
        <v>0</v>
      </c>
      <c r="Q231" s="16">
        <v>0</v>
      </c>
      <c r="R231" s="16">
        <v>1</v>
      </c>
      <c r="S231" s="3"/>
      <c r="T231" s="56" t="str">
        <f>IF(OR(M231="",S231=""),"",S231*H231*(1+$L$2)^(2015-I231))</f>
        <v/>
      </c>
      <c r="U231" s="56" t="str">
        <f>+V231</f>
        <v/>
      </c>
      <c r="V231" s="56" t="str">
        <f>+T231</f>
        <v/>
      </c>
      <c r="W231" s="3"/>
      <c r="X231" s="3"/>
      <c r="Y231" s="3"/>
      <c r="Z231" s="3"/>
      <c r="AA231" s="3">
        <v>51.72</v>
      </c>
      <c r="AB231" s="3"/>
      <c r="AC231" s="3"/>
      <c r="AD231" s="3">
        <v>383.39</v>
      </c>
      <c r="AE231" s="3"/>
      <c r="AF231" s="16">
        <v>1</v>
      </c>
      <c r="AG231" s="16">
        <v>1</v>
      </c>
      <c r="AH231" s="16">
        <v>0</v>
      </c>
      <c r="AI231" s="16">
        <v>1</v>
      </c>
      <c r="AJ231" s="5">
        <v>0</v>
      </c>
      <c r="AK231" s="5">
        <v>1</v>
      </c>
      <c r="AL231" s="5">
        <v>0</v>
      </c>
      <c r="AM231" s="20">
        <v>5</v>
      </c>
      <c r="AN231" s="20">
        <v>3</v>
      </c>
      <c r="AO231" s="16"/>
      <c r="AP231" s="16"/>
      <c r="AQ231" s="16"/>
      <c r="AR231" s="16">
        <v>0</v>
      </c>
      <c r="AS231" s="16">
        <v>0</v>
      </c>
      <c r="AT231" s="16"/>
      <c r="AU231" s="16"/>
      <c r="AV231" s="16"/>
      <c r="AW231" s="16"/>
      <c r="AX231" s="16">
        <v>0</v>
      </c>
      <c r="AY231" s="16">
        <v>0</v>
      </c>
      <c r="AZ231" s="16">
        <v>0</v>
      </c>
      <c r="BA231" s="16">
        <v>1</v>
      </c>
    </row>
    <row r="232" spans="1:53" x14ac:dyDescent="0.2">
      <c r="A232" s="14"/>
      <c r="B232" s="14" t="str">
        <f t="shared" si="59"/>
        <v>Roughgarden &amp; Schneider 1999</v>
      </c>
      <c r="C232" s="61">
        <f t="shared" si="60"/>
        <v>27</v>
      </c>
      <c r="D232" s="58">
        <v>1999</v>
      </c>
      <c r="E232" s="17"/>
      <c r="F232" s="58">
        <v>1</v>
      </c>
      <c r="G232" s="16">
        <v>1990</v>
      </c>
      <c r="H232" s="15">
        <f>LOOKUP(G232,CPI!A$69:A$100,CPI!O$69:O$100)</f>
        <v>1.6683703136954862</v>
      </c>
      <c r="I232" s="5">
        <v>2105</v>
      </c>
      <c r="J232" s="44">
        <v>0</v>
      </c>
      <c r="K232" s="44"/>
      <c r="L232" s="65"/>
      <c r="N232" s="49">
        <f t="shared" si="74"/>
        <v>109.73</v>
      </c>
      <c r="O232" s="3">
        <v>109.73</v>
      </c>
      <c r="P232" s="16">
        <v>0</v>
      </c>
      <c r="Q232" s="16">
        <v>0</v>
      </c>
      <c r="R232" s="16">
        <v>1</v>
      </c>
      <c r="S232" s="3"/>
      <c r="T232" s="56" t="str">
        <f>IF(OR(M232="",S232=""),"",S232*H232*(1+$L$2)^(2015-I232))</f>
        <v/>
      </c>
      <c r="U232" s="56" t="str">
        <f>+V232</f>
        <v/>
      </c>
      <c r="V232" s="56" t="str">
        <f>+T232</f>
        <v/>
      </c>
      <c r="W232" s="3"/>
      <c r="X232" s="3"/>
      <c r="Y232" s="3"/>
      <c r="Z232" s="3"/>
      <c r="AA232" s="3">
        <v>66.98</v>
      </c>
      <c r="AB232" s="3"/>
      <c r="AC232" s="3"/>
      <c r="AD232" s="3">
        <v>517.09</v>
      </c>
      <c r="AE232" s="3"/>
      <c r="AF232" s="16">
        <v>1</v>
      </c>
      <c r="AG232" s="16">
        <v>1</v>
      </c>
      <c r="AH232" s="16">
        <v>0</v>
      </c>
      <c r="AI232" s="16">
        <v>1</v>
      </c>
      <c r="AJ232" s="5">
        <v>0</v>
      </c>
      <c r="AK232" s="5">
        <v>1</v>
      </c>
      <c r="AL232" s="5">
        <v>0</v>
      </c>
      <c r="AM232" s="20">
        <v>5</v>
      </c>
      <c r="AN232" s="20">
        <v>3</v>
      </c>
      <c r="AO232" s="16"/>
      <c r="AP232" s="16"/>
      <c r="AQ232" s="16"/>
      <c r="AR232" s="16">
        <v>0</v>
      </c>
      <c r="AS232" s="16">
        <v>0</v>
      </c>
      <c r="AT232" s="16"/>
      <c r="AU232" s="16"/>
      <c r="AV232" s="16"/>
      <c r="AW232" s="16"/>
      <c r="AX232" s="16">
        <v>0</v>
      </c>
      <c r="AY232" s="16">
        <v>0</v>
      </c>
      <c r="AZ232" s="16">
        <v>0</v>
      </c>
      <c r="BA232" s="16">
        <v>1</v>
      </c>
    </row>
    <row r="233" spans="1:53" x14ac:dyDescent="0.2">
      <c r="A233" s="14" t="s">
        <v>0</v>
      </c>
      <c r="B233" s="14" t="str">
        <f t="shared" si="59"/>
        <v>Tol 1999</v>
      </c>
      <c r="C233" s="61">
        <f t="shared" si="60"/>
        <v>28</v>
      </c>
      <c r="D233" s="58">
        <v>1999</v>
      </c>
      <c r="E233" s="17" t="s">
        <v>90</v>
      </c>
      <c r="F233" s="58">
        <v>1</v>
      </c>
      <c r="G233" s="16">
        <v>1995</v>
      </c>
      <c r="H233" s="15">
        <f>LOOKUP(G233,CPI!A$69:A$100,CPI!O$69:O$100)</f>
        <v>1.4308136482939633</v>
      </c>
      <c r="I233" s="52">
        <v>2000</v>
      </c>
      <c r="J233" s="15">
        <f>0.5*0.5</f>
        <v>0.25</v>
      </c>
      <c r="K233" s="15"/>
      <c r="L233" s="62"/>
      <c r="M233" s="56">
        <f t="shared" si="73"/>
        <v>158.59453762979751</v>
      </c>
      <c r="N233" s="14">
        <v>60</v>
      </c>
      <c r="O233" s="14">
        <v>82</v>
      </c>
      <c r="P233" s="16">
        <v>0</v>
      </c>
      <c r="Q233" s="16">
        <v>0</v>
      </c>
      <c r="R233" s="16">
        <v>1</v>
      </c>
      <c r="S233" s="14">
        <v>51</v>
      </c>
      <c r="T233" s="56">
        <f t="shared" si="52"/>
        <v>115.54744884456677</v>
      </c>
      <c r="U233" s="56">
        <f>+(AA233-X233)/1.96*H233*(1+$L$2)^(2015-I233)</f>
        <v>50.861221980401538</v>
      </c>
      <c r="V233" s="56">
        <f>+(AD233-AA233)/1.96*H233*(1+$L$2)^(2015-I233)</f>
        <v>124.84118122462195</v>
      </c>
      <c r="W233" s="14">
        <v>17</v>
      </c>
      <c r="X233" s="14">
        <v>26</v>
      </c>
      <c r="Y233" s="14"/>
      <c r="Z233" s="14"/>
      <c r="AA233" s="14">
        <v>70</v>
      </c>
      <c r="AB233" s="14"/>
      <c r="AC233" s="14"/>
      <c r="AD233" s="14">
        <v>178</v>
      </c>
      <c r="AE233" s="14">
        <v>259</v>
      </c>
      <c r="AF233" s="16">
        <v>1</v>
      </c>
      <c r="AG233" s="16">
        <v>1</v>
      </c>
      <c r="AH233" s="16">
        <v>1</v>
      </c>
      <c r="AI233" s="16">
        <v>1</v>
      </c>
      <c r="AJ233" s="5">
        <v>1</v>
      </c>
      <c r="AK233" s="5">
        <v>0</v>
      </c>
      <c r="AL233" s="5">
        <v>0</v>
      </c>
      <c r="AM233" s="20">
        <v>3</v>
      </c>
      <c r="AN233" s="20">
        <v>1</v>
      </c>
      <c r="AO233" s="16"/>
      <c r="AP233" s="16"/>
      <c r="AQ233" s="16"/>
      <c r="AR233" s="16">
        <v>1</v>
      </c>
      <c r="AS233" s="16">
        <v>0</v>
      </c>
      <c r="AT233" s="16"/>
      <c r="AU233" s="16"/>
      <c r="AV233" s="16"/>
      <c r="AW233" s="16"/>
      <c r="AX233" s="16">
        <v>0</v>
      </c>
      <c r="AY233" s="16">
        <v>0</v>
      </c>
      <c r="AZ233" s="16">
        <v>1</v>
      </c>
      <c r="BA233" s="16">
        <v>0</v>
      </c>
    </row>
    <row r="234" spans="1:53" x14ac:dyDescent="0.2">
      <c r="A234" s="25"/>
      <c r="B234" s="14" t="str">
        <f t="shared" si="59"/>
        <v>Tol 1999</v>
      </c>
      <c r="C234" s="61">
        <f t="shared" si="60"/>
        <v>28</v>
      </c>
      <c r="D234" s="58">
        <v>1999</v>
      </c>
      <c r="E234" s="17"/>
      <c r="F234" s="58">
        <v>1</v>
      </c>
      <c r="G234" s="16">
        <v>1995</v>
      </c>
      <c r="H234" s="15">
        <f>LOOKUP(G234,CPI!A$69:A$100,CPI!O$69:O$100)</f>
        <v>1.4308136482939633</v>
      </c>
      <c r="I234" s="52">
        <v>2000</v>
      </c>
      <c r="J234" s="15">
        <f>0.1*0.5</f>
        <v>0.05</v>
      </c>
      <c r="K234" s="15"/>
      <c r="L234" s="62"/>
      <c r="M234" s="56">
        <f t="shared" si="73"/>
        <v>140.46944761496351</v>
      </c>
      <c r="N234" s="14">
        <v>62</v>
      </c>
      <c r="O234" s="18">
        <f>N234</f>
        <v>62</v>
      </c>
      <c r="P234" s="16">
        <v>0</v>
      </c>
      <c r="Q234" s="16">
        <v>1</v>
      </c>
      <c r="R234" s="16">
        <v>0</v>
      </c>
      <c r="S234" s="14"/>
      <c r="T234" s="56" t="str">
        <f t="shared" si="52"/>
        <v/>
      </c>
      <c r="U234" s="56" t="str">
        <f>+V234</f>
        <v/>
      </c>
      <c r="V234" s="56" t="str">
        <f>+T234</f>
        <v/>
      </c>
      <c r="W234" s="14"/>
      <c r="X234" s="14"/>
      <c r="Y234" s="14"/>
      <c r="Z234" s="14"/>
      <c r="AA234" s="18">
        <f>N234</f>
        <v>62</v>
      </c>
      <c r="AB234" s="14"/>
      <c r="AC234" s="14"/>
      <c r="AD234" s="14"/>
      <c r="AE234" s="14"/>
      <c r="AF234" s="16">
        <v>1</v>
      </c>
      <c r="AG234" s="16">
        <v>1</v>
      </c>
      <c r="AH234" s="16">
        <v>1</v>
      </c>
      <c r="AI234" s="16">
        <v>1</v>
      </c>
      <c r="AJ234" s="5">
        <v>1</v>
      </c>
      <c r="AK234" s="5">
        <v>0</v>
      </c>
      <c r="AL234" s="5">
        <v>0</v>
      </c>
      <c r="AM234" s="20">
        <v>3</v>
      </c>
      <c r="AN234" s="20">
        <v>1</v>
      </c>
      <c r="AO234" s="16"/>
      <c r="AP234" s="16"/>
      <c r="AQ234" s="16"/>
      <c r="AR234" s="16">
        <v>1</v>
      </c>
      <c r="AS234" s="16">
        <v>1</v>
      </c>
      <c r="AT234" s="16"/>
      <c r="AU234" s="16"/>
      <c r="AV234" s="16"/>
      <c r="AW234" s="16"/>
      <c r="AX234" s="16">
        <v>0</v>
      </c>
      <c r="AY234" s="16">
        <v>0</v>
      </c>
      <c r="AZ234" s="16">
        <v>1</v>
      </c>
      <c r="BA234" s="16">
        <v>0</v>
      </c>
    </row>
    <row r="235" spans="1:53" x14ac:dyDescent="0.2">
      <c r="A235" s="19"/>
      <c r="B235" s="14" t="str">
        <f t="shared" si="59"/>
        <v>Tol 1999</v>
      </c>
      <c r="C235" s="61">
        <f t="shared" si="60"/>
        <v>28</v>
      </c>
      <c r="D235" s="58">
        <v>1999</v>
      </c>
      <c r="E235" s="17"/>
      <c r="F235" s="58">
        <v>1</v>
      </c>
      <c r="G235" s="16">
        <v>1995</v>
      </c>
      <c r="H235" s="15">
        <f>LOOKUP(G235,CPI!A$69:A$100,CPI!O$69:O$100)</f>
        <v>1.4308136482939633</v>
      </c>
      <c r="I235" s="52">
        <v>2000</v>
      </c>
      <c r="J235" s="15">
        <f>0.1*0.5</f>
        <v>0.05</v>
      </c>
      <c r="K235" s="15"/>
      <c r="L235" s="62"/>
      <c r="M235" s="56">
        <f t="shared" si="73"/>
        <v>52.109633792647763</v>
      </c>
      <c r="N235" s="14">
        <v>23</v>
      </c>
      <c r="O235" s="18">
        <f>N235</f>
        <v>23</v>
      </c>
      <c r="P235" s="16">
        <v>0</v>
      </c>
      <c r="Q235" s="16">
        <v>1</v>
      </c>
      <c r="R235" s="16">
        <v>0</v>
      </c>
      <c r="S235" s="14"/>
      <c r="T235" s="56" t="str">
        <f t="shared" si="52"/>
        <v/>
      </c>
      <c r="U235" s="56" t="str">
        <f>+V235</f>
        <v/>
      </c>
      <c r="V235" s="56" t="str">
        <f>+T235</f>
        <v/>
      </c>
      <c r="W235" s="14"/>
      <c r="X235" s="14"/>
      <c r="Y235" s="14"/>
      <c r="Z235" s="14"/>
      <c r="AA235" s="18">
        <f>N235</f>
        <v>23</v>
      </c>
      <c r="AB235" s="14"/>
      <c r="AC235" s="14"/>
      <c r="AD235" s="14"/>
      <c r="AE235" s="14"/>
      <c r="AF235" s="16">
        <v>1</v>
      </c>
      <c r="AG235" s="16">
        <v>1</v>
      </c>
      <c r="AH235" s="16">
        <v>1</v>
      </c>
      <c r="AI235" s="16">
        <v>1</v>
      </c>
      <c r="AJ235" s="5">
        <v>1</v>
      </c>
      <c r="AK235" s="5">
        <v>0</v>
      </c>
      <c r="AL235" s="5">
        <v>0</v>
      </c>
      <c r="AM235" s="20">
        <v>3</v>
      </c>
      <c r="AN235" s="20">
        <v>1</v>
      </c>
      <c r="AO235" s="16"/>
      <c r="AP235" s="16"/>
      <c r="AQ235" s="16"/>
      <c r="AR235" s="16">
        <v>0</v>
      </c>
      <c r="AS235" s="16">
        <v>1</v>
      </c>
      <c r="AT235" s="16"/>
      <c r="AU235" s="16"/>
      <c r="AV235" s="16"/>
      <c r="AW235" s="16"/>
      <c r="AX235" s="16">
        <v>0</v>
      </c>
      <c r="AY235" s="16">
        <v>0</v>
      </c>
      <c r="AZ235" s="16">
        <v>1</v>
      </c>
      <c r="BA235" s="16">
        <v>0</v>
      </c>
    </row>
    <row r="236" spans="1:53" x14ac:dyDescent="0.2">
      <c r="A236" s="19"/>
      <c r="B236" s="14" t="str">
        <f t="shared" si="59"/>
        <v>Tol 1999</v>
      </c>
      <c r="C236" s="61">
        <f t="shared" si="60"/>
        <v>28</v>
      </c>
      <c r="D236" s="58">
        <v>1999</v>
      </c>
      <c r="E236" s="17"/>
      <c r="F236" s="58">
        <v>1</v>
      </c>
      <c r="G236" s="16">
        <v>1995</v>
      </c>
      <c r="H236" s="15">
        <f>LOOKUP(G236,CPI!A$69:A$100,CPI!O$69:O$100)</f>
        <v>1.4308136482939633</v>
      </c>
      <c r="I236" s="52">
        <v>2000</v>
      </c>
      <c r="J236" s="15">
        <f>0.1*0.5</f>
        <v>0.05</v>
      </c>
      <c r="K236" s="15"/>
      <c r="L236" s="62"/>
      <c r="M236" s="56">
        <f t="shared" si="73"/>
        <v>149.53199262238053</v>
      </c>
      <c r="N236" s="14">
        <v>66</v>
      </c>
      <c r="O236" s="18">
        <f>N236</f>
        <v>66</v>
      </c>
      <c r="P236" s="16">
        <v>0</v>
      </c>
      <c r="Q236" s="16">
        <v>1</v>
      </c>
      <c r="R236" s="16">
        <v>0</v>
      </c>
      <c r="S236" s="14"/>
      <c r="T236" s="56" t="str">
        <f t="shared" si="52"/>
        <v/>
      </c>
      <c r="U236" s="56" t="str">
        <f>+V236</f>
        <v/>
      </c>
      <c r="V236" s="56" t="str">
        <f>+T236</f>
        <v/>
      </c>
      <c r="W236" s="14"/>
      <c r="X236" s="14"/>
      <c r="Y236" s="14"/>
      <c r="Z236" s="14"/>
      <c r="AA236" s="18">
        <f>N236</f>
        <v>66</v>
      </c>
      <c r="AB236" s="14"/>
      <c r="AC236" s="14"/>
      <c r="AD236" s="14"/>
      <c r="AE236" s="14"/>
      <c r="AF236" s="16">
        <v>1</v>
      </c>
      <c r="AG236" s="16">
        <v>1</v>
      </c>
      <c r="AH236" s="16">
        <v>1</v>
      </c>
      <c r="AI236" s="16">
        <v>1</v>
      </c>
      <c r="AJ236" s="5">
        <v>1</v>
      </c>
      <c r="AK236" s="5">
        <v>0</v>
      </c>
      <c r="AL236" s="5">
        <v>0</v>
      </c>
      <c r="AM236" s="20">
        <v>3</v>
      </c>
      <c r="AN236" s="20">
        <v>1</v>
      </c>
      <c r="AO236" s="16"/>
      <c r="AP236" s="16"/>
      <c r="AQ236" s="16"/>
      <c r="AR236" s="16">
        <v>1</v>
      </c>
      <c r="AS236" s="16">
        <v>1</v>
      </c>
      <c r="AT236" s="16"/>
      <c r="AU236" s="16"/>
      <c r="AV236" s="16"/>
      <c r="AW236" s="16"/>
      <c r="AX236" s="16">
        <v>0</v>
      </c>
      <c r="AY236" s="16">
        <v>0</v>
      </c>
      <c r="AZ236" s="16">
        <v>1</v>
      </c>
      <c r="BA236" s="16">
        <v>0</v>
      </c>
    </row>
    <row r="237" spans="1:53" x14ac:dyDescent="0.2">
      <c r="A237" s="19"/>
      <c r="B237" s="14" t="str">
        <f t="shared" si="59"/>
        <v>Tol 1999</v>
      </c>
      <c r="C237" s="61">
        <f t="shared" si="60"/>
        <v>28</v>
      </c>
      <c r="D237" s="58">
        <v>1999</v>
      </c>
      <c r="E237" s="17"/>
      <c r="F237" s="58">
        <v>1</v>
      </c>
      <c r="G237" s="16">
        <v>1995</v>
      </c>
      <c r="H237" s="15">
        <f>LOOKUP(G237,CPI!A$69:A$100,CPI!O$69:O$100)</f>
        <v>1.4308136482939633</v>
      </c>
      <c r="I237" s="52">
        <v>2000</v>
      </c>
      <c r="J237" s="15">
        <f>0.1*0.5</f>
        <v>0.05</v>
      </c>
      <c r="K237" s="15"/>
      <c r="L237" s="62"/>
      <c r="M237" s="56">
        <f t="shared" si="73"/>
        <v>147.26635637052627</v>
      </c>
      <c r="N237" s="14">
        <v>65</v>
      </c>
      <c r="O237" s="18">
        <f>N237</f>
        <v>65</v>
      </c>
      <c r="P237" s="16">
        <v>0</v>
      </c>
      <c r="Q237" s="16">
        <v>1</v>
      </c>
      <c r="R237" s="16">
        <v>0</v>
      </c>
      <c r="S237" s="14"/>
      <c r="T237" s="56" t="str">
        <f t="shared" si="52"/>
        <v/>
      </c>
      <c r="U237" s="56" t="str">
        <f>+V237</f>
        <v/>
      </c>
      <c r="V237" s="56" t="str">
        <f>+T237</f>
        <v/>
      </c>
      <c r="W237" s="14"/>
      <c r="X237" s="14"/>
      <c r="Y237" s="14"/>
      <c r="Z237" s="14"/>
      <c r="AA237" s="18">
        <f>N237</f>
        <v>65</v>
      </c>
      <c r="AB237" s="14"/>
      <c r="AC237" s="14"/>
      <c r="AD237" s="14"/>
      <c r="AE237" s="14"/>
      <c r="AF237" s="16">
        <v>1</v>
      </c>
      <c r="AG237" s="16">
        <v>1</v>
      </c>
      <c r="AH237" s="16">
        <v>1</v>
      </c>
      <c r="AI237" s="16">
        <v>1</v>
      </c>
      <c r="AJ237" s="5">
        <v>1</v>
      </c>
      <c r="AK237" s="5">
        <v>0</v>
      </c>
      <c r="AL237" s="5">
        <v>0</v>
      </c>
      <c r="AM237" s="20">
        <v>3</v>
      </c>
      <c r="AN237" s="20">
        <v>1</v>
      </c>
      <c r="AO237" s="16"/>
      <c r="AP237" s="16"/>
      <c r="AQ237" s="16"/>
      <c r="AR237" s="16">
        <v>1</v>
      </c>
      <c r="AS237" s="16">
        <v>1</v>
      </c>
      <c r="AT237" s="16"/>
      <c r="AU237" s="16"/>
      <c r="AV237" s="16"/>
      <c r="AW237" s="16"/>
      <c r="AX237" s="16">
        <v>0</v>
      </c>
      <c r="AY237" s="16">
        <v>0</v>
      </c>
      <c r="AZ237" s="16">
        <v>1</v>
      </c>
      <c r="BA237" s="16">
        <v>0</v>
      </c>
    </row>
    <row r="238" spans="1:53" x14ac:dyDescent="0.2">
      <c r="A238" s="19"/>
      <c r="B238" s="14" t="str">
        <f t="shared" si="59"/>
        <v>Tol 1999</v>
      </c>
      <c r="C238" s="61">
        <f t="shared" si="60"/>
        <v>28</v>
      </c>
      <c r="D238" s="58">
        <v>1999</v>
      </c>
      <c r="E238" s="17"/>
      <c r="F238" s="58">
        <v>1</v>
      </c>
      <c r="G238" s="16">
        <v>1995</v>
      </c>
      <c r="H238" s="15">
        <f>LOOKUP(G238,CPI!A$69:A$100,CPI!O$69:O$100)</f>
        <v>1.4308136482939633</v>
      </c>
      <c r="I238" s="52">
        <v>2000</v>
      </c>
      <c r="J238" s="15">
        <f>0.1*0.5</f>
        <v>0.05</v>
      </c>
      <c r="K238" s="15"/>
      <c r="L238" s="62"/>
      <c r="M238" s="56">
        <f t="shared" si="73"/>
        <v>126.87563010383802</v>
      </c>
      <c r="N238" s="14">
        <v>56</v>
      </c>
      <c r="O238" s="18">
        <f>N238</f>
        <v>56</v>
      </c>
      <c r="P238" s="16">
        <v>0</v>
      </c>
      <c r="Q238" s="16">
        <v>1</v>
      </c>
      <c r="R238" s="16">
        <v>0</v>
      </c>
      <c r="S238" s="14"/>
      <c r="T238" s="56" t="str">
        <f t="shared" si="52"/>
        <v/>
      </c>
      <c r="U238" s="56" t="str">
        <f>+V238</f>
        <v/>
      </c>
      <c r="V238" s="56" t="str">
        <f>+T238</f>
        <v/>
      </c>
      <c r="W238" s="14"/>
      <c r="X238" s="14"/>
      <c r="Y238" s="14"/>
      <c r="Z238" s="14"/>
      <c r="AA238" s="18">
        <f>N238</f>
        <v>56</v>
      </c>
      <c r="AB238" s="14"/>
      <c r="AC238" s="14"/>
      <c r="AD238" s="14"/>
      <c r="AE238" s="14"/>
      <c r="AF238" s="16">
        <v>1</v>
      </c>
      <c r="AG238" s="16">
        <v>1</v>
      </c>
      <c r="AH238" s="16">
        <v>1</v>
      </c>
      <c r="AI238" s="16">
        <v>1</v>
      </c>
      <c r="AJ238" s="5">
        <v>1</v>
      </c>
      <c r="AK238" s="5">
        <v>0</v>
      </c>
      <c r="AL238" s="5">
        <v>0</v>
      </c>
      <c r="AM238" s="20">
        <v>3</v>
      </c>
      <c r="AN238" s="20">
        <v>1</v>
      </c>
      <c r="AO238" s="16"/>
      <c r="AP238" s="16"/>
      <c r="AQ238" s="16"/>
      <c r="AR238" s="16">
        <v>1</v>
      </c>
      <c r="AS238" s="16">
        <v>1</v>
      </c>
      <c r="AT238" s="16"/>
      <c r="AU238" s="16"/>
      <c r="AV238" s="16"/>
      <c r="AW238" s="16"/>
      <c r="AX238" s="16">
        <v>0</v>
      </c>
      <c r="AY238" s="16">
        <v>0</v>
      </c>
      <c r="AZ238" s="16">
        <v>1</v>
      </c>
      <c r="BA238" s="16">
        <v>0</v>
      </c>
    </row>
    <row r="239" spans="1:53" x14ac:dyDescent="0.2">
      <c r="A239" s="25"/>
      <c r="B239" s="14" t="str">
        <f t="shared" si="59"/>
        <v>Tol 1999</v>
      </c>
      <c r="C239" s="61">
        <f t="shared" si="60"/>
        <v>28</v>
      </c>
      <c r="D239" s="58">
        <v>1999</v>
      </c>
      <c r="E239" s="17"/>
      <c r="F239" s="58">
        <v>1</v>
      </c>
      <c r="G239" s="16">
        <v>1995</v>
      </c>
      <c r="H239" s="15">
        <f>LOOKUP(G239,CPI!A$69:A$100,CPI!O$69:O$100)</f>
        <v>1.4308136482939633</v>
      </c>
      <c r="I239" s="52">
        <v>2000</v>
      </c>
      <c r="J239" s="15">
        <f>0.5*0.1</f>
        <v>0.05</v>
      </c>
      <c r="K239" s="15"/>
      <c r="L239" s="62"/>
      <c r="M239" s="56">
        <f t="shared" si="73"/>
        <v>917.58268200097132</v>
      </c>
      <c r="N239" s="14">
        <v>317</v>
      </c>
      <c r="O239" s="14">
        <v>465</v>
      </c>
      <c r="P239" s="16">
        <v>0</v>
      </c>
      <c r="Q239" s="16">
        <v>0</v>
      </c>
      <c r="R239" s="16">
        <v>1</v>
      </c>
      <c r="S239" s="14">
        <v>267</v>
      </c>
      <c r="T239" s="56">
        <f t="shared" si="52"/>
        <v>604.92487924508487</v>
      </c>
      <c r="U239" s="56">
        <f>+(AA239-X239)/1.96*H239*(1+$L$2)^(2015-I239)</f>
        <v>285.51640520816312</v>
      </c>
      <c r="V239" s="56">
        <f>+(AD239-AA239)/1.96*H239*(1+$L$2)^(2015-I239)</f>
        <v>643.85683279735588</v>
      </c>
      <c r="W239" s="14">
        <v>106</v>
      </c>
      <c r="X239" s="14">
        <v>158</v>
      </c>
      <c r="Y239" s="14"/>
      <c r="Z239" s="14"/>
      <c r="AA239" s="14">
        <v>405</v>
      </c>
      <c r="AB239" s="14"/>
      <c r="AC239" s="14"/>
      <c r="AD239" s="14">
        <v>962</v>
      </c>
      <c r="AE239" s="14">
        <v>1390</v>
      </c>
      <c r="AF239" s="16">
        <v>1</v>
      </c>
      <c r="AG239" s="16">
        <v>1</v>
      </c>
      <c r="AH239" s="16">
        <v>1</v>
      </c>
      <c r="AI239" s="16">
        <v>1</v>
      </c>
      <c r="AJ239" s="5">
        <v>1</v>
      </c>
      <c r="AK239" s="5">
        <v>0</v>
      </c>
      <c r="AL239" s="5">
        <v>0</v>
      </c>
      <c r="AM239" s="20">
        <v>0</v>
      </c>
      <c r="AN239" s="20">
        <v>-2</v>
      </c>
      <c r="AO239" s="16"/>
      <c r="AP239" s="16"/>
      <c r="AQ239" s="16"/>
      <c r="AR239" s="16">
        <v>1</v>
      </c>
      <c r="AS239" s="16">
        <v>0</v>
      </c>
      <c r="AT239" s="16"/>
      <c r="AU239" s="16"/>
      <c r="AV239" s="16"/>
      <c r="AW239" s="16"/>
      <c r="AX239" s="16">
        <v>0</v>
      </c>
      <c r="AY239" s="16">
        <v>0</v>
      </c>
      <c r="AZ239" s="16">
        <v>1</v>
      </c>
      <c r="BA239" s="16">
        <v>0</v>
      </c>
    </row>
    <row r="240" spans="1:53" x14ac:dyDescent="0.2">
      <c r="A240" s="19"/>
      <c r="B240" s="14" t="str">
        <f t="shared" si="59"/>
        <v>Tol 1999</v>
      </c>
      <c r="C240" s="61">
        <f t="shared" si="60"/>
        <v>28</v>
      </c>
      <c r="D240" s="58">
        <v>1999</v>
      </c>
      <c r="E240" s="17"/>
      <c r="F240" s="58">
        <v>1</v>
      </c>
      <c r="G240" s="16">
        <v>1995</v>
      </c>
      <c r="H240" s="15">
        <f>LOOKUP(G240,CPI!A$69:A$100,CPI!O$69:O$100)</f>
        <v>1.4308136482939633</v>
      </c>
      <c r="I240" s="52">
        <v>2000</v>
      </c>
      <c r="J240" s="15">
        <f>0.1*0.1</f>
        <v>1.0000000000000002E-2</v>
      </c>
      <c r="K240" s="15"/>
      <c r="L240" s="62"/>
      <c r="M240" s="56">
        <f t="shared" si="73"/>
        <v>550.54960920058284</v>
      </c>
      <c r="N240" s="14">
        <v>243</v>
      </c>
      <c r="O240" s="18">
        <f>N240</f>
        <v>243</v>
      </c>
      <c r="P240" s="16">
        <v>0</v>
      </c>
      <c r="Q240" s="16">
        <v>1</v>
      </c>
      <c r="R240" s="16">
        <v>0</v>
      </c>
      <c r="S240" s="14"/>
      <c r="T240" s="56" t="str">
        <f t="shared" si="52"/>
        <v/>
      </c>
      <c r="U240" s="56" t="str">
        <f>+V240</f>
        <v/>
      </c>
      <c r="V240" s="56" t="str">
        <f>+T240</f>
        <v/>
      </c>
      <c r="W240" s="14"/>
      <c r="X240" s="14"/>
      <c r="Y240" s="14"/>
      <c r="Z240" s="14"/>
      <c r="AA240" s="18">
        <f>N240</f>
        <v>243</v>
      </c>
      <c r="AB240" s="14"/>
      <c r="AC240" s="14"/>
      <c r="AD240" s="14"/>
      <c r="AE240" s="14"/>
      <c r="AF240" s="16">
        <v>1</v>
      </c>
      <c r="AG240" s="16">
        <v>1</v>
      </c>
      <c r="AH240" s="16">
        <v>1</v>
      </c>
      <c r="AI240" s="16">
        <v>1</v>
      </c>
      <c r="AJ240" s="5">
        <v>1</v>
      </c>
      <c r="AK240" s="5">
        <v>0</v>
      </c>
      <c r="AL240" s="5">
        <v>0</v>
      </c>
      <c r="AM240" s="20">
        <v>0</v>
      </c>
      <c r="AN240" s="20">
        <v>-2</v>
      </c>
      <c r="AO240" s="16"/>
      <c r="AP240" s="16"/>
      <c r="AQ240" s="16"/>
      <c r="AR240" s="16">
        <v>1</v>
      </c>
      <c r="AS240" s="16">
        <v>1</v>
      </c>
      <c r="AT240" s="16"/>
      <c r="AU240" s="16"/>
      <c r="AV240" s="16"/>
      <c r="AW240" s="16"/>
      <c r="AX240" s="16">
        <v>0</v>
      </c>
      <c r="AY240" s="16">
        <v>0</v>
      </c>
      <c r="AZ240" s="16">
        <v>1</v>
      </c>
      <c r="BA240" s="16">
        <v>0</v>
      </c>
    </row>
    <row r="241" spans="1:53" x14ac:dyDescent="0.2">
      <c r="A241" s="19"/>
      <c r="B241" s="14" t="str">
        <f t="shared" si="59"/>
        <v>Tol 1999</v>
      </c>
      <c r="C241" s="61">
        <f t="shared" si="60"/>
        <v>28</v>
      </c>
      <c r="D241" s="58">
        <v>1999</v>
      </c>
      <c r="E241" s="17"/>
      <c r="F241" s="58">
        <v>1</v>
      </c>
      <c r="G241" s="16">
        <v>1995</v>
      </c>
      <c r="H241" s="15">
        <f>LOOKUP(G241,CPI!A$69:A$100,CPI!O$69:O$100)</f>
        <v>1.4308136482939633</v>
      </c>
      <c r="I241" s="52">
        <v>2000</v>
      </c>
      <c r="J241" s="15">
        <f>0.1*0.1</f>
        <v>1.0000000000000002E-2</v>
      </c>
      <c r="K241" s="15"/>
      <c r="L241" s="62"/>
      <c r="M241" s="56">
        <f t="shared" si="73"/>
        <v>321.72034776330355</v>
      </c>
      <c r="N241" s="14">
        <v>142</v>
      </c>
      <c r="O241" s="18">
        <f>N241</f>
        <v>142</v>
      </c>
      <c r="P241" s="16">
        <v>0</v>
      </c>
      <c r="Q241" s="16">
        <v>1</v>
      </c>
      <c r="R241" s="16">
        <v>0</v>
      </c>
      <c r="S241" s="14"/>
      <c r="T241" s="56" t="str">
        <f t="shared" si="52"/>
        <v/>
      </c>
      <c r="U241" s="56" t="str">
        <f>+V241</f>
        <v/>
      </c>
      <c r="V241" s="56" t="str">
        <f>+T241</f>
        <v/>
      </c>
      <c r="W241" s="14"/>
      <c r="X241" s="14"/>
      <c r="Y241" s="14"/>
      <c r="Z241" s="14"/>
      <c r="AA241" s="18">
        <f>N241</f>
        <v>142</v>
      </c>
      <c r="AB241" s="14"/>
      <c r="AC241" s="14"/>
      <c r="AD241" s="14"/>
      <c r="AE241" s="14"/>
      <c r="AF241" s="16">
        <v>1</v>
      </c>
      <c r="AG241" s="16">
        <v>1</v>
      </c>
      <c r="AH241" s="16">
        <v>1</v>
      </c>
      <c r="AI241" s="16">
        <v>1</v>
      </c>
      <c r="AJ241" s="5">
        <v>1</v>
      </c>
      <c r="AK241" s="5">
        <v>0</v>
      </c>
      <c r="AL241" s="5">
        <v>0</v>
      </c>
      <c r="AM241" s="20">
        <v>0</v>
      </c>
      <c r="AN241" s="20">
        <v>-2</v>
      </c>
      <c r="AO241" s="16"/>
      <c r="AP241" s="16"/>
      <c r="AQ241" s="16"/>
      <c r="AR241" s="16">
        <v>0</v>
      </c>
      <c r="AS241" s="16">
        <v>1</v>
      </c>
      <c r="AT241" s="16"/>
      <c r="AU241" s="16"/>
      <c r="AV241" s="16"/>
      <c r="AW241" s="16"/>
      <c r="AX241" s="16">
        <v>0</v>
      </c>
      <c r="AY241" s="16">
        <v>0</v>
      </c>
      <c r="AZ241" s="16">
        <v>1</v>
      </c>
      <c r="BA241" s="16">
        <v>0</v>
      </c>
    </row>
    <row r="242" spans="1:53" x14ac:dyDescent="0.2">
      <c r="A242" s="19"/>
      <c r="B242" s="14" t="str">
        <f t="shared" si="59"/>
        <v>Tol 1999</v>
      </c>
      <c r="C242" s="61">
        <f t="shared" si="60"/>
        <v>28</v>
      </c>
      <c r="D242" s="58">
        <v>1999</v>
      </c>
      <c r="E242" s="17"/>
      <c r="F242" s="58">
        <v>1</v>
      </c>
      <c r="G242" s="16">
        <v>1995</v>
      </c>
      <c r="H242" s="15">
        <f>LOOKUP(G242,CPI!A$69:A$100,CPI!O$69:O$100)</f>
        <v>1.4308136482939633</v>
      </c>
      <c r="I242" s="52">
        <v>2000</v>
      </c>
      <c r="J242" s="15">
        <f>0.1*0.1</f>
        <v>1.0000000000000002E-2</v>
      </c>
      <c r="K242" s="15"/>
      <c r="L242" s="62"/>
      <c r="M242" s="56">
        <f t="shared" si="73"/>
        <v>815.62905066753012</v>
      </c>
      <c r="N242" s="14">
        <v>360</v>
      </c>
      <c r="O242" s="18">
        <f>N242</f>
        <v>360</v>
      </c>
      <c r="P242" s="16">
        <v>0</v>
      </c>
      <c r="Q242" s="16">
        <v>1</v>
      </c>
      <c r="R242" s="16">
        <v>0</v>
      </c>
      <c r="S242" s="14"/>
      <c r="T242" s="56" t="str">
        <f t="shared" si="52"/>
        <v/>
      </c>
      <c r="U242" s="56" t="str">
        <f>+V242</f>
        <v/>
      </c>
      <c r="V242" s="56" t="str">
        <f>+T242</f>
        <v/>
      </c>
      <c r="W242" s="14"/>
      <c r="X242" s="14"/>
      <c r="Y242" s="14"/>
      <c r="Z242" s="14"/>
      <c r="AA242" s="18">
        <f>N242</f>
        <v>360</v>
      </c>
      <c r="AB242" s="14"/>
      <c r="AC242" s="14"/>
      <c r="AD242" s="14"/>
      <c r="AE242" s="14"/>
      <c r="AF242" s="16">
        <v>1</v>
      </c>
      <c r="AG242" s="16">
        <v>1</v>
      </c>
      <c r="AH242" s="16">
        <v>1</v>
      </c>
      <c r="AI242" s="16">
        <v>1</v>
      </c>
      <c r="AJ242" s="5">
        <v>1</v>
      </c>
      <c r="AK242" s="5">
        <v>0</v>
      </c>
      <c r="AL242" s="5">
        <v>0</v>
      </c>
      <c r="AM242" s="20">
        <v>0</v>
      </c>
      <c r="AN242" s="20">
        <v>-2</v>
      </c>
      <c r="AO242" s="16"/>
      <c r="AP242" s="16"/>
      <c r="AQ242" s="16"/>
      <c r="AR242" s="16">
        <v>1</v>
      </c>
      <c r="AS242" s="16">
        <v>1</v>
      </c>
      <c r="AT242" s="16"/>
      <c r="AU242" s="16"/>
      <c r="AV242" s="16"/>
      <c r="AW242" s="16"/>
      <c r="AX242" s="16">
        <v>0</v>
      </c>
      <c r="AY242" s="16">
        <v>0</v>
      </c>
      <c r="AZ242" s="16">
        <v>1</v>
      </c>
      <c r="BA242" s="16">
        <v>0</v>
      </c>
    </row>
    <row r="243" spans="1:53" x14ac:dyDescent="0.2">
      <c r="A243" s="19"/>
      <c r="B243" s="14" t="str">
        <f t="shared" si="59"/>
        <v>Tol 1999</v>
      </c>
      <c r="C243" s="61">
        <f t="shared" si="60"/>
        <v>28</v>
      </c>
      <c r="D243" s="58">
        <v>1999</v>
      </c>
      <c r="E243" s="17"/>
      <c r="F243" s="58">
        <v>1</v>
      </c>
      <c r="G243" s="16">
        <v>1995</v>
      </c>
      <c r="H243" s="15">
        <f>LOOKUP(G243,CPI!A$69:A$100,CPI!O$69:O$100)</f>
        <v>1.4308136482939633</v>
      </c>
      <c r="I243" s="52">
        <v>2000</v>
      </c>
      <c r="J243" s="15">
        <f>0.1*0.1</f>
        <v>1.0000000000000002E-2</v>
      </c>
      <c r="K243" s="15"/>
      <c r="L243" s="62"/>
      <c r="M243" s="56">
        <f t="shared" si="73"/>
        <v>788.44141564527911</v>
      </c>
      <c r="N243" s="14">
        <v>348</v>
      </c>
      <c r="O243" s="18">
        <f>N243</f>
        <v>348</v>
      </c>
      <c r="P243" s="16">
        <v>0</v>
      </c>
      <c r="Q243" s="16">
        <v>1</v>
      </c>
      <c r="R243" s="16">
        <v>0</v>
      </c>
      <c r="S243" s="14"/>
      <c r="T243" s="56" t="str">
        <f t="shared" si="52"/>
        <v/>
      </c>
      <c r="U243" s="56" t="str">
        <f>+V243</f>
        <v/>
      </c>
      <c r="V243" s="56" t="str">
        <f>+T243</f>
        <v/>
      </c>
      <c r="W243" s="14"/>
      <c r="X243" s="14"/>
      <c r="Y243" s="14"/>
      <c r="Z243" s="14"/>
      <c r="AA243" s="18">
        <f>N243</f>
        <v>348</v>
      </c>
      <c r="AB243" s="14"/>
      <c r="AC243" s="14"/>
      <c r="AD243" s="14"/>
      <c r="AE243" s="14"/>
      <c r="AF243" s="16">
        <v>1</v>
      </c>
      <c r="AG243" s="16">
        <v>1</v>
      </c>
      <c r="AH243" s="16">
        <v>1</v>
      </c>
      <c r="AI243" s="16">
        <v>1</v>
      </c>
      <c r="AJ243" s="5">
        <v>1</v>
      </c>
      <c r="AK243" s="5">
        <v>0</v>
      </c>
      <c r="AL243" s="5">
        <v>0</v>
      </c>
      <c r="AM243" s="20">
        <v>0</v>
      </c>
      <c r="AN243" s="20">
        <v>-2</v>
      </c>
      <c r="AO243" s="16"/>
      <c r="AP243" s="16"/>
      <c r="AQ243" s="16"/>
      <c r="AR243" s="16">
        <v>1</v>
      </c>
      <c r="AS243" s="16">
        <v>1</v>
      </c>
      <c r="AT243" s="16"/>
      <c r="AU243" s="16"/>
      <c r="AV243" s="16"/>
      <c r="AW243" s="16"/>
      <c r="AX243" s="16">
        <v>0</v>
      </c>
      <c r="AY243" s="16">
        <v>0</v>
      </c>
      <c r="AZ243" s="16">
        <v>1</v>
      </c>
      <c r="BA243" s="16">
        <v>0</v>
      </c>
    </row>
    <row r="244" spans="1:53" x14ac:dyDescent="0.2">
      <c r="A244" s="19"/>
      <c r="B244" s="14" t="str">
        <f t="shared" si="59"/>
        <v>Tol 1999</v>
      </c>
      <c r="C244" s="61">
        <f t="shared" si="60"/>
        <v>28</v>
      </c>
      <c r="D244" s="58">
        <v>1999</v>
      </c>
      <c r="E244" s="17"/>
      <c r="F244" s="58">
        <v>1</v>
      </c>
      <c r="G244" s="16">
        <v>1995</v>
      </c>
      <c r="H244" s="15">
        <f>LOOKUP(G244,CPI!A$69:A$100,CPI!O$69:O$100)</f>
        <v>1.4308136482939633</v>
      </c>
      <c r="I244" s="52">
        <v>2000</v>
      </c>
      <c r="J244" s="15">
        <f>0.1*0.1</f>
        <v>1.0000000000000002E-2</v>
      </c>
      <c r="K244" s="15"/>
      <c r="L244" s="62"/>
      <c r="M244" s="56">
        <f t="shared" si="73"/>
        <v>652.50324053402403</v>
      </c>
      <c r="N244" s="14">
        <v>288</v>
      </c>
      <c r="O244" s="18">
        <f>N244</f>
        <v>288</v>
      </c>
      <c r="P244" s="16">
        <v>0</v>
      </c>
      <c r="Q244" s="16">
        <v>1</v>
      </c>
      <c r="R244" s="16">
        <v>0</v>
      </c>
      <c r="S244" s="14"/>
      <c r="T244" s="56" t="str">
        <f t="shared" si="52"/>
        <v/>
      </c>
      <c r="U244" s="56" t="str">
        <f>+V244</f>
        <v/>
      </c>
      <c r="V244" s="56" t="str">
        <f>+T244</f>
        <v/>
      </c>
      <c r="W244" s="14"/>
      <c r="X244" s="14"/>
      <c r="Y244" s="14"/>
      <c r="Z244" s="14"/>
      <c r="AA244" s="18">
        <f>N244</f>
        <v>288</v>
      </c>
      <c r="AB244" s="14"/>
      <c r="AC244" s="14"/>
      <c r="AD244" s="14"/>
      <c r="AE244" s="14"/>
      <c r="AF244" s="16">
        <v>1</v>
      </c>
      <c r="AG244" s="16">
        <v>1</v>
      </c>
      <c r="AH244" s="16">
        <v>1</v>
      </c>
      <c r="AI244" s="16">
        <v>1</v>
      </c>
      <c r="AJ244" s="5">
        <v>1</v>
      </c>
      <c r="AK244" s="5">
        <v>0</v>
      </c>
      <c r="AL244" s="5">
        <v>0</v>
      </c>
      <c r="AM244" s="20">
        <v>0</v>
      </c>
      <c r="AN244" s="20">
        <v>-2</v>
      </c>
      <c r="AO244" s="16"/>
      <c r="AP244" s="16"/>
      <c r="AQ244" s="16"/>
      <c r="AR244" s="16">
        <v>1</v>
      </c>
      <c r="AS244" s="16">
        <v>1</v>
      </c>
      <c r="AT244" s="16"/>
      <c r="AU244" s="16"/>
      <c r="AV244" s="16"/>
      <c r="AW244" s="16"/>
      <c r="AX244" s="16">
        <v>0</v>
      </c>
      <c r="AY244" s="16">
        <v>0</v>
      </c>
      <c r="AZ244" s="16">
        <v>1</v>
      </c>
      <c r="BA244" s="16">
        <v>0</v>
      </c>
    </row>
    <row r="245" spans="1:53" x14ac:dyDescent="0.2">
      <c r="A245" s="25"/>
      <c r="B245" s="14" t="str">
        <f t="shared" si="59"/>
        <v>Tol 1999</v>
      </c>
      <c r="C245" s="61">
        <f t="shared" si="60"/>
        <v>28</v>
      </c>
      <c r="D245" s="58">
        <v>1999</v>
      </c>
      <c r="E245" s="17"/>
      <c r="F245" s="58">
        <v>1</v>
      </c>
      <c r="G245" s="16">
        <v>1995</v>
      </c>
      <c r="H245" s="15">
        <f>LOOKUP(G245,CPI!A$69:A$100,CPI!O$69:O$100)</f>
        <v>1.4308136482939633</v>
      </c>
      <c r="I245" s="52">
        <v>2000</v>
      </c>
      <c r="J245" s="15">
        <f>0.5*0.1</f>
        <v>0.05</v>
      </c>
      <c r="K245" s="15"/>
      <c r="L245" s="62"/>
      <c r="M245" s="56">
        <f t="shared" si="73"/>
        <v>475.7836128893926</v>
      </c>
      <c r="N245" s="14">
        <v>171</v>
      </c>
      <c r="O245" s="14">
        <v>244</v>
      </c>
      <c r="P245" s="16">
        <v>0</v>
      </c>
      <c r="Q245" s="16">
        <v>0</v>
      </c>
      <c r="R245" s="16">
        <v>1</v>
      </c>
      <c r="S245" s="14">
        <v>143</v>
      </c>
      <c r="T245" s="56">
        <f t="shared" si="52"/>
        <v>323.98598401515778</v>
      </c>
      <c r="U245" s="56">
        <f>+(AA245-X245)/1.96*H245*(1+$L$2)^(2015-I245)</f>
        <v>149.11585535163178</v>
      </c>
      <c r="V245" s="56">
        <f>+(AD245-AA245)/1.96*H245*(1+$L$2)^(2015-I245)</f>
        <v>349.09293268366508</v>
      </c>
      <c r="W245" s="14">
        <v>54</v>
      </c>
      <c r="X245" s="14">
        <v>81</v>
      </c>
      <c r="Y245" s="14"/>
      <c r="Z245" s="14"/>
      <c r="AA245" s="14">
        <v>210</v>
      </c>
      <c r="AB245" s="14"/>
      <c r="AC245" s="14"/>
      <c r="AD245" s="14">
        <v>512</v>
      </c>
      <c r="AE245" s="14">
        <v>744</v>
      </c>
      <c r="AF245" s="16">
        <v>1</v>
      </c>
      <c r="AG245" s="16">
        <v>1</v>
      </c>
      <c r="AH245" s="16">
        <v>1</v>
      </c>
      <c r="AI245" s="16">
        <v>1</v>
      </c>
      <c r="AJ245" s="5">
        <v>1</v>
      </c>
      <c r="AK245" s="5">
        <v>0</v>
      </c>
      <c r="AL245" s="5">
        <v>0</v>
      </c>
      <c r="AM245" s="20">
        <v>1</v>
      </c>
      <c r="AN245" s="20">
        <v>-1</v>
      </c>
      <c r="AO245" s="16"/>
      <c r="AP245" s="16"/>
      <c r="AQ245" s="16"/>
      <c r="AR245" s="16">
        <v>1</v>
      </c>
      <c r="AS245" s="16">
        <v>0</v>
      </c>
      <c r="AT245" s="16"/>
      <c r="AU245" s="16"/>
      <c r="AV245" s="16"/>
      <c r="AW245" s="16"/>
      <c r="AX245" s="16">
        <v>0</v>
      </c>
      <c r="AY245" s="16">
        <v>0</v>
      </c>
      <c r="AZ245" s="16">
        <v>1</v>
      </c>
      <c r="BA245" s="16">
        <v>0</v>
      </c>
    </row>
    <row r="246" spans="1:53" x14ac:dyDescent="0.2">
      <c r="A246" s="19"/>
      <c r="B246" s="14" t="str">
        <f t="shared" si="59"/>
        <v>Tol 1999</v>
      </c>
      <c r="C246" s="61">
        <f t="shared" si="60"/>
        <v>28</v>
      </c>
      <c r="D246" s="58">
        <v>1999</v>
      </c>
      <c r="E246" s="17"/>
      <c r="F246" s="58">
        <v>1</v>
      </c>
      <c r="G246" s="16">
        <v>1995</v>
      </c>
      <c r="H246" s="15">
        <f>LOOKUP(G246,CPI!A$69:A$100,CPI!O$69:O$100)</f>
        <v>1.4308136482939633</v>
      </c>
      <c r="I246" s="52">
        <v>2000</v>
      </c>
      <c r="J246" s="15">
        <f>0.1*0.1</f>
        <v>1.0000000000000002E-2</v>
      </c>
      <c r="K246" s="15"/>
      <c r="L246" s="62"/>
      <c r="M246" s="56">
        <f t="shared" si="73"/>
        <v>389.68943531893103</v>
      </c>
      <c r="N246" s="14">
        <v>172</v>
      </c>
      <c r="O246" s="18">
        <f>N246</f>
        <v>172</v>
      </c>
      <c r="P246" s="16">
        <v>0</v>
      </c>
      <c r="Q246" s="16">
        <v>1</v>
      </c>
      <c r="R246" s="16">
        <v>0</v>
      </c>
      <c r="S246" s="14"/>
      <c r="T246" s="56" t="str">
        <f t="shared" si="52"/>
        <v/>
      </c>
      <c r="U246" s="56" t="str">
        <f>+V246</f>
        <v/>
      </c>
      <c r="V246" s="56" t="str">
        <f>+T246</f>
        <v/>
      </c>
      <c r="W246" s="14"/>
      <c r="X246" s="14"/>
      <c r="Y246" s="14"/>
      <c r="Z246" s="14"/>
      <c r="AA246" s="18">
        <f>N246</f>
        <v>172</v>
      </c>
      <c r="AB246" s="14"/>
      <c r="AC246" s="14"/>
      <c r="AD246" s="14"/>
      <c r="AE246" s="14"/>
      <c r="AF246" s="16">
        <v>1</v>
      </c>
      <c r="AG246" s="16">
        <v>1</v>
      </c>
      <c r="AH246" s="16">
        <v>1</v>
      </c>
      <c r="AI246" s="16">
        <v>1</v>
      </c>
      <c r="AJ246" s="5">
        <v>1</v>
      </c>
      <c r="AK246" s="5">
        <v>0</v>
      </c>
      <c r="AL246" s="5">
        <v>0</v>
      </c>
      <c r="AM246" s="20">
        <v>1</v>
      </c>
      <c r="AN246" s="20">
        <v>-1</v>
      </c>
      <c r="AO246" s="16"/>
      <c r="AP246" s="16"/>
      <c r="AQ246" s="16"/>
      <c r="AR246" s="16">
        <v>1</v>
      </c>
      <c r="AS246" s="16">
        <v>1</v>
      </c>
      <c r="AT246" s="16"/>
      <c r="AU246" s="16"/>
      <c r="AV246" s="16"/>
      <c r="AW246" s="16"/>
      <c r="AX246" s="16">
        <v>0</v>
      </c>
      <c r="AY246" s="16">
        <v>0</v>
      </c>
      <c r="AZ246" s="16">
        <v>1</v>
      </c>
      <c r="BA246" s="16">
        <v>0</v>
      </c>
    </row>
    <row r="247" spans="1:53" x14ac:dyDescent="0.2">
      <c r="A247" s="19"/>
      <c r="B247" s="14" t="str">
        <f t="shared" si="59"/>
        <v>Tol 1999</v>
      </c>
      <c r="C247" s="61">
        <f t="shared" si="60"/>
        <v>28</v>
      </c>
      <c r="D247" s="58">
        <v>1999</v>
      </c>
      <c r="E247" s="17"/>
      <c r="F247" s="58">
        <v>1</v>
      </c>
      <c r="G247" s="16">
        <v>1995</v>
      </c>
      <c r="H247" s="15">
        <f>LOOKUP(G247,CPI!A$69:A$100,CPI!O$69:O$100)</f>
        <v>1.4308136482939633</v>
      </c>
      <c r="I247" s="52">
        <v>2000</v>
      </c>
      <c r="J247" s="15">
        <f>0.1*0.1</f>
        <v>1.0000000000000002E-2</v>
      </c>
      <c r="K247" s="15"/>
      <c r="L247" s="62"/>
      <c r="M247" s="56">
        <f t="shared" si="73"/>
        <v>165.39144638536027</v>
      </c>
      <c r="N247" s="14">
        <v>73</v>
      </c>
      <c r="O247" s="18">
        <f>N247</f>
        <v>73</v>
      </c>
      <c r="P247" s="16">
        <v>0</v>
      </c>
      <c r="Q247" s="16">
        <v>1</v>
      </c>
      <c r="R247" s="16">
        <v>0</v>
      </c>
      <c r="S247" s="14"/>
      <c r="T247" s="56" t="str">
        <f t="shared" si="52"/>
        <v/>
      </c>
      <c r="U247" s="56" t="str">
        <f>+V247</f>
        <v/>
      </c>
      <c r="V247" s="56" t="str">
        <f>+T247</f>
        <v/>
      </c>
      <c r="W247" s="14"/>
      <c r="X247" s="14"/>
      <c r="Y247" s="14"/>
      <c r="Z247" s="14"/>
      <c r="AA247" s="18">
        <f>N247</f>
        <v>73</v>
      </c>
      <c r="AB247" s="14"/>
      <c r="AC247" s="14"/>
      <c r="AD247" s="14"/>
      <c r="AE247" s="14"/>
      <c r="AF247" s="16">
        <v>1</v>
      </c>
      <c r="AG247" s="16">
        <v>1</v>
      </c>
      <c r="AH247" s="16">
        <v>1</v>
      </c>
      <c r="AI247" s="16">
        <v>1</v>
      </c>
      <c r="AJ247" s="5">
        <v>1</v>
      </c>
      <c r="AK247" s="5">
        <v>0</v>
      </c>
      <c r="AL247" s="5">
        <v>0</v>
      </c>
      <c r="AM247" s="20">
        <v>1</v>
      </c>
      <c r="AN247" s="20">
        <v>-1</v>
      </c>
      <c r="AO247" s="16"/>
      <c r="AP247" s="16"/>
      <c r="AQ247" s="16"/>
      <c r="AR247" s="16">
        <v>0</v>
      </c>
      <c r="AS247" s="16">
        <v>1</v>
      </c>
      <c r="AT247" s="16"/>
      <c r="AU247" s="16"/>
      <c r="AV247" s="16"/>
      <c r="AW247" s="16"/>
      <c r="AX247" s="16">
        <v>0</v>
      </c>
      <c r="AY247" s="16">
        <v>0</v>
      </c>
      <c r="AZ247" s="16">
        <v>1</v>
      </c>
      <c r="BA247" s="16">
        <v>0</v>
      </c>
    </row>
    <row r="248" spans="1:53" x14ac:dyDescent="0.2">
      <c r="A248" s="19"/>
      <c r="B248" s="14" t="str">
        <f t="shared" si="59"/>
        <v>Tol 1999</v>
      </c>
      <c r="C248" s="61">
        <f t="shared" si="60"/>
        <v>28</v>
      </c>
      <c r="D248" s="58">
        <v>1999</v>
      </c>
      <c r="E248" s="17"/>
      <c r="F248" s="58">
        <v>1</v>
      </c>
      <c r="G248" s="16">
        <v>1995</v>
      </c>
      <c r="H248" s="15">
        <f>LOOKUP(G248,CPI!A$69:A$100,CPI!O$69:O$100)</f>
        <v>1.4308136482939633</v>
      </c>
      <c r="I248" s="52">
        <v>2000</v>
      </c>
      <c r="J248" s="15">
        <f>0.1*0.1</f>
        <v>1.0000000000000002E-2</v>
      </c>
      <c r="K248" s="15"/>
      <c r="L248" s="62"/>
      <c r="M248" s="56">
        <f t="shared" si="73"/>
        <v>435.00216035601608</v>
      </c>
      <c r="N248" s="14">
        <v>192</v>
      </c>
      <c r="O248" s="18">
        <f>N248</f>
        <v>192</v>
      </c>
      <c r="P248" s="16">
        <v>0</v>
      </c>
      <c r="Q248" s="16">
        <v>1</v>
      </c>
      <c r="R248" s="16">
        <v>0</v>
      </c>
      <c r="S248" s="14"/>
      <c r="T248" s="56" t="str">
        <f t="shared" si="52"/>
        <v/>
      </c>
      <c r="U248" s="56" t="str">
        <f>+V248</f>
        <v/>
      </c>
      <c r="V248" s="56" t="str">
        <f>+T248</f>
        <v/>
      </c>
      <c r="W248" s="14"/>
      <c r="X248" s="14"/>
      <c r="Y248" s="14"/>
      <c r="Z248" s="14"/>
      <c r="AA248" s="18">
        <f>N248</f>
        <v>192</v>
      </c>
      <c r="AB248" s="14"/>
      <c r="AC248" s="14"/>
      <c r="AD248" s="14"/>
      <c r="AE248" s="14"/>
      <c r="AF248" s="16">
        <v>1</v>
      </c>
      <c r="AG248" s="16">
        <v>1</v>
      </c>
      <c r="AH248" s="16">
        <v>1</v>
      </c>
      <c r="AI248" s="16">
        <v>1</v>
      </c>
      <c r="AJ248" s="5">
        <v>1</v>
      </c>
      <c r="AK248" s="5">
        <v>0</v>
      </c>
      <c r="AL248" s="5">
        <v>0</v>
      </c>
      <c r="AM248" s="20">
        <v>1</v>
      </c>
      <c r="AN248" s="20">
        <v>-1</v>
      </c>
      <c r="AO248" s="16"/>
      <c r="AP248" s="16"/>
      <c r="AQ248" s="16"/>
      <c r="AR248" s="16">
        <v>1</v>
      </c>
      <c r="AS248" s="16">
        <v>1</v>
      </c>
      <c r="AT248" s="16"/>
      <c r="AU248" s="16"/>
      <c r="AV248" s="16"/>
      <c r="AW248" s="16"/>
      <c r="AX248" s="16">
        <v>0</v>
      </c>
      <c r="AY248" s="16">
        <v>0</v>
      </c>
      <c r="AZ248" s="16">
        <v>1</v>
      </c>
      <c r="BA248" s="16">
        <v>0</v>
      </c>
    </row>
    <row r="249" spans="1:53" x14ac:dyDescent="0.2">
      <c r="A249" s="19"/>
      <c r="B249" s="14" t="str">
        <f t="shared" si="59"/>
        <v>Tol 1999</v>
      </c>
      <c r="C249" s="61">
        <f t="shared" si="60"/>
        <v>28</v>
      </c>
      <c r="D249" s="58">
        <v>1999</v>
      </c>
      <c r="E249" s="17"/>
      <c r="F249" s="58">
        <v>1</v>
      </c>
      <c r="G249" s="16">
        <v>1995</v>
      </c>
      <c r="H249" s="15">
        <f>LOOKUP(G249,CPI!A$69:A$100,CPI!O$69:O$100)</f>
        <v>1.4308136482939633</v>
      </c>
      <c r="I249" s="52">
        <v>2000</v>
      </c>
      <c r="J249" s="15">
        <f>0.1*0.1</f>
        <v>1.0000000000000002E-2</v>
      </c>
      <c r="K249" s="15"/>
      <c r="L249" s="62"/>
      <c r="M249" s="56">
        <f t="shared" si="73"/>
        <v>423.6739790967448</v>
      </c>
      <c r="N249" s="14">
        <v>187</v>
      </c>
      <c r="O249" s="18">
        <f>N249</f>
        <v>187</v>
      </c>
      <c r="P249" s="16">
        <v>0</v>
      </c>
      <c r="Q249" s="16">
        <v>1</v>
      </c>
      <c r="R249" s="16">
        <v>0</v>
      </c>
      <c r="S249" s="14"/>
      <c r="T249" s="56" t="str">
        <f t="shared" si="52"/>
        <v/>
      </c>
      <c r="U249" s="56" t="str">
        <f>+V249</f>
        <v/>
      </c>
      <c r="V249" s="56" t="str">
        <f>+T249</f>
        <v/>
      </c>
      <c r="W249" s="14"/>
      <c r="X249" s="14"/>
      <c r="Y249" s="14"/>
      <c r="Z249" s="14"/>
      <c r="AA249" s="18">
        <f>N249</f>
        <v>187</v>
      </c>
      <c r="AB249" s="14"/>
      <c r="AC249" s="14"/>
      <c r="AD249" s="14"/>
      <c r="AE249" s="14"/>
      <c r="AF249" s="16">
        <v>1</v>
      </c>
      <c r="AG249" s="16">
        <v>1</v>
      </c>
      <c r="AH249" s="16">
        <v>1</v>
      </c>
      <c r="AI249" s="16">
        <v>1</v>
      </c>
      <c r="AJ249" s="5">
        <v>1</v>
      </c>
      <c r="AK249" s="5">
        <v>0</v>
      </c>
      <c r="AL249" s="5">
        <v>0</v>
      </c>
      <c r="AM249" s="20">
        <v>1</v>
      </c>
      <c r="AN249" s="20">
        <v>-1</v>
      </c>
      <c r="AO249" s="16"/>
      <c r="AP249" s="16"/>
      <c r="AQ249" s="16"/>
      <c r="AR249" s="16">
        <v>1</v>
      </c>
      <c r="AS249" s="16">
        <v>1</v>
      </c>
      <c r="AT249" s="16"/>
      <c r="AU249" s="16"/>
      <c r="AV249" s="16"/>
      <c r="AW249" s="16"/>
      <c r="AX249" s="16">
        <v>0</v>
      </c>
      <c r="AY249" s="16">
        <v>0</v>
      </c>
      <c r="AZ249" s="16">
        <v>1</v>
      </c>
      <c r="BA249" s="16">
        <v>0</v>
      </c>
    </row>
    <row r="250" spans="1:53" x14ac:dyDescent="0.2">
      <c r="A250" s="19"/>
      <c r="B250" s="14" t="str">
        <f t="shared" si="59"/>
        <v>Tol 1999</v>
      </c>
      <c r="C250" s="61">
        <f t="shared" si="60"/>
        <v>28</v>
      </c>
      <c r="D250" s="58">
        <v>1999</v>
      </c>
      <c r="E250" s="17"/>
      <c r="F250" s="58">
        <v>1</v>
      </c>
      <c r="G250" s="16">
        <v>1995</v>
      </c>
      <c r="H250" s="15">
        <f>LOOKUP(G250,CPI!A$69:A$100,CPI!O$69:O$100)</f>
        <v>1.4308136482939633</v>
      </c>
      <c r="I250" s="52">
        <v>2000</v>
      </c>
      <c r="J250" s="15">
        <f>0.1*0.1</f>
        <v>1.0000000000000002E-2</v>
      </c>
      <c r="K250" s="15"/>
      <c r="L250" s="62"/>
      <c r="M250" s="56">
        <f t="shared" si="73"/>
        <v>353.43925528926303</v>
      </c>
      <c r="N250" s="14">
        <v>156</v>
      </c>
      <c r="O250" s="18">
        <f>N250</f>
        <v>156</v>
      </c>
      <c r="P250" s="16">
        <v>0</v>
      </c>
      <c r="Q250" s="16">
        <v>1</v>
      </c>
      <c r="R250" s="16">
        <v>0</v>
      </c>
      <c r="S250" s="14"/>
      <c r="T250" s="56" t="str">
        <f t="shared" si="52"/>
        <v/>
      </c>
      <c r="U250" s="56" t="str">
        <f>+V250</f>
        <v/>
      </c>
      <c r="V250" s="56" t="str">
        <f>+T250</f>
        <v/>
      </c>
      <c r="W250" s="14"/>
      <c r="X250" s="14"/>
      <c r="Y250" s="14"/>
      <c r="Z250" s="14"/>
      <c r="AA250" s="18">
        <f>N250</f>
        <v>156</v>
      </c>
      <c r="AB250" s="14"/>
      <c r="AC250" s="14"/>
      <c r="AD250" s="14"/>
      <c r="AE250" s="14"/>
      <c r="AF250" s="16">
        <v>1</v>
      </c>
      <c r="AG250" s="16">
        <v>1</v>
      </c>
      <c r="AH250" s="16">
        <v>1</v>
      </c>
      <c r="AI250" s="16">
        <v>1</v>
      </c>
      <c r="AJ250" s="5">
        <v>1</v>
      </c>
      <c r="AK250" s="5">
        <v>0</v>
      </c>
      <c r="AL250" s="5">
        <v>0</v>
      </c>
      <c r="AM250" s="20">
        <v>1</v>
      </c>
      <c r="AN250" s="20">
        <v>-1</v>
      </c>
      <c r="AO250" s="16"/>
      <c r="AP250" s="16"/>
      <c r="AQ250" s="16"/>
      <c r="AR250" s="16">
        <v>1</v>
      </c>
      <c r="AS250" s="16">
        <v>1</v>
      </c>
      <c r="AT250" s="16"/>
      <c r="AU250" s="16"/>
      <c r="AV250" s="16"/>
      <c r="AW250" s="16"/>
      <c r="AX250" s="16">
        <v>0</v>
      </c>
      <c r="AY250" s="16">
        <v>0</v>
      </c>
      <c r="AZ250" s="16">
        <v>1</v>
      </c>
      <c r="BA250" s="16">
        <v>0</v>
      </c>
    </row>
    <row r="251" spans="1:53" x14ac:dyDescent="0.2">
      <c r="A251" s="25"/>
      <c r="B251" s="14" t="str">
        <f t="shared" si="59"/>
        <v>Tol 1999</v>
      </c>
      <c r="C251" s="61">
        <f t="shared" si="60"/>
        <v>28</v>
      </c>
      <c r="D251" s="58">
        <v>1999</v>
      </c>
      <c r="E251" s="17"/>
      <c r="F251" s="58">
        <v>1</v>
      </c>
      <c r="G251" s="16">
        <v>1995</v>
      </c>
      <c r="H251" s="15">
        <f>LOOKUP(G251,CPI!A$69:A$100,CPI!O$69:O$100)</f>
        <v>1.4308136482939633</v>
      </c>
      <c r="I251" s="52">
        <v>2000</v>
      </c>
      <c r="J251" s="15">
        <f>0.5*0.2</f>
        <v>0.1</v>
      </c>
      <c r="K251" s="15"/>
      <c r="L251" s="62"/>
      <c r="M251" s="56">
        <f t="shared" si="73"/>
        <v>65.703451303773264</v>
      </c>
      <c r="N251" s="14">
        <v>26</v>
      </c>
      <c r="O251" s="14">
        <v>35</v>
      </c>
      <c r="P251" s="16">
        <v>0</v>
      </c>
      <c r="Q251" s="16">
        <v>0</v>
      </c>
      <c r="R251" s="16">
        <v>1</v>
      </c>
      <c r="S251" s="14">
        <v>22</v>
      </c>
      <c r="T251" s="56">
        <f t="shared" si="52"/>
        <v>49.843997540793502</v>
      </c>
      <c r="U251" s="56">
        <f>+(AA251-X251)/1.96*H251*(1+$L$2)^(2015-I251)</f>
        <v>20.806863537436996</v>
      </c>
      <c r="V251" s="56">
        <f>+(AD251-AA251)/1.96*H251*(1+$L$2)^(2015-I251)</f>
        <v>55.484969433165311</v>
      </c>
      <c r="W251" s="14">
        <v>7</v>
      </c>
      <c r="X251" s="14">
        <v>11</v>
      </c>
      <c r="Y251" s="14"/>
      <c r="Z251" s="14"/>
      <c r="AA251" s="14">
        <v>29</v>
      </c>
      <c r="AB251" s="14"/>
      <c r="AC251" s="14"/>
      <c r="AD251" s="14">
        <v>77</v>
      </c>
      <c r="AE251" s="14">
        <v>114</v>
      </c>
      <c r="AF251" s="16">
        <v>1</v>
      </c>
      <c r="AG251" s="16">
        <v>1</v>
      </c>
      <c r="AH251" s="16">
        <v>1</v>
      </c>
      <c r="AI251" s="16">
        <v>1</v>
      </c>
      <c r="AJ251" s="5">
        <v>1</v>
      </c>
      <c r="AK251" s="5">
        <v>0</v>
      </c>
      <c r="AL251" s="5">
        <v>0</v>
      </c>
      <c r="AM251" s="20">
        <v>5</v>
      </c>
      <c r="AN251" s="20">
        <v>3</v>
      </c>
      <c r="AO251" s="16"/>
      <c r="AP251" s="16"/>
      <c r="AQ251" s="16"/>
      <c r="AR251" s="16">
        <v>1</v>
      </c>
      <c r="AS251" s="16">
        <v>0</v>
      </c>
      <c r="AT251" s="16"/>
      <c r="AU251" s="16"/>
      <c r="AV251" s="16"/>
      <c r="AW251" s="16"/>
      <c r="AX251" s="16">
        <v>0</v>
      </c>
      <c r="AY251" s="16">
        <v>0</v>
      </c>
      <c r="AZ251" s="16">
        <v>1</v>
      </c>
      <c r="BA251" s="16">
        <v>0</v>
      </c>
    </row>
    <row r="252" spans="1:53" x14ac:dyDescent="0.2">
      <c r="A252" s="19"/>
      <c r="B252" s="14" t="str">
        <f t="shared" si="59"/>
        <v>Tol 1999</v>
      </c>
      <c r="C252" s="61">
        <f t="shared" si="60"/>
        <v>28</v>
      </c>
      <c r="D252" s="58">
        <v>1999</v>
      </c>
      <c r="E252" s="17"/>
      <c r="F252" s="58">
        <v>1</v>
      </c>
      <c r="G252" s="16">
        <v>1995</v>
      </c>
      <c r="H252" s="15">
        <f>LOOKUP(G252,CPI!A$69:A$100,CPI!O$69:O$100)</f>
        <v>1.4308136482939633</v>
      </c>
      <c r="I252" s="52">
        <v>2000</v>
      </c>
      <c r="J252" s="15">
        <f>0.1*0.2</f>
        <v>2.0000000000000004E-2</v>
      </c>
      <c r="K252" s="15"/>
      <c r="L252" s="62"/>
      <c r="M252" s="56">
        <f t="shared" si="73"/>
        <v>58.90654254821051</v>
      </c>
      <c r="N252" s="14">
        <v>26</v>
      </c>
      <c r="O252" s="18">
        <f>N252</f>
        <v>26</v>
      </c>
      <c r="P252" s="16">
        <v>0</v>
      </c>
      <c r="Q252" s="16">
        <v>1</v>
      </c>
      <c r="R252" s="16">
        <v>0</v>
      </c>
      <c r="S252" s="14"/>
      <c r="T252" s="56" t="str">
        <f t="shared" si="52"/>
        <v/>
      </c>
      <c r="U252" s="56" t="str">
        <f>+V252</f>
        <v/>
      </c>
      <c r="V252" s="56" t="str">
        <f>+T252</f>
        <v/>
      </c>
      <c r="W252" s="14"/>
      <c r="X252" s="14"/>
      <c r="Y252" s="14"/>
      <c r="Z252" s="14"/>
      <c r="AA252" s="18">
        <f>N252</f>
        <v>26</v>
      </c>
      <c r="AB252" s="14"/>
      <c r="AC252" s="14"/>
      <c r="AD252" s="14"/>
      <c r="AE252" s="14"/>
      <c r="AF252" s="16">
        <v>1</v>
      </c>
      <c r="AG252" s="16">
        <v>1</v>
      </c>
      <c r="AH252" s="16">
        <v>1</v>
      </c>
      <c r="AI252" s="16">
        <v>1</v>
      </c>
      <c r="AJ252" s="5">
        <v>1</v>
      </c>
      <c r="AK252" s="5">
        <v>0</v>
      </c>
      <c r="AL252" s="5">
        <v>0</v>
      </c>
      <c r="AM252" s="20">
        <v>5</v>
      </c>
      <c r="AN252" s="20">
        <v>3</v>
      </c>
      <c r="AO252" s="16"/>
      <c r="AP252" s="16"/>
      <c r="AQ252" s="16"/>
      <c r="AR252" s="16">
        <v>1</v>
      </c>
      <c r="AS252" s="16">
        <v>1</v>
      </c>
      <c r="AT252" s="16"/>
      <c r="AU252" s="16"/>
      <c r="AV252" s="16"/>
      <c r="AW252" s="16"/>
      <c r="AX252" s="16">
        <v>0</v>
      </c>
      <c r="AY252" s="16">
        <v>0</v>
      </c>
      <c r="AZ252" s="16">
        <v>1</v>
      </c>
      <c r="BA252" s="16">
        <v>0</v>
      </c>
    </row>
    <row r="253" spans="1:53" x14ac:dyDescent="0.2">
      <c r="A253" s="19"/>
      <c r="B253" s="14" t="str">
        <f t="shared" si="59"/>
        <v>Tol 1999</v>
      </c>
      <c r="C253" s="61">
        <f t="shared" si="60"/>
        <v>28</v>
      </c>
      <c r="D253" s="58">
        <v>1999</v>
      </c>
      <c r="E253" s="17"/>
      <c r="F253" s="58">
        <v>1</v>
      </c>
      <c r="G253" s="16">
        <v>1995</v>
      </c>
      <c r="H253" s="15">
        <f>LOOKUP(G253,CPI!A$69:A$100,CPI!O$69:O$100)</f>
        <v>1.4308136482939633</v>
      </c>
      <c r="I253" s="52">
        <v>2000</v>
      </c>
      <c r="J253" s="15">
        <f>0.1*0.2</f>
        <v>2.0000000000000004E-2</v>
      </c>
      <c r="K253" s="15"/>
      <c r="L253" s="62"/>
      <c r="M253" s="56">
        <f t="shared" si="73"/>
        <v>20.390726266688251</v>
      </c>
      <c r="N253" s="14">
        <v>9</v>
      </c>
      <c r="O253" s="18">
        <f>N253</f>
        <v>9</v>
      </c>
      <c r="P253" s="16">
        <v>0</v>
      </c>
      <c r="Q253" s="16">
        <v>1</v>
      </c>
      <c r="R253" s="16">
        <v>0</v>
      </c>
      <c r="S253" s="14"/>
      <c r="T253" s="56" t="str">
        <f t="shared" si="52"/>
        <v/>
      </c>
      <c r="U253" s="56" t="str">
        <f>+V253</f>
        <v/>
      </c>
      <c r="V253" s="56" t="str">
        <f>+T253</f>
        <v/>
      </c>
      <c r="W253" s="14"/>
      <c r="X253" s="14"/>
      <c r="Y253" s="14"/>
      <c r="Z253" s="14"/>
      <c r="AA253" s="18">
        <f>N253</f>
        <v>9</v>
      </c>
      <c r="AB253" s="14"/>
      <c r="AC253" s="14"/>
      <c r="AD253" s="14"/>
      <c r="AE253" s="14"/>
      <c r="AF253" s="16">
        <v>1</v>
      </c>
      <c r="AG253" s="16">
        <v>1</v>
      </c>
      <c r="AH253" s="16">
        <v>1</v>
      </c>
      <c r="AI253" s="16">
        <v>1</v>
      </c>
      <c r="AJ253" s="5">
        <v>1</v>
      </c>
      <c r="AK253" s="5">
        <v>0</v>
      </c>
      <c r="AL253" s="5">
        <v>0</v>
      </c>
      <c r="AM253" s="20">
        <v>5</v>
      </c>
      <c r="AN253" s="20">
        <v>3</v>
      </c>
      <c r="AO253" s="16"/>
      <c r="AP253" s="16"/>
      <c r="AQ253" s="16"/>
      <c r="AR253" s="16">
        <v>0</v>
      </c>
      <c r="AS253" s="16">
        <v>1</v>
      </c>
      <c r="AT253" s="16"/>
      <c r="AU253" s="16"/>
      <c r="AV253" s="16"/>
      <c r="AW253" s="16"/>
      <c r="AX253" s="16">
        <v>0</v>
      </c>
      <c r="AY253" s="16">
        <v>0</v>
      </c>
      <c r="AZ253" s="16">
        <v>1</v>
      </c>
      <c r="BA253" s="16">
        <v>0</v>
      </c>
    </row>
    <row r="254" spans="1:53" x14ac:dyDescent="0.2">
      <c r="A254" s="19"/>
      <c r="B254" s="14" t="str">
        <f t="shared" si="59"/>
        <v>Tol 1999</v>
      </c>
      <c r="C254" s="61">
        <f t="shared" si="60"/>
        <v>28</v>
      </c>
      <c r="D254" s="58">
        <v>1999</v>
      </c>
      <c r="E254" s="17"/>
      <c r="F254" s="58">
        <v>1</v>
      </c>
      <c r="G254" s="16">
        <v>1995</v>
      </c>
      <c r="H254" s="15">
        <f>LOOKUP(G254,CPI!A$69:A$100,CPI!O$69:O$100)</f>
        <v>1.4308136482939633</v>
      </c>
      <c r="I254" s="52">
        <v>2000</v>
      </c>
      <c r="J254" s="15">
        <f>0.1*0.2</f>
        <v>2.0000000000000004E-2</v>
      </c>
      <c r="K254" s="15"/>
      <c r="L254" s="62"/>
      <c r="M254" s="56">
        <f t="shared" si="73"/>
        <v>63.43781505191901</v>
      </c>
      <c r="N254" s="14">
        <v>28</v>
      </c>
      <c r="O254" s="18">
        <f>N254</f>
        <v>28</v>
      </c>
      <c r="P254" s="16">
        <v>0</v>
      </c>
      <c r="Q254" s="16">
        <v>1</v>
      </c>
      <c r="R254" s="16">
        <v>0</v>
      </c>
      <c r="S254" s="14"/>
      <c r="T254" s="56" t="str">
        <f t="shared" si="52"/>
        <v/>
      </c>
      <c r="U254" s="56" t="str">
        <f>+V254</f>
        <v/>
      </c>
      <c r="V254" s="56" t="str">
        <f>+T254</f>
        <v/>
      </c>
      <c r="W254" s="14"/>
      <c r="X254" s="14"/>
      <c r="Y254" s="14"/>
      <c r="Z254" s="14"/>
      <c r="AA254" s="18">
        <f>N254</f>
        <v>28</v>
      </c>
      <c r="AB254" s="14"/>
      <c r="AC254" s="14"/>
      <c r="AD254" s="14"/>
      <c r="AE254" s="14"/>
      <c r="AF254" s="16">
        <v>1</v>
      </c>
      <c r="AG254" s="16">
        <v>1</v>
      </c>
      <c r="AH254" s="16">
        <v>1</v>
      </c>
      <c r="AI254" s="16">
        <v>1</v>
      </c>
      <c r="AJ254" s="5">
        <v>1</v>
      </c>
      <c r="AK254" s="5">
        <v>0</v>
      </c>
      <c r="AL254" s="5">
        <v>0</v>
      </c>
      <c r="AM254" s="20">
        <v>5</v>
      </c>
      <c r="AN254" s="20">
        <v>3</v>
      </c>
      <c r="AO254" s="16"/>
      <c r="AP254" s="16"/>
      <c r="AQ254" s="16"/>
      <c r="AR254" s="16">
        <v>1</v>
      </c>
      <c r="AS254" s="16">
        <v>1</v>
      </c>
      <c r="AT254" s="16"/>
      <c r="AU254" s="16"/>
      <c r="AV254" s="16"/>
      <c r="AW254" s="16"/>
      <c r="AX254" s="16">
        <v>0</v>
      </c>
      <c r="AY254" s="16">
        <v>0</v>
      </c>
      <c r="AZ254" s="16">
        <v>1</v>
      </c>
      <c r="BA254" s="16">
        <v>0</v>
      </c>
    </row>
    <row r="255" spans="1:53" x14ac:dyDescent="0.2">
      <c r="A255" s="19"/>
      <c r="B255" s="14" t="str">
        <f t="shared" si="59"/>
        <v>Tol 1999</v>
      </c>
      <c r="C255" s="61">
        <f t="shared" si="60"/>
        <v>28</v>
      </c>
      <c r="D255" s="58">
        <v>1999</v>
      </c>
      <c r="E255" s="17"/>
      <c r="F255" s="58">
        <v>1</v>
      </c>
      <c r="G255" s="16">
        <v>1995</v>
      </c>
      <c r="H255" s="15">
        <f>LOOKUP(G255,CPI!A$69:A$100,CPI!O$69:O$100)</f>
        <v>1.4308136482939633</v>
      </c>
      <c r="I255" s="52">
        <v>2000</v>
      </c>
      <c r="J255" s="15">
        <f>0.1*0.2</f>
        <v>2.0000000000000004E-2</v>
      </c>
      <c r="K255" s="15"/>
      <c r="L255" s="62"/>
      <c r="M255" s="56">
        <f t="shared" si="73"/>
        <v>63.43781505191901</v>
      </c>
      <c r="N255" s="14">
        <v>28</v>
      </c>
      <c r="O255" s="18">
        <f>N255</f>
        <v>28</v>
      </c>
      <c r="P255" s="16">
        <v>0</v>
      </c>
      <c r="Q255" s="16">
        <v>1</v>
      </c>
      <c r="R255" s="16">
        <v>0</v>
      </c>
      <c r="S255" s="14"/>
      <c r="T255" s="56" t="str">
        <f t="shared" si="52"/>
        <v/>
      </c>
      <c r="U255" s="56" t="str">
        <f>+V255</f>
        <v/>
      </c>
      <c r="V255" s="56" t="str">
        <f>+T255</f>
        <v/>
      </c>
      <c r="W255" s="14"/>
      <c r="X255" s="14"/>
      <c r="Y255" s="14"/>
      <c r="Z255" s="14"/>
      <c r="AA255" s="18">
        <f>N255</f>
        <v>28</v>
      </c>
      <c r="AB255" s="14"/>
      <c r="AC255" s="14"/>
      <c r="AD255" s="14"/>
      <c r="AE255" s="14"/>
      <c r="AF255" s="16">
        <v>1</v>
      </c>
      <c r="AG255" s="16">
        <v>1</v>
      </c>
      <c r="AH255" s="16">
        <v>1</v>
      </c>
      <c r="AI255" s="16">
        <v>1</v>
      </c>
      <c r="AJ255" s="5">
        <v>1</v>
      </c>
      <c r="AK255" s="5">
        <v>0</v>
      </c>
      <c r="AL255" s="5">
        <v>0</v>
      </c>
      <c r="AM255" s="20">
        <v>5</v>
      </c>
      <c r="AN255" s="20">
        <v>3</v>
      </c>
      <c r="AO255" s="16"/>
      <c r="AP255" s="16"/>
      <c r="AQ255" s="16"/>
      <c r="AR255" s="16">
        <v>1</v>
      </c>
      <c r="AS255" s="16">
        <v>1</v>
      </c>
      <c r="AT255" s="16"/>
      <c r="AU255" s="16"/>
      <c r="AV255" s="16"/>
      <c r="AW255" s="16"/>
      <c r="AX255" s="16">
        <v>0</v>
      </c>
      <c r="AY255" s="16">
        <v>0</v>
      </c>
      <c r="AZ255" s="16">
        <v>1</v>
      </c>
      <c r="BA255" s="16">
        <v>0</v>
      </c>
    </row>
    <row r="256" spans="1:53" x14ac:dyDescent="0.2">
      <c r="A256" s="19"/>
      <c r="B256" s="14" t="str">
        <f t="shared" si="59"/>
        <v>Tol 1999</v>
      </c>
      <c r="C256" s="61">
        <f t="shared" si="60"/>
        <v>28</v>
      </c>
      <c r="D256" s="58">
        <v>1999</v>
      </c>
      <c r="E256" s="17"/>
      <c r="F256" s="58">
        <v>1</v>
      </c>
      <c r="G256" s="16">
        <v>1995</v>
      </c>
      <c r="H256" s="15">
        <f>LOOKUP(G256,CPI!A$69:A$100,CPI!O$69:O$100)</f>
        <v>1.4308136482939633</v>
      </c>
      <c r="I256" s="52">
        <v>2000</v>
      </c>
      <c r="J256" s="15">
        <f>0.1*0.2</f>
        <v>2.0000000000000004E-2</v>
      </c>
      <c r="K256" s="15"/>
      <c r="L256" s="62"/>
      <c r="M256" s="56">
        <f t="shared" si="73"/>
        <v>56.640906296356263</v>
      </c>
      <c r="N256" s="14">
        <v>25</v>
      </c>
      <c r="O256" s="18">
        <f>N256</f>
        <v>25</v>
      </c>
      <c r="P256" s="16">
        <v>0</v>
      </c>
      <c r="Q256" s="16">
        <v>1</v>
      </c>
      <c r="R256" s="16">
        <v>0</v>
      </c>
      <c r="S256" s="14"/>
      <c r="T256" s="56" t="str">
        <f t="shared" si="52"/>
        <v/>
      </c>
      <c r="U256" s="56" t="str">
        <f>+V256</f>
        <v/>
      </c>
      <c r="V256" s="56" t="str">
        <f>+T256</f>
        <v/>
      </c>
      <c r="W256" s="14"/>
      <c r="X256" s="14"/>
      <c r="Y256" s="14"/>
      <c r="Z256" s="14"/>
      <c r="AA256" s="18">
        <f>N256</f>
        <v>25</v>
      </c>
      <c r="AB256" s="14"/>
      <c r="AC256" s="14"/>
      <c r="AD256" s="14"/>
      <c r="AE256" s="14"/>
      <c r="AF256" s="16">
        <v>1</v>
      </c>
      <c r="AG256" s="16">
        <v>1</v>
      </c>
      <c r="AH256" s="16">
        <v>1</v>
      </c>
      <c r="AI256" s="16">
        <v>1</v>
      </c>
      <c r="AJ256" s="5">
        <v>1</v>
      </c>
      <c r="AK256" s="5">
        <v>0</v>
      </c>
      <c r="AL256" s="5">
        <v>0</v>
      </c>
      <c r="AM256" s="20">
        <v>5</v>
      </c>
      <c r="AN256" s="20">
        <v>3</v>
      </c>
      <c r="AO256" s="16"/>
      <c r="AP256" s="16"/>
      <c r="AQ256" s="16"/>
      <c r="AR256" s="16">
        <v>1</v>
      </c>
      <c r="AS256" s="16">
        <v>1</v>
      </c>
      <c r="AT256" s="16"/>
      <c r="AU256" s="16"/>
      <c r="AV256" s="16"/>
      <c r="AW256" s="16"/>
      <c r="AX256" s="16">
        <v>0</v>
      </c>
      <c r="AY256" s="16">
        <v>0</v>
      </c>
      <c r="AZ256" s="16">
        <v>1</v>
      </c>
      <c r="BA256" s="16">
        <v>0</v>
      </c>
    </row>
    <row r="257" spans="1:53" x14ac:dyDescent="0.2">
      <c r="A257" s="25"/>
      <c r="B257" s="14" t="str">
        <f t="shared" si="59"/>
        <v>Tol 1999</v>
      </c>
      <c r="C257" s="61">
        <f t="shared" si="60"/>
        <v>28</v>
      </c>
      <c r="D257" s="58">
        <v>1999</v>
      </c>
      <c r="E257" s="17"/>
      <c r="F257" s="58">
        <v>1</v>
      </c>
      <c r="G257" s="16">
        <v>1995</v>
      </c>
      <c r="H257" s="15">
        <f>LOOKUP(G257,CPI!A$69:A$100,CPI!O$69:O$100)</f>
        <v>1.4308136482939633</v>
      </c>
      <c r="I257" s="52">
        <v>2000</v>
      </c>
      <c r="J257" s="15">
        <f>0.5*0.1</f>
        <v>0.05</v>
      </c>
      <c r="K257" s="15"/>
      <c r="L257" s="62"/>
      <c r="M257" s="56">
        <f t="shared" si="73"/>
        <v>13.593817511125502</v>
      </c>
      <c r="N257" s="14">
        <v>6</v>
      </c>
      <c r="O257" s="14">
        <v>7</v>
      </c>
      <c r="P257" s="16">
        <v>0</v>
      </c>
      <c r="Q257" s="16">
        <v>0</v>
      </c>
      <c r="R257" s="16">
        <v>1</v>
      </c>
      <c r="S257" s="14">
        <v>5</v>
      </c>
      <c r="T257" s="56">
        <f t="shared" si="52"/>
        <v>11.328181259271251</v>
      </c>
      <c r="U257" s="56">
        <f>+(AA257-X257)/1.96*H257*(1+$L$2)^(2015-I257)</f>
        <v>4.6237474527637756</v>
      </c>
      <c r="V257" s="56">
        <f>+(AD257-AA257)/1.96*H257*(1+$L$2)^(2015-I257)</f>
        <v>12.715305495100385</v>
      </c>
      <c r="W257" s="14">
        <v>1</v>
      </c>
      <c r="X257" s="14">
        <v>2</v>
      </c>
      <c r="Y257" s="14"/>
      <c r="Z257" s="14"/>
      <c r="AA257" s="14">
        <v>6</v>
      </c>
      <c r="AB257" s="14"/>
      <c r="AC257" s="14"/>
      <c r="AD257" s="14">
        <v>17</v>
      </c>
      <c r="AE257" s="14">
        <v>26</v>
      </c>
      <c r="AF257" s="16">
        <v>1</v>
      </c>
      <c r="AG257" s="16">
        <v>1</v>
      </c>
      <c r="AH257" s="16">
        <v>1</v>
      </c>
      <c r="AI257" s="16">
        <v>1</v>
      </c>
      <c r="AJ257" s="5">
        <v>1</v>
      </c>
      <c r="AK257" s="5">
        <v>0</v>
      </c>
      <c r="AL257" s="5">
        <v>0</v>
      </c>
      <c r="AM257" s="20">
        <v>10</v>
      </c>
      <c r="AN257" s="20">
        <v>8</v>
      </c>
      <c r="AO257" s="16"/>
      <c r="AP257" s="16"/>
      <c r="AQ257" s="16"/>
      <c r="AR257" s="16">
        <v>1</v>
      </c>
      <c r="AS257" s="16">
        <v>0</v>
      </c>
      <c r="AT257" s="16"/>
      <c r="AU257" s="16"/>
      <c r="AV257" s="16"/>
      <c r="AW257" s="16"/>
      <c r="AX257" s="16">
        <v>0</v>
      </c>
      <c r="AY257" s="16">
        <v>0</v>
      </c>
      <c r="AZ257" s="16">
        <v>1</v>
      </c>
      <c r="BA257" s="16">
        <v>0</v>
      </c>
    </row>
    <row r="258" spans="1:53" x14ac:dyDescent="0.2">
      <c r="A258" s="19"/>
      <c r="B258" s="14" t="str">
        <f t="shared" si="59"/>
        <v>Tol 1999</v>
      </c>
      <c r="C258" s="61">
        <f t="shared" si="60"/>
        <v>28</v>
      </c>
      <c r="D258" s="58">
        <v>1999</v>
      </c>
      <c r="E258" s="17"/>
      <c r="F258" s="58">
        <v>1</v>
      </c>
      <c r="G258" s="16">
        <v>1995</v>
      </c>
      <c r="H258" s="15">
        <f>LOOKUP(G258,CPI!A$69:A$100,CPI!O$69:O$100)</f>
        <v>1.4308136482939633</v>
      </c>
      <c r="I258" s="52">
        <v>2000</v>
      </c>
      <c r="J258" s="15">
        <f>0.1*0.1</f>
        <v>1.0000000000000002E-2</v>
      </c>
      <c r="K258" s="15"/>
      <c r="L258" s="62"/>
      <c r="M258" s="56">
        <f t="shared" si="73"/>
        <v>13.593817511125502</v>
      </c>
      <c r="N258" s="14">
        <v>6</v>
      </c>
      <c r="O258" s="18">
        <f>N258</f>
        <v>6</v>
      </c>
      <c r="P258" s="16">
        <v>0</v>
      </c>
      <c r="Q258" s="16">
        <v>1</v>
      </c>
      <c r="R258" s="16">
        <v>0</v>
      </c>
      <c r="S258" s="14"/>
      <c r="T258" s="56" t="str">
        <f t="shared" si="52"/>
        <v/>
      </c>
      <c r="U258" s="56" t="str">
        <f>+V258</f>
        <v/>
      </c>
      <c r="V258" s="56" t="str">
        <f>+T258</f>
        <v/>
      </c>
      <c r="W258" s="14"/>
      <c r="X258" s="14"/>
      <c r="Y258" s="14"/>
      <c r="Z258" s="14"/>
      <c r="AA258" s="18">
        <f>N258</f>
        <v>6</v>
      </c>
      <c r="AB258" s="14"/>
      <c r="AC258" s="14"/>
      <c r="AD258" s="14"/>
      <c r="AE258" s="14"/>
      <c r="AF258" s="16">
        <v>1</v>
      </c>
      <c r="AG258" s="16">
        <v>1</v>
      </c>
      <c r="AH258" s="16">
        <v>1</v>
      </c>
      <c r="AI258" s="16">
        <v>1</v>
      </c>
      <c r="AJ258" s="5">
        <v>1</v>
      </c>
      <c r="AK258" s="5">
        <v>0</v>
      </c>
      <c r="AL258" s="5">
        <v>0</v>
      </c>
      <c r="AM258" s="20">
        <v>10</v>
      </c>
      <c r="AN258" s="20">
        <v>8</v>
      </c>
      <c r="AO258" s="16"/>
      <c r="AP258" s="16"/>
      <c r="AQ258" s="16"/>
      <c r="AR258" s="16">
        <v>1</v>
      </c>
      <c r="AS258" s="16">
        <v>1</v>
      </c>
      <c r="AT258" s="16"/>
      <c r="AU258" s="16"/>
      <c r="AV258" s="16"/>
      <c r="AW258" s="16"/>
      <c r="AX258" s="16">
        <v>0</v>
      </c>
      <c r="AY258" s="16">
        <v>0</v>
      </c>
      <c r="AZ258" s="16">
        <v>1</v>
      </c>
      <c r="BA258" s="16">
        <v>0</v>
      </c>
    </row>
    <row r="259" spans="1:53" x14ac:dyDescent="0.2">
      <c r="A259" s="19"/>
      <c r="B259" s="14" t="str">
        <f t="shared" si="59"/>
        <v>Tol 1999</v>
      </c>
      <c r="C259" s="61">
        <f t="shared" si="60"/>
        <v>28</v>
      </c>
      <c r="D259" s="58">
        <v>1999</v>
      </c>
      <c r="E259" s="17"/>
      <c r="F259" s="58">
        <v>1</v>
      </c>
      <c r="G259" s="16">
        <v>1995</v>
      </c>
      <c r="H259" s="15">
        <f>LOOKUP(G259,CPI!A$69:A$100,CPI!O$69:O$100)</f>
        <v>1.4308136482939633</v>
      </c>
      <c r="I259" s="52">
        <v>2000</v>
      </c>
      <c r="J259" s="15">
        <f>0.1*0.1</f>
        <v>1.0000000000000002E-2</v>
      </c>
      <c r="K259" s="15"/>
      <c r="L259" s="62"/>
      <c r="M259" s="56">
        <f t="shared" si="73"/>
        <v>4.5312725037085002</v>
      </c>
      <c r="N259" s="14">
        <v>2</v>
      </c>
      <c r="O259" s="18">
        <f>N259</f>
        <v>2</v>
      </c>
      <c r="P259" s="16">
        <v>0</v>
      </c>
      <c r="Q259" s="16">
        <v>1</v>
      </c>
      <c r="R259" s="16">
        <v>0</v>
      </c>
      <c r="S259" s="14"/>
      <c r="T259" s="56" t="str">
        <f t="shared" si="52"/>
        <v/>
      </c>
      <c r="U259" s="56" t="str">
        <f>+V259</f>
        <v/>
      </c>
      <c r="V259" s="56" t="str">
        <f>+T259</f>
        <v/>
      </c>
      <c r="W259" s="14"/>
      <c r="X259" s="14"/>
      <c r="Y259" s="14"/>
      <c r="Z259" s="14"/>
      <c r="AA259" s="18">
        <f>N259</f>
        <v>2</v>
      </c>
      <c r="AB259" s="14"/>
      <c r="AC259" s="14"/>
      <c r="AD259" s="14"/>
      <c r="AE259" s="14"/>
      <c r="AF259" s="16">
        <v>1</v>
      </c>
      <c r="AG259" s="16">
        <v>1</v>
      </c>
      <c r="AH259" s="16">
        <v>1</v>
      </c>
      <c r="AI259" s="16">
        <v>1</v>
      </c>
      <c r="AJ259" s="5">
        <v>1</v>
      </c>
      <c r="AK259" s="5">
        <v>0</v>
      </c>
      <c r="AL259" s="5">
        <v>0</v>
      </c>
      <c r="AM259" s="20">
        <v>10</v>
      </c>
      <c r="AN259" s="20">
        <v>8</v>
      </c>
      <c r="AO259" s="16"/>
      <c r="AP259" s="16"/>
      <c r="AQ259" s="16"/>
      <c r="AR259" s="16">
        <v>0</v>
      </c>
      <c r="AS259" s="16">
        <v>1</v>
      </c>
      <c r="AT259" s="16"/>
      <c r="AU259" s="16"/>
      <c r="AV259" s="16"/>
      <c r="AW259" s="16"/>
      <c r="AX259" s="16">
        <v>0</v>
      </c>
      <c r="AY259" s="16">
        <v>0</v>
      </c>
      <c r="AZ259" s="16">
        <v>1</v>
      </c>
      <c r="BA259" s="16">
        <v>0</v>
      </c>
    </row>
    <row r="260" spans="1:53" x14ac:dyDescent="0.2">
      <c r="A260" s="19"/>
      <c r="B260" s="14" t="str">
        <f t="shared" si="59"/>
        <v>Tol 1999</v>
      </c>
      <c r="C260" s="61">
        <f t="shared" si="60"/>
        <v>28</v>
      </c>
      <c r="D260" s="58">
        <v>1999</v>
      </c>
      <c r="E260" s="17"/>
      <c r="F260" s="58">
        <v>1</v>
      </c>
      <c r="G260" s="16">
        <v>1995</v>
      </c>
      <c r="H260" s="15">
        <f>LOOKUP(G260,CPI!A$69:A$100,CPI!O$69:O$100)</f>
        <v>1.4308136482939633</v>
      </c>
      <c r="I260" s="52">
        <v>2000</v>
      </c>
      <c r="J260" s="15">
        <f>0.1*0.1</f>
        <v>1.0000000000000002E-2</v>
      </c>
      <c r="K260" s="15"/>
      <c r="L260" s="62"/>
      <c r="M260" s="56">
        <f t="shared" si="73"/>
        <v>13.593817511125502</v>
      </c>
      <c r="N260" s="14">
        <v>6</v>
      </c>
      <c r="O260" s="18">
        <f>N260</f>
        <v>6</v>
      </c>
      <c r="P260" s="16">
        <v>0</v>
      </c>
      <c r="Q260" s="16">
        <v>1</v>
      </c>
      <c r="R260" s="16">
        <v>0</v>
      </c>
      <c r="S260" s="14"/>
      <c r="T260" s="56" t="str">
        <f t="shared" si="52"/>
        <v/>
      </c>
      <c r="U260" s="56" t="str">
        <f>+V260</f>
        <v/>
      </c>
      <c r="V260" s="56" t="str">
        <f>+T260</f>
        <v/>
      </c>
      <c r="W260" s="14"/>
      <c r="X260" s="14"/>
      <c r="Y260" s="14"/>
      <c r="Z260" s="14"/>
      <c r="AA260" s="18">
        <f>N260</f>
        <v>6</v>
      </c>
      <c r="AB260" s="14"/>
      <c r="AC260" s="14"/>
      <c r="AD260" s="14"/>
      <c r="AE260" s="14"/>
      <c r="AF260" s="16">
        <v>1</v>
      </c>
      <c r="AG260" s="16">
        <v>1</v>
      </c>
      <c r="AH260" s="16">
        <v>1</v>
      </c>
      <c r="AI260" s="16">
        <v>1</v>
      </c>
      <c r="AJ260" s="5">
        <v>1</v>
      </c>
      <c r="AK260" s="5">
        <v>0</v>
      </c>
      <c r="AL260" s="5">
        <v>0</v>
      </c>
      <c r="AM260" s="20">
        <v>10</v>
      </c>
      <c r="AN260" s="20">
        <v>8</v>
      </c>
      <c r="AO260" s="16"/>
      <c r="AP260" s="16"/>
      <c r="AQ260" s="16"/>
      <c r="AR260" s="16">
        <v>1</v>
      </c>
      <c r="AS260" s="16">
        <v>1</v>
      </c>
      <c r="AT260" s="16"/>
      <c r="AU260" s="16"/>
      <c r="AV260" s="16"/>
      <c r="AW260" s="16"/>
      <c r="AX260" s="16">
        <v>0</v>
      </c>
      <c r="AY260" s="16">
        <v>0</v>
      </c>
      <c r="AZ260" s="16">
        <v>1</v>
      </c>
      <c r="BA260" s="16">
        <v>0</v>
      </c>
    </row>
    <row r="261" spans="1:53" x14ac:dyDescent="0.2">
      <c r="A261" s="19"/>
      <c r="B261" s="14" t="str">
        <f t="shared" si="59"/>
        <v>Tol 1999</v>
      </c>
      <c r="C261" s="61">
        <f t="shared" si="60"/>
        <v>28</v>
      </c>
      <c r="D261" s="58">
        <v>1999</v>
      </c>
      <c r="E261" s="17"/>
      <c r="F261" s="58">
        <v>1</v>
      </c>
      <c r="G261" s="16">
        <v>1995</v>
      </c>
      <c r="H261" s="15">
        <f>LOOKUP(G261,CPI!A$69:A$100,CPI!O$69:O$100)</f>
        <v>1.4308136482939633</v>
      </c>
      <c r="I261" s="52">
        <v>2000</v>
      </c>
      <c r="J261" s="15">
        <f>0.1*0.1</f>
        <v>1.0000000000000002E-2</v>
      </c>
      <c r="K261" s="15"/>
      <c r="L261" s="62"/>
      <c r="M261" s="56">
        <f t="shared" si="73"/>
        <v>13.593817511125502</v>
      </c>
      <c r="N261" s="14">
        <v>6</v>
      </c>
      <c r="O261" s="18">
        <f>N261</f>
        <v>6</v>
      </c>
      <c r="P261" s="16">
        <v>0</v>
      </c>
      <c r="Q261" s="16">
        <v>1</v>
      </c>
      <c r="R261" s="16">
        <v>0</v>
      </c>
      <c r="S261" s="14"/>
      <c r="T261" s="56" t="str">
        <f t="shared" si="52"/>
        <v/>
      </c>
      <c r="U261" s="56" t="str">
        <f>+V261</f>
        <v/>
      </c>
      <c r="V261" s="56" t="str">
        <f>+T261</f>
        <v/>
      </c>
      <c r="W261" s="14"/>
      <c r="X261" s="14"/>
      <c r="Y261" s="14"/>
      <c r="Z261" s="14"/>
      <c r="AA261" s="18">
        <f>N261</f>
        <v>6</v>
      </c>
      <c r="AB261" s="14"/>
      <c r="AC261" s="14"/>
      <c r="AD261" s="14"/>
      <c r="AE261" s="14"/>
      <c r="AF261" s="16">
        <v>1</v>
      </c>
      <c r="AG261" s="16">
        <v>1</v>
      </c>
      <c r="AH261" s="16">
        <v>1</v>
      </c>
      <c r="AI261" s="16">
        <v>1</v>
      </c>
      <c r="AJ261" s="5">
        <v>1</v>
      </c>
      <c r="AK261" s="5">
        <v>0</v>
      </c>
      <c r="AL261" s="5">
        <v>0</v>
      </c>
      <c r="AM261" s="20">
        <v>10</v>
      </c>
      <c r="AN261" s="20">
        <v>8</v>
      </c>
      <c r="AO261" s="16"/>
      <c r="AP261" s="16"/>
      <c r="AQ261" s="16"/>
      <c r="AR261" s="16">
        <v>1</v>
      </c>
      <c r="AS261" s="16">
        <v>1</v>
      </c>
      <c r="AT261" s="16"/>
      <c r="AU261" s="16"/>
      <c r="AV261" s="16"/>
      <c r="AW261" s="16"/>
      <c r="AX261" s="16">
        <v>0</v>
      </c>
      <c r="AY261" s="16">
        <v>0</v>
      </c>
      <c r="AZ261" s="16">
        <v>1</v>
      </c>
      <c r="BA261" s="16">
        <v>0</v>
      </c>
    </row>
    <row r="262" spans="1:53" x14ac:dyDescent="0.2">
      <c r="A262" s="19"/>
      <c r="B262" s="14" t="str">
        <f t="shared" si="59"/>
        <v>Tol 1999</v>
      </c>
      <c r="C262" s="61">
        <f t="shared" si="60"/>
        <v>28</v>
      </c>
      <c r="D262" s="58">
        <v>1999</v>
      </c>
      <c r="E262" s="17"/>
      <c r="F262" s="58">
        <v>1</v>
      </c>
      <c r="G262" s="16">
        <v>1995</v>
      </c>
      <c r="H262" s="15">
        <f>LOOKUP(G262,CPI!A$69:A$100,CPI!O$69:O$100)</f>
        <v>1.4308136482939633</v>
      </c>
      <c r="I262" s="52">
        <v>2000</v>
      </c>
      <c r="J262" s="15">
        <f>0.1*0.1</f>
        <v>1.0000000000000002E-2</v>
      </c>
      <c r="K262" s="15"/>
      <c r="L262" s="62"/>
      <c r="M262" s="56">
        <f t="shared" si="73"/>
        <v>13.593817511125502</v>
      </c>
      <c r="N262" s="14">
        <v>6</v>
      </c>
      <c r="O262" s="18">
        <f>N262</f>
        <v>6</v>
      </c>
      <c r="P262" s="16">
        <v>0</v>
      </c>
      <c r="Q262" s="16">
        <v>1</v>
      </c>
      <c r="R262" s="16">
        <v>0</v>
      </c>
      <c r="S262" s="14"/>
      <c r="T262" s="56" t="str">
        <f t="shared" si="52"/>
        <v/>
      </c>
      <c r="U262" s="56" t="str">
        <f>+V262</f>
        <v/>
      </c>
      <c r="V262" s="56" t="str">
        <f>+T262</f>
        <v/>
      </c>
      <c r="W262" s="14"/>
      <c r="X262" s="14"/>
      <c r="Y262" s="14"/>
      <c r="Z262" s="14"/>
      <c r="AA262" s="18">
        <f>N262</f>
        <v>6</v>
      </c>
      <c r="AB262" s="14"/>
      <c r="AC262" s="14"/>
      <c r="AD262" s="14"/>
      <c r="AE262" s="14"/>
      <c r="AF262" s="16">
        <v>1</v>
      </c>
      <c r="AG262" s="16">
        <v>1</v>
      </c>
      <c r="AH262" s="16">
        <v>1</v>
      </c>
      <c r="AI262" s="16">
        <v>1</v>
      </c>
      <c r="AJ262" s="5">
        <v>1</v>
      </c>
      <c r="AK262" s="5">
        <v>0</v>
      </c>
      <c r="AL262" s="5">
        <v>0</v>
      </c>
      <c r="AM262" s="20">
        <v>10</v>
      </c>
      <c r="AN262" s="20">
        <v>8</v>
      </c>
      <c r="AO262" s="16"/>
      <c r="AP262" s="16"/>
      <c r="AQ262" s="16"/>
      <c r="AR262" s="16">
        <v>1</v>
      </c>
      <c r="AS262" s="16">
        <v>1</v>
      </c>
      <c r="AT262" s="16"/>
      <c r="AU262" s="16"/>
      <c r="AV262" s="16"/>
      <c r="AW262" s="16"/>
      <c r="AX262" s="16">
        <v>0</v>
      </c>
      <c r="AY262" s="16">
        <v>0</v>
      </c>
      <c r="AZ262" s="16">
        <v>1</v>
      </c>
      <c r="BA262" s="16">
        <v>0</v>
      </c>
    </row>
    <row r="263" spans="1:53" x14ac:dyDescent="0.2">
      <c r="A263" s="14" t="s">
        <v>14</v>
      </c>
      <c r="B263" s="14" t="str">
        <f t="shared" si="59"/>
        <v>Nordhaus &amp; Boyer 2000</v>
      </c>
      <c r="C263" s="61">
        <f t="shared" si="60"/>
        <v>29</v>
      </c>
      <c r="D263" s="58">
        <v>2000</v>
      </c>
      <c r="E263" s="17" t="s">
        <v>108</v>
      </c>
      <c r="F263" s="58">
        <v>0</v>
      </c>
      <c r="G263" s="16">
        <v>1990</v>
      </c>
      <c r="H263" s="15">
        <f>LOOKUP(G263,CPI!A$69:A$100,CPI!O$69:O$100)</f>
        <v>1.6683703136954862</v>
      </c>
      <c r="I263" s="16">
        <v>1995</v>
      </c>
      <c r="J263" s="15">
        <v>1</v>
      </c>
      <c r="K263" s="15"/>
      <c r="L263" s="62"/>
      <c r="N263" s="14">
        <v>5.9</v>
      </c>
      <c r="O263" s="18">
        <f t="shared" ref="O263:O277" si="75">N263</f>
        <v>5.9</v>
      </c>
      <c r="P263" s="16">
        <v>0</v>
      </c>
      <c r="Q263" s="16">
        <v>1</v>
      </c>
      <c r="R263" s="16">
        <v>0</v>
      </c>
      <c r="S263" s="14"/>
      <c r="T263" s="56" t="str">
        <f t="shared" ref="T263:T323" si="76">IF(OR(M263="",S263=""),"",S263*H263*(1+$L$2)^(2015-I263))</f>
        <v/>
      </c>
      <c r="U263" s="56" t="str">
        <f t="shared" ref="U263:U278" si="77">+V263</f>
        <v/>
      </c>
      <c r="V263" s="56" t="str">
        <f t="shared" ref="V263:V278" si="78">+T263</f>
        <v/>
      </c>
      <c r="W263" s="14"/>
      <c r="X263" s="14"/>
      <c r="Y263" s="14"/>
      <c r="Z263" s="14"/>
      <c r="AA263" s="18">
        <f t="shared" ref="AA263:AA277" si="79">N263</f>
        <v>5.9</v>
      </c>
      <c r="AB263" s="14"/>
      <c r="AC263" s="14"/>
      <c r="AD263" s="14"/>
      <c r="AE263" s="14"/>
      <c r="AF263" s="16">
        <v>1</v>
      </c>
      <c r="AG263" s="16">
        <v>1</v>
      </c>
      <c r="AH263" s="16">
        <v>0</v>
      </c>
      <c r="AI263" s="16">
        <v>1</v>
      </c>
      <c r="AJ263" s="5">
        <v>0</v>
      </c>
      <c r="AK263" s="5">
        <v>1</v>
      </c>
      <c r="AL263" s="5">
        <v>0</v>
      </c>
      <c r="AM263" s="20" t="s">
        <v>25</v>
      </c>
      <c r="AN263" s="20" t="s">
        <v>25</v>
      </c>
      <c r="AO263" s="5">
        <v>1</v>
      </c>
      <c r="AP263" s="16"/>
      <c r="AQ263" s="16"/>
      <c r="AR263" s="16">
        <v>0</v>
      </c>
      <c r="AS263" s="16">
        <v>0</v>
      </c>
      <c r="AT263" s="16"/>
      <c r="AU263" s="16"/>
      <c r="AV263" s="16"/>
      <c r="AW263" s="16"/>
      <c r="AX263" s="16">
        <v>0</v>
      </c>
      <c r="AY263" s="16">
        <v>1</v>
      </c>
      <c r="AZ263" s="16">
        <v>0</v>
      </c>
      <c r="BA263" s="22">
        <v>1</v>
      </c>
    </row>
    <row r="264" spans="1:53" x14ac:dyDescent="0.2">
      <c r="A264" s="14"/>
      <c r="B264" s="14" t="str">
        <f t="shared" si="59"/>
        <v>Nordhaus &amp; Boyer 2000</v>
      </c>
      <c r="C264" s="61">
        <f t="shared" si="60"/>
        <v>29</v>
      </c>
      <c r="D264" s="58">
        <v>2000</v>
      </c>
      <c r="E264" s="17"/>
      <c r="F264" s="58">
        <v>0</v>
      </c>
      <c r="G264" s="16">
        <v>1990</v>
      </c>
      <c r="H264" s="15">
        <f>LOOKUP(G264,CPI!A$69:A$100,CPI!O$69:O$100)</f>
        <v>1.6683703136954862</v>
      </c>
      <c r="I264" s="5">
        <v>2005</v>
      </c>
      <c r="J264" s="44">
        <v>0</v>
      </c>
      <c r="K264" s="44">
        <v>1</v>
      </c>
      <c r="L264" s="57">
        <f>(AA265/AA264)^(1/(I265-I264))-1</f>
        <v>3.3635644324287339E-2</v>
      </c>
      <c r="N264" s="3">
        <v>9.1300000000000008</v>
      </c>
      <c r="O264" s="37">
        <f t="shared" si="75"/>
        <v>9.1300000000000008</v>
      </c>
      <c r="P264" s="16">
        <v>0</v>
      </c>
      <c r="Q264" s="16">
        <v>1</v>
      </c>
      <c r="R264" s="16">
        <v>0</v>
      </c>
      <c r="S264" s="3"/>
      <c r="T264" s="56" t="str">
        <f t="shared" si="76"/>
        <v/>
      </c>
      <c r="U264" s="56" t="str">
        <f t="shared" si="77"/>
        <v/>
      </c>
      <c r="V264" s="56" t="str">
        <f t="shared" si="78"/>
        <v/>
      </c>
      <c r="W264" s="3"/>
      <c r="X264" s="3"/>
      <c r="Y264" s="3"/>
      <c r="Z264" s="3"/>
      <c r="AA264" s="37">
        <f t="shared" si="79"/>
        <v>9.1300000000000008</v>
      </c>
      <c r="AB264" s="3"/>
      <c r="AC264" s="3"/>
      <c r="AD264" s="3"/>
      <c r="AE264" s="3"/>
      <c r="AF264" s="16">
        <v>1</v>
      </c>
      <c r="AG264" s="16">
        <v>1</v>
      </c>
      <c r="AH264" s="16">
        <v>0</v>
      </c>
      <c r="AI264" s="16">
        <v>1</v>
      </c>
      <c r="AJ264" s="5">
        <v>0</v>
      </c>
      <c r="AK264" s="5">
        <v>1</v>
      </c>
      <c r="AL264" s="5">
        <v>0</v>
      </c>
      <c r="AM264" s="20" t="s">
        <v>25</v>
      </c>
      <c r="AN264" s="20" t="s">
        <v>25</v>
      </c>
      <c r="AO264" s="5">
        <v>1</v>
      </c>
      <c r="AP264" s="16"/>
      <c r="AQ264" s="16"/>
      <c r="AR264" s="16">
        <v>0</v>
      </c>
      <c r="AS264" s="16">
        <v>0</v>
      </c>
      <c r="AT264" s="16"/>
      <c r="AU264" s="16"/>
      <c r="AV264" s="16"/>
      <c r="AW264" s="16"/>
      <c r="AX264" s="16">
        <v>0</v>
      </c>
      <c r="AY264" s="16">
        <v>1</v>
      </c>
      <c r="AZ264" s="16">
        <v>0</v>
      </c>
      <c r="BA264" s="22">
        <v>1</v>
      </c>
    </row>
    <row r="265" spans="1:53" x14ac:dyDescent="0.2">
      <c r="A265" s="14"/>
      <c r="B265" s="14" t="str">
        <f t="shared" si="59"/>
        <v>Nordhaus &amp; Boyer 2000</v>
      </c>
      <c r="C265" s="61">
        <f t="shared" si="60"/>
        <v>29</v>
      </c>
      <c r="D265" s="58">
        <v>2000</v>
      </c>
      <c r="E265" s="17"/>
      <c r="F265" s="58">
        <v>0</v>
      </c>
      <c r="G265" s="16">
        <v>1990</v>
      </c>
      <c r="H265" s="15">
        <f>LOOKUP(G265,CPI!A$69:A$100,CPI!O$69:O$100)</f>
        <v>1.6683703136954862</v>
      </c>
      <c r="I265" s="52">
        <v>2015</v>
      </c>
      <c r="J265" s="44">
        <v>0</v>
      </c>
      <c r="K265" s="44"/>
      <c r="L265" s="65"/>
      <c r="M265" s="56">
        <f>AA265*H265*(1+$L$2)^(2015-I265)</f>
        <v>21.204986687069631</v>
      </c>
      <c r="N265" s="3">
        <v>12.71</v>
      </c>
      <c r="O265" s="37">
        <f t="shared" si="75"/>
        <v>12.71</v>
      </c>
      <c r="P265" s="16">
        <v>0</v>
      </c>
      <c r="Q265" s="16">
        <v>1</v>
      </c>
      <c r="R265" s="16">
        <v>0</v>
      </c>
      <c r="S265" s="3"/>
      <c r="T265" s="56" t="str">
        <f t="shared" si="76"/>
        <v/>
      </c>
      <c r="U265" s="56" t="str">
        <f t="shared" si="77"/>
        <v/>
      </c>
      <c r="V265" s="56" t="str">
        <f t="shared" si="78"/>
        <v/>
      </c>
      <c r="W265" s="3"/>
      <c r="X265" s="3"/>
      <c r="Y265" s="3"/>
      <c r="Z265" s="3"/>
      <c r="AA265" s="37">
        <f t="shared" si="79"/>
        <v>12.71</v>
      </c>
      <c r="AB265" s="3"/>
      <c r="AC265" s="3"/>
      <c r="AD265" s="3"/>
      <c r="AE265" s="3"/>
      <c r="AF265" s="16">
        <v>1</v>
      </c>
      <c r="AG265" s="16">
        <v>1</v>
      </c>
      <c r="AH265" s="16">
        <v>0</v>
      </c>
      <c r="AI265" s="16">
        <v>1</v>
      </c>
      <c r="AJ265" s="5">
        <v>0</v>
      </c>
      <c r="AK265" s="5">
        <v>1</v>
      </c>
      <c r="AL265" s="5">
        <v>0</v>
      </c>
      <c r="AM265" s="20" t="s">
        <v>25</v>
      </c>
      <c r="AN265" s="20" t="s">
        <v>25</v>
      </c>
      <c r="AO265" s="5">
        <v>1</v>
      </c>
      <c r="AP265" s="16"/>
      <c r="AQ265" s="16"/>
      <c r="AR265" s="16">
        <v>0</v>
      </c>
      <c r="AS265" s="16">
        <v>0</v>
      </c>
      <c r="AT265" s="16"/>
      <c r="AU265" s="16"/>
      <c r="AV265" s="16"/>
      <c r="AW265" s="16"/>
      <c r="AX265" s="16">
        <v>0</v>
      </c>
      <c r="AY265" s="16">
        <v>1</v>
      </c>
      <c r="AZ265" s="16">
        <v>0</v>
      </c>
      <c r="BA265" s="22">
        <v>1</v>
      </c>
    </row>
    <row r="266" spans="1:53" x14ac:dyDescent="0.2">
      <c r="A266" s="14"/>
      <c r="B266" s="14" t="str">
        <f t="shared" ref="B266:B329" si="80">+IF(A266="",B265,A266&amp;" "&amp;D266)</f>
        <v>Nordhaus &amp; Boyer 2000</v>
      </c>
      <c r="C266" s="61">
        <f t="shared" ref="C266:C329" si="81">+IF(A266="",C265,C265+1)</f>
        <v>29</v>
      </c>
      <c r="D266" s="58">
        <v>2000</v>
      </c>
      <c r="E266" s="17"/>
      <c r="F266" s="58">
        <v>0</v>
      </c>
      <c r="G266" s="16">
        <v>1990</v>
      </c>
      <c r="H266" s="15">
        <f>LOOKUP(G266,CPI!A$69:A$100,CPI!O$69:O$100)</f>
        <v>1.6683703136954862</v>
      </c>
      <c r="I266" s="5">
        <v>2025</v>
      </c>
      <c r="J266" s="44">
        <v>0</v>
      </c>
      <c r="K266" s="44"/>
      <c r="L266" s="65"/>
      <c r="N266" s="3">
        <v>16.72</v>
      </c>
      <c r="O266" s="37">
        <f t="shared" si="75"/>
        <v>16.72</v>
      </c>
      <c r="P266" s="16">
        <v>0</v>
      </c>
      <c r="Q266" s="16">
        <v>1</v>
      </c>
      <c r="R266" s="16">
        <v>0</v>
      </c>
      <c r="S266" s="3"/>
      <c r="T266" s="56" t="str">
        <f t="shared" si="76"/>
        <v/>
      </c>
      <c r="U266" s="56" t="str">
        <f t="shared" si="77"/>
        <v/>
      </c>
      <c r="V266" s="56" t="str">
        <f t="shared" si="78"/>
        <v/>
      </c>
      <c r="W266" s="3"/>
      <c r="X266" s="3"/>
      <c r="Y266" s="3"/>
      <c r="Z266" s="3"/>
      <c r="AA266" s="37">
        <f t="shared" si="79"/>
        <v>16.72</v>
      </c>
      <c r="AB266" s="3"/>
      <c r="AC266" s="3"/>
      <c r="AD266" s="3"/>
      <c r="AE266" s="3"/>
      <c r="AF266" s="16">
        <v>1</v>
      </c>
      <c r="AG266" s="16">
        <v>1</v>
      </c>
      <c r="AH266" s="16">
        <v>0</v>
      </c>
      <c r="AI266" s="16">
        <v>1</v>
      </c>
      <c r="AJ266" s="5">
        <v>0</v>
      </c>
      <c r="AK266" s="5">
        <v>1</v>
      </c>
      <c r="AL266" s="5">
        <v>0</v>
      </c>
      <c r="AM266" s="20" t="s">
        <v>25</v>
      </c>
      <c r="AN266" s="20" t="s">
        <v>25</v>
      </c>
      <c r="AO266" s="5">
        <v>1</v>
      </c>
      <c r="AP266" s="16"/>
      <c r="AQ266" s="16"/>
      <c r="AR266" s="16">
        <v>0</v>
      </c>
      <c r="AS266" s="16">
        <v>0</v>
      </c>
      <c r="AT266" s="16"/>
      <c r="AU266" s="16"/>
      <c r="AV266" s="16"/>
      <c r="AW266" s="16"/>
      <c r="AX266" s="16">
        <v>0</v>
      </c>
      <c r="AY266" s="16">
        <v>1</v>
      </c>
      <c r="AZ266" s="16">
        <v>0</v>
      </c>
      <c r="BA266" s="22">
        <v>1</v>
      </c>
    </row>
    <row r="267" spans="1:53" x14ac:dyDescent="0.2">
      <c r="A267" s="14"/>
      <c r="B267" s="14" t="str">
        <f t="shared" si="80"/>
        <v>Nordhaus &amp; Boyer 2000</v>
      </c>
      <c r="C267" s="61">
        <f t="shared" si="81"/>
        <v>29</v>
      </c>
      <c r="D267" s="58">
        <v>2000</v>
      </c>
      <c r="E267" s="17"/>
      <c r="F267" s="58">
        <v>0</v>
      </c>
      <c r="G267" s="16">
        <v>1990</v>
      </c>
      <c r="H267" s="15">
        <f>LOOKUP(G267,CPI!A$69:A$100,CPI!O$69:O$100)</f>
        <v>1.6683703136954862</v>
      </c>
      <c r="I267" s="5">
        <v>2035</v>
      </c>
      <c r="J267" s="44">
        <v>0</v>
      </c>
      <c r="K267" s="44"/>
      <c r="L267" s="65"/>
      <c r="N267" s="3">
        <v>21.16</v>
      </c>
      <c r="O267" s="37">
        <f t="shared" si="75"/>
        <v>21.16</v>
      </c>
      <c r="P267" s="16">
        <v>0</v>
      </c>
      <c r="Q267" s="16">
        <v>1</v>
      </c>
      <c r="R267" s="16">
        <v>0</v>
      </c>
      <c r="S267" s="3"/>
      <c r="T267" s="56" t="str">
        <f t="shared" si="76"/>
        <v/>
      </c>
      <c r="U267" s="56" t="str">
        <f t="shared" si="77"/>
        <v/>
      </c>
      <c r="V267" s="56" t="str">
        <f t="shared" si="78"/>
        <v/>
      </c>
      <c r="W267" s="3"/>
      <c r="X267" s="3"/>
      <c r="Y267" s="3"/>
      <c r="Z267" s="3"/>
      <c r="AA267" s="37">
        <f t="shared" si="79"/>
        <v>21.16</v>
      </c>
      <c r="AB267" s="3"/>
      <c r="AC267" s="3"/>
      <c r="AD267" s="3"/>
      <c r="AE267" s="3"/>
      <c r="AF267" s="16">
        <v>1</v>
      </c>
      <c r="AG267" s="16">
        <v>1</v>
      </c>
      <c r="AH267" s="16">
        <v>0</v>
      </c>
      <c r="AI267" s="16">
        <v>1</v>
      </c>
      <c r="AJ267" s="5">
        <v>0</v>
      </c>
      <c r="AK267" s="5">
        <v>1</v>
      </c>
      <c r="AL267" s="5">
        <v>0</v>
      </c>
      <c r="AM267" s="20" t="s">
        <v>25</v>
      </c>
      <c r="AN267" s="20" t="s">
        <v>25</v>
      </c>
      <c r="AO267" s="5">
        <v>1</v>
      </c>
      <c r="AP267" s="16"/>
      <c r="AQ267" s="16"/>
      <c r="AR267" s="16">
        <v>0</v>
      </c>
      <c r="AS267" s="16">
        <v>0</v>
      </c>
      <c r="AT267" s="16"/>
      <c r="AU267" s="16"/>
      <c r="AV267" s="16"/>
      <c r="AW267" s="16"/>
      <c r="AX267" s="16">
        <v>0</v>
      </c>
      <c r="AY267" s="16">
        <v>1</v>
      </c>
      <c r="AZ267" s="16">
        <v>0</v>
      </c>
      <c r="BA267" s="22">
        <v>1</v>
      </c>
    </row>
    <row r="268" spans="1:53" x14ac:dyDescent="0.2">
      <c r="A268" s="14"/>
      <c r="B268" s="14" t="str">
        <f t="shared" si="80"/>
        <v>Nordhaus &amp; Boyer 2000</v>
      </c>
      <c r="C268" s="61">
        <f t="shared" si="81"/>
        <v>29</v>
      </c>
      <c r="D268" s="58">
        <v>2000</v>
      </c>
      <c r="E268" s="17"/>
      <c r="F268" s="58">
        <v>0</v>
      </c>
      <c r="G268" s="16">
        <v>1990</v>
      </c>
      <c r="H268" s="15">
        <f>LOOKUP(G268,CPI!A$69:A$100,CPI!O$69:O$100)</f>
        <v>1.6683703136954862</v>
      </c>
      <c r="I268" s="5">
        <v>2045</v>
      </c>
      <c r="J268" s="44">
        <v>0</v>
      </c>
      <c r="K268" s="44"/>
      <c r="L268" s="65"/>
      <c r="N268" s="3">
        <v>26.12</v>
      </c>
      <c r="O268" s="37">
        <f t="shared" si="75"/>
        <v>26.12</v>
      </c>
      <c r="P268" s="16">
        <v>0</v>
      </c>
      <c r="Q268" s="16">
        <v>1</v>
      </c>
      <c r="R268" s="16">
        <v>0</v>
      </c>
      <c r="S268" s="3"/>
      <c r="T268" s="56" t="str">
        <f t="shared" si="76"/>
        <v/>
      </c>
      <c r="U268" s="56" t="str">
        <f t="shared" si="77"/>
        <v/>
      </c>
      <c r="V268" s="56" t="str">
        <f t="shared" si="78"/>
        <v/>
      </c>
      <c r="W268" s="3"/>
      <c r="X268" s="3"/>
      <c r="Y268" s="3"/>
      <c r="Z268" s="3"/>
      <c r="AA268" s="37">
        <f t="shared" si="79"/>
        <v>26.12</v>
      </c>
      <c r="AB268" s="3"/>
      <c r="AC268" s="3"/>
      <c r="AD268" s="3"/>
      <c r="AE268" s="3"/>
      <c r="AF268" s="16">
        <v>1</v>
      </c>
      <c r="AG268" s="16">
        <v>1</v>
      </c>
      <c r="AH268" s="16">
        <v>0</v>
      </c>
      <c r="AI268" s="16">
        <v>1</v>
      </c>
      <c r="AJ268" s="5">
        <v>0</v>
      </c>
      <c r="AK268" s="5">
        <v>1</v>
      </c>
      <c r="AL268" s="5">
        <v>0</v>
      </c>
      <c r="AM268" s="20" t="s">
        <v>25</v>
      </c>
      <c r="AN268" s="20" t="s">
        <v>25</v>
      </c>
      <c r="AO268" s="5">
        <v>1</v>
      </c>
      <c r="AP268" s="16"/>
      <c r="AQ268" s="16"/>
      <c r="AR268" s="16">
        <v>0</v>
      </c>
      <c r="AS268" s="16">
        <v>0</v>
      </c>
      <c r="AT268" s="16"/>
      <c r="AU268" s="16"/>
      <c r="AV268" s="16"/>
      <c r="AW268" s="16"/>
      <c r="AX268" s="16">
        <v>0</v>
      </c>
      <c r="AY268" s="16">
        <v>1</v>
      </c>
      <c r="AZ268" s="16">
        <v>0</v>
      </c>
      <c r="BA268" s="22">
        <v>1</v>
      </c>
    </row>
    <row r="269" spans="1:53" x14ac:dyDescent="0.2">
      <c r="A269" s="14"/>
      <c r="B269" s="14" t="str">
        <f t="shared" si="80"/>
        <v>Nordhaus &amp; Boyer 2000</v>
      </c>
      <c r="C269" s="61">
        <f t="shared" si="81"/>
        <v>29</v>
      </c>
      <c r="D269" s="58">
        <v>2000</v>
      </c>
      <c r="E269" s="17"/>
      <c r="F269" s="58">
        <v>0</v>
      </c>
      <c r="G269" s="16">
        <v>1990</v>
      </c>
      <c r="H269" s="15">
        <f>LOOKUP(G269,CPI!A$69:A$100,CPI!O$69:O$100)</f>
        <v>1.6683703136954862</v>
      </c>
      <c r="I269" s="5">
        <v>2055</v>
      </c>
      <c r="J269" s="44">
        <v>0</v>
      </c>
      <c r="K269" s="44"/>
      <c r="L269" s="65"/>
      <c r="N269" s="3">
        <v>31.64</v>
      </c>
      <c r="O269" s="37">
        <f t="shared" si="75"/>
        <v>31.64</v>
      </c>
      <c r="P269" s="16">
        <v>0</v>
      </c>
      <c r="Q269" s="16">
        <v>1</v>
      </c>
      <c r="R269" s="16">
        <v>0</v>
      </c>
      <c r="S269" s="3"/>
      <c r="T269" s="56" t="str">
        <f t="shared" si="76"/>
        <v/>
      </c>
      <c r="U269" s="56" t="str">
        <f t="shared" si="77"/>
        <v/>
      </c>
      <c r="V269" s="56" t="str">
        <f t="shared" si="78"/>
        <v/>
      </c>
      <c r="W269" s="3"/>
      <c r="X269" s="3"/>
      <c r="Y269" s="3"/>
      <c r="Z269" s="3"/>
      <c r="AA269" s="37">
        <f t="shared" si="79"/>
        <v>31.64</v>
      </c>
      <c r="AB269" s="3"/>
      <c r="AC269" s="3"/>
      <c r="AD269" s="3"/>
      <c r="AE269" s="3"/>
      <c r="AF269" s="16">
        <v>1</v>
      </c>
      <c r="AG269" s="16">
        <v>1</v>
      </c>
      <c r="AH269" s="16">
        <v>0</v>
      </c>
      <c r="AI269" s="16">
        <v>1</v>
      </c>
      <c r="AJ269" s="5">
        <v>0</v>
      </c>
      <c r="AK269" s="5">
        <v>1</v>
      </c>
      <c r="AL269" s="5">
        <v>0</v>
      </c>
      <c r="AM269" s="20" t="s">
        <v>25</v>
      </c>
      <c r="AN269" s="20" t="s">
        <v>25</v>
      </c>
      <c r="AO269" s="5">
        <v>1</v>
      </c>
      <c r="AP269" s="16"/>
      <c r="AQ269" s="16"/>
      <c r="AR269" s="16">
        <v>0</v>
      </c>
      <c r="AS269" s="16">
        <v>0</v>
      </c>
      <c r="AT269" s="16"/>
      <c r="AU269" s="16"/>
      <c r="AV269" s="16"/>
      <c r="AW269" s="16"/>
      <c r="AX269" s="16">
        <v>0</v>
      </c>
      <c r="AY269" s="16">
        <v>1</v>
      </c>
      <c r="AZ269" s="16">
        <v>0</v>
      </c>
      <c r="BA269" s="22">
        <v>1</v>
      </c>
    </row>
    <row r="270" spans="1:53" x14ac:dyDescent="0.2">
      <c r="A270" s="14"/>
      <c r="B270" s="14" t="str">
        <f t="shared" si="80"/>
        <v>Nordhaus &amp; Boyer 2000</v>
      </c>
      <c r="C270" s="61">
        <f t="shared" si="81"/>
        <v>29</v>
      </c>
      <c r="D270" s="58">
        <v>2000</v>
      </c>
      <c r="E270" s="17"/>
      <c r="F270" s="58">
        <v>0</v>
      </c>
      <c r="G270" s="16">
        <v>1990</v>
      </c>
      <c r="H270" s="15">
        <f>LOOKUP(G270,CPI!A$69:A$100,CPI!O$69:O$100)</f>
        <v>1.6683703136954862</v>
      </c>
      <c r="I270" s="5">
        <v>2065</v>
      </c>
      <c r="J270" s="44">
        <v>0</v>
      </c>
      <c r="K270" s="44"/>
      <c r="L270" s="65"/>
      <c r="N270" s="3">
        <v>37.729999999999997</v>
      </c>
      <c r="O270" s="37">
        <f t="shared" si="75"/>
        <v>37.729999999999997</v>
      </c>
      <c r="P270" s="16">
        <v>0</v>
      </c>
      <c r="Q270" s="16">
        <v>1</v>
      </c>
      <c r="R270" s="16">
        <v>0</v>
      </c>
      <c r="S270" s="3"/>
      <c r="T270" s="56" t="str">
        <f t="shared" si="76"/>
        <v/>
      </c>
      <c r="U270" s="56" t="str">
        <f t="shared" si="77"/>
        <v/>
      </c>
      <c r="V270" s="56" t="str">
        <f t="shared" si="78"/>
        <v/>
      </c>
      <c r="W270" s="3"/>
      <c r="X270" s="3"/>
      <c r="Y270" s="3"/>
      <c r="Z270" s="3"/>
      <c r="AA270" s="37">
        <f t="shared" si="79"/>
        <v>37.729999999999997</v>
      </c>
      <c r="AB270" s="3"/>
      <c r="AC270" s="3"/>
      <c r="AD270" s="3"/>
      <c r="AE270" s="3"/>
      <c r="AF270" s="16">
        <v>1</v>
      </c>
      <c r="AG270" s="16">
        <v>1</v>
      </c>
      <c r="AH270" s="16">
        <v>0</v>
      </c>
      <c r="AI270" s="16">
        <v>1</v>
      </c>
      <c r="AJ270" s="5">
        <v>0</v>
      </c>
      <c r="AK270" s="5">
        <v>1</v>
      </c>
      <c r="AL270" s="5">
        <v>0</v>
      </c>
      <c r="AM270" s="20" t="s">
        <v>25</v>
      </c>
      <c r="AN270" s="20" t="s">
        <v>25</v>
      </c>
      <c r="AO270" s="5">
        <v>1</v>
      </c>
      <c r="AP270" s="16"/>
      <c r="AQ270" s="16"/>
      <c r="AR270" s="16">
        <v>0</v>
      </c>
      <c r="AS270" s="16">
        <v>0</v>
      </c>
      <c r="AT270" s="16"/>
      <c r="AU270" s="16"/>
      <c r="AV270" s="16"/>
      <c r="AW270" s="16"/>
      <c r="AX270" s="16">
        <v>0</v>
      </c>
      <c r="AY270" s="16">
        <v>1</v>
      </c>
      <c r="AZ270" s="16">
        <v>0</v>
      </c>
      <c r="BA270" s="22">
        <v>1</v>
      </c>
    </row>
    <row r="271" spans="1:53" x14ac:dyDescent="0.2">
      <c r="A271" s="14"/>
      <c r="B271" s="14" t="str">
        <f t="shared" si="80"/>
        <v>Nordhaus &amp; Boyer 2000</v>
      </c>
      <c r="C271" s="61">
        <f t="shared" si="81"/>
        <v>29</v>
      </c>
      <c r="D271" s="58">
        <v>2000</v>
      </c>
      <c r="E271" s="17"/>
      <c r="F271" s="58">
        <v>0</v>
      </c>
      <c r="G271" s="16">
        <v>1990</v>
      </c>
      <c r="H271" s="15">
        <f>LOOKUP(G271,CPI!A$69:A$100,CPI!O$69:O$100)</f>
        <v>1.6683703136954862</v>
      </c>
      <c r="I271" s="5">
        <v>2075</v>
      </c>
      <c r="J271" s="44">
        <v>0</v>
      </c>
      <c r="K271" s="44"/>
      <c r="L271" s="65"/>
      <c r="N271" s="3">
        <v>44.38</v>
      </c>
      <c r="O271" s="37">
        <f t="shared" si="75"/>
        <v>44.38</v>
      </c>
      <c r="P271" s="16">
        <v>0</v>
      </c>
      <c r="Q271" s="16">
        <v>1</v>
      </c>
      <c r="R271" s="16">
        <v>0</v>
      </c>
      <c r="S271" s="3"/>
      <c r="T271" s="56" t="str">
        <f t="shared" si="76"/>
        <v/>
      </c>
      <c r="U271" s="56" t="str">
        <f t="shared" si="77"/>
        <v/>
      </c>
      <c r="V271" s="56" t="str">
        <f t="shared" si="78"/>
        <v/>
      </c>
      <c r="W271" s="3"/>
      <c r="X271" s="3"/>
      <c r="Y271" s="3"/>
      <c r="Z271" s="3"/>
      <c r="AA271" s="37">
        <f t="shared" si="79"/>
        <v>44.38</v>
      </c>
      <c r="AB271" s="3"/>
      <c r="AC271" s="3"/>
      <c r="AD271" s="3"/>
      <c r="AE271" s="3"/>
      <c r="AF271" s="16">
        <v>1</v>
      </c>
      <c r="AG271" s="16">
        <v>1</v>
      </c>
      <c r="AH271" s="16">
        <v>0</v>
      </c>
      <c r="AI271" s="16">
        <v>1</v>
      </c>
      <c r="AJ271" s="5">
        <v>0</v>
      </c>
      <c r="AK271" s="5">
        <v>1</v>
      </c>
      <c r="AL271" s="5">
        <v>0</v>
      </c>
      <c r="AM271" s="20" t="s">
        <v>25</v>
      </c>
      <c r="AN271" s="20" t="s">
        <v>25</v>
      </c>
      <c r="AO271" s="5">
        <v>1</v>
      </c>
      <c r="AP271" s="16"/>
      <c r="AQ271" s="16"/>
      <c r="AR271" s="16">
        <v>0</v>
      </c>
      <c r="AS271" s="16">
        <v>0</v>
      </c>
      <c r="AT271" s="16"/>
      <c r="AU271" s="16"/>
      <c r="AV271" s="16"/>
      <c r="AW271" s="16"/>
      <c r="AX271" s="16">
        <v>0</v>
      </c>
      <c r="AY271" s="16">
        <v>1</v>
      </c>
      <c r="AZ271" s="16">
        <v>0</v>
      </c>
      <c r="BA271" s="22">
        <v>1</v>
      </c>
    </row>
    <row r="272" spans="1:53" x14ac:dyDescent="0.2">
      <c r="A272" s="14"/>
      <c r="B272" s="14" t="str">
        <f t="shared" si="80"/>
        <v>Nordhaus &amp; Boyer 2000</v>
      </c>
      <c r="C272" s="61">
        <f t="shared" si="81"/>
        <v>29</v>
      </c>
      <c r="D272" s="58">
        <v>2000</v>
      </c>
      <c r="E272" s="17"/>
      <c r="F272" s="58">
        <v>0</v>
      </c>
      <c r="G272" s="16">
        <v>1990</v>
      </c>
      <c r="H272" s="15">
        <f>LOOKUP(G272,CPI!A$69:A$100,CPI!O$69:O$100)</f>
        <v>1.6683703136954862</v>
      </c>
      <c r="I272" s="5">
        <v>2085</v>
      </c>
      <c r="J272" s="44">
        <v>0</v>
      </c>
      <c r="K272" s="44"/>
      <c r="L272" s="65"/>
      <c r="N272" s="3">
        <v>51.55</v>
      </c>
      <c r="O272" s="37">
        <f t="shared" si="75"/>
        <v>51.55</v>
      </c>
      <c r="P272" s="16">
        <v>0</v>
      </c>
      <c r="Q272" s="16">
        <v>1</v>
      </c>
      <c r="R272" s="16">
        <v>0</v>
      </c>
      <c r="S272" s="3"/>
      <c r="T272" s="56" t="str">
        <f t="shared" si="76"/>
        <v/>
      </c>
      <c r="U272" s="56" t="str">
        <f t="shared" si="77"/>
        <v/>
      </c>
      <c r="V272" s="56" t="str">
        <f t="shared" si="78"/>
        <v/>
      </c>
      <c r="W272" s="3"/>
      <c r="X272" s="3"/>
      <c r="Y272" s="3"/>
      <c r="Z272" s="3"/>
      <c r="AA272" s="37">
        <f t="shared" si="79"/>
        <v>51.55</v>
      </c>
      <c r="AB272" s="3"/>
      <c r="AC272" s="3"/>
      <c r="AD272" s="3"/>
      <c r="AE272" s="3"/>
      <c r="AF272" s="16">
        <v>1</v>
      </c>
      <c r="AG272" s="16">
        <v>1</v>
      </c>
      <c r="AH272" s="16">
        <v>0</v>
      </c>
      <c r="AI272" s="16">
        <v>1</v>
      </c>
      <c r="AJ272" s="5">
        <v>0</v>
      </c>
      <c r="AK272" s="5">
        <v>1</v>
      </c>
      <c r="AL272" s="5">
        <v>0</v>
      </c>
      <c r="AM272" s="20" t="s">
        <v>25</v>
      </c>
      <c r="AN272" s="20" t="s">
        <v>25</v>
      </c>
      <c r="AO272" s="5">
        <v>1</v>
      </c>
      <c r="AP272" s="16"/>
      <c r="AQ272" s="16"/>
      <c r="AR272" s="16">
        <v>0</v>
      </c>
      <c r="AS272" s="16">
        <v>0</v>
      </c>
      <c r="AT272" s="16"/>
      <c r="AU272" s="16"/>
      <c r="AV272" s="16"/>
      <c r="AW272" s="16"/>
      <c r="AX272" s="16">
        <v>0</v>
      </c>
      <c r="AY272" s="16">
        <v>1</v>
      </c>
      <c r="AZ272" s="16">
        <v>0</v>
      </c>
      <c r="BA272" s="22">
        <v>1</v>
      </c>
    </row>
    <row r="273" spans="1:53" x14ac:dyDescent="0.2">
      <c r="A273" s="14"/>
      <c r="B273" s="14" t="str">
        <f t="shared" si="80"/>
        <v>Nordhaus &amp; Boyer 2000</v>
      </c>
      <c r="C273" s="61">
        <f t="shared" si="81"/>
        <v>29</v>
      </c>
      <c r="D273" s="58">
        <v>2000</v>
      </c>
      <c r="E273" s="17"/>
      <c r="F273" s="58">
        <v>0</v>
      </c>
      <c r="G273" s="16">
        <v>1990</v>
      </c>
      <c r="H273" s="15">
        <f>LOOKUP(G273,CPI!A$69:A$100,CPI!O$69:O$100)</f>
        <v>1.6683703136954862</v>
      </c>
      <c r="I273" s="5">
        <v>2095</v>
      </c>
      <c r="J273" s="44">
        <v>0</v>
      </c>
      <c r="K273" s="44"/>
      <c r="L273" s="65"/>
      <c r="N273" s="3">
        <v>59.2</v>
      </c>
      <c r="O273" s="37">
        <f t="shared" si="75"/>
        <v>59.2</v>
      </c>
      <c r="P273" s="16">
        <v>0</v>
      </c>
      <c r="Q273" s="16">
        <v>1</v>
      </c>
      <c r="R273" s="16">
        <v>0</v>
      </c>
      <c r="S273" s="3"/>
      <c r="T273" s="56" t="str">
        <f t="shared" si="76"/>
        <v/>
      </c>
      <c r="U273" s="56" t="str">
        <f t="shared" si="77"/>
        <v/>
      </c>
      <c r="V273" s="56" t="str">
        <f t="shared" si="78"/>
        <v/>
      </c>
      <c r="W273" s="3"/>
      <c r="X273" s="3"/>
      <c r="Y273" s="3"/>
      <c r="Z273" s="3"/>
      <c r="AA273" s="37">
        <f t="shared" si="79"/>
        <v>59.2</v>
      </c>
      <c r="AB273" s="3"/>
      <c r="AC273" s="3"/>
      <c r="AD273" s="3"/>
      <c r="AE273" s="3"/>
      <c r="AF273" s="16">
        <v>1</v>
      </c>
      <c r="AG273" s="16">
        <v>1</v>
      </c>
      <c r="AH273" s="16">
        <v>0</v>
      </c>
      <c r="AI273" s="16">
        <v>1</v>
      </c>
      <c r="AJ273" s="5">
        <v>0</v>
      </c>
      <c r="AK273" s="5">
        <v>1</v>
      </c>
      <c r="AL273" s="5">
        <v>0</v>
      </c>
      <c r="AM273" s="20" t="s">
        <v>25</v>
      </c>
      <c r="AN273" s="20" t="s">
        <v>25</v>
      </c>
      <c r="AO273" s="5">
        <v>1</v>
      </c>
      <c r="AP273" s="16"/>
      <c r="AQ273" s="16"/>
      <c r="AR273" s="16">
        <v>0</v>
      </c>
      <c r="AS273" s="16">
        <v>0</v>
      </c>
      <c r="AT273" s="16"/>
      <c r="AU273" s="16"/>
      <c r="AV273" s="16"/>
      <c r="AW273" s="16"/>
      <c r="AX273" s="16">
        <v>0</v>
      </c>
      <c r="AY273" s="16">
        <v>1</v>
      </c>
      <c r="AZ273" s="16">
        <v>0</v>
      </c>
      <c r="BA273" s="22">
        <v>1</v>
      </c>
    </row>
    <row r="274" spans="1:53" x14ac:dyDescent="0.2">
      <c r="A274" s="14"/>
      <c r="B274" s="14" t="str">
        <f t="shared" si="80"/>
        <v>Nordhaus &amp; Boyer 2000</v>
      </c>
      <c r="C274" s="61">
        <f t="shared" si="81"/>
        <v>29</v>
      </c>
      <c r="D274" s="58">
        <v>2000</v>
      </c>
      <c r="E274" s="17"/>
      <c r="F274" s="58">
        <v>0</v>
      </c>
      <c r="G274" s="16">
        <v>1990</v>
      </c>
      <c r="H274" s="15">
        <f>LOOKUP(G274,CPI!A$69:A$100,CPI!O$69:O$100)</f>
        <v>1.6683703136954862</v>
      </c>
      <c r="I274" s="5">
        <v>2105</v>
      </c>
      <c r="J274" s="44">
        <v>0</v>
      </c>
      <c r="K274" s="44"/>
      <c r="L274" s="65"/>
      <c r="N274" s="3">
        <v>67.39</v>
      </c>
      <c r="O274" s="37">
        <f t="shared" si="75"/>
        <v>67.39</v>
      </c>
      <c r="P274" s="16">
        <v>0</v>
      </c>
      <c r="Q274" s="16">
        <v>1</v>
      </c>
      <c r="R274" s="16">
        <v>0</v>
      </c>
      <c r="S274" s="3"/>
      <c r="T274" s="56" t="str">
        <f t="shared" si="76"/>
        <v/>
      </c>
      <c r="U274" s="56" t="str">
        <f t="shared" si="77"/>
        <v/>
      </c>
      <c r="V274" s="56" t="str">
        <f t="shared" si="78"/>
        <v/>
      </c>
      <c r="W274" s="3"/>
      <c r="X274" s="3"/>
      <c r="Y274" s="3"/>
      <c r="Z274" s="3"/>
      <c r="AA274" s="37">
        <f t="shared" si="79"/>
        <v>67.39</v>
      </c>
      <c r="AB274" s="3"/>
      <c r="AC274" s="3"/>
      <c r="AD274" s="3"/>
      <c r="AE274" s="3"/>
      <c r="AF274" s="16">
        <v>1</v>
      </c>
      <c r="AG274" s="16">
        <v>1</v>
      </c>
      <c r="AH274" s="16">
        <v>0</v>
      </c>
      <c r="AI274" s="16">
        <v>1</v>
      </c>
      <c r="AJ274" s="5">
        <v>0</v>
      </c>
      <c r="AK274" s="5">
        <v>1</v>
      </c>
      <c r="AL274" s="5">
        <v>0</v>
      </c>
      <c r="AM274" s="20" t="s">
        <v>25</v>
      </c>
      <c r="AN274" s="20" t="s">
        <v>25</v>
      </c>
      <c r="AO274" s="5">
        <v>1</v>
      </c>
      <c r="AP274" s="16"/>
      <c r="AQ274" s="16"/>
      <c r="AR274" s="16">
        <v>0</v>
      </c>
      <c r="AS274" s="16">
        <v>0</v>
      </c>
      <c r="AT274" s="16"/>
      <c r="AU274" s="16"/>
      <c r="AV274" s="16"/>
      <c r="AW274" s="16"/>
      <c r="AX274" s="16">
        <v>0</v>
      </c>
      <c r="AY274" s="16">
        <v>1</v>
      </c>
      <c r="AZ274" s="16">
        <v>0</v>
      </c>
      <c r="BA274" s="22">
        <v>1</v>
      </c>
    </row>
    <row r="275" spans="1:53" x14ac:dyDescent="0.2">
      <c r="A275" s="14" t="s">
        <v>11</v>
      </c>
      <c r="B275" s="14" t="str">
        <f t="shared" si="80"/>
        <v>Tol &amp; Downing 2001</v>
      </c>
      <c r="C275" s="61">
        <f t="shared" si="81"/>
        <v>30</v>
      </c>
      <c r="D275" s="58">
        <v>2001</v>
      </c>
      <c r="E275" s="46" t="s">
        <v>157</v>
      </c>
      <c r="F275" s="58">
        <v>0</v>
      </c>
      <c r="G275" s="22">
        <v>1995</v>
      </c>
      <c r="H275" s="15">
        <f>LOOKUP(G275,CPI!A$69:A$100,CPI!O$69:O$100)</f>
        <v>1.4308136482939633</v>
      </c>
      <c r="I275" s="69">
        <v>1995</v>
      </c>
      <c r="J275" s="15">
        <v>0.1</v>
      </c>
      <c r="K275" s="15"/>
      <c r="L275" s="62"/>
      <c r="M275" s="56">
        <f t="shared" ref="M275:M291" si="82">AA275*H275*(1+$L$2)^(2015-I275)</f>
        <v>68.923352861772699</v>
      </c>
      <c r="N275" s="14">
        <v>26.1</v>
      </c>
      <c r="O275" s="18">
        <f t="shared" si="75"/>
        <v>26.1</v>
      </c>
      <c r="P275" s="16">
        <v>0</v>
      </c>
      <c r="Q275" s="16">
        <v>1</v>
      </c>
      <c r="R275" s="16">
        <v>0</v>
      </c>
      <c r="S275" s="14"/>
      <c r="T275" s="56" t="str">
        <f t="shared" si="76"/>
        <v/>
      </c>
      <c r="U275" s="56" t="str">
        <f t="shared" si="77"/>
        <v/>
      </c>
      <c r="V275" s="56" t="str">
        <f t="shared" si="78"/>
        <v/>
      </c>
      <c r="W275" s="14"/>
      <c r="X275" s="14"/>
      <c r="Y275" s="14"/>
      <c r="Z275" s="14"/>
      <c r="AA275" s="18">
        <f t="shared" si="79"/>
        <v>26.1</v>
      </c>
      <c r="AB275" s="14"/>
      <c r="AC275" s="14"/>
      <c r="AD275" s="14"/>
      <c r="AE275" s="14"/>
      <c r="AF275" s="16">
        <v>0</v>
      </c>
      <c r="AG275" s="16">
        <v>1</v>
      </c>
      <c r="AH275" s="16">
        <v>1</v>
      </c>
      <c r="AI275" s="16">
        <v>1</v>
      </c>
      <c r="AJ275" s="5">
        <v>1</v>
      </c>
      <c r="AK275" s="5">
        <v>0</v>
      </c>
      <c r="AL275" s="5">
        <v>0</v>
      </c>
      <c r="AM275" s="20">
        <v>3</v>
      </c>
      <c r="AN275" s="20">
        <v>1</v>
      </c>
      <c r="AO275" s="16"/>
      <c r="AP275" s="16"/>
      <c r="AQ275" s="16"/>
      <c r="AR275" s="16">
        <v>1</v>
      </c>
      <c r="AS275" s="16">
        <v>0</v>
      </c>
      <c r="AT275" s="16"/>
      <c r="AU275" s="16"/>
      <c r="AV275" s="16"/>
      <c r="AW275" s="16"/>
      <c r="AX275" s="16">
        <v>0</v>
      </c>
      <c r="AY275" s="16">
        <v>0</v>
      </c>
      <c r="AZ275" s="16">
        <v>1</v>
      </c>
      <c r="BA275" s="16">
        <v>0</v>
      </c>
    </row>
    <row r="276" spans="1:53" x14ac:dyDescent="0.2">
      <c r="A276" s="14"/>
      <c r="B276" s="14" t="str">
        <f t="shared" si="80"/>
        <v>Tol &amp; Downing 2001</v>
      </c>
      <c r="C276" s="61">
        <f t="shared" si="81"/>
        <v>30</v>
      </c>
      <c r="D276" s="58">
        <v>2001</v>
      </c>
      <c r="E276" s="17"/>
      <c r="F276" s="58">
        <v>0</v>
      </c>
      <c r="G276" s="22">
        <v>1995</v>
      </c>
      <c r="H276" s="15">
        <f>LOOKUP(G276,CPI!A$69:A$100,CPI!O$69:O$100)</f>
        <v>1.4308136482939633</v>
      </c>
      <c r="I276" s="69">
        <v>1995</v>
      </c>
      <c r="J276" s="15">
        <v>0.1</v>
      </c>
      <c r="K276" s="15"/>
      <c r="L276" s="62"/>
      <c r="M276" s="56">
        <f t="shared" si="82"/>
        <v>9.2425952113488279</v>
      </c>
      <c r="N276" s="14">
        <v>3.5</v>
      </c>
      <c r="O276" s="18">
        <f t="shared" si="75"/>
        <v>3.5</v>
      </c>
      <c r="P276" s="16">
        <v>0</v>
      </c>
      <c r="Q276" s="16">
        <v>1</v>
      </c>
      <c r="R276" s="16">
        <v>0</v>
      </c>
      <c r="S276" s="14"/>
      <c r="T276" s="56" t="str">
        <f t="shared" si="76"/>
        <v/>
      </c>
      <c r="U276" s="56" t="str">
        <f t="shared" si="77"/>
        <v/>
      </c>
      <c r="V276" s="56" t="str">
        <f t="shared" si="78"/>
        <v/>
      </c>
      <c r="W276" s="14"/>
      <c r="X276" s="14"/>
      <c r="Y276" s="14"/>
      <c r="Z276" s="14"/>
      <c r="AA276" s="18">
        <f t="shared" si="79"/>
        <v>3.5</v>
      </c>
      <c r="AB276" s="14"/>
      <c r="AC276" s="14"/>
      <c r="AD276" s="14"/>
      <c r="AE276" s="14"/>
      <c r="AF276" s="16">
        <v>0</v>
      </c>
      <c r="AG276" s="16">
        <v>1</v>
      </c>
      <c r="AH276" s="16">
        <v>1</v>
      </c>
      <c r="AI276" s="16">
        <v>1</v>
      </c>
      <c r="AJ276" s="5">
        <v>1</v>
      </c>
      <c r="AK276" s="5">
        <v>0</v>
      </c>
      <c r="AL276" s="5">
        <v>0</v>
      </c>
      <c r="AM276" s="20">
        <v>3</v>
      </c>
      <c r="AN276" s="20">
        <v>1</v>
      </c>
      <c r="AO276" s="16"/>
      <c r="AP276" s="16"/>
      <c r="AQ276" s="16"/>
      <c r="AR276" s="16">
        <v>0</v>
      </c>
      <c r="AS276" s="16">
        <v>0</v>
      </c>
      <c r="AT276" s="16"/>
      <c r="AU276" s="16"/>
      <c r="AV276" s="16"/>
      <c r="AW276" s="16"/>
      <c r="AX276" s="16">
        <v>0</v>
      </c>
      <c r="AY276" s="16">
        <v>0</v>
      </c>
      <c r="AZ276" s="16">
        <v>1</v>
      </c>
      <c r="BA276" s="16">
        <v>0</v>
      </c>
    </row>
    <row r="277" spans="1:53" x14ac:dyDescent="0.2">
      <c r="A277" s="14"/>
      <c r="B277" s="14" t="str">
        <f t="shared" si="80"/>
        <v>Tol &amp; Downing 2001</v>
      </c>
      <c r="C277" s="61">
        <f t="shared" si="81"/>
        <v>30</v>
      </c>
      <c r="D277" s="58">
        <v>2001</v>
      </c>
      <c r="E277" s="17"/>
      <c r="F277" s="58">
        <v>0</v>
      </c>
      <c r="G277" s="22">
        <v>1995</v>
      </c>
      <c r="H277" s="15">
        <f>LOOKUP(G277,CPI!A$69:A$100,CPI!O$69:O$100)</f>
        <v>1.4308136482939633</v>
      </c>
      <c r="I277" s="69">
        <v>1995</v>
      </c>
      <c r="J277" s="15">
        <v>1</v>
      </c>
      <c r="K277" s="15"/>
      <c r="L277" s="62"/>
      <c r="M277" s="56">
        <f t="shared" si="82"/>
        <v>120.9459601942218</v>
      </c>
      <c r="N277" s="14">
        <v>45.8</v>
      </c>
      <c r="O277" s="18">
        <f t="shared" si="75"/>
        <v>45.8</v>
      </c>
      <c r="P277" s="16">
        <v>0</v>
      </c>
      <c r="Q277" s="16">
        <v>1</v>
      </c>
      <c r="R277" s="16">
        <v>0</v>
      </c>
      <c r="S277" s="14"/>
      <c r="T277" s="56" t="str">
        <f t="shared" si="76"/>
        <v/>
      </c>
      <c r="U277" s="56" t="str">
        <f t="shared" si="77"/>
        <v/>
      </c>
      <c r="V277" s="56" t="str">
        <f t="shared" si="78"/>
        <v/>
      </c>
      <c r="W277" s="14"/>
      <c r="X277" s="14"/>
      <c r="Y277" s="14"/>
      <c r="Z277" s="14"/>
      <c r="AA277" s="18">
        <f t="shared" si="79"/>
        <v>45.8</v>
      </c>
      <c r="AB277" s="14"/>
      <c r="AC277" s="14"/>
      <c r="AD277" s="14"/>
      <c r="AE277" s="14"/>
      <c r="AF277" s="16">
        <v>0</v>
      </c>
      <c r="AG277" s="16">
        <v>1</v>
      </c>
      <c r="AH277" s="16">
        <v>1</v>
      </c>
      <c r="AI277" s="16">
        <v>1</v>
      </c>
      <c r="AJ277" s="5">
        <v>1</v>
      </c>
      <c r="AK277" s="5">
        <v>0</v>
      </c>
      <c r="AL277" s="5">
        <v>0</v>
      </c>
      <c r="AM277" s="20">
        <v>3</v>
      </c>
      <c r="AN277" s="20">
        <v>1</v>
      </c>
      <c r="AO277" s="16"/>
      <c r="AP277" s="16"/>
      <c r="AQ277" s="16"/>
      <c r="AR277" s="16">
        <v>1</v>
      </c>
      <c r="AS277" s="16">
        <v>0</v>
      </c>
      <c r="AT277" s="16"/>
      <c r="AU277" s="16"/>
      <c r="AV277" s="16"/>
      <c r="AW277" s="16"/>
      <c r="AX277" s="16">
        <v>0</v>
      </c>
      <c r="AY277" s="16">
        <v>0</v>
      </c>
      <c r="AZ277" s="16">
        <v>1</v>
      </c>
      <c r="BA277" s="16">
        <v>0</v>
      </c>
    </row>
    <row r="278" spans="1:53" x14ac:dyDescent="0.2">
      <c r="A278" s="14"/>
      <c r="B278" s="14" t="str">
        <f t="shared" si="80"/>
        <v>Tol &amp; Downing 2001</v>
      </c>
      <c r="C278" s="61">
        <f t="shared" si="81"/>
        <v>30</v>
      </c>
      <c r="D278" s="58">
        <v>2001</v>
      </c>
      <c r="E278" s="17"/>
      <c r="F278" s="58">
        <v>0</v>
      </c>
      <c r="G278" s="22">
        <v>1995</v>
      </c>
      <c r="H278" s="15">
        <f>LOOKUP(G278,CPI!A$69:A$100,CPI!O$69:O$100)</f>
        <v>1.4308136482939633</v>
      </c>
      <c r="I278" s="69">
        <v>1995</v>
      </c>
      <c r="J278" s="15">
        <v>0.8</v>
      </c>
      <c r="K278" s="15"/>
      <c r="L278" s="62"/>
      <c r="M278" s="56">
        <f t="shared" si="82"/>
        <v>10.562965955827231</v>
      </c>
      <c r="N278" s="14">
        <v>5.0999999999999996</v>
      </c>
      <c r="O278" s="14">
        <v>4.8</v>
      </c>
      <c r="P278" s="16">
        <v>0</v>
      </c>
      <c r="Q278" s="16">
        <v>0</v>
      </c>
      <c r="R278" s="16">
        <v>1</v>
      </c>
      <c r="S278" s="14">
        <v>3.2</v>
      </c>
      <c r="T278" s="56">
        <f t="shared" si="76"/>
        <v>8.4503727646617861</v>
      </c>
      <c r="U278" s="56">
        <f t="shared" si="77"/>
        <v>8.4503727646617861</v>
      </c>
      <c r="V278" s="56">
        <f t="shared" si="78"/>
        <v>8.4503727646617861</v>
      </c>
      <c r="W278" s="14"/>
      <c r="X278" s="14"/>
      <c r="Y278" s="14"/>
      <c r="Z278" s="14"/>
      <c r="AA278" s="14">
        <v>4</v>
      </c>
      <c r="AB278" s="14"/>
      <c r="AC278" s="14"/>
      <c r="AD278" s="14"/>
      <c r="AE278" s="14"/>
      <c r="AF278" s="16">
        <v>0</v>
      </c>
      <c r="AG278" s="16">
        <v>1</v>
      </c>
      <c r="AH278" s="16">
        <v>1</v>
      </c>
      <c r="AI278" s="16">
        <v>1</v>
      </c>
      <c r="AJ278" s="5">
        <v>1</v>
      </c>
      <c r="AK278" s="5">
        <v>0</v>
      </c>
      <c r="AL278" s="5">
        <v>0</v>
      </c>
      <c r="AM278" s="20">
        <v>3</v>
      </c>
      <c r="AN278" s="20">
        <v>1</v>
      </c>
      <c r="AO278" s="16"/>
      <c r="AP278" s="16"/>
      <c r="AQ278" s="16"/>
      <c r="AR278" s="16">
        <v>0</v>
      </c>
      <c r="AS278" s="16">
        <v>0</v>
      </c>
      <c r="AT278" s="16"/>
      <c r="AU278" s="16"/>
      <c r="AV278" s="16"/>
      <c r="AW278" s="16"/>
      <c r="AX278" s="16">
        <v>0</v>
      </c>
      <c r="AY278" s="16">
        <v>0</v>
      </c>
      <c r="AZ278" s="16">
        <v>1</v>
      </c>
      <c r="BA278" s="16">
        <v>0</v>
      </c>
    </row>
    <row r="279" spans="1:53" x14ac:dyDescent="0.2">
      <c r="A279" s="14" t="s">
        <v>181</v>
      </c>
      <c r="B279" s="14" t="str">
        <f t="shared" si="80"/>
        <v>Clarkson &amp; Deyes 2002</v>
      </c>
      <c r="C279" s="61">
        <f t="shared" si="81"/>
        <v>31</v>
      </c>
      <c r="D279" s="58">
        <v>2002</v>
      </c>
      <c r="E279" s="17" t="s">
        <v>92</v>
      </c>
      <c r="F279" s="58">
        <v>0</v>
      </c>
      <c r="G279" s="16">
        <v>2000</v>
      </c>
      <c r="H279" s="15">
        <f>LOOKUP(G279,CPI!A$69:A$100,CPI!O$69:O$100)</f>
        <v>1.2662950058072011</v>
      </c>
      <c r="I279" s="52">
        <v>2000</v>
      </c>
      <c r="J279" s="15">
        <v>1</v>
      </c>
      <c r="K279" s="15"/>
      <c r="L279" s="62"/>
      <c r="M279" s="56">
        <f t="shared" si="82"/>
        <v>203.52044672144405</v>
      </c>
      <c r="N279" s="14">
        <v>101.5</v>
      </c>
      <c r="O279" s="18">
        <f t="shared" ref="O279:O288" si="83">N279</f>
        <v>101.5</v>
      </c>
      <c r="P279" s="16">
        <v>0</v>
      </c>
      <c r="Q279" s="16">
        <v>1</v>
      </c>
      <c r="R279" s="16">
        <v>0</v>
      </c>
      <c r="S279" s="14"/>
      <c r="T279" s="56" t="str">
        <f t="shared" si="76"/>
        <v/>
      </c>
      <c r="U279" s="56">
        <f>+(AA279-X279)/1.96*H279*(1+$L$2)^(2015-I279)</f>
        <v>51.662725240941604</v>
      </c>
      <c r="V279" s="56">
        <f>+(AD279-AA279)/1.96*H279*(1+$L$2)^(2015-I279)</f>
        <v>103.83696261298164</v>
      </c>
      <c r="W279" s="14"/>
      <c r="X279" s="14">
        <v>51</v>
      </c>
      <c r="Y279" s="14"/>
      <c r="Z279" s="14"/>
      <c r="AA279" s="18">
        <f t="shared" ref="AA279:AA342" si="84">N279</f>
        <v>101.5</v>
      </c>
      <c r="AB279" s="14"/>
      <c r="AC279" s="14"/>
      <c r="AD279" s="14">
        <v>203</v>
      </c>
      <c r="AE279" s="14"/>
      <c r="AF279" s="16">
        <v>0</v>
      </c>
      <c r="AG279" s="16">
        <v>1</v>
      </c>
      <c r="AH279" s="16">
        <v>0</v>
      </c>
      <c r="AI279" s="16">
        <v>1</v>
      </c>
      <c r="AJ279" s="5">
        <v>1</v>
      </c>
      <c r="AK279" s="5">
        <v>0</v>
      </c>
      <c r="AL279" s="5">
        <v>0</v>
      </c>
      <c r="AM279" s="20">
        <v>3</v>
      </c>
      <c r="AN279" s="20">
        <v>1</v>
      </c>
      <c r="AO279" s="16"/>
      <c r="AP279" s="16"/>
      <c r="AQ279" s="16"/>
      <c r="AR279" s="16">
        <v>1</v>
      </c>
      <c r="AS279" s="16">
        <v>0</v>
      </c>
      <c r="AT279" s="16"/>
      <c r="AU279" s="16"/>
      <c r="AV279" s="16"/>
      <c r="AW279" s="16"/>
      <c r="AX279" s="16">
        <v>0</v>
      </c>
      <c r="AY279" s="16">
        <v>0</v>
      </c>
      <c r="AZ279" s="16">
        <v>0</v>
      </c>
      <c r="BA279" s="16">
        <v>0</v>
      </c>
    </row>
    <row r="280" spans="1:53" x14ac:dyDescent="0.2">
      <c r="A280" s="14" t="s">
        <v>180</v>
      </c>
      <c r="B280" s="14" t="str">
        <f t="shared" si="80"/>
        <v>Newell &amp; Pizer 2003</v>
      </c>
      <c r="C280" s="61">
        <f t="shared" si="81"/>
        <v>32</v>
      </c>
      <c r="D280" s="58">
        <v>2003</v>
      </c>
      <c r="E280" s="17" t="s">
        <v>109</v>
      </c>
      <c r="F280" s="58">
        <v>1</v>
      </c>
      <c r="G280" s="16">
        <v>1989</v>
      </c>
      <c r="H280" s="15">
        <f>LOOKUP(G280,CPI!A$69:A$100,CPI!O$69:O$100)</f>
        <v>1.7585161290322582</v>
      </c>
      <c r="I280" s="52">
        <v>2000</v>
      </c>
      <c r="J280" s="15">
        <f>0.5*0.2</f>
        <v>0.1</v>
      </c>
      <c r="K280" s="15"/>
      <c r="L280" s="62"/>
      <c r="M280" s="56">
        <f t="shared" si="82"/>
        <v>15.983259821387531</v>
      </c>
      <c r="N280" s="14">
        <v>5.74</v>
      </c>
      <c r="O280" s="18">
        <f t="shared" si="83"/>
        <v>5.74</v>
      </c>
      <c r="P280" s="16">
        <v>0</v>
      </c>
      <c r="Q280" s="16">
        <v>1</v>
      </c>
      <c r="R280" s="16">
        <v>0</v>
      </c>
      <c r="S280" s="14"/>
      <c r="T280" s="56" t="str">
        <f t="shared" si="76"/>
        <v/>
      </c>
      <c r="U280" s="56" t="str">
        <f t="shared" ref="U280:U288" si="85">+V280</f>
        <v/>
      </c>
      <c r="V280" s="56" t="str">
        <f t="shared" ref="V280:V288" si="86">+T280</f>
        <v/>
      </c>
      <c r="W280" s="14"/>
      <c r="X280" s="14"/>
      <c r="Y280" s="14"/>
      <c r="Z280" s="14"/>
      <c r="AA280" s="18">
        <f t="shared" si="84"/>
        <v>5.74</v>
      </c>
      <c r="AB280" s="14"/>
      <c r="AC280" s="14"/>
      <c r="AD280" s="14"/>
      <c r="AE280" s="14"/>
      <c r="AF280" s="16">
        <v>0</v>
      </c>
      <c r="AG280" s="16">
        <v>1</v>
      </c>
      <c r="AH280" s="16">
        <v>0</v>
      </c>
      <c r="AI280" s="16">
        <v>1</v>
      </c>
      <c r="AJ280" s="5">
        <v>0</v>
      </c>
      <c r="AK280" s="5">
        <v>0</v>
      </c>
      <c r="AL280" s="5">
        <v>0</v>
      </c>
      <c r="AM280" s="20">
        <v>4</v>
      </c>
      <c r="AN280" s="20">
        <v>2</v>
      </c>
      <c r="AO280" s="16"/>
      <c r="AP280" s="16"/>
      <c r="AQ280" s="16"/>
      <c r="AR280" s="16">
        <v>0</v>
      </c>
      <c r="AS280" s="16">
        <v>0</v>
      </c>
      <c r="AT280" s="16"/>
      <c r="AU280" s="16"/>
      <c r="AV280" s="16"/>
      <c r="AW280" s="16"/>
      <c r="AX280" s="16">
        <v>0</v>
      </c>
      <c r="AY280" s="16">
        <v>0</v>
      </c>
      <c r="AZ280" s="16">
        <v>0</v>
      </c>
      <c r="BA280" s="16">
        <v>0</v>
      </c>
    </row>
    <row r="281" spans="1:53" x14ac:dyDescent="0.2">
      <c r="A281" s="14"/>
      <c r="B281" s="14" t="str">
        <f t="shared" si="80"/>
        <v>Newell &amp; Pizer 2003</v>
      </c>
      <c r="C281" s="61">
        <f t="shared" si="81"/>
        <v>32</v>
      </c>
      <c r="D281" s="58">
        <v>2003</v>
      </c>
      <c r="E281" s="17"/>
      <c r="F281" s="58">
        <v>1</v>
      </c>
      <c r="G281" s="16">
        <v>1989</v>
      </c>
      <c r="H281" s="15">
        <f>LOOKUP(G281,CPI!A$69:A$100,CPI!O$69:O$100)</f>
        <v>1.7585161290322582</v>
      </c>
      <c r="I281" s="52">
        <v>2000</v>
      </c>
      <c r="J281" s="15">
        <f>0.5*0.4</f>
        <v>0.2</v>
      </c>
      <c r="K281" s="15"/>
      <c r="L281" s="62"/>
      <c r="M281" s="56">
        <f t="shared" si="82"/>
        <v>29.070598002663033</v>
      </c>
      <c r="N281" s="14">
        <v>10.44</v>
      </c>
      <c r="O281" s="18">
        <f t="shared" si="83"/>
        <v>10.44</v>
      </c>
      <c r="P281" s="16">
        <v>0</v>
      </c>
      <c r="Q281" s="16">
        <v>1</v>
      </c>
      <c r="R281" s="16">
        <v>0</v>
      </c>
      <c r="S281" s="14"/>
      <c r="T281" s="56" t="str">
        <f t="shared" si="76"/>
        <v/>
      </c>
      <c r="U281" s="56" t="str">
        <f t="shared" si="85"/>
        <v/>
      </c>
      <c r="V281" s="56" t="str">
        <f t="shared" si="86"/>
        <v/>
      </c>
      <c r="W281" s="14"/>
      <c r="X281" s="14"/>
      <c r="Y281" s="14"/>
      <c r="Z281" s="14"/>
      <c r="AA281" s="18">
        <f t="shared" si="84"/>
        <v>10.44</v>
      </c>
      <c r="AB281" s="14"/>
      <c r="AC281" s="14"/>
      <c r="AD281" s="14"/>
      <c r="AE281" s="14"/>
      <c r="AF281" s="16">
        <v>0</v>
      </c>
      <c r="AG281" s="16">
        <v>1</v>
      </c>
      <c r="AH281" s="16">
        <v>0</v>
      </c>
      <c r="AI281" s="16">
        <v>1</v>
      </c>
      <c r="AJ281" s="5">
        <v>0</v>
      </c>
      <c r="AK281" s="5">
        <v>0</v>
      </c>
      <c r="AL281" s="5">
        <v>0</v>
      </c>
      <c r="AM281" s="20"/>
      <c r="AN281" s="20">
        <v>2</v>
      </c>
      <c r="AO281" s="16"/>
      <c r="AP281" s="16"/>
      <c r="AQ281" s="16"/>
      <c r="AR281" s="16">
        <v>0</v>
      </c>
      <c r="AS281" s="16">
        <v>0</v>
      </c>
      <c r="AT281" s="16"/>
      <c r="AU281" s="16"/>
      <c r="AV281" s="16"/>
      <c r="AW281" s="16"/>
      <c r="AX281" s="16">
        <v>0</v>
      </c>
      <c r="AY281" s="16">
        <v>0</v>
      </c>
      <c r="AZ281" s="16">
        <v>0</v>
      </c>
      <c r="BA281" s="16">
        <v>0</v>
      </c>
    </row>
    <row r="282" spans="1:53" x14ac:dyDescent="0.2">
      <c r="A282" s="14"/>
      <c r="B282" s="14" t="str">
        <f t="shared" si="80"/>
        <v>Newell &amp; Pizer 2003</v>
      </c>
      <c r="C282" s="61">
        <f t="shared" si="81"/>
        <v>32</v>
      </c>
      <c r="D282" s="58">
        <v>2003</v>
      </c>
      <c r="E282" s="17"/>
      <c r="F282" s="58">
        <v>1</v>
      </c>
      <c r="G282" s="16">
        <v>1989</v>
      </c>
      <c r="H282" s="15">
        <f>LOOKUP(G282,CPI!A$69:A$100,CPI!O$69:O$100)</f>
        <v>1.7585161290322582</v>
      </c>
      <c r="I282" s="52">
        <v>2000</v>
      </c>
      <c r="J282" s="15">
        <f>0.5*0.4</f>
        <v>0.2</v>
      </c>
      <c r="K282" s="15"/>
      <c r="L282" s="62"/>
      <c r="M282" s="56">
        <f t="shared" si="82"/>
        <v>18.15520105147155</v>
      </c>
      <c r="N282" s="14">
        <v>6.52</v>
      </c>
      <c r="O282" s="18">
        <f t="shared" si="83"/>
        <v>6.52</v>
      </c>
      <c r="P282" s="16">
        <v>0</v>
      </c>
      <c r="Q282" s="16">
        <v>1</v>
      </c>
      <c r="R282" s="16">
        <v>0</v>
      </c>
      <c r="S282" s="14"/>
      <c r="T282" s="56" t="str">
        <f t="shared" si="76"/>
        <v/>
      </c>
      <c r="U282" s="56" t="str">
        <f t="shared" si="85"/>
        <v/>
      </c>
      <c r="V282" s="56" t="str">
        <f t="shared" si="86"/>
        <v/>
      </c>
      <c r="W282" s="14"/>
      <c r="X282" s="14"/>
      <c r="Y282" s="14"/>
      <c r="Z282" s="14"/>
      <c r="AA282" s="18">
        <f t="shared" si="84"/>
        <v>6.52</v>
      </c>
      <c r="AB282" s="14"/>
      <c r="AC282" s="14"/>
      <c r="AD282" s="14"/>
      <c r="AE282" s="14"/>
      <c r="AF282" s="16">
        <v>0</v>
      </c>
      <c r="AG282" s="16">
        <v>1</v>
      </c>
      <c r="AH282" s="16">
        <v>0</v>
      </c>
      <c r="AI282" s="16">
        <v>1</v>
      </c>
      <c r="AJ282" s="5">
        <v>0</v>
      </c>
      <c r="AK282" s="5">
        <v>0</v>
      </c>
      <c r="AL282" s="5">
        <v>0</v>
      </c>
      <c r="AM282" s="20"/>
      <c r="AN282" s="20">
        <v>2</v>
      </c>
      <c r="AO282" s="16"/>
      <c r="AP282" s="16"/>
      <c r="AQ282" s="16"/>
      <c r="AR282" s="16">
        <v>0</v>
      </c>
      <c r="AS282" s="16">
        <v>0</v>
      </c>
      <c r="AT282" s="16"/>
      <c r="AU282" s="16"/>
      <c r="AV282" s="16"/>
      <c r="AW282" s="16"/>
      <c r="AX282" s="16">
        <v>0</v>
      </c>
      <c r="AY282" s="16">
        <v>0</v>
      </c>
      <c r="AZ282" s="16">
        <v>0</v>
      </c>
      <c r="BA282" s="16">
        <v>0</v>
      </c>
    </row>
    <row r="283" spans="1:53" x14ac:dyDescent="0.2">
      <c r="A283" s="14"/>
      <c r="B283" s="14" t="str">
        <f t="shared" si="80"/>
        <v>Newell &amp; Pizer 2003</v>
      </c>
      <c r="C283" s="61">
        <f t="shared" si="81"/>
        <v>32</v>
      </c>
      <c r="D283" s="58">
        <v>2003</v>
      </c>
      <c r="E283" s="17"/>
      <c r="F283" s="58">
        <v>1</v>
      </c>
      <c r="G283" s="16">
        <v>1989</v>
      </c>
      <c r="H283" s="15">
        <f>LOOKUP(G283,CPI!A$69:A$100,CPI!O$69:O$100)</f>
        <v>1.7585161290322582</v>
      </c>
      <c r="I283" s="52">
        <v>2000</v>
      </c>
      <c r="J283" s="15">
        <f>0.25*0.2</f>
        <v>0.05</v>
      </c>
      <c r="K283" s="15"/>
      <c r="L283" s="62"/>
      <c r="M283" s="56">
        <f t="shared" si="82"/>
        <v>60.508055038109937</v>
      </c>
      <c r="N283" s="14">
        <v>21.73</v>
      </c>
      <c r="O283" s="18">
        <f t="shared" si="83"/>
        <v>21.73</v>
      </c>
      <c r="P283" s="16">
        <v>0</v>
      </c>
      <c r="Q283" s="16">
        <v>1</v>
      </c>
      <c r="R283" s="16">
        <v>0</v>
      </c>
      <c r="S283" s="14"/>
      <c r="T283" s="56" t="str">
        <f t="shared" si="76"/>
        <v/>
      </c>
      <c r="U283" s="56" t="str">
        <f t="shared" si="85"/>
        <v/>
      </c>
      <c r="V283" s="56" t="str">
        <f t="shared" si="86"/>
        <v/>
      </c>
      <c r="W283" s="14"/>
      <c r="X283" s="14"/>
      <c r="Y283" s="14"/>
      <c r="Z283" s="14"/>
      <c r="AA283" s="18">
        <f t="shared" si="84"/>
        <v>21.73</v>
      </c>
      <c r="AB283" s="14"/>
      <c r="AC283" s="14"/>
      <c r="AD283" s="14"/>
      <c r="AE283" s="14"/>
      <c r="AF283" s="16">
        <v>0</v>
      </c>
      <c r="AG283" s="16">
        <v>1</v>
      </c>
      <c r="AH283" s="16">
        <v>0</v>
      </c>
      <c r="AI283" s="16">
        <v>1</v>
      </c>
      <c r="AJ283" s="5">
        <v>0</v>
      </c>
      <c r="AK283" s="5">
        <v>0</v>
      </c>
      <c r="AL283" s="5">
        <v>0</v>
      </c>
      <c r="AM283" s="20">
        <v>2</v>
      </c>
      <c r="AN283" s="20">
        <v>0</v>
      </c>
      <c r="AO283" s="16"/>
      <c r="AP283" s="16"/>
      <c r="AQ283" s="16"/>
      <c r="AR283" s="16">
        <v>0</v>
      </c>
      <c r="AS283" s="16">
        <v>0</v>
      </c>
      <c r="AT283" s="16"/>
      <c r="AU283" s="16"/>
      <c r="AV283" s="16"/>
      <c r="AW283" s="16"/>
      <c r="AX283" s="16">
        <v>0</v>
      </c>
      <c r="AY283" s="16">
        <v>0</v>
      </c>
      <c r="AZ283" s="16">
        <v>0</v>
      </c>
      <c r="BA283" s="16">
        <v>0</v>
      </c>
    </row>
    <row r="284" spans="1:53" x14ac:dyDescent="0.2">
      <c r="A284" s="14"/>
      <c r="B284" s="14" t="str">
        <f t="shared" si="80"/>
        <v>Newell &amp; Pizer 2003</v>
      </c>
      <c r="C284" s="61">
        <f t="shared" si="81"/>
        <v>32</v>
      </c>
      <c r="D284" s="58">
        <v>2003</v>
      </c>
      <c r="E284" s="17"/>
      <c r="F284" s="58">
        <v>1</v>
      </c>
      <c r="G284" s="16">
        <v>1989</v>
      </c>
      <c r="H284" s="15">
        <f>LOOKUP(G284,CPI!A$69:A$100,CPI!O$69:O$100)</f>
        <v>1.7585161290322582</v>
      </c>
      <c r="I284" s="52">
        <v>2000</v>
      </c>
      <c r="J284" s="15">
        <f>0.25*0.4</f>
        <v>0.1</v>
      </c>
      <c r="K284" s="15"/>
      <c r="L284" s="62"/>
      <c r="M284" s="56">
        <f t="shared" si="82"/>
        <v>94.228834905183632</v>
      </c>
      <c r="N284" s="14">
        <v>33.840000000000003</v>
      </c>
      <c r="O284" s="18">
        <f t="shared" si="83"/>
        <v>33.840000000000003</v>
      </c>
      <c r="P284" s="16">
        <v>0</v>
      </c>
      <c r="Q284" s="16">
        <v>1</v>
      </c>
      <c r="R284" s="16">
        <v>0</v>
      </c>
      <c r="S284" s="14"/>
      <c r="T284" s="56" t="str">
        <f t="shared" si="76"/>
        <v/>
      </c>
      <c r="U284" s="56" t="str">
        <f t="shared" si="85"/>
        <v/>
      </c>
      <c r="V284" s="56" t="str">
        <f t="shared" si="86"/>
        <v/>
      </c>
      <c r="W284" s="14"/>
      <c r="X284" s="14"/>
      <c r="Y284" s="14"/>
      <c r="Z284" s="14"/>
      <c r="AA284" s="18">
        <f t="shared" si="84"/>
        <v>33.840000000000003</v>
      </c>
      <c r="AB284" s="14"/>
      <c r="AC284" s="14"/>
      <c r="AD284" s="14"/>
      <c r="AE284" s="14"/>
      <c r="AF284" s="16">
        <v>0</v>
      </c>
      <c r="AG284" s="16">
        <v>1</v>
      </c>
      <c r="AH284" s="16">
        <v>0</v>
      </c>
      <c r="AI284" s="16">
        <v>1</v>
      </c>
      <c r="AJ284" s="5">
        <v>0</v>
      </c>
      <c r="AK284" s="5">
        <v>0</v>
      </c>
      <c r="AL284" s="5">
        <v>0</v>
      </c>
      <c r="AM284" s="20"/>
      <c r="AN284" s="20">
        <v>0</v>
      </c>
      <c r="AO284" s="16"/>
      <c r="AP284" s="16"/>
      <c r="AQ284" s="16"/>
      <c r="AR284" s="16">
        <v>0</v>
      </c>
      <c r="AS284" s="16">
        <v>0</v>
      </c>
      <c r="AT284" s="16"/>
      <c r="AU284" s="16"/>
      <c r="AV284" s="16"/>
      <c r="AW284" s="16"/>
      <c r="AX284" s="16">
        <v>0</v>
      </c>
      <c r="AY284" s="16">
        <v>0</v>
      </c>
      <c r="AZ284" s="16">
        <v>0</v>
      </c>
      <c r="BA284" s="16">
        <v>0</v>
      </c>
    </row>
    <row r="285" spans="1:53" x14ac:dyDescent="0.2">
      <c r="A285" s="14"/>
      <c r="B285" s="14" t="str">
        <f t="shared" si="80"/>
        <v>Newell &amp; Pizer 2003</v>
      </c>
      <c r="C285" s="61">
        <f t="shared" si="81"/>
        <v>32</v>
      </c>
      <c r="D285" s="58">
        <v>2003</v>
      </c>
      <c r="E285" s="17"/>
      <c r="F285" s="58">
        <v>1</v>
      </c>
      <c r="G285" s="16">
        <v>1989</v>
      </c>
      <c r="H285" s="15">
        <f>LOOKUP(G285,CPI!A$69:A$100,CPI!O$69:O$100)</f>
        <v>1.7585161290322582</v>
      </c>
      <c r="I285" s="52">
        <v>2000</v>
      </c>
      <c r="J285" s="15">
        <f>0.25*0.4</f>
        <v>0.1</v>
      </c>
      <c r="K285" s="15"/>
      <c r="L285" s="62"/>
      <c r="M285" s="56">
        <f t="shared" si="82"/>
        <v>64.93547369943505</v>
      </c>
      <c r="N285" s="14">
        <v>23.32</v>
      </c>
      <c r="O285" s="18">
        <f t="shared" si="83"/>
        <v>23.32</v>
      </c>
      <c r="P285" s="16">
        <v>0</v>
      </c>
      <c r="Q285" s="16">
        <v>1</v>
      </c>
      <c r="R285" s="16">
        <v>0</v>
      </c>
      <c r="S285" s="14"/>
      <c r="T285" s="56" t="str">
        <f t="shared" si="76"/>
        <v/>
      </c>
      <c r="U285" s="56" t="str">
        <f t="shared" si="85"/>
        <v/>
      </c>
      <c r="V285" s="56" t="str">
        <f t="shared" si="86"/>
        <v/>
      </c>
      <c r="W285" s="14"/>
      <c r="X285" s="14"/>
      <c r="Y285" s="14"/>
      <c r="Z285" s="14"/>
      <c r="AA285" s="18">
        <f t="shared" si="84"/>
        <v>23.32</v>
      </c>
      <c r="AB285" s="14"/>
      <c r="AC285" s="14"/>
      <c r="AD285" s="14"/>
      <c r="AE285" s="14"/>
      <c r="AF285" s="16">
        <v>0</v>
      </c>
      <c r="AG285" s="16">
        <v>1</v>
      </c>
      <c r="AH285" s="16">
        <v>0</v>
      </c>
      <c r="AI285" s="16">
        <v>1</v>
      </c>
      <c r="AJ285" s="5">
        <v>0</v>
      </c>
      <c r="AK285" s="5">
        <v>0</v>
      </c>
      <c r="AL285" s="5">
        <v>0</v>
      </c>
      <c r="AM285" s="20"/>
      <c r="AN285" s="20">
        <v>0</v>
      </c>
      <c r="AO285" s="16"/>
      <c r="AP285" s="16"/>
      <c r="AQ285" s="16"/>
      <c r="AR285" s="16">
        <v>0</v>
      </c>
      <c r="AS285" s="16">
        <v>0</v>
      </c>
      <c r="AT285" s="16"/>
      <c r="AU285" s="16"/>
      <c r="AV285" s="16"/>
      <c r="AW285" s="16"/>
      <c r="AX285" s="16">
        <v>0</v>
      </c>
      <c r="AY285" s="16">
        <v>0</v>
      </c>
      <c r="AZ285" s="16">
        <v>0</v>
      </c>
      <c r="BA285" s="16">
        <v>0</v>
      </c>
    </row>
    <row r="286" spans="1:53" x14ac:dyDescent="0.2">
      <c r="A286" s="14"/>
      <c r="B286" s="14" t="str">
        <f t="shared" si="80"/>
        <v>Newell &amp; Pizer 2003</v>
      </c>
      <c r="C286" s="61">
        <f t="shared" si="81"/>
        <v>32</v>
      </c>
      <c r="D286" s="58">
        <v>2003</v>
      </c>
      <c r="E286" s="17"/>
      <c r="F286" s="58">
        <v>1</v>
      </c>
      <c r="G286" s="16">
        <v>1989</v>
      </c>
      <c r="H286" s="15">
        <f>LOOKUP(G286,CPI!A$69:A$100,CPI!O$69:O$100)</f>
        <v>1.7585161290322582</v>
      </c>
      <c r="I286" s="52">
        <v>2000</v>
      </c>
      <c r="J286" s="15">
        <f>0.25*0.2</f>
        <v>0.05</v>
      </c>
      <c r="K286" s="15"/>
      <c r="L286" s="62"/>
      <c r="M286" s="56">
        <f t="shared" si="82"/>
        <v>4.1211192570824995</v>
      </c>
      <c r="N286" s="14">
        <v>1.48</v>
      </c>
      <c r="O286" s="18">
        <f t="shared" si="83"/>
        <v>1.48</v>
      </c>
      <c r="P286" s="16">
        <v>0</v>
      </c>
      <c r="Q286" s="16">
        <v>1</v>
      </c>
      <c r="R286" s="16">
        <v>0</v>
      </c>
      <c r="S286" s="14"/>
      <c r="T286" s="56" t="str">
        <f t="shared" si="76"/>
        <v/>
      </c>
      <c r="U286" s="56" t="str">
        <f t="shared" si="85"/>
        <v/>
      </c>
      <c r="V286" s="56" t="str">
        <f t="shared" si="86"/>
        <v/>
      </c>
      <c r="W286" s="14"/>
      <c r="X286" s="14"/>
      <c r="Y286" s="14"/>
      <c r="Z286" s="14"/>
      <c r="AA286" s="18">
        <f t="shared" si="84"/>
        <v>1.48</v>
      </c>
      <c r="AB286" s="14"/>
      <c r="AC286" s="14"/>
      <c r="AD286" s="14"/>
      <c r="AE286" s="14"/>
      <c r="AF286" s="16">
        <v>0</v>
      </c>
      <c r="AG286" s="16">
        <v>1</v>
      </c>
      <c r="AH286" s="16">
        <v>0</v>
      </c>
      <c r="AI286" s="16">
        <v>1</v>
      </c>
      <c r="AJ286" s="5">
        <v>0</v>
      </c>
      <c r="AK286" s="5">
        <v>0</v>
      </c>
      <c r="AL286" s="5">
        <v>0</v>
      </c>
      <c r="AM286" s="20">
        <v>7</v>
      </c>
      <c r="AN286" s="20">
        <v>5</v>
      </c>
      <c r="AO286" s="16"/>
      <c r="AP286" s="16"/>
      <c r="AQ286" s="16"/>
      <c r="AR286" s="16">
        <v>0</v>
      </c>
      <c r="AS286" s="16">
        <v>0</v>
      </c>
      <c r="AT286" s="16"/>
      <c r="AU286" s="16"/>
      <c r="AV286" s="16"/>
      <c r="AW286" s="16"/>
      <c r="AX286" s="16">
        <v>0</v>
      </c>
      <c r="AY286" s="16">
        <v>0</v>
      </c>
      <c r="AZ286" s="16">
        <v>0</v>
      </c>
      <c r="BA286" s="16">
        <v>0</v>
      </c>
    </row>
    <row r="287" spans="1:53" x14ac:dyDescent="0.2">
      <c r="A287" s="14"/>
      <c r="B287" s="14" t="str">
        <f t="shared" si="80"/>
        <v>Newell &amp; Pizer 2003</v>
      </c>
      <c r="C287" s="61">
        <f t="shared" si="81"/>
        <v>32</v>
      </c>
      <c r="D287" s="58">
        <v>2003</v>
      </c>
      <c r="E287" s="17"/>
      <c r="F287" s="58">
        <v>1</v>
      </c>
      <c r="G287" s="16">
        <v>1989</v>
      </c>
      <c r="H287" s="15">
        <f>LOOKUP(G287,CPI!A$69:A$100,CPI!O$69:O$100)</f>
        <v>1.7585161290322582</v>
      </c>
      <c r="I287" s="52">
        <v>2000</v>
      </c>
      <c r="J287" s="15">
        <f>0.25*0.4</f>
        <v>0.1</v>
      </c>
      <c r="K287" s="15"/>
      <c r="L287" s="62"/>
      <c r="M287" s="56">
        <f t="shared" si="82"/>
        <v>8.0194753110794572</v>
      </c>
      <c r="N287" s="14">
        <v>2.88</v>
      </c>
      <c r="O287" s="18">
        <f t="shared" si="83"/>
        <v>2.88</v>
      </c>
      <c r="P287" s="16">
        <v>0</v>
      </c>
      <c r="Q287" s="16">
        <v>1</v>
      </c>
      <c r="R287" s="16">
        <v>0</v>
      </c>
      <c r="S287" s="14"/>
      <c r="T287" s="56" t="str">
        <f t="shared" si="76"/>
        <v/>
      </c>
      <c r="U287" s="56" t="str">
        <f t="shared" si="85"/>
        <v/>
      </c>
      <c r="V287" s="56" t="str">
        <f t="shared" si="86"/>
        <v/>
      </c>
      <c r="W287" s="14"/>
      <c r="X287" s="14"/>
      <c r="Y287" s="14"/>
      <c r="Z287" s="14"/>
      <c r="AA287" s="18">
        <f t="shared" si="84"/>
        <v>2.88</v>
      </c>
      <c r="AB287" s="14"/>
      <c r="AC287" s="14"/>
      <c r="AD287" s="14"/>
      <c r="AE287" s="14"/>
      <c r="AF287" s="16">
        <v>0</v>
      </c>
      <c r="AG287" s="16">
        <v>1</v>
      </c>
      <c r="AH287" s="16">
        <v>0</v>
      </c>
      <c r="AI287" s="16">
        <v>1</v>
      </c>
      <c r="AJ287" s="5">
        <v>0</v>
      </c>
      <c r="AK287" s="5">
        <v>0</v>
      </c>
      <c r="AL287" s="5">
        <v>0</v>
      </c>
      <c r="AM287" s="20"/>
      <c r="AN287" s="20">
        <v>5</v>
      </c>
      <c r="AO287" s="16"/>
      <c r="AP287" s="16"/>
      <c r="AQ287" s="16"/>
      <c r="AR287" s="16">
        <v>0</v>
      </c>
      <c r="AS287" s="16">
        <v>0</v>
      </c>
      <c r="AT287" s="16"/>
      <c r="AU287" s="16"/>
      <c r="AV287" s="16"/>
      <c r="AW287" s="16"/>
      <c r="AX287" s="16">
        <v>0</v>
      </c>
      <c r="AY287" s="16">
        <v>0</v>
      </c>
      <c r="AZ287" s="16">
        <v>0</v>
      </c>
      <c r="BA287" s="16">
        <v>0</v>
      </c>
    </row>
    <row r="288" spans="1:53" x14ac:dyDescent="0.2">
      <c r="A288" s="14"/>
      <c r="B288" s="14" t="str">
        <f t="shared" si="80"/>
        <v>Newell &amp; Pizer 2003</v>
      </c>
      <c r="C288" s="61">
        <f t="shared" si="81"/>
        <v>32</v>
      </c>
      <c r="D288" s="58">
        <v>2003</v>
      </c>
      <c r="E288" s="17"/>
      <c r="F288" s="58">
        <v>1</v>
      </c>
      <c r="G288" s="16">
        <v>1989</v>
      </c>
      <c r="H288" s="15">
        <f>LOOKUP(G288,CPI!A$69:A$100,CPI!O$69:O$100)</f>
        <v>1.7585161290322582</v>
      </c>
      <c r="I288" s="52">
        <v>2000</v>
      </c>
      <c r="J288" s="15">
        <f>0.25*0.4</f>
        <v>0.1</v>
      </c>
      <c r="K288" s="15"/>
      <c r="L288" s="62"/>
      <c r="M288" s="56">
        <f t="shared" si="82"/>
        <v>4.9843266690389685</v>
      </c>
      <c r="N288" s="14">
        <v>1.79</v>
      </c>
      <c r="O288" s="18">
        <f t="shared" si="83"/>
        <v>1.79</v>
      </c>
      <c r="P288" s="16">
        <v>0</v>
      </c>
      <c r="Q288" s="16">
        <v>1</v>
      </c>
      <c r="R288" s="16">
        <v>0</v>
      </c>
      <c r="S288" s="14"/>
      <c r="T288" s="56" t="str">
        <f t="shared" si="76"/>
        <v/>
      </c>
      <c r="U288" s="56" t="str">
        <f t="shared" si="85"/>
        <v/>
      </c>
      <c r="V288" s="56" t="str">
        <f t="shared" si="86"/>
        <v/>
      </c>
      <c r="W288" s="14"/>
      <c r="X288" s="14"/>
      <c r="Y288" s="14"/>
      <c r="Z288" s="14"/>
      <c r="AA288" s="18">
        <f t="shared" si="84"/>
        <v>1.79</v>
      </c>
      <c r="AB288" s="14"/>
      <c r="AC288" s="14"/>
      <c r="AD288" s="14"/>
      <c r="AE288" s="14"/>
      <c r="AF288" s="16">
        <v>0</v>
      </c>
      <c r="AG288" s="16">
        <v>1</v>
      </c>
      <c r="AH288" s="16">
        <v>0</v>
      </c>
      <c r="AI288" s="16">
        <v>1</v>
      </c>
      <c r="AJ288" s="5">
        <v>0</v>
      </c>
      <c r="AK288" s="5">
        <v>0</v>
      </c>
      <c r="AL288" s="5">
        <v>0</v>
      </c>
      <c r="AM288" s="20"/>
      <c r="AN288" s="20">
        <v>5</v>
      </c>
      <c r="AO288" s="16"/>
      <c r="AP288" s="16"/>
      <c r="AQ288" s="16"/>
      <c r="AR288" s="16">
        <v>0</v>
      </c>
      <c r="AS288" s="16">
        <v>0</v>
      </c>
      <c r="AT288" s="16"/>
      <c r="AU288" s="16"/>
      <c r="AV288" s="16"/>
      <c r="AW288" s="16"/>
      <c r="AX288" s="16">
        <v>0</v>
      </c>
      <c r="AY288" s="16">
        <v>0</v>
      </c>
      <c r="AZ288" s="16">
        <v>0</v>
      </c>
      <c r="BA288" s="16">
        <v>0</v>
      </c>
    </row>
    <row r="289" spans="1:53" x14ac:dyDescent="0.2">
      <c r="A289" s="14" t="s">
        <v>21</v>
      </c>
      <c r="B289" s="14" t="str">
        <f t="shared" si="80"/>
        <v>Pearce 2003</v>
      </c>
      <c r="C289" s="61">
        <f t="shared" si="81"/>
        <v>33</v>
      </c>
      <c r="D289" s="58">
        <v>2003</v>
      </c>
      <c r="E289" s="17" t="s">
        <v>93</v>
      </c>
      <c r="F289" s="58">
        <v>1</v>
      </c>
      <c r="G289" s="16">
        <v>2000</v>
      </c>
      <c r="H289" s="15">
        <f>LOOKUP(G289,CPI!A$69:A$100,CPI!O$69:O$100)</f>
        <v>1.2662950058072011</v>
      </c>
      <c r="I289" s="52">
        <v>2000</v>
      </c>
      <c r="J289" s="15">
        <v>1</v>
      </c>
      <c r="K289" s="15"/>
      <c r="L289" s="62"/>
      <c r="M289" s="56">
        <f t="shared" si="82"/>
        <v>51.799128475901185</v>
      </c>
      <c r="N289" s="18">
        <f>O289</f>
        <v>25.833333333333332</v>
      </c>
      <c r="O289" s="18">
        <f>(X289+AD289)/2</f>
        <v>25.833333333333332</v>
      </c>
      <c r="P289" s="16">
        <v>0</v>
      </c>
      <c r="Q289" s="16">
        <v>1</v>
      </c>
      <c r="R289" s="16">
        <v>0</v>
      </c>
      <c r="S289" s="14"/>
      <c r="T289" s="56" t="str">
        <f t="shared" si="76"/>
        <v/>
      </c>
      <c r="U289" s="56">
        <f>+(AA289-X289)/1.96*H289*(1+$L$2)^(2015-I289)</f>
        <v>19.607965025439881</v>
      </c>
      <c r="V289" s="56">
        <f>+(AD289-AA289)/1.96*H289*(1+$L$2)^(2015-I289)</f>
        <v>19.607965025439885</v>
      </c>
      <c r="W289" s="14"/>
      <c r="X289" s="14">
        <f>4/2.4*4</f>
        <v>6.666666666666667</v>
      </c>
      <c r="Y289" s="14"/>
      <c r="Z289" s="14"/>
      <c r="AA289" s="18">
        <f t="shared" si="84"/>
        <v>25.833333333333332</v>
      </c>
      <c r="AB289" s="14"/>
      <c r="AC289" s="14"/>
      <c r="AD289" s="14">
        <f>4/2.4*27</f>
        <v>45</v>
      </c>
      <c r="AE289" s="14"/>
      <c r="AF289" s="16">
        <v>0</v>
      </c>
      <c r="AG289" s="16">
        <v>1</v>
      </c>
      <c r="AH289" s="16">
        <v>0</v>
      </c>
      <c r="AI289" s="16">
        <v>1</v>
      </c>
      <c r="AJ289" s="5">
        <v>0</v>
      </c>
      <c r="AK289" s="5">
        <v>1</v>
      </c>
      <c r="AL289" s="5">
        <v>0</v>
      </c>
      <c r="AM289" s="20">
        <v>3</v>
      </c>
      <c r="AN289" s="20">
        <v>1</v>
      </c>
      <c r="AO289" s="16"/>
      <c r="AP289" s="16"/>
      <c r="AQ289" s="16"/>
      <c r="AR289" s="16">
        <v>1</v>
      </c>
      <c r="AS289" s="16">
        <v>0</v>
      </c>
      <c r="AT289" s="16"/>
      <c r="AU289" s="16"/>
      <c r="AV289" s="16"/>
      <c r="AW289" s="16"/>
      <c r="AX289" s="16">
        <v>0</v>
      </c>
      <c r="AY289" s="16">
        <v>0</v>
      </c>
      <c r="AZ289" s="16">
        <v>0</v>
      </c>
      <c r="BA289" s="16">
        <v>0</v>
      </c>
    </row>
    <row r="290" spans="1:53" x14ac:dyDescent="0.2">
      <c r="A290" s="14" t="s">
        <v>27</v>
      </c>
      <c r="B290" s="14" t="str">
        <f t="shared" si="80"/>
        <v>Uzawa 2003</v>
      </c>
      <c r="C290" s="61">
        <f t="shared" si="81"/>
        <v>34</v>
      </c>
      <c r="D290" s="58">
        <v>2003</v>
      </c>
      <c r="E290" s="17" t="s">
        <v>94</v>
      </c>
      <c r="F290" s="58">
        <v>0</v>
      </c>
      <c r="G290" s="22">
        <v>2000</v>
      </c>
      <c r="H290" s="15">
        <f>LOOKUP(G290,CPI!A$69:A$100,CPI!O$69:O$100)</f>
        <v>1.2662950058072011</v>
      </c>
      <c r="I290" s="69">
        <v>2000</v>
      </c>
      <c r="J290" s="15">
        <v>1</v>
      </c>
      <c r="K290" s="15"/>
      <c r="L290" s="62"/>
      <c r="M290" s="56">
        <f t="shared" si="82"/>
        <v>322.22399791267043</v>
      </c>
      <c r="N290" s="14">
        <v>160.69999999999999</v>
      </c>
      <c r="O290" s="18">
        <f t="shared" ref="O290:O321" si="87">N290</f>
        <v>160.69999999999999</v>
      </c>
      <c r="P290" s="16">
        <v>0</v>
      </c>
      <c r="Q290" s="16">
        <v>1</v>
      </c>
      <c r="R290" s="16">
        <v>0</v>
      </c>
      <c r="S290" s="14"/>
      <c r="T290" s="56" t="str">
        <f t="shared" si="76"/>
        <v/>
      </c>
      <c r="U290" s="56" t="str">
        <f t="shared" ref="U290:U321" si="88">+V290</f>
        <v/>
      </c>
      <c r="V290" s="56" t="str">
        <f t="shared" ref="V290:V321" si="89">+T290</f>
        <v/>
      </c>
      <c r="W290" s="14"/>
      <c r="X290" s="14"/>
      <c r="Y290" s="14"/>
      <c r="Z290" s="14"/>
      <c r="AA290" s="18">
        <f t="shared" si="84"/>
        <v>160.69999999999999</v>
      </c>
      <c r="AB290" s="14"/>
      <c r="AC290" s="14"/>
      <c r="AD290" s="14"/>
      <c r="AE290" s="14"/>
      <c r="AF290" s="16">
        <v>1</v>
      </c>
      <c r="AG290" s="16">
        <v>0</v>
      </c>
      <c r="AH290" s="16">
        <v>0</v>
      </c>
      <c r="AI290" s="16">
        <v>0</v>
      </c>
      <c r="AJ290" s="5">
        <v>0</v>
      </c>
      <c r="AK290" s="5">
        <v>0</v>
      </c>
      <c r="AL290" s="5">
        <v>0</v>
      </c>
      <c r="AM290" s="20"/>
      <c r="AN290" s="20">
        <v>0</v>
      </c>
      <c r="AO290" s="16"/>
      <c r="AP290" s="16"/>
      <c r="AQ290" s="16"/>
      <c r="AR290" s="16">
        <v>0</v>
      </c>
      <c r="AS290" s="16">
        <v>0</v>
      </c>
      <c r="AT290" s="16"/>
      <c r="AU290" s="16"/>
      <c r="AV290" s="16"/>
      <c r="AW290" s="16"/>
      <c r="AX290" s="16">
        <v>0</v>
      </c>
      <c r="AY290" s="16">
        <v>0</v>
      </c>
      <c r="AZ290" s="16">
        <v>0</v>
      </c>
      <c r="BA290" s="16">
        <v>0</v>
      </c>
    </row>
    <row r="291" spans="1:53" x14ac:dyDescent="0.2">
      <c r="A291" s="14" t="s">
        <v>2</v>
      </c>
      <c r="B291" s="14" t="str">
        <f t="shared" si="80"/>
        <v>Cline 2004</v>
      </c>
      <c r="C291" s="61">
        <f t="shared" si="81"/>
        <v>35</v>
      </c>
      <c r="D291" s="58">
        <v>2004</v>
      </c>
      <c r="E291" s="17" t="s">
        <v>110</v>
      </c>
      <c r="F291" s="58">
        <v>0</v>
      </c>
      <c r="G291" s="16">
        <f>G$263</f>
        <v>1990</v>
      </c>
      <c r="H291" s="15">
        <f>LOOKUP(G291,CPI!A$69:A$100,CPI!O$69:O$100)</f>
        <v>1.6683703136954862</v>
      </c>
      <c r="I291" s="52">
        <v>1995</v>
      </c>
      <c r="J291" s="15">
        <f>1/4.25</f>
        <v>0.23529411764705882</v>
      </c>
      <c r="K291" s="59">
        <v>0.33333333333333331</v>
      </c>
      <c r="L291" s="57">
        <f>(AA292/AA291)^(1/(I292-I291))-1</f>
        <v>2.2015552184192266E-2</v>
      </c>
      <c r="M291" s="56">
        <f t="shared" si="82"/>
        <v>394.13521326226663</v>
      </c>
      <c r="N291" s="14">
        <v>128</v>
      </c>
      <c r="O291" s="18">
        <f t="shared" si="87"/>
        <v>128</v>
      </c>
      <c r="P291" s="16">
        <v>0</v>
      </c>
      <c r="Q291" s="16">
        <v>1</v>
      </c>
      <c r="R291" s="16">
        <v>0</v>
      </c>
      <c r="S291" s="14"/>
      <c r="T291" s="56" t="str">
        <f t="shared" si="76"/>
        <v/>
      </c>
      <c r="U291" s="56" t="str">
        <f t="shared" si="88"/>
        <v/>
      </c>
      <c r="V291" s="56" t="str">
        <f t="shared" si="89"/>
        <v/>
      </c>
      <c r="W291" s="14"/>
      <c r="X291" s="14"/>
      <c r="Y291" s="14"/>
      <c r="Z291" s="14"/>
      <c r="AA291" s="18">
        <f t="shared" si="84"/>
        <v>128</v>
      </c>
      <c r="AB291" s="14"/>
      <c r="AC291" s="14"/>
      <c r="AD291" s="14"/>
      <c r="AE291" s="14"/>
      <c r="AF291" s="16">
        <v>0</v>
      </c>
      <c r="AG291" s="16">
        <v>1</v>
      </c>
      <c r="AH291" s="16">
        <v>0</v>
      </c>
      <c r="AI291" s="16">
        <v>1</v>
      </c>
      <c r="AJ291" s="5">
        <v>0</v>
      </c>
      <c r="AK291" s="5">
        <v>1</v>
      </c>
      <c r="AL291" s="5">
        <v>0</v>
      </c>
      <c r="AM291" s="20"/>
      <c r="AN291" s="20">
        <v>0</v>
      </c>
      <c r="AO291" s="16"/>
      <c r="AP291" s="16"/>
      <c r="AQ291" s="16"/>
      <c r="AR291" s="16">
        <v>0</v>
      </c>
      <c r="AS291" s="16">
        <v>0</v>
      </c>
      <c r="AT291" s="16"/>
      <c r="AU291" s="16"/>
      <c r="AV291" s="16"/>
      <c r="AW291" s="16"/>
      <c r="AX291" s="16">
        <v>0</v>
      </c>
      <c r="AY291" s="16">
        <v>0</v>
      </c>
      <c r="AZ291" s="16">
        <v>0</v>
      </c>
      <c r="BA291" s="16">
        <v>0</v>
      </c>
    </row>
    <row r="292" spans="1:53" x14ac:dyDescent="0.2">
      <c r="A292" s="14"/>
      <c r="B292" s="14" t="str">
        <f t="shared" si="80"/>
        <v>Cline 2004</v>
      </c>
      <c r="C292" s="61">
        <f t="shared" si="81"/>
        <v>35</v>
      </c>
      <c r="D292" s="58">
        <v>2004</v>
      </c>
      <c r="E292" s="17"/>
      <c r="F292" s="58">
        <v>0</v>
      </c>
      <c r="G292" s="16">
        <f>G$263</f>
        <v>1990</v>
      </c>
      <c r="H292" s="15">
        <f>LOOKUP(G292,CPI!A$69:A$100,CPI!O$69:O$100)</f>
        <v>1.6683703136954862</v>
      </c>
      <c r="I292" s="5">
        <v>2025</v>
      </c>
      <c r="J292" s="44">
        <v>0</v>
      </c>
      <c r="K292" s="44"/>
      <c r="L292" s="65"/>
      <c r="N292" s="3">
        <v>246</v>
      </c>
      <c r="O292" s="37">
        <f t="shared" si="87"/>
        <v>246</v>
      </c>
      <c r="P292" s="16">
        <v>0</v>
      </c>
      <c r="Q292" s="16">
        <v>1</v>
      </c>
      <c r="R292" s="16">
        <v>0</v>
      </c>
      <c r="S292" s="3"/>
      <c r="T292" s="56" t="str">
        <f t="shared" si="76"/>
        <v/>
      </c>
      <c r="U292" s="56" t="str">
        <f t="shared" si="88"/>
        <v/>
      </c>
      <c r="V292" s="56" t="str">
        <f t="shared" si="89"/>
        <v/>
      </c>
      <c r="W292" s="3"/>
      <c r="X292" s="3"/>
      <c r="Y292" s="3"/>
      <c r="Z292" s="3"/>
      <c r="AA292" s="37">
        <f t="shared" si="84"/>
        <v>246</v>
      </c>
      <c r="AB292" s="3"/>
      <c r="AC292" s="3"/>
      <c r="AD292" s="3"/>
      <c r="AE292" s="3"/>
      <c r="AF292" s="16">
        <v>0</v>
      </c>
      <c r="AG292" s="16">
        <v>1</v>
      </c>
      <c r="AH292" s="16">
        <v>0</v>
      </c>
      <c r="AI292" s="16">
        <v>1</v>
      </c>
      <c r="AJ292" s="5">
        <v>0</v>
      </c>
      <c r="AK292" s="5">
        <v>1</v>
      </c>
      <c r="AL292" s="5">
        <v>0</v>
      </c>
      <c r="AM292" s="20"/>
      <c r="AN292" s="20">
        <v>0</v>
      </c>
      <c r="AO292" s="16"/>
      <c r="AP292" s="16"/>
      <c r="AQ292" s="16"/>
      <c r="AR292" s="16">
        <v>0</v>
      </c>
      <c r="AS292" s="16">
        <v>0</v>
      </c>
      <c r="AT292" s="16"/>
      <c r="AU292" s="16"/>
      <c r="AV292" s="16"/>
      <c r="AW292" s="16"/>
      <c r="AX292" s="16">
        <v>0</v>
      </c>
      <c r="AY292" s="16">
        <v>0</v>
      </c>
      <c r="AZ292" s="16">
        <v>0</v>
      </c>
      <c r="BA292" s="16">
        <v>0</v>
      </c>
    </row>
    <row r="293" spans="1:53" x14ac:dyDescent="0.2">
      <c r="A293" s="14"/>
      <c r="B293" s="14" t="str">
        <f t="shared" si="80"/>
        <v>Cline 2004</v>
      </c>
      <c r="C293" s="61">
        <f t="shared" si="81"/>
        <v>35</v>
      </c>
      <c r="D293" s="58">
        <v>2004</v>
      </c>
      <c r="E293" s="17"/>
      <c r="F293" s="58">
        <v>0</v>
      </c>
      <c r="G293" s="16">
        <f>G$263</f>
        <v>1990</v>
      </c>
      <c r="H293" s="15">
        <f>LOOKUP(G293,CPI!A$69:A$100,CPI!O$69:O$100)</f>
        <v>1.6683703136954862</v>
      </c>
      <c r="I293" s="5">
        <v>2055</v>
      </c>
      <c r="J293" s="44">
        <v>0</v>
      </c>
      <c r="K293" s="44"/>
      <c r="L293" s="65"/>
      <c r="N293" s="3">
        <v>367</v>
      </c>
      <c r="O293" s="37">
        <f t="shared" si="87"/>
        <v>367</v>
      </c>
      <c r="P293" s="16">
        <v>0</v>
      </c>
      <c r="Q293" s="16">
        <v>1</v>
      </c>
      <c r="R293" s="16">
        <v>0</v>
      </c>
      <c r="S293" s="3"/>
      <c r="T293" s="56" t="str">
        <f t="shared" si="76"/>
        <v/>
      </c>
      <c r="U293" s="56" t="str">
        <f t="shared" si="88"/>
        <v/>
      </c>
      <c r="V293" s="56" t="str">
        <f t="shared" si="89"/>
        <v/>
      </c>
      <c r="W293" s="3"/>
      <c r="X293" s="3"/>
      <c r="Y293" s="3"/>
      <c r="Z293" s="3"/>
      <c r="AA293" s="37">
        <f t="shared" si="84"/>
        <v>367</v>
      </c>
      <c r="AB293" s="3"/>
      <c r="AC293" s="3"/>
      <c r="AD293" s="3"/>
      <c r="AE293" s="3"/>
      <c r="AF293" s="16">
        <v>0</v>
      </c>
      <c r="AG293" s="16">
        <v>1</v>
      </c>
      <c r="AH293" s="16">
        <v>0</v>
      </c>
      <c r="AI293" s="16">
        <v>1</v>
      </c>
      <c r="AJ293" s="5">
        <v>0</v>
      </c>
      <c r="AK293" s="5">
        <v>1</v>
      </c>
      <c r="AL293" s="5">
        <v>0</v>
      </c>
      <c r="AM293" s="20"/>
      <c r="AN293" s="20">
        <v>0</v>
      </c>
      <c r="AO293" s="16"/>
      <c r="AP293" s="16"/>
      <c r="AQ293" s="16"/>
      <c r="AR293" s="16">
        <v>0</v>
      </c>
      <c r="AS293" s="16">
        <v>0</v>
      </c>
      <c r="AT293" s="16"/>
      <c r="AU293" s="16"/>
      <c r="AV293" s="16"/>
      <c r="AW293" s="16"/>
      <c r="AX293" s="16">
        <v>0</v>
      </c>
      <c r="AY293" s="16">
        <v>0</v>
      </c>
      <c r="AZ293" s="16">
        <v>0</v>
      </c>
      <c r="BA293" s="16">
        <v>0</v>
      </c>
    </row>
    <row r="294" spans="1:53" x14ac:dyDescent="0.2">
      <c r="A294" s="14"/>
      <c r="B294" s="14" t="str">
        <f t="shared" si="80"/>
        <v>Cline 2004</v>
      </c>
      <c r="C294" s="61">
        <f t="shared" si="81"/>
        <v>35</v>
      </c>
      <c r="D294" s="58">
        <v>2004</v>
      </c>
      <c r="E294" s="17"/>
      <c r="F294" s="58">
        <v>0</v>
      </c>
      <c r="G294" s="16">
        <f>G$263</f>
        <v>1990</v>
      </c>
      <c r="H294" s="15">
        <f>LOOKUP(G294,CPI!A$69:A$100,CPI!O$69:O$100)</f>
        <v>1.6683703136954862</v>
      </c>
      <c r="I294" s="5">
        <v>2100</v>
      </c>
      <c r="J294" s="44">
        <v>0</v>
      </c>
      <c r="K294" s="44"/>
      <c r="L294" s="65"/>
      <c r="N294" s="3">
        <v>600</v>
      </c>
      <c r="O294" s="37">
        <f t="shared" si="87"/>
        <v>600</v>
      </c>
      <c r="P294" s="16">
        <v>0</v>
      </c>
      <c r="Q294" s="16">
        <v>1</v>
      </c>
      <c r="R294" s="16">
        <v>0</v>
      </c>
      <c r="S294" s="3"/>
      <c r="T294" s="56" t="str">
        <f t="shared" si="76"/>
        <v/>
      </c>
      <c r="U294" s="56" t="str">
        <f t="shared" si="88"/>
        <v/>
      </c>
      <c r="V294" s="56" t="str">
        <f t="shared" si="89"/>
        <v/>
      </c>
      <c r="W294" s="3"/>
      <c r="X294" s="3"/>
      <c r="Y294" s="3"/>
      <c r="Z294" s="3"/>
      <c r="AA294" s="37">
        <f t="shared" si="84"/>
        <v>600</v>
      </c>
      <c r="AB294" s="3"/>
      <c r="AC294" s="3"/>
      <c r="AD294" s="3"/>
      <c r="AE294" s="3"/>
      <c r="AF294" s="16">
        <v>0</v>
      </c>
      <c r="AG294" s="16">
        <v>1</v>
      </c>
      <c r="AH294" s="16">
        <v>0</v>
      </c>
      <c r="AI294" s="16">
        <v>1</v>
      </c>
      <c r="AJ294" s="5">
        <v>0</v>
      </c>
      <c r="AK294" s="5">
        <v>1</v>
      </c>
      <c r="AL294" s="5">
        <v>0</v>
      </c>
      <c r="AM294" s="20"/>
      <c r="AN294" s="20">
        <v>0</v>
      </c>
      <c r="AO294" s="16"/>
      <c r="AP294" s="16"/>
      <c r="AQ294" s="16"/>
      <c r="AR294" s="16">
        <v>0</v>
      </c>
      <c r="AS294" s="16">
        <v>0</v>
      </c>
      <c r="AT294" s="16"/>
      <c r="AU294" s="16"/>
      <c r="AV294" s="16"/>
      <c r="AW294" s="16"/>
      <c r="AX294" s="16">
        <v>0</v>
      </c>
      <c r="AY294" s="16">
        <v>0</v>
      </c>
      <c r="AZ294" s="16">
        <v>0</v>
      </c>
      <c r="BA294" s="16">
        <v>0</v>
      </c>
    </row>
    <row r="295" spans="1:53" x14ac:dyDescent="0.2">
      <c r="A295" s="14"/>
      <c r="B295" s="14" t="str">
        <f t="shared" si="80"/>
        <v>Cline 2004</v>
      </c>
      <c r="C295" s="61">
        <f t="shared" si="81"/>
        <v>35</v>
      </c>
      <c r="D295" s="58">
        <v>2004</v>
      </c>
      <c r="E295" s="17"/>
      <c r="F295" s="58">
        <v>0</v>
      </c>
      <c r="G295" s="16">
        <f>G$263</f>
        <v>1990</v>
      </c>
      <c r="H295" s="15">
        <f>LOOKUP(G295,CPI!A$69:A$100,CPI!O$69:O$100)</f>
        <v>1.6683703136954862</v>
      </c>
      <c r="I295" s="5">
        <v>2200</v>
      </c>
      <c r="J295" s="44">
        <v>0</v>
      </c>
      <c r="K295" s="44"/>
      <c r="L295" s="65"/>
      <c r="N295" s="3">
        <v>1300</v>
      </c>
      <c r="O295" s="37">
        <f t="shared" si="87"/>
        <v>1300</v>
      </c>
      <c r="P295" s="16">
        <v>0</v>
      </c>
      <c r="Q295" s="16">
        <v>1</v>
      </c>
      <c r="R295" s="16">
        <v>0</v>
      </c>
      <c r="S295" s="3"/>
      <c r="T295" s="56" t="str">
        <f t="shared" si="76"/>
        <v/>
      </c>
      <c r="U295" s="56" t="str">
        <f t="shared" si="88"/>
        <v/>
      </c>
      <c r="V295" s="56" t="str">
        <f t="shared" si="89"/>
        <v/>
      </c>
      <c r="W295" s="3"/>
      <c r="X295" s="3"/>
      <c r="Y295" s="3"/>
      <c r="Z295" s="3"/>
      <c r="AA295" s="37">
        <f t="shared" si="84"/>
        <v>1300</v>
      </c>
      <c r="AB295" s="3"/>
      <c r="AC295" s="3"/>
      <c r="AD295" s="3"/>
      <c r="AE295" s="3"/>
      <c r="AF295" s="16">
        <v>0</v>
      </c>
      <c r="AG295" s="16">
        <v>1</v>
      </c>
      <c r="AH295" s="16">
        <v>0</v>
      </c>
      <c r="AI295" s="16">
        <v>1</v>
      </c>
      <c r="AJ295" s="5">
        <v>0</v>
      </c>
      <c r="AK295" s="5">
        <v>1</v>
      </c>
      <c r="AL295" s="5">
        <v>0</v>
      </c>
      <c r="AM295" s="20"/>
      <c r="AN295" s="20">
        <v>0</v>
      </c>
      <c r="AO295" s="16"/>
      <c r="AP295" s="16"/>
      <c r="AQ295" s="16"/>
      <c r="AR295" s="16">
        <v>0</v>
      </c>
      <c r="AS295" s="16">
        <v>0</v>
      </c>
      <c r="AT295" s="16"/>
      <c r="AU295" s="16"/>
      <c r="AV295" s="16"/>
      <c r="AW295" s="16"/>
      <c r="AX295" s="16">
        <v>0</v>
      </c>
      <c r="AY295" s="16">
        <v>0</v>
      </c>
      <c r="AZ295" s="16">
        <v>0</v>
      </c>
      <c r="BA295" s="16">
        <v>0</v>
      </c>
    </row>
    <row r="296" spans="1:53" x14ac:dyDescent="0.2">
      <c r="A296" s="14"/>
      <c r="B296" s="14" t="str">
        <f t="shared" si="80"/>
        <v>Cline 2004</v>
      </c>
      <c r="C296" s="61">
        <f t="shared" si="81"/>
        <v>35</v>
      </c>
      <c r="D296" s="58">
        <v>2004</v>
      </c>
      <c r="E296" s="17"/>
      <c r="F296" s="58">
        <v>0</v>
      </c>
      <c r="G296" s="16">
        <f t="shared" ref="G296:G305" si="90">G$263</f>
        <v>1990</v>
      </c>
      <c r="H296" s="15">
        <f>LOOKUP(G296,CPI!A$69:A$100,CPI!O$69:O$100)</f>
        <v>1.6683703136954862</v>
      </c>
      <c r="I296" s="52">
        <v>2005</v>
      </c>
      <c r="J296" s="15">
        <f>0.05/4.25</f>
        <v>1.1764705882352941E-2</v>
      </c>
      <c r="K296" s="59">
        <v>0.33333333333333331</v>
      </c>
      <c r="L296" s="57">
        <f>(AA297/AA296)^(1/(I297-I296))-1</f>
        <v>7.2278032976724749E-3</v>
      </c>
      <c r="M296" s="56">
        <f>AA296*H296*(1+$L$2)^(2015-I296)</f>
        <v>1019.9441107590814</v>
      </c>
      <c r="N296" s="14">
        <v>450</v>
      </c>
      <c r="O296" s="18">
        <f t="shared" si="87"/>
        <v>450</v>
      </c>
      <c r="P296" s="16">
        <v>0</v>
      </c>
      <c r="Q296" s="16">
        <v>1</v>
      </c>
      <c r="R296" s="16">
        <v>0</v>
      </c>
      <c r="S296" s="14"/>
      <c r="T296" s="56" t="str">
        <f t="shared" si="76"/>
        <v/>
      </c>
      <c r="U296" s="56" t="str">
        <f t="shared" si="88"/>
        <v/>
      </c>
      <c r="V296" s="56" t="str">
        <f t="shared" si="89"/>
        <v/>
      </c>
      <c r="W296" s="14"/>
      <c r="X296" s="14"/>
      <c r="Y296" s="14"/>
      <c r="Z296" s="14"/>
      <c r="AA296" s="18">
        <f t="shared" si="84"/>
        <v>450</v>
      </c>
      <c r="AB296" s="14"/>
      <c r="AC296" s="14"/>
      <c r="AD296" s="14"/>
      <c r="AE296" s="14"/>
      <c r="AF296" s="16">
        <v>0</v>
      </c>
      <c r="AG296" s="16">
        <v>1</v>
      </c>
      <c r="AH296" s="16">
        <v>0</v>
      </c>
      <c r="AI296" s="16">
        <v>1</v>
      </c>
      <c r="AJ296" s="5">
        <v>0</v>
      </c>
      <c r="AK296" s="5">
        <v>1</v>
      </c>
      <c r="AL296" s="5">
        <v>0</v>
      </c>
      <c r="AM296" s="20"/>
      <c r="AN296" s="20">
        <v>0</v>
      </c>
      <c r="AO296" s="16"/>
      <c r="AP296" s="16"/>
      <c r="AQ296" s="16"/>
      <c r="AR296" s="16">
        <v>0</v>
      </c>
      <c r="AS296" s="16">
        <v>0</v>
      </c>
      <c r="AT296" s="16"/>
      <c r="AU296" s="16"/>
      <c r="AV296" s="16"/>
      <c r="AW296" s="16"/>
      <c r="AX296" s="16">
        <v>0</v>
      </c>
      <c r="AY296" s="16">
        <v>0</v>
      </c>
      <c r="AZ296" s="16">
        <v>0</v>
      </c>
      <c r="BA296" s="16">
        <v>0</v>
      </c>
    </row>
    <row r="297" spans="1:53" x14ac:dyDescent="0.2">
      <c r="A297" s="14"/>
      <c r="B297" s="14" t="str">
        <f t="shared" si="80"/>
        <v>Cline 2004</v>
      </c>
      <c r="C297" s="61">
        <f t="shared" si="81"/>
        <v>35</v>
      </c>
      <c r="D297" s="58">
        <v>2004</v>
      </c>
      <c r="E297" s="17"/>
      <c r="F297" s="58">
        <v>0</v>
      </c>
      <c r="G297" s="16">
        <f t="shared" si="90"/>
        <v>1990</v>
      </c>
      <c r="H297" s="15">
        <f>LOOKUP(G297,CPI!A$69:A$100,CPI!O$69:O$100)</f>
        <v>1.6683703136954862</v>
      </c>
      <c r="I297" s="5">
        <v>2205</v>
      </c>
      <c r="J297" s="44">
        <f>0.05/4.25</f>
        <v>1.1764705882352941E-2</v>
      </c>
      <c r="K297" s="44"/>
      <c r="L297" s="65"/>
      <c r="N297" s="3">
        <v>1900</v>
      </c>
      <c r="O297" s="37">
        <f t="shared" si="87"/>
        <v>1900</v>
      </c>
      <c r="P297" s="16">
        <v>0</v>
      </c>
      <c r="Q297" s="16">
        <v>1</v>
      </c>
      <c r="R297" s="16">
        <v>0</v>
      </c>
      <c r="S297" s="3"/>
      <c r="T297" s="56" t="str">
        <f t="shared" si="76"/>
        <v/>
      </c>
      <c r="U297" s="56" t="str">
        <f t="shared" si="88"/>
        <v/>
      </c>
      <c r="V297" s="56" t="str">
        <f t="shared" si="89"/>
        <v/>
      </c>
      <c r="W297" s="3"/>
      <c r="X297" s="3"/>
      <c r="Y297" s="3"/>
      <c r="Z297" s="3"/>
      <c r="AA297" s="37">
        <f t="shared" si="84"/>
        <v>1900</v>
      </c>
      <c r="AB297" s="3"/>
      <c r="AC297" s="3"/>
      <c r="AD297" s="3"/>
      <c r="AE297" s="3"/>
      <c r="AF297" s="16">
        <v>0</v>
      </c>
      <c r="AG297" s="16">
        <v>1</v>
      </c>
      <c r="AH297" s="16">
        <v>0</v>
      </c>
      <c r="AI297" s="16">
        <v>1</v>
      </c>
      <c r="AJ297" s="5">
        <v>0</v>
      </c>
      <c r="AK297" s="5">
        <v>1</v>
      </c>
      <c r="AL297" s="5">
        <v>0</v>
      </c>
      <c r="AM297" s="20"/>
      <c r="AN297" s="20">
        <v>0</v>
      </c>
      <c r="AO297" s="16"/>
      <c r="AP297" s="16"/>
      <c r="AQ297" s="16"/>
      <c r="AR297" s="16">
        <v>0</v>
      </c>
      <c r="AS297" s="16">
        <v>0</v>
      </c>
      <c r="AT297" s="16"/>
      <c r="AU297" s="16"/>
      <c r="AV297" s="16"/>
      <c r="AW297" s="16"/>
      <c r="AX297" s="16">
        <v>0</v>
      </c>
      <c r="AY297" s="16">
        <v>0</v>
      </c>
      <c r="AZ297" s="16">
        <v>0</v>
      </c>
      <c r="BA297" s="16">
        <v>0</v>
      </c>
    </row>
    <row r="298" spans="1:53" x14ac:dyDescent="0.2">
      <c r="A298" s="14"/>
      <c r="B298" s="14" t="str">
        <f t="shared" si="80"/>
        <v>Cline 2004</v>
      </c>
      <c r="C298" s="61">
        <f t="shared" si="81"/>
        <v>35</v>
      </c>
      <c r="D298" s="58">
        <v>2004</v>
      </c>
      <c r="E298" s="17"/>
      <c r="F298" s="58">
        <v>0</v>
      </c>
      <c r="G298" s="16">
        <f t="shared" si="90"/>
        <v>1990</v>
      </c>
      <c r="H298" s="15">
        <f>LOOKUP(G298,CPI!A$69:A$100,CPI!O$69:O$100)</f>
        <v>1.6683703136954862</v>
      </c>
      <c r="I298" s="52">
        <v>2005</v>
      </c>
      <c r="J298" s="15">
        <f>0.05/4.25</f>
        <v>1.1764705882352941E-2</v>
      </c>
      <c r="K298" s="59">
        <v>0.33333333333333331</v>
      </c>
      <c r="L298" s="57">
        <f>(AA299/AA298)^(1/(I299-I298))-1</f>
        <v>1.1308477029785324E-2</v>
      </c>
      <c r="M298" s="56">
        <f>AA298*H298*(1+$L$2)^(2015-I298)</f>
        <v>72.529358987312449</v>
      </c>
      <c r="N298" s="14">
        <v>32</v>
      </c>
      <c r="O298" s="18">
        <f t="shared" si="87"/>
        <v>32</v>
      </c>
      <c r="P298" s="16">
        <v>0</v>
      </c>
      <c r="Q298" s="16">
        <v>1</v>
      </c>
      <c r="R298" s="16">
        <v>0</v>
      </c>
      <c r="S298" s="14"/>
      <c r="T298" s="56" t="str">
        <f t="shared" si="76"/>
        <v/>
      </c>
      <c r="U298" s="56" t="str">
        <f t="shared" si="88"/>
        <v/>
      </c>
      <c r="V298" s="56" t="str">
        <f t="shared" si="89"/>
        <v/>
      </c>
      <c r="W298" s="14"/>
      <c r="X298" s="14"/>
      <c r="Y298" s="14"/>
      <c r="Z298" s="14"/>
      <c r="AA298" s="18">
        <f t="shared" si="84"/>
        <v>32</v>
      </c>
      <c r="AB298" s="14"/>
      <c r="AC298" s="14"/>
      <c r="AD298" s="14"/>
      <c r="AE298" s="14"/>
      <c r="AF298" s="16">
        <v>0</v>
      </c>
      <c r="AG298" s="16">
        <v>1</v>
      </c>
      <c r="AH298" s="16">
        <v>0</v>
      </c>
      <c r="AI298" s="16">
        <v>1</v>
      </c>
      <c r="AJ298" s="5">
        <v>0</v>
      </c>
      <c r="AK298" s="5">
        <v>1</v>
      </c>
      <c r="AL298" s="5">
        <v>0</v>
      </c>
      <c r="AM298" s="20"/>
      <c r="AN298" s="20">
        <v>0</v>
      </c>
      <c r="AO298" s="16"/>
      <c r="AP298" s="16"/>
      <c r="AQ298" s="16"/>
      <c r="AR298" s="16">
        <v>0</v>
      </c>
      <c r="AS298" s="16">
        <v>0</v>
      </c>
      <c r="AT298" s="16"/>
      <c r="AU298" s="16"/>
      <c r="AV298" s="16"/>
      <c r="AW298" s="16"/>
      <c r="AX298" s="16">
        <v>0</v>
      </c>
      <c r="AY298" s="16">
        <v>0</v>
      </c>
      <c r="AZ298" s="16">
        <v>0</v>
      </c>
      <c r="BA298" s="16">
        <v>0</v>
      </c>
    </row>
    <row r="299" spans="1:53" x14ac:dyDescent="0.2">
      <c r="A299" s="14"/>
      <c r="B299" s="14" t="str">
        <f t="shared" si="80"/>
        <v>Cline 2004</v>
      </c>
      <c r="C299" s="61">
        <f t="shared" si="81"/>
        <v>35</v>
      </c>
      <c r="D299" s="58">
        <v>2004</v>
      </c>
      <c r="E299" s="17"/>
      <c r="F299" s="58">
        <v>0</v>
      </c>
      <c r="G299" s="16">
        <f t="shared" si="90"/>
        <v>1990</v>
      </c>
      <c r="H299" s="15">
        <f>LOOKUP(G299,CPI!A$69:A$100,CPI!O$69:O$100)</f>
        <v>1.6683703136954862</v>
      </c>
      <c r="I299" s="5">
        <v>2235</v>
      </c>
      <c r="J299" s="44">
        <v>0</v>
      </c>
      <c r="K299" s="44"/>
      <c r="L299" s="65"/>
      <c r="N299" s="3">
        <v>425</v>
      </c>
      <c r="O299" s="37">
        <f t="shared" si="87"/>
        <v>425</v>
      </c>
      <c r="P299" s="16">
        <v>0</v>
      </c>
      <c r="Q299" s="16">
        <v>1</v>
      </c>
      <c r="R299" s="16">
        <v>0</v>
      </c>
      <c r="S299" s="3"/>
      <c r="T299" s="56" t="str">
        <f t="shared" si="76"/>
        <v/>
      </c>
      <c r="U299" s="56" t="str">
        <f t="shared" si="88"/>
        <v/>
      </c>
      <c r="V299" s="56" t="str">
        <f t="shared" si="89"/>
        <v/>
      </c>
      <c r="W299" s="3"/>
      <c r="X299" s="3"/>
      <c r="Y299" s="3"/>
      <c r="Z299" s="3"/>
      <c r="AA299" s="37">
        <f t="shared" si="84"/>
        <v>425</v>
      </c>
      <c r="AB299" s="3"/>
      <c r="AC299" s="3"/>
      <c r="AD299" s="3"/>
      <c r="AE299" s="3"/>
      <c r="AF299" s="16">
        <v>0</v>
      </c>
      <c r="AG299" s="16">
        <v>1</v>
      </c>
      <c r="AH299" s="16">
        <v>0</v>
      </c>
      <c r="AI299" s="16">
        <v>1</v>
      </c>
      <c r="AJ299" s="5">
        <v>0</v>
      </c>
      <c r="AK299" s="5">
        <v>1</v>
      </c>
      <c r="AL299" s="5">
        <v>0</v>
      </c>
      <c r="AM299" s="20"/>
      <c r="AN299" s="20">
        <v>0</v>
      </c>
      <c r="AO299" s="16"/>
      <c r="AP299" s="16"/>
      <c r="AQ299" s="16"/>
      <c r="AR299" s="16">
        <v>0</v>
      </c>
      <c r="AS299" s="16">
        <v>0</v>
      </c>
      <c r="AT299" s="16"/>
      <c r="AU299" s="16"/>
      <c r="AV299" s="16"/>
      <c r="AW299" s="16"/>
      <c r="AX299" s="16">
        <v>0</v>
      </c>
      <c r="AY299" s="16">
        <v>0</v>
      </c>
      <c r="AZ299" s="16">
        <v>0</v>
      </c>
      <c r="BA299" s="16">
        <v>0</v>
      </c>
    </row>
    <row r="300" spans="1:53" x14ac:dyDescent="0.2">
      <c r="A300" s="14"/>
      <c r="B300" s="14" t="str">
        <f t="shared" si="80"/>
        <v>Cline 2004</v>
      </c>
      <c r="C300" s="61">
        <f t="shared" si="81"/>
        <v>35</v>
      </c>
      <c r="D300" s="58">
        <v>2004</v>
      </c>
      <c r="E300" s="17"/>
      <c r="F300" s="58">
        <v>0</v>
      </c>
      <c r="G300" s="16">
        <f t="shared" si="90"/>
        <v>1990</v>
      </c>
      <c r="H300" s="15">
        <f>LOOKUP(G300,CPI!A$69:A$100,CPI!O$69:O$100)</f>
        <v>1.6683703136954862</v>
      </c>
      <c r="I300" s="52">
        <v>2025</v>
      </c>
      <c r="J300" s="15">
        <f>1/4.25</f>
        <v>0.23529411764705882</v>
      </c>
      <c r="K300" s="15"/>
      <c r="L300" s="62"/>
      <c r="M300" s="56">
        <f t="shared" ref="M300:M322" si="91">AA300*H300*(1+$L$2)^(2015-I300)</f>
        <v>110.52577166480931</v>
      </c>
      <c r="N300" s="14">
        <v>90</v>
      </c>
      <c r="O300" s="18">
        <f t="shared" si="87"/>
        <v>90</v>
      </c>
      <c r="P300" s="16">
        <v>0</v>
      </c>
      <c r="Q300" s="16">
        <v>1</v>
      </c>
      <c r="R300" s="16">
        <v>0</v>
      </c>
      <c r="S300" s="14"/>
      <c r="T300" s="56" t="str">
        <f t="shared" si="76"/>
        <v/>
      </c>
      <c r="U300" s="56" t="str">
        <f t="shared" si="88"/>
        <v/>
      </c>
      <c r="V300" s="56" t="str">
        <f t="shared" si="89"/>
        <v/>
      </c>
      <c r="W300" s="14"/>
      <c r="X300" s="14"/>
      <c r="Y300" s="14"/>
      <c r="Z300" s="14"/>
      <c r="AA300" s="18">
        <f t="shared" si="84"/>
        <v>90</v>
      </c>
      <c r="AB300" s="14"/>
      <c r="AC300" s="14"/>
      <c r="AD300" s="14"/>
      <c r="AE300" s="14"/>
      <c r="AF300" s="16">
        <v>0</v>
      </c>
      <c r="AG300" s="16">
        <v>1</v>
      </c>
      <c r="AH300" s="16">
        <v>0</v>
      </c>
      <c r="AI300" s="16">
        <v>1</v>
      </c>
      <c r="AJ300" s="5">
        <v>0</v>
      </c>
      <c r="AK300" s="5">
        <v>1</v>
      </c>
      <c r="AL300" s="5">
        <v>0</v>
      </c>
      <c r="AM300" s="20"/>
      <c r="AN300" s="20">
        <v>1</v>
      </c>
      <c r="AO300" s="16"/>
      <c r="AP300" s="16"/>
      <c r="AQ300" s="16"/>
      <c r="AR300" s="16">
        <v>0</v>
      </c>
      <c r="AS300" s="16">
        <v>0</v>
      </c>
      <c r="AT300" s="16"/>
      <c r="AU300" s="16"/>
      <c r="AV300" s="16"/>
      <c r="AW300" s="16"/>
      <c r="AX300" s="16">
        <v>0</v>
      </c>
      <c r="AY300" s="16">
        <v>0</v>
      </c>
      <c r="AZ300" s="16">
        <v>0</v>
      </c>
      <c r="BA300" s="16">
        <v>0</v>
      </c>
    </row>
    <row r="301" spans="1:53" x14ac:dyDescent="0.2">
      <c r="A301" s="14"/>
      <c r="B301" s="14" t="str">
        <f t="shared" si="80"/>
        <v>Cline 2004</v>
      </c>
      <c r="C301" s="61">
        <f t="shared" si="81"/>
        <v>35</v>
      </c>
      <c r="D301" s="58">
        <v>2004</v>
      </c>
      <c r="E301" s="17"/>
      <c r="F301" s="58">
        <v>0</v>
      </c>
      <c r="G301" s="16">
        <f t="shared" si="90"/>
        <v>1990</v>
      </c>
      <c r="H301" s="15">
        <f>LOOKUP(G301,CPI!A$69:A$100,CPI!O$69:O$100)</f>
        <v>1.6683703136954862</v>
      </c>
      <c r="I301" s="52">
        <v>2025</v>
      </c>
      <c r="J301" s="15">
        <f>1/4.25</f>
        <v>0.23529411764705882</v>
      </c>
      <c r="K301" s="15"/>
      <c r="L301" s="62"/>
      <c r="M301" s="56">
        <f t="shared" si="91"/>
        <v>55.262885832404656</v>
      </c>
      <c r="N301" s="14">
        <v>45</v>
      </c>
      <c r="O301" s="18">
        <f t="shared" si="87"/>
        <v>45</v>
      </c>
      <c r="P301" s="16">
        <v>0</v>
      </c>
      <c r="Q301" s="16">
        <v>1</v>
      </c>
      <c r="R301" s="16">
        <v>0</v>
      </c>
      <c r="S301" s="14"/>
      <c r="T301" s="56" t="str">
        <f t="shared" si="76"/>
        <v/>
      </c>
      <c r="U301" s="56" t="str">
        <f t="shared" si="88"/>
        <v/>
      </c>
      <c r="V301" s="56" t="str">
        <f t="shared" si="89"/>
        <v/>
      </c>
      <c r="W301" s="14"/>
      <c r="X301" s="14"/>
      <c r="Y301" s="14"/>
      <c r="Z301" s="14"/>
      <c r="AA301" s="18">
        <f t="shared" si="84"/>
        <v>45</v>
      </c>
      <c r="AB301" s="14"/>
      <c r="AC301" s="14"/>
      <c r="AD301" s="14"/>
      <c r="AE301" s="14"/>
      <c r="AF301" s="16">
        <v>0</v>
      </c>
      <c r="AG301" s="16">
        <v>1</v>
      </c>
      <c r="AH301" s="16">
        <v>0</v>
      </c>
      <c r="AI301" s="16">
        <v>1</v>
      </c>
      <c r="AJ301" s="5">
        <v>0</v>
      </c>
      <c r="AK301" s="5">
        <v>1</v>
      </c>
      <c r="AL301" s="5">
        <v>0</v>
      </c>
      <c r="AM301" s="20"/>
      <c r="AN301" s="20">
        <v>2</v>
      </c>
      <c r="AO301" s="16"/>
      <c r="AP301" s="16"/>
      <c r="AQ301" s="16"/>
      <c r="AR301" s="16">
        <v>0</v>
      </c>
      <c r="AS301" s="16">
        <v>0</v>
      </c>
      <c r="AT301" s="16"/>
      <c r="AU301" s="16"/>
      <c r="AV301" s="16"/>
      <c r="AW301" s="16"/>
      <c r="AX301" s="16">
        <v>0</v>
      </c>
      <c r="AY301" s="16">
        <v>0</v>
      </c>
      <c r="AZ301" s="16">
        <v>0</v>
      </c>
      <c r="BA301" s="16">
        <v>0</v>
      </c>
    </row>
    <row r="302" spans="1:53" x14ac:dyDescent="0.2">
      <c r="A302" s="14"/>
      <c r="B302" s="14" t="str">
        <f t="shared" si="80"/>
        <v>Cline 2004</v>
      </c>
      <c r="C302" s="61">
        <f t="shared" si="81"/>
        <v>35</v>
      </c>
      <c r="D302" s="58">
        <v>2004</v>
      </c>
      <c r="E302" s="17"/>
      <c r="F302" s="58">
        <v>0</v>
      </c>
      <c r="G302" s="16">
        <f t="shared" si="90"/>
        <v>1990</v>
      </c>
      <c r="H302" s="15">
        <f>LOOKUP(G302,CPI!A$69:A$100,CPI!O$69:O$100)</f>
        <v>1.6683703136954862</v>
      </c>
      <c r="I302" s="52">
        <v>2025</v>
      </c>
      <c r="J302" s="15">
        <f>1/4.25</f>
        <v>0.23529411764705882</v>
      </c>
      <c r="K302" s="15"/>
      <c r="L302" s="62"/>
      <c r="M302" s="56">
        <f t="shared" si="91"/>
        <v>31.929667369833801</v>
      </c>
      <c r="N302" s="14">
        <v>26</v>
      </c>
      <c r="O302" s="18">
        <f t="shared" si="87"/>
        <v>26</v>
      </c>
      <c r="P302" s="16">
        <v>0</v>
      </c>
      <c r="Q302" s="16">
        <v>1</v>
      </c>
      <c r="R302" s="16">
        <v>0</v>
      </c>
      <c r="S302" s="14"/>
      <c r="T302" s="56" t="str">
        <f t="shared" si="76"/>
        <v/>
      </c>
      <c r="U302" s="56" t="str">
        <f t="shared" si="88"/>
        <v/>
      </c>
      <c r="V302" s="56" t="str">
        <f t="shared" si="89"/>
        <v/>
      </c>
      <c r="W302" s="14"/>
      <c r="X302" s="14"/>
      <c r="Y302" s="14"/>
      <c r="Z302" s="14"/>
      <c r="AA302" s="18">
        <f t="shared" si="84"/>
        <v>26</v>
      </c>
      <c r="AB302" s="14"/>
      <c r="AC302" s="14"/>
      <c r="AD302" s="14"/>
      <c r="AE302" s="14"/>
      <c r="AF302" s="16">
        <v>0</v>
      </c>
      <c r="AG302" s="16">
        <v>1</v>
      </c>
      <c r="AH302" s="16">
        <v>0</v>
      </c>
      <c r="AI302" s="16">
        <v>1</v>
      </c>
      <c r="AJ302" s="5">
        <v>0</v>
      </c>
      <c r="AK302" s="5">
        <v>1</v>
      </c>
      <c r="AL302" s="5">
        <v>0</v>
      </c>
      <c r="AM302" s="20"/>
      <c r="AN302" s="20">
        <v>3</v>
      </c>
      <c r="AO302" s="16"/>
      <c r="AP302" s="16"/>
      <c r="AQ302" s="16"/>
      <c r="AR302" s="16">
        <v>0</v>
      </c>
      <c r="AS302" s="16">
        <v>0</v>
      </c>
      <c r="AT302" s="16"/>
      <c r="AU302" s="16"/>
      <c r="AV302" s="16"/>
      <c r="AW302" s="16"/>
      <c r="AX302" s="16">
        <v>0</v>
      </c>
      <c r="AY302" s="16">
        <v>0</v>
      </c>
      <c r="AZ302" s="16">
        <v>0</v>
      </c>
      <c r="BA302" s="16">
        <v>0</v>
      </c>
    </row>
    <row r="303" spans="1:53" x14ac:dyDescent="0.2">
      <c r="A303" s="14"/>
      <c r="B303" s="14" t="str">
        <f t="shared" si="80"/>
        <v>Cline 2004</v>
      </c>
      <c r="C303" s="61">
        <f t="shared" si="81"/>
        <v>35</v>
      </c>
      <c r="D303" s="58">
        <v>2004</v>
      </c>
      <c r="E303" s="17"/>
      <c r="F303" s="58">
        <v>0</v>
      </c>
      <c r="G303" s="16">
        <f t="shared" si="90"/>
        <v>1990</v>
      </c>
      <c r="H303" s="15">
        <f>LOOKUP(G303,CPI!A$69:A$100,CPI!O$69:O$100)</f>
        <v>1.6683703136954862</v>
      </c>
      <c r="I303" s="52">
        <v>2025</v>
      </c>
      <c r="J303" s="15">
        <f t="shared" ref="J303:J305" si="92">0.05/4.25</f>
        <v>1.1764705882352941E-2</v>
      </c>
      <c r="K303" s="15"/>
      <c r="L303" s="62"/>
      <c r="M303" s="56">
        <f t="shared" si="91"/>
        <v>416.31373993744836</v>
      </c>
      <c r="N303" s="14">
        <v>339</v>
      </c>
      <c r="O303" s="18">
        <f t="shared" si="87"/>
        <v>339</v>
      </c>
      <c r="P303" s="16">
        <v>0</v>
      </c>
      <c r="Q303" s="16">
        <v>1</v>
      </c>
      <c r="R303" s="16">
        <v>0</v>
      </c>
      <c r="S303" s="14"/>
      <c r="T303" s="56" t="str">
        <f t="shared" si="76"/>
        <v/>
      </c>
      <c r="U303" s="56" t="str">
        <f t="shared" si="88"/>
        <v/>
      </c>
      <c r="V303" s="56" t="str">
        <f t="shared" si="89"/>
        <v/>
      </c>
      <c r="W303" s="14"/>
      <c r="X303" s="14"/>
      <c r="Y303" s="14"/>
      <c r="Z303" s="14"/>
      <c r="AA303" s="18">
        <f t="shared" si="84"/>
        <v>339</v>
      </c>
      <c r="AB303" s="14"/>
      <c r="AC303" s="14"/>
      <c r="AD303" s="14"/>
      <c r="AE303" s="14"/>
      <c r="AF303" s="16">
        <v>0</v>
      </c>
      <c r="AG303" s="16">
        <v>1</v>
      </c>
      <c r="AH303" s="16">
        <v>0</v>
      </c>
      <c r="AI303" s="16">
        <v>1</v>
      </c>
      <c r="AJ303" s="5">
        <v>0</v>
      </c>
      <c r="AK303" s="5">
        <v>1</v>
      </c>
      <c r="AL303" s="5">
        <v>0</v>
      </c>
      <c r="AM303" s="20"/>
      <c r="AN303" s="20">
        <v>1</v>
      </c>
      <c r="AO303" s="16"/>
      <c r="AP303" s="16"/>
      <c r="AQ303" s="16"/>
      <c r="AR303" s="16">
        <v>0</v>
      </c>
      <c r="AS303" s="16">
        <v>0</v>
      </c>
      <c r="AT303" s="16"/>
      <c r="AU303" s="16"/>
      <c r="AV303" s="16"/>
      <c r="AW303" s="16"/>
      <c r="AX303" s="16">
        <v>0</v>
      </c>
      <c r="AY303" s="16">
        <v>0</v>
      </c>
      <c r="AZ303" s="16">
        <v>0</v>
      </c>
      <c r="BA303" s="16">
        <v>0</v>
      </c>
    </row>
    <row r="304" spans="1:53" x14ac:dyDescent="0.2">
      <c r="A304" s="14"/>
      <c r="B304" s="14" t="str">
        <f t="shared" si="80"/>
        <v>Cline 2004</v>
      </c>
      <c r="C304" s="61">
        <f t="shared" si="81"/>
        <v>35</v>
      </c>
      <c r="D304" s="58">
        <v>2004</v>
      </c>
      <c r="E304" s="17"/>
      <c r="F304" s="58">
        <v>0</v>
      </c>
      <c r="G304" s="16">
        <f t="shared" si="90"/>
        <v>1990</v>
      </c>
      <c r="H304" s="15">
        <f>LOOKUP(G304,CPI!A$69:A$100,CPI!O$69:O$100)</f>
        <v>1.6683703136954862</v>
      </c>
      <c r="I304" s="52">
        <v>2025</v>
      </c>
      <c r="J304" s="15">
        <f t="shared" si="92"/>
        <v>1.1764705882352941E-2</v>
      </c>
      <c r="K304" s="15"/>
      <c r="L304" s="62"/>
      <c r="M304" s="56">
        <f t="shared" si="91"/>
        <v>170.70091401564991</v>
      </c>
      <c r="N304" s="14">
        <v>139</v>
      </c>
      <c r="O304" s="18">
        <f t="shared" si="87"/>
        <v>139</v>
      </c>
      <c r="P304" s="16">
        <v>0</v>
      </c>
      <c r="Q304" s="16">
        <v>1</v>
      </c>
      <c r="R304" s="16">
        <v>0</v>
      </c>
      <c r="S304" s="14"/>
      <c r="T304" s="56" t="str">
        <f t="shared" si="76"/>
        <v/>
      </c>
      <c r="U304" s="56" t="str">
        <f t="shared" si="88"/>
        <v/>
      </c>
      <c r="V304" s="56" t="str">
        <f t="shared" si="89"/>
        <v/>
      </c>
      <c r="W304" s="14"/>
      <c r="X304" s="14"/>
      <c r="Y304" s="14"/>
      <c r="Z304" s="14"/>
      <c r="AA304" s="18">
        <f t="shared" si="84"/>
        <v>139</v>
      </c>
      <c r="AB304" s="14"/>
      <c r="AC304" s="14"/>
      <c r="AD304" s="14"/>
      <c r="AE304" s="14"/>
      <c r="AF304" s="16">
        <v>0</v>
      </c>
      <c r="AG304" s="16">
        <v>1</v>
      </c>
      <c r="AH304" s="16">
        <v>0</v>
      </c>
      <c r="AI304" s="16">
        <v>1</v>
      </c>
      <c r="AJ304" s="5">
        <v>0</v>
      </c>
      <c r="AK304" s="5">
        <v>1</v>
      </c>
      <c r="AL304" s="5">
        <v>0</v>
      </c>
      <c r="AM304" s="20"/>
      <c r="AN304" s="20">
        <v>2</v>
      </c>
      <c r="AO304" s="16"/>
      <c r="AP304" s="16"/>
      <c r="AQ304" s="16"/>
      <c r="AR304" s="16">
        <v>0</v>
      </c>
      <c r="AS304" s="16">
        <v>0</v>
      </c>
      <c r="AT304" s="16"/>
      <c r="AU304" s="16"/>
      <c r="AV304" s="16"/>
      <c r="AW304" s="16"/>
      <c r="AX304" s="16">
        <v>0</v>
      </c>
      <c r="AY304" s="16">
        <v>0</v>
      </c>
      <c r="AZ304" s="16">
        <v>0</v>
      </c>
      <c r="BA304" s="16">
        <v>0</v>
      </c>
    </row>
    <row r="305" spans="1:53" x14ac:dyDescent="0.2">
      <c r="A305" s="14"/>
      <c r="B305" s="14" t="str">
        <f t="shared" si="80"/>
        <v>Cline 2004</v>
      </c>
      <c r="C305" s="61">
        <f t="shared" si="81"/>
        <v>35</v>
      </c>
      <c r="D305" s="58">
        <v>2004</v>
      </c>
      <c r="E305" s="17"/>
      <c r="F305" s="58">
        <v>0</v>
      </c>
      <c r="G305" s="16">
        <f t="shared" si="90"/>
        <v>1990</v>
      </c>
      <c r="H305" s="15">
        <f>LOOKUP(G305,CPI!A$69:A$100,CPI!O$69:O$100)</f>
        <v>1.6683703136954862</v>
      </c>
      <c r="I305" s="52">
        <v>2025</v>
      </c>
      <c r="J305" s="15">
        <f t="shared" si="92"/>
        <v>1.1764705882352941E-2</v>
      </c>
      <c r="K305" s="15"/>
      <c r="L305" s="62"/>
      <c r="M305" s="56">
        <f t="shared" si="91"/>
        <v>88.420617331847438</v>
      </c>
      <c r="N305" s="14">
        <v>72</v>
      </c>
      <c r="O305" s="18">
        <f t="shared" si="87"/>
        <v>72</v>
      </c>
      <c r="P305" s="16">
        <v>0</v>
      </c>
      <c r="Q305" s="16">
        <v>1</v>
      </c>
      <c r="R305" s="16">
        <v>0</v>
      </c>
      <c r="S305" s="14"/>
      <c r="T305" s="56" t="str">
        <f t="shared" si="76"/>
        <v/>
      </c>
      <c r="U305" s="56" t="str">
        <f t="shared" si="88"/>
        <v/>
      </c>
      <c r="V305" s="56" t="str">
        <f t="shared" si="89"/>
        <v/>
      </c>
      <c r="W305" s="14"/>
      <c r="X305" s="14"/>
      <c r="Y305" s="14"/>
      <c r="Z305" s="14"/>
      <c r="AA305" s="18">
        <f t="shared" si="84"/>
        <v>72</v>
      </c>
      <c r="AB305" s="14"/>
      <c r="AC305" s="14"/>
      <c r="AD305" s="14"/>
      <c r="AE305" s="14"/>
      <c r="AF305" s="16">
        <v>0</v>
      </c>
      <c r="AG305" s="16">
        <v>1</v>
      </c>
      <c r="AH305" s="16">
        <v>0</v>
      </c>
      <c r="AI305" s="16">
        <v>1</v>
      </c>
      <c r="AJ305" s="5">
        <v>0</v>
      </c>
      <c r="AK305" s="5">
        <v>1</v>
      </c>
      <c r="AL305" s="5">
        <v>0</v>
      </c>
      <c r="AM305" s="20"/>
      <c r="AN305" s="20">
        <v>3</v>
      </c>
      <c r="AO305" s="16"/>
      <c r="AP305" s="16"/>
      <c r="AQ305" s="16"/>
      <c r="AR305" s="16">
        <v>0</v>
      </c>
      <c r="AS305" s="16">
        <v>0</v>
      </c>
      <c r="AT305" s="16"/>
      <c r="AU305" s="16"/>
      <c r="AV305" s="16"/>
      <c r="AW305" s="16"/>
      <c r="AX305" s="16">
        <v>0</v>
      </c>
      <c r="AY305" s="16">
        <v>0</v>
      </c>
      <c r="AZ305" s="16">
        <v>0</v>
      </c>
      <c r="BA305" s="16">
        <v>0</v>
      </c>
    </row>
    <row r="306" spans="1:53" x14ac:dyDescent="0.2">
      <c r="A306" s="14" t="s">
        <v>15</v>
      </c>
      <c r="B306" s="14" t="str">
        <f t="shared" si="80"/>
        <v>Hohmeyer 2004</v>
      </c>
      <c r="C306" s="61">
        <f t="shared" si="81"/>
        <v>36</v>
      </c>
      <c r="D306" s="58">
        <v>2004</v>
      </c>
      <c r="E306" s="17" t="s">
        <v>96</v>
      </c>
      <c r="F306" s="58">
        <v>0</v>
      </c>
      <c r="G306" s="22">
        <v>1990</v>
      </c>
      <c r="H306" s="15">
        <f>LOOKUP(G306,CPI!A$69:A$100,CPI!O$69:O$100)</f>
        <v>1.6683703136954862</v>
      </c>
      <c r="I306" s="69">
        <v>1990</v>
      </c>
      <c r="J306" s="15">
        <v>0.5</v>
      </c>
      <c r="K306" s="15"/>
      <c r="L306" s="62"/>
      <c r="M306" s="56">
        <f t="shared" si="91"/>
        <v>114.84734244836126</v>
      </c>
      <c r="N306" s="14">
        <v>32</v>
      </c>
      <c r="O306" s="18">
        <f t="shared" si="87"/>
        <v>32</v>
      </c>
      <c r="P306" s="16">
        <v>0</v>
      </c>
      <c r="Q306" s="16">
        <v>1</v>
      </c>
      <c r="R306" s="16">
        <v>0</v>
      </c>
      <c r="S306" s="14"/>
      <c r="T306" s="56" t="str">
        <f t="shared" si="76"/>
        <v/>
      </c>
      <c r="U306" s="56" t="str">
        <f t="shared" si="88"/>
        <v/>
      </c>
      <c r="V306" s="56" t="str">
        <f t="shared" si="89"/>
        <v/>
      </c>
      <c r="W306" s="14"/>
      <c r="X306" s="14"/>
      <c r="Y306" s="14"/>
      <c r="Z306" s="14"/>
      <c r="AA306" s="18">
        <f t="shared" si="84"/>
        <v>32</v>
      </c>
      <c r="AB306" s="14"/>
      <c r="AC306" s="14"/>
      <c r="AD306" s="14"/>
      <c r="AE306" s="14"/>
      <c r="AF306" s="16">
        <v>0</v>
      </c>
      <c r="AG306" s="16">
        <v>1</v>
      </c>
      <c r="AH306" s="16">
        <v>0</v>
      </c>
      <c r="AI306" s="16">
        <v>1</v>
      </c>
      <c r="AJ306" s="5">
        <v>0</v>
      </c>
      <c r="AK306" s="5">
        <v>0</v>
      </c>
      <c r="AL306" s="5">
        <v>0</v>
      </c>
      <c r="AM306" s="20"/>
      <c r="AN306" s="20">
        <v>1</v>
      </c>
      <c r="AO306" s="16"/>
      <c r="AP306" s="16"/>
      <c r="AQ306" s="16"/>
      <c r="AR306" s="16">
        <v>0</v>
      </c>
      <c r="AS306" s="16">
        <v>1</v>
      </c>
      <c r="AT306" s="16"/>
      <c r="AU306" s="16"/>
      <c r="AV306" s="16"/>
      <c r="AW306" s="16"/>
      <c r="AX306" s="16">
        <v>0</v>
      </c>
      <c r="AY306" s="16">
        <v>0</v>
      </c>
      <c r="AZ306" s="16">
        <v>0</v>
      </c>
      <c r="BA306" s="16">
        <v>0</v>
      </c>
    </row>
    <row r="307" spans="1:53" x14ac:dyDescent="0.2">
      <c r="A307" s="14"/>
      <c r="B307" s="14" t="str">
        <f t="shared" si="80"/>
        <v>Hohmeyer 2004</v>
      </c>
      <c r="C307" s="61">
        <f t="shared" si="81"/>
        <v>36</v>
      </c>
      <c r="D307" s="58">
        <v>2004</v>
      </c>
      <c r="E307" s="17"/>
      <c r="F307" s="58">
        <v>0</v>
      </c>
      <c r="G307" s="22">
        <v>1990</v>
      </c>
      <c r="H307" s="15">
        <f>LOOKUP(G307,CPI!A$69:A$100,CPI!O$69:O$100)</f>
        <v>1.6683703136954862</v>
      </c>
      <c r="I307" s="69">
        <v>1990</v>
      </c>
      <c r="J307" s="15">
        <v>0.5</v>
      </c>
      <c r="K307" s="15"/>
      <c r="L307" s="62"/>
      <c r="M307" s="56">
        <f t="shared" si="91"/>
        <v>2117.4978763916606</v>
      </c>
      <c r="N307" s="14">
        <v>590</v>
      </c>
      <c r="O307" s="18">
        <f t="shared" si="87"/>
        <v>590</v>
      </c>
      <c r="P307" s="16">
        <v>0</v>
      </c>
      <c r="Q307" s="16">
        <v>1</v>
      </c>
      <c r="R307" s="16">
        <v>0</v>
      </c>
      <c r="S307" s="14"/>
      <c r="T307" s="56" t="str">
        <f t="shared" si="76"/>
        <v/>
      </c>
      <c r="U307" s="56" t="str">
        <f t="shared" si="88"/>
        <v/>
      </c>
      <c r="V307" s="56" t="str">
        <f t="shared" si="89"/>
        <v/>
      </c>
      <c r="W307" s="14"/>
      <c r="X307" s="14"/>
      <c r="Y307" s="14"/>
      <c r="Z307" s="14"/>
      <c r="AA307" s="18">
        <f t="shared" si="84"/>
        <v>590</v>
      </c>
      <c r="AB307" s="14"/>
      <c r="AC307" s="14"/>
      <c r="AD307" s="14"/>
      <c r="AE307" s="14"/>
      <c r="AF307" s="16">
        <v>0</v>
      </c>
      <c r="AG307" s="16">
        <v>1</v>
      </c>
      <c r="AH307" s="16">
        <v>0</v>
      </c>
      <c r="AI307" s="16">
        <v>1</v>
      </c>
      <c r="AJ307" s="5">
        <v>0</v>
      </c>
      <c r="AK307" s="5">
        <v>0</v>
      </c>
      <c r="AL307" s="5">
        <v>0</v>
      </c>
      <c r="AM307" s="20"/>
      <c r="AN307" s="20">
        <v>0</v>
      </c>
      <c r="AO307" s="16"/>
      <c r="AP307" s="16"/>
      <c r="AQ307" s="16"/>
      <c r="AR307" s="16">
        <v>1</v>
      </c>
      <c r="AS307" s="16">
        <v>1</v>
      </c>
      <c r="AT307" s="16"/>
      <c r="AU307" s="16"/>
      <c r="AV307" s="16"/>
      <c r="AW307" s="16"/>
      <c r="AX307" s="16">
        <v>0</v>
      </c>
      <c r="AY307" s="16">
        <v>0</v>
      </c>
      <c r="AZ307" s="16">
        <v>0</v>
      </c>
      <c r="BA307" s="16">
        <v>0</v>
      </c>
    </row>
    <row r="308" spans="1:53" x14ac:dyDescent="0.2">
      <c r="A308" s="14" t="s">
        <v>179</v>
      </c>
      <c r="B308" s="14" t="str">
        <f t="shared" si="80"/>
        <v>Link &amp; Tol 2004</v>
      </c>
      <c r="C308" s="61">
        <f t="shared" si="81"/>
        <v>37</v>
      </c>
      <c r="D308" s="58">
        <v>2004</v>
      </c>
      <c r="E308" s="17" t="s">
        <v>95</v>
      </c>
      <c r="F308" s="58">
        <v>1</v>
      </c>
      <c r="G308" s="16">
        <v>1995</v>
      </c>
      <c r="H308" s="15">
        <f>LOOKUP(G308,CPI!A$69:A$100,CPI!O$69:O$100)</f>
        <v>1.4308136482939633</v>
      </c>
      <c r="I308" s="52">
        <v>2000</v>
      </c>
      <c r="J308" s="15">
        <f t="shared" ref="J308:J313" si="93">0.99/6</f>
        <v>0.16500000000000001</v>
      </c>
      <c r="K308" s="15"/>
      <c r="L308" s="62"/>
      <c r="M308" s="56">
        <f t="shared" si="91"/>
        <v>178.98526389648578</v>
      </c>
      <c r="N308" s="14">
        <v>79</v>
      </c>
      <c r="O308" s="18">
        <f t="shared" si="87"/>
        <v>79</v>
      </c>
      <c r="P308" s="16">
        <v>0</v>
      </c>
      <c r="Q308" s="16">
        <v>1</v>
      </c>
      <c r="R308" s="16">
        <v>0</v>
      </c>
      <c r="S308" s="14"/>
      <c r="T308" s="56" t="str">
        <f t="shared" si="76"/>
        <v/>
      </c>
      <c r="U308" s="56" t="str">
        <f t="shared" si="88"/>
        <v/>
      </c>
      <c r="V308" s="56" t="str">
        <f t="shared" si="89"/>
        <v/>
      </c>
      <c r="W308" s="14"/>
      <c r="X308" s="14"/>
      <c r="Y308" s="14"/>
      <c r="Z308" s="14"/>
      <c r="AA308" s="18">
        <f t="shared" si="84"/>
        <v>79</v>
      </c>
      <c r="AB308" s="14"/>
      <c r="AC308" s="14"/>
      <c r="AD308" s="14"/>
      <c r="AE308" s="14"/>
      <c r="AF308" s="16">
        <v>1</v>
      </c>
      <c r="AG308" s="16">
        <v>1</v>
      </c>
      <c r="AH308" s="16">
        <v>1</v>
      </c>
      <c r="AI308" s="16">
        <v>1</v>
      </c>
      <c r="AJ308" s="5">
        <v>1</v>
      </c>
      <c r="AK308" s="5">
        <v>0</v>
      </c>
      <c r="AL308" s="5">
        <v>0</v>
      </c>
      <c r="AM308" s="20"/>
      <c r="AN308" s="20">
        <v>0</v>
      </c>
      <c r="AO308" s="16"/>
      <c r="AP308" s="16"/>
      <c r="AQ308" s="16"/>
      <c r="AR308" s="16">
        <v>0</v>
      </c>
      <c r="AS308" s="16">
        <v>1</v>
      </c>
      <c r="AT308" s="16"/>
      <c r="AU308" s="16"/>
      <c r="AV308" s="16"/>
      <c r="AW308" s="16"/>
      <c r="AX308" s="16">
        <v>0</v>
      </c>
      <c r="AY308" s="16">
        <v>0</v>
      </c>
      <c r="AZ308" s="16">
        <v>1</v>
      </c>
      <c r="BA308" s="16">
        <v>0</v>
      </c>
    </row>
    <row r="309" spans="1:53" x14ac:dyDescent="0.2">
      <c r="A309" s="14"/>
      <c r="B309" s="14" t="str">
        <f t="shared" si="80"/>
        <v>Link &amp; Tol 2004</v>
      </c>
      <c r="C309" s="61">
        <f t="shared" si="81"/>
        <v>37</v>
      </c>
      <c r="D309" s="58">
        <v>2004</v>
      </c>
      <c r="E309" s="17"/>
      <c r="F309" s="58">
        <v>1</v>
      </c>
      <c r="G309" s="16">
        <v>1995</v>
      </c>
      <c r="H309" s="15">
        <f>LOOKUP(G309,CPI!A$69:A$100,CPI!O$69:O$100)</f>
        <v>1.4308136482939633</v>
      </c>
      <c r="I309" s="52">
        <v>2000</v>
      </c>
      <c r="J309" s="15">
        <f t="shared" si="93"/>
        <v>0.16500000000000001</v>
      </c>
      <c r="K309" s="15"/>
      <c r="L309" s="62"/>
      <c r="M309" s="56">
        <f t="shared" si="91"/>
        <v>385.15816281522251</v>
      </c>
      <c r="N309" s="14">
        <v>170</v>
      </c>
      <c r="O309" s="18">
        <f t="shared" si="87"/>
        <v>170</v>
      </c>
      <c r="P309" s="16">
        <v>0</v>
      </c>
      <c r="Q309" s="16">
        <v>1</v>
      </c>
      <c r="R309" s="16">
        <v>0</v>
      </c>
      <c r="S309" s="14"/>
      <c r="T309" s="56" t="str">
        <f t="shared" si="76"/>
        <v/>
      </c>
      <c r="U309" s="56" t="str">
        <f t="shared" si="88"/>
        <v/>
      </c>
      <c r="V309" s="56" t="str">
        <f t="shared" si="89"/>
        <v/>
      </c>
      <c r="W309" s="14"/>
      <c r="X309" s="14"/>
      <c r="Y309" s="14"/>
      <c r="Z309" s="14"/>
      <c r="AA309" s="18">
        <f t="shared" si="84"/>
        <v>170</v>
      </c>
      <c r="AB309" s="14"/>
      <c r="AC309" s="14"/>
      <c r="AD309" s="14"/>
      <c r="AE309" s="14"/>
      <c r="AF309" s="16">
        <v>1</v>
      </c>
      <c r="AG309" s="16">
        <v>1</v>
      </c>
      <c r="AH309" s="16">
        <v>1</v>
      </c>
      <c r="AI309" s="16">
        <v>1</v>
      </c>
      <c r="AJ309" s="5">
        <v>1</v>
      </c>
      <c r="AK309" s="5">
        <v>0</v>
      </c>
      <c r="AL309" s="5">
        <v>0</v>
      </c>
      <c r="AM309" s="20"/>
      <c r="AN309" s="20">
        <v>0</v>
      </c>
      <c r="AO309" s="16"/>
      <c r="AP309" s="16"/>
      <c r="AQ309" s="16"/>
      <c r="AR309" s="16">
        <v>1</v>
      </c>
      <c r="AS309" s="16">
        <v>1</v>
      </c>
      <c r="AT309" s="16"/>
      <c r="AU309" s="16"/>
      <c r="AV309" s="16"/>
      <c r="AW309" s="16"/>
      <c r="AX309" s="16">
        <v>0</v>
      </c>
      <c r="AY309" s="16">
        <v>0</v>
      </c>
      <c r="AZ309" s="16">
        <v>1</v>
      </c>
      <c r="BA309" s="16">
        <v>0</v>
      </c>
    </row>
    <row r="310" spans="1:53" x14ac:dyDescent="0.2">
      <c r="A310" s="14"/>
      <c r="B310" s="14" t="str">
        <f t="shared" si="80"/>
        <v>Link &amp; Tol 2004</v>
      </c>
      <c r="C310" s="61">
        <f t="shared" si="81"/>
        <v>37</v>
      </c>
      <c r="D310" s="58">
        <v>2004</v>
      </c>
      <c r="E310" s="17"/>
      <c r="F310" s="58">
        <v>1</v>
      </c>
      <c r="G310" s="16">
        <v>1995</v>
      </c>
      <c r="H310" s="15">
        <f>LOOKUP(G310,CPI!A$69:A$100,CPI!O$69:O$100)</f>
        <v>1.4308136482939633</v>
      </c>
      <c r="I310" s="52">
        <v>2000</v>
      </c>
      <c r="J310" s="15">
        <f t="shared" si="93"/>
        <v>0.16500000000000001</v>
      </c>
      <c r="K310" s="15"/>
      <c r="L310" s="62"/>
      <c r="M310" s="56">
        <f t="shared" si="91"/>
        <v>57.094033546727104</v>
      </c>
      <c r="N310" s="14">
        <v>25.2</v>
      </c>
      <c r="O310" s="18">
        <f t="shared" si="87"/>
        <v>25.2</v>
      </c>
      <c r="P310" s="16">
        <v>0</v>
      </c>
      <c r="Q310" s="16">
        <v>1</v>
      </c>
      <c r="R310" s="16">
        <v>0</v>
      </c>
      <c r="S310" s="14"/>
      <c r="T310" s="56" t="str">
        <f t="shared" si="76"/>
        <v/>
      </c>
      <c r="U310" s="56" t="str">
        <f t="shared" si="88"/>
        <v/>
      </c>
      <c r="V310" s="56" t="str">
        <f t="shared" si="89"/>
        <v/>
      </c>
      <c r="W310" s="14"/>
      <c r="X310" s="14"/>
      <c r="Y310" s="14"/>
      <c r="Z310" s="14"/>
      <c r="AA310" s="18">
        <f t="shared" si="84"/>
        <v>25.2</v>
      </c>
      <c r="AB310" s="14"/>
      <c r="AC310" s="14"/>
      <c r="AD310" s="14"/>
      <c r="AE310" s="14"/>
      <c r="AF310" s="16">
        <v>1</v>
      </c>
      <c r="AG310" s="16">
        <v>1</v>
      </c>
      <c r="AH310" s="16">
        <v>1</v>
      </c>
      <c r="AI310" s="16">
        <v>1</v>
      </c>
      <c r="AJ310" s="5">
        <v>1</v>
      </c>
      <c r="AK310" s="5">
        <v>0</v>
      </c>
      <c r="AL310" s="5">
        <v>0</v>
      </c>
      <c r="AM310" s="20"/>
      <c r="AN310" s="20">
        <v>1</v>
      </c>
      <c r="AO310" s="16"/>
      <c r="AP310" s="16"/>
      <c r="AQ310" s="16"/>
      <c r="AR310" s="16">
        <v>0</v>
      </c>
      <c r="AS310" s="16">
        <v>1</v>
      </c>
      <c r="AT310" s="16"/>
      <c r="AU310" s="16"/>
      <c r="AV310" s="16"/>
      <c r="AW310" s="16"/>
      <c r="AX310" s="16">
        <v>0</v>
      </c>
      <c r="AY310" s="16">
        <v>0</v>
      </c>
      <c r="AZ310" s="16">
        <v>1</v>
      </c>
      <c r="BA310" s="16">
        <v>0</v>
      </c>
    </row>
    <row r="311" spans="1:53" x14ac:dyDescent="0.2">
      <c r="A311" s="14"/>
      <c r="B311" s="14" t="str">
        <f t="shared" si="80"/>
        <v>Link &amp; Tol 2004</v>
      </c>
      <c r="C311" s="61">
        <f t="shared" si="81"/>
        <v>37</v>
      </c>
      <c r="D311" s="58">
        <v>2004</v>
      </c>
      <c r="E311" s="17"/>
      <c r="F311" s="58">
        <v>1</v>
      </c>
      <c r="G311" s="16">
        <v>1995</v>
      </c>
      <c r="H311" s="15">
        <f>LOOKUP(G311,CPI!A$69:A$100,CPI!O$69:O$100)</f>
        <v>1.4308136482939633</v>
      </c>
      <c r="I311" s="52">
        <v>2000</v>
      </c>
      <c r="J311" s="15">
        <f t="shared" si="93"/>
        <v>0.16500000000000001</v>
      </c>
      <c r="K311" s="15"/>
      <c r="L311" s="62"/>
      <c r="M311" s="56">
        <f t="shared" si="91"/>
        <v>213.19637129948495</v>
      </c>
      <c r="N311" s="14">
        <v>94.1</v>
      </c>
      <c r="O311" s="18">
        <f t="shared" si="87"/>
        <v>94.1</v>
      </c>
      <c r="P311" s="16">
        <v>0</v>
      </c>
      <c r="Q311" s="16">
        <v>1</v>
      </c>
      <c r="R311" s="16">
        <v>0</v>
      </c>
      <c r="S311" s="14"/>
      <c r="T311" s="56" t="str">
        <f t="shared" si="76"/>
        <v/>
      </c>
      <c r="U311" s="56" t="str">
        <f t="shared" si="88"/>
        <v/>
      </c>
      <c r="V311" s="56" t="str">
        <f t="shared" si="89"/>
        <v/>
      </c>
      <c r="W311" s="14"/>
      <c r="X311" s="14"/>
      <c r="Y311" s="14"/>
      <c r="Z311" s="14"/>
      <c r="AA311" s="18">
        <f t="shared" si="84"/>
        <v>94.1</v>
      </c>
      <c r="AB311" s="14"/>
      <c r="AC311" s="14"/>
      <c r="AD311" s="14"/>
      <c r="AE311" s="14"/>
      <c r="AF311" s="16">
        <v>1</v>
      </c>
      <c r="AG311" s="16">
        <v>1</v>
      </c>
      <c r="AH311" s="16">
        <v>1</v>
      </c>
      <c r="AI311" s="16">
        <v>1</v>
      </c>
      <c r="AJ311" s="5">
        <v>1</v>
      </c>
      <c r="AK311" s="5">
        <v>0</v>
      </c>
      <c r="AL311" s="5">
        <v>0</v>
      </c>
      <c r="AM311" s="20"/>
      <c r="AN311" s="20">
        <v>1</v>
      </c>
      <c r="AO311" s="16"/>
      <c r="AP311" s="16"/>
      <c r="AQ311" s="16"/>
      <c r="AR311" s="16">
        <v>1</v>
      </c>
      <c r="AS311" s="16">
        <v>1</v>
      </c>
      <c r="AT311" s="16"/>
      <c r="AU311" s="16"/>
      <c r="AV311" s="16"/>
      <c r="AW311" s="16"/>
      <c r="AX311" s="16">
        <v>0</v>
      </c>
      <c r="AY311" s="16">
        <v>0</v>
      </c>
      <c r="AZ311" s="16">
        <v>1</v>
      </c>
      <c r="BA311" s="16">
        <v>0</v>
      </c>
    </row>
    <row r="312" spans="1:53" x14ac:dyDescent="0.2">
      <c r="A312" s="14"/>
      <c r="B312" s="14" t="str">
        <f t="shared" si="80"/>
        <v>Link &amp; Tol 2004</v>
      </c>
      <c r="C312" s="61">
        <f t="shared" si="81"/>
        <v>37</v>
      </c>
      <c r="D312" s="58">
        <v>2004</v>
      </c>
      <c r="E312" s="17"/>
      <c r="F312" s="58">
        <v>1</v>
      </c>
      <c r="G312" s="16">
        <v>1995</v>
      </c>
      <c r="H312" s="15">
        <f>LOOKUP(G312,CPI!A$69:A$100,CPI!O$69:O$100)</f>
        <v>1.4308136482939633</v>
      </c>
      <c r="I312" s="52">
        <v>2000</v>
      </c>
      <c r="J312" s="15">
        <f t="shared" si="93"/>
        <v>0.16500000000000001</v>
      </c>
      <c r="K312" s="15"/>
      <c r="L312" s="62"/>
      <c r="M312" s="56">
        <f t="shared" si="91"/>
        <v>11.554744884456676</v>
      </c>
      <c r="N312" s="14">
        <v>5.0999999999999996</v>
      </c>
      <c r="O312" s="18">
        <f t="shared" si="87"/>
        <v>5.0999999999999996</v>
      </c>
      <c r="P312" s="16">
        <v>0</v>
      </c>
      <c r="Q312" s="16">
        <v>1</v>
      </c>
      <c r="R312" s="16">
        <v>0</v>
      </c>
      <c r="S312" s="14"/>
      <c r="T312" s="56" t="str">
        <f t="shared" si="76"/>
        <v/>
      </c>
      <c r="U312" s="56" t="str">
        <f t="shared" si="88"/>
        <v/>
      </c>
      <c r="V312" s="56" t="str">
        <f t="shared" si="89"/>
        <v/>
      </c>
      <c r="W312" s="14"/>
      <c r="X312" s="14"/>
      <c r="Y312" s="14"/>
      <c r="Z312" s="14"/>
      <c r="AA312" s="18">
        <f t="shared" si="84"/>
        <v>5.0999999999999996</v>
      </c>
      <c r="AB312" s="14"/>
      <c r="AC312" s="14"/>
      <c r="AD312" s="14"/>
      <c r="AE312" s="14"/>
      <c r="AF312" s="16">
        <v>1</v>
      </c>
      <c r="AG312" s="16">
        <v>1</v>
      </c>
      <c r="AH312" s="16">
        <v>1</v>
      </c>
      <c r="AI312" s="16">
        <v>1</v>
      </c>
      <c r="AJ312" s="5">
        <v>1</v>
      </c>
      <c r="AK312" s="5">
        <v>0</v>
      </c>
      <c r="AL312" s="5">
        <v>0</v>
      </c>
      <c r="AM312" s="20"/>
      <c r="AN312" s="20">
        <v>3</v>
      </c>
      <c r="AO312" s="16"/>
      <c r="AP312" s="16"/>
      <c r="AQ312" s="16"/>
      <c r="AR312" s="16">
        <v>0</v>
      </c>
      <c r="AS312" s="16">
        <v>1</v>
      </c>
      <c r="AT312" s="16"/>
      <c r="AU312" s="16"/>
      <c r="AV312" s="16"/>
      <c r="AW312" s="16"/>
      <c r="AX312" s="16">
        <v>0</v>
      </c>
      <c r="AY312" s="16">
        <v>0</v>
      </c>
      <c r="AZ312" s="16">
        <v>1</v>
      </c>
      <c r="BA312" s="16">
        <v>0</v>
      </c>
    </row>
    <row r="313" spans="1:53" x14ac:dyDescent="0.2">
      <c r="A313" s="14"/>
      <c r="B313" s="14" t="str">
        <f t="shared" si="80"/>
        <v>Link &amp; Tol 2004</v>
      </c>
      <c r="C313" s="61">
        <f t="shared" si="81"/>
        <v>37</v>
      </c>
      <c r="D313" s="58">
        <v>2004</v>
      </c>
      <c r="E313" s="17"/>
      <c r="F313" s="58">
        <v>1</v>
      </c>
      <c r="G313" s="16">
        <v>1995</v>
      </c>
      <c r="H313" s="15">
        <f>LOOKUP(G313,CPI!A$69:A$100,CPI!O$69:O$100)</f>
        <v>1.4308136482939633</v>
      </c>
      <c r="I313" s="52">
        <v>2000</v>
      </c>
      <c r="J313" s="15">
        <f t="shared" si="93"/>
        <v>0.16500000000000001</v>
      </c>
      <c r="K313" s="15"/>
      <c r="L313" s="62"/>
      <c r="M313" s="56">
        <f t="shared" si="91"/>
        <v>102.1801949586267</v>
      </c>
      <c r="N313" s="14">
        <v>45.1</v>
      </c>
      <c r="O313" s="18">
        <f t="shared" si="87"/>
        <v>45.1</v>
      </c>
      <c r="P313" s="16">
        <v>0</v>
      </c>
      <c r="Q313" s="16">
        <v>1</v>
      </c>
      <c r="R313" s="16">
        <v>0</v>
      </c>
      <c r="S313" s="14"/>
      <c r="T313" s="56" t="str">
        <f t="shared" si="76"/>
        <v/>
      </c>
      <c r="U313" s="56" t="str">
        <f t="shared" si="88"/>
        <v/>
      </c>
      <c r="V313" s="56" t="str">
        <f t="shared" si="89"/>
        <v/>
      </c>
      <c r="W313" s="14"/>
      <c r="X313" s="14"/>
      <c r="Y313" s="14"/>
      <c r="Z313" s="14"/>
      <c r="AA313" s="18">
        <f t="shared" si="84"/>
        <v>45.1</v>
      </c>
      <c r="AB313" s="14"/>
      <c r="AC313" s="14"/>
      <c r="AD313" s="14"/>
      <c r="AE313" s="14"/>
      <c r="AF313" s="16">
        <v>1</v>
      </c>
      <c r="AG313" s="16">
        <v>1</v>
      </c>
      <c r="AH313" s="16">
        <v>1</v>
      </c>
      <c r="AI313" s="16">
        <v>1</v>
      </c>
      <c r="AJ313" s="5">
        <v>1</v>
      </c>
      <c r="AK313" s="5">
        <v>0</v>
      </c>
      <c r="AL313" s="5">
        <v>0</v>
      </c>
      <c r="AM313" s="20"/>
      <c r="AN313" s="20">
        <v>3</v>
      </c>
      <c r="AO313" s="16"/>
      <c r="AP313" s="16"/>
      <c r="AQ313" s="16"/>
      <c r="AR313" s="16">
        <v>1</v>
      </c>
      <c r="AS313" s="16">
        <v>1</v>
      </c>
      <c r="AT313" s="16"/>
      <c r="AU313" s="16"/>
      <c r="AV313" s="16"/>
      <c r="AW313" s="16"/>
      <c r="AX313" s="16">
        <v>0</v>
      </c>
      <c r="AY313" s="16">
        <v>0</v>
      </c>
      <c r="AZ313" s="16">
        <v>1</v>
      </c>
      <c r="BA313" s="16">
        <v>0</v>
      </c>
    </row>
    <row r="314" spans="1:53" x14ac:dyDescent="0.2">
      <c r="A314" s="14"/>
      <c r="B314" s="14" t="str">
        <f t="shared" si="80"/>
        <v>Link &amp; Tol 2004</v>
      </c>
      <c r="C314" s="61">
        <f t="shared" si="81"/>
        <v>37</v>
      </c>
      <c r="D314" s="58">
        <v>2004</v>
      </c>
      <c r="E314" s="17"/>
      <c r="F314" s="58">
        <v>1</v>
      </c>
      <c r="G314" s="16">
        <v>1995</v>
      </c>
      <c r="H314" s="15">
        <f>LOOKUP(G314,CPI!A$69:A$100,CPI!O$69:O$100)</f>
        <v>1.4308136482939633</v>
      </c>
      <c r="I314" s="52">
        <v>2000</v>
      </c>
      <c r="J314" s="15">
        <f t="shared" ref="J314:J319" si="94">0.01/6</f>
        <v>1.6666666666666668E-3</v>
      </c>
      <c r="K314" s="15"/>
      <c r="L314" s="62"/>
      <c r="M314" s="56">
        <f t="shared" si="91"/>
        <v>171.28210064018131</v>
      </c>
      <c r="N314" s="14">
        <v>75.599999999999994</v>
      </c>
      <c r="O314" s="18">
        <f t="shared" si="87"/>
        <v>75.599999999999994</v>
      </c>
      <c r="P314" s="16">
        <v>0</v>
      </c>
      <c r="Q314" s="16">
        <v>1</v>
      </c>
      <c r="R314" s="16">
        <v>0</v>
      </c>
      <c r="S314" s="14"/>
      <c r="T314" s="56" t="str">
        <f t="shared" si="76"/>
        <v/>
      </c>
      <c r="U314" s="56" t="str">
        <f t="shared" si="88"/>
        <v/>
      </c>
      <c r="V314" s="56" t="str">
        <f t="shared" si="89"/>
        <v/>
      </c>
      <c r="W314" s="14"/>
      <c r="X314" s="14"/>
      <c r="Y314" s="14"/>
      <c r="Z314" s="14"/>
      <c r="AA314" s="18">
        <f t="shared" si="84"/>
        <v>75.599999999999994</v>
      </c>
      <c r="AB314" s="14"/>
      <c r="AC314" s="14"/>
      <c r="AD314" s="14"/>
      <c r="AE314" s="14"/>
      <c r="AF314" s="16">
        <v>1</v>
      </c>
      <c r="AG314" s="16">
        <v>1</v>
      </c>
      <c r="AH314" s="16">
        <v>1</v>
      </c>
      <c r="AI314" s="16">
        <v>1</v>
      </c>
      <c r="AJ314" s="5">
        <v>1</v>
      </c>
      <c r="AK314" s="5">
        <v>0</v>
      </c>
      <c r="AL314" s="5">
        <v>0</v>
      </c>
      <c r="AM314" s="20"/>
      <c r="AN314" s="20">
        <v>0</v>
      </c>
      <c r="AO314" s="16"/>
      <c r="AP314" s="16"/>
      <c r="AQ314" s="16"/>
      <c r="AR314" s="16">
        <v>0</v>
      </c>
      <c r="AS314" s="16">
        <v>1</v>
      </c>
      <c r="AT314" s="16"/>
      <c r="AU314" s="16"/>
      <c r="AV314" s="16"/>
      <c r="AW314" s="16"/>
      <c r="AX314" s="16">
        <v>0</v>
      </c>
      <c r="AY314" s="16">
        <v>0</v>
      </c>
      <c r="AZ314" s="16">
        <v>1</v>
      </c>
      <c r="BA314" s="16">
        <v>0</v>
      </c>
    </row>
    <row r="315" spans="1:53" x14ac:dyDescent="0.2">
      <c r="A315" s="14"/>
      <c r="B315" s="14" t="str">
        <f t="shared" si="80"/>
        <v>Link &amp; Tol 2004</v>
      </c>
      <c r="C315" s="61">
        <f t="shared" si="81"/>
        <v>37</v>
      </c>
      <c r="D315" s="58">
        <v>2004</v>
      </c>
      <c r="E315" s="17"/>
      <c r="F315" s="58">
        <v>1</v>
      </c>
      <c r="G315" s="16">
        <v>1995</v>
      </c>
      <c r="H315" s="15">
        <f>LOOKUP(G315,CPI!A$69:A$100,CPI!O$69:O$100)</f>
        <v>1.4308136482939633</v>
      </c>
      <c r="I315" s="52">
        <v>2000</v>
      </c>
      <c r="J315" s="15">
        <f t="shared" si="94"/>
        <v>1.6666666666666668E-3</v>
      </c>
      <c r="K315" s="15"/>
      <c r="L315" s="62"/>
      <c r="M315" s="56">
        <f t="shared" si="91"/>
        <v>380.17376306114323</v>
      </c>
      <c r="N315" s="14">
        <v>167.8</v>
      </c>
      <c r="O315" s="18">
        <f t="shared" si="87"/>
        <v>167.8</v>
      </c>
      <c r="P315" s="16">
        <v>0</v>
      </c>
      <c r="Q315" s="16">
        <v>1</v>
      </c>
      <c r="R315" s="16">
        <v>0</v>
      </c>
      <c r="S315" s="14"/>
      <c r="T315" s="56" t="str">
        <f t="shared" si="76"/>
        <v/>
      </c>
      <c r="U315" s="56" t="str">
        <f t="shared" si="88"/>
        <v/>
      </c>
      <c r="V315" s="56" t="str">
        <f t="shared" si="89"/>
        <v/>
      </c>
      <c r="W315" s="14"/>
      <c r="X315" s="14"/>
      <c r="Y315" s="14"/>
      <c r="Z315" s="14"/>
      <c r="AA315" s="18">
        <f t="shared" si="84"/>
        <v>167.8</v>
      </c>
      <c r="AB315" s="14"/>
      <c r="AC315" s="14"/>
      <c r="AD315" s="14"/>
      <c r="AE315" s="14"/>
      <c r="AF315" s="16">
        <v>1</v>
      </c>
      <c r="AG315" s="16">
        <v>1</v>
      </c>
      <c r="AH315" s="16">
        <v>1</v>
      </c>
      <c r="AI315" s="16">
        <v>1</v>
      </c>
      <c r="AJ315" s="5">
        <v>1</v>
      </c>
      <c r="AK315" s="5">
        <v>0</v>
      </c>
      <c r="AL315" s="5">
        <v>0</v>
      </c>
      <c r="AM315" s="20"/>
      <c r="AN315" s="20">
        <v>0</v>
      </c>
      <c r="AO315" s="16"/>
      <c r="AP315" s="16"/>
      <c r="AQ315" s="16"/>
      <c r="AR315" s="16">
        <v>1</v>
      </c>
      <c r="AS315" s="16">
        <v>1</v>
      </c>
      <c r="AT315" s="16"/>
      <c r="AU315" s="16"/>
      <c r="AV315" s="16"/>
      <c r="AW315" s="16"/>
      <c r="AX315" s="16">
        <v>0</v>
      </c>
      <c r="AY315" s="16">
        <v>0</v>
      </c>
      <c r="AZ315" s="16">
        <v>1</v>
      </c>
      <c r="BA315" s="16">
        <v>0</v>
      </c>
    </row>
    <row r="316" spans="1:53" x14ac:dyDescent="0.2">
      <c r="A316" s="14"/>
      <c r="B316" s="14" t="str">
        <f t="shared" si="80"/>
        <v>Link &amp; Tol 2004</v>
      </c>
      <c r="C316" s="61">
        <f t="shared" si="81"/>
        <v>37</v>
      </c>
      <c r="D316" s="58">
        <v>2004</v>
      </c>
      <c r="E316" s="17"/>
      <c r="F316" s="58">
        <v>1</v>
      </c>
      <c r="G316" s="16">
        <v>1995</v>
      </c>
      <c r="H316" s="15">
        <f>LOOKUP(G316,CPI!A$69:A$100,CPI!O$69:O$100)</f>
        <v>1.4308136482939633</v>
      </c>
      <c r="I316" s="52">
        <v>2000</v>
      </c>
      <c r="J316" s="15">
        <f t="shared" si="94"/>
        <v>1.6666666666666668E-3</v>
      </c>
      <c r="K316" s="15"/>
      <c r="L316" s="62"/>
      <c r="M316" s="56">
        <f t="shared" si="91"/>
        <v>55.281524545243705</v>
      </c>
      <c r="N316" s="14">
        <v>24.4</v>
      </c>
      <c r="O316" s="18">
        <f t="shared" si="87"/>
        <v>24.4</v>
      </c>
      <c r="P316" s="16">
        <v>0</v>
      </c>
      <c r="Q316" s="16">
        <v>1</v>
      </c>
      <c r="R316" s="16">
        <v>0</v>
      </c>
      <c r="S316" s="14"/>
      <c r="T316" s="56" t="str">
        <f t="shared" si="76"/>
        <v/>
      </c>
      <c r="U316" s="56" t="str">
        <f t="shared" si="88"/>
        <v/>
      </c>
      <c r="V316" s="56" t="str">
        <f t="shared" si="89"/>
        <v/>
      </c>
      <c r="W316" s="14"/>
      <c r="X316" s="14"/>
      <c r="Y316" s="14"/>
      <c r="Z316" s="14"/>
      <c r="AA316" s="18">
        <f t="shared" si="84"/>
        <v>24.4</v>
      </c>
      <c r="AB316" s="14"/>
      <c r="AC316" s="14"/>
      <c r="AD316" s="14"/>
      <c r="AE316" s="14"/>
      <c r="AF316" s="16">
        <v>1</v>
      </c>
      <c r="AG316" s="16">
        <v>1</v>
      </c>
      <c r="AH316" s="16">
        <v>1</v>
      </c>
      <c r="AI316" s="16">
        <v>1</v>
      </c>
      <c r="AJ316" s="5">
        <v>1</v>
      </c>
      <c r="AK316" s="5">
        <v>0</v>
      </c>
      <c r="AL316" s="5">
        <v>0</v>
      </c>
      <c r="AM316" s="20"/>
      <c r="AN316" s="20">
        <v>1</v>
      </c>
      <c r="AO316" s="16"/>
      <c r="AP316" s="16"/>
      <c r="AQ316" s="16"/>
      <c r="AR316" s="16">
        <v>0</v>
      </c>
      <c r="AS316" s="16">
        <v>1</v>
      </c>
      <c r="AT316" s="16"/>
      <c r="AU316" s="16"/>
      <c r="AV316" s="16"/>
      <c r="AW316" s="16"/>
      <c r="AX316" s="16">
        <v>0</v>
      </c>
      <c r="AY316" s="16">
        <v>0</v>
      </c>
      <c r="AZ316" s="16">
        <v>1</v>
      </c>
      <c r="BA316" s="16">
        <v>0</v>
      </c>
    </row>
    <row r="317" spans="1:53" x14ac:dyDescent="0.2">
      <c r="A317" s="14"/>
      <c r="B317" s="14" t="str">
        <f t="shared" si="80"/>
        <v>Link &amp; Tol 2004</v>
      </c>
      <c r="C317" s="61">
        <f t="shared" si="81"/>
        <v>37</v>
      </c>
      <c r="D317" s="58">
        <v>2004</v>
      </c>
      <c r="E317" s="17"/>
      <c r="F317" s="58">
        <v>1</v>
      </c>
      <c r="G317" s="16">
        <v>1995</v>
      </c>
      <c r="H317" s="15">
        <f>LOOKUP(G317,CPI!A$69:A$100,CPI!O$69:O$100)</f>
        <v>1.4308136482939633</v>
      </c>
      <c r="I317" s="52">
        <v>2000</v>
      </c>
      <c r="J317" s="15">
        <f t="shared" si="94"/>
        <v>1.6666666666666668E-3</v>
      </c>
      <c r="K317" s="15"/>
      <c r="L317" s="62"/>
      <c r="M317" s="56">
        <f t="shared" si="91"/>
        <v>212.06355317355784</v>
      </c>
      <c r="N317" s="14">
        <v>93.6</v>
      </c>
      <c r="O317" s="18">
        <f t="shared" si="87"/>
        <v>93.6</v>
      </c>
      <c r="P317" s="16">
        <v>0</v>
      </c>
      <c r="Q317" s="16">
        <v>1</v>
      </c>
      <c r="R317" s="16">
        <v>0</v>
      </c>
      <c r="S317" s="14"/>
      <c r="T317" s="56" t="str">
        <f t="shared" si="76"/>
        <v/>
      </c>
      <c r="U317" s="56" t="str">
        <f t="shared" si="88"/>
        <v/>
      </c>
      <c r="V317" s="56" t="str">
        <f t="shared" si="89"/>
        <v/>
      </c>
      <c r="W317" s="14"/>
      <c r="X317" s="14"/>
      <c r="Y317" s="14"/>
      <c r="Z317" s="14"/>
      <c r="AA317" s="18">
        <f t="shared" si="84"/>
        <v>93.6</v>
      </c>
      <c r="AB317" s="14"/>
      <c r="AC317" s="14"/>
      <c r="AD317" s="14"/>
      <c r="AE317" s="14"/>
      <c r="AF317" s="16">
        <v>1</v>
      </c>
      <c r="AG317" s="16">
        <v>1</v>
      </c>
      <c r="AH317" s="16">
        <v>1</v>
      </c>
      <c r="AI317" s="16">
        <v>1</v>
      </c>
      <c r="AJ317" s="5">
        <v>1</v>
      </c>
      <c r="AK317" s="5">
        <v>0</v>
      </c>
      <c r="AL317" s="5">
        <v>0</v>
      </c>
      <c r="AM317" s="20"/>
      <c r="AN317" s="20">
        <v>1</v>
      </c>
      <c r="AO317" s="16"/>
      <c r="AP317" s="16"/>
      <c r="AQ317" s="16"/>
      <c r="AR317" s="16">
        <v>1</v>
      </c>
      <c r="AS317" s="16">
        <v>1</v>
      </c>
      <c r="AT317" s="16"/>
      <c r="AU317" s="16"/>
      <c r="AV317" s="16"/>
      <c r="AW317" s="16"/>
      <c r="AX317" s="16">
        <v>0</v>
      </c>
      <c r="AY317" s="16">
        <v>0</v>
      </c>
      <c r="AZ317" s="16">
        <v>1</v>
      </c>
      <c r="BA317" s="16">
        <v>0</v>
      </c>
    </row>
    <row r="318" spans="1:53" x14ac:dyDescent="0.2">
      <c r="A318" s="14"/>
      <c r="B318" s="14" t="str">
        <f t="shared" si="80"/>
        <v>Link &amp; Tol 2004</v>
      </c>
      <c r="C318" s="61">
        <f t="shared" si="81"/>
        <v>37</v>
      </c>
      <c r="D318" s="58">
        <v>2004</v>
      </c>
      <c r="E318" s="17"/>
      <c r="F318" s="58">
        <v>1</v>
      </c>
      <c r="G318" s="16">
        <v>1995</v>
      </c>
      <c r="H318" s="15">
        <f>LOOKUP(G318,CPI!A$69:A$100,CPI!O$69:O$100)</f>
        <v>1.4308136482939633</v>
      </c>
      <c r="I318" s="52">
        <v>2000</v>
      </c>
      <c r="J318" s="15">
        <f t="shared" si="94"/>
        <v>1.6666666666666668E-3</v>
      </c>
      <c r="K318" s="15"/>
      <c r="L318" s="62"/>
      <c r="M318" s="56">
        <f t="shared" si="91"/>
        <v>11.328181259271251</v>
      </c>
      <c r="N318" s="14">
        <v>5</v>
      </c>
      <c r="O318" s="18">
        <f t="shared" si="87"/>
        <v>5</v>
      </c>
      <c r="P318" s="16">
        <v>0</v>
      </c>
      <c r="Q318" s="16">
        <v>1</v>
      </c>
      <c r="R318" s="16">
        <v>0</v>
      </c>
      <c r="S318" s="14"/>
      <c r="T318" s="56" t="str">
        <f t="shared" si="76"/>
        <v/>
      </c>
      <c r="U318" s="56" t="str">
        <f t="shared" si="88"/>
        <v/>
      </c>
      <c r="V318" s="56" t="str">
        <f t="shared" si="89"/>
        <v/>
      </c>
      <c r="W318" s="14"/>
      <c r="X318" s="14"/>
      <c r="Y318" s="14"/>
      <c r="Z318" s="14"/>
      <c r="AA318" s="18">
        <f t="shared" si="84"/>
        <v>5</v>
      </c>
      <c r="AB318" s="14"/>
      <c r="AC318" s="14"/>
      <c r="AD318" s="14"/>
      <c r="AE318" s="14"/>
      <c r="AF318" s="16">
        <v>1</v>
      </c>
      <c r="AG318" s="16">
        <v>1</v>
      </c>
      <c r="AH318" s="16">
        <v>1</v>
      </c>
      <c r="AI318" s="16">
        <v>1</v>
      </c>
      <c r="AJ318" s="5">
        <v>1</v>
      </c>
      <c r="AK318" s="5">
        <v>0</v>
      </c>
      <c r="AL318" s="5">
        <v>0</v>
      </c>
      <c r="AM318" s="20"/>
      <c r="AN318" s="20">
        <v>3</v>
      </c>
      <c r="AO318" s="16"/>
      <c r="AP318" s="16"/>
      <c r="AQ318" s="16"/>
      <c r="AR318" s="16">
        <v>0</v>
      </c>
      <c r="AS318" s="16">
        <v>1</v>
      </c>
      <c r="AT318" s="16"/>
      <c r="AU318" s="16"/>
      <c r="AV318" s="16"/>
      <c r="AW318" s="16"/>
      <c r="AX318" s="16">
        <v>0</v>
      </c>
      <c r="AY318" s="16">
        <v>0</v>
      </c>
      <c r="AZ318" s="16">
        <v>1</v>
      </c>
      <c r="BA318" s="16">
        <v>0</v>
      </c>
    </row>
    <row r="319" spans="1:53" x14ac:dyDescent="0.2">
      <c r="A319" s="14"/>
      <c r="B319" s="14" t="str">
        <f t="shared" si="80"/>
        <v>Link &amp; Tol 2004</v>
      </c>
      <c r="C319" s="61">
        <f t="shared" si="81"/>
        <v>37</v>
      </c>
      <c r="D319" s="58">
        <v>2004</v>
      </c>
      <c r="E319" s="17"/>
      <c r="F319" s="58">
        <v>1</v>
      </c>
      <c r="G319" s="16">
        <v>1995</v>
      </c>
      <c r="H319" s="15">
        <f>LOOKUP(G319,CPI!A$69:A$100,CPI!O$69:O$100)</f>
        <v>1.4308136482939633</v>
      </c>
      <c r="I319" s="52">
        <v>2000</v>
      </c>
      <c r="J319" s="15">
        <f t="shared" si="94"/>
        <v>1.6666666666666668E-3</v>
      </c>
      <c r="K319" s="15"/>
      <c r="L319" s="62"/>
      <c r="M319" s="56">
        <f t="shared" si="91"/>
        <v>101.95363133344127</v>
      </c>
      <c r="N319" s="14">
        <v>45</v>
      </c>
      <c r="O319" s="18">
        <f t="shared" si="87"/>
        <v>45</v>
      </c>
      <c r="P319" s="16">
        <v>0</v>
      </c>
      <c r="Q319" s="16">
        <v>1</v>
      </c>
      <c r="R319" s="16">
        <v>0</v>
      </c>
      <c r="S319" s="14"/>
      <c r="T319" s="56" t="str">
        <f t="shared" si="76"/>
        <v/>
      </c>
      <c r="U319" s="56" t="str">
        <f t="shared" si="88"/>
        <v/>
      </c>
      <c r="V319" s="56" t="str">
        <f t="shared" si="89"/>
        <v/>
      </c>
      <c r="W319" s="14"/>
      <c r="X319" s="14"/>
      <c r="Y319" s="14"/>
      <c r="Z319" s="14"/>
      <c r="AA319" s="18">
        <f t="shared" si="84"/>
        <v>45</v>
      </c>
      <c r="AB319" s="14"/>
      <c r="AC319" s="14"/>
      <c r="AD319" s="14"/>
      <c r="AE319" s="14"/>
      <c r="AF319" s="16">
        <v>1</v>
      </c>
      <c r="AG319" s="16">
        <v>1</v>
      </c>
      <c r="AH319" s="16">
        <v>1</v>
      </c>
      <c r="AI319" s="16">
        <v>1</v>
      </c>
      <c r="AJ319" s="5">
        <v>1</v>
      </c>
      <c r="AK319" s="5">
        <v>0</v>
      </c>
      <c r="AL319" s="5">
        <v>0</v>
      </c>
      <c r="AM319" s="20"/>
      <c r="AN319" s="20">
        <v>3</v>
      </c>
      <c r="AO319" s="16"/>
      <c r="AP319" s="16"/>
      <c r="AQ319" s="16"/>
      <c r="AR319" s="16">
        <v>1</v>
      </c>
      <c r="AS319" s="16">
        <v>1</v>
      </c>
      <c r="AT319" s="16"/>
      <c r="AU319" s="16"/>
      <c r="AV319" s="16"/>
      <c r="AW319" s="16"/>
      <c r="AX319" s="16">
        <v>0</v>
      </c>
      <c r="AY319" s="16">
        <v>0</v>
      </c>
      <c r="AZ319" s="16">
        <v>1</v>
      </c>
      <c r="BA319" s="16">
        <v>0</v>
      </c>
    </row>
    <row r="320" spans="1:53" x14ac:dyDescent="0.2">
      <c r="A320" s="14" t="s">
        <v>26</v>
      </c>
      <c r="B320" s="14" t="str">
        <f t="shared" si="80"/>
        <v>Manne 2004</v>
      </c>
      <c r="C320" s="61">
        <f t="shared" si="81"/>
        <v>38</v>
      </c>
      <c r="D320" s="58">
        <v>2004</v>
      </c>
      <c r="E320" s="17" t="s">
        <v>97</v>
      </c>
      <c r="F320" s="58">
        <v>0</v>
      </c>
      <c r="G320" s="16">
        <v>2000</v>
      </c>
      <c r="H320" s="15">
        <f>LOOKUP(G320,CPI!A$69:A$100,CPI!O$69:O$100)</f>
        <v>1.2662950058072011</v>
      </c>
      <c r="I320" s="52">
        <v>2000</v>
      </c>
      <c r="J320" s="15">
        <v>0.05</v>
      </c>
      <c r="K320" s="15"/>
      <c r="L320" s="62"/>
      <c r="M320" s="56">
        <f t="shared" si="91"/>
        <v>601.53826617175571</v>
      </c>
      <c r="N320" s="14">
        <v>300</v>
      </c>
      <c r="O320" s="18">
        <f t="shared" si="87"/>
        <v>300</v>
      </c>
      <c r="P320" s="16">
        <v>0</v>
      </c>
      <c r="Q320" s="16">
        <v>1</v>
      </c>
      <c r="R320" s="16">
        <v>0</v>
      </c>
      <c r="S320" s="14"/>
      <c r="T320" s="56" t="str">
        <f t="shared" si="76"/>
        <v/>
      </c>
      <c r="U320" s="56" t="str">
        <f t="shared" si="88"/>
        <v/>
      </c>
      <c r="V320" s="56" t="str">
        <f t="shared" si="89"/>
        <v/>
      </c>
      <c r="W320" s="14"/>
      <c r="X320" s="14"/>
      <c r="Y320" s="14"/>
      <c r="Z320" s="14"/>
      <c r="AA320" s="18">
        <f t="shared" si="84"/>
        <v>300</v>
      </c>
      <c r="AB320" s="14"/>
      <c r="AC320" s="14"/>
      <c r="AD320" s="14"/>
      <c r="AE320" s="14"/>
      <c r="AF320" s="16">
        <v>0</v>
      </c>
      <c r="AG320" s="16">
        <v>1</v>
      </c>
      <c r="AH320" s="16">
        <v>0</v>
      </c>
      <c r="AI320" s="16">
        <v>1</v>
      </c>
      <c r="AJ320" s="5">
        <v>0</v>
      </c>
      <c r="AK320" s="5">
        <v>0</v>
      </c>
      <c r="AL320" s="5">
        <v>0</v>
      </c>
      <c r="AM320" s="20"/>
      <c r="AN320" s="20">
        <v>0</v>
      </c>
      <c r="AO320" s="16"/>
      <c r="AP320" s="16"/>
      <c r="AQ320" s="16"/>
      <c r="AR320" s="16">
        <v>0</v>
      </c>
      <c r="AS320" s="16">
        <v>0</v>
      </c>
      <c r="AT320" s="16"/>
      <c r="AU320" s="16"/>
      <c r="AV320" s="16"/>
      <c r="AW320" s="16"/>
      <c r="AX320" s="16">
        <v>0</v>
      </c>
      <c r="AY320" s="16">
        <v>0</v>
      </c>
      <c r="AZ320" s="16">
        <v>0</v>
      </c>
      <c r="BA320" s="16">
        <v>0</v>
      </c>
    </row>
    <row r="321" spans="1:53" x14ac:dyDescent="0.2">
      <c r="A321" s="14"/>
      <c r="B321" s="14" t="str">
        <f t="shared" si="80"/>
        <v>Manne 2004</v>
      </c>
      <c r="C321" s="61">
        <f t="shared" si="81"/>
        <v>38</v>
      </c>
      <c r="D321" s="58">
        <v>2004</v>
      </c>
      <c r="E321" s="17"/>
      <c r="F321" s="58">
        <v>0</v>
      </c>
      <c r="G321" s="16">
        <v>2000</v>
      </c>
      <c r="H321" s="15">
        <f>LOOKUP(G321,CPI!A$69:A$100,CPI!O$69:O$100)</f>
        <v>1.2662950058072011</v>
      </c>
      <c r="I321" s="52">
        <v>2000</v>
      </c>
      <c r="J321" s="15">
        <v>0.95</v>
      </c>
      <c r="K321" s="15"/>
      <c r="L321" s="62"/>
      <c r="M321" s="56">
        <f t="shared" si="91"/>
        <v>24.061530646870228</v>
      </c>
      <c r="N321" s="14">
        <v>12</v>
      </c>
      <c r="O321" s="18">
        <f t="shared" si="87"/>
        <v>12</v>
      </c>
      <c r="P321" s="16">
        <v>0</v>
      </c>
      <c r="Q321" s="16">
        <v>1</v>
      </c>
      <c r="R321" s="16">
        <v>0</v>
      </c>
      <c r="S321" s="14"/>
      <c r="T321" s="56" t="str">
        <f t="shared" si="76"/>
        <v/>
      </c>
      <c r="U321" s="56" t="str">
        <f t="shared" si="88"/>
        <v/>
      </c>
      <c r="V321" s="56" t="str">
        <f t="shared" si="89"/>
        <v/>
      </c>
      <c r="W321" s="14"/>
      <c r="X321" s="14"/>
      <c r="Y321" s="14"/>
      <c r="Z321" s="14"/>
      <c r="AA321" s="18">
        <f t="shared" si="84"/>
        <v>12</v>
      </c>
      <c r="AB321" s="14"/>
      <c r="AC321" s="14"/>
      <c r="AD321" s="14"/>
      <c r="AE321" s="14"/>
      <c r="AF321" s="16">
        <v>0</v>
      </c>
      <c r="AG321" s="16">
        <v>1</v>
      </c>
      <c r="AH321" s="16">
        <v>0</v>
      </c>
      <c r="AI321" s="16">
        <v>1</v>
      </c>
      <c r="AJ321" s="5">
        <v>0</v>
      </c>
      <c r="AK321" s="5">
        <v>0</v>
      </c>
      <c r="AL321" s="5">
        <v>0</v>
      </c>
      <c r="AM321" s="20"/>
      <c r="AN321" s="20">
        <v>3</v>
      </c>
      <c r="AO321" s="16"/>
      <c r="AP321" s="16"/>
      <c r="AQ321" s="16"/>
      <c r="AR321" s="16">
        <v>0</v>
      </c>
      <c r="AS321" s="16">
        <v>0</v>
      </c>
      <c r="AT321" s="16"/>
      <c r="AU321" s="16"/>
      <c r="AV321" s="16"/>
      <c r="AW321" s="16"/>
      <c r="AX321" s="16">
        <v>0</v>
      </c>
      <c r="AY321" s="16">
        <v>0</v>
      </c>
      <c r="AZ321" s="16">
        <v>0</v>
      </c>
      <c r="BA321" s="16">
        <v>0</v>
      </c>
    </row>
    <row r="322" spans="1:53" x14ac:dyDescent="0.2">
      <c r="A322" s="14" t="s">
        <v>22</v>
      </c>
      <c r="B322" s="14" t="str">
        <f t="shared" si="80"/>
        <v>Mendelsohn 2004</v>
      </c>
      <c r="C322" s="61">
        <f t="shared" si="81"/>
        <v>39</v>
      </c>
      <c r="D322" s="58">
        <v>2004</v>
      </c>
      <c r="E322" s="46" t="s">
        <v>237</v>
      </c>
      <c r="F322" s="58">
        <v>0</v>
      </c>
      <c r="G322" s="16">
        <f>G263</f>
        <v>1990</v>
      </c>
      <c r="H322" s="15">
        <f>LOOKUP(G322,CPI!A$69:A$100,CPI!O$69:O$100)</f>
        <v>1.6683703136954862</v>
      </c>
      <c r="I322" s="52">
        <v>2000</v>
      </c>
      <c r="J322" s="15">
        <v>1</v>
      </c>
      <c r="K322" s="59">
        <v>1</v>
      </c>
      <c r="L322" s="57">
        <f>(AA323/AA322)^(1/(I323-I322))-1</f>
        <v>2.3292992280754099E-2</v>
      </c>
      <c r="M322" s="56">
        <f t="shared" si="91"/>
        <v>3.9626966118889193</v>
      </c>
      <c r="N322" s="14">
        <v>1.5</v>
      </c>
      <c r="O322" s="18">
        <f t="shared" ref="O322:O353" si="95">N322</f>
        <v>1.5</v>
      </c>
      <c r="P322" s="16">
        <v>0</v>
      </c>
      <c r="Q322" s="16">
        <v>1</v>
      </c>
      <c r="R322" s="16">
        <v>0</v>
      </c>
      <c r="S322" s="14">
        <v>0.25</v>
      </c>
      <c r="T322" s="56">
        <f t="shared" si="76"/>
        <v>0.66044943531481981</v>
      </c>
      <c r="U322" s="56">
        <f>+(AA322-X322)/1.96*H322*(1+$L$2)^(2015-I322)</f>
        <v>0.67392799521920388</v>
      </c>
      <c r="V322" s="56">
        <f>+(AD322-AA322)/1.96*H322*(1+$L$2)^(2015-I322)</f>
        <v>0.67392799521920388</v>
      </c>
      <c r="W322" s="14"/>
      <c r="X322" s="14">
        <v>1</v>
      </c>
      <c r="Y322" s="14"/>
      <c r="Z322" s="14"/>
      <c r="AA322" s="18">
        <f t="shared" si="84"/>
        <v>1.5</v>
      </c>
      <c r="AB322" s="14"/>
      <c r="AC322" s="14"/>
      <c r="AD322" s="14">
        <v>2</v>
      </c>
      <c r="AE322" s="14"/>
      <c r="AF322" s="16">
        <v>1</v>
      </c>
      <c r="AG322" s="16">
        <v>0</v>
      </c>
      <c r="AH322" s="16">
        <v>0</v>
      </c>
      <c r="AI322" s="16">
        <v>0</v>
      </c>
      <c r="AJ322" s="5">
        <v>0</v>
      </c>
      <c r="AK322" s="5">
        <v>0</v>
      </c>
      <c r="AL322" s="5">
        <v>0</v>
      </c>
      <c r="AM322" s="20">
        <v>5</v>
      </c>
      <c r="AN322" s="20">
        <v>3</v>
      </c>
      <c r="AO322" s="16"/>
      <c r="AP322" s="16"/>
      <c r="AQ322" s="16"/>
      <c r="AR322" s="16">
        <v>0</v>
      </c>
      <c r="AS322" s="16">
        <v>0</v>
      </c>
      <c r="AT322" s="16"/>
      <c r="AU322" s="16"/>
      <c r="AV322" s="16"/>
      <c r="AW322" s="16"/>
      <c r="AX322" s="16">
        <v>0</v>
      </c>
      <c r="AY322" s="16">
        <v>0</v>
      </c>
      <c r="AZ322" s="16">
        <v>0</v>
      </c>
      <c r="BA322" s="16">
        <v>0</v>
      </c>
    </row>
    <row r="323" spans="1:53" s="36" customFormat="1" x14ac:dyDescent="0.2">
      <c r="A323" s="29"/>
      <c r="B323" s="14" t="str">
        <f t="shared" si="80"/>
        <v>Mendelsohn 2004</v>
      </c>
      <c r="C323" s="61">
        <f t="shared" si="81"/>
        <v>39</v>
      </c>
      <c r="D323" s="58">
        <v>2004</v>
      </c>
      <c r="E323" s="17"/>
      <c r="F323" s="58">
        <v>0</v>
      </c>
      <c r="G323" s="16">
        <f>G264</f>
        <v>1990</v>
      </c>
      <c r="H323" s="15">
        <f>LOOKUP(G323,CPI!A$69:A$100,CPI!O$69:O$100)</f>
        <v>1.6683703136954862</v>
      </c>
      <c r="I323" s="5">
        <v>2100</v>
      </c>
      <c r="J323" s="43">
        <v>0</v>
      </c>
      <c r="K323" s="43"/>
      <c r="L323" s="57"/>
      <c r="M323" s="56"/>
      <c r="N323" s="3">
        <v>15</v>
      </c>
      <c r="O323" s="41">
        <f t="shared" si="95"/>
        <v>15</v>
      </c>
      <c r="P323" s="16">
        <v>0</v>
      </c>
      <c r="Q323" s="16">
        <v>1</v>
      </c>
      <c r="R323" s="16">
        <v>0</v>
      </c>
      <c r="S323" s="42"/>
      <c r="T323" s="56" t="str">
        <f t="shared" si="76"/>
        <v/>
      </c>
      <c r="U323" s="56" t="str">
        <f t="shared" ref="U323:U354" si="96">+V323</f>
        <v/>
      </c>
      <c r="V323" s="56" t="str">
        <f t="shared" ref="V323:V354" si="97">+T323</f>
        <v/>
      </c>
      <c r="W323" s="42"/>
      <c r="X323" s="42"/>
      <c r="Y323" s="42"/>
      <c r="Z323" s="42"/>
      <c r="AA323" s="37">
        <f t="shared" si="84"/>
        <v>15</v>
      </c>
      <c r="AB323" s="42"/>
      <c r="AC323" s="42"/>
      <c r="AD323" s="42"/>
      <c r="AE323" s="42"/>
      <c r="AF323" s="16">
        <v>1</v>
      </c>
      <c r="AG323" s="16">
        <v>0</v>
      </c>
      <c r="AH323" s="16">
        <v>0</v>
      </c>
      <c r="AI323" s="16">
        <v>0</v>
      </c>
      <c r="AJ323" s="5">
        <v>0</v>
      </c>
      <c r="AK323" s="5">
        <v>0</v>
      </c>
      <c r="AL323" s="5">
        <v>0</v>
      </c>
      <c r="AM323" s="20">
        <v>5</v>
      </c>
      <c r="AN323" s="20">
        <v>3</v>
      </c>
      <c r="AO323" s="16"/>
      <c r="AP323" s="16"/>
      <c r="AQ323" s="16"/>
      <c r="AR323" s="16">
        <v>0</v>
      </c>
      <c r="AS323" s="16">
        <v>0</v>
      </c>
      <c r="AT323" s="16"/>
      <c r="AU323" s="16"/>
      <c r="AV323" s="16"/>
      <c r="AW323" s="16"/>
      <c r="AX323" s="16">
        <v>0</v>
      </c>
      <c r="AY323" s="16">
        <v>0</v>
      </c>
      <c r="AZ323" s="16">
        <v>0</v>
      </c>
      <c r="BA323" s="16">
        <v>0</v>
      </c>
    </row>
    <row r="324" spans="1:53" x14ac:dyDescent="0.2">
      <c r="A324" s="14" t="s">
        <v>56</v>
      </c>
      <c r="B324" s="14" t="str">
        <f t="shared" si="80"/>
        <v>Ceronsky et al. 2005</v>
      </c>
      <c r="C324" s="61">
        <f t="shared" si="81"/>
        <v>40</v>
      </c>
      <c r="D324" s="58">
        <v>2005</v>
      </c>
      <c r="E324" s="17" t="s">
        <v>98</v>
      </c>
      <c r="F324" s="58">
        <v>0</v>
      </c>
      <c r="G324" s="16">
        <v>1995</v>
      </c>
      <c r="H324" s="15">
        <f>LOOKUP(G324,CPI!A$69:A$100,CPI!O$69:O$100)</f>
        <v>1.4308136482939633</v>
      </c>
      <c r="I324" s="52">
        <v>2000</v>
      </c>
      <c r="J324" s="15">
        <f>0.95/4</f>
        <v>0.23749999999999999</v>
      </c>
      <c r="K324" s="15"/>
      <c r="L324" s="62"/>
      <c r="M324" s="56">
        <f t="shared" ref="M324:M355" si="98">AA324*H324*(1+$L$2)^(2015-I324)</f>
        <v>131.40690260754653</v>
      </c>
      <c r="N324" s="14">
        <v>58</v>
      </c>
      <c r="O324" s="18">
        <f t="shared" si="95"/>
        <v>58</v>
      </c>
      <c r="P324" s="16">
        <v>0</v>
      </c>
      <c r="Q324" s="16">
        <v>1</v>
      </c>
      <c r="R324" s="16">
        <v>0</v>
      </c>
      <c r="S324" s="14"/>
      <c r="T324" s="56" t="str">
        <f t="shared" ref="T324:T387" si="99">IF(OR(M324="",S324=""),"",S324*H324*(1+$L$2)^(2015-I324))</f>
        <v/>
      </c>
      <c r="U324" s="56" t="str">
        <f t="shared" si="96"/>
        <v/>
      </c>
      <c r="V324" s="56" t="str">
        <f t="shared" si="97"/>
        <v/>
      </c>
      <c r="W324" s="14"/>
      <c r="X324" s="14"/>
      <c r="Y324" s="14"/>
      <c r="Z324" s="14"/>
      <c r="AA324" s="18">
        <f t="shared" si="84"/>
        <v>58</v>
      </c>
      <c r="AB324" s="14"/>
      <c r="AC324" s="14"/>
      <c r="AD324" s="14"/>
      <c r="AE324" s="14"/>
      <c r="AF324" s="16">
        <v>0</v>
      </c>
      <c r="AG324" s="16">
        <v>1</v>
      </c>
      <c r="AH324" s="16">
        <v>1</v>
      </c>
      <c r="AI324" s="16">
        <v>1</v>
      </c>
      <c r="AJ324" s="5">
        <v>1</v>
      </c>
      <c r="AK324" s="5">
        <v>0</v>
      </c>
      <c r="AL324" s="5">
        <v>0</v>
      </c>
      <c r="AM324" s="20"/>
      <c r="AN324" s="20">
        <v>0</v>
      </c>
      <c r="AO324" s="16"/>
      <c r="AP324" s="16"/>
      <c r="AQ324" s="16"/>
      <c r="AR324" s="16">
        <v>0</v>
      </c>
      <c r="AS324" s="16">
        <v>0</v>
      </c>
      <c r="AT324" s="16"/>
      <c r="AU324" s="16"/>
      <c r="AV324" s="16"/>
      <c r="AW324" s="16"/>
      <c r="AX324" s="16">
        <v>0</v>
      </c>
      <c r="AY324" s="16">
        <v>0</v>
      </c>
      <c r="AZ324" s="16">
        <v>1</v>
      </c>
      <c r="BA324" s="16">
        <v>0</v>
      </c>
    </row>
    <row r="325" spans="1:53" x14ac:dyDescent="0.2">
      <c r="A325" s="14"/>
      <c r="B325" s="14" t="str">
        <f t="shared" si="80"/>
        <v>Ceronsky et al. 2005</v>
      </c>
      <c r="C325" s="61">
        <f t="shared" si="81"/>
        <v>40</v>
      </c>
      <c r="D325" s="58">
        <v>2005</v>
      </c>
      <c r="E325" s="17"/>
      <c r="F325" s="58">
        <v>0</v>
      </c>
      <c r="G325" s="16">
        <v>1995</v>
      </c>
      <c r="H325" s="15">
        <f>LOOKUP(G325,CPI!A$69:A$100,CPI!O$69:O$100)</f>
        <v>1.4308136482939633</v>
      </c>
      <c r="I325" s="52">
        <v>2000</v>
      </c>
      <c r="J325" s="15">
        <f>0.95/4</f>
        <v>0.23749999999999999</v>
      </c>
      <c r="K325" s="15"/>
      <c r="L325" s="62"/>
      <c r="M325" s="56">
        <f t="shared" si="98"/>
        <v>24.921998770396751</v>
      </c>
      <c r="N325" s="14">
        <v>11</v>
      </c>
      <c r="O325" s="18">
        <f t="shared" si="95"/>
        <v>11</v>
      </c>
      <c r="P325" s="16">
        <v>0</v>
      </c>
      <c r="Q325" s="16">
        <v>1</v>
      </c>
      <c r="R325" s="16">
        <v>0</v>
      </c>
      <c r="S325" s="14"/>
      <c r="T325" s="56" t="str">
        <f t="shared" si="99"/>
        <v/>
      </c>
      <c r="U325" s="56" t="str">
        <f t="shared" si="96"/>
        <v/>
      </c>
      <c r="V325" s="56" t="str">
        <f t="shared" si="97"/>
        <v/>
      </c>
      <c r="W325" s="14"/>
      <c r="X325" s="14"/>
      <c r="Y325" s="14"/>
      <c r="Z325" s="14"/>
      <c r="AA325" s="18">
        <f t="shared" si="84"/>
        <v>11</v>
      </c>
      <c r="AB325" s="14"/>
      <c r="AC325" s="14"/>
      <c r="AD325" s="14"/>
      <c r="AE325" s="14"/>
      <c r="AF325" s="16">
        <v>0</v>
      </c>
      <c r="AG325" s="16">
        <v>1</v>
      </c>
      <c r="AH325" s="16">
        <v>1</v>
      </c>
      <c r="AI325" s="16">
        <v>1</v>
      </c>
      <c r="AJ325" s="5">
        <v>1</v>
      </c>
      <c r="AK325" s="5">
        <v>0</v>
      </c>
      <c r="AL325" s="5">
        <v>0</v>
      </c>
      <c r="AM325" s="20"/>
      <c r="AN325" s="20">
        <v>1</v>
      </c>
      <c r="AO325" s="16"/>
      <c r="AP325" s="16"/>
      <c r="AQ325" s="16"/>
      <c r="AR325" s="16">
        <v>0</v>
      </c>
      <c r="AS325" s="16">
        <v>0</v>
      </c>
      <c r="AT325" s="16"/>
      <c r="AU325" s="16"/>
      <c r="AV325" s="16"/>
      <c r="AW325" s="16"/>
      <c r="AX325" s="16">
        <v>0</v>
      </c>
      <c r="AY325" s="16">
        <v>0</v>
      </c>
      <c r="AZ325" s="16">
        <v>1</v>
      </c>
      <c r="BA325" s="16">
        <v>0</v>
      </c>
    </row>
    <row r="326" spans="1:53" x14ac:dyDescent="0.2">
      <c r="A326" s="14"/>
      <c r="B326" s="14" t="str">
        <f t="shared" si="80"/>
        <v>Ceronsky et al. 2005</v>
      </c>
      <c r="C326" s="61">
        <f t="shared" si="81"/>
        <v>40</v>
      </c>
      <c r="D326" s="58">
        <v>2005</v>
      </c>
      <c r="E326" s="17"/>
      <c r="F326" s="58">
        <v>0</v>
      </c>
      <c r="G326" s="16">
        <v>1995</v>
      </c>
      <c r="H326" s="15">
        <f>LOOKUP(G326,CPI!A$69:A$100,CPI!O$69:O$100)</f>
        <v>1.4308136482939633</v>
      </c>
      <c r="I326" s="52">
        <v>2000</v>
      </c>
      <c r="J326" s="15">
        <f>0.95/4</f>
        <v>0.23749999999999999</v>
      </c>
      <c r="K326" s="15"/>
      <c r="L326" s="62"/>
      <c r="M326" s="56">
        <f t="shared" si="98"/>
        <v>-5.2109633792647747</v>
      </c>
      <c r="N326" s="14">
        <v>-2.2999999999999998</v>
      </c>
      <c r="O326" s="18">
        <f t="shared" si="95"/>
        <v>-2.2999999999999998</v>
      </c>
      <c r="P326" s="16">
        <v>0</v>
      </c>
      <c r="Q326" s="16">
        <v>1</v>
      </c>
      <c r="R326" s="16">
        <v>0</v>
      </c>
      <c r="S326" s="14"/>
      <c r="T326" s="56" t="str">
        <f t="shared" si="99"/>
        <v/>
      </c>
      <c r="U326" s="56" t="str">
        <f t="shared" si="96"/>
        <v/>
      </c>
      <c r="V326" s="56" t="str">
        <f t="shared" si="97"/>
        <v/>
      </c>
      <c r="W326" s="14"/>
      <c r="X326" s="14"/>
      <c r="Y326" s="14"/>
      <c r="Z326" s="14"/>
      <c r="AA326" s="18">
        <f t="shared" si="84"/>
        <v>-2.2999999999999998</v>
      </c>
      <c r="AB326" s="14"/>
      <c r="AC326" s="14"/>
      <c r="AD326" s="14"/>
      <c r="AE326" s="14"/>
      <c r="AF326" s="16">
        <v>0</v>
      </c>
      <c r="AG326" s="16">
        <v>1</v>
      </c>
      <c r="AH326" s="16">
        <v>1</v>
      </c>
      <c r="AI326" s="16">
        <v>1</v>
      </c>
      <c r="AJ326" s="5">
        <v>1</v>
      </c>
      <c r="AK326" s="5">
        <v>0</v>
      </c>
      <c r="AL326" s="5">
        <v>0</v>
      </c>
      <c r="AM326" s="20"/>
      <c r="AN326" s="20">
        <v>3</v>
      </c>
      <c r="AO326" s="16"/>
      <c r="AP326" s="16"/>
      <c r="AQ326" s="16"/>
      <c r="AR326" s="16">
        <v>0</v>
      </c>
      <c r="AS326" s="16">
        <v>0</v>
      </c>
      <c r="AT326" s="16"/>
      <c r="AU326" s="16"/>
      <c r="AV326" s="16"/>
      <c r="AW326" s="16"/>
      <c r="AX326" s="16">
        <v>0</v>
      </c>
      <c r="AY326" s="16">
        <v>0</v>
      </c>
      <c r="AZ326" s="16">
        <v>1</v>
      </c>
      <c r="BA326" s="16">
        <v>0</v>
      </c>
    </row>
    <row r="327" spans="1:53" x14ac:dyDescent="0.2">
      <c r="A327" s="14"/>
      <c r="B327" s="14" t="str">
        <f t="shared" si="80"/>
        <v>Ceronsky et al. 2005</v>
      </c>
      <c r="C327" s="61">
        <f t="shared" si="81"/>
        <v>40</v>
      </c>
      <c r="D327" s="58">
        <v>2005</v>
      </c>
      <c r="E327" s="17"/>
      <c r="F327" s="58">
        <v>0</v>
      </c>
      <c r="G327" s="16">
        <v>1995</v>
      </c>
      <c r="H327" s="15">
        <f>LOOKUP(G327,CPI!A$69:A$100,CPI!O$69:O$100)</f>
        <v>1.4308136482939633</v>
      </c>
      <c r="I327" s="52">
        <v>2000</v>
      </c>
      <c r="J327" s="15">
        <f>0.95/4</f>
        <v>0.23749999999999999</v>
      </c>
      <c r="K327" s="15"/>
      <c r="L327" s="62"/>
      <c r="M327" s="56">
        <f t="shared" si="98"/>
        <v>40.781452533376502</v>
      </c>
      <c r="N327" s="14">
        <v>18</v>
      </c>
      <c r="O327" s="18">
        <f t="shared" si="95"/>
        <v>18</v>
      </c>
      <c r="P327" s="16">
        <v>0</v>
      </c>
      <c r="Q327" s="16">
        <v>1</v>
      </c>
      <c r="R327" s="16">
        <v>0</v>
      </c>
      <c r="S327" s="14"/>
      <c r="T327" s="56" t="str">
        <f t="shared" si="99"/>
        <v/>
      </c>
      <c r="U327" s="56" t="str">
        <f t="shared" si="96"/>
        <v/>
      </c>
      <c r="V327" s="56" t="str">
        <f t="shared" si="97"/>
        <v/>
      </c>
      <c r="W327" s="14"/>
      <c r="X327" s="14"/>
      <c r="Y327" s="14"/>
      <c r="Z327" s="14"/>
      <c r="AA327" s="18">
        <f t="shared" si="84"/>
        <v>18</v>
      </c>
      <c r="AB327" s="14"/>
      <c r="AC327" s="14"/>
      <c r="AD327" s="14"/>
      <c r="AE327" s="14"/>
      <c r="AF327" s="16">
        <v>0</v>
      </c>
      <c r="AG327" s="16">
        <v>1</v>
      </c>
      <c r="AH327" s="16">
        <v>1</v>
      </c>
      <c r="AI327" s="16">
        <v>1</v>
      </c>
      <c r="AJ327" s="5">
        <v>1</v>
      </c>
      <c r="AK327" s="5">
        <v>0</v>
      </c>
      <c r="AL327" s="5">
        <v>0</v>
      </c>
      <c r="AM327" s="20"/>
      <c r="AN327" s="20" t="s">
        <v>25</v>
      </c>
      <c r="AO327" s="16"/>
      <c r="AP327" s="16"/>
      <c r="AQ327" s="16"/>
      <c r="AR327" s="16">
        <v>0</v>
      </c>
      <c r="AS327" s="16">
        <v>0</v>
      </c>
      <c r="AT327" s="16"/>
      <c r="AU327" s="16"/>
      <c r="AV327" s="16"/>
      <c r="AW327" s="16"/>
      <c r="AX327" s="16">
        <v>0</v>
      </c>
      <c r="AY327" s="16">
        <v>0</v>
      </c>
      <c r="AZ327" s="16">
        <v>1</v>
      </c>
      <c r="BA327" s="16">
        <v>0</v>
      </c>
    </row>
    <row r="328" spans="1:53" x14ac:dyDescent="0.2">
      <c r="A328" s="14"/>
      <c r="B328" s="14" t="str">
        <f t="shared" si="80"/>
        <v>Ceronsky et al. 2005</v>
      </c>
      <c r="C328" s="61">
        <f t="shared" si="81"/>
        <v>40</v>
      </c>
      <c r="D328" s="58">
        <v>2005</v>
      </c>
      <c r="E328" s="17"/>
      <c r="F328" s="58">
        <v>0</v>
      </c>
      <c r="G328" s="16">
        <v>1995</v>
      </c>
      <c r="H328" s="15">
        <f>LOOKUP(G328,CPI!A$69:A$100,CPI!O$69:O$100)</f>
        <v>1.4308136482939633</v>
      </c>
      <c r="I328" s="52">
        <v>2000</v>
      </c>
      <c r="J328" s="15">
        <f>0.05/40</f>
        <v>1.25E-3</v>
      </c>
      <c r="K328" s="15"/>
      <c r="L328" s="62"/>
      <c r="M328" s="56">
        <f t="shared" si="98"/>
        <v>122.34435760012951</v>
      </c>
      <c r="N328" s="14">
        <v>54</v>
      </c>
      <c r="O328" s="18">
        <f t="shared" si="95"/>
        <v>54</v>
      </c>
      <c r="P328" s="16">
        <v>0</v>
      </c>
      <c r="Q328" s="16">
        <v>1</v>
      </c>
      <c r="R328" s="16">
        <v>0</v>
      </c>
      <c r="S328" s="14"/>
      <c r="T328" s="56" t="str">
        <f t="shared" si="99"/>
        <v/>
      </c>
      <c r="U328" s="56" t="str">
        <f t="shared" si="96"/>
        <v/>
      </c>
      <c r="V328" s="56" t="str">
        <f t="shared" si="97"/>
        <v/>
      </c>
      <c r="W328" s="14"/>
      <c r="X328" s="14"/>
      <c r="Y328" s="14"/>
      <c r="Z328" s="14"/>
      <c r="AA328" s="18">
        <f t="shared" si="84"/>
        <v>54</v>
      </c>
      <c r="AB328" s="14"/>
      <c r="AC328" s="14"/>
      <c r="AD328" s="14"/>
      <c r="AE328" s="14"/>
      <c r="AF328" s="16">
        <v>0</v>
      </c>
      <c r="AG328" s="16">
        <v>1</v>
      </c>
      <c r="AH328" s="16">
        <v>1</v>
      </c>
      <c r="AI328" s="16">
        <v>1</v>
      </c>
      <c r="AJ328" s="5">
        <v>1</v>
      </c>
      <c r="AK328" s="5">
        <v>0</v>
      </c>
      <c r="AL328" s="5">
        <v>0</v>
      </c>
      <c r="AM328" s="20"/>
      <c r="AN328" s="20">
        <v>0</v>
      </c>
      <c r="AO328" s="16"/>
      <c r="AP328" s="16"/>
      <c r="AQ328" s="16"/>
      <c r="AR328" s="16">
        <v>0</v>
      </c>
      <c r="AS328" s="16">
        <v>0</v>
      </c>
      <c r="AT328" s="16"/>
      <c r="AU328" s="16"/>
      <c r="AV328" s="16"/>
      <c r="AW328" s="16"/>
      <c r="AX328" s="16">
        <v>0</v>
      </c>
      <c r="AY328" s="16">
        <v>0</v>
      </c>
      <c r="AZ328" s="16">
        <v>1</v>
      </c>
      <c r="BA328" s="16">
        <v>0</v>
      </c>
    </row>
    <row r="329" spans="1:53" x14ac:dyDescent="0.2">
      <c r="A329" s="14"/>
      <c r="B329" s="14" t="str">
        <f t="shared" si="80"/>
        <v>Ceronsky et al. 2005</v>
      </c>
      <c r="C329" s="61">
        <f t="shared" si="81"/>
        <v>40</v>
      </c>
      <c r="D329" s="58">
        <v>2005</v>
      </c>
      <c r="E329" s="17"/>
      <c r="F329" s="58">
        <v>0</v>
      </c>
      <c r="G329" s="16">
        <v>1995</v>
      </c>
      <c r="H329" s="15">
        <f>LOOKUP(G329,CPI!A$69:A$100,CPI!O$69:O$100)</f>
        <v>1.4308136482939633</v>
      </c>
      <c r="I329" s="52">
        <v>2000</v>
      </c>
      <c r="J329" s="15">
        <f t="shared" ref="J329:J367" si="100">0.05/40</f>
        <v>1.25E-3</v>
      </c>
      <c r="K329" s="15"/>
      <c r="L329" s="62"/>
      <c r="M329" s="56">
        <f t="shared" si="98"/>
        <v>24.921998770396751</v>
      </c>
      <c r="N329" s="14">
        <v>11</v>
      </c>
      <c r="O329" s="18">
        <f t="shared" si="95"/>
        <v>11</v>
      </c>
      <c r="P329" s="16">
        <v>0</v>
      </c>
      <c r="Q329" s="16">
        <v>1</v>
      </c>
      <c r="R329" s="16">
        <v>0</v>
      </c>
      <c r="S329" s="14"/>
      <c r="T329" s="56" t="str">
        <f t="shared" si="99"/>
        <v/>
      </c>
      <c r="U329" s="56" t="str">
        <f t="shared" si="96"/>
        <v/>
      </c>
      <c r="V329" s="56" t="str">
        <f t="shared" si="97"/>
        <v/>
      </c>
      <c r="W329" s="14"/>
      <c r="X329" s="14"/>
      <c r="Y329" s="14"/>
      <c r="Z329" s="14"/>
      <c r="AA329" s="18">
        <f t="shared" si="84"/>
        <v>11</v>
      </c>
      <c r="AB329" s="14"/>
      <c r="AC329" s="14"/>
      <c r="AD329" s="14"/>
      <c r="AE329" s="14"/>
      <c r="AF329" s="16">
        <v>0</v>
      </c>
      <c r="AG329" s="16">
        <v>1</v>
      </c>
      <c r="AH329" s="16">
        <v>1</v>
      </c>
      <c r="AI329" s="16">
        <v>1</v>
      </c>
      <c r="AJ329" s="5">
        <v>1</v>
      </c>
      <c r="AK329" s="5">
        <v>0</v>
      </c>
      <c r="AL329" s="5">
        <v>0</v>
      </c>
      <c r="AM329" s="20"/>
      <c r="AN329" s="20">
        <v>1</v>
      </c>
      <c r="AO329" s="16"/>
      <c r="AP329" s="16"/>
      <c r="AQ329" s="16"/>
      <c r="AR329" s="16">
        <v>0</v>
      </c>
      <c r="AS329" s="16">
        <v>0</v>
      </c>
      <c r="AT329" s="16"/>
      <c r="AU329" s="16"/>
      <c r="AV329" s="16"/>
      <c r="AW329" s="16"/>
      <c r="AX329" s="16">
        <v>0</v>
      </c>
      <c r="AY329" s="16">
        <v>0</v>
      </c>
      <c r="AZ329" s="16">
        <v>1</v>
      </c>
      <c r="BA329" s="16">
        <v>0</v>
      </c>
    </row>
    <row r="330" spans="1:53" x14ac:dyDescent="0.2">
      <c r="A330" s="14"/>
      <c r="B330" s="14" t="str">
        <f t="shared" ref="B330:B393" si="101">+IF(A330="",B329,A330&amp;" "&amp;D330)</f>
        <v>Ceronsky et al. 2005</v>
      </c>
      <c r="C330" s="61">
        <f t="shared" ref="C330:C393" si="102">+IF(A330="",C329,C329+1)</f>
        <v>40</v>
      </c>
      <c r="D330" s="58">
        <v>2005</v>
      </c>
      <c r="E330" s="17"/>
      <c r="F330" s="58">
        <v>0</v>
      </c>
      <c r="G330" s="16">
        <v>1995</v>
      </c>
      <c r="H330" s="15">
        <f>LOOKUP(G330,CPI!A$69:A$100,CPI!O$69:O$100)</f>
        <v>1.4308136482939633</v>
      </c>
      <c r="I330" s="52">
        <v>2000</v>
      </c>
      <c r="J330" s="15">
        <f t="shared" si="100"/>
        <v>1.25E-3</v>
      </c>
      <c r="K330" s="15"/>
      <c r="L330" s="62"/>
      <c r="M330" s="56">
        <f t="shared" si="98"/>
        <v>-5.6640906296356253</v>
      </c>
      <c r="N330" s="14">
        <v>-2.5</v>
      </c>
      <c r="O330" s="18">
        <f t="shared" si="95"/>
        <v>-2.5</v>
      </c>
      <c r="P330" s="16">
        <v>0</v>
      </c>
      <c r="Q330" s="16">
        <v>1</v>
      </c>
      <c r="R330" s="16">
        <v>0</v>
      </c>
      <c r="S330" s="14"/>
      <c r="T330" s="56" t="str">
        <f t="shared" si="99"/>
        <v/>
      </c>
      <c r="U330" s="56" t="str">
        <f t="shared" si="96"/>
        <v/>
      </c>
      <c r="V330" s="56" t="str">
        <f t="shared" si="97"/>
        <v/>
      </c>
      <c r="W330" s="14"/>
      <c r="X330" s="14"/>
      <c r="Y330" s="14"/>
      <c r="Z330" s="14"/>
      <c r="AA330" s="18">
        <f t="shared" si="84"/>
        <v>-2.5</v>
      </c>
      <c r="AB330" s="14"/>
      <c r="AC330" s="14"/>
      <c r="AD330" s="14"/>
      <c r="AE330" s="14"/>
      <c r="AF330" s="16">
        <v>0</v>
      </c>
      <c r="AG330" s="16">
        <v>1</v>
      </c>
      <c r="AH330" s="16">
        <v>1</v>
      </c>
      <c r="AI330" s="16">
        <v>1</v>
      </c>
      <c r="AJ330" s="5">
        <v>1</v>
      </c>
      <c r="AK330" s="5">
        <v>0</v>
      </c>
      <c r="AL330" s="5">
        <v>0</v>
      </c>
      <c r="AM330" s="20"/>
      <c r="AN330" s="20">
        <v>3</v>
      </c>
      <c r="AO330" s="16"/>
      <c r="AP330" s="16"/>
      <c r="AQ330" s="16"/>
      <c r="AR330" s="16">
        <v>0</v>
      </c>
      <c r="AS330" s="16">
        <v>0</v>
      </c>
      <c r="AT330" s="16"/>
      <c r="AU330" s="16"/>
      <c r="AV330" s="16"/>
      <c r="AW330" s="16"/>
      <c r="AX330" s="16">
        <v>0</v>
      </c>
      <c r="AY330" s="16">
        <v>0</v>
      </c>
      <c r="AZ330" s="16">
        <v>1</v>
      </c>
      <c r="BA330" s="16">
        <v>0</v>
      </c>
    </row>
    <row r="331" spans="1:53" x14ac:dyDescent="0.2">
      <c r="A331" s="14"/>
      <c r="B331" s="14" t="str">
        <f t="shared" si="101"/>
        <v>Ceronsky et al. 2005</v>
      </c>
      <c r="C331" s="61">
        <f t="shared" si="102"/>
        <v>40</v>
      </c>
      <c r="D331" s="58">
        <v>2005</v>
      </c>
      <c r="E331" s="17"/>
      <c r="F331" s="58">
        <v>0</v>
      </c>
      <c r="G331" s="16">
        <v>1995</v>
      </c>
      <c r="H331" s="15">
        <f>LOOKUP(G331,CPI!A$69:A$100,CPI!O$69:O$100)</f>
        <v>1.4308136482939633</v>
      </c>
      <c r="I331" s="52">
        <v>2000</v>
      </c>
      <c r="J331" s="15">
        <f t="shared" si="100"/>
        <v>1.25E-3</v>
      </c>
      <c r="K331" s="15"/>
      <c r="L331" s="62"/>
      <c r="M331" s="56">
        <f t="shared" si="98"/>
        <v>38.515816281522255</v>
      </c>
      <c r="N331" s="14">
        <v>17</v>
      </c>
      <c r="O331" s="18">
        <f t="shared" si="95"/>
        <v>17</v>
      </c>
      <c r="P331" s="16">
        <v>0</v>
      </c>
      <c r="Q331" s="16">
        <v>1</v>
      </c>
      <c r="R331" s="16">
        <v>0</v>
      </c>
      <c r="S331" s="14"/>
      <c r="T331" s="56" t="str">
        <f t="shared" si="99"/>
        <v/>
      </c>
      <c r="U331" s="56" t="str">
        <f t="shared" si="96"/>
        <v/>
      </c>
      <c r="V331" s="56" t="str">
        <f t="shared" si="97"/>
        <v/>
      </c>
      <c r="W331" s="14"/>
      <c r="X331" s="14"/>
      <c r="Y331" s="14"/>
      <c r="Z331" s="14"/>
      <c r="AA331" s="18">
        <f t="shared" si="84"/>
        <v>17</v>
      </c>
      <c r="AB331" s="14"/>
      <c r="AC331" s="14"/>
      <c r="AD331" s="14"/>
      <c r="AE331" s="14"/>
      <c r="AF331" s="16">
        <v>0</v>
      </c>
      <c r="AG331" s="16">
        <v>1</v>
      </c>
      <c r="AH331" s="16">
        <v>1</v>
      </c>
      <c r="AI331" s="16">
        <v>1</v>
      </c>
      <c r="AJ331" s="5">
        <v>1</v>
      </c>
      <c r="AK331" s="5">
        <v>0</v>
      </c>
      <c r="AL331" s="5">
        <v>0</v>
      </c>
      <c r="AM331" s="20"/>
      <c r="AN331" s="20" t="s">
        <v>25</v>
      </c>
      <c r="AO331" s="16"/>
      <c r="AP331" s="16"/>
      <c r="AQ331" s="16"/>
      <c r="AR331" s="16">
        <v>0</v>
      </c>
      <c r="AS331" s="16">
        <v>0</v>
      </c>
      <c r="AT331" s="16"/>
      <c r="AU331" s="16"/>
      <c r="AV331" s="16"/>
      <c r="AW331" s="16"/>
      <c r="AX331" s="16">
        <v>0</v>
      </c>
      <c r="AY331" s="16">
        <v>0</v>
      </c>
      <c r="AZ331" s="16">
        <v>1</v>
      </c>
      <c r="BA331" s="16">
        <v>0</v>
      </c>
    </row>
    <row r="332" spans="1:53" x14ac:dyDescent="0.2">
      <c r="A332" s="14"/>
      <c r="B332" s="14" t="str">
        <f t="shared" si="101"/>
        <v>Ceronsky et al. 2005</v>
      </c>
      <c r="C332" s="61">
        <f t="shared" si="102"/>
        <v>40</v>
      </c>
      <c r="D332" s="58">
        <v>2005</v>
      </c>
      <c r="E332" s="17"/>
      <c r="F332" s="58">
        <v>0</v>
      </c>
      <c r="G332" s="16">
        <v>1995</v>
      </c>
      <c r="H332" s="15">
        <f>LOOKUP(G332,CPI!A$69:A$100,CPI!O$69:O$100)</f>
        <v>1.4308136482939633</v>
      </c>
      <c r="I332" s="52">
        <v>2000</v>
      </c>
      <c r="J332" s="15">
        <f t="shared" si="100"/>
        <v>1.25E-3</v>
      </c>
      <c r="K332" s="15"/>
      <c r="L332" s="62"/>
      <c r="M332" s="56">
        <f t="shared" si="98"/>
        <v>122.34435760012951</v>
      </c>
      <c r="N332" s="14">
        <v>54</v>
      </c>
      <c r="O332" s="18">
        <f t="shared" si="95"/>
        <v>54</v>
      </c>
      <c r="P332" s="16">
        <v>0</v>
      </c>
      <c r="Q332" s="16">
        <v>1</v>
      </c>
      <c r="R332" s="16">
        <v>0</v>
      </c>
      <c r="S332" s="14"/>
      <c r="T332" s="56" t="str">
        <f t="shared" si="99"/>
        <v/>
      </c>
      <c r="U332" s="56" t="str">
        <f t="shared" si="96"/>
        <v/>
      </c>
      <c r="V332" s="56" t="str">
        <f t="shared" si="97"/>
        <v/>
      </c>
      <c r="W332" s="14"/>
      <c r="X332" s="14"/>
      <c r="Y332" s="14"/>
      <c r="Z332" s="14"/>
      <c r="AA332" s="18">
        <f t="shared" si="84"/>
        <v>54</v>
      </c>
      <c r="AB332" s="14"/>
      <c r="AC332" s="14"/>
      <c r="AD332" s="14"/>
      <c r="AE332" s="14"/>
      <c r="AF332" s="16">
        <v>0</v>
      </c>
      <c r="AG332" s="16">
        <v>1</v>
      </c>
      <c r="AH332" s="16">
        <v>1</v>
      </c>
      <c r="AI332" s="16">
        <v>1</v>
      </c>
      <c r="AJ332" s="5">
        <v>1</v>
      </c>
      <c r="AK332" s="5">
        <v>0</v>
      </c>
      <c r="AL332" s="5">
        <v>0</v>
      </c>
      <c r="AM332" s="20"/>
      <c r="AN332" s="20">
        <v>0</v>
      </c>
      <c r="AO332" s="16"/>
      <c r="AP332" s="16"/>
      <c r="AQ332" s="16"/>
      <c r="AR332" s="16">
        <v>0</v>
      </c>
      <c r="AS332" s="16">
        <v>0</v>
      </c>
      <c r="AT332" s="16"/>
      <c r="AU332" s="16"/>
      <c r="AV332" s="16"/>
      <c r="AW332" s="16"/>
      <c r="AX332" s="16">
        <v>0</v>
      </c>
      <c r="AY332" s="16">
        <v>0</v>
      </c>
      <c r="AZ332" s="16">
        <v>1</v>
      </c>
      <c r="BA332" s="16">
        <v>0</v>
      </c>
    </row>
    <row r="333" spans="1:53" x14ac:dyDescent="0.2">
      <c r="A333" s="14"/>
      <c r="B333" s="14" t="str">
        <f t="shared" si="101"/>
        <v>Ceronsky et al. 2005</v>
      </c>
      <c r="C333" s="61">
        <f t="shared" si="102"/>
        <v>40</v>
      </c>
      <c r="D333" s="58">
        <v>2005</v>
      </c>
      <c r="E333" s="17"/>
      <c r="F333" s="58">
        <v>0</v>
      </c>
      <c r="G333" s="16">
        <v>1995</v>
      </c>
      <c r="H333" s="15">
        <f>LOOKUP(G333,CPI!A$69:A$100,CPI!O$69:O$100)</f>
        <v>1.4308136482939633</v>
      </c>
      <c r="I333" s="52">
        <v>2000</v>
      </c>
      <c r="J333" s="15">
        <f t="shared" si="100"/>
        <v>1.25E-3</v>
      </c>
      <c r="K333" s="15"/>
      <c r="L333" s="62"/>
      <c r="M333" s="56">
        <f t="shared" si="98"/>
        <v>29.453271274105255</v>
      </c>
      <c r="N333" s="14">
        <v>13</v>
      </c>
      <c r="O333" s="18">
        <f t="shared" si="95"/>
        <v>13</v>
      </c>
      <c r="P333" s="16">
        <v>0</v>
      </c>
      <c r="Q333" s="16">
        <v>1</v>
      </c>
      <c r="R333" s="16">
        <v>0</v>
      </c>
      <c r="S333" s="14"/>
      <c r="T333" s="56" t="str">
        <f t="shared" si="99"/>
        <v/>
      </c>
      <c r="U333" s="56" t="str">
        <f t="shared" si="96"/>
        <v/>
      </c>
      <c r="V333" s="56" t="str">
        <f t="shared" si="97"/>
        <v/>
      </c>
      <c r="W333" s="14"/>
      <c r="X333" s="14"/>
      <c r="Y333" s="14"/>
      <c r="Z333" s="14"/>
      <c r="AA333" s="18">
        <f t="shared" si="84"/>
        <v>13</v>
      </c>
      <c r="AB333" s="14"/>
      <c r="AC333" s="14"/>
      <c r="AD333" s="14"/>
      <c r="AE333" s="14"/>
      <c r="AF333" s="16">
        <v>0</v>
      </c>
      <c r="AG333" s="16">
        <v>1</v>
      </c>
      <c r="AH333" s="16">
        <v>1</v>
      </c>
      <c r="AI333" s="16">
        <v>1</v>
      </c>
      <c r="AJ333" s="5">
        <v>1</v>
      </c>
      <c r="AK333" s="5">
        <v>0</v>
      </c>
      <c r="AL333" s="5">
        <v>0</v>
      </c>
      <c r="AM333" s="20"/>
      <c r="AN333" s="20">
        <v>1</v>
      </c>
      <c r="AO333" s="16"/>
      <c r="AP333" s="16"/>
      <c r="AQ333" s="16"/>
      <c r="AR333" s="16">
        <v>0</v>
      </c>
      <c r="AS333" s="16">
        <v>0</v>
      </c>
      <c r="AT333" s="16"/>
      <c r="AU333" s="16"/>
      <c r="AV333" s="16"/>
      <c r="AW333" s="16"/>
      <c r="AX333" s="16">
        <v>0</v>
      </c>
      <c r="AY333" s="16">
        <v>0</v>
      </c>
      <c r="AZ333" s="16">
        <v>1</v>
      </c>
      <c r="BA333" s="16">
        <v>0</v>
      </c>
    </row>
    <row r="334" spans="1:53" x14ac:dyDescent="0.2">
      <c r="A334" s="14"/>
      <c r="B334" s="14" t="str">
        <f t="shared" si="101"/>
        <v>Ceronsky et al. 2005</v>
      </c>
      <c r="C334" s="61">
        <f t="shared" si="102"/>
        <v>40</v>
      </c>
      <c r="D334" s="58">
        <v>2005</v>
      </c>
      <c r="E334" s="17"/>
      <c r="F334" s="58">
        <v>0</v>
      </c>
      <c r="G334" s="16">
        <v>1995</v>
      </c>
      <c r="H334" s="15">
        <f>LOOKUP(G334,CPI!A$69:A$100,CPI!O$69:O$100)</f>
        <v>1.4308136482939633</v>
      </c>
      <c r="I334" s="52">
        <v>2000</v>
      </c>
      <c r="J334" s="15">
        <f t="shared" si="100"/>
        <v>1.25E-3</v>
      </c>
      <c r="K334" s="15"/>
      <c r="L334" s="62"/>
      <c r="M334" s="56">
        <f t="shared" si="98"/>
        <v>-0.19257908140761129</v>
      </c>
      <c r="N334" s="14">
        <v>-8.5000000000000006E-2</v>
      </c>
      <c r="O334" s="18">
        <f t="shared" si="95"/>
        <v>-8.5000000000000006E-2</v>
      </c>
      <c r="P334" s="16">
        <v>0</v>
      </c>
      <c r="Q334" s="16">
        <v>1</v>
      </c>
      <c r="R334" s="16">
        <v>0</v>
      </c>
      <c r="S334" s="14"/>
      <c r="T334" s="56" t="str">
        <f t="shared" si="99"/>
        <v/>
      </c>
      <c r="U334" s="56" t="str">
        <f t="shared" si="96"/>
        <v/>
      </c>
      <c r="V334" s="56" t="str">
        <f t="shared" si="97"/>
        <v/>
      </c>
      <c r="W334" s="14"/>
      <c r="X334" s="14"/>
      <c r="Y334" s="14"/>
      <c r="Z334" s="14"/>
      <c r="AA334" s="18">
        <f t="shared" si="84"/>
        <v>-8.5000000000000006E-2</v>
      </c>
      <c r="AB334" s="14"/>
      <c r="AC334" s="14"/>
      <c r="AD334" s="14"/>
      <c r="AE334" s="14"/>
      <c r="AF334" s="16">
        <v>0</v>
      </c>
      <c r="AG334" s="16">
        <v>1</v>
      </c>
      <c r="AH334" s="16">
        <v>1</v>
      </c>
      <c r="AI334" s="16">
        <v>1</v>
      </c>
      <c r="AJ334" s="5">
        <v>1</v>
      </c>
      <c r="AK334" s="5">
        <v>0</v>
      </c>
      <c r="AL334" s="5">
        <v>0</v>
      </c>
      <c r="AM334" s="20"/>
      <c r="AN334" s="20">
        <v>3</v>
      </c>
      <c r="AO334" s="16"/>
      <c r="AP334" s="16"/>
      <c r="AQ334" s="16"/>
      <c r="AR334" s="16">
        <v>0</v>
      </c>
      <c r="AS334" s="16">
        <v>0</v>
      </c>
      <c r="AT334" s="16"/>
      <c r="AU334" s="16"/>
      <c r="AV334" s="16"/>
      <c r="AW334" s="16"/>
      <c r="AX334" s="16">
        <v>0</v>
      </c>
      <c r="AY334" s="16">
        <v>0</v>
      </c>
      <c r="AZ334" s="16">
        <v>1</v>
      </c>
      <c r="BA334" s="16">
        <v>0</v>
      </c>
    </row>
    <row r="335" spans="1:53" x14ac:dyDescent="0.2">
      <c r="A335" s="14"/>
      <c r="B335" s="14" t="str">
        <f t="shared" si="101"/>
        <v>Ceronsky et al. 2005</v>
      </c>
      <c r="C335" s="61">
        <f t="shared" si="102"/>
        <v>40</v>
      </c>
      <c r="D335" s="58">
        <v>2005</v>
      </c>
      <c r="E335" s="17"/>
      <c r="F335" s="58">
        <v>0</v>
      </c>
      <c r="G335" s="16">
        <v>1995</v>
      </c>
      <c r="H335" s="15">
        <f>LOOKUP(G335,CPI!A$69:A$100,CPI!O$69:O$100)</f>
        <v>1.4308136482939633</v>
      </c>
      <c r="I335" s="52">
        <v>2000</v>
      </c>
      <c r="J335" s="15">
        <f t="shared" si="100"/>
        <v>1.25E-3</v>
      </c>
      <c r="K335" s="15"/>
      <c r="L335" s="62"/>
      <c r="M335" s="56">
        <f t="shared" si="98"/>
        <v>45.312725037085002</v>
      </c>
      <c r="N335" s="14">
        <v>20</v>
      </c>
      <c r="O335" s="18">
        <f t="shared" si="95"/>
        <v>20</v>
      </c>
      <c r="P335" s="16">
        <v>0</v>
      </c>
      <c r="Q335" s="16">
        <v>1</v>
      </c>
      <c r="R335" s="16">
        <v>0</v>
      </c>
      <c r="S335" s="14"/>
      <c r="T335" s="56" t="str">
        <f t="shared" si="99"/>
        <v/>
      </c>
      <c r="U335" s="56" t="str">
        <f t="shared" si="96"/>
        <v/>
      </c>
      <c r="V335" s="56" t="str">
        <f t="shared" si="97"/>
        <v/>
      </c>
      <c r="W335" s="14"/>
      <c r="X335" s="14"/>
      <c r="Y335" s="14"/>
      <c r="Z335" s="14"/>
      <c r="AA335" s="18">
        <f t="shared" si="84"/>
        <v>20</v>
      </c>
      <c r="AB335" s="14"/>
      <c r="AC335" s="14"/>
      <c r="AD335" s="14"/>
      <c r="AE335" s="14"/>
      <c r="AF335" s="16">
        <v>0</v>
      </c>
      <c r="AG335" s="16">
        <v>1</v>
      </c>
      <c r="AH335" s="16">
        <v>1</v>
      </c>
      <c r="AI335" s="16">
        <v>1</v>
      </c>
      <c r="AJ335" s="5">
        <v>1</v>
      </c>
      <c r="AK335" s="5">
        <v>0</v>
      </c>
      <c r="AL335" s="5">
        <v>0</v>
      </c>
      <c r="AM335" s="20"/>
      <c r="AN335" s="20" t="s">
        <v>25</v>
      </c>
      <c r="AO335" s="16"/>
      <c r="AP335" s="16"/>
      <c r="AQ335" s="16"/>
      <c r="AR335" s="16">
        <v>0</v>
      </c>
      <c r="AS335" s="16">
        <v>0</v>
      </c>
      <c r="AT335" s="16"/>
      <c r="AU335" s="16"/>
      <c r="AV335" s="16"/>
      <c r="AW335" s="16"/>
      <c r="AX335" s="16">
        <v>0</v>
      </c>
      <c r="AY335" s="16">
        <v>0</v>
      </c>
      <c r="AZ335" s="16">
        <v>1</v>
      </c>
      <c r="BA335" s="16">
        <v>0</v>
      </c>
    </row>
    <row r="336" spans="1:53" x14ac:dyDescent="0.2">
      <c r="A336" s="14"/>
      <c r="B336" s="14" t="str">
        <f t="shared" si="101"/>
        <v>Ceronsky et al. 2005</v>
      </c>
      <c r="C336" s="61">
        <f t="shared" si="102"/>
        <v>40</v>
      </c>
      <c r="D336" s="58">
        <v>2005</v>
      </c>
      <c r="E336" s="17"/>
      <c r="F336" s="58">
        <v>0</v>
      </c>
      <c r="G336" s="16">
        <v>1995</v>
      </c>
      <c r="H336" s="15">
        <f>LOOKUP(G336,CPI!A$69:A$100,CPI!O$69:O$100)</f>
        <v>1.4308136482939633</v>
      </c>
      <c r="I336" s="52">
        <v>2000</v>
      </c>
      <c r="J336" s="15">
        <f t="shared" si="100"/>
        <v>1.25E-3</v>
      </c>
      <c r="K336" s="15"/>
      <c r="L336" s="62"/>
      <c r="M336" s="56">
        <f t="shared" si="98"/>
        <v>122.34435760012951</v>
      </c>
      <c r="N336" s="14">
        <v>54</v>
      </c>
      <c r="O336" s="18">
        <f t="shared" si="95"/>
        <v>54</v>
      </c>
      <c r="P336" s="16">
        <v>0</v>
      </c>
      <c r="Q336" s="16">
        <v>1</v>
      </c>
      <c r="R336" s="16">
        <v>0</v>
      </c>
      <c r="S336" s="14"/>
      <c r="T336" s="56" t="str">
        <f t="shared" si="99"/>
        <v/>
      </c>
      <c r="U336" s="56" t="str">
        <f t="shared" si="96"/>
        <v/>
      </c>
      <c r="V336" s="56" t="str">
        <f t="shared" si="97"/>
        <v/>
      </c>
      <c r="W336" s="14"/>
      <c r="X336" s="14"/>
      <c r="Y336" s="14"/>
      <c r="Z336" s="14"/>
      <c r="AA336" s="18">
        <f t="shared" si="84"/>
        <v>54</v>
      </c>
      <c r="AB336" s="14"/>
      <c r="AC336" s="14"/>
      <c r="AD336" s="14"/>
      <c r="AE336" s="14"/>
      <c r="AF336" s="16">
        <v>0</v>
      </c>
      <c r="AG336" s="16">
        <v>1</v>
      </c>
      <c r="AH336" s="16">
        <v>1</v>
      </c>
      <c r="AI336" s="16">
        <v>1</v>
      </c>
      <c r="AJ336" s="5">
        <v>1</v>
      </c>
      <c r="AK336" s="5">
        <v>0</v>
      </c>
      <c r="AL336" s="5">
        <v>0</v>
      </c>
      <c r="AM336" s="20"/>
      <c r="AN336" s="20">
        <v>0</v>
      </c>
      <c r="AO336" s="16"/>
      <c r="AP336" s="16"/>
      <c r="AQ336" s="16"/>
      <c r="AR336" s="16">
        <v>0</v>
      </c>
      <c r="AS336" s="16">
        <v>0</v>
      </c>
      <c r="AT336" s="16"/>
      <c r="AU336" s="16"/>
      <c r="AV336" s="16"/>
      <c r="AW336" s="16"/>
      <c r="AX336" s="16">
        <v>0</v>
      </c>
      <c r="AY336" s="16">
        <v>0</v>
      </c>
      <c r="AZ336" s="16">
        <v>1</v>
      </c>
      <c r="BA336" s="16">
        <v>0</v>
      </c>
    </row>
    <row r="337" spans="1:53" x14ac:dyDescent="0.2">
      <c r="A337" s="14"/>
      <c r="B337" s="14" t="str">
        <f t="shared" si="101"/>
        <v>Ceronsky et al. 2005</v>
      </c>
      <c r="C337" s="61">
        <f t="shared" si="102"/>
        <v>40</v>
      </c>
      <c r="D337" s="58">
        <v>2005</v>
      </c>
      <c r="E337" s="17"/>
      <c r="F337" s="58">
        <v>0</v>
      </c>
      <c r="G337" s="16">
        <v>1995</v>
      </c>
      <c r="H337" s="15">
        <f>LOOKUP(G337,CPI!A$69:A$100,CPI!O$69:O$100)</f>
        <v>1.4308136482939633</v>
      </c>
      <c r="I337" s="52">
        <v>2000</v>
      </c>
      <c r="J337" s="15">
        <f t="shared" si="100"/>
        <v>1.25E-3</v>
      </c>
      <c r="K337" s="15"/>
      <c r="L337" s="62"/>
      <c r="M337" s="56">
        <f t="shared" si="98"/>
        <v>22.656362518542501</v>
      </c>
      <c r="N337" s="14">
        <v>10</v>
      </c>
      <c r="O337" s="18">
        <f t="shared" si="95"/>
        <v>10</v>
      </c>
      <c r="P337" s="16">
        <v>0</v>
      </c>
      <c r="Q337" s="16">
        <v>1</v>
      </c>
      <c r="R337" s="16">
        <v>0</v>
      </c>
      <c r="S337" s="14"/>
      <c r="T337" s="56" t="str">
        <f t="shared" si="99"/>
        <v/>
      </c>
      <c r="U337" s="56" t="str">
        <f t="shared" si="96"/>
        <v/>
      </c>
      <c r="V337" s="56" t="str">
        <f t="shared" si="97"/>
        <v/>
      </c>
      <c r="W337" s="14"/>
      <c r="X337" s="14"/>
      <c r="Y337" s="14"/>
      <c r="Z337" s="14"/>
      <c r="AA337" s="18">
        <f t="shared" si="84"/>
        <v>10</v>
      </c>
      <c r="AB337" s="14"/>
      <c r="AC337" s="14"/>
      <c r="AD337" s="14"/>
      <c r="AE337" s="14"/>
      <c r="AF337" s="16">
        <v>0</v>
      </c>
      <c r="AG337" s="16">
        <v>1</v>
      </c>
      <c r="AH337" s="16">
        <v>1</v>
      </c>
      <c r="AI337" s="16">
        <v>1</v>
      </c>
      <c r="AJ337" s="5">
        <v>1</v>
      </c>
      <c r="AK337" s="5">
        <v>0</v>
      </c>
      <c r="AL337" s="5">
        <v>0</v>
      </c>
      <c r="AM337" s="20"/>
      <c r="AN337" s="20">
        <v>1</v>
      </c>
      <c r="AO337" s="16"/>
      <c r="AP337" s="16"/>
      <c r="AQ337" s="16"/>
      <c r="AR337" s="16">
        <v>0</v>
      </c>
      <c r="AS337" s="16">
        <v>0</v>
      </c>
      <c r="AT337" s="16"/>
      <c r="AU337" s="16"/>
      <c r="AV337" s="16"/>
      <c r="AW337" s="16"/>
      <c r="AX337" s="16">
        <v>0</v>
      </c>
      <c r="AY337" s="16">
        <v>0</v>
      </c>
      <c r="AZ337" s="16">
        <v>1</v>
      </c>
      <c r="BA337" s="16">
        <v>0</v>
      </c>
    </row>
    <row r="338" spans="1:53" x14ac:dyDescent="0.2">
      <c r="A338" s="14"/>
      <c r="B338" s="14" t="str">
        <f t="shared" si="101"/>
        <v>Ceronsky et al. 2005</v>
      </c>
      <c r="C338" s="61">
        <f t="shared" si="102"/>
        <v>40</v>
      </c>
      <c r="D338" s="58">
        <v>2005</v>
      </c>
      <c r="E338" s="17"/>
      <c r="F338" s="58">
        <v>0</v>
      </c>
      <c r="G338" s="16">
        <v>1995</v>
      </c>
      <c r="H338" s="15">
        <f>LOOKUP(G338,CPI!A$69:A$100,CPI!O$69:O$100)</f>
        <v>1.4308136482939633</v>
      </c>
      <c r="I338" s="52">
        <v>2000</v>
      </c>
      <c r="J338" s="15">
        <f t="shared" si="100"/>
        <v>1.25E-3</v>
      </c>
      <c r="K338" s="15"/>
      <c r="L338" s="62"/>
      <c r="M338" s="56">
        <f t="shared" si="98"/>
        <v>-5.6640906296356253</v>
      </c>
      <c r="N338" s="14">
        <v>-2.5</v>
      </c>
      <c r="O338" s="18">
        <f t="shared" si="95"/>
        <v>-2.5</v>
      </c>
      <c r="P338" s="16">
        <v>0</v>
      </c>
      <c r="Q338" s="16">
        <v>1</v>
      </c>
      <c r="R338" s="16">
        <v>0</v>
      </c>
      <c r="S338" s="14"/>
      <c r="T338" s="56" t="str">
        <f t="shared" si="99"/>
        <v/>
      </c>
      <c r="U338" s="56" t="str">
        <f t="shared" si="96"/>
        <v/>
      </c>
      <c r="V338" s="56" t="str">
        <f t="shared" si="97"/>
        <v/>
      </c>
      <c r="W338" s="14"/>
      <c r="X338" s="14"/>
      <c r="Y338" s="14"/>
      <c r="Z338" s="14"/>
      <c r="AA338" s="18">
        <f t="shared" si="84"/>
        <v>-2.5</v>
      </c>
      <c r="AB338" s="14"/>
      <c r="AC338" s="14"/>
      <c r="AD338" s="14"/>
      <c r="AE338" s="14"/>
      <c r="AF338" s="16">
        <v>0</v>
      </c>
      <c r="AG338" s="16">
        <v>1</v>
      </c>
      <c r="AH338" s="16">
        <v>1</v>
      </c>
      <c r="AI338" s="16">
        <v>1</v>
      </c>
      <c r="AJ338" s="5">
        <v>1</v>
      </c>
      <c r="AK338" s="5">
        <v>0</v>
      </c>
      <c r="AL338" s="5">
        <v>0</v>
      </c>
      <c r="AM338" s="20"/>
      <c r="AN338" s="20">
        <v>3</v>
      </c>
      <c r="AO338" s="16"/>
      <c r="AP338" s="16"/>
      <c r="AQ338" s="16"/>
      <c r="AR338" s="16">
        <v>0</v>
      </c>
      <c r="AS338" s="16">
        <v>0</v>
      </c>
      <c r="AT338" s="16"/>
      <c r="AU338" s="16"/>
      <c r="AV338" s="16"/>
      <c r="AW338" s="16"/>
      <c r="AX338" s="16">
        <v>0</v>
      </c>
      <c r="AY338" s="16">
        <v>0</v>
      </c>
      <c r="AZ338" s="16">
        <v>1</v>
      </c>
      <c r="BA338" s="16">
        <v>0</v>
      </c>
    </row>
    <row r="339" spans="1:53" x14ac:dyDescent="0.2">
      <c r="A339" s="14"/>
      <c r="B339" s="14" t="str">
        <f t="shared" si="101"/>
        <v>Ceronsky et al. 2005</v>
      </c>
      <c r="C339" s="61">
        <f t="shared" si="102"/>
        <v>40</v>
      </c>
      <c r="D339" s="58">
        <v>2005</v>
      </c>
      <c r="E339" s="17"/>
      <c r="F339" s="58">
        <v>0</v>
      </c>
      <c r="G339" s="16">
        <v>1995</v>
      </c>
      <c r="H339" s="15">
        <f>LOOKUP(G339,CPI!A$69:A$100,CPI!O$69:O$100)</f>
        <v>1.4308136482939633</v>
      </c>
      <c r="I339" s="52">
        <v>2000</v>
      </c>
      <c r="J339" s="15">
        <f t="shared" si="100"/>
        <v>1.25E-3</v>
      </c>
      <c r="K339" s="15"/>
      <c r="L339" s="62"/>
      <c r="M339" s="56">
        <f t="shared" si="98"/>
        <v>38.515816281522255</v>
      </c>
      <c r="N339" s="14">
        <v>17</v>
      </c>
      <c r="O339" s="18">
        <f t="shared" si="95"/>
        <v>17</v>
      </c>
      <c r="P339" s="16">
        <v>0</v>
      </c>
      <c r="Q339" s="16">
        <v>1</v>
      </c>
      <c r="R339" s="16">
        <v>0</v>
      </c>
      <c r="S339" s="14"/>
      <c r="T339" s="56" t="str">
        <f t="shared" si="99"/>
        <v/>
      </c>
      <c r="U339" s="56" t="str">
        <f t="shared" si="96"/>
        <v/>
      </c>
      <c r="V339" s="56" t="str">
        <f t="shared" si="97"/>
        <v/>
      </c>
      <c r="W339" s="14"/>
      <c r="X339" s="14"/>
      <c r="Y339" s="14"/>
      <c r="Z339" s="14"/>
      <c r="AA339" s="18">
        <f t="shared" si="84"/>
        <v>17</v>
      </c>
      <c r="AB339" s="14"/>
      <c r="AC339" s="14"/>
      <c r="AD339" s="14"/>
      <c r="AE339" s="14"/>
      <c r="AF339" s="16">
        <v>0</v>
      </c>
      <c r="AG339" s="16">
        <v>1</v>
      </c>
      <c r="AH339" s="16">
        <v>1</v>
      </c>
      <c r="AI339" s="16">
        <v>1</v>
      </c>
      <c r="AJ339" s="5">
        <v>1</v>
      </c>
      <c r="AK339" s="5">
        <v>0</v>
      </c>
      <c r="AL339" s="5">
        <v>0</v>
      </c>
      <c r="AM339" s="20"/>
      <c r="AN339" s="20" t="s">
        <v>25</v>
      </c>
      <c r="AO339" s="16"/>
      <c r="AP339" s="16"/>
      <c r="AQ339" s="16"/>
      <c r="AR339" s="16">
        <v>0</v>
      </c>
      <c r="AS339" s="16">
        <v>0</v>
      </c>
      <c r="AT339" s="16"/>
      <c r="AU339" s="16"/>
      <c r="AV339" s="16"/>
      <c r="AW339" s="16"/>
      <c r="AX339" s="16">
        <v>0</v>
      </c>
      <c r="AY339" s="16">
        <v>0</v>
      </c>
      <c r="AZ339" s="16">
        <v>1</v>
      </c>
      <c r="BA339" s="16">
        <v>0</v>
      </c>
    </row>
    <row r="340" spans="1:53" x14ac:dyDescent="0.2">
      <c r="A340" s="14"/>
      <c r="B340" s="14" t="str">
        <f t="shared" si="101"/>
        <v>Ceronsky et al. 2005</v>
      </c>
      <c r="C340" s="61">
        <f t="shared" si="102"/>
        <v>40</v>
      </c>
      <c r="D340" s="58">
        <v>2005</v>
      </c>
      <c r="E340" s="17"/>
      <c r="F340" s="58">
        <v>0</v>
      </c>
      <c r="G340" s="16">
        <v>1995</v>
      </c>
      <c r="H340" s="15">
        <f>LOOKUP(G340,CPI!A$69:A$100,CPI!O$69:O$100)</f>
        <v>1.4308136482939633</v>
      </c>
      <c r="I340" s="52">
        <v>2000</v>
      </c>
      <c r="J340" s="15">
        <f t="shared" si="100"/>
        <v>1.25E-3</v>
      </c>
      <c r="K340" s="15"/>
      <c r="L340" s="62"/>
      <c r="M340" s="56">
        <f t="shared" si="98"/>
        <v>124.60999385198377</v>
      </c>
      <c r="N340" s="14">
        <v>55</v>
      </c>
      <c r="O340" s="18">
        <f t="shared" si="95"/>
        <v>55</v>
      </c>
      <c r="P340" s="16">
        <v>0</v>
      </c>
      <c r="Q340" s="16">
        <v>1</v>
      </c>
      <c r="R340" s="16">
        <v>0</v>
      </c>
      <c r="S340" s="14"/>
      <c r="T340" s="56" t="str">
        <f t="shared" si="99"/>
        <v/>
      </c>
      <c r="U340" s="56" t="str">
        <f t="shared" si="96"/>
        <v/>
      </c>
      <c r="V340" s="56" t="str">
        <f t="shared" si="97"/>
        <v/>
      </c>
      <c r="W340" s="14"/>
      <c r="X340" s="14"/>
      <c r="Y340" s="14"/>
      <c r="Z340" s="14"/>
      <c r="AA340" s="18">
        <f t="shared" si="84"/>
        <v>55</v>
      </c>
      <c r="AB340" s="14"/>
      <c r="AC340" s="14"/>
      <c r="AD340" s="14"/>
      <c r="AE340" s="14"/>
      <c r="AF340" s="16">
        <v>0</v>
      </c>
      <c r="AG340" s="16">
        <v>1</v>
      </c>
      <c r="AH340" s="16">
        <v>1</v>
      </c>
      <c r="AI340" s="16">
        <v>1</v>
      </c>
      <c r="AJ340" s="5">
        <v>1</v>
      </c>
      <c r="AK340" s="5">
        <v>0</v>
      </c>
      <c r="AL340" s="5">
        <v>0</v>
      </c>
      <c r="AM340" s="20"/>
      <c r="AN340" s="20">
        <v>0</v>
      </c>
      <c r="AO340" s="16"/>
      <c r="AP340" s="16"/>
      <c r="AQ340" s="16"/>
      <c r="AR340" s="16">
        <v>0</v>
      </c>
      <c r="AS340" s="16">
        <v>0</v>
      </c>
      <c r="AT340" s="16"/>
      <c r="AU340" s="16"/>
      <c r="AV340" s="16"/>
      <c r="AW340" s="16"/>
      <c r="AX340" s="16">
        <v>0</v>
      </c>
      <c r="AY340" s="16">
        <v>0</v>
      </c>
      <c r="AZ340" s="16">
        <v>1</v>
      </c>
      <c r="BA340" s="16">
        <v>0</v>
      </c>
    </row>
    <row r="341" spans="1:53" x14ac:dyDescent="0.2">
      <c r="A341" s="14"/>
      <c r="B341" s="14" t="str">
        <f t="shared" si="101"/>
        <v>Ceronsky et al. 2005</v>
      </c>
      <c r="C341" s="61">
        <f t="shared" si="102"/>
        <v>40</v>
      </c>
      <c r="D341" s="58">
        <v>2005</v>
      </c>
      <c r="E341" s="17"/>
      <c r="F341" s="58">
        <v>0</v>
      </c>
      <c r="G341" s="16">
        <v>1995</v>
      </c>
      <c r="H341" s="15">
        <f>LOOKUP(G341,CPI!A$69:A$100,CPI!O$69:O$100)</f>
        <v>1.4308136482939633</v>
      </c>
      <c r="I341" s="52">
        <v>2000</v>
      </c>
      <c r="J341" s="15">
        <f t="shared" si="100"/>
        <v>1.25E-3</v>
      </c>
      <c r="K341" s="15"/>
      <c r="L341" s="62"/>
      <c r="M341" s="56">
        <f t="shared" si="98"/>
        <v>24.921998770396751</v>
      </c>
      <c r="N341" s="14">
        <v>11</v>
      </c>
      <c r="O341" s="18">
        <f t="shared" si="95"/>
        <v>11</v>
      </c>
      <c r="P341" s="16">
        <v>0</v>
      </c>
      <c r="Q341" s="16">
        <v>1</v>
      </c>
      <c r="R341" s="16">
        <v>0</v>
      </c>
      <c r="S341" s="14"/>
      <c r="T341" s="56" t="str">
        <f t="shared" si="99"/>
        <v/>
      </c>
      <c r="U341" s="56" t="str">
        <f t="shared" si="96"/>
        <v/>
      </c>
      <c r="V341" s="56" t="str">
        <f t="shared" si="97"/>
        <v/>
      </c>
      <c r="W341" s="14"/>
      <c r="X341" s="14"/>
      <c r="Y341" s="14"/>
      <c r="Z341" s="14"/>
      <c r="AA341" s="18">
        <f t="shared" si="84"/>
        <v>11</v>
      </c>
      <c r="AB341" s="14"/>
      <c r="AC341" s="14"/>
      <c r="AD341" s="14"/>
      <c r="AE341" s="14"/>
      <c r="AF341" s="16">
        <v>0</v>
      </c>
      <c r="AG341" s="16">
        <v>1</v>
      </c>
      <c r="AH341" s="16">
        <v>1</v>
      </c>
      <c r="AI341" s="16">
        <v>1</v>
      </c>
      <c r="AJ341" s="5">
        <v>1</v>
      </c>
      <c r="AK341" s="5">
        <v>0</v>
      </c>
      <c r="AL341" s="5">
        <v>0</v>
      </c>
      <c r="AM341" s="20"/>
      <c r="AN341" s="20">
        <v>1</v>
      </c>
      <c r="AO341" s="16"/>
      <c r="AP341" s="16"/>
      <c r="AQ341" s="16"/>
      <c r="AR341" s="16">
        <v>0</v>
      </c>
      <c r="AS341" s="16">
        <v>0</v>
      </c>
      <c r="AT341" s="16"/>
      <c r="AU341" s="16"/>
      <c r="AV341" s="16"/>
      <c r="AW341" s="16"/>
      <c r="AX341" s="16">
        <v>0</v>
      </c>
      <c r="AY341" s="16">
        <v>0</v>
      </c>
      <c r="AZ341" s="16">
        <v>1</v>
      </c>
      <c r="BA341" s="16">
        <v>0</v>
      </c>
    </row>
    <row r="342" spans="1:53" x14ac:dyDescent="0.2">
      <c r="A342" s="14"/>
      <c r="B342" s="14" t="str">
        <f t="shared" si="101"/>
        <v>Ceronsky et al. 2005</v>
      </c>
      <c r="C342" s="61">
        <f t="shared" si="102"/>
        <v>40</v>
      </c>
      <c r="D342" s="58">
        <v>2005</v>
      </c>
      <c r="E342" s="17"/>
      <c r="F342" s="58">
        <v>0</v>
      </c>
      <c r="G342" s="16">
        <v>1995</v>
      </c>
      <c r="H342" s="15">
        <f>LOOKUP(G342,CPI!A$69:A$100,CPI!O$69:O$100)</f>
        <v>1.4308136482939633</v>
      </c>
      <c r="I342" s="52">
        <v>2000</v>
      </c>
      <c r="J342" s="15">
        <f t="shared" si="100"/>
        <v>1.25E-3</v>
      </c>
      <c r="K342" s="15"/>
      <c r="L342" s="62"/>
      <c r="M342" s="56">
        <f t="shared" si="98"/>
        <v>-5.6640906296356253</v>
      </c>
      <c r="N342" s="14">
        <v>-2.5</v>
      </c>
      <c r="O342" s="18">
        <f t="shared" si="95"/>
        <v>-2.5</v>
      </c>
      <c r="P342" s="16">
        <v>0</v>
      </c>
      <c r="Q342" s="16">
        <v>1</v>
      </c>
      <c r="R342" s="16">
        <v>0</v>
      </c>
      <c r="S342" s="14"/>
      <c r="T342" s="56" t="str">
        <f t="shared" si="99"/>
        <v/>
      </c>
      <c r="U342" s="56" t="str">
        <f t="shared" si="96"/>
        <v/>
      </c>
      <c r="V342" s="56" t="str">
        <f t="shared" si="97"/>
        <v/>
      </c>
      <c r="W342" s="14"/>
      <c r="X342" s="14"/>
      <c r="Y342" s="14"/>
      <c r="Z342" s="14"/>
      <c r="AA342" s="18">
        <f t="shared" si="84"/>
        <v>-2.5</v>
      </c>
      <c r="AB342" s="14"/>
      <c r="AC342" s="14"/>
      <c r="AD342" s="14"/>
      <c r="AE342" s="14"/>
      <c r="AF342" s="16">
        <v>0</v>
      </c>
      <c r="AG342" s="16">
        <v>1</v>
      </c>
      <c r="AH342" s="16">
        <v>1</v>
      </c>
      <c r="AI342" s="16">
        <v>1</v>
      </c>
      <c r="AJ342" s="5">
        <v>1</v>
      </c>
      <c r="AK342" s="5">
        <v>0</v>
      </c>
      <c r="AL342" s="5">
        <v>0</v>
      </c>
      <c r="AM342" s="20"/>
      <c r="AN342" s="20">
        <v>3</v>
      </c>
      <c r="AO342" s="16"/>
      <c r="AP342" s="16"/>
      <c r="AQ342" s="16"/>
      <c r="AR342" s="16">
        <v>0</v>
      </c>
      <c r="AS342" s="16">
        <v>0</v>
      </c>
      <c r="AT342" s="16"/>
      <c r="AU342" s="16"/>
      <c r="AV342" s="16"/>
      <c r="AW342" s="16"/>
      <c r="AX342" s="16">
        <v>0</v>
      </c>
      <c r="AY342" s="16">
        <v>0</v>
      </c>
      <c r="AZ342" s="16">
        <v>1</v>
      </c>
      <c r="BA342" s="16">
        <v>0</v>
      </c>
    </row>
    <row r="343" spans="1:53" x14ac:dyDescent="0.2">
      <c r="A343" s="14"/>
      <c r="B343" s="14" t="str">
        <f t="shared" si="101"/>
        <v>Ceronsky et al. 2005</v>
      </c>
      <c r="C343" s="61">
        <f t="shared" si="102"/>
        <v>40</v>
      </c>
      <c r="D343" s="58">
        <v>2005</v>
      </c>
      <c r="E343" s="17"/>
      <c r="F343" s="58">
        <v>0</v>
      </c>
      <c r="G343" s="16">
        <v>1995</v>
      </c>
      <c r="H343" s="15">
        <f>LOOKUP(G343,CPI!A$69:A$100,CPI!O$69:O$100)</f>
        <v>1.4308136482939633</v>
      </c>
      <c r="I343" s="52">
        <v>2000</v>
      </c>
      <c r="J343" s="15">
        <f t="shared" si="100"/>
        <v>1.25E-3</v>
      </c>
      <c r="K343" s="15"/>
      <c r="L343" s="62"/>
      <c r="M343" s="56">
        <f t="shared" si="98"/>
        <v>40.781452533376502</v>
      </c>
      <c r="N343" s="14">
        <v>18</v>
      </c>
      <c r="O343" s="18">
        <f t="shared" si="95"/>
        <v>18</v>
      </c>
      <c r="P343" s="16">
        <v>0</v>
      </c>
      <c r="Q343" s="16">
        <v>1</v>
      </c>
      <c r="R343" s="16">
        <v>0</v>
      </c>
      <c r="S343" s="14"/>
      <c r="T343" s="56" t="str">
        <f t="shared" si="99"/>
        <v/>
      </c>
      <c r="U343" s="56" t="str">
        <f t="shared" si="96"/>
        <v/>
      </c>
      <c r="V343" s="56" t="str">
        <f t="shared" si="97"/>
        <v/>
      </c>
      <c r="W343" s="14"/>
      <c r="X343" s="14"/>
      <c r="Y343" s="14"/>
      <c r="Z343" s="14"/>
      <c r="AA343" s="18">
        <f t="shared" ref="AA343:AA405" si="103">N343</f>
        <v>18</v>
      </c>
      <c r="AB343" s="14"/>
      <c r="AC343" s="14"/>
      <c r="AD343" s="14"/>
      <c r="AE343" s="14"/>
      <c r="AF343" s="16">
        <v>0</v>
      </c>
      <c r="AG343" s="16">
        <v>1</v>
      </c>
      <c r="AH343" s="16">
        <v>1</v>
      </c>
      <c r="AI343" s="16">
        <v>1</v>
      </c>
      <c r="AJ343" s="5">
        <v>1</v>
      </c>
      <c r="AK343" s="5">
        <v>0</v>
      </c>
      <c r="AL343" s="5">
        <v>0</v>
      </c>
      <c r="AM343" s="20"/>
      <c r="AN343" s="20" t="s">
        <v>25</v>
      </c>
      <c r="AO343" s="16"/>
      <c r="AP343" s="16"/>
      <c r="AQ343" s="16"/>
      <c r="AR343" s="16">
        <v>0</v>
      </c>
      <c r="AS343" s="16">
        <v>0</v>
      </c>
      <c r="AT343" s="16"/>
      <c r="AU343" s="16"/>
      <c r="AV343" s="16"/>
      <c r="AW343" s="16"/>
      <c r="AX343" s="16">
        <v>0</v>
      </c>
      <c r="AY343" s="16">
        <v>0</v>
      </c>
      <c r="AZ343" s="16">
        <v>1</v>
      </c>
      <c r="BA343" s="16">
        <v>0</v>
      </c>
    </row>
    <row r="344" spans="1:53" x14ac:dyDescent="0.2">
      <c r="A344" s="14"/>
      <c r="B344" s="14" t="str">
        <f t="shared" si="101"/>
        <v>Ceronsky et al. 2005</v>
      </c>
      <c r="C344" s="61">
        <f t="shared" si="102"/>
        <v>40</v>
      </c>
      <c r="D344" s="58">
        <v>2005</v>
      </c>
      <c r="E344" s="17"/>
      <c r="F344" s="58">
        <v>0</v>
      </c>
      <c r="G344" s="16">
        <v>1995</v>
      </c>
      <c r="H344" s="15">
        <f>LOOKUP(G344,CPI!A$69:A$100,CPI!O$69:O$100)</f>
        <v>1.4308136482939633</v>
      </c>
      <c r="I344" s="52">
        <v>2000</v>
      </c>
      <c r="J344" s="15">
        <f t="shared" si="100"/>
        <v>1.25E-3</v>
      </c>
      <c r="K344" s="15"/>
      <c r="L344" s="62"/>
      <c r="M344" s="56">
        <f t="shared" si="98"/>
        <v>131.40690260754653</v>
      </c>
      <c r="N344" s="14">
        <v>58</v>
      </c>
      <c r="O344" s="18">
        <f t="shared" si="95"/>
        <v>58</v>
      </c>
      <c r="P344" s="16">
        <v>0</v>
      </c>
      <c r="Q344" s="16">
        <v>1</v>
      </c>
      <c r="R344" s="16">
        <v>0</v>
      </c>
      <c r="S344" s="14"/>
      <c r="T344" s="56" t="str">
        <f t="shared" si="99"/>
        <v/>
      </c>
      <c r="U344" s="56" t="str">
        <f t="shared" si="96"/>
        <v/>
      </c>
      <c r="V344" s="56" t="str">
        <f t="shared" si="97"/>
        <v/>
      </c>
      <c r="W344" s="14"/>
      <c r="X344" s="14"/>
      <c r="Y344" s="14"/>
      <c r="Z344" s="14"/>
      <c r="AA344" s="18">
        <f t="shared" si="103"/>
        <v>58</v>
      </c>
      <c r="AB344" s="14"/>
      <c r="AC344" s="14"/>
      <c r="AD344" s="14"/>
      <c r="AE344" s="14"/>
      <c r="AF344" s="16">
        <v>0</v>
      </c>
      <c r="AG344" s="16">
        <v>1</v>
      </c>
      <c r="AH344" s="16">
        <v>1</v>
      </c>
      <c r="AI344" s="16">
        <v>1</v>
      </c>
      <c r="AJ344" s="5">
        <v>1</v>
      </c>
      <c r="AK344" s="5">
        <v>0</v>
      </c>
      <c r="AL344" s="5">
        <v>0</v>
      </c>
      <c r="AM344" s="20"/>
      <c r="AN344" s="20">
        <v>0</v>
      </c>
      <c r="AO344" s="16"/>
      <c r="AP344" s="16"/>
      <c r="AQ344" s="16"/>
      <c r="AR344" s="16">
        <v>0</v>
      </c>
      <c r="AS344" s="16">
        <v>0</v>
      </c>
      <c r="AT344" s="16"/>
      <c r="AU344" s="16"/>
      <c r="AV344" s="16"/>
      <c r="AW344" s="16"/>
      <c r="AX344" s="16">
        <v>0</v>
      </c>
      <c r="AY344" s="16">
        <v>0</v>
      </c>
      <c r="AZ344" s="16">
        <v>1</v>
      </c>
      <c r="BA344" s="16">
        <v>0</v>
      </c>
    </row>
    <row r="345" spans="1:53" x14ac:dyDescent="0.2">
      <c r="A345" s="14"/>
      <c r="B345" s="14" t="str">
        <f t="shared" si="101"/>
        <v>Ceronsky et al. 2005</v>
      </c>
      <c r="C345" s="61">
        <f t="shared" si="102"/>
        <v>40</v>
      </c>
      <c r="D345" s="58">
        <v>2005</v>
      </c>
      <c r="E345" s="17"/>
      <c r="F345" s="58">
        <v>0</v>
      </c>
      <c r="G345" s="16">
        <v>1995</v>
      </c>
      <c r="H345" s="15">
        <f>LOOKUP(G345,CPI!A$69:A$100,CPI!O$69:O$100)</f>
        <v>1.4308136482939633</v>
      </c>
      <c r="I345" s="52">
        <v>2000</v>
      </c>
      <c r="J345" s="15">
        <f t="shared" si="100"/>
        <v>1.25E-3</v>
      </c>
      <c r="K345" s="15"/>
      <c r="L345" s="62"/>
      <c r="M345" s="56">
        <f t="shared" si="98"/>
        <v>27.187635022251005</v>
      </c>
      <c r="N345" s="14">
        <v>12</v>
      </c>
      <c r="O345" s="18">
        <f t="shared" si="95"/>
        <v>12</v>
      </c>
      <c r="P345" s="16">
        <v>0</v>
      </c>
      <c r="Q345" s="16">
        <v>1</v>
      </c>
      <c r="R345" s="16">
        <v>0</v>
      </c>
      <c r="S345" s="14"/>
      <c r="T345" s="56" t="str">
        <f t="shared" si="99"/>
        <v/>
      </c>
      <c r="U345" s="56" t="str">
        <f t="shared" si="96"/>
        <v/>
      </c>
      <c r="V345" s="56" t="str">
        <f t="shared" si="97"/>
        <v/>
      </c>
      <c r="W345" s="14"/>
      <c r="X345" s="14"/>
      <c r="Y345" s="14"/>
      <c r="Z345" s="14"/>
      <c r="AA345" s="18">
        <f t="shared" si="103"/>
        <v>12</v>
      </c>
      <c r="AB345" s="14"/>
      <c r="AC345" s="14"/>
      <c r="AD345" s="14"/>
      <c r="AE345" s="14"/>
      <c r="AF345" s="16">
        <v>0</v>
      </c>
      <c r="AG345" s="16">
        <v>1</v>
      </c>
      <c r="AH345" s="16">
        <v>1</v>
      </c>
      <c r="AI345" s="16">
        <v>1</v>
      </c>
      <c r="AJ345" s="5">
        <v>1</v>
      </c>
      <c r="AK345" s="5">
        <v>0</v>
      </c>
      <c r="AL345" s="5">
        <v>0</v>
      </c>
      <c r="AM345" s="20"/>
      <c r="AN345" s="20">
        <v>1</v>
      </c>
      <c r="AO345" s="16"/>
      <c r="AP345" s="16"/>
      <c r="AQ345" s="16"/>
      <c r="AR345" s="16">
        <v>0</v>
      </c>
      <c r="AS345" s="16">
        <v>0</v>
      </c>
      <c r="AT345" s="16"/>
      <c r="AU345" s="16"/>
      <c r="AV345" s="16"/>
      <c r="AW345" s="16"/>
      <c r="AX345" s="16">
        <v>0</v>
      </c>
      <c r="AY345" s="16">
        <v>0</v>
      </c>
      <c r="AZ345" s="16">
        <v>1</v>
      </c>
      <c r="BA345" s="16">
        <v>0</v>
      </c>
    </row>
    <row r="346" spans="1:53" x14ac:dyDescent="0.2">
      <c r="A346" s="14"/>
      <c r="B346" s="14" t="str">
        <f t="shared" si="101"/>
        <v>Ceronsky et al. 2005</v>
      </c>
      <c r="C346" s="61">
        <f t="shared" si="102"/>
        <v>40</v>
      </c>
      <c r="D346" s="58">
        <v>2005</v>
      </c>
      <c r="E346" s="17"/>
      <c r="F346" s="58">
        <v>0</v>
      </c>
      <c r="G346" s="16">
        <v>1995</v>
      </c>
      <c r="H346" s="15">
        <f>LOOKUP(G346,CPI!A$69:A$100,CPI!O$69:O$100)</f>
        <v>1.4308136482939633</v>
      </c>
      <c r="I346" s="52">
        <v>2000</v>
      </c>
      <c r="J346" s="15">
        <f t="shared" si="100"/>
        <v>1.25E-3</v>
      </c>
      <c r="K346" s="15"/>
      <c r="L346" s="62"/>
      <c r="M346" s="56">
        <f t="shared" si="98"/>
        <v>-5.2109633792647747</v>
      </c>
      <c r="N346" s="14">
        <v>-2.2999999999999998</v>
      </c>
      <c r="O346" s="18">
        <f t="shared" si="95"/>
        <v>-2.2999999999999998</v>
      </c>
      <c r="P346" s="16">
        <v>0</v>
      </c>
      <c r="Q346" s="16">
        <v>1</v>
      </c>
      <c r="R346" s="16">
        <v>0</v>
      </c>
      <c r="S346" s="14"/>
      <c r="T346" s="56" t="str">
        <f t="shared" si="99"/>
        <v/>
      </c>
      <c r="U346" s="56" t="str">
        <f t="shared" si="96"/>
        <v/>
      </c>
      <c r="V346" s="56" t="str">
        <f t="shared" si="97"/>
        <v/>
      </c>
      <c r="W346" s="14"/>
      <c r="X346" s="14"/>
      <c r="Y346" s="14"/>
      <c r="Z346" s="14"/>
      <c r="AA346" s="18">
        <f t="shared" si="103"/>
        <v>-2.2999999999999998</v>
      </c>
      <c r="AB346" s="14"/>
      <c r="AC346" s="14"/>
      <c r="AD346" s="14"/>
      <c r="AE346" s="14"/>
      <c r="AF346" s="16">
        <v>0</v>
      </c>
      <c r="AG346" s="16">
        <v>1</v>
      </c>
      <c r="AH346" s="16">
        <v>1</v>
      </c>
      <c r="AI346" s="16">
        <v>1</v>
      </c>
      <c r="AJ346" s="5">
        <v>1</v>
      </c>
      <c r="AK346" s="5">
        <v>0</v>
      </c>
      <c r="AL346" s="5">
        <v>0</v>
      </c>
      <c r="AM346" s="20"/>
      <c r="AN346" s="20">
        <v>3</v>
      </c>
      <c r="AO346" s="16"/>
      <c r="AP346" s="16"/>
      <c r="AQ346" s="16"/>
      <c r="AR346" s="16">
        <v>0</v>
      </c>
      <c r="AS346" s="16">
        <v>0</v>
      </c>
      <c r="AT346" s="16"/>
      <c r="AU346" s="16"/>
      <c r="AV346" s="16"/>
      <c r="AW346" s="16"/>
      <c r="AX346" s="16">
        <v>0</v>
      </c>
      <c r="AY346" s="16">
        <v>0</v>
      </c>
      <c r="AZ346" s="16">
        <v>1</v>
      </c>
      <c r="BA346" s="16">
        <v>0</v>
      </c>
    </row>
    <row r="347" spans="1:53" x14ac:dyDescent="0.2">
      <c r="A347" s="14"/>
      <c r="B347" s="14" t="str">
        <f t="shared" si="101"/>
        <v>Ceronsky et al. 2005</v>
      </c>
      <c r="C347" s="61">
        <f t="shared" si="102"/>
        <v>40</v>
      </c>
      <c r="D347" s="58">
        <v>2005</v>
      </c>
      <c r="E347" s="17"/>
      <c r="F347" s="58">
        <v>0</v>
      </c>
      <c r="G347" s="16">
        <v>1995</v>
      </c>
      <c r="H347" s="15">
        <f>LOOKUP(G347,CPI!A$69:A$100,CPI!O$69:O$100)</f>
        <v>1.4308136482939633</v>
      </c>
      <c r="I347" s="52">
        <v>2000</v>
      </c>
      <c r="J347" s="15">
        <f t="shared" si="100"/>
        <v>1.25E-3</v>
      </c>
      <c r="K347" s="15"/>
      <c r="L347" s="62"/>
      <c r="M347" s="56">
        <f t="shared" si="98"/>
        <v>40.781452533376502</v>
      </c>
      <c r="N347" s="14">
        <v>18</v>
      </c>
      <c r="O347" s="18">
        <f t="shared" si="95"/>
        <v>18</v>
      </c>
      <c r="P347" s="16">
        <v>0</v>
      </c>
      <c r="Q347" s="16">
        <v>1</v>
      </c>
      <c r="R347" s="16">
        <v>0</v>
      </c>
      <c r="S347" s="14"/>
      <c r="T347" s="56" t="str">
        <f t="shared" si="99"/>
        <v/>
      </c>
      <c r="U347" s="56" t="str">
        <f t="shared" si="96"/>
        <v/>
      </c>
      <c r="V347" s="56" t="str">
        <f t="shared" si="97"/>
        <v/>
      </c>
      <c r="W347" s="14"/>
      <c r="X347" s="14"/>
      <c r="Y347" s="14"/>
      <c r="Z347" s="14"/>
      <c r="AA347" s="18">
        <f t="shared" si="103"/>
        <v>18</v>
      </c>
      <c r="AB347" s="14"/>
      <c r="AC347" s="14"/>
      <c r="AD347" s="14"/>
      <c r="AE347" s="14"/>
      <c r="AF347" s="16">
        <v>0</v>
      </c>
      <c r="AG347" s="16">
        <v>1</v>
      </c>
      <c r="AH347" s="16">
        <v>1</v>
      </c>
      <c r="AI347" s="16">
        <v>1</v>
      </c>
      <c r="AJ347" s="5">
        <v>1</v>
      </c>
      <c r="AK347" s="5">
        <v>0</v>
      </c>
      <c r="AL347" s="5">
        <v>0</v>
      </c>
      <c r="AM347" s="20"/>
      <c r="AN347" s="20" t="s">
        <v>25</v>
      </c>
      <c r="AO347" s="16"/>
      <c r="AP347" s="16"/>
      <c r="AQ347" s="16"/>
      <c r="AR347" s="16">
        <v>0</v>
      </c>
      <c r="AS347" s="16">
        <v>0</v>
      </c>
      <c r="AT347" s="16"/>
      <c r="AU347" s="16"/>
      <c r="AV347" s="16"/>
      <c r="AW347" s="16"/>
      <c r="AX347" s="16">
        <v>0</v>
      </c>
      <c r="AY347" s="16">
        <v>0</v>
      </c>
      <c r="AZ347" s="16">
        <v>1</v>
      </c>
      <c r="BA347" s="16">
        <v>0</v>
      </c>
    </row>
    <row r="348" spans="1:53" x14ac:dyDescent="0.2">
      <c r="A348" s="14"/>
      <c r="B348" s="14" t="str">
        <f t="shared" si="101"/>
        <v>Ceronsky et al. 2005</v>
      </c>
      <c r="C348" s="61">
        <f t="shared" si="102"/>
        <v>40</v>
      </c>
      <c r="D348" s="58">
        <v>2005</v>
      </c>
      <c r="E348" s="17"/>
      <c r="F348" s="58">
        <v>0</v>
      </c>
      <c r="G348" s="16">
        <v>1995</v>
      </c>
      <c r="H348" s="15">
        <f>LOOKUP(G348,CPI!A$69:A$100,CPI!O$69:O$100)</f>
        <v>1.4308136482939633</v>
      </c>
      <c r="I348" s="52">
        <v>2000</v>
      </c>
      <c r="J348" s="15">
        <f t="shared" si="100"/>
        <v>1.25E-3</v>
      </c>
      <c r="K348" s="15"/>
      <c r="L348" s="62"/>
      <c r="M348" s="56">
        <f t="shared" si="98"/>
        <v>165.39144638536027</v>
      </c>
      <c r="N348" s="14">
        <v>73</v>
      </c>
      <c r="O348" s="18">
        <f t="shared" si="95"/>
        <v>73</v>
      </c>
      <c r="P348" s="16">
        <v>0</v>
      </c>
      <c r="Q348" s="16">
        <v>1</v>
      </c>
      <c r="R348" s="16">
        <v>0</v>
      </c>
      <c r="S348" s="14"/>
      <c r="T348" s="56" t="str">
        <f t="shared" si="99"/>
        <v/>
      </c>
      <c r="U348" s="56" t="str">
        <f t="shared" si="96"/>
        <v/>
      </c>
      <c r="V348" s="56" t="str">
        <f t="shared" si="97"/>
        <v/>
      </c>
      <c r="W348" s="14"/>
      <c r="X348" s="14"/>
      <c r="Y348" s="14"/>
      <c r="Z348" s="14"/>
      <c r="AA348" s="18">
        <f t="shared" si="103"/>
        <v>73</v>
      </c>
      <c r="AB348" s="14"/>
      <c r="AC348" s="14"/>
      <c r="AD348" s="14"/>
      <c r="AE348" s="14"/>
      <c r="AF348" s="16">
        <v>0</v>
      </c>
      <c r="AG348" s="16">
        <v>1</v>
      </c>
      <c r="AH348" s="16">
        <v>1</v>
      </c>
      <c r="AI348" s="16">
        <v>1</v>
      </c>
      <c r="AJ348" s="5">
        <v>1</v>
      </c>
      <c r="AK348" s="5">
        <v>0</v>
      </c>
      <c r="AL348" s="5">
        <v>0</v>
      </c>
      <c r="AM348" s="20"/>
      <c r="AN348" s="20">
        <v>0</v>
      </c>
      <c r="AO348" s="16"/>
      <c r="AP348" s="16"/>
      <c r="AQ348" s="16"/>
      <c r="AR348" s="16">
        <v>0</v>
      </c>
      <c r="AS348" s="16">
        <v>0</v>
      </c>
      <c r="AT348" s="16"/>
      <c r="AU348" s="16"/>
      <c r="AV348" s="16"/>
      <c r="AW348" s="16"/>
      <c r="AX348" s="16">
        <v>0</v>
      </c>
      <c r="AY348" s="16">
        <v>0</v>
      </c>
      <c r="AZ348" s="16">
        <v>1</v>
      </c>
      <c r="BA348" s="16">
        <v>0</v>
      </c>
    </row>
    <row r="349" spans="1:53" x14ac:dyDescent="0.2">
      <c r="A349" s="14"/>
      <c r="B349" s="14" t="str">
        <f t="shared" si="101"/>
        <v>Ceronsky et al. 2005</v>
      </c>
      <c r="C349" s="61">
        <f t="shared" si="102"/>
        <v>40</v>
      </c>
      <c r="D349" s="58">
        <v>2005</v>
      </c>
      <c r="E349" s="17"/>
      <c r="F349" s="58">
        <v>0</v>
      </c>
      <c r="G349" s="16">
        <v>1995</v>
      </c>
      <c r="H349" s="15">
        <f>LOOKUP(G349,CPI!A$69:A$100,CPI!O$69:O$100)</f>
        <v>1.4308136482939633</v>
      </c>
      <c r="I349" s="52">
        <v>2000</v>
      </c>
      <c r="J349" s="15">
        <f t="shared" si="100"/>
        <v>1.25E-3</v>
      </c>
      <c r="K349" s="15"/>
      <c r="L349" s="62"/>
      <c r="M349" s="56">
        <f t="shared" si="98"/>
        <v>36.250180029668002</v>
      </c>
      <c r="N349" s="14">
        <v>16</v>
      </c>
      <c r="O349" s="18">
        <f t="shared" si="95"/>
        <v>16</v>
      </c>
      <c r="P349" s="16">
        <v>0</v>
      </c>
      <c r="Q349" s="16">
        <v>1</v>
      </c>
      <c r="R349" s="16">
        <v>0</v>
      </c>
      <c r="S349" s="14"/>
      <c r="T349" s="56" t="str">
        <f t="shared" si="99"/>
        <v/>
      </c>
      <c r="U349" s="56" t="str">
        <f t="shared" si="96"/>
        <v/>
      </c>
      <c r="V349" s="56" t="str">
        <f t="shared" si="97"/>
        <v/>
      </c>
      <c r="W349" s="14"/>
      <c r="X349" s="14"/>
      <c r="Y349" s="14"/>
      <c r="Z349" s="14"/>
      <c r="AA349" s="18">
        <f t="shared" si="103"/>
        <v>16</v>
      </c>
      <c r="AB349" s="14"/>
      <c r="AC349" s="14"/>
      <c r="AD349" s="14"/>
      <c r="AE349" s="14"/>
      <c r="AF349" s="16">
        <v>0</v>
      </c>
      <c r="AG349" s="16">
        <v>1</v>
      </c>
      <c r="AH349" s="16">
        <v>1</v>
      </c>
      <c r="AI349" s="16">
        <v>1</v>
      </c>
      <c r="AJ349" s="5">
        <v>1</v>
      </c>
      <c r="AK349" s="5">
        <v>0</v>
      </c>
      <c r="AL349" s="5">
        <v>0</v>
      </c>
      <c r="AM349" s="20"/>
      <c r="AN349" s="20">
        <v>1</v>
      </c>
      <c r="AO349" s="16"/>
      <c r="AP349" s="16"/>
      <c r="AQ349" s="16"/>
      <c r="AR349" s="16">
        <v>0</v>
      </c>
      <c r="AS349" s="16">
        <v>0</v>
      </c>
      <c r="AT349" s="16"/>
      <c r="AU349" s="16"/>
      <c r="AV349" s="16"/>
      <c r="AW349" s="16"/>
      <c r="AX349" s="16">
        <v>0</v>
      </c>
      <c r="AY349" s="16">
        <v>0</v>
      </c>
      <c r="AZ349" s="16">
        <v>1</v>
      </c>
      <c r="BA349" s="16">
        <v>0</v>
      </c>
    </row>
    <row r="350" spans="1:53" x14ac:dyDescent="0.2">
      <c r="A350" s="14"/>
      <c r="B350" s="14" t="str">
        <f t="shared" si="101"/>
        <v>Ceronsky et al. 2005</v>
      </c>
      <c r="C350" s="61">
        <f t="shared" si="102"/>
        <v>40</v>
      </c>
      <c r="D350" s="58">
        <v>2005</v>
      </c>
      <c r="E350" s="17"/>
      <c r="F350" s="58">
        <v>0</v>
      </c>
      <c r="G350" s="16">
        <v>1995</v>
      </c>
      <c r="H350" s="15">
        <f>LOOKUP(G350,CPI!A$69:A$100,CPI!O$69:O$100)</f>
        <v>1.4308136482939633</v>
      </c>
      <c r="I350" s="52">
        <v>2000</v>
      </c>
      <c r="J350" s="15">
        <f t="shared" si="100"/>
        <v>1.25E-3</v>
      </c>
      <c r="K350" s="15"/>
      <c r="L350" s="62"/>
      <c r="M350" s="56">
        <f t="shared" si="98"/>
        <v>-3.6250180029668009</v>
      </c>
      <c r="N350" s="14">
        <v>-1.6</v>
      </c>
      <c r="O350" s="18">
        <f t="shared" si="95"/>
        <v>-1.6</v>
      </c>
      <c r="P350" s="16">
        <v>0</v>
      </c>
      <c r="Q350" s="16">
        <v>1</v>
      </c>
      <c r="R350" s="16">
        <v>0</v>
      </c>
      <c r="S350" s="14"/>
      <c r="T350" s="56" t="str">
        <f t="shared" si="99"/>
        <v/>
      </c>
      <c r="U350" s="56" t="str">
        <f t="shared" si="96"/>
        <v/>
      </c>
      <c r="V350" s="56" t="str">
        <f t="shared" si="97"/>
        <v/>
      </c>
      <c r="W350" s="14"/>
      <c r="X350" s="14"/>
      <c r="Y350" s="14"/>
      <c r="Z350" s="14"/>
      <c r="AA350" s="18">
        <f t="shared" si="103"/>
        <v>-1.6</v>
      </c>
      <c r="AB350" s="14"/>
      <c r="AC350" s="14"/>
      <c r="AD350" s="14"/>
      <c r="AE350" s="14"/>
      <c r="AF350" s="16">
        <v>0</v>
      </c>
      <c r="AG350" s="16">
        <v>1</v>
      </c>
      <c r="AH350" s="16">
        <v>1</v>
      </c>
      <c r="AI350" s="16">
        <v>1</v>
      </c>
      <c r="AJ350" s="5">
        <v>1</v>
      </c>
      <c r="AK350" s="5">
        <v>0</v>
      </c>
      <c r="AL350" s="5">
        <v>0</v>
      </c>
      <c r="AM350" s="20"/>
      <c r="AN350" s="20">
        <v>3</v>
      </c>
      <c r="AO350" s="16"/>
      <c r="AP350" s="16"/>
      <c r="AQ350" s="16"/>
      <c r="AR350" s="16">
        <v>0</v>
      </c>
      <c r="AS350" s="16">
        <v>0</v>
      </c>
      <c r="AT350" s="16"/>
      <c r="AU350" s="16"/>
      <c r="AV350" s="16"/>
      <c r="AW350" s="16"/>
      <c r="AX350" s="16">
        <v>0</v>
      </c>
      <c r="AY350" s="16">
        <v>0</v>
      </c>
      <c r="AZ350" s="16">
        <v>1</v>
      </c>
      <c r="BA350" s="16">
        <v>0</v>
      </c>
    </row>
    <row r="351" spans="1:53" x14ac:dyDescent="0.2">
      <c r="A351" s="14"/>
      <c r="B351" s="14" t="str">
        <f t="shared" si="101"/>
        <v>Ceronsky et al. 2005</v>
      </c>
      <c r="C351" s="61">
        <f t="shared" si="102"/>
        <v>40</v>
      </c>
      <c r="D351" s="58">
        <v>2005</v>
      </c>
      <c r="E351" s="17"/>
      <c r="F351" s="58">
        <v>0</v>
      </c>
      <c r="G351" s="16">
        <v>1995</v>
      </c>
      <c r="H351" s="15">
        <f>LOOKUP(G351,CPI!A$69:A$100,CPI!O$69:O$100)</f>
        <v>1.4308136482939633</v>
      </c>
      <c r="I351" s="52">
        <v>2000</v>
      </c>
      <c r="J351" s="15">
        <f t="shared" si="100"/>
        <v>1.25E-3</v>
      </c>
      <c r="K351" s="15"/>
      <c r="L351" s="62"/>
      <c r="M351" s="56">
        <f t="shared" si="98"/>
        <v>54.37527004450201</v>
      </c>
      <c r="N351" s="14">
        <v>24</v>
      </c>
      <c r="O351" s="18">
        <f t="shared" si="95"/>
        <v>24</v>
      </c>
      <c r="P351" s="16">
        <v>0</v>
      </c>
      <c r="Q351" s="16">
        <v>1</v>
      </c>
      <c r="R351" s="16">
        <v>0</v>
      </c>
      <c r="S351" s="14"/>
      <c r="T351" s="56" t="str">
        <f t="shared" si="99"/>
        <v/>
      </c>
      <c r="U351" s="56" t="str">
        <f t="shared" si="96"/>
        <v/>
      </c>
      <c r="V351" s="56" t="str">
        <f t="shared" si="97"/>
        <v/>
      </c>
      <c r="W351" s="14"/>
      <c r="X351" s="14"/>
      <c r="Y351" s="14"/>
      <c r="Z351" s="14"/>
      <c r="AA351" s="18">
        <f t="shared" si="103"/>
        <v>24</v>
      </c>
      <c r="AB351" s="14"/>
      <c r="AC351" s="14"/>
      <c r="AD351" s="14"/>
      <c r="AE351" s="14"/>
      <c r="AF351" s="16">
        <v>0</v>
      </c>
      <c r="AG351" s="16">
        <v>1</v>
      </c>
      <c r="AH351" s="16">
        <v>1</v>
      </c>
      <c r="AI351" s="16">
        <v>1</v>
      </c>
      <c r="AJ351" s="5">
        <v>1</v>
      </c>
      <c r="AK351" s="5">
        <v>0</v>
      </c>
      <c r="AL351" s="5">
        <v>0</v>
      </c>
      <c r="AM351" s="20"/>
      <c r="AN351" s="20" t="s">
        <v>25</v>
      </c>
      <c r="AO351" s="16"/>
      <c r="AP351" s="16"/>
      <c r="AQ351" s="16"/>
      <c r="AR351" s="16">
        <v>0</v>
      </c>
      <c r="AS351" s="16">
        <v>0</v>
      </c>
      <c r="AT351" s="16"/>
      <c r="AU351" s="16"/>
      <c r="AV351" s="16"/>
      <c r="AW351" s="16"/>
      <c r="AX351" s="16">
        <v>0</v>
      </c>
      <c r="AY351" s="16">
        <v>0</v>
      </c>
      <c r="AZ351" s="16">
        <v>1</v>
      </c>
      <c r="BA351" s="16">
        <v>0</v>
      </c>
    </row>
    <row r="352" spans="1:53" x14ac:dyDescent="0.2">
      <c r="A352" s="14"/>
      <c r="B352" s="14" t="str">
        <f t="shared" si="101"/>
        <v>Ceronsky et al. 2005</v>
      </c>
      <c r="C352" s="61">
        <f t="shared" si="102"/>
        <v>40</v>
      </c>
      <c r="D352" s="58">
        <v>2005</v>
      </c>
      <c r="E352" s="17"/>
      <c r="F352" s="58">
        <v>0</v>
      </c>
      <c r="G352" s="16">
        <v>1995</v>
      </c>
      <c r="H352" s="15">
        <f>LOOKUP(G352,CPI!A$69:A$100,CPI!O$69:O$100)</f>
        <v>1.4308136482939633</v>
      </c>
      <c r="I352" s="52">
        <v>2000</v>
      </c>
      <c r="J352" s="15">
        <f t="shared" si="100"/>
        <v>1.25E-3</v>
      </c>
      <c r="K352" s="15"/>
      <c r="L352" s="62"/>
      <c r="M352" s="56">
        <f t="shared" si="98"/>
        <v>212.96980767429955</v>
      </c>
      <c r="N352" s="14">
        <v>94</v>
      </c>
      <c r="O352" s="18">
        <f t="shared" si="95"/>
        <v>94</v>
      </c>
      <c r="P352" s="16">
        <v>0</v>
      </c>
      <c r="Q352" s="16">
        <v>1</v>
      </c>
      <c r="R352" s="16">
        <v>0</v>
      </c>
      <c r="S352" s="14"/>
      <c r="T352" s="56" t="str">
        <f t="shared" si="99"/>
        <v/>
      </c>
      <c r="U352" s="56" t="str">
        <f t="shared" si="96"/>
        <v/>
      </c>
      <c r="V352" s="56" t="str">
        <f t="shared" si="97"/>
        <v/>
      </c>
      <c r="W352" s="14"/>
      <c r="X352" s="14"/>
      <c r="Y352" s="14"/>
      <c r="Z352" s="14"/>
      <c r="AA352" s="18">
        <f t="shared" si="103"/>
        <v>94</v>
      </c>
      <c r="AB352" s="14"/>
      <c r="AC352" s="14"/>
      <c r="AD352" s="14"/>
      <c r="AE352" s="14"/>
      <c r="AF352" s="16">
        <v>0</v>
      </c>
      <c r="AG352" s="16">
        <v>1</v>
      </c>
      <c r="AH352" s="16">
        <v>1</v>
      </c>
      <c r="AI352" s="16">
        <v>1</v>
      </c>
      <c r="AJ352" s="5">
        <v>1</v>
      </c>
      <c r="AK352" s="5">
        <v>0</v>
      </c>
      <c r="AL352" s="5">
        <v>0</v>
      </c>
      <c r="AM352" s="20"/>
      <c r="AN352" s="20">
        <v>0</v>
      </c>
      <c r="AO352" s="16"/>
      <c r="AP352" s="16"/>
      <c r="AQ352" s="16"/>
      <c r="AR352" s="16">
        <v>0</v>
      </c>
      <c r="AS352" s="16">
        <v>0</v>
      </c>
      <c r="AT352" s="16"/>
      <c r="AU352" s="16"/>
      <c r="AV352" s="16"/>
      <c r="AW352" s="16"/>
      <c r="AX352" s="16">
        <v>0</v>
      </c>
      <c r="AY352" s="16">
        <v>0</v>
      </c>
      <c r="AZ352" s="16">
        <v>1</v>
      </c>
      <c r="BA352" s="16">
        <v>0</v>
      </c>
    </row>
    <row r="353" spans="1:53" x14ac:dyDescent="0.2">
      <c r="A353" s="14"/>
      <c r="B353" s="14" t="str">
        <f t="shared" si="101"/>
        <v>Ceronsky et al. 2005</v>
      </c>
      <c r="C353" s="61">
        <f t="shared" si="102"/>
        <v>40</v>
      </c>
      <c r="D353" s="58">
        <v>2005</v>
      </c>
      <c r="E353" s="17"/>
      <c r="F353" s="58">
        <v>0</v>
      </c>
      <c r="G353" s="16">
        <v>1995</v>
      </c>
      <c r="H353" s="15">
        <f>LOOKUP(G353,CPI!A$69:A$100,CPI!O$69:O$100)</f>
        <v>1.4308136482939633</v>
      </c>
      <c r="I353" s="52">
        <v>2000</v>
      </c>
      <c r="J353" s="15">
        <f t="shared" si="100"/>
        <v>1.25E-3</v>
      </c>
      <c r="K353" s="15"/>
      <c r="L353" s="62"/>
      <c r="M353" s="56">
        <f t="shared" si="98"/>
        <v>47.578361288939256</v>
      </c>
      <c r="N353" s="14">
        <v>21</v>
      </c>
      <c r="O353" s="18">
        <f t="shared" si="95"/>
        <v>21</v>
      </c>
      <c r="P353" s="16">
        <v>0</v>
      </c>
      <c r="Q353" s="16">
        <v>1</v>
      </c>
      <c r="R353" s="16">
        <v>0</v>
      </c>
      <c r="S353" s="14"/>
      <c r="T353" s="56" t="str">
        <f t="shared" si="99"/>
        <v/>
      </c>
      <c r="U353" s="56" t="str">
        <f t="shared" si="96"/>
        <v/>
      </c>
      <c r="V353" s="56" t="str">
        <f t="shared" si="97"/>
        <v/>
      </c>
      <c r="W353" s="14"/>
      <c r="X353" s="14"/>
      <c r="Y353" s="14"/>
      <c r="Z353" s="14"/>
      <c r="AA353" s="18">
        <f t="shared" si="103"/>
        <v>21</v>
      </c>
      <c r="AB353" s="14"/>
      <c r="AC353" s="14"/>
      <c r="AD353" s="14"/>
      <c r="AE353" s="14"/>
      <c r="AF353" s="16">
        <v>0</v>
      </c>
      <c r="AG353" s="16">
        <v>1</v>
      </c>
      <c r="AH353" s="16">
        <v>1</v>
      </c>
      <c r="AI353" s="16">
        <v>1</v>
      </c>
      <c r="AJ353" s="5">
        <v>1</v>
      </c>
      <c r="AK353" s="5">
        <v>0</v>
      </c>
      <c r="AL353" s="5">
        <v>0</v>
      </c>
      <c r="AM353" s="20"/>
      <c r="AN353" s="20">
        <v>1</v>
      </c>
      <c r="AO353" s="16"/>
      <c r="AP353" s="16"/>
      <c r="AQ353" s="16"/>
      <c r="AR353" s="16">
        <v>0</v>
      </c>
      <c r="AS353" s="16">
        <v>0</v>
      </c>
      <c r="AT353" s="16"/>
      <c r="AU353" s="16"/>
      <c r="AV353" s="16"/>
      <c r="AW353" s="16"/>
      <c r="AX353" s="16">
        <v>0</v>
      </c>
      <c r="AY353" s="16">
        <v>0</v>
      </c>
      <c r="AZ353" s="16">
        <v>1</v>
      </c>
      <c r="BA353" s="16">
        <v>0</v>
      </c>
    </row>
    <row r="354" spans="1:53" x14ac:dyDescent="0.2">
      <c r="A354" s="14"/>
      <c r="B354" s="14" t="str">
        <f t="shared" si="101"/>
        <v>Ceronsky et al. 2005</v>
      </c>
      <c r="C354" s="61">
        <f t="shared" si="102"/>
        <v>40</v>
      </c>
      <c r="D354" s="58">
        <v>2005</v>
      </c>
      <c r="E354" s="17"/>
      <c r="F354" s="58">
        <v>0</v>
      </c>
      <c r="G354" s="16">
        <v>1995</v>
      </c>
      <c r="H354" s="15">
        <f>LOOKUP(G354,CPI!A$69:A$100,CPI!O$69:O$100)</f>
        <v>1.4308136482939633</v>
      </c>
      <c r="I354" s="52">
        <v>2000</v>
      </c>
      <c r="J354" s="15">
        <f t="shared" si="100"/>
        <v>1.25E-3</v>
      </c>
      <c r="K354" s="15"/>
      <c r="L354" s="62"/>
      <c r="M354" s="56">
        <f t="shared" si="98"/>
        <v>-1.6765708263721453</v>
      </c>
      <c r="N354" s="14">
        <v>-0.74</v>
      </c>
      <c r="O354" s="18">
        <f t="shared" ref="O354:O381" si="104">N354</f>
        <v>-0.74</v>
      </c>
      <c r="P354" s="16">
        <v>0</v>
      </c>
      <c r="Q354" s="16">
        <v>1</v>
      </c>
      <c r="R354" s="16">
        <v>0</v>
      </c>
      <c r="S354" s="14"/>
      <c r="T354" s="56" t="str">
        <f t="shared" si="99"/>
        <v/>
      </c>
      <c r="U354" s="56" t="str">
        <f t="shared" si="96"/>
        <v/>
      </c>
      <c r="V354" s="56" t="str">
        <f t="shared" si="97"/>
        <v/>
      </c>
      <c r="W354" s="14"/>
      <c r="X354" s="14"/>
      <c r="Y354" s="14"/>
      <c r="Z354" s="14"/>
      <c r="AA354" s="18">
        <f t="shared" si="103"/>
        <v>-0.74</v>
      </c>
      <c r="AB354" s="14"/>
      <c r="AC354" s="14"/>
      <c r="AD354" s="14"/>
      <c r="AE354" s="14"/>
      <c r="AF354" s="16">
        <v>0</v>
      </c>
      <c r="AG354" s="16">
        <v>1</v>
      </c>
      <c r="AH354" s="16">
        <v>1</v>
      </c>
      <c r="AI354" s="16">
        <v>1</v>
      </c>
      <c r="AJ354" s="5">
        <v>1</v>
      </c>
      <c r="AK354" s="5">
        <v>0</v>
      </c>
      <c r="AL354" s="5">
        <v>0</v>
      </c>
      <c r="AM354" s="20"/>
      <c r="AN354" s="20">
        <v>3</v>
      </c>
      <c r="AO354" s="16"/>
      <c r="AP354" s="16"/>
      <c r="AQ354" s="16"/>
      <c r="AR354" s="16">
        <v>0</v>
      </c>
      <c r="AS354" s="16">
        <v>0</v>
      </c>
      <c r="AT354" s="16"/>
      <c r="AU354" s="16"/>
      <c r="AV354" s="16"/>
      <c r="AW354" s="16"/>
      <c r="AX354" s="16">
        <v>0</v>
      </c>
      <c r="AY354" s="16">
        <v>0</v>
      </c>
      <c r="AZ354" s="16">
        <v>1</v>
      </c>
      <c r="BA354" s="16">
        <v>0</v>
      </c>
    </row>
    <row r="355" spans="1:53" x14ac:dyDescent="0.2">
      <c r="A355" s="14"/>
      <c r="B355" s="14" t="str">
        <f t="shared" si="101"/>
        <v>Ceronsky et al. 2005</v>
      </c>
      <c r="C355" s="61">
        <f t="shared" si="102"/>
        <v>40</v>
      </c>
      <c r="D355" s="58">
        <v>2005</v>
      </c>
      <c r="E355" s="17"/>
      <c r="F355" s="58">
        <v>0</v>
      </c>
      <c r="G355" s="16">
        <v>1995</v>
      </c>
      <c r="H355" s="15">
        <f>LOOKUP(G355,CPI!A$69:A$100,CPI!O$69:O$100)</f>
        <v>1.4308136482939633</v>
      </c>
      <c r="I355" s="52">
        <v>2000</v>
      </c>
      <c r="J355" s="15">
        <f t="shared" si="100"/>
        <v>1.25E-3</v>
      </c>
      <c r="K355" s="15"/>
      <c r="L355" s="62"/>
      <c r="M355" s="56">
        <f t="shared" si="98"/>
        <v>67.96908755562751</v>
      </c>
      <c r="N355" s="14">
        <v>30</v>
      </c>
      <c r="O355" s="18">
        <f t="shared" si="104"/>
        <v>30</v>
      </c>
      <c r="P355" s="16">
        <v>0</v>
      </c>
      <c r="Q355" s="16">
        <v>1</v>
      </c>
      <c r="R355" s="16">
        <v>0</v>
      </c>
      <c r="S355" s="14"/>
      <c r="T355" s="56" t="str">
        <f t="shared" si="99"/>
        <v/>
      </c>
      <c r="U355" s="56" t="str">
        <f t="shared" ref="U355:U381" si="105">+V355</f>
        <v/>
      </c>
      <c r="V355" s="56" t="str">
        <f t="shared" ref="V355:V381" si="106">+T355</f>
        <v/>
      </c>
      <c r="W355" s="14"/>
      <c r="X355" s="14"/>
      <c r="Y355" s="14"/>
      <c r="Z355" s="14"/>
      <c r="AA355" s="18">
        <f t="shared" si="103"/>
        <v>30</v>
      </c>
      <c r="AB355" s="14"/>
      <c r="AC355" s="14"/>
      <c r="AD355" s="14"/>
      <c r="AE355" s="14"/>
      <c r="AF355" s="16">
        <v>0</v>
      </c>
      <c r="AG355" s="16">
        <v>1</v>
      </c>
      <c r="AH355" s="16">
        <v>1</v>
      </c>
      <c r="AI355" s="16">
        <v>1</v>
      </c>
      <c r="AJ355" s="5">
        <v>1</v>
      </c>
      <c r="AK355" s="5">
        <v>0</v>
      </c>
      <c r="AL355" s="5">
        <v>0</v>
      </c>
      <c r="AM355" s="20"/>
      <c r="AN355" s="20" t="s">
        <v>25</v>
      </c>
      <c r="AO355" s="16"/>
      <c r="AP355" s="16"/>
      <c r="AQ355" s="16"/>
      <c r="AR355" s="16">
        <v>0</v>
      </c>
      <c r="AS355" s="16">
        <v>0</v>
      </c>
      <c r="AT355" s="16"/>
      <c r="AU355" s="16"/>
      <c r="AV355" s="16"/>
      <c r="AW355" s="16"/>
      <c r="AX355" s="16">
        <v>0</v>
      </c>
      <c r="AY355" s="16">
        <v>0</v>
      </c>
      <c r="AZ355" s="16">
        <v>1</v>
      </c>
      <c r="BA355" s="16">
        <v>0</v>
      </c>
    </row>
    <row r="356" spans="1:53" x14ac:dyDescent="0.2">
      <c r="A356" s="14"/>
      <c r="B356" s="14" t="str">
        <f t="shared" si="101"/>
        <v>Ceronsky et al. 2005</v>
      </c>
      <c r="C356" s="61">
        <f t="shared" si="102"/>
        <v>40</v>
      </c>
      <c r="D356" s="58">
        <v>2005</v>
      </c>
      <c r="E356" s="17"/>
      <c r="F356" s="58">
        <v>0</v>
      </c>
      <c r="G356" s="16">
        <v>1995</v>
      </c>
      <c r="H356" s="15">
        <f>LOOKUP(G356,CPI!A$69:A$100,CPI!O$69:O$100)</f>
        <v>1.4308136482939633</v>
      </c>
      <c r="I356" s="52">
        <v>2000</v>
      </c>
      <c r="J356" s="15">
        <f t="shared" si="100"/>
        <v>1.25E-3</v>
      </c>
      <c r="K356" s="15"/>
      <c r="L356" s="62"/>
      <c r="M356" s="56">
        <f t="shared" ref="M356:M387" si="107">AA356*H356*(1+$L$2)^(2015-I356)</f>
        <v>747.65996311190258</v>
      </c>
      <c r="N356" s="14">
        <v>330</v>
      </c>
      <c r="O356" s="18">
        <f t="shared" si="104"/>
        <v>330</v>
      </c>
      <c r="P356" s="16">
        <v>0</v>
      </c>
      <c r="Q356" s="16">
        <v>1</v>
      </c>
      <c r="R356" s="16">
        <v>0</v>
      </c>
      <c r="S356" s="14"/>
      <c r="T356" s="56" t="str">
        <f t="shared" si="99"/>
        <v/>
      </c>
      <c r="U356" s="56" t="str">
        <f t="shared" si="105"/>
        <v/>
      </c>
      <c r="V356" s="56" t="str">
        <f t="shared" si="106"/>
        <v/>
      </c>
      <c r="W356" s="14"/>
      <c r="X356" s="14"/>
      <c r="Y356" s="14"/>
      <c r="Z356" s="14"/>
      <c r="AA356" s="18">
        <f t="shared" si="103"/>
        <v>330</v>
      </c>
      <c r="AB356" s="14"/>
      <c r="AC356" s="14"/>
      <c r="AD356" s="14"/>
      <c r="AE356" s="14"/>
      <c r="AF356" s="16">
        <v>0</v>
      </c>
      <c r="AG356" s="16">
        <v>1</v>
      </c>
      <c r="AH356" s="16">
        <v>1</v>
      </c>
      <c r="AI356" s="16">
        <v>1</v>
      </c>
      <c r="AJ356" s="5">
        <v>1</v>
      </c>
      <c r="AK356" s="5">
        <v>0</v>
      </c>
      <c r="AL356" s="5">
        <v>0</v>
      </c>
      <c r="AM356" s="20"/>
      <c r="AN356" s="20">
        <v>0</v>
      </c>
      <c r="AO356" s="16"/>
      <c r="AP356" s="16"/>
      <c r="AQ356" s="16"/>
      <c r="AR356" s="16">
        <v>0</v>
      </c>
      <c r="AS356" s="16">
        <v>0</v>
      </c>
      <c r="AT356" s="16"/>
      <c r="AU356" s="16"/>
      <c r="AV356" s="16"/>
      <c r="AW356" s="16"/>
      <c r="AX356" s="16">
        <v>0</v>
      </c>
      <c r="AY356" s="16">
        <v>0</v>
      </c>
      <c r="AZ356" s="16">
        <v>1</v>
      </c>
      <c r="BA356" s="16">
        <v>0</v>
      </c>
    </row>
    <row r="357" spans="1:53" x14ac:dyDescent="0.2">
      <c r="A357" s="14"/>
      <c r="B357" s="14" t="str">
        <f t="shared" si="101"/>
        <v>Ceronsky et al. 2005</v>
      </c>
      <c r="C357" s="61">
        <f t="shared" si="102"/>
        <v>40</v>
      </c>
      <c r="D357" s="58">
        <v>2005</v>
      </c>
      <c r="E357" s="17"/>
      <c r="F357" s="58">
        <v>0</v>
      </c>
      <c r="G357" s="16">
        <v>1995</v>
      </c>
      <c r="H357" s="15">
        <f>LOOKUP(G357,CPI!A$69:A$100,CPI!O$69:O$100)</f>
        <v>1.4308136482939633</v>
      </c>
      <c r="I357" s="52">
        <v>2000</v>
      </c>
      <c r="J357" s="15">
        <f t="shared" si="100"/>
        <v>1.25E-3</v>
      </c>
      <c r="K357" s="15"/>
      <c r="L357" s="62"/>
      <c r="M357" s="56">
        <f t="shared" si="107"/>
        <v>201.64162641502827</v>
      </c>
      <c r="N357" s="14">
        <v>89</v>
      </c>
      <c r="O357" s="18">
        <f t="shared" si="104"/>
        <v>89</v>
      </c>
      <c r="P357" s="16">
        <v>0</v>
      </c>
      <c r="Q357" s="16">
        <v>1</v>
      </c>
      <c r="R357" s="16">
        <v>0</v>
      </c>
      <c r="S357" s="14"/>
      <c r="T357" s="56" t="str">
        <f t="shared" si="99"/>
        <v/>
      </c>
      <c r="U357" s="56" t="str">
        <f t="shared" si="105"/>
        <v/>
      </c>
      <c r="V357" s="56" t="str">
        <f t="shared" si="106"/>
        <v/>
      </c>
      <c r="W357" s="14"/>
      <c r="X357" s="14"/>
      <c r="Y357" s="14"/>
      <c r="Z357" s="14"/>
      <c r="AA357" s="18">
        <f t="shared" si="103"/>
        <v>89</v>
      </c>
      <c r="AB357" s="14"/>
      <c r="AC357" s="14"/>
      <c r="AD357" s="14"/>
      <c r="AE357" s="14"/>
      <c r="AF357" s="16">
        <v>0</v>
      </c>
      <c r="AG357" s="16">
        <v>1</v>
      </c>
      <c r="AH357" s="16">
        <v>1</v>
      </c>
      <c r="AI357" s="16">
        <v>1</v>
      </c>
      <c r="AJ357" s="5">
        <v>1</v>
      </c>
      <c r="AK357" s="5">
        <v>0</v>
      </c>
      <c r="AL357" s="5">
        <v>0</v>
      </c>
      <c r="AM357" s="20"/>
      <c r="AN357" s="20">
        <v>1</v>
      </c>
      <c r="AO357" s="16"/>
      <c r="AP357" s="16"/>
      <c r="AQ357" s="16"/>
      <c r="AR357" s="16">
        <v>0</v>
      </c>
      <c r="AS357" s="16">
        <v>0</v>
      </c>
      <c r="AT357" s="16"/>
      <c r="AU357" s="16"/>
      <c r="AV357" s="16"/>
      <c r="AW357" s="16"/>
      <c r="AX357" s="16">
        <v>0</v>
      </c>
      <c r="AY357" s="16">
        <v>0</v>
      </c>
      <c r="AZ357" s="16">
        <v>1</v>
      </c>
      <c r="BA357" s="16">
        <v>0</v>
      </c>
    </row>
    <row r="358" spans="1:53" x14ac:dyDescent="0.2">
      <c r="A358" s="14"/>
      <c r="B358" s="14" t="str">
        <f t="shared" si="101"/>
        <v>Ceronsky et al. 2005</v>
      </c>
      <c r="C358" s="61">
        <f t="shared" si="102"/>
        <v>40</v>
      </c>
      <c r="D358" s="58">
        <v>2005</v>
      </c>
      <c r="E358" s="17"/>
      <c r="F358" s="58">
        <v>0</v>
      </c>
      <c r="G358" s="16">
        <v>1995</v>
      </c>
      <c r="H358" s="15">
        <f>LOOKUP(G358,CPI!A$69:A$100,CPI!O$69:O$100)</f>
        <v>1.4308136482939633</v>
      </c>
      <c r="I358" s="52">
        <v>2000</v>
      </c>
      <c r="J358" s="15">
        <f t="shared" si="100"/>
        <v>1.25E-3</v>
      </c>
      <c r="K358" s="15"/>
      <c r="L358" s="62"/>
      <c r="M358" s="56">
        <f t="shared" si="107"/>
        <v>38.515816281522255</v>
      </c>
      <c r="N358" s="14">
        <v>17</v>
      </c>
      <c r="O358" s="18">
        <f t="shared" si="104"/>
        <v>17</v>
      </c>
      <c r="P358" s="16">
        <v>0</v>
      </c>
      <c r="Q358" s="16">
        <v>1</v>
      </c>
      <c r="R358" s="16">
        <v>0</v>
      </c>
      <c r="S358" s="14"/>
      <c r="T358" s="56" t="str">
        <f t="shared" si="99"/>
        <v/>
      </c>
      <c r="U358" s="56" t="str">
        <f t="shared" si="105"/>
        <v/>
      </c>
      <c r="V358" s="56" t="str">
        <f t="shared" si="106"/>
        <v/>
      </c>
      <c r="W358" s="14"/>
      <c r="X358" s="14"/>
      <c r="Y358" s="14"/>
      <c r="Z358" s="14"/>
      <c r="AA358" s="18">
        <f t="shared" si="103"/>
        <v>17</v>
      </c>
      <c r="AB358" s="14"/>
      <c r="AC358" s="14"/>
      <c r="AD358" s="14"/>
      <c r="AE358" s="14"/>
      <c r="AF358" s="16">
        <v>0</v>
      </c>
      <c r="AG358" s="16">
        <v>1</v>
      </c>
      <c r="AH358" s="16">
        <v>1</v>
      </c>
      <c r="AI358" s="16">
        <v>1</v>
      </c>
      <c r="AJ358" s="5">
        <v>1</v>
      </c>
      <c r="AK358" s="5">
        <v>0</v>
      </c>
      <c r="AL358" s="5">
        <v>0</v>
      </c>
      <c r="AM358" s="20"/>
      <c r="AN358" s="20">
        <v>3</v>
      </c>
      <c r="AO358" s="16"/>
      <c r="AP358" s="16"/>
      <c r="AQ358" s="16"/>
      <c r="AR358" s="16">
        <v>0</v>
      </c>
      <c r="AS358" s="16">
        <v>0</v>
      </c>
      <c r="AT358" s="16"/>
      <c r="AU358" s="16"/>
      <c r="AV358" s="16"/>
      <c r="AW358" s="16"/>
      <c r="AX358" s="16">
        <v>0</v>
      </c>
      <c r="AY358" s="16">
        <v>0</v>
      </c>
      <c r="AZ358" s="16">
        <v>1</v>
      </c>
      <c r="BA358" s="16">
        <v>0</v>
      </c>
    </row>
    <row r="359" spans="1:53" x14ac:dyDescent="0.2">
      <c r="A359" s="14"/>
      <c r="B359" s="14" t="str">
        <f t="shared" si="101"/>
        <v>Ceronsky et al. 2005</v>
      </c>
      <c r="C359" s="61">
        <f t="shared" si="102"/>
        <v>40</v>
      </c>
      <c r="D359" s="58">
        <v>2005</v>
      </c>
      <c r="E359" s="17"/>
      <c r="F359" s="58">
        <v>0</v>
      </c>
      <c r="G359" s="16">
        <v>1995</v>
      </c>
      <c r="H359" s="15">
        <f>LOOKUP(G359,CPI!A$69:A$100,CPI!O$69:O$100)</f>
        <v>1.4308136482939633</v>
      </c>
      <c r="I359" s="52">
        <v>2000</v>
      </c>
      <c r="J359" s="15">
        <f t="shared" si="100"/>
        <v>1.25E-3</v>
      </c>
      <c r="K359" s="15"/>
      <c r="L359" s="62"/>
      <c r="M359" s="56">
        <f t="shared" si="107"/>
        <v>226.56362518542505</v>
      </c>
      <c r="N359" s="14">
        <v>100</v>
      </c>
      <c r="O359" s="18">
        <f t="shared" si="104"/>
        <v>100</v>
      </c>
      <c r="P359" s="16">
        <v>0</v>
      </c>
      <c r="Q359" s="16">
        <v>1</v>
      </c>
      <c r="R359" s="16">
        <v>0</v>
      </c>
      <c r="S359" s="14"/>
      <c r="T359" s="56" t="str">
        <f t="shared" si="99"/>
        <v/>
      </c>
      <c r="U359" s="56" t="str">
        <f t="shared" si="105"/>
        <v/>
      </c>
      <c r="V359" s="56" t="str">
        <f t="shared" si="106"/>
        <v/>
      </c>
      <c r="W359" s="14"/>
      <c r="X359" s="14"/>
      <c r="Y359" s="14"/>
      <c r="Z359" s="14"/>
      <c r="AA359" s="18">
        <f t="shared" si="103"/>
        <v>100</v>
      </c>
      <c r="AB359" s="14"/>
      <c r="AC359" s="14"/>
      <c r="AD359" s="14"/>
      <c r="AE359" s="14"/>
      <c r="AF359" s="16">
        <v>0</v>
      </c>
      <c r="AG359" s="16">
        <v>1</v>
      </c>
      <c r="AH359" s="16">
        <v>1</v>
      </c>
      <c r="AI359" s="16">
        <v>1</v>
      </c>
      <c r="AJ359" s="5">
        <v>1</v>
      </c>
      <c r="AK359" s="5">
        <v>0</v>
      </c>
      <c r="AL359" s="5">
        <v>0</v>
      </c>
      <c r="AM359" s="20"/>
      <c r="AN359" s="20" t="s">
        <v>25</v>
      </c>
      <c r="AO359" s="16"/>
      <c r="AP359" s="16"/>
      <c r="AQ359" s="16"/>
      <c r="AR359" s="16">
        <v>0</v>
      </c>
      <c r="AS359" s="16">
        <v>0</v>
      </c>
      <c r="AT359" s="16"/>
      <c r="AU359" s="16"/>
      <c r="AV359" s="16"/>
      <c r="AW359" s="16"/>
      <c r="AX359" s="16">
        <v>0</v>
      </c>
      <c r="AY359" s="16">
        <v>0</v>
      </c>
      <c r="AZ359" s="16">
        <v>1</v>
      </c>
      <c r="BA359" s="16">
        <v>0</v>
      </c>
    </row>
    <row r="360" spans="1:53" x14ac:dyDescent="0.2">
      <c r="A360" s="14"/>
      <c r="B360" s="14" t="str">
        <f t="shared" si="101"/>
        <v>Ceronsky et al. 2005</v>
      </c>
      <c r="C360" s="61">
        <f t="shared" si="102"/>
        <v>40</v>
      </c>
      <c r="D360" s="58">
        <v>2005</v>
      </c>
      <c r="E360" s="17"/>
      <c r="F360" s="58">
        <v>0</v>
      </c>
      <c r="G360" s="16">
        <v>1995</v>
      </c>
      <c r="H360" s="15">
        <f>LOOKUP(G360,CPI!A$69:A$100,CPI!O$69:O$100)</f>
        <v>1.4308136482939633</v>
      </c>
      <c r="I360" s="52">
        <v>2000</v>
      </c>
      <c r="J360" s="15">
        <f t="shared" si="100"/>
        <v>1.25E-3</v>
      </c>
      <c r="K360" s="15"/>
      <c r="L360" s="62"/>
      <c r="M360" s="56">
        <f t="shared" si="107"/>
        <v>3398.4543777813751</v>
      </c>
      <c r="N360" s="14">
        <v>1500</v>
      </c>
      <c r="O360" s="18">
        <f t="shared" si="104"/>
        <v>1500</v>
      </c>
      <c r="P360" s="16">
        <v>0</v>
      </c>
      <c r="Q360" s="16">
        <v>1</v>
      </c>
      <c r="R360" s="16">
        <v>0</v>
      </c>
      <c r="S360" s="14"/>
      <c r="T360" s="56" t="str">
        <f t="shared" si="99"/>
        <v/>
      </c>
      <c r="U360" s="56" t="str">
        <f t="shared" si="105"/>
        <v/>
      </c>
      <c r="V360" s="56" t="str">
        <f t="shared" si="106"/>
        <v/>
      </c>
      <c r="W360" s="14"/>
      <c r="X360" s="14"/>
      <c r="Y360" s="14"/>
      <c r="Z360" s="14"/>
      <c r="AA360" s="18">
        <f t="shared" si="103"/>
        <v>1500</v>
      </c>
      <c r="AB360" s="14"/>
      <c r="AC360" s="14"/>
      <c r="AD360" s="14"/>
      <c r="AE360" s="14"/>
      <c r="AF360" s="16">
        <v>0</v>
      </c>
      <c r="AG360" s="16">
        <v>1</v>
      </c>
      <c r="AH360" s="16">
        <v>1</v>
      </c>
      <c r="AI360" s="16">
        <v>1</v>
      </c>
      <c r="AJ360" s="5">
        <v>1</v>
      </c>
      <c r="AK360" s="5">
        <v>0</v>
      </c>
      <c r="AL360" s="5">
        <v>0</v>
      </c>
      <c r="AM360" s="20"/>
      <c r="AN360" s="20">
        <v>0</v>
      </c>
      <c r="AO360" s="16"/>
      <c r="AP360" s="16"/>
      <c r="AQ360" s="16"/>
      <c r="AR360" s="16">
        <v>0</v>
      </c>
      <c r="AS360" s="16">
        <v>0</v>
      </c>
      <c r="AT360" s="16"/>
      <c r="AU360" s="16"/>
      <c r="AV360" s="16"/>
      <c r="AW360" s="16"/>
      <c r="AX360" s="16">
        <v>0</v>
      </c>
      <c r="AY360" s="16">
        <v>0</v>
      </c>
      <c r="AZ360" s="16">
        <v>1</v>
      </c>
      <c r="BA360" s="16">
        <v>0</v>
      </c>
    </row>
    <row r="361" spans="1:53" x14ac:dyDescent="0.2">
      <c r="A361" s="14"/>
      <c r="B361" s="14" t="str">
        <f t="shared" si="101"/>
        <v>Ceronsky et al. 2005</v>
      </c>
      <c r="C361" s="61">
        <f t="shared" si="102"/>
        <v>40</v>
      </c>
      <c r="D361" s="58">
        <v>2005</v>
      </c>
      <c r="E361" s="17"/>
      <c r="F361" s="58">
        <v>0</v>
      </c>
      <c r="G361" s="16">
        <v>1995</v>
      </c>
      <c r="H361" s="15">
        <f>LOOKUP(G361,CPI!A$69:A$100,CPI!O$69:O$100)</f>
        <v>1.4308136482939633</v>
      </c>
      <c r="I361" s="52">
        <v>2000</v>
      </c>
      <c r="J361" s="15">
        <f t="shared" si="100"/>
        <v>1.25E-3</v>
      </c>
      <c r="K361" s="15"/>
      <c r="L361" s="62"/>
      <c r="M361" s="56">
        <f t="shared" si="107"/>
        <v>815.62905066753012</v>
      </c>
      <c r="N361" s="14">
        <v>360</v>
      </c>
      <c r="O361" s="18">
        <f t="shared" si="104"/>
        <v>360</v>
      </c>
      <c r="P361" s="16">
        <v>0</v>
      </c>
      <c r="Q361" s="16">
        <v>1</v>
      </c>
      <c r="R361" s="16">
        <v>0</v>
      </c>
      <c r="S361" s="14"/>
      <c r="T361" s="56" t="str">
        <f t="shared" si="99"/>
        <v/>
      </c>
      <c r="U361" s="56" t="str">
        <f t="shared" si="105"/>
        <v/>
      </c>
      <c r="V361" s="56" t="str">
        <f t="shared" si="106"/>
        <v/>
      </c>
      <c r="W361" s="14"/>
      <c r="X361" s="14"/>
      <c r="Y361" s="14"/>
      <c r="Z361" s="14"/>
      <c r="AA361" s="18">
        <f t="shared" si="103"/>
        <v>360</v>
      </c>
      <c r="AB361" s="14"/>
      <c r="AC361" s="14"/>
      <c r="AD361" s="14"/>
      <c r="AE361" s="14"/>
      <c r="AF361" s="16">
        <v>0</v>
      </c>
      <c r="AG361" s="16">
        <v>1</v>
      </c>
      <c r="AH361" s="16">
        <v>1</v>
      </c>
      <c r="AI361" s="16">
        <v>1</v>
      </c>
      <c r="AJ361" s="5">
        <v>1</v>
      </c>
      <c r="AK361" s="5">
        <v>0</v>
      </c>
      <c r="AL361" s="5">
        <v>0</v>
      </c>
      <c r="AM361" s="20"/>
      <c r="AN361" s="20">
        <v>1</v>
      </c>
      <c r="AO361" s="16"/>
      <c r="AP361" s="16"/>
      <c r="AQ361" s="16"/>
      <c r="AR361" s="16">
        <v>0</v>
      </c>
      <c r="AS361" s="16">
        <v>0</v>
      </c>
      <c r="AT361" s="16"/>
      <c r="AU361" s="16"/>
      <c r="AV361" s="16"/>
      <c r="AW361" s="16"/>
      <c r="AX361" s="16">
        <v>0</v>
      </c>
      <c r="AY361" s="16">
        <v>0</v>
      </c>
      <c r="AZ361" s="16">
        <v>1</v>
      </c>
      <c r="BA361" s="16">
        <v>0</v>
      </c>
    </row>
    <row r="362" spans="1:53" x14ac:dyDescent="0.2">
      <c r="A362" s="14"/>
      <c r="B362" s="14" t="str">
        <f t="shared" si="101"/>
        <v>Ceronsky et al. 2005</v>
      </c>
      <c r="C362" s="61">
        <f t="shared" si="102"/>
        <v>40</v>
      </c>
      <c r="D362" s="58">
        <v>2005</v>
      </c>
      <c r="E362" s="17"/>
      <c r="F362" s="58">
        <v>0</v>
      </c>
      <c r="G362" s="16">
        <v>1995</v>
      </c>
      <c r="H362" s="15">
        <f>LOOKUP(G362,CPI!A$69:A$100,CPI!O$69:O$100)</f>
        <v>1.4308136482939633</v>
      </c>
      <c r="I362" s="52">
        <v>2000</v>
      </c>
      <c r="J362" s="15">
        <f t="shared" si="100"/>
        <v>1.25E-3</v>
      </c>
      <c r="K362" s="15"/>
      <c r="L362" s="62"/>
      <c r="M362" s="56">
        <f t="shared" si="107"/>
        <v>169.92271888906876</v>
      </c>
      <c r="N362" s="14">
        <v>75</v>
      </c>
      <c r="O362" s="18">
        <f t="shared" si="104"/>
        <v>75</v>
      </c>
      <c r="P362" s="16">
        <v>0</v>
      </c>
      <c r="Q362" s="16">
        <v>1</v>
      </c>
      <c r="R362" s="16">
        <v>0</v>
      </c>
      <c r="S362" s="14"/>
      <c r="T362" s="56" t="str">
        <f t="shared" si="99"/>
        <v/>
      </c>
      <c r="U362" s="56" t="str">
        <f t="shared" si="105"/>
        <v/>
      </c>
      <c r="V362" s="56" t="str">
        <f t="shared" si="106"/>
        <v/>
      </c>
      <c r="W362" s="14"/>
      <c r="X362" s="14"/>
      <c r="Y362" s="14"/>
      <c r="Z362" s="14"/>
      <c r="AA362" s="18">
        <f t="shared" si="103"/>
        <v>75</v>
      </c>
      <c r="AB362" s="14"/>
      <c r="AC362" s="14"/>
      <c r="AD362" s="14"/>
      <c r="AE362" s="14"/>
      <c r="AF362" s="16">
        <v>0</v>
      </c>
      <c r="AG362" s="16">
        <v>1</v>
      </c>
      <c r="AH362" s="16">
        <v>1</v>
      </c>
      <c r="AI362" s="16">
        <v>1</v>
      </c>
      <c r="AJ362" s="5">
        <v>1</v>
      </c>
      <c r="AK362" s="5">
        <v>0</v>
      </c>
      <c r="AL362" s="5">
        <v>0</v>
      </c>
      <c r="AM362" s="20"/>
      <c r="AN362" s="20">
        <v>3</v>
      </c>
      <c r="AO362" s="16"/>
      <c r="AP362" s="16"/>
      <c r="AQ362" s="16"/>
      <c r="AR362" s="16">
        <v>0</v>
      </c>
      <c r="AS362" s="16">
        <v>0</v>
      </c>
      <c r="AT362" s="16"/>
      <c r="AU362" s="16"/>
      <c r="AV362" s="16"/>
      <c r="AW362" s="16"/>
      <c r="AX362" s="16">
        <v>0</v>
      </c>
      <c r="AY362" s="16">
        <v>0</v>
      </c>
      <c r="AZ362" s="16">
        <v>1</v>
      </c>
      <c r="BA362" s="16">
        <v>0</v>
      </c>
    </row>
    <row r="363" spans="1:53" x14ac:dyDescent="0.2">
      <c r="A363" s="14"/>
      <c r="B363" s="14" t="str">
        <f t="shared" si="101"/>
        <v>Ceronsky et al. 2005</v>
      </c>
      <c r="C363" s="61">
        <f t="shared" si="102"/>
        <v>40</v>
      </c>
      <c r="D363" s="58">
        <v>2005</v>
      </c>
      <c r="E363" s="17"/>
      <c r="F363" s="58">
        <v>0</v>
      </c>
      <c r="G363" s="16">
        <v>1995</v>
      </c>
      <c r="H363" s="15">
        <f>LOOKUP(G363,CPI!A$69:A$100,CPI!O$69:O$100)</f>
        <v>1.4308136482939633</v>
      </c>
      <c r="I363" s="52">
        <v>2000</v>
      </c>
      <c r="J363" s="15">
        <f t="shared" si="100"/>
        <v>1.25E-3</v>
      </c>
      <c r="K363" s="15"/>
      <c r="L363" s="62"/>
      <c r="M363" s="56">
        <f t="shared" si="107"/>
        <v>611.72178800064762</v>
      </c>
      <c r="N363" s="14">
        <v>270</v>
      </c>
      <c r="O363" s="18">
        <f t="shared" si="104"/>
        <v>270</v>
      </c>
      <c r="P363" s="16">
        <v>0</v>
      </c>
      <c r="Q363" s="16">
        <v>1</v>
      </c>
      <c r="R363" s="16">
        <v>0</v>
      </c>
      <c r="S363" s="14"/>
      <c r="T363" s="56" t="str">
        <f t="shared" si="99"/>
        <v/>
      </c>
      <c r="U363" s="56" t="str">
        <f t="shared" si="105"/>
        <v/>
      </c>
      <c r="V363" s="56" t="str">
        <f t="shared" si="106"/>
        <v/>
      </c>
      <c r="W363" s="14"/>
      <c r="X363" s="14"/>
      <c r="Y363" s="14"/>
      <c r="Z363" s="14"/>
      <c r="AA363" s="18">
        <f t="shared" si="103"/>
        <v>270</v>
      </c>
      <c r="AB363" s="14"/>
      <c r="AC363" s="14"/>
      <c r="AD363" s="14"/>
      <c r="AE363" s="14"/>
      <c r="AF363" s="16">
        <v>0</v>
      </c>
      <c r="AG363" s="16">
        <v>1</v>
      </c>
      <c r="AH363" s="16">
        <v>1</v>
      </c>
      <c r="AI363" s="16">
        <v>1</v>
      </c>
      <c r="AJ363" s="5">
        <v>1</v>
      </c>
      <c r="AK363" s="5">
        <v>0</v>
      </c>
      <c r="AL363" s="5">
        <v>0</v>
      </c>
      <c r="AM363" s="20"/>
      <c r="AN363" s="20" t="s">
        <v>25</v>
      </c>
      <c r="AO363" s="16"/>
      <c r="AP363" s="16"/>
      <c r="AQ363" s="16"/>
      <c r="AR363" s="16">
        <v>0</v>
      </c>
      <c r="AS363" s="16">
        <v>0</v>
      </c>
      <c r="AT363" s="16"/>
      <c r="AU363" s="16"/>
      <c r="AV363" s="16"/>
      <c r="AW363" s="16"/>
      <c r="AX363" s="16">
        <v>0</v>
      </c>
      <c r="AY363" s="16">
        <v>0</v>
      </c>
      <c r="AZ363" s="16">
        <v>1</v>
      </c>
      <c r="BA363" s="16">
        <v>0</v>
      </c>
    </row>
    <row r="364" spans="1:53" x14ac:dyDescent="0.2">
      <c r="A364" s="14"/>
      <c r="B364" s="14" t="str">
        <f t="shared" si="101"/>
        <v>Ceronsky et al. 2005</v>
      </c>
      <c r="C364" s="61">
        <f t="shared" si="102"/>
        <v>40</v>
      </c>
      <c r="D364" s="58">
        <v>2005</v>
      </c>
      <c r="E364" s="17"/>
      <c r="F364" s="58">
        <v>0</v>
      </c>
      <c r="G364" s="16">
        <v>1995</v>
      </c>
      <c r="H364" s="15">
        <f>LOOKUP(G364,CPI!A$69:A$100,CPI!O$69:O$100)</f>
        <v>1.4308136482939633</v>
      </c>
      <c r="I364" s="52">
        <v>2000</v>
      </c>
      <c r="J364" s="15">
        <f t="shared" si="100"/>
        <v>1.25E-3</v>
      </c>
      <c r="K364" s="15"/>
      <c r="L364" s="62"/>
      <c r="M364" s="56">
        <f t="shared" si="107"/>
        <v>5437.5270044502004</v>
      </c>
      <c r="N364" s="14">
        <v>2400</v>
      </c>
      <c r="O364" s="18">
        <f t="shared" si="104"/>
        <v>2400</v>
      </c>
      <c r="P364" s="16">
        <v>0</v>
      </c>
      <c r="Q364" s="16">
        <v>1</v>
      </c>
      <c r="R364" s="16">
        <v>0</v>
      </c>
      <c r="S364" s="14"/>
      <c r="T364" s="56" t="str">
        <f t="shared" si="99"/>
        <v/>
      </c>
      <c r="U364" s="56" t="str">
        <f t="shared" si="105"/>
        <v/>
      </c>
      <c r="V364" s="56" t="str">
        <f t="shared" si="106"/>
        <v/>
      </c>
      <c r="W364" s="14"/>
      <c r="X364" s="14"/>
      <c r="Y364" s="14"/>
      <c r="Z364" s="14"/>
      <c r="AA364" s="18">
        <f t="shared" si="103"/>
        <v>2400</v>
      </c>
      <c r="AB364" s="14"/>
      <c r="AC364" s="14"/>
      <c r="AD364" s="14"/>
      <c r="AE364" s="14"/>
      <c r="AF364" s="16">
        <v>0</v>
      </c>
      <c r="AG364" s="16">
        <v>1</v>
      </c>
      <c r="AH364" s="16">
        <v>1</v>
      </c>
      <c r="AI364" s="16">
        <v>1</v>
      </c>
      <c r="AJ364" s="5">
        <v>1</v>
      </c>
      <c r="AK364" s="5">
        <v>0</v>
      </c>
      <c r="AL364" s="5">
        <v>0</v>
      </c>
      <c r="AM364" s="20"/>
      <c r="AN364" s="20">
        <v>0</v>
      </c>
      <c r="AO364" s="16"/>
      <c r="AP364" s="16"/>
      <c r="AQ364" s="16"/>
      <c r="AR364" s="16">
        <v>0</v>
      </c>
      <c r="AS364" s="16">
        <v>0</v>
      </c>
      <c r="AT364" s="16"/>
      <c r="AU364" s="16"/>
      <c r="AV364" s="16"/>
      <c r="AW364" s="16"/>
      <c r="AX364" s="16">
        <v>0</v>
      </c>
      <c r="AY364" s="16">
        <v>0</v>
      </c>
      <c r="AZ364" s="16">
        <v>1</v>
      </c>
      <c r="BA364" s="16">
        <v>0</v>
      </c>
    </row>
    <row r="365" spans="1:53" x14ac:dyDescent="0.2">
      <c r="A365" s="14"/>
      <c r="B365" s="14" t="str">
        <f t="shared" si="101"/>
        <v>Ceronsky et al. 2005</v>
      </c>
      <c r="C365" s="61">
        <f t="shared" si="102"/>
        <v>40</v>
      </c>
      <c r="D365" s="58">
        <v>2005</v>
      </c>
      <c r="E365" s="17"/>
      <c r="F365" s="58">
        <v>0</v>
      </c>
      <c r="G365" s="16">
        <v>1995</v>
      </c>
      <c r="H365" s="15">
        <f>LOOKUP(G365,CPI!A$69:A$100,CPI!O$69:O$100)</f>
        <v>1.4308136482939633</v>
      </c>
      <c r="I365" s="52">
        <v>2000</v>
      </c>
      <c r="J365" s="15">
        <f t="shared" si="100"/>
        <v>1.25E-3</v>
      </c>
      <c r="K365" s="15"/>
      <c r="L365" s="62"/>
      <c r="M365" s="56">
        <f t="shared" si="107"/>
        <v>1314.0690260754652</v>
      </c>
      <c r="N365" s="14">
        <v>580</v>
      </c>
      <c r="O365" s="18">
        <f t="shared" si="104"/>
        <v>580</v>
      </c>
      <c r="P365" s="16">
        <v>0</v>
      </c>
      <c r="Q365" s="16">
        <v>1</v>
      </c>
      <c r="R365" s="16">
        <v>0</v>
      </c>
      <c r="S365" s="14"/>
      <c r="T365" s="56" t="str">
        <f t="shared" si="99"/>
        <v/>
      </c>
      <c r="U365" s="56" t="str">
        <f t="shared" si="105"/>
        <v/>
      </c>
      <c r="V365" s="56" t="str">
        <f t="shared" si="106"/>
        <v/>
      </c>
      <c r="W365" s="14"/>
      <c r="X365" s="14"/>
      <c r="Y365" s="14"/>
      <c r="Z365" s="14"/>
      <c r="AA365" s="18">
        <f t="shared" si="103"/>
        <v>580</v>
      </c>
      <c r="AB365" s="14"/>
      <c r="AC365" s="14"/>
      <c r="AD365" s="14"/>
      <c r="AE365" s="14"/>
      <c r="AF365" s="16">
        <v>0</v>
      </c>
      <c r="AG365" s="16">
        <v>1</v>
      </c>
      <c r="AH365" s="16">
        <v>1</v>
      </c>
      <c r="AI365" s="16">
        <v>1</v>
      </c>
      <c r="AJ365" s="5">
        <v>1</v>
      </c>
      <c r="AK365" s="5">
        <v>0</v>
      </c>
      <c r="AL365" s="5">
        <v>0</v>
      </c>
      <c r="AM365" s="20"/>
      <c r="AN365" s="20">
        <v>1</v>
      </c>
      <c r="AO365" s="16"/>
      <c r="AP365" s="16"/>
      <c r="AQ365" s="16"/>
      <c r="AR365" s="16">
        <v>0</v>
      </c>
      <c r="AS365" s="16">
        <v>0</v>
      </c>
      <c r="AT365" s="16"/>
      <c r="AU365" s="16"/>
      <c r="AV365" s="16"/>
      <c r="AW365" s="16"/>
      <c r="AX365" s="16">
        <v>0</v>
      </c>
      <c r="AY365" s="16">
        <v>0</v>
      </c>
      <c r="AZ365" s="16">
        <v>1</v>
      </c>
      <c r="BA365" s="16">
        <v>0</v>
      </c>
    </row>
    <row r="366" spans="1:53" x14ac:dyDescent="0.2">
      <c r="A366" s="14"/>
      <c r="B366" s="14" t="str">
        <f t="shared" si="101"/>
        <v>Ceronsky et al. 2005</v>
      </c>
      <c r="C366" s="61">
        <f t="shared" si="102"/>
        <v>40</v>
      </c>
      <c r="D366" s="58">
        <v>2005</v>
      </c>
      <c r="E366" s="17"/>
      <c r="F366" s="58">
        <v>0</v>
      </c>
      <c r="G366" s="16">
        <v>1995</v>
      </c>
      <c r="H366" s="15">
        <f>LOOKUP(G366,CPI!A$69:A$100,CPI!O$69:O$100)</f>
        <v>1.4308136482939633</v>
      </c>
      <c r="I366" s="52">
        <v>2000</v>
      </c>
      <c r="J366" s="15">
        <f t="shared" si="100"/>
        <v>1.25E-3</v>
      </c>
      <c r="K366" s="15"/>
      <c r="L366" s="62"/>
      <c r="M366" s="56">
        <f t="shared" si="107"/>
        <v>271.87635022251004</v>
      </c>
      <c r="N366" s="14">
        <v>120</v>
      </c>
      <c r="O366" s="18">
        <f t="shared" si="104"/>
        <v>120</v>
      </c>
      <c r="P366" s="16">
        <v>0</v>
      </c>
      <c r="Q366" s="16">
        <v>1</v>
      </c>
      <c r="R366" s="16">
        <v>0</v>
      </c>
      <c r="S366" s="14"/>
      <c r="T366" s="56" t="str">
        <f t="shared" si="99"/>
        <v/>
      </c>
      <c r="U366" s="56" t="str">
        <f t="shared" si="105"/>
        <v/>
      </c>
      <c r="V366" s="56" t="str">
        <f t="shared" si="106"/>
        <v/>
      </c>
      <c r="W366" s="14"/>
      <c r="X366" s="14"/>
      <c r="Y366" s="14"/>
      <c r="Z366" s="14"/>
      <c r="AA366" s="18">
        <f t="shared" si="103"/>
        <v>120</v>
      </c>
      <c r="AB366" s="14"/>
      <c r="AC366" s="14"/>
      <c r="AD366" s="14"/>
      <c r="AE366" s="14"/>
      <c r="AF366" s="16">
        <v>0</v>
      </c>
      <c r="AG366" s="16">
        <v>1</v>
      </c>
      <c r="AH366" s="16">
        <v>1</v>
      </c>
      <c r="AI366" s="16">
        <v>1</v>
      </c>
      <c r="AJ366" s="5">
        <v>1</v>
      </c>
      <c r="AK366" s="5">
        <v>0</v>
      </c>
      <c r="AL366" s="5">
        <v>0</v>
      </c>
      <c r="AM366" s="20"/>
      <c r="AN366" s="20">
        <v>3</v>
      </c>
      <c r="AO366" s="16"/>
      <c r="AP366" s="16"/>
      <c r="AQ366" s="16"/>
      <c r="AR366" s="16">
        <v>0</v>
      </c>
      <c r="AS366" s="16">
        <v>0</v>
      </c>
      <c r="AT366" s="16"/>
      <c r="AU366" s="16"/>
      <c r="AV366" s="16"/>
      <c r="AW366" s="16"/>
      <c r="AX366" s="16">
        <v>0</v>
      </c>
      <c r="AY366" s="16">
        <v>0</v>
      </c>
      <c r="AZ366" s="16">
        <v>1</v>
      </c>
      <c r="BA366" s="16">
        <v>0</v>
      </c>
    </row>
    <row r="367" spans="1:53" x14ac:dyDescent="0.2">
      <c r="A367" s="14"/>
      <c r="B367" s="14" t="str">
        <f t="shared" si="101"/>
        <v>Ceronsky et al. 2005</v>
      </c>
      <c r="C367" s="61">
        <f t="shared" si="102"/>
        <v>40</v>
      </c>
      <c r="D367" s="58">
        <v>2005</v>
      </c>
      <c r="E367" s="17"/>
      <c r="F367" s="58">
        <v>0</v>
      </c>
      <c r="G367" s="16">
        <v>1995</v>
      </c>
      <c r="H367" s="15">
        <f>LOOKUP(G367,CPI!A$69:A$100,CPI!O$69:O$100)</f>
        <v>1.4308136482939633</v>
      </c>
      <c r="I367" s="52">
        <v>2000</v>
      </c>
      <c r="J367" s="15">
        <f t="shared" si="100"/>
        <v>1.25E-3</v>
      </c>
      <c r="K367" s="15"/>
      <c r="L367" s="62"/>
      <c r="M367" s="56">
        <f t="shared" si="107"/>
        <v>815.62905066753012</v>
      </c>
      <c r="N367" s="14">
        <v>360</v>
      </c>
      <c r="O367" s="18">
        <f t="shared" si="104"/>
        <v>360</v>
      </c>
      <c r="P367" s="16">
        <v>0</v>
      </c>
      <c r="Q367" s="16">
        <v>1</v>
      </c>
      <c r="R367" s="16">
        <v>0</v>
      </c>
      <c r="S367" s="14"/>
      <c r="T367" s="56" t="str">
        <f t="shared" si="99"/>
        <v/>
      </c>
      <c r="U367" s="56" t="str">
        <f t="shared" si="105"/>
        <v/>
      </c>
      <c r="V367" s="56" t="str">
        <f t="shared" si="106"/>
        <v/>
      </c>
      <c r="W367" s="14"/>
      <c r="X367" s="14"/>
      <c r="Y367" s="14"/>
      <c r="Z367" s="14"/>
      <c r="AA367" s="18">
        <f t="shared" si="103"/>
        <v>360</v>
      </c>
      <c r="AB367" s="14"/>
      <c r="AC367" s="14"/>
      <c r="AD367" s="14"/>
      <c r="AE367" s="14"/>
      <c r="AF367" s="16">
        <v>0</v>
      </c>
      <c r="AG367" s="16">
        <v>1</v>
      </c>
      <c r="AH367" s="16">
        <v>1</v>
      </c>
      <c r="AI367" s="16">
        <v>1</v>
      </c>
      <c r="AJ367" s="5">
        <v>1</v>
      </c>
      <c r="AK367" s="5">
        <v>0</v>
      </c>
      <c r="AL367" s="5">
        <v>0</v>
      </c>
      <c r="AM367" s="20"/>
      <c r="AN367" s="20" t="s">
        <v>25</v>
      </c>
      <c r="AO367" s="16"/>
      <c r="AP367" s="16"/>
      <c r="AQ367" s="16"/>
      <c r="AR367" s="16">
        <v>0</v>
      </c>
      <c r="AS367" s="16">
        <v>0</v>
      </c>
      <c r="AT367" s="16"/>
      <c r="AU367" s="16"/>
      <c r="AV367" s="16"/>
      <c r="AW367" s="16"/>
      <c r="AX367" s="16">
        <v>0</v>
      </c>
      <c r="AY367" s="16">
        <v>0</v>
      </c>
      <c r="AZ367" s="16">
        <v>1</v>
      </c>
      <c r="BA367" s="16">
        <v>0</v>
      </c>
    </row>
    <row r="368" spans="1:53" x14ac:dyDescent="0.2">
      <c r="A368" s="14" t="s">
        <v>13</v>
      </c>
      <c r="B368" s="14" t="str">
        <f t="shared" si="101"/>
        <v>Downing et al. 2005</v>
      </c>
      <c r="C368" s="61">
        <f t="shared" si="102"/>
        <v>41</v>
      </c>
      <c r="D368" s="58">
        <v>2005</v>
      </c>
      <c r="E368" s="17" t="s">
        <v>99</v>
      </c>
      <c r="F368" s="58">
        <v>0</v>
      </c>
      <c r="G368" s="16">
        <f>G279</f>
        <v>2000</v>
      </c>
      <c r="H368" s="15">
        <f>LOOKUP(G368,CPI!A$69:A$100,CPI!O$69:O$100)</f>
        <v>1.2662950058072011</v>
      </c>
      <c r="I368" s="52">
        <f>I279</f>
        <v>2000</v>
      </c>
      <c r="J368" s="15">
        <v>1</v>
      </c>
      <c r="K368" s="15"/>
      <c r="L368" s="62"/>
      <c r="M368" s="56">
        <f t="shared" ref="M368:M375" si="108">AA368*H368*(1+$L$2)^(2015-I368)</f>
        <v>101.76022336072202</v>
      </c>
      <c r="N368" s="14">
        <f>N279/2</f>
        <v>50.75</v>
      </c>
      <c r="O368" s="18">
        <f>N368</f>
        <v>50.75</v>
      </c>
      <c r="P368" s="16">
        <v>0</v>
      </c>
      <c r="Q368" s="16">
        <v>1</v>
      </c>
      <c r="R368" s="16">
        <v>0</v>
      </c>
      <c r="S368" s="14"/>
      <c r="T368" s="56" t="str">
        <f t="shared" ref="T368:T375" si="109">IF(OR(M368="",S368=""),"",S368*H368*(1+$L$2)^(2015-I368))</f>
        <v/>
      </c>
      <c r="U368" s="56" t="str">
        <f>+V368</f>
        <v/>
      </c>
      <c r="V368" s="56" t="str">
        <f>+T368</f>
        <v/>
      </c>
      <c r="W368" s="14"/>
      <c r="X368" s="14"/>
      <c r="Y368" s="14"/>
      <c r="Z368" s="14"/>
      <c r="AA368" s="18">
        <f t="shared" ref="AA368:AA375" si="110">N368</f>
        <v>50.75</v>
      </c>
      <c r="AB368" s="14"/>
      <c r="AC368" s="14"/>
      <c r="AD368" s="14"/>
      <c r="AE368" s="14"/>
      <c r="AF368" s="16">
        <v>0</v>
      </c>
      <c r="AG368" s="16">
        <v>0</v>
      </c>
      <c r="AH368" s="16">
        <v>0</v>
      </c>
      <c r="AI368" s="16">
        <v>0</v>
      </c>
      <c r="AJ368" s="5">
        <v>1</v>
      </c>
      <c r="AK368" s="5">
        <v>0</v>
      </c>
      <c r="AL368" s="5">
        <v>0</v>
      </c>
      <c r="AM368" s="20" t="s">
        <v>25</v>
      </c>
      <c r="AN368" s="20" t="s">
        <v>25</v>
      </c>
      <c r="AO368" s="16"/>
      <c r="AP368" s="16"/>
      <c r="AQ368" s="16"/>
      <c r="AR368" s="16">
        <v>1</v>
      </c>
      <c r="AS368" s="16">
        <v>0</v>
      </c>
      <c r="AT368" s="16"/>
      <c r="AU368" s="16"/>
      <c r="AV368" s="16"/>
      <c r="AW368" s="16"/>
      <c r="AX368" s="16">
        <v>0</v>
      </c>
      <c r="AY368" s="16">
        <v>0</v>
      </c>
      <c r="AZ368" s="16">
        <v>0</v>
      </c>
      <c r="BA368" s="16">
        <v>0</v>
      </c>
    </row>
    <row r="369" spans="1:53" x14ac:dyDescent="0.2">
      <c r="A369" s="14" t="s">
        <v>28</v>
      </c>
      <c r="B369" s="14" t="str">
        <f t="shared" si="101"/>
        <v>Hope 2005</v>
      </c>
      <c r="C369" s="61">
        <f t="shared" si="102"/>
        <v>42</v>
      </c>
      <c r="D369" s="58">
        <v>2005</v>
      </c>
      <c r="E369" s="17" t="s">
        <v>112</v>
      </c>
      <c r="F369" s="58">
        <v>0</v>
      </c>
      <c r="G369" s="16">
        <v>2000</v>
      </c>
      <c r="H369" s="15">
        <f>LOOKUP(G369,CPI!A$69:A$100,CPI!O$69:O$100)</f>
        <v>1.2662950058072011</v>
      </c>
      <c r="I369" s="52">
        <v>2000</v>
      </c>
      <c r="J369" s="15">
        <v>0.16666666666666666</v>
      </c>
      <c r="K369" s="15"/>
      <c r="L369" s="62"/>
      <c r="M369" s="56">
        <f t="shared" si="108"/>
        <v>86.220484817951657</v>
      </c>
      <c r="N369" s="18">
        <f t="shared" ref="N369:N375" si="111">O369</f>
        <v>43</v>
      </c>
      <c r="O369" s="14">
        <v>43</v>
      </c>
      <c r="P369" s="16">
        <v>1</v>
      </c>
      <c r="Q369" s="16">
        <v>0</v>
      </c>
      <c r="R369" s="16">
        <v>0</v>
      </c>
      <c r="S369" s="14"/>
      <c r="T369" s="56" t="str">
        <f t="shared" si="109"/>
        <v/>
      </c>
      <c r="U369" s="56">
        <f>+(AA369-X369)/1.96*H369*(1+$L$2)^(2015-I369)</f>
        <v>33.759800652496494</v>
      </c>
      <c r="V369" s="56">
        <f>+(AD369-AA369)/1.96*H369*(1+$L$2)^(2015-I369)</f>
        <v>82.864965237945952</v>
      </c>
      <c r="W369" s="14"/>
      <c r="X369" s="14">
        <v>10</v>
      </c>
      <c r="Y369" s="14"/>
      <c r="Z369" s="14"/>
      <c r="AA369" s="18">
        <f t="shared" si="110"/>
        <v>43</v>
      </c>
      <c r="AB369" s="14"/>
      <c r="AC369" s="14"/>
      <c r="AD369" s="14">
        <v>124</v>
      </c>
      <c r="AE369" s="14"/>
      <c r="AF369" s="16">
        <v>0</v>
      </c>
      <c r="AG369" s="16">
        <v>1</v>
      </c>
      <c r="AH369" s="16">
        <v>0</v>
      </c>
      <c r="AI369" s="16">
        <v>1</v>
      </c>
      <c r="AJ369" s="5">
        <v>0</v>
      </c>
      <c r="AK369" s="5">
        <v>0</v>
      </c>
      <c r="AL369" s="5">
        <v>1</v>
      </c>
      <c r="AM369" s="20"/>
      <c r="AN369" s="20">
        <v>3</v>
      </c>
      <c r="AO369" s="16"/>
      <c r="AP369" s="16"/>
      <c r="AQ369" s="16"/>
      <c r="AR369" s="16">
        <v>1</v>
      </c>
      <c r="AS369" s="16">
        <v>1</v>
      </c>
      <c r="AT369" s="16"/>
      <c r="AU369" s="16"/>
      <c r="AV369" s="16"/>
      <c r="AW369" s="16"/>
      <c r="AX369" s="16">
        <v>1</v>
      </c>
      <c r="AY369" s="16">
        <v>0</v>
      </c>
      <c r="AZ369" s="16">
        <v>0</v>
      </c>
      <c r="BA369" s="16">
        <v>0</v>
      </c>
    </row>
    <row r="370" spans="1:53" x14ac:dyDescent="0.2">
      <c r="A370" s="14"/>
      <c r="B370" s="14" t="str">
        <f t="shared" si="101"/>
        <v>Hope 2005</v>
      </c>
      <c r="C370" s="61">
        <f t="shared" si="102"/>
        <v>42</v>
      </c>
      <c r="D370" s="58">
        <v>2005</v>
      </c>
      <c r="E370" s="17"/>
      <c r="F370" s="58">
        <v>0</v>
      </c>
      <c r="G370" s="16">
        <v>2000</v>
      </c>
      <c r="H370" s="15">
        <f>LOOKUP(G370,CPI!A$69:A$100,CPI!O$69:O$100)</f>
        <v>1.2662950058072011</v>
      </c>
      <c r="I370" s="52">
        <v>2000</v>
      </c>
      <c r="J370" s="15">
        <v>0.16666666666666666</v>
      </c>
      <c r="K370" s="15"/>
      <c r="L370" s="62"/>
      <c r="M370" s="56">
        <f t="shared" si="108"/>
        <v>70.179464386704836</v>
      </c>
      <c r="N370" s="18">
        <f t="shared" si="111"/>
        <v>35</v>
      </c>
      <c r="O370" s="14">
        <v>35</v>
      </c>
      <c r="P370" s="16">
        <v>1</v>
      </c>
      <c r="Q370" s="16">
        <v>0</v>
      </c>
      <c r="R370" s="16">
        <v>0</v>
      </c>
      <c r="S370" s="14"/>
      <c r="T370" s="56" t="str">
        <f t="shared" si="109"/>
        <v/>
      </c>
      <c r="U370" s="56">
        <f t="shared" ref="U370:U375" si="112">+(AA370-X370)/1.96*H370*(1+$L$2)^(2015-I370)</f>
        <v>27.621655079315314</v>
      </c>
      <c r="V370" s="56">
        <f t="shared" ref="V370:V375" si="113">+(AD370-AA370)/1.96*H370*(1+$L$2)^(2015-I370)</f>
        <v>70.588674091583584</v>
      </c>
      <c r="W370" s="14"/>
      <c r="X370" s="14">
        <v>8</v>
      </c>
      <c r="Y370" s="14"/>
      <c r="Z370" s="14"/>
      <c r="AA370" s="18">
        <f t="shared" si="110"/>
        <v>35</v>
      </c>
      <c r="AB370" s="14"/>
      <c r="AC370" s="14"/>
      <c r="AD370" s="14">
        <v>104</v>
      </c>
      <c r="AE370" s="14"/>
      <c r="AF370" s="16">
        <v>0</v>
      </c>
      <c r="AG370" s="16">
        <v>1</v>
      </c>
      <c r="AH370" s="16">
        <v>0</v>
      </c>
      <c r="AI370" s="16">
        <v>1</v>
      </c>
      <c r="AJ370" s="5">
        <v>0</v>
      </c>
      <c r="AK370" s="5">
        <v>0</v>
      </c>
      <c r="AL370" s="5">
        <v>1</v>
      </c>
      <c r="AM370" s="20"/>
      <c r="AN370" s="20">
        <v>3</v>
      </c>
      <c r="AO370" s="16"/>
      <c r="AP370" s="16"/>
      <c r="AQ370" s="16"/>
      <c r="AR370" s="16">
        <v>1</v>
      </c>
      <c r="AS370" s="16">
        <v>1</v>
      </c>
      <c r="AT370" s="16"/>
      <c r="AU370" s="16"/>
      <c r="AV370" s="16"/>
      <c r="AW370" s="16"/>
      <c r="AX370" s="16">
        <v>1</v>
      </c>
      <c r="AY370" s="16">
        <v>0</v>
      </c>
      <c r="AZ370" s="16">
        <v>0</v>
      </c>
      <c r="BA370" s="16">
        <v>0</v>
      </c>
    </row>
    <row r="371" spans="1:53" x14ac:dyDescent="0.2">
      <c r="A371" s="14"/>
      <c r="B371" s="14" t="str">
        <f t="shared" si="101"/>
        <v>Hope 2005</v>
      </c>
      <c r="C371" s="61">
        <f t="shared" si="102"/>
        <v>42</v>
      </c>
      <c r="D371" s="58">
        <v>2005</v>
      </c>
      <c r="E371" s="17"/>
      <c r="F371" s="58">
        <v>0</v>
      </c>
      <c r="G371" s="16">
        <v>2000</v>
      </c>
      <c r="H371" s="15">
        <f>LOOKUP(G371,CPI!A$69:A$100,CPI!O$69:O$100)</f>
        <v>1.2662950058072011</v>
      </c>
      <c r="I371" s="52">
        <v>2000</v>
      </c>
      <c r="J371" s="15">
        <v>0.16666666666666666</v>
      </c>
      <c r="K371" s="15"/>
      <c r="L371" s="62"/>
      <c r="M371" s="56">
        <f t="shared" si="108"/>
        <v>62.158954171081426</v>
      </c>
      <c r="N371" s="18">
        <f t="shared" si="111"/>
        <v>31</v>
      </c>
      <c r="O371" s="14">
        <v>31</v>
      </c>
      <c r="P371" s="16">
        <v>1</v>
      </c>
      <c r="Q371" s="16">
        <v>0</v>
      </c>
      <c r="R371" s="16">
        <v>0</v>
      </c>
      <c r="S371" s="14"/>
      <c r="T371" s="56" t="str">
        <f t="shared" si="109"/>
        <v/>
      </c>
      <c r="U371" s="56">
        <f t="shared" si="112"/>
        <v>23.529558030527859</v>
      </c>
      <c r="V371" s="56">
        <f t="shared" si="113"/>
        <v>62.404479994008675</v>
      </c>
      <c r="W371" s="14"/>
      <c r="X371" s="14">
        <v>8</v>
      </c>
      <c r="Y371" s="14"/>
      <c r="Z371" s="14"/>
      <c r="AA371" s="18">
        <f t="shared" si="110"/>
        <v>31</v>
      </c>
      <c r="AB371" s="14"/>
      <c r="AC371" s="14"/>
      <c r="AD371" s="14">
        <v>92</v>
      </c>
      <c r="AE371" s="14"/>
      <c r="AF371" s="16">
        <v>0</v>
      </c>
      <c r="AG371" s="16">
        <v>1</v>
      </c>
      <c r="AH371" s="16">
        <v>0</v>
      </c>
      <c r="AI371" s="16">
        <v>1</v>
      </c>
      <c r="AJ371" s="5">
        <v>0</v>
      </c>
      <c r="AK371" s="5">
        <v>0</v>
      </c>
      <c r="AL371" s="5">
        <v>1</v>
      </c>
      <c r="AM371" s="20"/>
      <c r="AN371" s="20">
        <v>3</v>
      </c>
      <c r="AO371" s="16"/>
      <c r="AP371" s="16"/>
      <c r="AQ371" s="16"/>
      <c r="AR371" s="16">
        <v>0</v>
      </c>
      <c r="AS371" s="16">
        <v>1</v>
      </c>
      <c r="AT371" s="16"/>
      <c r="AU371" s="16"/>
      <c r="AV371" s="16"/>
      <c r="AW371" s="16"/>
      <c r="AX371" s="16">
        <v>1</v>
      </c>
      <c r="AY371" s="16">
        <v>0</v>
      </c>
      <c r="AZ371" s="16">
        <v>0</v>
      </c>
      <c r="BA371" s="16">
        <v>0</v>
      </c>
    </row>
    <row r="372" spans="1:53" x14ac:dyDescent="0.2">
      <c r="A372" s="14"/>
      <c r="B372" s="14" t="str">
        <f t="shared" si="101"/>
        <v>Hope 2005</v>
      </c>
      <c r="C372" s="61">
        <f t="shared" si="102"/>
        <v>42</v>
      </c>
      <c r="D372" s="58">
        <v>2005</v>
      </c>
      <c r="E372" s="17"/>
      <c r="F372" s="58">
        <v>0</v>
      </c>
      <c r="G372" s="16">
        <v>2000</v>
      </c>
      <c r="H372" s="15">
        <f>LOOKUP(G372,CPI!A$69:A$100,CPI!O$69:O$100)</f>
        <v>1.2662950058072011</v>
      </c>
      <c r="I372" s="52">
        <v>2000</v>
      </c>
      <c r="J372" s="15">
        <v>0.16666666666666666</v>
      </c>
      <c r="K372" s="15"/>
      <c r="L372" s="62"/>
      <c r="M372" s="56">
        <f t="shared" si="108"/>
        <v>92.23586747966921</v>
      </c>
      <c r="N372" s="18">
        <f t="shared" si="111"/>
        <v>46</v>
      </c>
      <c r="O372" s="14">
        <v>46</v>
      </c>
      <c r="P372" s="16">
        <v>1</v>
      </c>
      <c r="Q372" s="16">
        <v>0</v>
      </c>
      <c r="R372" s="16">
        <v>0</v>
      </c>
      <c r="S372" s="14"/>
      <c r="T372" s="56" t="str">
        <f t="shared" si="109"/>
        <v/>
      </c>
      <c r="U372" s="56">
        <f t="shared" si="112"/>
        <v>36.82887343908709</v>
      </c>
      <c r="V372" s="56">
        <f t="shared" si="113"/>
        <v>73.65774687817418</v>
      </c>
      <c r="W372" s="14"/>
      <c r="X372" s="14">
        <v>10</v>
      </c>
      <c r="Y372" s="14"/>
      <c r="Z372" s="14"/>
      <c r="AA372" s="18">
        <f t="shared" si="110"/>
        <v>46</v>
      </c>
      <c r="AB372" s="14"/>
      <c r="AC372" s="14"/>
      <c r="AD372" s="14">
        <v>118</v>
      </c>
      <c r="AE372" s="14"/>
      <c r="AF372" s="16">
        <v>0</v>
      </c>
      <c r="AG372" s="16">
        <v>1</v>
      </c>
      <c r="AH372" s="16">
        <v>0</v>
      </c>
      <c r="AI372" s="16">
        <v>1</v>
      </c>
      <c r="AJ372" s="5">
        <v>0</v>
      </c>
      <c r="AK372" s="5">
        <v>0</v>
      </c>
      <c r="AL372" s="5">
        <v>1</v>
      </c>
      <c r="AM372" s="20"/>
      <c r="AN372" s="20">
        <v>3</v>
      </c>
      <c r="AO372" s="16"/>
      <c r="AP372" s="16"/>
      <c r="AQ372" s="16"/>
      <c r="AR372" s="16">
        <v>1</v>
      </c>
      <c r="AS372" s="16">
        <v>1</v>
      </c>
      <c r="AT372" s="16"/>
      <c r="AU372" s="16"/>
      <c r="AV372" s="16"/>
      <c r="AW372" s="16"/>
      <c r="AX372" s="16">
        <v>1</v>
      </c>
      <c r="AY372" s="16">
        <v>0</v>
      </c>
      <c r="AZ372" s="16">
        <v>0</v>
      </c>
      <c r="BA372" s="16">
        <v>0</v>
      </c>
    </row>
    <row r="373" spans="1:53" x14ac:dyDescent="0.2">
      <c r="A373" s="14"/>
      <c r="B373" s="14" t="str">
        <f t="shared" si="101"/>
        <v>Hope 2005</v>
      </c>
      <c r="C373" s="61">
        <f t="shared" si="102"/>
        <v>42</v>
      </c>
      <c r="D373" s="58">
        <v>2005</v>
      </c>
      <c r="E373" s="17"/>
      <c r="F373" s="58">
        <v>0</v>
      </c>
      <c r="G373" s="16">
        <v>2000</v>
      </c>
      <c r="H373" s="15">
        <f>LOOKUP(G373,CPI!A$69:A$100,CPI!O$69:O$100)</f>
        <v>1.2662950058072011</v>
      </c>
      <c r="I373" s="52">
        <v>2000</v>
      </c>
      <c r="J373" s="15">
        <v>0.16666666666666666</v>
      </c>
      <c r="K373" s="15"/>
      <c r="L373" s="62"/>
      <c r="M373" s="56">
        <f t="shared" si="108"/>
        <v>74.189719494516538</v>
      </c>
      <c r="N373" s="18">
        <f t="shared" si="111"/>
        <v>37</v>
      </c>
      <c r="O373" s="14">
        <v>37</v>
      </c>
      <c r="P373" s="16">
        <v>1</v>
      </c>
      <c r="Q373" s="16">
        <v>0</v>
      </c>
      <c r="R373" s="16">
        <v>0</v>
      </c>
      <c r="S373" s="14"/>
      <c r="T373" s="56" t="str">
        <f t="shared" si="109"/>
        <v/>
      </c>
      <c r="U373" s="56">
        <f t="shared" si="112"/>
        <v>28.64467934151218</v>
      </c>
      <c r="V373" s="56">
        <f t="shared" si="113"/>
        <v>68.542625567189845</v>
      </c>
      <c r="W373" s="14"/>
      <c r="X373" s="14">
        <v>9</v>
      </c>
      <c r="Y373" s="14"/>
      <c r="Z373" s="14"/>
      <c r="AA373" s="18">
        <f t="shared" si="110"/>
        <v>37</v>
      </c>
      <c r="AB373" s="14"/>
      <c r="AC373" s="14"/>
      <c r="AD373" s="14">
        <v>104</v>
      </c>
      <c r="AE373" s="14"/>
      <c r="AF373" s="16">
        <v>0</v>
      </c>
      <c r="AG373" s="16">
        <v>1</v>
      </c>
      <c r="AH373" s="16">
        <v>0</v>
      </c>
      <c r="AI373" s="16">
        <v>1</v>
      </c>
      <c r="AJ373" s="5">
        <v>0</v>
      </c>
      <c r="AK373" s="5">
        <v>0</v>
      </c>
      <c r="AL373" s="5">
        <v>1</v>
      </c>
      <c r="AM373" s="20"/>
      <c r="AN373" s="20">
        <v>3</v>
      </c>
      <c r="AO373" s="16"/>
      <c r="AP373" s="16"/>
      <c r="AQ373" s="16"/>
      <c r="AR373" s="16">
        <v>1</v>
      </c>
      <c r="AS373" s="16">
        <v>1</v>
      </c>
      <c r="AT373" s="16"/>
      <c r="AU373" s="16"/>
      <c r="AV373" s="16"/>
      <c r="AW373" s="16"/>
      <c r="AX373" s="16">
        <v>1</v>
      </c>
      <c r="AY373" s="16">
        <v>0</v>
      </c>
      <c r="AZ373" s="16">
        <v>0</v>
      </c>
      <c r="BA373" s="16">
        <v>0</v>
      </c>
    </row>
    <row r="374" spans="1:53" x14ac:dyDescent="0.2">
      <c r="A374" s="14"/>
      <c r="B374" s="14" t="str">
        <f t="shared" si="101"/>
        <v>Hope 2005</v>
      </c>
      <c r="C374" s="61">
        <f t="shared" si="102"/>
        <v>42</v>
      </c>
      <c r="D374" s="58">
        <v>2005</v>
      </c>
      <c r="E374" s="17"/>
      <c r="F374" s="58">
        <v>0</v>
      </c>
      <c r="G374" s="16">
        <v>2000</v>
      </c>
      <c r="H374" s="15">
        <f>LOOKUP(G374,CPI!A$69:A$100,CPI!O$69:O$100)</f>
        <v>1.2662950058072011</v>
      </c>
      <c r="I374" s="52">
        <v>2000</v>
      </c>
      <c r="J374" s="15">
        <v>0.16666666666666666</v>
      </c>
      <c r="K374" s="15"/>
      <c r="L374" s="62"/>
      <c r="M374" s="56">
        <f t="shared" si="108"/>
        <v>64.164081724987284</v>
      </c>
      <c r="N374" s="18">
        <f t="shared" si="111"/>
        <v>32</v>
      </c>
      <c r="O374" s="14">
        <v>32</v>
      </c>
      <c r="P374" s="16">
        <v>1</v>
      </c>
      <c r="Q374" s="16">
        <v>0</v>
      </c>
      <c r="R374" s="16">
        <v>0</v>
      </c>
      <c r="S374" s="14"/>
      <c r="T374" s="56" t="str">
        <f t="shared" si="109"/>
        <v/>
      </c>
      <c r="U374" s="56">
        <f t="shared" si="112"/>
        <v>24.552582292724722</v>
      </c>
      <c r="V374" s="56">
        <f t="shared" si="113"/>
        <v>59.335407207418086</v>
      </c>
      <c r="W374" s="14"/>
      <c r="X374" s="14">
        <v>8</v>
      </c>
      <c r="Y374" s="14"/>
      <c r="Z374" s="14"/>
      <c r="AA374" s="18">
        <f t="shared" si="110"/>
        <v>32</v>
      </c>
      <c r="AB374" s="14"/>
      <c r="AC374" s="14"/>
      <c r="AD374" s="14">
        <v>90</v>
      </c>
      <c r="AE374" s="14"/>
      <c r="AF374" s="16">
        <v>0</v>
      </c>
      <c r="AG374" s="16">
        <v>1</v>
      </c>
      <c r="AH374" s="16">
        <v>0</v>
      </c>
      <c r="AI374" s="16">
        <v>1</v>
      </c>
      <c r="AJ374" s="5">
        <v>0</v>
      </c>
      <c r="AK374" s="5">
        <v>0</v>
      </c>
      <c r="AL374" s="5">
        <v>1</v>
      </c>
      <c r="AM374" s="20"/>
      <c r="AN374" s="20">
        <v>3</v>
      </c>
      <c r="AO374" s="16"/>
      <c r="AP374" s="16"/>
      <c r="AQ374" s="16"/>
      <c r="AR374" s="16">
        <v>0</v>
      </c>
      <c r="AS374" s="16">
        <v>1</v>
      </c>
      <c r="AT374" s="16"/>
      <c r="AU374" s="16"/>
      <c r="AV374" s="16"/>
      <c r="AW374" s="16"/>
      <c r="AX374" s="16">
        <v>1</v>
      </c>
      <c r="AY374" s="16">
        <v>0</v>
      </c>
      <c r="AZ374" s="16">
        <v>0</v>
      </c>
      <c r="BA374" s="16">
        <v>0</v>
      </c>
    </row>
    <row r="375" spans="1:53" x14ac:dyDescent="0.2">
      <c r="A375" s="14" t="s">
        <v>28</v>
      </c>
      <c r="B375" s="14" t="str">
        <f t="shared" si="101"/>
        <v>Hope 2005</v>
      </c>
      <c r="C375" s="61">
        <f t="shared" si="102"/>
        <v>43</v>
      </c>
      <c r="D375" s="58">
        <v>2005</v>
      </c>
      <c r="E375" s="78" t="s">
        <v>113</v>
      </c>
      <c r="F375" s="58">
        <v>1</v>
      </c>
      <c r="G375" s="16">
        <v>2000</v>
      </c>
      <c r="H375" s="15">
        <f>LOOKUP(G375,CPI!A$69:A$100,CPI!O$69:O$100)</f>
        <v>1.2662950058072011</v>
      </c>
      <c r="I375" s="52">
        <v>2000</v>
      </c>
      <c r="J375" s="15">
        <v>1</v>
      </c>
      <c r="K375" s="15"/>
      <c r="L375" s="62"/>
      <c r="M375" s="56">
        <f t="shared" si="108"/>
        <v>42.107678632022903</v>
      </c>
      <c r="N375" s="18">
        <f t="shared" si="111"/>
        <v>21</v>
      </c>
      <c r="O375" s="14">
        <v>21</v>
      </c>
      <c r="P375" s="16">
        <v>1</v>
      </c>
      <c r="Q375" s="16">
        <v>0</v>
      </c>
      <c r="R375" s="16">
        <v>0</v>
      </c>
      <c r="S375" s="14"/>
      <c r="T375" s="56" t="str">
        <f t="shared" si="109"/>
        <v/>
      </c>
      <c r="U375" s="56">
        <f t="shared" si="112"/>
        <v>11.2532668841655</v>
      </c>
      <c r="V375" s="56">
        <f t="shared" si="113"/>
        <v>27.621655079315314</v>
      </c>
      <c r="W375" s="14"/>
      <c r="X375" s="14">
        <v>10</v>
      </c>
      <c r="Y375" s="14"/>
      <c r="Z375" s="14"/>
      <c r="AA375" s="18">
        <f t="shared" si="110"/>
        <v>21</v>
      </c>
      <c r="AB375" s="14"/>
      <c r="AC375" s="14"/>
      <c r="AD375" s="14">
        <v>48</v>
      </c>
      <c r="AE375" s="14"/>
      <c r="AF375" s="16">
        <v>0</v>
      </c>
      <c r="AG375" s="16">
        <v>1</v>
      </c>
      <c r="AH375" s="16">
        <v>0</v>
      </c>
      <c r="AI375" s="16">
        <v>1</v>
      </c>
      <c r="AJ375" s="5">
        <v>0</v>
      </c>
      <c r="AK375" s="5">
        <v>0</v>
      </c>
      <c r="AL375" s="5">
        <v>1</v>
      </c>
      <c r="AM375" s="20"/>
      <c r="AN375" s="20">
        <v>3</v>
      </c>
      <c r="AO375" s="16"/>
      <c r="AP375" s="16"/>
      <c r="AQ375" s="16"/>
      <c r="AR375" s="16">
        <v>0</v>
      </c>
      <c r="AS375" s="16">
        <v>0</v>
      </c>
      <c r="AT375" s="16"/>
      <c r="AU375" s="16"/>
      <c r="AV375" s="16"/>
      <c r="AW375" s="16"/>
      <c r="AX375" s="16">
        <v>1</v>
      </c>
      <c r="AY375" s="16">
        <v>0</v>
      </c>
      <c r="AZ375" s="16">
        <v>0</v>
      </c>
      <c r="BA375" s="16">
        <v>0</v>
      </c>
    </row>
    <row r="376" spans="1:53" x14ac:dyDescent="0.2">
      <c r="A376" s="14" t="s">
        <v>16</v>
      </c>
      <c r="B376" s="14" t="str">
        <f t="shared" si="101"/>
        <v>Tol  2005</v>
      </c>
      <c r="C376" s="61">
        <f t="shared" si="102"/>
        <v>44</v>
      </c>
      <c r="D376" s="58">
        <v>2005</v>
      </c>
      <c r="E376" s="17" t="s">
        <v>111</v>
      </c>
      <c r="F376" s="58">
        <v>1</v>
      </c>
      <c r="G376" s="16">
        <v>1995</v>
      </c>
      <c r="H376" s="15">
        <f>LOOKUP(G376,CPI!A$69:A$100,CPI!O$69:O$100)</f>
        <v>1.4308136482939633</v>
      </c>
      <c r="I376" s="52">
        <v>2005</v>
      </c>
      <c r="J376" s="15">
        <f>0.1/1.2</f>
        <v>8.3333333333333343E-2</v>
      </c>
      <c r="K376" s="15"/>
      <c r="L376" s="62"/>
      <c r="M376" s="56">
        <f t="shared" si="107"/>
        <v>38.681878623456058</v>
      </c>
      <c r="N376" s="14">
        <v>19.899999999999999</v>
      </c>
      <c r="O376" s="18">
        <f t="shared" si="104"/>
        <v>19.899999999999999</v>
      </c>
      <c r="P376" s="16">
        <v>0</v>
      </c>
      <c r="Q376" s="16">
        <v>1</v>
      </c>
      <c r="R376" s="16">
        <v>0</v>
      </c>
      <c r="S376" s="14"/>
      <c r="T376" s="56" t="str">
        <f t="shared" si="99"/>
        <v/>
      </c>
      <c r="U376" s="56" t="str">
        <f t="shared" si="105"/>
        <v/>
      </c>
      <c r="V376" s="56" t="str">
        <f t="shared" si="106"/>
        <v/>
      </c>
      <c r="W376" s="14"/>
      <c r="X376" s="14"/>
      <c r="Y376" s="14"/>
      <c r="Z376" s="14"/>
      <c r="AA376" s="18">
        <f t="shared" si="103"/>
        <v>19.899999999999999</v>
      </c>
      <c r="AB376" s="14"/>
      <c r="AC376" s="14"/>
      <c r="AD376" s="14"/>
      <c r="AE376" s="14"/>
      <c r="AF376" s="16">
        <v>1</v>
      </c>
      <c r="AG376" s="16">
        <v>1</v>
      </c>
      <c r="AH376" s="16">
        <v>1</v>
      </c>
      <c r="AI376" s="16">
        <v>1</v>
      </c>
      <c r="AJ376" s="5">
        <v>1</v>
      </c>
      <c r="AK376" s="5">
        <v>0</v>
      </c>
      <c r="AL376" s="5">
        <v>0</v>
      </c>
      <c r="AM376" s="20">
        <v>2</v>
      </c>
      <c r="AN376" s="20">
        <v>0</v>
      </c>
      <c r="AO376" s="16"/>
      <c r="AP376" s="16"/>
      <c r="AQ376" s="16"/>
      <c r="AR376" s="16">
        <v>0</v>
      </c>
      <c r="AS376" s="16">
        <v>1</v>
      </c>
      <c r="AT376" s="16"/>
      <c r="AU376" s="16"/>
      <c r="AV376" s="16"/>
      <c r="AW376" s="16"/>
      <c r="AX376" s="16">
        <v>0</v>
      </c>
      <c r="AY376" s="16">
        <v>0</v>
      </c>
      <c r="AZ376" s="16">
        <v>1</v>
      </c>
      <c r="BA376" s="16">
        <v>0</v>
      </c>
    </row>
    <row r="377" spans="1:53" x14ac:dyDescent="0.2">
      <c r="A377" s="14"/>
      <c r="B377" s="14" t="str">
        <f t="shared" si="101"/>
        <v>Tol  2005</v>
      </c>
      <c r="C377" s="61">
        <f t="shared" si="102"/>
        <v>44</v>
      </c>
      <c r="D377" s="58">
        <v>2005</v>
      </c>
      <c r="E377" s="17"/>
      <c r="F377" s="58">
        <v>1</v>
      </c>
      <c r="G377" s="16">
        <v>1995</v>
      </c>
      <c r="H377" s="15">
        <f>LOOKUP(G377,CPI!A$69:A$100,CPI!O$69:O$100)</f>
        <v>1.4308136482939633</v>
      </c>
      <c r="I377" s="52">
        <v>2005</v>
      </c>
      <c r="J377" s="15">
        <f>0.2/1.2</f>
        <v>0.16666666666666669</v>
      </c>
      <c r="K377" s="15"/>
      <c r="L377" s="62"/>
      <c r="M377" s="56">
        <f t="shared" si="107"/>
        <v>31.295389238072499</v>
      </c>
      <c r="N377" s="14">
        <v>16.100000000000001</v>
      </c>
      <c r="O377" s="18">
        <f t="shared" si="104"/>
        <v>16.100000000000001</v>
      </c>
      <c r="P377" s="16">
        <v>0</v>
      </c>
      <c r="Q377" s="16">
        <v>1</v>
      </c>
      <c r="R377" s="16">
        <v>0</v>
      </c>
      <c r="S377" s="14"/>
      <c r="T377" s="56" t="str">
        <f t="shared" si="99"/>
        <v/>
      </c>
      <c r="U377" s="56" t="str">
        <f t="shared" si="105"/>
        <v/>
      </c>
      <c r="V377" s="56" t="str">
        <f t="shared" si="106"/>
        <v/>
      </c>
      <c r="W377" s="14"/>
      <c r="X377" s="14"/>
      <c r="Y377" s="14"/>
      <c r="Z377" s="14"/>
      <c r="AA377" s="18">
        <f t="shared" si="103"/>
        <v>16.100000000000001</v>
      </c>
      <c r="AB377" s="14"/>
      <c r="AC377" s="14"/>
      <c r="AD377" s="14"/>
      <c r="AE377" s="14"/>
      <c r="AF377" s="16">
        <v>1</v>
      </c>
      <c r="AG377" s="16">
        <v>1</v>
      </c>
      <c r="AH377" s="16">
        <v>1</v>
      </c>
      <c r="AI377" s="16">
        <v>1</v>
      </c>
      <c r="AJ377" s="5">
        <v>1</v>
      </c>
      <c r="AK377" s="5">
        <v>0</v>
      </c>
      <c r="AL377" s="5">
        <v>0</v>
      </c>
      <c r="AM377" s="20">
        <v>2</v>
      </c>
      <c r="AN377" s="20">
        <v>0</v>
      </c>
      <c r="AO377" s="16"/>
      <c r="AP377" s="16"/>
      <c r="AQ377" s="16"/>
      <c r="AR377" s="16">
        <v>1</v>
      </c>
      <c r="AS377" s="16">
        <v>1</v>
      </c>
      <c r="AT377" s="16"/>
      <c r="AU377" s="16"/>
      <c r="AV377" s="16"/>
      <c r="AW377" s="16"/>
      <c r="AX377" s="16">
        <v>0</v>
      </c>
      <c r="AY377" s="16">
        <v>0</v>
      </c>
      <c r="AZ377" s="16">
        <v>1</v>
      </c>
      <c r="BA377" s="16">
        <v>0</v>
      </c>
    </row>
    <row r="378" spans="1:53" x14ac:dyDescent="0.2">
      <c r="A378" s="14"/>
      <c r="B378" s="14" t="str">
        <f t="shared" si="101"/>
        <v>Tol  2005</v>
      </c>
      <c r="C378" s="61">
        <f t="shared" si="102"/>
        <v>44</v>
      </c>
      <c r="D378" s="58">
        <v>2005</v>
      </c>
      <c r="E378" s="17"/>
      <c r="F378" s="58">
        <v>1</v>
      </c>
      <c r="G378" s="16">
        <v>1995</v>
      </c>
      <c r="H378" s="15">
        <f>LOOKUP(G378,CPI!A$69:A$100,CPI!O$69:O$100)</f>
        <v>1.4308136482939633</v>
      </c>
      <c r="I378" s="52">
        <v>2005</v>
      </c>
      <c r="J378" s="15">
        <f>0.2/1.2</f>
        <v>0.16666666666666669</v>
      </c>
      <c r="K378" s="15"/>
      <c r="L378" s="62"/>
      <c r="M378" s="56">
        <f t="shared" si="107"/>
        <v>7.3864893853835696</v>
      </c>
      <c r="N378" s="14">
        <v>3.8</v>
      </c>
      <c r="O378" s="18">
        <f t="shared" si="104"/>
        <v>3.8</v>
      </c>
      <c r="P378" s="16">
        <v>0</v>
      </c>
      <c r="Q378" s="16">
        <v>1</v>
      </c>
      <c r="R378" s="16">
        <v>0</v>
      </c>
      <c r="S378" s="14"/>
      <c r="T378" s="56" t="str">
        <f t="shared" si="99"/>
        <v/>
      </c>
      <c r="U378" s="56" t="str">
        <f t="shared" si="105"/>
        <v/>
      </c>
      <c r="V378" s="56" t="str">
        <f t="shared" si="106"/>
        <v/>
      </c>
      <c r="W378" s="14"/>
      <c r="X378" s="14"/>
      <c r="Y378" s="14"/>
      <c r="Z378" s="14"/>
      <c r="AA378" s="18">
        <f t="shared" si="103"/>
        <v>3.8</v>
      </c>
      <c r="AB378" s="14"/>
      <c r="AC378" s="14"/>
      <c r="AD378" s="14"/>
      <c r="AE378" s="14"/>
      <c r="AF378" s="16">
        <v>1</v>
      </c>
      <c r="AG378" s="16">
        <v>1</v>
      </c>
      <c r="AH378" s="16">
        <v>1</v>
      </c>
      <c r="AI378" s="16">
        <v>1</v>
      </c>
      <c r="AJ378" s="5">
        <v>1</v>
      </c>
      <c r="AK378" s="5">
        <v>0</v>
      </c>
      <c r="AL378" s="5">
        <v>0</v>
      </c>
      <c r="AM378" s="20">
        <v>3</v>
      </c>
      <c r="AN378" s="20">
        <v>1</v>
      </c>
      <c r="AO378" s="16"/>
      <c r="AP378" s="16"/>
      <c r="AQ378" s="16"/>
      <c r="AR378" s="16">
        <v>0</v>
      </c>
      <c r="AS378" s="16">
        <v>1</v>
      </c>
      <c r="AT378" s="16"/>
      <c r="AU378" s="16"/>
      <c r="AV378" s="16"/>
      <c r="AW378" s="16"/>
      <c r="AX378" s="16">
        <v>0</v>
      </c>
      <c r="AY378" s="16">
        <v>0</v>
      </c>
      <c r="AZ378" s="16">
        <v>1</v>
      </c>
      <c r="BA378" s="16">
        <v>0</v>
      </c>
    </row>
    <row r="379" spans="1:53" x14ac:dyDescent="0.2">
      <c r="A379" s="14"/>
      <c r="B379" s="14" t="str">
        <f t="shared" si="101"/>
        <v>Tol  2005</v>
      </c>
      <c r="C379" s="61">
        <f t="shared" si="102"/>
        <v>44</v>
      </c>
      <c r="D379" s="58">
        <v>2005</v>
      </c>
      <c r="E379" s="17"/>
      <c r="F379" s="58">
        <v>1</v>
      </c>
      <c r="G379" s="16">
        <v>1995</v>
      </c>
      <c r="H379" s="15">
        <f>LOOKUP(G379,CPI!A$69:A$100,CPI!O$69:O$100)</f>
        <v>1.4308136482939633</v>
      </c>
      <c r="I379" s="52">
        <v>2005</v>
      </c>
      <c r="J379" s="15">
        <f>0.4/1.2</f>
        <v>0.33333333333333337</v>
      </c>
      <c r="K379" s="15"/>
      <c r="L379" s="62"/>
      <c r="M379" s="56">
        <f t="shared" si="107"/>
        <v>12.829165774613569</v>
      </c>
      <c r="N379" s="14">
        <v>6.6</v>
      </c>
      <c r="O379" s="18">
        <f t="shared" si="104"/>
        <v>6.6</v>
      </c>
      <c r="P379" s="16">
        <v>0</v>
      </c>
      <c r="Q379" s="16">
        <v>1</v>
      </c>
      <c r="R379" s="16">
        <v>0</v>
      </c>
      <c r="S379" s="14"/>
      <c r="T379" s="56" t="str">
        <f t="shared" si="99"/>
        <v/>
      </c>
      <c r="U379" s="56" t="str">
        <f t="shared" si="105"/>
        <v/>
      </c>
      <c r="V379" s="56" t="str">
        <f t="shared" si="106"/>
        <v/>
      </c>
      <c r="W379" s="14"/>
      <c r="X379" s="14"/>
      <c r="Y379" s="14"/>
      <c r="Z379" s="14"/>
      <c r="AA379" s="18">
        <f t="shared" si="103"/>
        <v>6.6</v>
      </c>
      <c r="AB379" s="14"/>
      <c r="AC379" s="14"/>
      <c r="AD379" s="14"/>
      <c r="AE379" s="14"/>
      <c r="AF379" s="16">
        <v>1</v>
      </c>
      <c r="AG379" s="16">
        <v>1</v>
      </c>
      <c r="AH379" s="16">
        <v>1</v>
      </c>
      <c r="AI379" s="16">
        <v>1</v>
      </c>
      <c r="AJ379" s="5">
        <v>1</v>
      </c>
      <c r="AK379" s="5">
        <v>0</v>
      </c>
      <c r="AL379" s="5">
        <v>0</v>
      </c>
      <c r="AM379" s="20">
        <v>3</v>
      </c>
      <c r="AN379" s="20">
        <v>1</v>
      </c>
      <c r="AO379" s="16"/>
      <c r="AP379" s="16"/>
      <c r="AQ379" s="16"/>
      <c r="AR379" s="16">
        <v>1</v>
      </c>
      <c r="AS379" s="16">
        <v>1</v>
      </c>
      <c r="AT379" s="16"/>
      <c r="AU379" s="16"/>
      <c r="AV379" s="16"/>
      <c r="AW379" s="16"/>
      <c r="AX379" s="16">
        <v>0</v>
      </c>
      <c r="AY379" s="16">
        <v>0</v>
      </c>
      <c r="AZ379" s="16">
        <v>1</v>
      </c>
      <c r="BA379" s="16">
        <v>0</v>
      </c>
    </row>
    <row r="380" spans="1:53" x14ac:dyDescent="0.2">
      <c r="A380" s="14"/>
      <c r="B380" s="14" t="str">
        <f t="shared" si="101"/>
        <v>Tol  2005</v>
      </c>
      <c r="C380" s="61">
        <f t="shared" si="102"/>
        <v>44</v>
      </c>
      <c r="D380" s="58">
        <v>2005</v>
      </c>
      <c r="E380" s="17"/>
      <c r="F380" s="58">
        <v>1</v>
      </c>
      <c r="G380" s="16">
        <v>1995</v>
      </c>
      <c r="H380" s="15">
        <f>LOOKUP(G380,CPI!A$69:A$100,CPI!O$69:O$100)</f>
        <v>1.4308136482939633</v>
      </c>
      <c r="I380" s="52">
        <v>2005</v>
      </c>
      <c r="J380" s="15">
        <f>0.1/1.2</f>
        <v>8.3333333333333343E-2</v>
      </c>
      <c r="K380" s="15"/>
      <c r="L380" s="62"/>
      <c r="M380" s="56">
        <f t="shared" si="107"/>
        <v>-12.829165774613569</v>
      </c>
      <c r="N380" s="14">
        <v>-6.6</v>
      </c>
      <c r="O380" s="18">
        <f t="shared" si="104"/>
        <v>-6.6</v>
      </c>
      <c r="P380" s="16">
        <v>0</v>
      </c>
      <c r="Q380" s="16">
        <v>1</v>
      </c>
      <c r="R380" s="16">
        <v>0</v>
      </c>
      <c r="S380" s="14"/>
      <c r="T380" s="56" t="str">
        <f t="shared" si="99"/>
        <v/>
      </c>
      <c r="U380" s="56" t="str">
        <f t="shared" si="105"/>
        <v/>
      </c>
      <c r="V380" s="56" t="str">
        <f t="shared" si="106"/>
        <v/>
      </c>
      <c r="W380" s="14"/>
      <c r="X380" s="14"/>
      <c r="Y380" s="14"/>
      <c r="Z380" s="14"/>
      <c r="AA380" s="18">
        <f t="shared" si="103"/>
        <v>-6.6</v>
      </c>
      <c r="AB380" s="14"/>
      <c r="AC380" s="14"/>
      <c r="AD380" s="14"/>
      <c r="AE380" s="14"/>
      <c r="AF380" s="16">
        <v>1</v>
      </c>
      <c r="AG380" s="16">
        <v>1</v>
      </c>
      <c r="AH380" s="16">
        <v>1</v>
      </c>
      <c r="AI380" s="16">
        <v>1</v>
      </c>
      <c r="AJ380" s="5">
        <v>1</v>
      </c>
      <c r="AK380" s="5">
        <v>0</v>
      </c>
      <c r="AL380" s="5">
        <v>0</v>
      </c>
      <c r="AM380" s="20">
        <v>5</v>
      </c>
      <c r="AN380" s="20">
        <v>3</v>
      </c>
      <c r="AO380" s="16"/>
      <c r="AP380" s="16"/>
      <c r="AQ380" s="16"/>
      <c r="AR380" s="16">
        <v>0</v>
      </c>
      <c r="AS380" s="16">
        <v>1</v>
      </c>
      <c r="AT380" s="16"/>
      <c r="AU380" s="16"/>
      <c r="AV380" s="16"/>
      <c r="AW380" s="16"/>
      <c r="AX380" s="16">
        <v>0</v>
      </c>
      <c r="AY380" s="16">
        <v>0</v>
      </c>
      <c r="AZ380" s="16">
        <v>1</v>
      </c>
      <c r="BA380" s="16">
        <v>0</v>
      </c>
    </row>
    <row r="381" spans="1:53" x14ac:dyDescent="0.2">
      <c r="A381" s="14"/>
      <c r="B381" s="14" t="str">
        <f t="shared" si="101"/>
        <v>Tol  2005</v>
      </c>
      <c r="C381" s="61">
        <f t="shared" si="102"/>
        <v>44</v>
      </c>
      <c r="D381" s="58">
        <v>2005</v>
      </c>
      <c r="E381" s="17"/>
      <c r="F381" s="58">
        <v>1</v>
      </c>
      <c r="G381" s="16">
        <v>1995</v>
      </c>
      <c r="H381" s="15">
        <f>LOOKUP(G381,CPI!A$69:A$100,CPI!O$69:O$100)</f>
        <v>1.4308136482939633</v>
      </c>
      <c r="I381" s="52">
        <v>2005</v>
      </c>
      <c r="J381" s="15">
        <f>0.2/1.2</f>
        <v>0.16666666666666669</v>
      </c>
      <c r="K381" s="15"/>
      <c r="L381" s="62"/>
      <c r="M381" s="56">
        <f t="shared" si="107"/>
        <v>-0.97190649807678553</v>
      </c>
      <c r="N381" s="14">
        <v>-0.5</v>
      </c>
      <c r="O381" s="18">
        <f t="shared" si="104"/>
        <v>-0.5</v>
      </c>
      <c r="P381" s="16">
        <v>0</v>
      </c>
      <c r="Q381" s="16">
        <v>1</v>
      </c>
      <c r="R381" s="16">
        <v>0</v>
      </c>
      <c r="S381" s="14"/>
      <c r="T381" s="56" t="str">
        <f t="shared" si="99"/>
        <v/>
      </c>
      <c r="U381" s="56" t="str">
        <f t="shared" si="105"/>
        <v/>
      </c>
      <c r="V381" s="56" t="str">
        <f t="shared" si="106"/>
        <v/>
      </c>
      <c r="W381" s="14"/>
      <c r="X381" s="14"/>
      <c r="Y381" s="14"/>
      <c r="Z381" s="14"/>
      <c r="AA381" s="18">
        <f t="shared" si="103"/>
        <v>-0.5</v>
      </c>
      <c r="AB381" s="14"/>
      <c r="AC381" s="14"/>
      <c r="AD381" s="14"/>
      <c r="AE381" s="14"/>
      <c r="AF381" s="16">
        <v>1</v>
      </c>
      <c r="AG381" s="16">
        <v>1</v>
      </c>
      <c r="AH381" s="16">
        <v>1</v>
      </c>
      <c r="AI381" s="16">
        <v>1</v>
      </c>
      <c r="AJ381" s="5">
        <v>1</v>
      </c>
      <c r="AK381" s="5">
        <v>0</v>
      </c>
      <c r="AL381" s="5">
        <v>0</v>
      </c>
      <c r="AM381" s="20">
        <v>5</v>
      </c>
      <c r="AN381" s="20">
        <v>3</v>
      </c>
      <c r="AO381" s="16"/>
      <c r="AP381" s="16"/>
      <c r="AQ381" s="16"/>
      <c r="AR381" s="16">
        <v>1</v>
      </c>
      <c r="AS381" s="16">
        <v>1</v>
      </c>
      <c r="AT381" s="16"/>
      <c r="AU381" s="16"/>
      <c r="AV381" s="16"/>
      <c r="AW381" s="16"/>
      <c r="AX381" s="16">
        <v>0</v>
      </c>
      <c r="AY381" s="16">
        <v>0</v>
      </c>
      <c r="AZ381" s="16">
        <v>1</v>
      </c>
      <c r="BA381" s="16">
        <v>0</v>
      </c>
    </row>
    <row r="382" spans="1:53" x14ac:dyDescent="0.2">
      <c r="A382" s="14" t="s">
        <v>178</v>
      </c>
      <c r="B382" s="14" t="str">
        <f t="shared" si="101"/>
        <v>Guo et al. 2006</v>
      </c>
      <c r="C382" s="61">
        <f t="shared" si="102"/>
        <v>45</v>
      </c>
      <c r="D382" s="58">
        <v>2006</v>
      </c>
      <c r="E382" s="17" t="s">
        <v>100</v>
      </c>
      <c r="F382" s="58">
        <v>1</v>
      </c>
      <c r="G382" s="16">
        <v>1995</v>
      </c>
      <c r="H382" s="15">
        <f>LOOKUP(G382,CPI!A$69:A$100,CPI!O$69:O$100)</f>
        <v>1.4308136482939633</v>
      </c>
      <c r="I382" s="52">
        <v>2000</v>
      </c>
      <c r="J382" s="15">
        <f>2/9/14</f>
        <v>1.5873015873015872E-2</v>
      </c>
      <c r="K382" s="15"/>
      <c r="L382" s="62"/>
      <c r="M382" s="56">
        <f t="shared" si="107"/>
        <v>131.40690260754653</v>
      </c>
      <c r="N382" s="14">
        <v>58</v>
      </c>
      <c r="O382" s="18">
        <f t="shared" ref="O382:O397" si="114">N382</f>
        <v>58</v>
      </c>
      <c r="P382" s="16">
        <v>0</v>
      </c>
      <c r="Q382" s="16">
        <v>1</v>
      </c>
      <c r="R382" s="16">
        <v>0</v>
      </c>
      <c r="S382" s="14"/>
      <c r="T382" s="56" t="str">
        <f t="shared" si="99"/>
        <v/>
      </c>
      <c r="U382" s="56" t="str">
        <f t="shared" ref="U382:U397" si="115">+V382</f>
        <v/>
      </c>
      <c r="V382" s="56" t="str">
        <f t="shared" ref="V382:V397" si="116">+T382</f>
        <v/>
      </c>
      <c r="W382" s="14"/>
      <c r="X382" s="14"/>
      <c r="Y382" s="14"/>
      <c r="Z382" s="14"/>
      <c r="AA382" s="18">
        <f t="shared" si="103"/>
        <v>58</v>
      </c>
      <c r="AB382" s="14"/>
      <c r="AC382" s="14"/>
      <c r="AD382" s="14"/>
      <c r="AE382" s="14"/>
      <c r="AF382" s="16">
        <v>0</v>
      </c>
      <c r="AG382" s="16">
        <v>1</v>
      </c>
      <c r="AH382" s="16">
        <v>1</v>
      </c>
      <c r="AI382" s="16">
        <v>1</v>
      </c>
      <c r="AJ382" s="5">
        <v>1</v>
      </c>
      <c r="AK382" s="5">
        <v>0</v>
      </c>
      <c r="AL382" s="5">
        <v>0</v>
      </c>
      <c r="AM382" s="20"/>
      <c r="AN382" s="20">
        <v>0</v>
      </c>
      <c r="AO382" s="16"/>
      <c r="AP382" s="16"/>
      <c r="AQ382" s="16"/>
      <c r="AR382" s="16">
        <v>0</v>
      </c>
      <c r="AS382" s="16">
        <v>0</v>
      </c>
      <c r="AT382" s="16"/>
      <c r="AU382" s="16"/>
      <c r="AV382" s="16"/>
      <c r="AW382" s="16"/>
      <c r="AX382" s="16">
        <v>0</v>
      </c>
      <c r="AY382" s="16">
        <v>0</v>
      </c>
      <c r="AZ382" s="16">
        <v>1</v>
      </c>
      <c r="BA382" s="16">
        <v>0</v>
      </c>
    </row>
    <row r="383" spans="1:53" x14ac:dyDescent="0.2">
      <c r="A383" s="14"/>
      <c r="B383" s="14" t="str">
        <f t="shared" si="101"/>
        <v>Guo et al. 2006</v>
      </c>
      <c r="C383" s="61">
        <f t="shared" si="102"/>
        <v>45</v>
      </c>
      <c r="D383" s="58">
        <v>2006</v>
      </c>
      <c r="E383" s="17"/>
      <c r="F383" s="58">
        <v>1</v>
      </c>
      <c r="G383" s="16">
        <v>1995</v>
      </c>
      <c r="H383" s="15">
        <f>LOOKUP(G383,CPI!A$69:A$100,CPI!O$69:O$100)</f>
        <v>1.4308136482939633</v>
      </c>
      <c r="I383" s="52">
        <v>2000</v>
      </c>
      <c r="J383" s="15">
        <f>2/9/14</f>
        <v>1.5873015873015872E-2</v>
      </c>
      <c r="K383" s="15"/>
      <c r="L383" s="62"/>
      <c r="M383" s="56">
        <f t="shared" si="107"/>
        <v>24.921998770396751</v>
      </c>
      <c r="N383" s="14">
        <v>11</v>
      </c>
      <c r="O383" s="18">
        <f t="shared" si="114"/>
        <v>11</v>
      </c>
      <c r="P383" s="16">
        <v>0</v>
      </c>
      <c r="Q383" s="16">
        <v>1</v>
      </c>
      <c r="R383" s="16">
        <v>0</v>
      </c>
      <c r="S383" s="14"/>
      <c r="T383" s="56" t="str">
        <f t="shared" si="99"/>
        <v/>
      </c>
      <c r="U383" s="56" t="str">
        <f t="shared" si="115"/>
        <v/>
      </c>
      <c r="V383" s="56" t="str">
        <f t="shared" si="116"/>
        <v/>
      </c>
      <c r="W383" s="14"/>
      <c r="X383" s="14"/>
      <c r="Y383" s="14"/>
      <c r="Z383" s="14"/>
      <c r="AA383" s="18">
        <f t="shared" si="103"/>
        <v>11</v>
      </c>
      <c r="AB383" s="14"/>
      <c r="AC383" s="14"/>
      <c r="AD383" s="14"/>
      <c r="AE383" s="14"/>
      <c r="AF383" s="16">
        <v>0</v>
      </c>
      <c r="AG383" s="16">
        <v>1</v>
      </c>
      <c r="AH383" s="16">
        <v>1</v>
      </c>
      <c r="AI383" s="16">
        <v>1</v>
      </c>
      <c r="AJ383" s="5">
        <v>1</v>
      </c>
      <c r="AK383" s="5">
        <v>0</v>
      </c>
      <c r="AL383" s="5">
        <v>0</v>
      </c>
      <c r="AM383" s="20"/>
      <c r="AN383" s="20">
        <v>1</v>
      </c>
      <c r="AO383" s="16"/>
      <c r="AP383" s="16"/>
      <c r="AQ383" s="16"/>
      <c r="AR383" s="16">
        <v>0</v>
      </c>
      <c r="AS383" s="16">
        <v>0</v>
      </c>
      <c r="AT383" s="16"/>
      <c r="AU383" s="16"/>
      <c r="AV383" s="16"/>
      <c r="AW383" s="16"/>
      <c r="AX383" s="16">
        <v>0</v>
      </c>
      <c r="AY383" s="16">
        <v>0</v>
      </c>
      <c r="AZ383" s="16">
        <v>1</v>
      </c>
      <c r="BA383" s="16">
        <v>0</v>
      </c>
    </row>
    <row r="384" spans="1:53" x14ac:dyDescent="0.2">
      <c r="A384" s="14"/>
      <c r="B384" s="14" t="str">
        <f t="shared" si="101"/>
        <v>Guo et al. 2006</v>
      </c>
      <c r="C384" s="61">
        <f t="shared" si="102"/>
        <v>45</v>
      </c>
      <c r="D384" s="58">
        <v>2006</v>
      </c>
      <c r="E384" s="17"/>
      <c r="F384" s="58">
        <v>1</v>
      </c>
      <c r="G384" s="16">
        <v>1995</v>
      </c>
      <c r="H384" s="15">
        <f>LOOKUP(G384,CPI!A$69:A$100,CPI!O$69:O$100)</f>
        <v>1.4308136482939633</v>
      </c>
      <c r="I384" s="52">
        <v>2000</v>
      </c>
      <c r="J384" s="15">
        <f>2/9/14</f>
        <v>1.5873015873015872E-2</v>
      </c>
      <c r="K384" s="15"/>
      <c r="L384" s="62"/>
      <c r="M384" s="56">
        <f t="shared" si="107"/>
        <v>-5.2109633792647747</v>
      </c>
      <c r="N384" s="14">
        <v>-2.2999999999999998</v>
      </c>
      <c r="O384" s="18">
        <f t="shared" si="114"/>
        <v>-2.2999999999999998</v>
      </c>
      <c r="P384" s="16">
        <v>0</v>
      </c>
      <c r="Q384" s="16">
        <v>1</v>
      </c>
      <c r="R384" s="16">
        <v>0</v>
      </c>
      <c r="S384" s="14"/>
      <c r="T384" s="56" t="str">
        <f t="shared" si="99"/>
        <v/>
      </c>
      <c r="U384" s="56" t="str">
        <f t="shared" si="115"/>
        <v/>
      </c>
      <c r="V384" s="56" t="str">
        <f t="shared" si="116"/>
        <v/>
      </c>
      <c r="W384" s="14"/>
      <c r="X384" s="14"/>
      <c r="Y384" s="14"/>
      <c r="Z384" s="14"/>
      <c r="AA384" s="18">
        <f t="shared" si="103"/>
        <v>-2.2999999999999998</v>
      </c>
      <c r="AB384" s="14"/>
      <c r="AC384" s="14"/>
      <c r="AD384" s="14"/>
      <c r="AE384" s="14"/>
      <c r="AF384" s="16">
        <v>0</v>
      </c>
      <c r="AG384" s="16">
        <v>1</v>
      </c>
      <c r="AH384" s="16">
        <v>1</v>
      </c>
      <c r="AI384" s="16">
        <v>1</v>
      </c>
      <c r="AJ384" s="5">
        <v>1</v>
      </c>
      <c r="AK384" s="5">
        <v>0</v>
      </c>
      <c r="AL384" s="5">
        <v>0</v>
      </c>
      <c r="AM384" s="20"/>
      <c r="AN384" s="20">
        <v>3</v>
      </c>
      <c r="AO384" s="16"/>
      <c r="AP384" s="16"/>
      <c r="AQ384" s="16"/>
      <c r="AR384" s="16">
        <v>0</v>
      </c>
      <c r="AS384" s="16">
        <v>0</v>
      </c>
      <c r="AT384" s="16"/>
      <c r="AU384" s="16"/>
      <c r="AV384" s="16"/>
      <c r="AW384" s="16"/>
      <c r="AX384" s="16">
        <v>0</v>
      </c>
      <c r="AY384" s="16">
        <v>0</v>
      </c>
      <c r="AZ384" s="16">
        <v>1</v>
      </c>
      <c r="BA384" s="16">
        <v>0</v>
      </c>
    </row>
    <row r="385" spans="1:53" x14ac:dyDescent="0.2">
      <c r="A385" s="14"/>
      <c r="B385" s="14" t="str">
        <f t="shared" si="101"/>
        <v>Guo et al. 2006</v>
      </c>
      <c r="C385" s="61">
        <f t="shared" si="102"/>
        <v>45</v>
      </c>
      <c r="D385" s="58">
        <v>2006</v>
      </c>
      <c r="E385" s="17"/>
      <c r="F385" s="58">
        <v>1</v>
      </c>
      <c r="G385" s="16">
        <v>1995</v>
      </c>
      <c r="H385" s="15">
        <f>LOOKUP(G385,CPI!A$69:A$100,CPI!O$69:O$100)</f>
        <v>1.4308136482939633</v>
      </c>
      <c r="I385" s="52">
        <v>2000</v>
      </c>
      <c r="J385" s="15">
        <f>2/14</f>
        <v>0.14285714285714285</v>
      </c>
      <c r="K385" s="15"/>
      <c r="L385" s="62"/>
      <c r="M385" s="56">
        <f t="shared" si="107"/>
        <v>40.781452533376502</v>
      </c>
      <c r="N385" s="14">
        <v>18</v>
      </c>
      <c r="O385" s="18">
        <f t="shared" si="114"/>
        <v>18</v>
      </c>
      <c r="P385" s="16">
        <v>0</v>
      </c>
      <c r="Q385" s="16">
        <v>1</v>
      </c>
      <c r="R385" s="16">
        <v>0</v>
      </c>
      <c r="S385" s="14"/>
      <c r="T385" s="56" t="str">
        <f t="shared" si="99"/>
        <v/>
      </c>
      <c r="U385" s="56" t="str">
        <f t="shared" si="115"/>
        <v/>
      </c>
      <c r="V385" s="56" t="str">
        <f t="shared" si="116"/>
        <v/>
      </c>
      <c r="W385" s="14"/>
      <c r="X385" s="14"/>
      <c r="Y385" s="14"/>
      <c r="Z385" s="14"/>
      <c r="AA385" s="18">
        <f t="shared" si="103"/>
        <v>18</v>
      </c>
      <c r="AB385" s="14"/>
      <c r="AC385" s="14"/>
      <c r="AD385" s="14"/>
      <c r="AE385" s="14"/>
      <c r="AF385" s="16">
        <v>0</v>
      </c>
      <c r="AG385" s="16">
        <v>1</v>
      </c>
      <c r="AH385" s="16">
        <v>1</v>
      </c>
      <c r="AI385" s="16">
        <v>1</v>
      </c>
      <c r="AJ385" s="5">
        <v>1</v>
      </c>
      <c r="AK385" s="5">
        <v>0</v>
      </c>
      <c r="AL385" s="5">
        <v>0</v>
      </c>
      <c r="AM385" s="20" t="s">
        <v>25</v>
      </c>
      <c r="AN385" s="20" t="s">
        <v>25</v>
      </c>
      <c r="AO385" s="16"/>
      <c r="AP385" s="16"/>
      <c r="AQ385" s="16"/>
      <c r="AR385" s="16">
        <v>0</v>
      </c>
      <c r="AS385" s="16">
        <v>0</v>
      </c>
      <c r="AT385" s="16"/>
      <c r="AU385" s="16"/>
      <c r="AV385" s="16"/>
      <c r="AW385" s="16"/>
      <c r="AX385" s="16">
        <v>0</v>
      </c>
      <c r="AY385" s="16">
        <v>0</v>
      </c>
      <c r="AZ385" s="16">
        <v>1</v>
      </c>
      <c r="BA385" s="16">
        <v>0</v>
      </c>
    </row>
    <row r="386" spans="1:53" x14ac:dyDescent="0.2">
      <c r="A386" s="14"/>
      <c r="B386" s="14" t="str">
        <f t="shared" si="101"/>
        <v>Guo et al. 2006</v>
      </c>
      <c r="C386" s="61">
        <f t="shared" si="102"/>
        <v>45</v>
      </c>
      <c r="D386" s="58">
        <v>2006</v>
      </c>
      <c r="E386" s="17"/>
      <c r="F386" s="58">
        <v>1</v>
      </c>
      <c r="G386" s="16">
        <v>1995</v>
      </c>
      <c r="H386" s="15">
        <f>LOOKUP(G386,CPI!A$69:A$100,CPI!O$69:O$100)</f>
        <v>1.4308136482939633</v>
      </c>
      <c r="I386" s="52">
        <v>2000</v>
      </c>
      <c r="J386" s="15">
        <f>1/9/14</f>
        <v>7.9365079365079361E-3</v>
      </c>
      <c r="K386" s="15"/>
      <c r="L386" s="62"/>
      <c r="M386" s="56">
        <f t="shared" si="107"/>
        <v>14.953199262238051</v>
      </c>
      <c r="N386" s="14">
        <v>6.6</v>
      </c>
      <c r="O386" s="18">
        <f t="shared" si="114"/>
        <v>6.6</v>
      </c>
      <c r="P386" s="16">
        <v>0</v>
      </c>
      <c r="Q386" s="16">
        <v>1</v>
      </c>
      <c r="R386" s="16">
        <v>0</v>
      </c>
      <c r="S386" s="14"/>
      <c r="T386" s="56" t="str">
        <f t="shared" si="99"/>
        <v/>
      </c>
      <c r="U386" s="56" t="str">
        <f t="shared" si="115"/>
        <v/>
      </c>
      <c r="V386" s="56" t="str">
        <f t="shared" si="116"/>
        <v/>
      </c>
      <c r="W386" s="14"/>
      <c r="X386" s="14"/>
      <c r="Y386" s="14"/>
      <c r="Z386" s="14"/>
      <c r="AA386" s="18">
        <f t="shared" si="103"/>
        <v>6.6</v>
      </c>
      <c r="AB386" s="14"/>
      <c r="AC386" s="14"/>
      <c r="AD386" s="14"/>
      <c r="AE386" s="14"/>
      <c r="AF386" s="16">
        <v>0</v>
      </c>
      <c r="AG386" s="16">
        <v>1</v>
      </c>
      <c r="AH386" s="16">
        <v>1</v>
      </c>
      <c r="AI386" s="16">
        <v>1</v>
      </c>
      <c r="AJ386" s="5">
        <v>1</v>
      </c>
      <c r="AK386" s="5">
        <v>0</v>
      </c>
      <c r="AL386" s="5">
        <v>0</v>
      </c>
      <c r="AM386" s="20">
        <v>3.5</v>
      </c>
      <c r="AN386" s="20" t="s">
        <v>25</v>
      </c>
      <c r="AO386" s="16"/>
      <c r="AP386" s="16"/>
      <c r="AQ386" s="16"/>
      <c r="AR386" s="16">
        <v>0</v>
      </c>
      <c r="AS386" s="16">
        <v>0</v>
      </c>
      <c r="AT386" s="16"/>
      <c r="AU386" s="16"/>
      <c r="AV386" s="16"/>
      <c r="AW386" s="16"/>
      <c r="AX386" s="16">
        <v>0</v>
      </c>
      <c r="AY386" s="16">
        <v>0</v>
      </c>
      <c r="AZ386" s="16">
        <v>1</v>
      </c>
      <c r="BA386" s="16">
        <v>0</v>
      </c>
    </row>
    <row r="387" spans="1:53" x14ac:dyDescent="0.2">
      <c r="A387" s="14"/>
      <c r="B387" s="14" t="str">
        <f t="shared" si="101"/>
        <v>Guo et al. 2006</v>
      </c>
      <c r="C387" s="61">
        <f t="shared" si="102"/>
        <v>45</v>
      </c>
      <c r="D387" s="58">
        <v>2006</v>
      </c>
      <c r="E387" s="17"/>
      <c r="F387" s="58">
        <v>1</v>
      </c>
      <c r="G387" s="16">
        <v>1995</v>
      </c>
      <c r="H387" s="15">
        <f>LOOKUP(G387,CPI!A$69:A$100,CPI!O$69:O$100)</f>
        <v>1.4308136482939633</v>
      </c>
      <c r="I387" s="52">
        <v>2000</v>
      </c>
      <c r="J387" s="15">
        <f>2/14</f>
        <v>0.14285714285714285</v>
      </c>
      <c r="K387" s="15"/>
      <c r="L387" s="62"/>
      <c r="M387" s="56">
        <f t="shared" si="107"/>
        <v>199.37599016317401</v>
      </c>
      <c r="N387" s="14">
        <v>88</v>
      </c>
      <c r="O387" s="18">
        <f t="shared" si="114"/>
        <v>88</v>
      </c>
      <c r="P387" s="16">
        <v>0</v>
      </c>
      <c r="Q387" s="16">
        <v>1</v>
      </c>
      <c r="R387" s="16">
        <v>0</v>
      </c>
      <c r="S387" s="14"/>
      <c r="T387" s="56" t="str">
        <f t="shared" si="99"/>
        <v/>
      </c>
      <c r="U387" s="56" t="str">
        <f t="shared" si="115"/>
        <v/>
      </c>
      <c r="V387" s="56" t="str">
        <f t="shared" si="116"/>
        <v/>
      </c>
      <c r="W387" s="14"/>
      <c r="X387" s="14"/>
      <c r="Y387" s="14"/>
      <c r="Z387" s="14"/>
      <c r="AA387" s="18">
        <f t="shared" si="103"/>
        <v>88</v>
      </c>
      <c r="AB387" s="14"/>
      <c r="AC387" s="14"/>
      <c r="AD387" s="14"/>
      <c r="AE387" s="14"/>
      <c r="AF387" s="16">
        <v>0</v>
      </c>
      <c r="AG387" s="16">
        <v>1</v>
      </c>
      <c r="AH387" s="16">
        <v>1</v>
      </c>
      <c r="AI387" s="16">
        <v>1</v>
      </c>
      <c r="AJ387" s="5">
        <v>1</v>
      </c>
      <c r="AK387" s="5">
        <v>0</v>
      </c>
      <c r="AL387" s="5">
        <v>0</v>
      </c>
      <c r="AM387" s="20" t="s">
        <v>25</v>
      </c>
      <c r="AN387" s="20" t="s">
        <v>25</v>
      </c>
      <c r="AO387" s="16"/>
      <c r="AP387" s="16"/>
      <c r="AQ387" s="16"/>
      <c r="AR387" s="16">
        <v>0</v>
      </c>
      <c r="AS387" s="16">
        <v>0</v>
      </c>
      <c r="AT387" s="16"/>
      <c r="AU387" s="16"/>
      <c r="AV387" s="16"/>
      <c r="AW387" s="16"/>
      <c r="AX387" s="16">
        <v>0</v>
      </c>
      <c r="AY387" s="16">
        <v>0</v>
      </c>
      <c r="AZ387" s="16">
        <v>1</v>
      </c>
      <c r="BA387" s="16">
        <v>0</v>
      </c>
    </row>
    <row r="388" spans="1:53" x14ac:dyDescent="0.2">
      <c r="A388" s="14"/>
      <c r="B388" s="14" t="str">
        <f t="shared" si="101"/>
        <v>Guo et al. 2006</v>
      </c>
      <c r="C388" s="61">
        <f t="shared" si="102"/>
        <v>45</v>
      </c>
      <c r="D388" s="58">
        <v>2006</v>
      </c>
      <c r="E388" s="17"/>
      <c r="F388" s="58">
        <v>1</v>
      </c>
      <c r="G388" s="16">
        <v>1995</v>
      </c>
      <c r="H388" s="15">
        <f>LOOKUP(G388,CPI!A$69:A$100,CPI!O$69:O$100)</f>
        <v>1.4308136482939633</v>
      </c>
      <c r="I388" s="52">
        <v>2000</v>
      </c>
      <c r="J388" s="15">
        <f>1/9/14</f>
        <v>7.9365079365079361E-3</v>
      </c>
      <c r="K388" s="15"/>
      <c r="L388" s="62"/>
      <c r="M388" s="56">
        <f t="shared" ref="M388:M408" si="117">AA388*H388*(1+$L$2)^(2015-I388)</f>
        <v>4.7578361288939259</v>
      </c>
      <c r="N388" s="14">
        <v>2.1</v>
      </c>
      <c r="O388" s="18">
        <f t="shared" si="114"/>
        <v>2.1</v>
      </c>
      <c r="P388" s="16">
        <v>0</v>
      </c>
      <c r="Q388" s="16">
        <v>1</v>
      </c>
      <c r="R388" s="16">
        <v>0</v>
      </c>
      <c r="S388" s="14"/>
      <c r="T388" s="56" t="str">
        <f t="shared" ref="T388:T434" si="118">IF(OR(M388="",S388=""),"",S388*H388*(1+$L$2)^(2015-I388))</f>
        <v/>
      </c>
      <c r="U388" s="56" t="str">
        <f t="shared" si="115"/>
        <v/>
      </c>
      <c r="V388" s="56" t="str">
        <f t="shared" si="116"/>
        <v/>
      </c>
      <c r="W388" s="14"/>
      <c r="X388" s="14"/>
      <c r="Y388" s="14"/>
      <c r="Z388" s="14"/>
      <c r="AA388" s="18">
        <f t="shared" si="103"/>
        <v>2.1</v>
      </c>
      <c r="AB388" s="14"/>
      <c r="AC388" s="14"/>
      <c r="AD388" s="14"/>
      <c r="AE388" s="14"/>
      <c r="AF388" s="16">
        <v>0</v>
      </c>
      <c r="AG388" s="16">
        <v>1</v>
      </c>
      <c r="AH388" s="16">
        <v>1</v>
      </c>
      <c r="AI388" s="16">
        <v>1</v>
      </c>
      <c r="AJ388" s="5">
        <v>1</v>
      </c>
      <c r="AK388" s="5">
        <v>0</v>
      </c>
      <c r="AL388" s="5">
        <v>0</v>
      </c>
      <c r="AM388" s="20">
        <v>4</v>
      </c>
      <c r="AN388" s="20" t="s">
        <v>25</v>
      </c>
      <c r="AO388" s="16"/>
      <c r="AP388" s="16"/>
      <c r="AQ388" s="16"/>
      <c r="AR388" s="16">
        <v>0</v>
      </c>
      <c r="AS388" s="16">
        <v>0</v>
      </c>
      <c r="AT388" s="16"/>
      <c r="AU388" s="16"/>
      <c r="AV388" s="16"/>
      <c r="AW388" s="16"/>
      <c r="AX388" s="16">
        <v>0</v>
      </c>
      <c r="AY388" s="16">
        <v>0</v>
      </c>
      <c r="AZ388" s="16">
        <v>1</v>
      </c>
      <c r="BA388" s="16">
        <v>0</v>
      </c>
    </row>
    <row r="389" spans="1:53" x14ac:dyDescent="0.2">
      <c r="A389" s="14"/>
      <c r="B389" s="14" t="str">
        <f t="shared" si="101"/>
        <v>Guo et al. 2006</v>
      </c>
      <c r="C389" s="61">
        <f t="shared" si="102"/>
        <v>45</v>
      </c>
      <c r="D389" s="58">
        <v>2006</v>
      </c>
      <c r="E389" s="17"/>
      <c r="F389" s="58">
        <v>1</v>
      </c>
      <c r="G389" s="16">
        <v>1995</v>
      </c>
      <c r="H389" s="15">
        <f>LOOKUP(G389,CPI!A$69:A$100,CPI!O$69:O$100)</f>
        <v>1.4308136482939633</v>
      </c>
      <c r="I389" s="52">
        <v>2000</v>
      </c>
      <c r="J389" s="15">
        <f>3/14</f>
        <v>0.21428571428571427</v>
      </c>
      <c r="K389" s="15"/>
      <c r="L389" s="62"/>
      <c r="M389" s="56">
        <f t="shared" si="117"/>
        <v>199.37599016317401</v>
      </c>
      <c r="N389" s="14">
        <v>88</v>
      </c>
      <c r="O389" s="18">
        <f t="shared" si="114"/>
        <v>88</v>
      </c>
      <c r="P389" s="16">
        <v>0</v>
      </c>
      <c r="Q389" s="16">
        <v>1</v>
      </c>
      <c r="R389" s="16">
        <v>0</v>
      </c>
      <c r="S389" s="14"/>
      <c r="T389" s="56" t="str">
        <f t="shared" si="118"/>
        <v/>
      </c>
      <c r="U389" s="56" t="str">
        <f t="shared" si="115"/>
        <v/>
      </c>
      <c r="V389" s="56" t="str">
        <f t="shared" si="116"/>
        <v/>
      </c>
      <c r="W389" s="14"/>
      <c r="X389" s="14"/>
      <c r="Y389" s="14"/>
      <c r="Z389" s="14"/>
      <c r="AA389" s="18">
        <f t="shared" si="103"/>
        <v>88</v>
      </c>
      <c r="AB389" s="14"/>
      <c r="AC389" s="14"/>
      <c r="AD389" s="14"/>
      <c r="AE389" s="14"/>
      <c r="AF389" s="16">
        <v>0</v>
      </c>
      <c r="AG389" s="16">
        <v>1</v>
      </c>
      <c r="AH389" s="16">
        <v>1</v>
      </c>
      <c r="AI389" s="16">
        <v>1</v>
      </c>
      <c r="AJ389" s="5">
        <v>1</v>
      </c>
      <c r="AK389" s="5">
        <v>0</v>
      </c>
      <c r="AL389" s="5">
        <v>0</v>
      </c>
      <c r="AM389" s="20" t="s">
        <v>25</v>
      </c>
      <c r="AN389" s="20" t="s">
        <v>25</v>
      </c>
      <c r="AO389" s="16"/>
      <c r="AP389" s="16"/>
      <c r="AQ389" s="16"/>
      <c r="AR389" s="16">
        <v>0</v>
      </c>
      <c r="AS389" s="16">
        <v>0</v>
      </c>
      <c r="AT389" s="16"/>
      <c r="AU389" s="16"/>
      <c r="AV389" s="16"/>
      <c r="AW389" s="16"/>
      <c r="AX389" s="16">
        <v>0</v>
      </c>
      <c r="AY389" s="16">
        <v>0</v>
      </c>
      <c r="AZ389" s="16">
        <v>1</v>
      </c>
      <c r="BA389" s="16">
        <v>0</v>
      </c>
    </row>
    <row r="390" spans="1:53" x14ac:dyDescent="0.2">
      <c r="A390" s="14"/>
      <c r="B390" s="14" t="str">
        <f t="shared" si="101"/>
        <v>Guo et al. 2006</v>
      </c>
      <c r="C390" s="61">
        <f t="shared" si="102"/>
        <v>45</v>
      </c>
      <c r="D390" s="58">
        <v>2006</v>
      </c>
      <c r="E390" s="17"/>
      <c r="F390" s="58">
        <v>1</v>
      </c>
      <c r="G390" s="16">
        <v>1995</v>
      </c>
      <c r="H390" s="15">
        <f>LOOKUP(G390,CPI!A$69:A$100,CPI!O$69:O$100)</f>
        <v>1.4308136482939633</v>
      </c>
      <c r="I390" s="52">
        <v>2000</v>
      </c>
      <c r="J390" s="15">
        <f>1/9/14</f>
        <v>7.9365079365079361E-3</v>
      </c>
      <c r="K390" s="15"/>
      <c r="L390" s="62"/>
      <c r="M390" s="56">
        <f t="shared" si="117"/>
        <v>4.7578361288939259</v>
      </c>
      <c r="N390" s="14">
        <v>2.1</v>
      </c>
      <c r="O390" s="18">
        <f t="shared" si="114"/>
        <v>2.1</v>
      </c>
      <c r="P390" s="16">
        <v>0</v>
      </c>
      <c r="Q390" s="16">
        <v>1</v>
      </c>
      <c r="R390" s="16">
        <v>0</v>
      </c>
      <c r="S390" s="14"/>
      <c r="T390" s="56" t="str">
        <f t="shared" si="118"/>
        <v/>
      </c>
      <c r="U390" s="56" t="str">
        <f t="shared" si="115"/>
        <v/>
      </c>
      <c r="V390" s="56" t="str">
        <f t="shared" si="116"/>
        <v/>
      </c>
      <c r="W390" s="14"/>
      <c r="X390" s="14"/>
      <c r="Y390" s="14"/>
      <c r="Z390" s="14"/>
      <c r="AA390" s="18">
        <f t="shared" si="103"/>
        <v>2.1</v>
      </c>
      <c r="AB390" s="14"/>
      <c r="AC390" s="14"/>
      <c r="AD390" s="14"/>
      <c r="AE390" s="14"/>
      <c r="AF390" s="16">
        <v>0</v>
      </c>
      <c r="AG390" s="16">
        <v>1</v>
      </c>
      <c r="AH390" s="16">
        <v>1</v>
      </c>
      <c r="AI390" s="16">
        <v>1</v>
      </c>
      <c r="AJ390" s="5">
        <v>1</v>
      </c>
      <c r="AK390" s="5">
        <v>0</v>
      </c>
      <c r="AL390" s="5">
        <v>0</v>
      </c>
      <c r="AM390" s="20">
        <v>4</v>
      </c>
      <c r="AN390" s="20" t="s">
        <v>25</v>
      </c>
      <c r="AO390" s="16"/>
      <c r="AP390" s="16"/>
      <c r="AQ390" s="16"/>
      <c r="AR390" s="16">
        <v>0</v>
      </c>
      <c r="AS390" s="16">
        <v>0</v>
      </c>
      <c r="AT390" s="16"/>
      <c r="AU390" s="16"/>
      <c r="AV390" s="16"/>
      <c r="AW390" s="16"/>
      <c r="AX390" s="16">
        <v>0</v>
      </c>
      <c r="AY390" s="16">
        <v>0</v>
      </c>
      <c r="AZ390" s="16">
        <v>1</v>
      </c>
      <c r="BA390" s="16">
        <v>0</v>
      </c>
    </row>
    <row r="391" spans="1:53" x14ac:dyDescent="0.2">
      <c r="A391" s="14"/>
      <c r="B391" s="14" t="str">
        <f t="shared" si="101"/>
        <v>Guo et al. 2006</v>
      </c>
      <c r="C391" s="61">
        <f t="shared" si="102"/>
        <v>45</v>
      </c>
      <c r="D391" s="58">
        <v>2006</v>
      </c>
      <c r="E391" s="17"/>
      <c r="F391" s="58">
        <v>1</v>
      </c>
      <c r="G391" s="16">
        <v>1995</v>
      </c>
      <c r="H391" s="15">
        <f>LOOKUP(G391,CPI!A$69:A$100,CPI!O$69:O$100)</f>
        <v>1.4308136482939633</v>
      </c>
      <c r="I391" s="52">
        <v>2000</v>
      </c>
      <c r="J391" s="15">
        <f t="shared" ref="J391:J396" si="119">1/2/14</f>
        <v>3.5714285714285712E-2</v>
      </c>
      <c r="K391" s="15"/>
      <c r="L391" s="62"/>
      <c r="M391" s="56">
        <f t="shared" si="117"/>
        <v>419.14270659303634</v>
      </c>
      <c r="N391" s="14">
        <v>185</v>
      </c>
      <c r="O391" s="18">
        <f t="shared" si="114"/>
        <v>185</v>
      </c>
      <c r="P391" s="16">
        <v>0</v>
      </c>
      <c r="Q391" s="16">
        <v>1</v>
      </c>
      <c r="R391" s="16">
        <v>0</v>
      </c>
      <c r="S391" s="14"/>
      <c r="T391" s="56" t="str">
        <f t="shared" si="118"/>
        <v/>
      </c>
      <c r="U391" s="56" t="str">
        <f t="shared" si="115"/>
        <v/>
      </c>
      <c r="V391" s="56" t="str">
        <f t="shared" si="116"/>
        <v/>
      </c>
      <c r="W391" s="14"/>
      <c r="X391" s="14"/>
      <c r="Y391" s="14"/>
      <c r="Z391" s="14"/>
      <c r="AA391" s="18">
        <f t="shared" si="103"/>
        <v>185</v>
      </c>
      <c r="AB391" s="14"/>
      <c r="AC391" s="14"/>
      <c r="AD391" s="14"/>
      <c r="AE391" s="14"/>
      <c r="AF391" s="16">
        <v>0</v>
      </c>
      <c r="AG391" s="16">
        <v>1</v>
      </c>
      <c r="AH391" s="16">
        <v>1</v>
      </c>
      <c r="AI391" s="16">
        <v>1</v>
      </c>
      <c r="AJ391" s="5">
        <v>1</v>
      </c>
      <c r="AK391" s="5">
        <v>0</v>
      </c>
      <c r="AL391" s="5">
        <v>0</v>
      </c>
      <c r="AM391" s="20" t="s">
        <v>25</v>
      </c>
      <c r="AN391" s="20">
        <v>0</v>
      </c>
      <c r="AO391" s="16"/>
      <c r="AP391" s="16"/>
      <c r="AQ391" s="16"/>
      <c r="AR391" s="16">
        <v>0</v>
      </c>
      <c r="AS391" s="16">
        <v>0</v>
      </c>
      <c r="AT391" s="16"/>
      <c r="AU391" s="16"/>
      <c r="AV391" s="16"/>
      <c r="AW391" s="16"/>
      <c r="AX391" s="16">
        <v>0</v>
      </c>
      <c r="AY391" s="16">
        <v>0</v>
      </c>
      <c r="AZ391" s="16">
        <v>1</v>
      </c>
      <c r="BA391" s="16">
        <v>0</v>
      </c>
    </row>
    <row r="392" spans="1:53" x14ac:dyDescent="0.2">
      <c r="A392" s="14"/>
      <c r="B392" s="14" t="str">
        <f t="shared" si="101"/>
        <v>Guo et al. 2006</v>
      </c>
      <c r="C392" s="61">
        <f t="shared" si="102"/>
        <v>45</v>
      </c>
      <c r="D392" s="58">
        <v>2006</v>
      </c>
      <c r="E392" s="17"/>
      <c r="F392" s="58">
        <v>1</v>
      </c>
      <c r="G392" s="16">
        <v>1995</v>
      </c>
      <c r="H392" s="15">
        <f>LOOKUP(G392,CPI!A$69:A$100,CPI!O$69:O$100)</f>
        <v>1.4308136482939633</v>
      </c>
      <c r="I392" s="52">
        <v>2000</v>
      </c>
      <c r="J392" s="15">
        <f t="shared" si="119"/>
        <v>3.5714285714285712E-2</v>
      </c>
      <c r="K392" s="15"/>
      <c r="L392" s="62"/>
      <c r="M392" s="56">
        <f t="shared" si="117"/>
        <v>65.703451303773264</v>
      </c>
      <c r="N392" s="14">
        <v>29</v>
      </c>
      <c r="O392" s="18">
        <f t="shared" si="114"/>
        <v>29</v>
      </c>
      <c r="P392" s="16">
        <v>0</v>
      </c>
      <c r="Q392" s="16">
        <v>1</v>
      </c>
      <c r="R392" s="16">
        <v>0</v>
      </c>
      <c r="S392" s="14"/>
      <c r="T392" s="56" t="str">
        <f t="shared" si="118"/>
        <v/>
      </c>
      <c r="U392" s="56" t="str">
        <f t="shared" si="115"/>
        <v/>
      </c>
      <c r="V392" s="56" t="str">
        <f t="shared" si="116"/>
        <v/>
      </c>
      <c r="W392" s="14"/>
      <c r="X392" s="14"/>
      <c r="Y392" s="14"/>
      <c r="Z392" s="14"/>
      <c r="AA392" s="18">
        <f t="shared" si="103"/>
        <v>29</v>
      </c>
      <c r="AB392" s="14"/>
      <c r="AC392" s="14"/>
      <c r="AD392" s="14"/>
      <c r="AE392" s="14"/>
      <c r="AF392" s="16">
        <v>0</v>
      </c>
      <c r="AG392" s="16">
        <v>1</v>
      </c>
      <c r="AH392" s="16">
        <v>1</v>
      </c>
      <c r="AI392" s="16">
        <v>1</v>
      </c>
      <c r="AJ392" s="5">
        <v>1</v>
      </c>
      <c r="AK392" s="5">
        <v>0</v>
      </c>
      <c r="AL392" s="5">
        <v>0</v>
      </c>
      <c r="AM392" s="20" t="s">
        <v>25</v>
      </c>
      <c r="AN392" s="20">
        <v>1</v>
      </c>
      <c r="AO392" s="16"/>
      <c r="AP392" s="16"/>
      <c r="AQ392" s="16"/>
      <c r="AR392" s="16">
        <v>0</v>
      </c>
      <c r="AS392" s="16">
        <v>0</v>
      </c>
      <c r="AT392" s="16"/>
      <c r="AU392" s="16"/>
      <c r="AV392" s="16"/>
      <c r="AW392" s="16"/>
      <c r="AX392" s="16">
        <v>0</v>
      </c>
      <c r="AY392" s="16">
        <v>0</v>
      </c>
      <c r="AZ392" s="16">
        <v>1</v>
      </c>
      <c r="BA392" s="16">
        <v>0</v>
      </c>
    </row>
    <row r="393" spans="1:53" x14ac:dyDescent="0.2">
      <c r="A393" s="14"/>
      <c r="B393" s="14" t="str">
        <f t="shared" si="101"/>
        <v>Guo et al. 2006</v>
      </c>
      <c r="C393" s="61">
        <f t="shared" si="102"/>
        <v>45</v>
      </c>
      <c r="D393" s="58">
        <v>2006</v>
      </c>
      <c r="E393" s="17"/>
      <c r="F393" s="58">
        <v>1</v>
      </c>
      <c r="G393" s="16">
        <v>1995</v>
      </c>
      <c r="H393" s="15">
        <f>LOOKUP(G393,CPI!A$69:A$100,CPI!O$69:O$100)</f>
        <v>1.4308136482939633</v>
      </c>
      <c r="I393" s="52">
        <v>2000</v>
      </c>
      <c r="J393" s="15">
        <f t="shared" si="119"/>
        <v>3.5714285714285712E-2</v>
      </c>
      <c r="K393" s="15"/>
      <c r="L393" s="62"/>
      <c r="M393" s="56">
        <f t="shared" si="117"/>
        <v>-2.9453271274105255</v>
      </c>
      <c r="N393" s="14">
        <v>-1.3</v>
      </c>
      <c r="O393" s="18">
        <f t="shared" si="114"/>
        <v>-1.3</v>
      </c>
      <c r="P393" s="16">
        <v>0</v>
      </c>
      <c r="Q393" s="16">
        <v>1</v>
      </c>
      <c r="R393" s="16">
        <v>0</v>
      </c>
      <c r="S393" s="14"/>
      <c r="T393" s="56" t="str">
        <f t="shared" si="118"/>
        <v/>
      </c>
      <c r="U393" s="56" t="str">
        <f t="shared" si="115"/>
        <v/>
      </c>
      <c r="V393" s="56" t="str">
        <f t="shared" si="116"/>
        <v/>
      </c>
      <c r="W393" s="14"/>
      <c r="X393" s="14"/>
      <c r="Y393" s="14"/>
      <c r="Z393" s="14"/>
      <c r="AA393" s="18">
        <f t="shared" si="103"/>
        <v>-1.3</v>
      </c>
      <c r="AB393" s="14"/>
      <c r="AC393" s="14"/>
      <c r="AD393" s="14"/>
      <c r="AE393" s="14"/>
      <c r="AF393" s="16">
        <v>0</v>
      </c>
      <c r="AG393" s="16">
        <v>1</v>
      </c>
      <c r="AH393" s="16">
        <v>1</v>
      </c>
      <c r="AI393" s="16">
        <v>1</v>
      </c>
      <c r="AJ393" s="5">
        <v>1</v>
      </c>
      <c r="AK393" s="5">
        <v>0</v>
      </c>
      <c r="AL393" s="5">
        <v>0</v>
      </c>
      <c r="AM393" s="20" t="s">
        <v>25</v>
      </c>
      <c r="AN393" s="20">
        <v>3</v>
      </c>
      <c r="AO393" s="16"/>
      <c r="AP393" s="16"/>
      <c r="AQ393" s="16"/>
      <c r="AR393" s="16">
        <v>0</v>
      </c>
      <c r="AS393" s="16">
        <v>0</v>
      </c>
      <c r="AT393" s="16"/>
      <c r="AU393" s="16"/>
      <c r="AV393" s="16"/>
      <c r="AW393" s="16"/>
      <c r="AX393" s="16">
        <v>0</v>
      </c>
      <c r="AY393" s="16">
        <v>0</v>
      </c>
      <c r="AZ393" s="16">
        <v>1</v>
      </c>
      <c r="BA393" s="16">
        <v>0</v>
      </c>
    </row>
    <row r="394" spans="1:53" x14ac:dyDescent="0.2">
      <c r="A394" s="14"/>
      <c r="B394" s="14" t="str">
        <f t="shared" ref="B394:B457" si="120">+IF(A394="",B393,A394&amp;" "&amp;D394)</f>
        <v>Guo et al. 2006</v>
      </c>
      <c r="C394" s="61">
        <f t="shared" ref="C394:C457" si="121">+IF(A394="",C393,C393+1)</f>
        <v>45</v>
      </c>
      <c r="D394" s="58">
        <v>2006</v>
      </c>
      <c r="E394" s="17"/>
      <c r="F394" s="58">
        <v>1</v>
      </c>
      <c r="G394" s="16">
        <v>1995</v>
      </c>
      <c r="H394" s="15">
        <f>LOOKUP(G394,CPI!A$69:A$100,CPI!O$69:O$100)</f>
        <v>1.4308136482939633</v>
      </c>
      <c r="I394" s="52">
        <v>2000</v>
      </c>
      <c r="J394" s="15">
        <f t="shared" si="119"/>
        <v>3.5714285714285712E-2</v>
      </c>
      <c r="K394" s="15"/>
      <c r="L394" s="62"/>
      <c r="M394" s="56">
        <f t="shared" si="117"/>
        <v>192.57908140761126</v>
      </c>
      <c r="N394" s="14">
        <v>85</v>
      </c>
      <c r="O394" s="18">
        <f t="shared" si="114"/>
        <v>85</v>
      </c>
      <c r="P394" s="16">
        <v>0</v>
      </c>
      <c r="Q394" s="16">
        <v>1</v>
      </c>
      <c r="R394" s="16">
        <v>0</v>
      </c>
      <c r="S394" s="14"/>
      <c r="T394" s="56" t="str">
        <f t="shared" si="118"/>
        <v/>
      </c>
      <c r="U394" s="56" t="str">
        <f t="shared" si="115"/>
        <v/>
      </c>
      <c r="V394" s="56" t="str">
        <f t="shared" si="116"/>
        <v/>
      </c>
      <c r="W394" s="14"/>
      <c r="X394" s="14"/>
      <c r="Y394" s="14"/>
      <c r="Z394" s="14"/>
      <c r="AA394" s="18">
        <f t="shared" si="103"/>
        <v>85</v>
      </c>
      <c r="AB394" s="14"/>
      <c r="AC394" s="14"/>
      <c r="AD394" s="14"/>
      <c r="AE394" s="14"/>
      <c r="AF394" s="16">
        <v>0</v>
      </c>
      <c r="AG394" s="16">
        <v>1</v>
      </c>
      <c r="AH394" s="16">
        <v>1</v>
      </c>
      <c r="AI394" s="16">
        <v>1</v>
      </c>
      <c r="AJ394" s="5">
        <v>1</v>
      </c>
      <c r="AK394" s="5">
        <v>0</v>
      </c>
      <c r="AL394" s="5">
        <v>0</v>
      </c>
      <c r="AM394" s="20" t="s">
        <v>25</v>
      </c>
      <c r="AN394" s="20">
        <v>0</v>
      </c>
      <c r="AO394" s="16"/>
      <c r="AP394" s="16"/>
      <c r="AQ394" s="16"/>
      <c r="AR394" s="16">
        <v>0</v>
      </c>
      <c r="AS394" s="16">
        <v>0</v>
      </c>
      <c r="AT394" s="16"/>
      <c r="AU394" s="16"/>
      <c r="AV394" s="16"/>
      <c r="AW394" s="16"/>
      <c r="AX394" s="16">
        <v>0</v>
      </c>
      <c r="AY394" s="16">
        <v>0</v>
      </c>
      <c r="AZ394" s="16">
        <v>1</v>
      </c>
      <c r="BA394" s="16">
        <v>0</v>
      </c>
    </row>
    <row r="395" spans="1:53" x14ac:dyDescent="0.2">
      <c r="A395" s="14"/>
      <c r="B395" s="14" t="str">
        <f t="shared" si="120"/>
        <v>Guo et al. 2006</v>
      </c>
      <c r="C395" s="61">
        <f t="shared" si="121"/>
        <v>45</v>
      </c>
      <c r="D395" s="58">
        <v>2006</v>
      </c>
      <c r="E395" s="17"/>
      <c r="F395" s="58">
        <v>1</v>
      </c>
      <c r="G395" s="16">
        <v>1995</v>
      </c>
      <c r="H395" s="15">
        <f>LOOKUP(G395,CPI!A$69:A$100,CPI!O$69:O$100)</f>
        <v>1.4308136482939633</v>
      </c>
      <c r="I395" s="52">
        <v>2000</v>
      </c>
      <c r="J395" s="15">
        <f t="shared" si="119"/>
        <v>3.5714285714285712E-2</v>
      </c>
      <c r="K395" s="15"/>
      <c r="L395" s="62"/>
      <c r="M395" s="56">
        <f t="shared" si="117"/>
        <v>33.984543777813755</v>
      </c>
      <c r="N395" s="14">
        <v>15</v>
      </c>
      <c r="O395" s="18">
        <f t="shared" si="114"/>
        <v>15</v>
      </c>
      <c r="P395" s="16">
        <v>0</v>
      </c>
      <c r="Q395" s="16">
        <v>1</v>
      </c>
      <c r="R395" s="16">
        <v>0</v>
      </c>
      <c r="S395" s="14"/>
      <c r="T395" s="56" t="str">
        <f t="shared" si="118"/>
        <v/>
      </c>
      <c r="U395" s="56" t="str">
        <f t="shared" si="115"/>
        <v/>
      </c>
      <c r="V395" s="56" t="str">
        <f t="shared" si="116"/>
        <v/>
      </c>
      <c r="W395" s="14"/>
      <c r="X395" s="14"/>
      <c r="Y395" s="14"/>
      <c r="Z395" s="14"/>
      <c r="AA395" s="18">
        <f t="shared" si="103"/>
        <v>15</v>
      </c>
      <c r="AB395" s="14"/>
      <c r="AC395" s="14"/>
      <c r="AD395" s="14"/>
      <c r="AE395" s="14"/>
      <c r="AF395" s="16">
        <v>0</v>
      </c>
      <c r="AG395" s="16">
        <v>1</v>
      </c>
      <c r="AH395" s="16">
        <v>1</v>
      </c>
      <c r="AI395" s="16">
        <v>1</v>
      </c>
      <c r="AJ395" s="5">
        <v>1</v>
      </c>
      <c r="AK395" s="5">
        <v>0</v>
      </c>
      <c r="AL395" s="5">
        <v>0</v>
      </c>
      <c r="AM395" s="20" t="s">
        <v>25</v>
      </c>
      <c r="AN395" s="20">
        <v>1</v>
      </c>
      <c r="AO395" s="16"/>
      <c r="AP395" s="16"/>
      <c r="AQ395" s="16"/>
      <c r="AR395" s="16">
        <v>0</v>
      </c>
      <c r="AS395" s="16">
        <v>0</v>
      </c>
      <c r="AT395" s="16"/>
      <c r="AU395" s="16"/>
      <c r="AV395" s="16"/>
      <c r="AW395" s="16"/>
      <c r="AX395" s="16">
        <v>0</v>
      </c>
      <c r="AY395" s="16">
        <v>0</v>
      </c>
      <c r="AZ395" s="16">
        <v>1</v>
      </c>
      <c r="BA395" s="16">
        <v>0</v>
      </c>
    </row>
    <row r="396" spans="1:53" x14ac:dyDescent="0.2">
      <c r="A396" s="14"/>
      <c r="B396" s="14" t="str">
        <f t="shared" si="120"/>
        <v>Guo et al. 2006</v>
      </c>
      <c r="C396" s="61">
        <f t="shared" si="121"/>
        <v>45</v>
      </c>
      <c r="D396" s="58">
        <v>2006</v>
      </c>
      <c r="E396" s="17"/>
      <c r="F396" s="58">
        <v>1</v>
      </c>
      <c r="G396" s="16">
        <v>1995</v>
      </c>
      <c r="H396" s="15">
        <f>LOOKUP(G396,CPI!A$69:A$100,CPI!O$69:O$100)</f>
        <v>1.4308136482939633</v>
      </c>
      <c r="I396" s="52">
        <v>2000</v>
      </c>
      <c r="J396" s="15">
        <f t="shared" si="119"/>
        <v>3.5714285714285712E-2</v>
      </c>
      <c r="K396" s="15"/>
      <c r="L396" s="62"/>
      <c r="M396" s="56">
        <f t="shared" si="117"/>
        <v>-4.7578361288939259</v>
      </c>
      <c r="N396" s="14">
        <v>-2.1</v>
      </c>
      <c r="O396" s="18">
        <f t="shared" si="114"/>
        <v>-2.1</v>
      </c>
      <c r="P396" s="16">
        <v>0</v>
      </c>
      <c r="Q396" s="16">
        <v>1</v>
      </c>
      <c r="R396" s="16">
        <v>0</v>
      </c>
      <c r="S396" s="14"/>
      <c r="T396" s="56" t="str">
        <f t="shared" si="118"/>
        <v/>
      </c>
      <c r="U396" s="56" t="str">
        <f t="shared" si="115"/>
        <v/>
      </c>
      <c r="V396" s="56" t="str">
        <f t="shared" si="116"/>
        <v/>
      </c>
      <c r="W396" s="14"/>
      <c r="X396" s="14"/>
      <c r="Y396" s="14"/>
      <c r="Z396" s="14"/>
      <c r="AA396" s="18">
        <f t="shared" si="103"/>
        <v>-2.1</v>
      </c>
      <c r="AB396" s="14"/>
      <c r="AC396" s="14"/>
      <c r="AD396" s="14"/>
      <c r="AE396" s="14"/>
      <c r="AF396" s="16">
        <v>0</v>
      </c>
      <c r="AG396" s="16">
        <v>1</v>
      </c>
      <c r="AH396" s="16">
        <v>1</v>
      </c>
      <c r="AI396" s="16">
        <v>1</v>
      </c>
      <c r="AJ396" s="5">
        <v>1</v>
      </c>
      <c r="AK396" s="5">
        <v>0</v>
      </c>
      <c r="AL396" s="5">
        <v>0</v>
      </c>
      <c r="AM396" s="20" t="s">
        <v>25</v>
      </c>
      <c r="AN396" s="20">
        <v>3</v>
      </c>
      <c r="AO396" s="16"/>
      <c r="AP396" s="16"/>
      <c r="AQ396" s="16"/>
      <c r="AR396" s="16">
        <v>0</v>
      </c>
      <c r="AS396" s="16">
        <v>0</v>
      </c>
      <c r="AT396" s="16"/>
      <c r="AU396" s="16"/>
      <c r="AV396" s="16"/>
      <c r="AW396" s="16"/>
      <c r="AX396" s="16">
        <v>0</v>
      </c>
      <c r="AY396" s="16">
        <v>0</v>
      </c>
      <c r="AZ396" s="16">
        <v>1</v>
      </c>
      <c r="BA396" s="16">
        <v>0</v>
      </c>
    </row>
    <row r="397" spans="1:53" x14ac:dyDescent="0.2">
      <c r="A397" s="14"/>
      <c r="B397" s="14" t="str">
        <f t="shared" si="120"/>
        <v>Guo et al. 2006</v>
      </c>
      <c r="C397" s="61">
        <f t="shared" si="121"/>
        <v>45</v>
      </c>
      <c r="D397" s="58">
        <v>2006</v>
      </c>
      <c r="E397" s="17"/>
      <c r="F397" s="58">
        <v>1</v>
      </c>
      <c r="G397" s="16">
        <v>1995</v>
      </c>
      <c r="H397" s="15">
        <f>LOOKUP(G397,CPI!A$69:A$100,CPI!O$69:O$100)</f>
        <v>1.4308136482939633</v>
      </c>
      <c r="I397" s="52">
        <v>2000</v>
      </c>
      <c r="J397" s="15">
        <f>3/14</f>
        <v>0.21428571428571427</v>
      </c>
      <c r="K397" s="15"/>
      <c r="L397" s="62"/>
      <c r="M397" s="56">
        <f t="shared" si="117"/>
        <v>79.297268814898757</v>
      </c>
      <c r="N397" s="14">
        <v>35</v>
      </c>
      <c r="O397" s="18">
        <f t="shared" si="114"/>
        <v>35</v>
      </c>
      <c r="P397" s="16">
        <v>0</v>
      </c>
      <c r="Q397" s="16">
        <v>1</v>
      </c>
      <c r="R397" s="16">
        <v>0</v>
      </c>
      <c r="S397" s="14"/>
      <c r="T397" s="56" t="str">
        <f t="shared" si="118"/>
        <v/>
      </c>
      <c r="U397" s="56" t="str">
        <f t="shared" si="115"/>
        <v/>
      </c>
      <c r="V397" s="56" t="str">
        <f t="shared" si="116"/>
        <v/>
      </c>
      <c r="W397" s="14"/>
      <c r="X397" s="14"/>
      <c r="Y397" s="14"/>
      <c r="Z397" s="14"/>
      <c r="AA397" s="18">
        <f t="shared" si="103"/>
        <v>35</v>
      </c>
      <c r="AB397" s="14"/>
      <c r="AC397" s="14"/>
      <c r="AD397" s="14"/>
      <c r="AE397" s="14"/>
      <c r="AF397" s="16">
        <v>0</v>
      </c>
      <c r="AG397" s="16">
        <v>1</v>
      </c>
      <c r="AH397" s="16">
        <v>1</v>
      </c>
      <c r="AI397" s="16">
        <v>1</v>
      </c>
      <c r="AJ397" s="5">
        <v>1</v>
      </c>
      <c r="AK397" s="5">
        <v>0</v>
      </c>
      <c r="AL397" s="5">
        <v>0</v>
      </c>
      <c r="AM397" s="20" t="s">
        <v>25</v>
      </c>
      <c r="AN397" s="20" t="s">
        <v>25</v>
      </c>
      <c r="AO397" s="16"/>
      <c r="AP397" s="16"/>
      <c r="AQ397" s="16"/>
      <c r="AR397" s="16">
        <v>0</v>
      </c>
      <c r="AS397" s="16">
        <v>0</v>
      </c>
      <c r="AT397" s="16"/>
      <c r="AU397" s="16"/>
      <c r="AV397" s="16"/>
      <c r="AW397" s="16"/>
      <c r="AX397" s="16">
        <v>0</v>
      </c>
      <c r="AY397" s="16">
        <v>0</v>
      </c>
      <c r="AZ397" s="16">
        <v>1</v>
      </c>
      <c r="BA397" s="16">
        <v>0</v>
      </c>
    </row>
    <row r="398" spans="1:53" x14ac:dyDescent="0.2">
      <c r="A398" s="14" t="s">
        <v>28</v>
      </c>
      <c r="B398" s="14" t="str">
        <f t="shared" si="120"/>
        <v>Hope 2006</v>
      </c>
      <c r="C398" s="61">
        <f t="shared" si="121"/>
        <v>46</v>
      </c>
      <c r="D398" s="58">
        <v>2006</v>
      </c>
      <c r="E398" s="17" t="s">
        <v>114</v>
      </c>
      <c r="F398" s="58">
        <v>1</v>
      </c>
      <c r="G398" s="16">
        <v>2000</v>
      </c>
      <c r="H398" s="15">
        <f>LOOKUP(G398,CPI!A$69:A$100,CPI!O$69:O$100)</f>
        <v>1.2662950058072011</v>
      </c>
      <c r="I398" s="52">
        <v>2000</v>
      </c>
      <c r="J398" s="15">
        <v>1</v>
      </c>
      <c r="K398" s="15"/>
      <c r="L398" s="62"/>
      <c r="M398" s="56">
        <f t="shared" si="117"/>
        <v>38.097423524211194</v>
      </c>
      <c r="N398" s="18">
        <f>O398</f>
        <v>19</v>
      </c>
      <c r="O398" s="14">
        <v>19</v>
      </c>
      <c r="P398" s="16">
        <v>1</v>
      </c>
      <c r="Q398" s="16">
        <v>0</v>
      </c>
      <c r="R398" s="16">
        <v>0</v>
      </c>
      <c r="S398" s="14"/>
      <c r="T398" s="56" t="str">
        <f t="shared" si="118"/>
        <v/>
      </c>
      <c r="U398" s="56">
        <f t="shared" ref="U398" si="122">+(AA398-X398)/1.96*H398*(1+$L$2)^(2015-I398)</f>
        <v>15.345363932952951</v>
      </c>
      <c r="V398" s="56">
        <f t="shared" ref="V398" si="123">+(AD398-AA398)/1.96*H398*(1+$L$2)^(2015-I398)</f>
        <v>32.736776390299632</v>
      </c>
      <c r="W398" s="14"/>
      <c r="X398" s="14">
        <v>4</v>
      </c>
      <c r="Y398" s="14"/>
      <c r="Z398" s="14"/>
      <c r="AA398" s="18">
        <f t="shared" si="103"/>
        <v>19</v>
      </c>
      <c r="AB398" s="14"/>
      <c r="AC398" s="14"/>
      <c r="AD398" s="14">
        <v>51</v>
      </c>
      <c r="AE398" s="14"/>
      <c r="AF398" s="16">
        <v>0</v>
      </c>
      <c r="AG398" s="16">
        <v>1</v>
      </c>
      <c r="AH398" s="16">
        <v>0</v>
      </c>
      <c r="AI398" s="16">
        <v>1</v>
      </c>
      <c r="AJ398" s="5">
        <v>0</v>
      </c>
      <c r="AK398" s="5">
        <v>0</v>
      </c>
      <c r="AL398" s="5">
        <v>1</v>
      </c>
      <c r="AM398" s="20"/>
      <c r="AN398" s="20">
        <v>3</v>
      </c>
      <c r="AO398" s="16"/>
      <c r="AP398" s="16"/>
      <c r="AQ398" s="16"/>
      <c r="AR398" s="16">
        <v>0</v>
      </c>
      <c r="AS398" s="16">
        <v>0</v>
      </c>
      <c r="AT398" s="16"/>
      <c r="AU398" s="16"/>
      <c r="AV398" s="16"/>
      <c r="AW398" s="16"/>
      <c r="AX398" s="16">
        <v>1</v>
      </c>
      <c r="AY398" s="16">
        <v>0</v>
      </c>
      <c r="AZ398" s="16">
        <v>0</v>
      </c>
      <c r="BA398" s="16">
        <v>0</v>
      </c>
    </row>
    <row r="399" spans="1:53" x14ac:dyDescent="0.2">
      <c r="A399" s="14" t="s">
        <v>29</v>
      </c>
      <c r="B399" s="14" t="str">
        <f t="shared" si="120"/>
        <v>Stern et al. 2006</v>
      </c>
      <c r="C399" s="61">
        <f t="shared" si="121"/>
        <v>47</v>
      </c>
      <c r="D399" s="58">
        <v>2006</v>
      </c>
      <c r="E399" s="17" t="s">
        <v>102</v>
      </c>
      <c r="F399" s="58">
        <v>0</v>
      </c>
      <c r="G399" s="22">
        <v>2000</v>
      </c>
      <c r="H399" s="15">
        <f>LOOKUP(G399,CPI!A$69:A$100,CPI!O$69:O$100)</f>
        <v>1.2662950058072011</v>
      </c>
      <c r="I399" s="69">
        <v>2000</v>
      </c>
      <c r="J399" s="15">
        <v>1</v>
      </c>
      <c r="K399" s="15"/>
      <c r="L399" s="62"/>
      <c r="M399" s="56">
        <f t="shared" si="117"/>
        <v>629.61005192643768</v>
      </c>
      <c r="N399" s="14">
        <v>314</v>
      </c>
      <c r="O399" s="18">
        <f>N399</f>
        <v>314</v>
      </c>
      <c r="P399" s="16">
        <v>0</v>
      </c>
      <c r="Q399" s="16">
        <v>1</v>
      </c>
      <c r="R399" s="16">
        <v>0</v>
      </c>
      <c r="S399" s="14"/>
      <c r="T399" s="56" t="str">
        <f t="shared" si="118"/>
        <v/>
      </c>
      <c r="U399" s="56" t="str">
        <f>+V399</f>
        <v/>
      </c>
      <c r="V399" s="56" t="str">
        <f>+T399</f>
        <v/>
      </c>
      <c r="W399" s="14"/>
      <c r="X399" s="14"/>
      <c r="Y399" s="14"/>
      <c r="Z399" s="14"/>
      <c r="AA399" s="18">
        <f t="shared" si="103"/>
        <v>314</v>
      </c>
      <c r="AB399" s="14"/>
      <c r="AC399" s="14"/>
      <c r="AD399" s="14"/>
      <c r="AE399" s="14"/>
      <c r="AF399" s="16">
        <v>0</v>
      </c>
      <c r="AG399" s="16">
        <v>1</v>
      </c>
      <c r="AH399" s="16">
        <v>0</v>
      </c>
      <c r="AI399" s="16">
        <v>1</v>
      </c>
      <c r="AJ399" s="5">
        <v>0</v>
      </c>
      <c r="AK399" s="5">
        <v>0</v>
      </c>
      <c r="AL399" s="5">
        <v>1</v>
      </c>
      <c r="AM399" s="13">
        <v>1.4</v>
      </c>
      <c r="AN399" s="13">
        <v>0.1</v>
      </c>
      <c r="AO399" s="5">
        <v>1</v>
      </c>
      <c r="AP399" s="3">
        <v>1.3</v>
      </c>
      <c r="AQ399" s="16"/>
      <c r="AR399" s="16">
        <v>0</v>
      </c>
      <c r="AS399" s="16">
        <v>0</v>
      </c>
      <c r="AT399" s="16"/>
      <c r="AU399" s="5">
        <v>4</v>
      </c>
      <c r="AV399" s="16"/>
      <c r="AW399" s="16"/>
      <c r="AX399" s="16">
        <v>0</v>
      </c>
      <c r="AY399" s="16">
        <v>0</v>
      </c>
      <c r="AZ399" s="16">
        <v>0</v>
      </c>
      <c r="BA399" s="16">
        <v>0</v>
      </c>
    </row>
    <row r="400" spans="1:53" x14ac:dyDescent="0.2">
      <c r="A400" s="14" t="s">
        <v>177</v>
      </c>
      <c r="B400" s="14" t="str">
        <f t="shared" si="120"/>
        <v>Wahba &amp; Hope 2006</v>
      </c>
      <c r="C400" s="61">
        <f t="shared" si="121"/>
        <v>48</v>
      </c>
      <c r="D400" s="58">
        <v>2006</v>
      </c>
      <c r="E400" s="17" t="s">
        <v>101</v>
      </c>
      <c r="F400" s="58">
        <v>1</v>
      </c>
      <c r="G400" s="16">
        <v>2000</v>
      </c>
      <c r="H400" s="15">
        <f>LOOKUP(G400,CPI!A$69:A$100,CPI!O$69:O$100)</f>
        <v>1.2662950058072011</v>
      </c>
      <c r="I400" s="52">
        <v>2000</v>
      </c>
      <c r="J400" s="15">
        <v>0.2</v>
      </c>
      <c r="K400" s="15"/>
      <c r="L400" s="62"/>
      <c r="M400" s="56">
        <f t="shared" si="117"/>
        <v>38.097423524211194</v>
      </c>
      <c r="N400" s="18">
        <f t="shared" ref="N400:N407" si="124">O400</f>
        <v>19</v>
      </c>
      <c r="O400" s="14">
        <v>19</v>
      </c>
      <c r="P400" s="16">
        <v>1</v>
      </c>
      <c r="Q400" s="16">
        <v>0</v>
      </c>
      <c r="R400" s="16">
        <v>0</v>
      </c>
      <c r="S400" s="14"/>
      <c r="T400" s="56" t="str">
        <f t="shared" si="118"/>
        <v/>
      </c>
      <c r="U400" s="56">
        <f t="shared" ref="U400:U401" si="125">+(AA400-X400)/1.96*H400*(1+$L$2)^(2015-I400)</f>
        <v>14.32233967075609</v>
      </c>
      <c r="V400" s="56">
        <f t="shared" ref="V400:V401" si="126">+(AD400-AA400)/1.96*H400*(1+$L$2)^(2015-I400)</f>
        <v>30.690727865905902</v>
      </c>
      <c r="W400" s="14"/>
      <c r="X400" s="14">
        <v>5</v>
      </c>
      <c r="Y400" s="14"/>
      <c r="Z400" s="14"/>
      <c r="AA400" s="18">
        <f t="shared" si="103"/>
        <v>19</v>
      </c>
      <c r="AB400" s="14"/>
      <c r="AC400" s="14"/>
      <c r="AD400" s="14">
        <v>49</v>
      </c>
      <c r="AE400" s="14"/>
      <c r="AF400" s="16">
        <v>0</v>
      </c>
      <c r="AG400" s="16">
        <v>1</v>
      </c>
      <c r="AH400" s="16">
        <v>0</v>
      </c>
      <c r="AI400" s="16">
        <v>1</v>
      </c>
      <c r="AJ400" s="5">
        <v>0</v>
      </c>
      <c r="AK400" s="5">
        <v>0</v>
      </c>
      <c r="AL400" s="5">
        <v>1</v>
      </c>
      <c r="AM400" s="20"/>
      <c r="AN400" s="20">
        <v>3</v>
      </c>
      <c r="AO400" s="5">
        <v>1</v>
      </c>
      <c r="AP400" s="16"/>
      <c r="AQ400" s="16"/>
      <c r="AR400" s="16">
        <v>0</v>
      </c>
      <c r="AS400" s="16">
        <v>0</v>
      </c>
      <c r="AT400" s="16"/>
      <c r="AU400" s="16"/>
      <c r="AV400" s="16"/>
      <c r="AW400" s="16"/>
      <c r="AX400" s="16">
        <v>1</v>
      </c>
      <c r="AY400" s="16">
        <v>0</v>
      </c>
      <c r="AZ400" s="16">
        <v>0</v>
      </c>
      <c r="BA400" s="16">
        <v>0</v>
      </c>
    </row>
    <row r="401" spans="1:53" x14ac:dyDescent="0.2">
      <c r="A401" s="14"/>
      <c r="B401" s="14" t="str">
        <f t="shared" si="120"/>
        <v>Wahba &amp; Hope 2006</v>
      </c>
      <c r="C401" s="61">
        <f t="shared" si="121"/>
        <v>48</v>
      </c>
      <c r="D401" s="58">
        <v>2006</v>
      </c>
      <c r="E401" s="17"/>
      <c r="F401" s="58">
        <v>1</v>
      </c>
      <c r="G401" s="16">
        <v>2000</v>
      </c>
      <c r="H401" s="15">
        <f>LOOKUP(G401,CPI!A$69:A$100,CPI!O$69:O$100)</f>
        <v>1.2662950058072011</v>
      </c>
      <c r="I401" s="52">
        <v>2000</v>
      </c>
      <c r="J401" s="15">
        <v>0.2</v>
      </c>
      <c r="K401" s="15"/>
      <c r="L401" s="62"/>
      <c r="M401" s="56">
        <f t="shared" si="117"/>
        <v>28.071785754681933</v>
      </c>
      <c r="N401" s="18">
        <f t="shared" si="124"/>
        <v>14</v>
      </c>
      <c r="O401" s="14">
        <v>14</v>
      </c>
      <c r="P401" s="16">
        <v>1</v>
      </c>
      <c r="Q401" s="16">
        <v>0</v>
      </c>
      <c r="R401" s="16">
        <v>0</v>
      </c>
      <c r="S401" s="14"/>
      <c r="T401" s="56" t="str">
        <f t="shared" si="118"/>
        <v/>
      </c>
      <c r="U401" s="56">
        <f t="shared" si="125"/>
        <v>11.2532668841655</v>
      </c>
      <c r="V401" s="56">
        <f t="shared" si="126"/>
        <v>27.621655079315314</v>
      </c>
      <c r="W401" s="14"/>
      <c r="X401" s="14">
        <v>3</v>
      </c>
      <c r="Y401" s="14"/>
      <c r="Z401" s="14"/>
      <c r="AA401" s="18">
        <f t="shared" si="103"/>
        <v>14</v>
      </c>
      <c r="AB401" s="14"/>
      <c r="AC401" s="14"/>
      <c r="AD401" s="14">
        <v>41</v>
      </c>
      <c r="AE401" s="14"/>
      <c r="AF401" s="16">
        <v>0</v>
      </c>
      <c r="AG401" s="16">
        <v>1</v>
      </c>
      <c r="AH401" s="16">
        <v>0</v>
      </c>
      <c r="AI401" s="16">
        <v>1</v>
      </c>
      <c r="AJ401" s="5">
        <v>0</v>
      </c>
      <c r="AK401" s="5">
        <v>0</v>
      </c>
      <c r="AL401" s="5">
        <v>1</v>
      </c>
      <c r="AM401" s="20"/>
      <c r="AN401" s="20">
        <v>3</v>
      </c>
      <c r="AO401" s="5">
        <v>1</v>
      </c>
      <c r="AP401" s="16"/>
      <c r="AQ401" s="16"/>
      <c r="AR401" s="16">
        <v>0</v>
      </c>
      <c r="AS401" s="16">
        <v>0</v>
      </c>
      <c r="AT401" s="16"/>
      <c r="AU401" s="16"/>
      <c r="AV401" s="16"/>
      <c r="AW401" s="16"/>
      <c r="AX401" s="16">
        <v>1</v>
      </c>
      <c r="AY401" s="16">
        <v>0</v>
      </c>
      <c r="AZ401" s="16">
        <v>0</v>
      </c>
      <c r="BA401" s="16">
        <v>0</v>
      </c>
    </row>
    <row r="402" spans="1:53" x14ac:dyDescent="0.2">
      <c r="A402" s="14"/>
      <c r="B402" s="14" t="str">
        <f t="shared" si="120"/>
        <v>Wahba &amp; Hope 2006</v>
      </c>
      <c r="C402" s="61">
        <f t="shared" si="121"/>
        <v>48</v>
      </c>
      <c r="D402" s="58">
        <v>2006</v>
      </c>
      <c r="E402" s="17"/>
      <c r="F402" s="58">
        <v>1</v>
      </c>
      <c r="G402" s="16">
        <v>2000</v>
      </c>
      <c r="H402" s="15">
        <f>LOOKUP(G402,CPI!A$69:A$100,CPI!O$69:O$100)</f>
        <v>1.2662950058072011</v>
      </c>
      <c r="I402" s="52">
        <v>2000</v>
      </c>
      <c r="J402" s="15">
        <v>0.1</v>
      </c>
      <c r="K402" s="15"/>
      <c r="L402" s="62"/>
      <c r="M402" s="56">
        <f t="shared" si="117"/>
        <v>94.240995033575075</v>
      </c>
      <c r="N402" s="18">
        <f t="shared" si="124"/>
        <v>47</v>
      </c>
      <c r="O402" s="14">
        <v>47</v>
      </c>
      <c r="P402" s="16">
        <v>1</v>
      </c>
      <c r="Q402" s="16">
        <v>0</v>
      </c>
      <c r="R402" s="16">
        <v>0</v>
      </c>
      <c r="S402" s="14"/>
      <c r="T402" s="56" t="str">
        <f t="shared" si="118"/>
        <v/>
      </c>
      <c r="U402" s="56" t="str">
        <f t="shared" ref="U402:U421" si="127">+V402</f>
        <v/>
      </c>
      <c r="V402" s="56" t="str">
        <f t="shared" ref="V402:V421" si="128">+T402</f>
        <v/>
      </c>
      <c r="W402" s="14"/>
      <c r="X402" s="14"/>
      <c r="Y402" s="14"/>
      <c r="Z402" s="14"/>
      <c r="AA402" s="18">
        <f t="shared" si="103"/>
        <v>47</v>
      </c>
      <c r="AB402" s="14"/>
      <c r="AC402" s="14"/>
      <c r="AD402" s="14"/>
      <c r="AE402" s="14"/>
      <c r="AF402" s="16">
        <v>0</v>
      </c>
      <c r="AG402" s="16">
        <v>1</v>
      </c>
      <c r="AH402" s="16">
        <v>0</v>
      </c>
      <c r="AI402" s="16">
        <v>1</v>
      </c>
      <c r="AJ402" s="5">
        <v>0</v>
      </c>
      <c r="AK402" s="5">
        <v>0</v>
      </c>
      <c r="AL402" s="5">
        <v>1</v>
      </c>
      <c r="AM402" s="20"/>
      <c r="AN402" s="20">
        <v>2</v>
      </c>
      <c r="AO402" s="5">
        <v>1</v>
      </c>
      <c r="AP402" s="16"/>
      <c r="AQ402" s="16"/>
      <c r="AR402" s="16">
        <v>0</v>
      </c>
      <c r="AS402" s="16">
        <v>0</v>
      </c>
      <c r="AT402" s="16"/>
      <c r="AU402" s="16"/>
      <c r="AV402" s="16"/>
      <c r="AW402" s="16"/>
      <c r="AX402" s="16">
        <v>1</v>
      </c>
      <c r="AY402" s="16">
        <v>0</v>
      </c>
      <c r="AZ402" s="16">
        <v>0</v>
      </c>
      <c r="BA402" s="16">
        <v>0</v>
      </c>
    </row>
    <row r="403" spans="1:53" x14ac:dyDescent="0.2">
      <c r="A403" s="14"/>
      <c r="B403" s="14" t="str">
        <f t="shared" si="120"/>
        <v>Wahba &amp; Hope 2006</v>
      </c>
      <c r="C403" s="61">
        <f t="shared" si="121"/>
        <v>48</v>
      </c>
      <c r="D403" s="58">
        <v>2006</v>
      </c>
      <c r="E403" s="17"/>
      <c r="F403" s="58">
        <v>1</v>
      </c>
      <c r="G403" s="16">
        <v>2000</v>
      </c>
      <c r="H403" s="15">
        <f>LOOKUP(G403,CPI!A$69:A$100,CPI!O$69:O$100)</f>
        <v>1.2662950058072011</v>
      </c>
      <c r="I403" s="52">
        <v>2000</v>
      </c>
      <c r="J403" s="15">
        <v>0.1</v>
      </c>
      <c r="K403" s="15"/>
      <c r="L403" s="62"/>
      <c r="M403" s="56">
        <f t="shared" si="117"/>
        <v>290.74349531634857</v>
      </c>
      <c r="N403" s="18">
        <f t="shared" si="124"/>
        <v>145</v>
      </c>
      <c r="O403" s="14">
        <v>145</v>
      </c>
      <c r="P403" s="16">
        <v>1</v>
      </c>
      <c r="Q403" s="16">
        <v>0</v>
      </c>
      <c r="R403" s="16">
        <v>0</v>
      </c>
      <c r="S403" s="14"/>
      <c r="T403" s="56" t="str">
        <f t="shared" si="118"/>
        <v/>
      </c>
      <c r="U403" s="56" t="str">
        <f t="shared" si="127"/>
        <v/>
      </c>
      <c r="V403" s="56" t="str">
        <f t="shared" si="128"/>
        <v/>
      </c>
      <c r="W403" s="14"/>
      <c r="X403" s="14"/>
      <c r="Y403" s="14"/>
      <c r="Z403" s="14"/>
      <c r="AA403" s="18">
        <f t="shared" si="103"/>
        <v>145</v>
      </c>
      <c r="AB403" s="14"/>
      <c r="AC403" s="14"/>
      <c r="AD403" s="14"/>
      <c r="AE403" s="14"/>
      <c r="AF403" s="16">
        <v>0</v>
      </c>
      <c r="AG403" s="16">
        <v>1</v>
      </c>
      <c r="AH403" s="16">
        <v>0</v>
      </c>
      <c r="AI403" s="16">
        <v>1</v>
      </c>
      <c r="AJ403" s="5">
        <v>0</v>
      </c>
      <c r="AK403" s="5">
        <v>0</v>
      </c>
      <c r="AL403" s="5">
        <v>1</v>
      </c>
      <c r="AM403" s="20"/>
      <c r="AN403" s="20">
        <v>1</v>
      </c>
      <c r="AO403" s="5">
        <v>1</v>
      </c>
      <c r="AP403" s="16"/>
      <c r="AQ403" s="16"/>
      <c r="AR403" s="16">
        <v>0</v>
      </c>
      <c r="AS403" s="16">
        <v>0</v>
      </c>
      <c r="AT403" s="16"/>
      <c r="AU403" s="16"/>
      <c r="AV403" s="16"/>
      <c r="AW403" s="16"/>
      <c r="AX403" s="16">
        <v>1</v>
      </c>
      <c r="AY403" s="16">
        <v>0</v>
      </c>
      <c r="AZ403" s="16">
        <v>0</v>
      </c>
      <c r="BA403" s="16">
        <v>0</v>
      </c>
    </row>
    <row r="404" spans="1:53" x14ac:dyDescent="0.2">
      <c r="A404" s="14"/>
      <c r="B404" s="14" t="str">
        <f t="shared" si="120"/>
        <v>Wahba &amp; Hope 2006</v>
      </c>
      <c r="C404" s="61">
        <f t="shared" si="121"/>
        <v>48</v>
      </c>
      <c r="D404" s="58">
        <v>2006</v>
      </c>
      <c r="E404" s="17"/>
      <c r="F404" s="58">
        <v>1</v>
      </c>
      <c r="G404" s="16">
        <v>2000</v>
      </c>
      <c r="H404" s="15">
        <f>LOOKUP(G404,CPI!A$69:A$100,CPI!O$69:O$100)</f>
        <v>1.2662950058072011</v>
      </c>
      <c r="I404" s="52">
        <v>2000</v>
      </c>
      <c r="J404" s="15">
        <v>0.1</v>
      </c>
      <c r="K404" s="15"/>
      <c r="L404" s="62"/>
      <c r="M404" s="56">
        <f t="shared" si="117"/>
        <v>60.153826617175575</v>
      </c>
      <c r="N404" s="18">
        <f t="shared" si="124"/>
        <v>30</v>
      </c>
      <c r="O404" s="14">
        <v>30</v>
      </c>
      <c r="P404" s="16">
        <v>1</v>
      </c>
      <c r="Q404" s="16">
        <v>0</v>
      </c>
      <c r="R404" s="16">
        <v>0</v>
      </c>
      <c r="S404" s="14"/>
      <c r="T404" s="56" t="str">
        <f t="shared" si="118"/>
        <v/>
      </c>
      <c r="U404" s="56" t="str">
        <f t="shared" si="127"/>
        <v/>
      </c>
      <c r="V404" s="56" t="str">
        <f t="shared" si="128"/>
        <v/>
      </c>
      <c r="W404" s="14"/>
      <c r="X404" s="14"/>
      <c r="Y404" s="14"/>
      <c r="Z404" s="14"/>
      <c r="AA404" s="18">
        <f t="shared" si="103"/>
        <v>30</v>
      </c>
      <c r="AB404" s="14"/>
      <c r="AC404" s="14"/>
      <c r="AD404" s="14"/>
      <c r="AE404" s="14"/>
      <c r="AF404" s="16">
        <v>0</v>
      </c>
      <c r="AG404" s="16">
        <v>1</v>
      </c>
      <c r="AH404" s="16">
        <v>0</v>
      </c>
      <c r="AI404" s="16">
        <v>1</v>
      </c>
      <c r="AJ404" s="5">
        <v>0</v>
      </c>
      <c r="AK404" s="5">
        <v>0</v>
      </c>
      <c r="AL404" s="5">
        <v>1</v>
      </c>
      <c r="AM404" s="20"/>
      <c r="AN404" s="20">
        <v>2</v>
      </c>
      <c r="AO404" s="5">
        <v>1</v>
      </c>
      <c r="AP404" s="16"/>
      <c r="AQ404" s="16"/>
      <c r="AR404" s="16">
        <v>0</v>
      </c>
      <c r="AS404" s="16">
        <v>0</v>
      </c>
      <c r="AT404" s="16"/>
      <c r="AU404" s="16"/>
      <c r="AV404" s="16"/>
      <c r="AW404" s="16"/>
      <c r="AX404" s="16">
        <v>1</v>
      </c>
      <c r="AY404" s="16">
        <v>0</v>
      </c>
      <c r="AZ404" s="16">
        <v>0</v>
      </c>
      <c r="BA404" s="16">
        <v>0</v>
      </c>
    </row>
    <row r="405" spans="1:53" x14ac:dyDescent="0.2">
      <c r="A405" s="14"/>
      <c r="B405" s="14" t="str">
        <f t="shared" si="120"/>
        <v>Wahba &amp; Hope 2006</v>
      </c>
      <c r="C405" s="61">
        <f t="shared" si="121"/>
        <v>48</v>
      </c>
      <c r="D405" s="58">
        <v>2006</v>
      </c>
      <c r="E405" s="17"/>
      <c r="F405" s="58">
        <v>1</v>
      </c>
      <c r="G405" s="16">
        <v>2000</v>
      </c>
      <c r="H405" s="15">
        <f>LOOKUP(G405,CPI!A$69:A$100,CPI!O$69:O$100)</f>
        <v>1.2662950058072011</v>
      </c>
      <c r="I405" s="52">
        <v>2000</v>
      </c>
      <c r="J405" s="15">
        <v>0.1</v>
      </c>
      <c r="K405" s="15"/>
      <c r="L405" s="62"/>
      <c r="M405" s="56">
        <f t="shared" si="117"/>
        <v>182.46660740543257</v>
      </c>
      <c r="N405" s="18">
        <f t="shared" si="124"/>
        <v>91</v>
      </c>
      <c r="O405" s="14">
        <v>91</v>
      </c>
      <c r="P405" s="16">
        <v>1</v>
      </c>
      <c r="Q405" s="16">
        <v>0</v>
      </c>
      <c r="R405" s="16">
        <v>0</v>
      </c>
      <c r="S405" s="14"/>
      <c r="T405" s="56" t="str">
        <f t="shared" si="118"/>
        <v/>
      </c>
      <c r="U405" s="56" t="str">
        <f t="shared" si="127"/>
        <v/>
      </c>
      <c r="V405" s="56" t="str">
        <f t="shared" si="128"/>
        <v/>
      </c>
      <c r="W405" s="14"/>
      <c r="X405" s="14"/>
      <c r="Y405" s="14"/>
      <c r="Z405" s="14"/>
      <c r="AA405" s="18">
        <f t="shared" si="103"/>
        <v>91</v>
      </c>
      <c r="AB405" s="14"/>
      <c r="AC405" s="14"/>
      <c r="AD405" s="14"/>
      <c r="AE405" s="14"/>
      <c r="AF405" s="16">
        <v>0</v>
      </c>
      <c r="AG405" s="16">
        <v>1</v>
      </c>
      <c r="AH405" s="16">
        <v>0</v>
      </c>
      <c r="AI405" s="16">
        <v>1</v>
      </c>
      <c r="AJ405" s="5">
        <v>0</v>
      </c>
      <c r="AK405" s="5">
        <v>0</v>
      </c>
      <c r="AL405" s="5">
        <v>1</v>
      </c>
      <c r="AM405" s="20"/>
      <c r="AN405" s="20">
        <v>1</v>
      </c>
      <c r="AO405" s="5">
        <v>1</v>
      </c>
      <c r="AP405" s="16"/>
      <c r="AQ405" s="16"/>
      <c r="AR405" s="16">
        <v>0</v>
      </c>
      <c r="AS405" s="16">
        <v>0</v>
      </c>
      <c r="AT405" s="16"/>
      <c r="AU405" s="16"/>
      <c r="AV405" s="16"/>
      <c r="AW405" s="16"/>
      <c r="AX405" s="16">
        <v>1</v>
      </c>
      <c r="AY405" s="16">
        <v>0</v>
      </c>
      <c r="AZ405" s="16">
        <v>0</v>
      </c>
      <c r="BA405" s="16">
        <v>0</v>
      </c>
    </row>
    <row r="406" spans="1:53" x14ac:dyDescent="0.2">
      <c r="A406" s="14"/>
      <c r="B406" s="14" t="str">
        <f t="shared" si="120"/>
        <v>Wahba &amp; Hope 2006</v>
      </c>
      <c r="C406" s="61">
        <f t="shared" si="121"/>
        <v>48</v>
      </c>
      <c r="D406" s="58">
        <v>2006</v>
      </c>
      <c r="E406" s="17"/>
      <c r="F406" s="58">
        <v>1</v>
      </c>
      <c r="G406" s="16">
        <v>2000</v>
      </c>
      <c r="H406" s="15">
        <f>LOOKUP(G406,CPI!A$69:A$100,CPI!O$69:O$100)</f>
        <v>1.2662950058072011</v>
      </c>
      <c r="I406" s="52">
        <v>2000</v>
      </c>
      <c r="J406" s="15">
        <v>0.1</v>
      </c>
      <c r="K406" s="15"/>
      <c r="L406" s="62"/>
      <c r="M406" s="56">
        <f t="shared" si="117"/>
        <v>58.148699063269717</v>
      </c>
      <c r="N406" s="18">
        <f t="shared" si="124"/>
        <v>29</v>
      </c>
      <c r="O406" s="14">
        <v>29</v>
      </c>
      <c r="P406" s="16">
        <v>1</v>
      </c>
      <c r="Q406" s="16">
        <v>0</v>
      </c>
      <c r="R406" s="16">
        <v>0</v>
      </c>
      <c r="S406" s="14"/>
      <c r="T406" s="56" t="str">
        <f t="shared" si="118"/>
        <v/>
      </c>
      <c r="U406" s="56" t="str">
        <f t="shared" si="127"/>
        <v/>
      </c>
      <c r="V406" s="56" t="str">
        <f t="shared" si="128"/>
        <v/>
      </c>
      <c r="W406" s="14"/>
      <c r="X406" s="14"/>
      <c r="Y406" s="14"/>
      <c r="Z406" s="14"/>
      <c r="AA406" s="18">
        <f t="shared" ref="AA406:AA469" si="129">N406</f>
        <v>29</v>
      </c>
      <c r="AB406" s="14"/>
      <c r="AC406" s="14"/>
      <c r="AD406" s="14"/>
      <c r="AE406" s="14"/>
      <c r="AF406" s="16">
        <v>0</v>
      </c>
      <c r="AG406" s="16">
        <v>1</v>
      </c>
      <c r="AH406" s="16">
        <v>0</v>
      </c>
      <c r="AI406" s="16">
        <v>1</v>
      </c>
      <c r="AJ406" s="5">
        <v>0</v>
      </c>
      <c r="AK406" s="5">
        <v>0</v>
      </c>
      <c r="AL406" s="5">
        <v>1</v>
      </c>
      <c r="AM406" s="20"/>
      <c r="AN406" s="20">
        <v>3</v>
      </c>
      <c r="AO406" s="5">
        <v>1</v>
      </c>
      <c r="AP406" s="16"/>
      <c r="AQ406" s="16"/>
      <c r="AR406" s="16">
        <v>0</v>
      </c>
      <c r="AS406" s="16">
        <v>0</v>
      </c>
      <c r="AT406" s="16"/>
      <c r="AU406" s="16"/>
      <c r="AV406" s="16"/>
      <c r="AW406" s="16"/>
      <c r="AX406" s="16">
        <v>1</v>
      </c>
      <c r="AY406" s="16">
        <v>0</v>
      </c>
      <c r="AZ406" s="16">
        <v>0</v>
      </c>
      <c r="BA406" s="16">
        <v>0</v>
      </c>
    </row>
    <row r="407" spans="1:53" x14ac:dyDescent="0.2">
      <c r="A407" s="14"/>
      <c r="B407" s="14" t="str">
        <f t="shared" si="120"/>
        <v>Wahba &amp; Hope 2006</v>
      </c>
      <c r="C407" s="61">
        <f t="shared" si="121"/>
        <v>48</v>
      </c>
      <c r="D407" s="58">
        <v>2006</v>
      </c>
      <c r="E407" s="17"/>
      <c r="F407" s="58">
        <v>1</v>
      </c>
      <c r="G407" s="16">
        <v>2000</v>
      </c>
      <c r="H407" s="15">
        <f>LOOKUP(G407,CPI!A$69:A$100,CPI!O$69:O$100)</f>
        <v>1.2662950058072011</v>
      </c>
      <c r="I407" s="16">
        <v>2000</v>
      </c>
      <c r="J407" s="15">
        <v>0.1</v>
      </c>
      <c r="K407" s="15"/>
      <c r="L407" s="62"/>
      <c r="M407" s="56">
        <f t="shared" si="117"/>
        <v>42.107678632022903</v>
      </c>
      <c r="N407" s="18">
        <f t="shared" si="124"/>
        <v>21</v>
      </c>
      <c r="O407" s="14">
        <v>21</v>
      </c>
      <c r="P407" s="16">
        <v>1</v>
      </c>
      <c r="Q407" s="16">
        <v>0</v>
      </c>
      <c r="R407" s="16">
        <v>0</v>
      </c>
      <c r="S407" s="14"/>
      <c r="T407" s="56" t="str">
        <f t="shared" si="118"/>
        <v/>
      </c>
      <c r="U407" s="56" t="str">
        <f t="shared" si="127"/>
        <v/>
      </c>
      <c r="V407" s="56" t="str">
        <f t="shared" si="128"/>
        <v/>
      </c>
      <c r="W407" s="14"/>
      <c r="X407" s="14"/>
      <c r="Y407" s="14"/>
      <c r="Z407" s="14"/>
      <c r="AA407" s="18">
        <f t="shared" si="129"/>
        <v>21</v>
      </c>
      <c r="AB407" s="14"/>
      <c r="AC407" s="14"/>
      <c r="AD407" s="14"/>
      <c r="AE407" s="14"/>
      <c r="AF407" s="16">
        <v>0</v>
      </c>
      <c r="AG407" s="16">
        <v>1</v>
      </c>
      <c r="AH407" s="16">
        <v>0</v>
      </c>
      <c r="AI407" s="16">
        <v>1</v>
      </c>
      <c r="AJ407" s="5">
        <v>0</v>
      </c>
      <c r="AK407" s="5">
        <v>0</v>
      </c>
      <c r="AL407" s="5">
        <v>1</v>
      </c>
      <c r="AM407" s="20"/>
      <c r="AN407" s="20">
        <v>3</v>
      </c>
      <c r="AO407" s="5">
        <v>1</v>
      </c>
      <c r="AP407" s="16"/>
      <c r="AQ407" s="16"/>
      <c r="AR407" s="16">
        <v>0</v>
      </c>
      <c r="AS407" s="16">
        <v>0</v>
      </c>
      <c r="AT407" s="16"/>
      <c r="AU407" s="16"/>
      <c r="AV407" s="16"/>
      <c r="AW407" s="16"/>
      <c r="AX407" s="16">
        <v>1</v>
      </c>
      <c r="AY407" s="16">
        <v>0</v>
      </c>
      <c r="AZ407" s="16">
        <v>0</v>
      </c>
      <c r="BA407" s="16">
        <v>0</v>
      </c>
    </row>
    <row r="408" spans="1:53" s="36" customFormat="1" x14ac:dyDescent="0.2">
      <c r="A408" s="29"/>
      <c r="B408" s="14" t="str">
        <f t="shared" si="120"/>
        <v>Wahba &amp; Hope 2006</v>
      </c>
      <c r="C408" s="61">
        <f t="shared" si="121"/>
        <v>48</v>
      </c>
      <c r="D408" s="58">
        <v>2006</v>
      </c>
      <c r="E408" s="17"/>
      <c r="F408" s="58">
        <v>1</v>
      </c>
      <c r="G408" s="16">
        <v>2000</v>
      </c>
      <c r="H408" s="15">
        <f>LOOKUP(G408,CPI!A$69:A$100,CPI!O$69:O$100)</f>
        <v>1.2662950058072011</v>
      </c>
      <c r="I408" s="52">
        <f t="shared" ref="I408:I419" si="130">+ROUNDDOWN(AVERAGE($AV408:$AW408),0)</f>
        <v>2007</v>
      </c>
      <c r="J408" s="43">
        <v>0</v>
      </c>
      <c r="K408" s="59">
        <v>1</v>
      </c>
      <c r="L408" s="57">
        <f>(AA409/AA408)^(1/(I409-I408))-1</f>
        <v>6.2930446929645445E-2</v>
      </c>
      <c r="M408" s="56">
        <f t="shared" si="117"/>
        <v>32.361006116925253</v>
      </c>
      <c r="N408" s="37">
        <f t="shared" ref="N408:N413" si="131">O408</f>
        <v>20</v>
      </c>
      <c r="O408" s="41">
        <v>20</v>
      </c>
      <c r="P408" s="16">
        <v>1</v>
      </c>
      <c r="Q408" s="16">
        <v>0</v>
      </c>
      <c r="R408" s="16">
        <v>0</v>
      </c>
      <c r="S408" s="42"/>
      <c r="T408" s="56" t="str">
        <f t="shared" si="118"/>
        <v/>
      </c>
      <c r="U408" s="56" t="str">
        <f t="shared" si="127"/>
        <v/>
      </c>
      <c r="V408" s="56" t="str">
        <f t="shared" si="128"/>
        <v/>
      </c>
      <c r="W408" s="42"/>
      <c r="X408" s="42"/>
      <c r="Y408" s="42"/>
      <c r="Z408" s="42"/>
      <c r="AA408" s="37">
        <f t="shared" si="129"/>
        <v>20</v>
      </c>
      <c r="AB408" s="42"/>
      <c r="AC408" s="42"/>
      <c r="AD408" s="42"/>
      <c r="AE408" s="42"/>
      <c r="AF408" s="16">
        <v>0</v>
      </c>
      <c r="AG408" s="16">
        <v>1</v>
      </c>
      <c r="AH408" s="16">
        <v>0</v>
      </c>
      <c r="AI408" s="16">
        <v>1</v>
      </c>
      <c r="AJ408" s="5">
        <v>0</v>
      </c>
      <c r="AK408" s="5">
        <v>0</v>
      </c>
      <c r="AL408" s="5">
        <v>1</v>
      </c>
      <c r="AM408" s="35"/>
      <c r="AN408" s="20">
        <v>3</v>
      </c>
      <c r="AO408" s="5">
        <v>1</v>
      </c>
      <c r="AP408" s="16"/>
      <c r="AQ408" s="16"/>
      <c r="AR408" s="16">
        <v>0</v>
      </c>
      <c r="AS408" s="16">
        <v>0</v>
      </c>
      <c r="AT408" s="31"/>
      <c r="AU408" s="31"/>
      <c r="AV408" s="33">
        <v>2002</v>
      </c>
      <c r="AW408" s="33">
        <v>2012</v>
      </c>
      <c r="AX408" s="16">
        <v>1</v>
      </c>
      <c r="AY408" s="16">
        <v>0</v>
      </c>
      <c r="AZ408" s="16">
        <v>0</v>
      </c>
      <c r="BA408" s="16">
        <v>0</v>
      </c>
    </row>
    <row r="409" spans="1:53" s="36" customFormat="1" x14ac:dyDescent="0.2">
      <c r="A409" s="29"/>
      <c r="B409" s="14" t="str">
        <f t="shared" si="120"/>
        <v>Wahba &amp; Hope 2006</v>
      </c>
      <c r="C409" s="61">
        <f t="shared" si="121"/>
        <v>48</v>
      </c>
      <c r="D409" s="58">
        <v>2006</v>
      </c>
      <c r="E409" s="17"/>
      <c r="F409" s="58">
        <v>1</v>
      </c>
      <c r="G409" s="16">
        <v>2000</v>
      </c>
      <c r="H409" s="15">
        <f>LOOKUP(G409,CPI!A$69:A$100,CPI!O$69:O$100)</f>
        <v>1.2662950058072011</v>
      </c>
      <c r="I409" s="5">
        <f t="shared" si="130"/>
        <v>2021</v>
      </c>
      <c r="J409" s="43">
        <v>0</v>
      </c>
      <c r="K409" s="43"/>
      <c r="L409" s="57"/>
      <c r="M409" s="56"/>
      <c r="N409" s="37">
        <f t="shared" si="131"/>
        <v>47</v>
      </c>
      <c r="O409" s="41">
        <v>47</v>
      </c>
      <c r="P409" s="16">
        <v>1</v>
      </c>
      <c r="Q409" s="16">
        <v>0</v>
      </c>
      <c r="R409" s="16">
        <v>0</v>
      </c>
      <c r="S409" s="42"/>
      <c r="T409" s="56" t="str">
        <f t="shared" si="118"/>
        <v/>
      </c>
      <c r="U409" s="56" t="str">
        <f t="shared" si="127"/>
        <v/>
      </c>
      <c r="V409" s="56" t="str">
        <f t="shared" si="128"/>
        <v/>
      </c>
      <c r="W409" s="42"/>
      <c r="X409" s="42"/>
      <c r="Y409" s="42"/>
      <c r="Z409" s="42"/>
      <c r="AA409" s="37">
        <f t="shared" si="129"/>
        <v>47</v>
      </c>
      <c r="AB409" s="42"/>
      <c r="AC409" s="42"/>
      <c r="AD409" s="42"/>
      <c r="AE409" s="42"/>
      <c r="AF409" s="16">
        <v>0</v>
      </c>
      <c r="AG409" s="16">
        <v>1</v>
      </c>
      <c r="AH409" s="16">
        <v>0</v>
      </c>
      <c r="AI409" s="16">
        <v>1</v>
      </c>
      <c r="AJ409" s="5">
        <v>0</v>
      </c>
      <c r="AK409" s="5">
        <v>0</v>
      </c>
      <c r="AL409" s="5">
        <v>1</v>
      </c>
      <c r="AM409" s="35"/>
      <c r="AN409" s="20">
        <v>3</v>
      </c>
      <c r="AO409" s="5">
        <v>1</v>
      </c>
      <c r="AP409" s="16"/>
      <c r="AQ409" s="16"/>
      <c r="AR409" s="16">
        <v>0</v>
      </c>
      <c r="AS409" s="16">
        <v>0</v>
      </c>
      <c r="AT409" s="31"/>
      <c r="AU409" s="31"/>
      <c r="AV409" s="33">
        <v>2012</v>
      </c>
      <c r="AW409" s="33">
        <v>2030</v>
      </c>
      <c r="AX409" s="16">
        <v>1</v>
      </c>
      <c r="AY409" s="16">
        <v>0</v>
      </c>
      <c r="AZ409" s="16">
        <v>0</v>
      </c>
      <c r="BA409" s="16">
        <v>0</v>
      </c>
    </row>
    <row r="410" spans="1:53" s="36" customFormat="1" x14ac:dyDescent="0.2">
      <c r="A410" s="29"/>
      <c r="B410" s="14" t="str">
        <f t="shared" si="120"/>
        <v>Wahba &amp; Hope 2006</v>
      </c>
      <c r="C410" s="61">
        <f t="shared" si="121"/>
        <v>48</v>
      </c>
      <c r="D410" s="58">
        <v>2006</v>
      </c>
      <c r="E410" s="17"/>
      <c r="F410" s="58">
        <v>1</v>
      </c>
      <c r="G410" s="16">
        <v>2000</v>
      </c>
      <c r="H410" s="15">
        <f>LOOKUP(G410,CPI!A$69:A$100,CPI!O$69:O$100)</f>
        <v>1.2662950058072011</v>
      </c>
      <c r="I410" s="5">
        <f t="shared" si="130"/>
        <v>2040</v>
      </c>
      <c r="J410" s="43">
        <v>0</v>
      </c>
      <c r="K410" s="43"/>
      <c r="L410" s="57"/>
      <c r="M410" s="56"/>
      <c r="N410" s="37">
        <f t="shared" si="131"/>
        <v>119</v>
      </c>
      <c r="O410" s="41">
        <v>119</v>
      </c>
      <c r="P410" s="16">
        <v>1</v>
      </c>
      <c r="Q410" s="16">
        <v>0</v>
      </c>
      <c r="R410" s="16">
        <v>0</v>
      </c>
      <c r="S410" s="42"/>
      <c r="T410" s="56" t="str">
        <f t="shared" si="118"/>
        <v/>
      </c>
      <c r="U410" s="56" t="str">
        <f t="shared" si="127"/>
        <v/>
      </c>
      <c r="V410" s="56" t="str">
        <f t="shared" si="128"/>
        <v/>
      </c>
      <c r="W410" s="42"/>
      <c r="X410" s="42"/>
      <c r="Y410" s="42"/>
      <c r="Z410" s="42"/>
      <c r="AA410" s="37">
        <f t="shared" si="129"/>
        <v>119</v>
      </c>
      <c r="AB410" s="42"/>
      <c r="AC410" s="42"/>
      <c r="AD410" s="42"/>
      <c r="AE410" s="42"/>
      <c r="AF410" s="16">
        <v>0</v>
      </c>
      <c r="AG410" s="16">
        <v>1</v>
      </c>
      <c r="AH410" s="16">
        <v>0</v>
      </c>
      <c r="AI410" s="16">
        <v>1</v>
      </c>
      <c r="AJ410" s="5">
        <v>0</v>
      </c>
      <c r="AK410" s="5">
        <v>0</v>
      </c>
      <c r="AL410" s="5">
        <v>1</v>
      </c>
      <c r="AM410" s="35"/>
      <c r="AN410" s="20">
        <v>3</v>
      </c>
      <c r="AO410" s="5">
        <v>1</v>
      </c>
      <c r="AP410" s="16"/>
      <c r="AQ410" s="16"/>
      <c r="AR410" s="16">
        <v>0</v>
      </c>
      <c r="AS410" s="16">
        <v>0</v>
      </c>
      <c r="AT410" s="31"/>
      <c r="AU410" s="31"/>
      <c r="AV410" s="33">
        <v>2031</v>
      </c>
      <c r="AW410" s="33">
        <v>2050</v>
      </c>
      <c r="AX410" s="16">
        <v>1</v>
      </c>
      <c r="AY410" s="16">
        <v>0</v>
      </c>
      <c r="AZ410" s="16">
        <v>0</v>
      </c>
      <c r="BA410" s="16">
        <v>0</v>
      </c>
    </row>
    <row r="411" spans="1:53" s="36" customFormat="1" x14ac:dyDescent="0.2">
      <c r="A411" s="29"/>
      <c r="B411" s="14" t="str">
        <f t="shared" si="120"/>
        <v>Wahba &amp; Hope 2006</v>
      </c>
      <c r="C411" s="61">
        <f t="shared" si="121"/>
        <v>48</v>
      </c>
      <c r="D411" s="58">
        <v>2006</v>
      </c>
      <c r="E411" s="17"/>
      <c r="F411" s="58">
        <v>1</v>
      </c>
      <c r="G411" s="16">
        <v>2000</v>
      </c>
      <c r="H411" s="15">
        <f>LOOKUP(G411,CPI!A$69:A$100,CPI!O$69:O$100)</f>
        <v>1.2662950058072011</v>
      </c>
      <c r="I411" s="5">
        <f t="shared" si="130"/>
        <v>2060</v>
      </c>
      <c r="J411" s="43">
        <v>0</v>
      </c>
      <c r="K411" s="43"/>
      <c r="L411" s="57"/>
      <c r="M411" s="56"/>
      <c r="N411" s="37">
        <f t="shared" si="131"/>
        <v>194</v>
      </c>
      <c r="O411" s="41">
        <v>194</v>
      </c>
      <c r="P411" s="16">
        <v>1</v>
      </c>
      <c r="Q411" s="16">
        <v>0</v>
      </c>
      <c r="R411" s="16">
        <v>0</v>
      </c>
      <c r="S411" s="42"/>
      <c r="T411" s="56" t="str">
        <f t="shared" si="118"/>
        <v/>
      </c>
      <c r="U411" s="56" t="str">
        <f t="shared" si="127"/>
        <v/>
      </c>
      <c r="V411" s="56" t="str">
        <f t="shared" si="128"/>
        <v/>
      </c>
      <c r="W411" s="42"/>
      <c r="X411" s="42"/>
      <c r="Y411" s="42"/>
      <c r="Z411" s="42"/>
      <c r="AA411" s="37">
        <f t="shared" si="129"/>
        <v>194</v>
      </c>
      <c r="AB411" s="42"/>
      <c r="AC411" s="42"/>
      <c r="AD411" s="42"/>
      <c r="AE411" s="42"/>
      <c r="AF411" s="16">
        <v>0</v>
      </c>
      <c r="AG411" s="16">
        <v>1</v>
      </c>
      <c r="AH411" s="16">
        <v>0</v>
      </c>
      <c r="AI411" s="16">
        <v>1</v>
      </c>
      <c r="AJ411" s="5">
        <v>0</v>
      </c>
      <c r="AK411" s="5">
        <v>0</v>
      </c>
      <c r="AL411" s="5">
        <v>1</v>
      </c>
      <c r="AM411" s="35"/>
      <c r="AN411" s="20">
        <v>3</v>
      </c>
      <c r="AO411" s="5">
        <v>1</v>
      </c>
      <c r="AP411" s="16"/>
      <c r="AQ411" s="16"/>
      <c r="AR411" s="16">
        <v>0</v>
      </c>
      <c r="AS411" s="16">
        <v>0</v>
      </c>
      <c r="AT411" s="31"/>
      <c r="AU411" s="31"/>
      <c r="AV411" s="33">
        <v>2051</v>
      </c>
      <c r="AW411" s="33">
        <v>2070</v>
      </c>
      <c r="AX411" s="16">
        <v>1</v>
      </c>
      <c r="AY411" s="16">
        <v>0</v>
      </c>
      <c r="AZ411" s="16">
        <v>0</v>
      </c>
      <c r="BA411" s="16">
        <v>0</v>
      </c>
    </row>
    <row r="412" spans="1:53" s="36" customFormat="1" x14ac:dyDescent="0.2">
      <c r="A412" s="29"/>
      <c r="B412" s="14" t="str">
        <f t="shared" si="120"/>
        <v>Wahba &amp; Hope 2006</v>
      </c>
      <c r="C412" s="61">
        <f t="shared" si="121"/>
        <v>48</v>
      </c>
      <c r="D412" s="58">
        <v>2006</v>
      </c>
      <c r="E412" s="17"/>
      <c r="F412" s="58">
        <v>1</v>
      </c>
      <c r="G412" s="16">
        <v>2000</v>
      </c>
      <c r="H412" s="15">
        <f>LOOKUP(G412,CPI!A$69:A$100,CPI!O$69:O$100)</f>
        <v>1.2662950058072011</v>
      </c>
      <c r="I412" s="5">
        <f t="shared" si="130"/>
        <v>2080</v>
      </c>
      <c r="J412" s="43">
        <v>0</v>
      </c>
      <c r="K412" s="43"/>
      <c r="L412" s="57"/>
      <c r="M412" s="56"/>
      <c r="N412" s="37">
        <f t="shared" si="131"/>
        <v>355</v>
      </c>
      <c r="O412" s="41">
        <v>355</v>
      </c>
      <c r="P412" s="16">
        <v>1</v>
      </c>
      <c r="Q412" s="16">
        <v>0</v>
      </c>
      <c r="R412" s="16">
        <v>0</v>
      </c>
      <c r="S412" s="42"/>
      <c r="T412" s="56" t="str">
        <f t="shared" si="118"/>
        <v/>
      </c>
      <c r="U412" s="56" t="str">
        <f t="shared" si="127"/>
        <v/>
      </c>
      <c r="V412" s="56" t="str">
        <f t="shared" si="128"/>
        <v/>
      </c>
      <c r="W412" s="42"/>
      <c r="X412" s="42"/>
      <c r="Y412" s="42"/>
      <c r="Z412" s="42"/>
      <c r="AA412" s="37">
        <f t="shared" si="129"/>
        <v>355</v>
      </c>
      <c r="AB412" s="42"/>
      <c r="AC412" s="42"/>
      <c r="AD412" s="42"/>
      <c r="AE412" s="42"/>
      <c r="AF412" s="16">
        <v>0</v>
      </c>
      <c r="AG412" s="16">
        <v>1</v>
      </c>
      <c r="AH412" s="16">
        <v>0</v>
      </c>
      <c r="AI412" s="16">
        <v>1</v>
      </c>
      <c r="AJ412" s="5">
        <v>0</v>
      </c>
      <c r="AK412" s="5">
        <v>0</v>
      </c>
      <c r="AL412" s="5">
        <v>1</v>
      </c>
      <c r="AM412" s="35"/>
      <c r="AN412" s="20">
        <v>3</v>
      </c>
      <c r="AO412" s="5">
        <v>1</v>
      </c>
      <c r="AP412" s="16"/>
      <c r="AQ412" s="16"/>
      <c r="AR412" s="16">
        <v>0</v>
      </c>
      <c r="AS412" s="16">
        <v>0</v>
      </c>
      <c r="AT412" s="31"/>
      <c r="AU412" s="31"/>
      <c r="AV412" s="33">
        <v>2071</v>
      </c>
      <c r="AW412" s="33">
        <v>2090</v>
      </c>
      <c r="AX412" s="16">
        <v>1</v>
      </c>
      <c r="AY412" s="16">
        <v>0</v>
      </c>
      <c r="AZ412" s="16">
        <v>0</v>
      </c>
      <c r="BA412" s="16">
        <v>0</v>
      </c>
    </row>
    <row r="413" spans="1:53" s="36" customFormat="1" x14ac:dyDescent="0.2">
      <c r="A413" s="29"/>
      <c r="B413" s="14" t="str">
        <f t="shared" si="120"/>
        <v>Wahba &amp; Hope 2006</v>
      </c>
      <c r="C413" s="61">
        <f t="shared" si="121"/>
        <v>48</v>
      </c>
      <c r="D413" s="58">
        <v>2006</v>
      </c>
      <c r="E413" s="17"/>
      <c r="F413" s="58">
        <v>1</v>
      </c>
      <c r="G413" s="16">
        <v>2000</v>
      </c>
      <c r="H413" s="15">
        <f>LOOKUP(G413,CPI!A$69:A$100,CPI!O$69:O$100)</f>
        <v>1.2662950058072011</v>
      </c>
      <c r="I413" s="5">
        <f t="shared" si="130"/>
        <v>2108</v>
      </c>
      <c r="J413" s="43">
        <v>0</v>
      </c>
      <c r="K413" s="43"/>
      <c r="L413" s="57"/>
      <c r="M413" s="56"/>
      <c r="N413" s="37">
        <f t="shared" si="131"/>
        <v>470</v>
      </c>
      <c r="O413" s="41">
        <v>470</v>
      </c>
      <c r="P413" s="16">
        <v>1</v>
      </c>
      <c r="Q413" s="16">
        <v>0</v>
      </c>
      <c r="R413" s="16">
        <v>0</v>
      </c>
      <c r="S413" s="42"/>
      <c r="T413" s="56" t="str">
        <f t="shared" si="118"/>
        <v/>
      </c>
      <c r="U413" s="56" t="str">
        <f t="shared" si="127"/>
        <v/>
      </c>
      <c r="V413" s="56" t="str">
        <f t="shared" si="128"/>
        <v/>
      </c>
      <c r="W413" s="42"/>
      <c r="X413" s="42"/>
      <c r="Y413" s="42"/>
      <c r="Z413" s="42"/>
      <c r="AA413" s="37">
        <f t="shared" si="129"/>
        <v>470</v>
      </c>
      <c r="AB413" s="42"/>
      <c r="AC413" s="42"/>
      <c r="AD413" s="42"/>
      <c r="AE413" s="42"/>
      <c r="AF413" s="16">
        <v>0</v>
      </c>
      <c r="AG413" s="16">
        <v>1</v>
      </c>
      <c r="AH413" s="16">
        <v>0</v>
      </c>
      <c r="AI413" s="16">
        <v>1</v>
      </c>
      <c r="AJ413" s="5">
        <v>0</v>
      </c>
      <c r="AK413" s="5">
        <v>0</v>
      </c>
      <c r="AL413" s="5">
        <v>1</v>
      </c>
      <c r="AM413" s="35"/>
      <c r="AN413" s="20">
        <v>3</v>
      </c>
      <c r="AO413" s="5">
        <v>1</v>
      </c>
      <c r="AP413" s="16"/>
      <c r="AQ413" s="16"/>
      <c r="AR413" s="16">
        <v>0</v>
      </c>
      <c r="AS413" s="16">
        <v>0</v>
      </c>
      <c r="AT413" s="31"/>
      <c r="AU413" s="31"/>
      <c r="AV413" s="33">
        <v>2091</v>
      </c>
      <c r="AW413" s="33">
        <v>2125</v>
      </c>
      <c r="AX413" s="16">
        <v>1</v>
      </c>
      <c r="AY413" s="16">
        <v>0</v>
      </c>
      <c r="AZ413" s="16">
        <v>0</v>
      </c>
      <c r="BA413" s="16">
        <v>0</v>
      </c>
    </row>
    <row r="414" spans="1:53" s="36" customFormat="1" x14ac:dyDescent="0.2">
      <c r="A414" s="29"/>
      <c r="B414" s="14" t="str">
        <f t="shared" si="120"/>
        <v>Wahba &amp; Hope 2006</v>
      </c>
      <c r="C414" s="61">
        <f t="shared" si="121"/>
        <v>48</v>
      </c>
      <c r="D414" s="58">
        <v>2006</v>
      </c>
      <c r="E414" s="17"/>
      <c r="F414" s="58">
        <v>1</v>
      </c>
      <c r="G414" s="16">
        <v>2000</v>
      </c>
      <c r="H414" s="15">
        <f>LOOKUP(G414,CPI!A$69:A$100,CPI!O$69:O$100)</f>
        <v>1.2662950058072011</v>
      </c>
      <c r="I414" s="5">
        <f t="shared" si="130"/>
        <v>2007</v>
      </c>
      <c r="J414" s="43">
        <v>1</v>
      </c>
      <c r="K414" s="43"/>
      <c r="L414" s="57"/>
      <c r="M414" s="56"/>
      <c r="N414" s="37">
        <f t="shared" ref="N414:N419" si="132">O414</f>
        <v>16</v>
      </c>
      <c r="O414" s="41">
        <v>16</v>
      </c>
      <c r="P414" s="16">
        <v>1</v>
      </c>
      <c r="Q414" s="16">
        <v>0</v>
      </c>
      <c r="R414" s="16">
        <v>0</v>
      </c>
      <c r="S414" s="42"/>
      <c r="T414" s="56" t="str">
        <f t="shared" si="118"/>
        <v/>
      </c>
      <c r="U414" s="56" t="str">
        <f t="shared" si="127"/>
        <v/>
      </c>
      <c r="V414" s="56" t="str">
        <f t="shared" si="128"/>
        <v/>
      </c>
      <c r="W414" s="42"/>
      <c r="X414" s="42"/>
      <c r="Y414" s="42"/>
      <c r="Z414" s="42"/>
      <c r="AA414" s="37">
        <f t="shared" si="129"/>
        <v>16</v>
      </c>
      <c r="AB414" s="42"/>
      <c r="AC414" s="42"/>
      <c r="AD414" s="42"/>
      <c r="AE414" s="42"/>
      <c r="AF414" s="16">
        <v>0</v>
      </c>
      <c r="AG414" s="16">
        <v>1</v>
      </c>
      <c r="AH414" s="16">
        <v>0</v>
      </c>
      <c r="AI414" s="16">
        <v>1</v>
      </c>
      <c r="AJ414" s="5">
        <v>0</v>
      </c>
      <c r="AK414" s="5">
        <v>0</v>
      </c>
      <c r="AL414" s="5">
        <v>1</v>
      </c>
      <c r="AM414" s="35"/>
      <c r="AN414" s="20">
        <v>3</v>
      </c>
      <c r="AO414" s="5">
        <v>1</v>
      </c>
      <c r="AP414" s="16"/>
      <c r="AQ414" s="16"/>
      <c r="AR414" s="16">
        <v>0</v>
      </c>
      <c r="AS414" s="16">
        <v>0</v>
      </c>
      <c r="AT414" s="31"/>
      <c r="AU414" s="31"/>
      <c r="AV414" s="33">
        <v>2002</v>
      </c>
      <c r="AW414" s="33">
        <v>2012</v>
      </c>
      <c r="AX414" s="16">
        <v>1</v>
      </c>
      <c r="AY414" s="16">
        <v>0</v>
      </c>
      <c r="AZ414" s="16">
        <v>0</v>
      </c>
      <c r="BA414" s="16">
        <v>0</v>
      </c>
    </row>
    <row r="415" spans="1:53" s="36" customFormat="1" x14ac:dyDescent="0.2">
      <c r="A415" s="29"/>
      <c r="B415" s="14" t="str">
        <f t="shared" si="120"/>
        <v>Wahba &amp; Hope 2006</v>
      </c>
      <c r="C415" s="61">
        <f t="shared" si="121"/>
        <v>48</v>
      </c>
      <c r="D415" s="58">
        <v>2006</v>
      </c>
      <c r="E415" s="17"/>
      <c r="F415" s="58">
        <v>1</v>
      </c>
      <c r="G415" s="16">
        <v>2000</v>
      </c>
      <c r="H415" s="15">
        <f>LOOKUP(G415,CPI!A$69:A$100,CPI!O$69:O$100)</f>
        <v>1.2662950058072011</v>
      </c>
      <c r="I415" s="5">
        <f t="shared" si="130"/>
        <v>2021</v>
      </c>
      <c r="J415" s="43">
        <v>2</v>
      </c>
      <c r="K415" s="43"/>
      <c r="L415" s="57"/>
      <c r="M415" s="56"/>
      <c r="N415" s="37">
        <f t="shared" si="132"/>
        <v>40</v>
      </c>
      <c r="O415" s="41">
        <v>40</v>
      </c>
      <c r="P415" s="16">
        <v>1</v>
      </c>
      <c r="Q415" s="16">
        <v>0</v>
      </c>
      <c r="R415" s="16">
        <v>0</v>
      </c>
      <c r="S415" s="42"/>
      <c r="T415" s="56" t="str">
        <f t="shared" si="118"/>
        <v/>
      </c>
      <c r="U415" s="56" t="str">
        <f t="shared" si="127"/>
        <v/>
      </c>
      <c r="V415" s="56" t="str">
        <f t="shared" si="128"/>
        <v/>
      </c>
      <c r="W415" s="42"/>
      <c r="X415" s="42"/>
      <c r="Y415" s="42"/>
      <c r="Z415" s="42"/>
      <c r="AA415" s="37">
        <f t="shared" si="129"/>
        <v>40</v>
      </c>
      <c r="AB415" s="42"/>
      <c r="AC415" s="42"/>
      <c r="AD415" s="42"/>
      <c r="AE415" s="42"/>
      <c r="AF415" s="16">
        <v>0</v>
      </c>
      <c r="AG415" s="16">
        <v>1</v>
      </c>
      <c r="AH415" s="16">
        <v>0</v>
      </c>
      <c r="AI415" s="16">
        <v>1</v>
      </c>
      <c r="AJ415" s="5">
        <v>0</v>
      </c>
      <c r="AK415" s="5">
        <v>0</v>
      </c>
      <c r="AL415" s="5">
        <v>1</v>
      </c>
      <c r="AM415" s="35"/>
      <c r="AN415" s="20">
        <v>3</v>
      </c>
      <c r="AO415" s="5">
        <v>1</v>
      </c>
      <c r="AP415" s="16"/>
      <c r="AQ415" s="16"/>
      <c r="AR415" s="16">
        <v>0</v>
      </c>
      <c r="AS415" s="16">
        <v>0</v>
      </c>
      <c r="AT415" s="31"/>
      <c r="AU415" s="31"/>
      <c r="AV415" s="33">
        <v>2012</v>
      </c>
      <c r="AW415" s="33">
        <v>2030</v>
      </c>
      <c r="AX415" s="16">
        <v>1</v>
      </c>
      <c r="AY415" s="16">
        <v>0</v>
      </c>
      <c r="AZ415" s="16">
        <v>0</v>
      </c>
      <c r="BA415" s="16">
        <v>0</v>
      </c>
    </row>
    <row r="416" spans="1:53" s="36" customFormat="1" x14ac:dyDescent="0.2">
      <c r="A416" s="29"/>
      <c r="B416" s="14" t="str">
        <f t="shared" si="120"/>
        <v>Wahba &amp; Hope 2006</v>
      </c>
      <c r="C416" s="61">
        <f t="shared" si="121"/>
        <v>48</v>
      </c>
      <c r="D416" s="58">
        <v>2006</v>
      </c>
      <c r="E416" s="17"/>
      <c r="F416" s="58">
        <v>1</v>
      </c>
      <c r="G416" s="16">
        <v>2000</v>
      </c>
      <c r="H416" s="15">
        <f>LOOKUP(G416,CPI!A$69:A$100,CPI!O$69:O$100)</f>
        <v>1.2662950058072011</v>
      </c>
      <c r="I416" s="5">
        <f t="shared" si="130"/>
        <v>2040</v>
      </c>
      <c r="J416" s="43">
        <v>3</v>
      </c>
      <c r="K416" s="43"/>
      <c r="L416" s="57"/>
      <c r="M416" s="56"/>
      <c r="N416" s="37">
        <f t="shared" si="132"/>
        <v>133</v>
      </c>
      <c r="O416" s="41">
        <v>133</v>
      </c>
      <c r="P416" s="16">
        <v>1</v>
      </c>
      <c r="Q416" s="16">
        <v>0</v>
      </c>
      <c r="R416" s="16">
        <v>0</v>
      </c>
      <c r="S416" s="42"/>
      <c r="T416" s="56" t="str">
        <f t="shared" si="118"/>
        <v/>
      </c>
      <c r="U416" s="56" t="str">
        <f t="shared" si="127"/>
        <v/>
      </c>
      <c r="V416" s="56" t="str">
        <f t="shared" si="128"/>
        <v/>
      </c>
      <c r="W416" s="42"/>
      <c r="X416" s="42"/>
      <c r="Y416" s="42"/>
      <c r="Z416" s="42"/>
      <c r="AA416" s="37">
        <f t="shared" si="129"/>
        <v>133</v>
      </c>
      <c r="AB416" s="42"/>
      <c r="AC416" s="42"/>
      <c r="AD416" s="42"/>
      <c r="AE416" s="42"/>
      <c r="AF416" s="16">
        <v>0</v>
      </c>
      <c r="AG416" s="16">
        <v>1</v>
      </c>
      <c r="AH416" s="16">
        <v>0</v>
      </c>
      <c r="AI416" s="16">
        <v>1</v>
      </c>
      <c r="AJ416" s="5">
        <v>0</v>
      </c>
      <c r="AK416" s="5">
        <v>0</v>
      </c>
      <c r="AL416" s="5">
        <v>1</v>
      </c>
      <c r="AM416" s="35"/>
      <c r="AN416" s="20">
        <v>3</v>
      </c>
      <c r="AO416" s="5">
        <v>1</v>
      </c>
      <c r="AP416" s="16"/>
      <c r="AQ416" s="16"/>
      <c r="AR416" s="16">
        <v>0</v>
      </c>
      <c r="AS416" s="16">
        <v>0</v>
      </c>
      <c r="AT416" s="31"/>
      <c r="AU416" s="31"/>
      <c r="AV416" s="33">
        <v>2031</v>
      </c>
      <c r="AW416" s="33">
        <v>2050</v>
      </c>
      <c r="AX416" s="16">
        <v>1</v>
      </c>
      <c r="AY416" s="16">
        <v>0</v>
      </c>
      <c r="AZ416" s="16">
        <v>0</v>
      </c>
      <c r="BA416" s="16">
        <v>0</v>
      </c>
    </row>
    <row r="417" spans="1:53" s="36" customFormat="1" x14ac:dyDescent="0.2">
      <c r="A417" s="29"/>
      <c r="B417" s="14" t="str">
        <f t="shared" si="120"/>
        <v>Wahba &amp; Hope 2006</v>
      </c>
      <c r="C417" s="61">
        <f t="shared" si="121"/>
        <v>48</v>
      </c>
      <c r="D417" s="58">
        <v>2006</v>
      </c>
      <c r="E417" s="17"/>
      <c r="F417" s="58">
        <v>1</v>
      </c>
      <c r="G417" s="16">
        <v>2000</v>
      </c>
      <c r="H417" s="15">
        <f>LOOKUP(G417,CPI!A$69:A$100,CPI!O$69:O$100)</f>
        <v>1.2662950058072011</v>
      </c>
      <c r="I417" s="5">
        <f t="shared" si="130"/>
        <v>2060</v>
      </c>
      <c r="J417" s="43">
        <v>4</v>
      </c>
      <c r="K417" s="43"/>
      <c r="L417" s="57"/>
      <c r="M417" s="56"/>
      <c r="N417" s="37">
        <f t="shared" si="132"/>
        <v>300</v>
      </c>
      <c r="O417" s="41">
        <v>300</v>
      </c>
      <c r="P417" s="16">
        <v>1</v>
      </c>
      <c r="Q417" s="16">
        <v>0</v>
      </c>
      <c r="R417" s="16">
        <v>0</v>
      </c>
      <c r="S417" s="42"/>
      <c r="T417" s="56" t="str">
        <f t="shared" si="118"/>
        <v/>
      </c>
      <c r="U417" s="56" t="str">
        <f t="shared" si="127"/>
        <v/>
      </c>
      <c r="V417" s="56" t="str">
        <f t="shared" si="128"/>
        <v/>
      </c>
      <c r="W417" s="42"/>
      <c r="X417" s="42"/>
      <c r="Y417" s="42"/>
      <c r="Z417" s="42"/>
      <c r="AA417" s="37">
        <f t="shared" si="129"/>
        <v>300</v>
      </c>
      <c r="AB417" s="42"/>
      <c r="AC417" s="42"/>
      <c r="AD417" s="42"/>
      <c r="AE417" s="42"/>
      <c r="AF417" s="16">
        <v>0</v>
      </c>
      <c r="AG417" s="16">
        <v>1</v>
      </c>
      <c r="AH417" s="16">
        <v>0</v>
      </c>
      <c r="AI417" s="16">
        <v>1</v>
      </c>
      <c r="AJ417" s="5">
        <v>0</v>
      </c>
      <c r="AK417" s="5">
        <v>0</v>
      </c>
      <c r="AL417" s="5">
        <v>1</v>
      </c>
      <c r="AM417" s="35"/>
      <c r="AN417" s="20">
        <v>3</v>
      </c>
      <c r="AO417" s="5">
        <v>1</v>
      </c>
      <c r="AP417" s="16"/>
      <c r="AQ417" s="16"/>
      <c r="AR417" s="16">
        <v>0</v>
      </c>
      <c r="AS417" s="16">
        <v>0</v>
      </c>
      <c r="AT417" s="31"/>
      <c r="AU417" s="31"/>
      <c r="AV417" s="33">
        <v>2051</v>
      </c>
      <c r="AW417" s="33">
        <v>2070</v>
      </c>
      <c r="AX417" s="16">
        <v>1</v>
      </c>
      <c r="AY417" s="16">
        <v>0</v>
      </c>
      <c r="AZ417" s="16">
        <v>0</v>
      </c>
      <c r="BA417" s="16">
        <v>0</v>
      </c>
    </row>
    <row r="418" spans="1:53" s="36" customFormat="1" x14ac:dyDescent="0.2">
      <c r="A418" s="29"/>
      <c r="B418" s="14" t="str">
        <f t="shared" si="120"/>
        <v>Wahba &amp; Hope 2006</v>
      </c>
      <c r="C418" s="61">
        <f t="shared" si="121"/>
        <v>48</v>
      </c>
      <c r="D418" s="58">
        <v>2006</v>
      </c>
      <c r="E418" s="17"/>
      <c r="F418" s="58">
        <v>1</v>
      </c>
      <c r="G418" s="16">
        <v>2000</v>
      </c>
      <c r="H418" s="15">
        <f>LOOKUP(G418,CPI!A$69:A$100,CPI!O$69:O$100)</f>
        <v>1.2662950058072011</v>
      </c>
      <c r="I418" s="5">
        <f t="shared" si="130"/>
        <v>2080</v>
      </c>
      <c r="J418" s="43">
        <v>5</v>
      </c>
      <c r="K418" s="43"/>
      <c r="L418" s="57"/>
      <c r="M418" s="56"/>
      <c r="N418" s="37">
        <f t="shared" si="132"/>
        <v>484</v>
      </c>
      <c r="O418" s="41">
        <v>484</v>
      </c>
      <c r="P418" s="16">
        <v>1</v>
      </c>
      <c r="Q418" s="16">
        <v>0</v>
      </c>
      <c r="R418" s="16">
        <v>0</v>
      </c>
      <c r="S418" s="42"/>
      <c r="T418" s="56" t="str">
        <f t="shared" si="118"/>
        <v/>
      </c>
      <c r="U418" s="56" t="str">
        <f t="shared" si="127"/>
        <v/>
      </c>
      <c r="V418" s="56" t="str">
        <f t="shared" si="128"/>
        <v/>
      </c>
      <c r="W418" s="42"/>
      <c r="X418" s="42"/>
      <c r="Y418" s="42"/>
      <c r="Z418" s="42"/>
      <c r="AA418" s="37">
        <f t="shared" si="129"/>
        <v>484</v>
      </c>
      <c r="AB418" s="42"/>
      <c r="AC418" s="42"/>
      <c r="AD418" s="42"/>
      <c r="AE418" s="42"/>
      <c r="AF418" s="16">
        <v>0</v>
      </c>
      <c r="AG418" s="16">
        <v>1</v>
      </c>
      <c r="AH418" s="16">
        <v>0</v>
      </c>
      <c r="AI418" s="16">
        <v>1</v>
      </c>
      <c r="AJ418" s="5">
        <v>0</v>
      </c>
      <c r="AK418" s="5">
        <v>0</v>
      </c>
      <c r="AL418" s="5">
        <v>1</v>
      </c>
      <c r="AM418" s="35"/>
      <c r="AN418" s="20">
        <v>3</v>
      </c>
      <c r="AO418" s="5">
        <v>1</v>
      </c>
      <c r="AP418" s="16"/>
      <c r="AQ418" s="16"/>
      <c r="AR418" s="16">
        <v>0</v>
      </c>
      <c r="AS418" s="16">
        <v>0</v>
      </c>
      <c r="AT418" s="31"/>
      <c r="AU418" s="31"/>
      <c r="AV418" s="33">
        <v>2071</v>
      </c>
      <c r="AW418" s="33">
        <v>2090</v>
      </c>
      <c r="AX418" s="16">
        <v>1</v>
      </c>
      <c r="AY418" s="16">
        <v>0</v>
      </c>
      <c r="AZ418" s="16">
        <v>0</v>
      </c>
      <c r="BA418" s="16">
        <v>0</v>
      </c>
    </row>
    <row r="419" spans="1:53" s="36" customFormat="1" x14ac:dyDescent="0.2">
      <c r="A419" s="29"/>
      <c r="B419" s="14" t="str">
        <f t="shared" si="120"/>
        <v>Wahba &amp; Hope 2006</v>
      </c>
      <c r="C419" s="61">
        <f t="shared" si="121"/>
        <v>48</v>
      </c>
      <c r="D419" s="58">
        <v>2006</v>
      </c>
      <c r="E419" s="17"/>
      <c r="F419" s="58">
        <v>1</v>
      </c>
      <c r="G419" s="16">
        <v>2000</v>
      </c>
      <c r="H419" s="15">
        <f>LOOKUP(G419,CPI!A$69:A$100,CPI!O$69:O$100)</f>
        <v>1.2662950058072011</v>
      </c>
      <c r="I419" s="5">
        <f t="shared" si="130"/>
        <v>2108</v>
      </c>
      <c r="J419" s="43">
        <v>6</v>
      </c>
      <c r="K419" s="43"/>
      <c r="L419" s="57"/>
      <c r="M419" s="56"/>
      <c r="N419" s="37">
        <f t="shared" si="132"/>
        <v>456</v>
      </c>
      <c r="O419" s="41">
        <v>456</v>
      </c>
      <c r="P419" s="16">
        <v>1</v>
      </c>
      <c r="Q419" s="16">
        <v>0</v>
      </c>
      <c r="R419" s="16">
        <v>0</v>
      </c>
      <c r="S419" s="42"/>
      <c r="T419" s="56" t="str">
        <f t="shared" si="118"/>
        <v/>
      </c>
      <c r="U419" s="56" t="str">
        <f t="shared" si="127"/>
        <v/>
      </c>
      <c r="V419" s="56" t="str">
        <f t="shared" si="128"/>
        <v/>
      </c>
      <c r="W419" s="42"/>
      <c r="X419" s="42"/>
      <c r="Y419" s="42"/>
      <c r="Z419" s="42"/>
      <c r="AA419" s="37">
        <f t="shared" si="129"/>
        <v>456</v>
      </c>
      <c r="AB419" s="42"/>
      <c r="AC419" s="42"/>
      <c r="AD419" s="42"/>
      <c r="AE419" s="42"/>
      <c r="AF419" s="16">
        <v>0</v>
      </c>
      <c r="AG419" s="16">
        <v>1</v>
      </c>
      <c r="AH419" s="16">
        <v>0</v>
      </c>
      <c r="AI419" s="16">
        <v>1</v>
      </c>
      <c r="AJ419" s="5">
        <v>0</v>
      </c>
      <c r="AK419" s="5">
        <v>0</v>
      </c>
      <c r="AL419" s="5">
        <v>1</v>
      </c>
      <c r="AM419" s="35"/>
      <c r="AN419" s="20">
        <v>3</v>
      </c>
      <c r="AO419" s="5">
        <v>1</v>
      </c>
      <c r="AP419" s="16"/>
      <c r="AQ419" s="16"/>
      <c r="AR419" s="16">
        <v>0</v>
      </c>
      <c r="AS419" s="16">
        <v>0</v>
      </c>
      <c r="AT419" s="31"/>
      <c r="AU419" s="31"/>
      <c r="AV419" s="33">
        <v>2091</v>
      </c>
      <c r="AW419" s="33">
        <v>2125</v>
      </c>
      <c r="AX419" s="16">
        <v>1</v>
      </c>
      <c r="AY419" s="16">
        <v>0</v>
      </c>
      <c r="AZ419" s="16">
        <v>0</v>
      </c>
      <c r="BA419" s="16">
        <v>0</v>
      </c>
    </row>
    <row r="420" spans="1:53" x14ac:dyDescent="0.2">
      <c r="A420" s="14" t="s">
        <v>176</v>
      </c>
      <c r="B420" s="14" t="str">
        <f t="shared" si="120"/>
        <v>Stern &amp; Taylor 2007</v>
      </c>
      <c r="C420" s="61">
        <f t="shared" si="121"/>
        <v>49</v>
      </c>
      <c r="D420" s="58">
        <v>2007</v>
      </c>
      <c r="E420" s="17" t="s">
        <v>135</v>
      </c>
      <c r="F420" s="58">
        <v>1</v>
      </c>
      <c r="G420" s="16">
        <v>2000</v>
      </c>
      <c r="H420" s="15">
        <f>LOOKUP(G420,CPI!A$69:A$100,CPI!O$69:O$100)</f>
        <v>1.2662950058072011</v>
      </c>
      <c r="I420" s="52">
        <v>2000</v>
      </c>
      <c r="J420" s="15">
        <v>0.5</v>
      </c>
      <c r="K420" s="15"/>
      <c r="L420" s="62"/>
      <c r="M420" s="56">
        <f>AA420*H420*(1+$L$2)^(2015-I420)</f>
        <v>183.80335910803649</v>
      </c>
      <c r="N420" s="18">
        <f>25*44/12</f>
        <v>91.666666666666671</v>
      </c>
      <c r="O420" s="14">
        <f t="shared" ref="O420:O421" si="133">N420</f>
        <v>91.666666666666671</v>
      </c>
      <c r="P420" s="16">
        <v>0</v>
      </c>
      <c r="Q420" s="16">
        <v>1</v>
      </c>
      <c r="R420" s="16">
        <v>0</v>
      </c>
      <c r="S420" s="14"/>
      <c r="T420" s="56" t="str">
        <f t="shared" si="118"/>
        <v/>
      </c>
      <c r="U420" s="56" t="str">
        <f t="shared" si="127"/>
        <v/>
      </c>
      <c r="V420" s="56" t="str">
        <f t="shared" si="128"/>
        <v/>
      </c>
      <c r="W420" s="14"/>
      <c r="X420" s="14"/>
      <c r="Y420" s="14"/>
      <c r="Z420" s="14"/>
      <c r="AA420" s="18">
        <f t="shared" si="129"/>
        <v>91.666666666666671</v>
      </c>
      <c r="AB420" s="14"/>
      <c r="AC420" s="14"/>
      <c r="AD420" s="14"/>
      <c r="AE420" s="14"/>
      <c r="AF420" s="16">
        <v>0</v>
      </c>
      <c r="AG420" s="16">
        <v>1</v>
      </c>
      <c r="AH420" s="16">
        <v>0</v>
      </c>
      <c r="AI420" s="16">
        <v>1</v>
      </c>
      <c r="AJ420" s="5">
        <v>0</v>
      </c>
      <c r="AK420" s="5">
        <v>0</v>
      </c>
      <c r="AL420" s="5">
        <v>1</v>
      </c>
      <c r="AM420" s="20"/>
      <c r="AN420" s="20">
        <v>0</v>
      </c>
      <c r="AO420" s="16"/>
      <c r="AP420" s="16"/>
      <c r="AQ420" s="16"/>
      <c r="AR420" s="16">
        <v>0</v>
      </c>
      <c r="AS420" s="16">
        <v>0</v>
      </c>
      <c r="AT420" s="16"/>
      <c r="AU420" s="16"/>
      <c r="AV420" s="16"/>
      <c r="AW420" s="16"/>
      <c r="AX420" s="16">
        <v>0</v>
      </c>
      <c r="AY420" s="16">
        <v>0</v>
      </c>
      <c r="AZ420" s="16">
        <v>0</v>
      </c>
      <c r="BA420" s="16">
        <v>1</v>
      </c>
    </row>
    <row r="421" spans="1:53" x14ac:dyDescent="0.2">
      <c r="A421" s="14"/>
      <c r="B421" s="14" t="str">
        <f t="shared" si="120"/>
        <v>Stern &amp; Taylor 2007</v>
      </c>
      <c r="C421" s="61">
        <f t="shared" si="121"/>
        <v>49</v>
      </c>
      <c r="D421" s="58">
        <v>2007</v>
      </c>
      <c r="E421" s="17"/>
      <c r="F421" s="58">
        <v>1</v>
      </c>
      <c r="G421" s="16">
        <v>2000</v>
      </c>
      <c r="H421" s="15">
        <f>LOOKUP(G421,CPI!A$69:A$100,CPI!O$69:O$100)</f>
        <v>1.2662950058072011</v>
      </c>
      <c r="I421" s="52">
        <v>2000</v>
      </c>
      <c r="J421" s="15">
        <v>0.5</v>
      </c>
      <c r="K421" s="15"/>
      <c r="L421" s="62"/>
      <c r="M421" s="56">
        <f>AA421*H421*(1+$L$2)^(2015-I421)</f>
        <v>220.56403092964379</v>
      </c>
      <c r="N421" s="18">
        <f>30*44/12</f>
        <v>110</v>
      </c>
      <c r="O421" s="14">
        <f t="shared" si="133"/>
        <v>110</v>
      </c>
      <c r="P421" s="16">
        <v>0</v>
      </c>
      <c r="Q421" s="16">
        <v>1</v>
      </c>
      <c r="R421" s="16">
        <v>0</v>
      </c>
      <c r="S421" s="14"/>
      <c r="T421" s="56" t="str">
        <f t="shared" si="118"/>
        <v/>
      </c>
      <c r="U421" s="56" t="str">
        <f t="shared" si="127"/>
        <v/>
      </c>
      <c r="V421" s="56" t="str">
        <f t="shared" si="128"/>
        <v/>
      </c>
      <c r="W421" s="14"/>
      <c r="X421" s="14"/>
      <c r="Y421" s="14"/>
      <c r="Z421" s="14"/>
      <c r="AA421" s="18">
        <f t="shared" si="129"/>
        <v>110</v>
      </c>
      <c r="AB421" s="14"/>
      <c r="AC421" s="14"/>
      <c r="AD421" s="14"/>
      <c r="AE421" s="14"/>
      <c r="AF421" s="16">
        <v>0</v>
      </c>
      <c r="AG421" s="16">
        <v>1</v>
      </c>
      <c r="AH421" s="16">
        <v>0</v>
      </c>
      <c r="AI421" s="16">
        <v>1</v>
      </c>
      <c r="AJ421" s="5">
        <v>0</v>
      </c>
      <c r="AK421" s="5">
        <v>0</v>
      </c>
      <c r="AL421" s="5">
        <v>1</v>
      </c>
      <c r="AM421" s="20"/>
      <c r="AN421" s="20">
        <v>0</v>
      </c>
      <c r="AO421" s="16"/>
      <c r="AP421" s="16"/>
      <c r="AQ421" s="16"/>
      <c r="AR421" s="16">
        <v>0</v>
      </c>
      <c r="AS421" s="16">
        <v>0</v>
      </c>
      <c r="AT421" s="16"/>
      <c r="AU421" s="16"/>
      <c r="AV421" s="16"/>
      <c r="AW421" s="16"/>
      <c r="AX421" s="16">
        <v>0</v>
      </c>
      <c r="AY421" s="16">
        <v>0</v>
      </c>
      <c r="AZ421" s="16">
        <v>0</v>
      </c>
      <c r="BA421" s="16">
        <v>1</v>
      </c>
    </row>
    <row r="422" spans="1:53" x14ac:dyDescent="0.2">
      <c r="A422" s="14" t="s">
        <v>28</v>
      </c>
      <c r="B422" s="14" t="str">
        <f t="shared" si="120"/>
        <v>Hope 2008</v>
      </c>
      <c r="C422" s="61">
        <f t="shared" si="121"/>
        <v>50</v>
      </c>
      <c r="D422" s="58">
        <v>2008</v>
      </c>
      <c r="E422" s="78" t="s">
        <v>190</v>
      </c>
      <c r="F422" s="58">
        <v>1</v>
      </c>
      <c r="G422" s="16">
        <v>2000</v>
      </c>
      <c r="H422" s="15">
        <f>LOOKUP(G422,CPI!A$69:A$100,CPI!O$69:O$100)</f>
        <v>1.2662950058072011</v>
      </c>
      <c r="I422" s="52">
        <v>2000</v>
      </c>
      <c r="J422" s="15">
        <v>0.2</v>
      </c>
      <c r="K422" s="15"/>
      <c r="L422" s="62"/>
      <c r="M422" s="56">
        <f t="shared" ref="M422:M469" si="134">AA422*H422*(1+$L$2)^(2015-I422)</f>
        <v>28.071785754681933</v>
      </c>
      <c r="N422" s="18">
        <f>O422</f>
        <v>14</v>
      </c>
      <c r="O422" s="14">
        <v>14</v>
      </c>
      <c r="P422" s="16">
        <v>1</v>
      </c>
      <c r="Q422" s="16">
        <v>0</v>
      </c>
      <c r="R422" s="16">
        <v>0</v>
      </c>
      <c r="S422" s="14"/>
      <c r="T422" s="56" t="str">
        <f t="shared" si="118"/>
        <v/>
      </c>
      <c r="U422" s="56">
        <f t="shared" ref="U422" si="135">+(AA422-X422)/1.96*H422*(1+$L$2)^(2015-I422)</f>
        <v>11.2532668841655</v>
      </c>
      <c r="V422" s="56">
        <f t="shared" ref="V422" si="136">+(AD422-AA422)/1.96*H422*(1+$L$2)^(2015-I422)</f>
        <v>27.621655079315314</v>
      </c>
      <c r="W422" s="14"/>
      <c r="X422" s="14">
        <v>3</v>
      </c>
      <c r="Y422" s="14"/>
      <c r="Z422" s="14"/>
      <c r="AA422" s="18">
        <f t="shared" si="129"/>
        <v>14</v>
      </c>
      <c r="AB422" s="14"/>
      <c r="AC422" s="14"/>
      <c r="AD422" s="14">
        <v>41</v>
      </c>
      <c r="AE422" s="14"/>
      <c r="AF422" s="16">
        <v>0</v>
      </c>
      <c r="AG422" s="16">
        <v>1</v>
      </c>
      <c r="AH422" s="16">
        <v>0</v>
      </c>
      <c r="AI422" s="16">
        <v>1</v>
      </c>
      <c r="AJ422" s="5">
        <v>0</v>
      </c>
      <c r="AK422" s="5">
        <v>0</v>
      </c>
      <c r="AL422" s="5">
        <v>1</v>
      </c>
      <c r="AM422" s="20"/>
      <c r="AN422" s="13">
        <v>2</v>
      </c>
      <c r="AO422" s="5">
        <v>1</v>
      </c>
      <c r="AP422" s="14"/>
      <c r="AQ422" s="16"/>
      <c r="AR422" s="16">
        <v>0</v>
      </c>
      <c r="AS422" s="16">
        <v>0</v>
      </c>
      <c r="AT422" s="16"/>
      <c r="AU422" s="3">
        <v>3.9</v>
      </c>
      <c r="AV422" s="16"/>
      <c r="AW422" s="16"/>
      <c r="AX422" s="16">
        <v>1</v>
      </c>
      <c r="AY422" s="16">
        <v>0</v>
      </c>
      <c r="AZ422" s="16">
        <v>0</v>
      </c>
      <c r="BA422" s="16">
        <v>0</v>
      </c>
    </row>
    <row r="423" spans="1:53" x14ac:dyDescent="0.2">
      <c r="A423" s="14"/>
      <c r="B423" s="14" t="str">
        <f t="shared" si="120"/>
        <v>Hope 2008</v>
      </c>
      <c r="C423" s="61">
        <f t="shared" si="121"/>
        <v>50</v>
      </c>
      <c r="D423" s="58">
        <v>2008</v>
      </c>
      <c r="E423" s="17"/>
      <c r="F423" s="58">
        <v>1</v>
      </c>
      <c r="G423" s="16">
        <v>2000</v>
      </c>
      <c r="H423" s="15">
        <f>LOOKUP(G423,CPI!A$69:A$100,CPI!O$69:O$100)</f>
        <v>1.2662950058072011</v>
      </c>
      <c r="I423" s="52">
        <v>2000</v>
      </c>
      <c r="J423" s="15">
        <v>0.2</v>
      </c>
      <c r="K423" s="15"/>
      <c r="L423" s="62"/>
      <c r="M423" s="56">
        <f t="shared" si="134"/>
        <v>26.066658200776079</v>
      </c>
      <c r="N423" s="18">
        <f>O423</f>
        <v>13</v>
      </c>
      <c r="O423" s="14">
        <v>13</v>
      </c>
      <c r="P423" s="16">
        <v>1</v>
      </c>
      <c r="Q423" s="16">
        <v>0</v>
      </c>
      <c r="R423" s="16">
        <v>0</v>
      </c>
      <c r="S423" s="14"/>
      <c r="T423" s="56" t="str">
        <f t="shared" si="118"/>
        <v/>
      </c>
      <c r="U423" s="56">
        <f t="shared" ref="U423:U436" si="137">+(AA423-X423)/1.96*H423*(1+$L$2)^(2015-I423)</f>
        <v>10.230242621968634</v>
      </c>
      <c r="V423" s="56">
        <f t="shared" ref="V423:V436" si="138">+(AD423-AA423)/1.96*H423*(1+$L$2)^(2015-I423)</f>
        <v>24.552582292724722</v>
      </c>
      <c r="W423" s="14"/>
      <c r="X423" s="14">
        <v>3</v>
      </c>
      <c r="Y423" s="14"/>
      <c r="Z423" s="14"/>
      <c r="AA423" s="18">
        <f t="shared" si="129"/>
        <v>13</v>
      </c>
      <c r="AB423" s="14"/>
      <c r="AC423" s="14"/>
      <c r="AD423" s="14">
        <v>37</v>
      </c>
      <c r="AE423" s="14"/>
      <c r="AF423" s="16">
        <v>0</v>
      </c>
      <c r="AG423" s="16">
        <v>1</v>
      </c>
      <c r="AH423" s="16">
        <v>0</v>
      </c>
      <c r="AI423" s="16">
        <v>1</v>
      </c>
      <c r="AJ423" s="5">
        <v>0</v>
      </c>
      <c r="AK423" s="5">
        <v>0</v>
      </c>
      <c r="AL423" s="5">
        <v>1</v>
      </c>
      <c r="AM423" s="20"/>
      <c r="AN423" s="13">
        <v>2</v>
      </c>
      <c r="AO423" s="5">
        <v>1</v>
      </c>
      <c r="AP423" s="14"/>
      <c r="AQ423" s="16"/>
      <c r="AR423" s="16">
        <v>0</v>
      </c>
      <c r="AS423" s="16">
        <v>0</v>
      </c>
      <c r="AT423" s="16"/>
      <c r="AU423" s="3">
        <v>3.6</v>
      </c>
      <c r="AV423" s="16"/>
      <c r="AW423" s="16"/>
      <c r="AX423" s="16">
        <v>1</v>
      </c>
      <c r="AY423" s="16">
        <v>0</v>
      </c>
      <c r="AZ423" s="16">
        <v>0</v>
      </c>
      <c r="BA423" s="16">
        <v>0</v>
      </c>
    </row>
    <row r="424" spans="1:53" x14ac:dyDescent="0.2">
      <c r="A424" s="14"/>
      <c r="B424" s="14" t="str">
        <f t="shared" si="120"/>
        <v>Hope 2008</v>
      </c>
      <c r="C424" s="61">
        <f t="shared" si="121"/>
        <v>50</v>
      </c>
      <c r="D424" s="58">
        <v>2008</v>
      </c>
      <c r="E424" s="17"/>
      <c r="F424" s="58">
        <v>1</v>
      </c>
      <c r="G424" s="16">
        <v>2000</v>
      </c>
      <c r="H424" s="15">
        <f>LOOKUP(G424,CPI!A$69:A$100,CPI!O$69:O$100)</f>
        <v>1.2662950058072011</v>
      </c>
      <c r="I424" s="52">
        <v>2000</v>
      </c>
      <c r="J424" s="15">
        <v>0.2</v>
      </c>
      <c r="K424" s="15"/>
      <c r="L424" s="62"/>
      <c r="M424" s="56">
        <f t="shared" si="134"/>
        <v>26.066658200776079</v>
      </c>
      <c r="N424" s="18">
        <f>O424</f>
        <v>13</v>
      </c>
      <c r="O424" s="14">
        <v>13</v>
      </c>
      <c r="P424" s="16">
        <v>1</v>
      </c>
      <c r="Q424" s="16">
        <v>0</v>
      </c>
      <c r="R424" s="16">
        <v>0</v>
      </c>
      <c r="S424" s="14"/>
      <c r="T424" s="56" t="str">
        <f t="shared" si="118"/>
        <v/>
      </c>
      <c r="U424" s="56">
        <f t="shared" si="137"/>
        <v>11.2532668841655</v>
      </c>
      <c r="V424" s="56">
        <f t="shared" si="138"/>
        <v>30.690727865905902</v>
      </c>
      <c r="W424" s="14"/>
      <c r="X424" s="14">
        <v>2</v>
      </c>
      <c r="Y424" s="14"/>
      <c r="Z424" s="14"/>
      <c r="AA424" s="18">
        <f t="shared" si="129"/>
        <v>13</v>
      </c>
      <c r="AB424" s="14"/>
      <c r="AC424" s="14"/>
      <c r="AD424" s="14">
        <v>43</v>
      </c>
      <c r="AE424" s="14"/>
      <c r="AF424" s="16">
        <v>0</v>
      </c>
      <c r="AG424" s="16">
        <v>1</v>
      </c>
      <c r="AH424" s="16">
        <v>0</v>
      </c>
      <c r="AI424" s="16">
        <v>1</v>
      </c>
      <c r="AJ424" s="5">
        <v>0</v>
      </c>
      <c r="AK424" s="5">
        <v>0</v>
      </c>
      <c r="AL424" s="5">
        <v>1</v>
      </c>
      <c r="AM424" s="20"/>
      <c r="AN424" s="13">
        <v>2</v>
      </c>
      <c r="AO424" s="5">
        <v>1</v>
      </c>
      <c r="AP424" s="14"/>
      <c r="AQ424" s="16"/>
      <c r="AR424" s="16">
        <v>0</v>
      </c>
      <c r="AS424" s="16">
        <v>0</v>
      </c>
      <c r="AT424" s="16"/>
      <c r="AU424" s="3">
        <v>3.3</v>
      </c>
      <c r="AV424" s="16"/>
      <c r="AW424" s="16"/>
      <c r="AX424" s="16">
        <v>1</v>
      </c>
      <c r="AY424" s="16">
        <v>0</v>
      </c>
      <c r="AZ424" s="16">
        <v>0</v>
      </c>
      <c r="BA424" s="16">
        <v>0</v>
      </c>
    </row>
    <row r="425" spans="1:53" x14ac:dyDescent="0.2">
      <c r="A425" s="14"/>
      <c r="B425" s="14" t="str">
        <f t="shared" si="120"/>
        <v>Hope 2008</v>
      </c>
      <c r="C425" s="61">
        <f t="shared" si="121"/>
        <v>50</v>
      </c>
      <c r="D425" s="58">
        <v>2008</v>
      </c>
      <c r="E425" s="17"/>
      <c r="F425" s="58">
        <v>1</v>
      </c>
      <c r="G425" s="16">
        <v>2000</v>
      </c>
      <c r="H425" s="15">
        <f>LOOKUP(G425,CPI!A$69:A$100,CPI!O$69:O$100)</f>
        <v>1.2662950058072011</v>
      </c>
      <c r="I425" s="52">
        <v>2000</v>
      </c>
      <c r="J425" s="15">
        <v>0.2</v>
      </c>
      <c r="K425" s="15"/>
      <c r="L425" s="62"/>
      <c r="M425" s="56">
        <f t="shared" si="134"/>
        <v>26.066658200776079</v>
      </c>
      <c r="N425" s="18">
        <f>O425</f>
        <v>13</v>
      </c>
      <c r="O425" s="14">
        <v>13</v>
      </c>
      <c r="P425" s="16">
        <v>1</v>
      </c>
      <c r="Q425" s="16">
        <v>0</v>
      </c>
      <c r="R425" s="16">
        <v>0</v>
      </c>
      <c r="S425" s="14"/>
      <c r="T425" s="56" t="str">
        <f t="shared" si="118"/>
        <v/>
      </c>
      <c r="U425" s="56">
        <f t="shared" si="137"/>
        <v>11.2532668841655</v>
      </c>
      <c r="V425" s="56">
        <f t="shared" si="138"/>
        <v>24.552582292724722</v>
      </c>
      <c r="W425" s="14"/>
      <c r="X425" s="14">
        <v>2</v>
      </c>
      <c r="Y425" s="14"/>
      <c r="Z425" s="14"/>
      <c r="AA425" s="18">
        <f t="shared" si="129"/>
        <v>13</v>
      </c>
      <c r="AB425" s="14"/>
      <c r="AC425" s="14"/>
      <c r="AD425" s="14">
        <v>37</v>
      </c>
      <c r="AE425" s="14"/>
      <c r="AF425" s="16">
        <v>0</v>
      </c>
      <c r="AG425" s="16">
        <v>1</v>
      </c>
      <c r="AH425" s="16">
        <v>0</v>
      </c>
      <c r="AI425" s="16">
        <v>1</v>
      </c>
      <c r="AJ425" s="5">
        <v>0</v>
      </c>
      <c r="AK425" s="5">
        <v>0</v>
      </c>
      <c r="AL425" s="5">
        <v>1</v>
      </c>
      <c r="AM425" s="20"/>
      <c r="AN425" s="13">
        <v>2</v>
      </c>
      <c r="AO425" s="5">
        <v>1</v>
      </c>
      <c r="AP425" s="14"/>
      <c r="AQ425" s="16"/>
      <c r="AR425" s="16">
        <v>0</v>
      </c>
      <c r="AS425" s="16">
        <v>0</v>
      </c>
      <c r="AT425" s="16"/>
      <c r="AU425" s="3">
        <v>3.1</v>
      </c>
      <c r="AV425" s="16"/>
      <c r="AW425" s="16"/>
      <c r="AX425" s="16">
        <v>1</v>
      </c>
      <c r="AY425" s="16">
        <v>0</v>
      </c>
      <c r="AZ425" s="16">
        <v>0</v>
      </c>
      <c r="BA425" s="16">
        <v>0</v>
      </c>
    </row>
    <row r="426" spans="1:53" x14ac:dyDescent="0.2">
      <c r="A426" s="14"/>
      <c r="B426" s="14" t="str">
        <f t="shared" si="120"/>
        <v>Hope 2008</v>
      </c>
      <c r="C426" s="61">
        <f t="shared" si="121"/>
        <v>50</v>
      </c>
      <c r="D426" s="58">
        <v>2008</v>
      </c>
      <c r="E426" s="17"/>
      <c r="F426" s="58">
        <v>1</v>
      </c>
      <c r="G426" s="16">
        <v>2000</v>
      </c>
      <c r="H426" s="15">
        <f>LOOKUP(G426,CPI!A$69:A$100,CPI!O$69:O$100)</f>
        <v>1.2662950058072011</v>
      </c>
      <c r="I426" s="52">
        <v>2000</v>
      </c>
      <c r="J426" s="15">
        <v>0.2</v>
      </c>
      <c r="K426" s="15"/>
      <c r="L426" s="62"/>
      <c r="M426" s="56">
        <f t="shared" si="134"/>
        <v>24.061530646870228</v>
      </c>
      <c r="N426" s="18">
        <f t="shared" ref="N426:N436" si="139">O426</f>
        <v>12</v>
      </c>
      <c r="O426" s="14">
        <v>12</v>
      </c>
      <c r="P426" s="16">
        <v>1</v>
      </c>
      <c r="Q426" s="16">
        <v>0</v>
      </c>
      <c r="R426" s="16">
        <v>0</v>
      </c>
      <c r="S426" s="14"/>
      <c r="T426" s="56" t="str">
        <f t="shared" si="118"/>
        <v/>
      </c>
      <c r="U426" s="56">
        <f t="shared" si="137"/>
        <v>10.230242621968634</v>
      </c>
      <c r="V426" s="56">
        <f t="shared" si="138"/>
        <v>23.529558030527859</v>
      </c>
      <c r="W426" s="14"/>
      <c r="X426" s="14">
        <v>2</v>
      </c>
      <c r="Y426" s="14"/>
      <c r="Z426" s="14"/>
      <c r="AA426" s="18">
        <f t="shared" si="129"/>
        <v>12</v>
      </c>
      <c r="AB426" s="14"/>
      <c r="AC426" s="14"/>
      <c r="AD426" s="14">
        <v>35</v>
      </c>
      <c r="AE426" s="14"/>
      <c r="AF426" s="16">
        <v>0</v>
      </c>
      <c r="AG426" s="16">
        <v>1</v>
      </c>
      <c r="AH426" s="16">
        <v>0</v>
      </c>
      <c r="AI426" s="16">
        <v>1</v>
      </c>
      <c r="AJ426" s="5">
        <v>0</v>
      </c>
      <c r="AK426" s="5">
        <v>0</v>
      </c>
      <c r="AL426" s="5">
        <v>1</v>
      </c>
      <c r="AM426" s="20"/>
      <c r="AN426" s="13">
        <v>2</v>
      </c>
      <c r="AO426" s="5">
        <v>1</v>
      </c>
      <c r="AP426" s="14"/>
      <c r="AQ426" s="16"/>
      <c r="AR426" s="16">
        <v>0</v>
      </c>
      <c r="AS426" s="16">
        <v>0</v>
      </c>
      <c r="AT426" s="16"/>
      <c r="AU426" s="3">
        <v>3.3</v>
      </c>
      <c r="AV426" s="16"/>
      <c r="AW426" s="16"/>
      <c r="AX426" s="16">
        <v>1</v>
      </c>
      <c r="AY426" s="16">
        <v>0</v>
      </c>
      <c r="AZ426" s="16">
        <v>0</v>
      </c>
      <c r="BA426" s="16">
        <v>1</v>
      </c>
    </row>
    <row r="427" spans="1:53" x14ac:dyDescent="0.2">
      <c r="A427" s="14" t="s">
        <v>28</v>
      </c>
      <c r="B427" s="14" t="str">
        <f t="shared" si="120"/>
        <v>Hope 2008</v>
      </c>
      <c r="C427" s="61">
        <f t="shared" si="121"/>
        <v>51</v>
      </c>
      <c r="D427" s="58">
        <v>2008</v>
      </c>
      <c r="E427" s="78" t="s">
        <v>191</v>
      </c>
      <c r="F427" s="58">
        <v>1</v>
      </c>
      <c r="G427" s="16">
        <v>2000</v>
      </c>
      <c r="H427" s="15">
        <f>LOOKUP(G427,CPI!A$69:A$100,CPI!O$69:O$100)</f>
        <v>1.2662950058072011</v>
      </c>
      <c r="I427" s="52">
        <v>2000</v>
      </c>
      <c r="J427" s="15">
        <v>0.1</v>
      </c>
      <c r="K427" s="15"/>
      <c r="L427" s="62"/>
      <c r="M427" s="56">
        <f t="shared" si="134"/>
        <v>32.082040862493642</v>
      </c>
      <c r="N427" s="18">
        <f t="shared" si="139"/>
        <v>16</v>
      </c>
      <c r="O427" s="14">
        <v>16</v>
      </c>
      <c r="P427" s="16">
        <v>1</v>
      </c>
      <c r="Q427" s="16">
        <v>0</v>
      </c>
      <c r="R427" s="16">
        <v>0</v>
      </c>
      <c r="S427" s="14"/>
      <c r="T427" s="56" t="str">
        <f t="shared" si="118"/>
        <v/>
      </c>
      <c r="U427" s="56">
        <f t="shared" si="137"/>
        <v>12.276291146362361</v>
      </c>
      <c r="V427" s="56">
        <f t="shared" si="138"/>
        <v>28.64467934151218</v>
      </c>
      <c r="W427" s="14"/>
      <c r="X427" s="14">
        <v>4</v>
      </c>
      <c r="Y427" s="14"/>
      <c r="Z427" s="14"/>
      <c r="AA427" s="18">
        <f t="shared" si="129"/>
        <v>16</v>
      </c>
      <c r="AB427" s="14"/>
      <c r="AC427" s="14"/>
      <c r="AD427" s="14">
        <v>44</v>
      </c>
      <c r="AE427" s="14"/>
      <c r="AF427" s="16">
        <v>0</v>
      </c>
      <c r="AG427" s="16">
        <v>1</v>
      </c>
      <c r="AH427" s="16">
        <v>0</v>
      </c>
      <c r="AI427" s="16">
        <v>1</v>
      </c>
      <c r="AJ427" s="5">
        <v>0</v>
      </c>
      <c r="AK427" s="5">
        <v>0</v>
      </c>
      <c r="AL427" s="5">
        <v>1</v>
      </c>
      <c r="AM427" s="20"/>
      <c r="AN427" s="20">
        <v>3</v>
      </c>
      <c r="AO427" s="14"/>
      <c r="AP427" s="14"/>
      <c r="AQ427" s="16"/>
      <c r="AR427" s="16">
        <v>0</v>
      </c>
      <c r="AS427" s="16">
        <v>1</v>
      </c>
      <c r="AT427" s="16"/>
      <c r="AU427" s="16"/>
      <c r="AV427" s="16"/>
      <c r="AW427" s="16"/>
      <c r="AX427" s="16">
        <v>1</v>
      </c>
      <c r="AY427" s="16">
        <v>0</v>
      </c>
      <c r="AZ427" s="16">
        <v>0</v>
      </c>
      <c r="BA427" s="16">
        <v>0</v>
      </c>
    </row>
    <row r="428" spans="1:53" x14ac:dyDescent="0.2">
      <c r="A428" s="14"/>
      <c r="B428" s="14" t="str">
        <f t="shared" si="120"/>
        <v>Hope 2008</v>
      </c>
      <c r="C428" s="61">
        <f t="shared" si="121"/>
        <v>51</v>
      </c>
      <c r="D428" s="58">
        <v>2008</v>
      </c>
      <c r="E428" s="17"/>
      <c r="F428" s="58">
        <v>1</v>
      </c>
      <c r="G428" s="16">
        <v>2000</v>
      </c>
      <c r="H428" s="15">
        <f>LOOKUP(G428,CPI!A$69:A$100,CPI!O$69:O$100)</f>
        <v>1.2662950058072011</v>
      </c>
      <c r="I428" s="52">
        <v>2000</v>
      </c>
      <c r="J428" s="15">
        <v>0.1</v>
      </c>
      <c r="K428" s="15"/>
      <c r="L428" s="62"/>
      <c r="M428" s="56">
        <f t="shared" si="134"/>
        <v>116.29739812653943</v>
      </c>
      <c r="N428" s="18">
        <f t="shared" si="139"/>
        <v>58</v>
      </c>
      <c r="O428" s="14">
        <v>58</v>
      </c>
      <c r="P428" s="16">
        <v>1</v>
      </c>
      <c r="Q428" s="16">
        <v>0</v>
      </c>
      <c r="R428" s="16">
        <v>0</v>
      </c>
      <c r="S428" s="14"/>
      <c r="T428" s="56" t="str">
        <f t="shared" si="118"/>
        <v/>
      </c>
      <c r="U428" s="56">
        <f t="shared" si="137"/>
        <v>46.036091798858855</v>
      </c>
      <c r="V428" s="56">
        <f t="shared" si="138"/>
        <v>100.25637769529261</v>
      </c>
      <c r="W428" s="14"/>
      <c r="X428" s="14">
        <v>13</v>
      </c>
      <c r="Y428" s="14"/>
      <c r="Z428" s="14"/>
      <c r="AA428" s="18">
        <f t="shared" si="129"/>
        <v>58</v>
      </c>
      <c r="AB428" s="14"/>
      <c r="AC428" s="14"/>
      <c r="AD428" s="14">
        <v>156</v>
      </c>
      <c r="AE428" s="14"/>
      <c r="AF428" s="16">
        <v>0</v>
      </c>
      <c r="AG428" s="16">
        <v>1</v>
      </c>
      <c r="AH428" s="16">
        <v>0</v>
      </c>
      <c r="AI428" s="16">
        <v>1</v>
      </c>
      <c r="AJ428" s="5">
        <v>0</v>
      </c>
      <c r="AK428" s="5">
        <v>0</v>
      </c>
      <c r="AL428" s="5">
        <v>1</v>
      </c>
      <c r="AM428" s="20">
        <v>3</v>
      </c>
      <c r="AN428" s="20">
        <v>1</v>
      </c>
      <c r="AO428" s="14"/>
      <c r="AP428" s="14"/>
      <c r="AQ428" s="16"/>
      <c r="AR428" s="16">
        <v>0</v>
      </c>
      <c r="AS428" s="16">
        <v>1</v>
      </c>
      <c r="AT428" s="16"/>
      <c r="AU428" s="16"/>
      <c r="AV428" s="16"/>
      <c r="AW428" s="16"/>
      <c r="AX428" s="16">
        <v>1</v>
      </c>
      <c r="AY428" s="16">
        <v>0</v>
      </c>
      <c r="AZ428" s="16">
        <v>0</v>
      </c>
      <c r="BA428" s="16">
        <v>0</v>
      </c>
    </row>
    <row r="429" spans="1:53" x14ac:dyDescent="0.2">
      <c r="A429" s="14"/>
      <c r="B429" s="14" t="str">
        <f t="shared" si="120"/>
        <v>Hope 2008</v>
      </c>
      <c r="C429" s="61">
        <f t="shared" si="121"/>
        <v>51</v>
      </c>
      <c r="D429" s="58">
        <v>2008</v>
      </c>
      <c r="E429" s="17"/>
      <c r="F429" s="58">
        <v>1</v>
      </c>
      <c r="G429" s="16">
        <v>2000</v>
      </c>
      <c r="H429" s="15">
        <f>LOOKUP(G429,CPI!A$69:A$100,CPI!O$69:O$100)</f>
        <v>1.2662950058072011</v>
      </c>
      <c r="I429" s="52">
        <v>2000</v>
      </c>
      <c r="J429" s="15">
        <v>0.1</v>
      </c>
      <c r="K429" s="15"/>
      <c r="L429" s="62"/>
      <c r="M429" s="56">
        <f t="shared" si="134"/>
        <v>156.39994920465648</v>
      </c>
      <c r="N429" s="18">
        <f t="shared" si="139"/>
        <v>78</v>
      </c>
      <c r="O429" s="14">
        <v>78</v>
      </c>
      <c r="P429" s="16">
        <v>1</v>
      </c>
      <c r="Q429" s="16">
        <v>0</v>
      </c>
      <c r="R429" s="16">
        <v>0</v>
      </c>
      <c r="S429" s="14"/>
      <c r="T429" s="56" t="str">
        <f t="shared" si="118"/>
        <v/>
      </c>
      <c r="U429" s="56">
        <f t="shared" si="137"/>
        <v>61.381455731811805</v>
      </c>
      <c r="V429" s="56">
        <f t="shared" si="138"/>
        <v>145.26944523195462</v>
      </c>
      <c r="W429" s="14"/>
      <c r="X429" s="14">
        <v>18</v>
      </c>
      <c r="Y429" s="14"/>
      <c r="Z429" s="14"/>
      <c r="AA429" s="18">
        <f t="shared" si="129"/>
        <v>78</v>
      </c>
      <c r="AB429" s="14"/>
      <c r="AC429" s="14"/>
      <c r="AD429" s="14">
        <v>220</v>
      </c>
      <c r="AE429" s="14"/>
      <c r="AF429" s="16">
        <v>0</v>
      </c>
      <c r="AG429" s="16">
        <v>1</v>
      </c>
      <c r="AH429" s="16">
        <v>0</v>
      </c>
      <c r="AI429" s="16">
        <v>1</v>
      </c>
      <c r="AJ429" s="5">
        <v>0</v>
      </c>
      <c r="AK429" s="5">
        <v>0</v>
      </c>
      <c r="AL429" s="5">
        <v>1</v>
      </c>
      <c r="AM429" s="20">
        <v>3</v>
      </c>
      <c r="AN429" s="20">
        <v>1</v>
      </c>
      <c r="AO429" s="3">
        <v>1</v>
      </c>
      <c r="AP429" s="14"/>
      <c r="AQ429" s="16"/>
      <c r="AR429" s="16">
        <v>1</v>
      </c>
      <c r="AS429" s="16">
        <v>1</v>
      </c>
      <c r="AT429" s="16"/>
      <c r="AU429" s="16"/>
      <c r="AV429" s="16"/>
      <c r="AW429" s="16"/>
      <c r="AX429" s="16">
        <v>1</v>
      </c>
      <c r="AY429" s="16">
        <v>0</v>
      </c>
      <c r="AZ429" s="16">
        <v>0</v>
      </c>
      <c r="BA429" s="16">
        <v>0</v>
      </c>
    </row>
    <row r="430" spans="1:53" x14ac:dyDescent="0.2">
      <c r="A430" s="14"/>
      <c r="B430" s="14" t="str">
        <f t="shared" si="120"/>
        <v>Hope 2008</v>
      </c>
      <c r="C430" s="61">
        <f t="shared" si="121"/>
        <v>51</v>
      </c>
      <c r="D430" s="58">
        <v>2008</v>
      </c>
      <c r="E430" s="17"/>
      <c r="F430" s="58">
        <v>1</v>
      </c>
      <c r="G430" s="16">
        <v>2000</v>
      </c>
      <c r="H430" s="15">
        <f>LOOKUP(G430,CPI!A$69:A$100,CPI!O$69:O$100)</f>
        <v>1.2662950058072011</v>
      </c>
      <c r="I430" s="52">
        <v>2000</v>
      </c>
      <c r="J430" s="15">
        <v>0.1</v>
      </c>
      <c r="K430" s="15"/>
      <c r="L430" s="62"/>
      <c r="M430" s="56">
        <f t="shared" si="134"/>
        <v>130.33329100388039</v>
      </c>
      <c r="N430" s="18">
        <f t="shared" si="139"/>
        <v>65</v>
      </c>
      <c r="O430" s="14">
        <v>65</v>
      </c>
      <c r="P430" s="16">
        <v>1</v>
      </c>
      <c r="Q430" s="16">
        <v>0</v>
      </c>
      <c r="R430" s="16">
        <v>0</v>
      </c>
      <c r="S430" s="14"/>
      <c r="T430" s="56" t="str">
        <f t="shared" si="118"/>
        <v/>
      </c>
      <c r="U430" s="56">
        <f t="shared" si="137"/>
        <v>51.151213109843177</v>
      </c>
      <c r="V430" s="56">
        <f t="shared" si="138"/>
        <v>121.73988720142675</v>
      </c>
      <c r="W430" s="14"/>
      <c r="X430" s="14">
        <v>15</v>
      </c>
      <c r="Y430" s="14"/>
      <c r="Z430" s="14"/>
      <c r="AA430" s="18">
        <f t="shared" si="129"/>
        <v>65</v>
      </c>
      <c r="AB430" s="14"/>
      <c r="AC430" s="14"/>
      <c r="AD430" s="14">
        <v>184</v>
      </c>
      <c r="AE430" s="14"/>
      <c r="AF430" s="16">
        <v>0</v>
      </c>
      <c r="AG430" s="16">
        <v>1</v>
      </c>
      <c r="AH430" s="16">
        <v>0</v>
      </c>
      <c r="AI430" s="16">
        <v>1</v>
      </c>
      <c r="AJ430" s="5">
        <v>0</v>
      </c>
      <c r="AK430" s="5">
        <v>0</v>
      </c>
      <c r="AL430" s="5">
        <v>1</v>
      </c>
      <c r="AM430" s="20">
        <v>3</v>
      </c>
      <c r="AN430" s="20">
        <v>1</v>
      </c>
      <c r="AO430" s="3">
        <v>0.5</v>
      </c>
      <c r="AP430" s="14"/>
      <c r="AQ430" s="16"/>
      <c r="AR430" s="16">
        <v>1</v>
      </c>
      <c r="AS430" s="16">
        <v>1</v>
      </c>
      <c r="AT430" s="16"/>
      <c r="AU430" s="16"/>
      <c r="AV430" s="16"/>
      <c r="AW430" s="16"/>
      <c r="AX430" s="16">
        <v>1</v>
      </c>
      <c r="AY430" s="16">
        <v>0</v>
      </c>
      <c r="AZ430" s="16">
        <v>0</v>
      </c>
      <c r="BA430" s="16">
        <v>0</v>
      </c>
    </row>
    <row r="431" spans="1:53" x14ac:dyDescent="0.2">
      <c r="A431" s="14"/>
      <c r="B431" s="14" t="str">
        <f t="shared" si="120"/>
        <v>Hope 2008</v>
      </c>
      <c r="C431" s="61">
        <f t="shared" si="121"/>
        <v>51</v>
      </c>
      <c r="D431" s="58">
        <v>2008</v>
      </c>
      <c r="E431" s="17"/>
      <c r="F431" s="58">
        <v>1</v>
      </c>
      <c r="G431" s="16">
        <v>2000</v>
      </c>
      <c r="H431" s="15">
        <f>LOOKUP(G431,CPI!A$69:A$100,CPI!O$69:O$100)</f>
        <v>1.2662950058072011</v>
      </c>
      <c r="I431" s="52">
        <v>2000</v>
      </c>
      <c r="J431" s="15">
        <v>0.1</v>
      </c>
      <c r="K431" s="15"/>
      <c r="L431" s="62"/>
      <c r="M431" s="56">
        <f t="shared" si="134"/>
        <v>50.128188847646307</v>
      </c>
      <c r="N431" s="18">
        <f t="shared" si="139"/>
        <v>25</v>
      </c>
      <c r="O431" s="14">
        <v>25</v>
      </c>
      <c r="P431" s="16">
        <v>1</v>
      </c>
      <c r="Q431" s="16">
        <v>0</v>
      </c>
      <c r="R431" s="16">
        <v>0</v>
      </c>
      <c r="S431" s="14"/>
      <c r="T431" s="56" t="str">
        <f t="shared" si="118"/>
        <v/>
      </c>
      <c r="U431" s="56">
        <f t="shared" si="137"/>
        <v>18.414436719543545</v>
      </c>
      <c r="V431" s="56">
        <f t="shared" si="138"/>
        <v>37.851897701283946</v>
      </c>
      <c r="W431" s="14"/>
      <c r="X431" s="14">
        <v>7</v>
      </c>
      <c r="Y431" s="14"/>
      <c r="Z431" s="14"/>
      <c r="AA431" s="18">
        <f t="shared" si="129"/>
        <v>25</v>
      </c>
      <c r="AB431" s="14"/>
      <c r="AC431" s="14"/>
      <c r="AD431" s="14">
        <v>62</v>
      </c>
      <c r="AE431" s="14"/>
      <c r="AF431" s="16">
        <v>0</v>
      </c>
      <c r="AG431" s="16">
        <v>1</v>
      </c>
      <c r="AH431" s="16">
        <v>0</v>
      </c>
      <c r="AI431" s="16">
        <v>1</v>
      </c>
      <c r="AJ431" s="5">
        <v>0</v>
      </c>
      <c r="AK431" s="5">
        <v>0</v>
      </c>
      <c r="AL431" s="5">
        <v>1</v>
      </c>
      <c r="AM431" s="20"/>
      <c r="AN431" s="20">
        <v>2</v>
      </c>
      <c r="AO431" s="3">
        <v>1</v>
      </c>
      <c r="AP431" s="14"/>
      <c r="AQ431" s="16"/>
      <c r="AR431" s="16">
        <v>1</v>
      </c>
      <c r="AS431" s="16">
        <v>1</v>
      </c>
      <c r="AT431" s="16"/>
      <c r="AU431" s="16"/>
      <c r="AV431" s="16"/>
      <c r="AW431" s="16"/>
      <c r="AX431" s="16">
        <v>1</v>
      </c>
      <c r="AY431" s="16">
        <v>0</v>
      </c>
      <c r="AZ431" s="16">
        <v>0</v>
      </c>
      <c r="BA431" s="16">
        <v>0</v>
      </c>
    </row>
    <row r="432" spans="1:53" x14ac:dyDescent="0.2">
      <c r="A432" s="14"/>
      <c r="B432" s="14" t="str">
        <f t="shared" si="120"/>
        <v>Hope 2008</v>
      </c>
      <c r="C432" s="61">
        <f t="shared" si="121"/>
        <v>51</v>
      </c>
      <c r="D432" s="58">
        <v>2008</v>
      </c>
      <c r="E432" s="17"/>
      <c r="F432" s="58">
        <v>1</v>
      </c>
      <c r="G432" s="16">
        <v>2000</v>
      </c>
      <c r="H432" s="15">
        <f>LOOKUP(G432,CPI!A$69:A$100,CPI!O$69:O$100)</f>
        <v>1.2662950058072011</v>
      </c>
      <c r="I432" s="52">
        <v>2000</v>
      </c>
      <c r="J432" s="15">
        <v>0.1</v>
      </c>
      <c r="K432" s="15"/>
      <c r="L432" s="62"/>
      <c r="M432" s="56">
        <f t="shared" si="134"/>
        <v>138.35380121950379</v>
      </c>
      <c r="N432" s="18">
        <f t="shared" si="139"/>
        <v>69</v>
      </c>
      <c r="O432" s="14">
        <v>69</v>
      </c>
      <c r="P432" s="16">
        <v>1</v>
      </c>
      <c r="Q432" s="16">
        <v>0</v>
      </c>
      <c r="R432" s="16">
        <v>0</v>
      </c>
      <c r="S432" s="14"/>
      <c r="T432" s="56" t="str">
        <f t="shared" si="118"/>
        <v/>
      </c>
      <c r="U432" s="56">
        <f t="shared" si="137"/>
        <v>55.243310158630628</v>
      </c>
      <c r="V432" s="56">
        <f t="shared" si="138"/>
        <v>126.85500851241108</v>
      </c>
      <c r="W432" s="14"/>
      <c r="X432" s="14">
        <v>15</v>
      </c>
      <c r="Y432" s="14"/>
      <c r="Z432" s="14"/>
      <c r="AA432" s="18">
        <f t="shared" si="129"/>
        <v>69</v>
      </c>
      <c r="AB432" s="14"/>
      <c r="AC432" s="14"/>
      <c r="AD432" s="14">
        <v>193</v>
      </c>
      <c r="AE432" s="14"/>
      <c r="AF432" s="16">
        <v>0</v>
      </c>
      <c r="AG432" s="16">
        <v>1</v>
      </c>
      <c r="AH432" s="16">
        <v>0</v>
      </c>
      <c r="AI432" s="16">
        <v>1</v>
      </c>
      <c r="AJ432" s="5">
        <v>0</v>
      </c>
      <c r="AK432" s="5">
        <v>0</v>
      </c>
      <c r="AL432" s="5">
        <v>1</v>
      </c>
      <c r="AM432" s="20"/>
      <c r="AN432" s="20">
        <v>1</v>
      </c>
      <c r="AO432" s="3">
        <v>1</v>
      </c>
      <c r="AP432" s="14"/>
      <c r="AQ432" s="16"/>
      <c r="AR432" s="16">
        <v>1</v>
      </c>
      <c r="AS432" s="16">
        <v>1</v>
      </c>
      <c r="AT432" s="16"/>
      <c r="AU432" s="16"/>
      <c r="AV432" s="16"/>
      <c r="AW432" s="16"/>
      <c r="AX432" s="16">
        <v>1</v>
      </c>
      <c r="AY432" s="16">
        <v>0</v>
      </c>
      <c r="AZ432" s="16">
        <v>0</v>
      </c>
      <c r="BA432" s="16">
        <v>0</v>
      </c>
    </row>
    <row r="433" spans="1:53" x14ac:dyDescent="0.2">
      <c r="A433" s="14"/>
      <c r="B433" s="14" t="str">
        <f t="shared" si="120"/>
        <v>Hope 2008</v>
      </c>
      <c r="C433" s="61">
        <f t="shared" si="121"/>
        <v>51</v>
      </c>
      <c r="D433" s="58">
        <v>2008</v>
      </c>
      <c r="E433" s="17"/>
      <c r="F433" s="58">
        <v>1</v>
      </c>
      <c r="G433" s="16">
        <v>2000</v>
      </c>
      <c r="H433" s="15">
        <f>LOOKUP(G433,CPI!A$69:A$100,CPI!O$69:O$100)</f>
        <v>1.2662950058072011</v>
      </c>
      <c r="I433" s="52">
        <v>2000</v>
      </c>
      <c r="J433" s="15">
        <v>0.1</v>
      </c>
      <c r="K433" s="15"/>
      <c r="L433" s="62"/>
      <c r="M433" s="56">
        <f t="shared" si="134"/>
        <v>124.31790834216285</v>
      </c>
      <c r="N433" s="18">
        <f t="shared" si="139"/>
        <v>62</v>
      </c>
      <c r="O433" s="14">
        <v>62</v>
      </c>
      <c r="P433" s="16">
        <v>1</v>
      </c>
      <c r="Q433" s="16">
        <v>0</v>
      </c>
      <c r="R433" s="16">
        <v>0</v>
      </c>
      <c r="S433" s="14"/>
      <c r="T433" s="56" t="str">
        <f t="shared" si="118"/>
        <v/>
      </c>
      <c r="U433" s="56">
        <f t="shared" si="137"/>
        <v>49.105164585449444</v>
      </c>
      <c r="V433" s="56">
        <f t="shared" si="138"/>
        <v>129.92408129900167</v>
      </c>
      <c r="W433" s="14"/>
      <c r="X433" s="14">
        <v>14</v>
      </c>
      <c r="Y433" s="14"/>
      <c r="Z433" s="14"/>
      <c r="AA433" s="18">
        <f t="shared" si="129"/>
        <v>62</v>
      </c>
      <c r="AB433" s="14"/>
      <c r="AC433" s="14"/>
      <c r="AD433" s="14">
        <v>189</v>
      </c>
      <c r="AE433" s="14"/>
      <c r="AF433" s="16">
        <v>0</v>
      </c>
      <c r="AG433" s="16">
        <v>1</v>
      </c>
      <c r="AH433" s="16">
        <v>0</v>
      </c>
      <c r="AI433" s="16">
        <v>1</v>
      </c>
      <c r="AJ433" s="5">
        <v>0</v>
      </c>
      <c r="AK433" s="5">
        <v>0</v>
      </c>
      <c r="AL433" s="5">
        <v>1</v>
      </c>
      <c r="AM433" s="20"/>
      <c r="AN433" s="20">
        <v>2</v>
      </c>
      <c r="AO433" s="3">
        <v>0.5</v>
      </c>
      <c r="AP433" s="14"/>
      <c r="AQ433" s="16"/>
      <c r="AR433" s="16">
        <v>1</v>
      </c>
      <c r="AS433" s="16">
        <v>1</v>
      </c>
      <c r="AT433" s="16"/>
      <c r="AU433" s="16"/>
      <c r="AV433" s="16"/>
      <c r="AW433" s="16"/>
      <c r="AX433" s="16">
        <v>1</v>
      </c>
      <c r="AY433" s="16">
        <v>0</v>
      </c>
      <c r="AZ433" s="16">
        <v>0</v>
      </c>
      <c r="BA433" s="16">
        <v>0</v>
      </c>
    </row>
    <row r="434" spans="1:53" x14ac:dyDescent="0.2">
      <c r="A434" s="14"/>
      <c r="B434" s="14" t="str">
        <f t="shared" si="120"/>
        <v>Hope 2008</v>
      </c>
      <c r="C434" s="61">
        <f t="shared" si="121"/>
        <v>51</v>
      </c>
      <c r="D434" s="58">
        <v>2008</v>
      </c>
      <c r="E434" s="17"/>
      <c r="F434" s="58">
        <v>1</v>
      </c>
      <c r="G434" s="16">
        <v>2000</v>
      </c>
      <c r="H434" s="15">
        <f>LOOKUP(G434,CPI!A$69:A$100,CPI!O$69:O$100)</f>
        <v>1.2662950058072011</v>
      </c>
      <c r="I434" s="52">
        <v>2000</v>
      </c>
      <c r="J434" s="15">
        <v>0.1</v>
      </c>
      <c r="K434" s="15"/>
      <c r="L434" s="62"/>
      <c r="M434" s="56">
        <f t="shared" si="134"/>
        <v>411.05114855069974</v>
      </c>
      <c r="N434" s="18">
        <f t="shared" si="139"/>
        <v>205</v>
      </c>
      <c r="O434" s="14">
        <v>205</v>
      </c>
      <c r="P434" s="16">
        <v>1</v>
      </c>
      <c r="Q434" s="16">
        <v>0</v>
      </c>
      <c r="R434" s="16">
        <v>0</v>
      </c>
      <c r="S434" s="14"/>
      <c r="T434" s="56" t="str">
        <f t="shared" si="118"/>
        <v/>
      </c>
      <c r="U434" s="56">
        <f t="shared" si="137"/>
        <v>166.75295473808876</v>
      </c>
      <c r="V434" s="56">
        <f t="shared" si="138"/>
        <v>401.02551078117045</v>
      </c>
      <c r="W434" s="14"/>
      <c r="X434" s="14">
        <v>42</v>
      </c>
      <c r="Y434" s="14"/>
      <c r="Z434" s="14"/>
      <c r="AA434" s="18">
        <f t="shared" si="129"/>
        <v>205</v>
      </c>
      <c r="AB434" s="14"/>
      <c r="AC434" s="14"/>
      <c r="AD434" s="14">
        <v>597</v>
      </c>
      <c r="AE434" s="14"/>
      <c r="AF434" s="16">
        <v>0</v>
      </c>
      <c r="AG434" s="16">
        <v>1</v>
      </c>
      <c r="AH434" s="16">
        <v>0</v>
      </c>
      <c r="AI434" s="16">
        <v>1</v>
      </c>
      <c r="AJ434" s="5">
        <v>0</v>
      </c>
      <c r="AK434" s="5">
        <v>0</v>
      </c>
      <c r="AL434" s="5">
        <v>1</v>
      </c>
      <c r="AM434" s="20"/>
      <c r="AN434" s="20">
        <v>1</v>
      </c>
      <c r="AO434" s="3">
        <v>0.5</v>
      </c>
      <c r="AP434" s="14"/>
      <c r="AQ434" s="16"/>
      <c r="AR434" s="16">
        <v>1</v>
      </c>
      <c r="AS434" s="16">
        <v>1</v>
      </c>
      <c r="AT434" s="16"/>
      <c r="AU434" s="16"/>
      <c r="AV434" s="16"/>
      <c r="AW434" s="16"/>
      <c r="AX434" s="16">
        <v>1</v>
      </c>
      <c r="AY434" s="16">
        <v>0</v>
      </c>
      <c r="AZ434" s="16">
        <v>0</v>
      </c>
      <c r="BA434" s="16">
        <v>0</v>
      </c>
    </row>
    <row r="435" spans="1:53" x14ac:dyDescent="0.2">
      <c r="A435" s="14"/>
      <c r="B435" s="14" t="str">
        <f t="shared" si="120"/>
        <v>Hope 2008</v>
      </c>
      <c r="C435" s="61">
        <f t="shared" si="121"/>
        <v>51</v>
      </c>
      <c r="D435" s="58">
        <v>2008</v>
      </c>
      <c r="E435" s="17"/>
      <c r="F435" s="58">
        <v>1</v>
      </c>
      <c r="G435" s="16">
        <v>2000</v>
      </c>
      <c r="H435" s="15">
        <f>LOOKUP(G435,CPI!A$69:A$100,CPI!O$69:O$100)</f>
        <v>1.2662950058072011</v>
      </c>
      <c r="I435" s="52">
        <v>2000</v>
      </c>
      <c r="J435" s="15">
        <v>0.1</v>
      </c>
      <c r="K435" s="15"/>
      <c r="L435" s="62"/>
      <c r="M435" s="56">
        <f t="shared" si="134"/>
        <v>405.03576588898221</v>
      </c>
      <c r="N435" s="18">
        <f t="shared" si="139"/>
        <v>202</v>
      </c>
      <c r="O435" s="14">
        <v>202</v>
      </c>
      <c r="P435" s="16">
        <v>1</v>
      </c>
      <c r="Q435" s="16">
        <v>0</v>
      </c>
      <c r="R435" s="16">
        <v>0</v>
      </c>
      <c r="S435" s="14"/>
      <c r="T435" s="56" t="str">
        <f t="shared" ref="T435:T514" si="140">IF(OR(M435="",S435=""),"",S435*H435*(1+$L$2)^(2015-I435))</f>
        <v/>
      </c>
      <c r="U435" s="56">
        <f t="shared" si="137"/>
        <v>165.7299304758919</v>
      </c>
      <c r="V435" s="56">
        <f t="shared" si="138"/>
        <v>435.80833569586389</v>
      </c>
      <c r="W435" s="14"/>
      <c r="X435" s="14">
        <v>40</v>
      </c>
      <c r="Y435" s="14"/>
      <c r="Z435" s="14"/>
      <c r="AA435" s="18">
        <f t="shared" si="129"/>
        <v>202</v>
      </c>
      <c r="AB435" s="14"/>
      <c r="AC435" s="14"/>
      <c r="AD435" s="14">
        <v>628</v>
      </c>
      <c r="AE435" s="14"/>
      <c r="AF435" s="16">
        <v>0</v>
      </c>
      <c r="AG435" s="16">
        <v>1</v>
      </c>
      <c r="AH435" s="16">
        <v>0</v>
      </c>
      <c r="AI435" s="16">
        <v>1</v>
      </c>
      <c r="AJ435" s="5">
        <v>0</v>
      </c>
      <c r="AK435" s="5">
        <v>0</v>
      </c>
      <c r="AL435" s="5">
        <v>1</v>
      </c>
      <c r="AM435" s="20"/>
      <c r="AN435" s="20">
        <v>2</v>
      </c>
      <c r="AO435" s="3">
        <v>0</v>
      </c>
      <c r="AP435" s="14"/>
      <c r="AQ435" s="16"/>
      <c r="AR435" s="16">
        <v>0</v>
      </c>
      <c r="AS435" s="16">
        <v>1</v>
      </c>
      <c r="AT435" s="16"/>
      <c r="AU435" s="16"/>
      <c r="AV435" s="16"/>
      <c r="AW435" s="16"/>
      <c r="AX435" s="16">
        <v>1</v>
      </c>
      <c r="AY435" s="16">
        <v>0</v>
      </c>
      <c r="AZ435" s="16">
        <v>0</v>
      </c>
      <c r="BA435" s="16">
        <v>0</v>
      </c>
    </row>
    <row r="436" spans="1:53" x14ac:dyDescent="0.2">
      <c r="A436" s="14"/>
      <c r="B436" s="14" t="str">
        <f t="shared" si="120"/>
        <v>Hope 2008</v>
      </c>
      <c r="C436" s="61">
        <f t="shared" si="121"/>
        <v>51</v>
      </c>
      <c r="D436" s="58">
        <v>2008</v>
      </c>
      <c r="E436" s="17"/>
      <c r="F436" s="58">
        <v>1</v>
      </c>
      <c r="G436" s="16">
        <v>2000</v>
      </c>
      <c r="H436" s="15">
        <f>LOOKUP(G436,CPI!A$69:A$100,CPI!O$69:O$100)</f>
        <v>1.2662950058072011</v>
      </c>
      <c r="I436" s="52">
        <v>2000</v>
      </c>
      <c r="J436" s="15">
        <v>0.1</v>
      </c>
      <c r="K436" s="15"/>
      <c r="L436" s="62"/>
      <c r="M436" s="56">
        <f t="shared" si="134"/>
        <v>1634.1789564332698</v>
      </c>
      <c r="N436" s="18">
        <f t="shared" si="139"/>
        <v>815</v>
      </c>
      <c r="O436" s="14">
        <v>815</v>
      </c>
      <c r="P436" s="16">
        <v>1</v>
      </c>
      <c r="Q436" s="16">
        <v>0</v>
      </c>
      <c r="R436" s="16">
        <v>0</v>
      </c>
      <c r="S436" s="14"/>
      <c r="T436" s="56" t="str">
        <f t="shared" si="140"/>
        <v/>
      </c>
      <c r="U436" s="56">
        <f t="shared" si="137"/>
        <v>685.4262556718985</v>
      </c>
      <c r="V436" s="56">
        <f t="shared" si="138"/>
        <v>1592.8487762405164</v>
      </c>
      <c r="W436" s="14"/>
      <c r="X436" s="14">
        <v>145</v>
      </c>
      <c r="Y436" s="14"/>
      <c r="Z436" s="14"/>
      <c r="AA436" s="18">
        <f t="shared" si="129"/>
        <v>815</v>
      </c>
      <c r="AB436" s="14"/>
      <c r="AC436" s="14"/>
      <c r="AD436" s="14">
        <v>2372</v>
      </c>
      <c r="AE436" s="14"/>
      <c r="AF436" s="16">
        <v>0</v>
      </c>
      <c r="AG436" s="16">
        <v>1</v>
      </c>
      <c r="AH436" s="16">
        <v>0</v>
      </c>
      <c r="AI436" s="16">
        <v>1</v>
      </c>
      <c r="AJ436" s="5">
        <v>0</v>
      </c>
      <c r="AK436" s="5">
        <v>0</v>
      </c>
      <c r="AL436" s="5">
        <v>1</v>
      </c>
      <c r="AM436" s="20"/>
      <c r="AN436" s="20">
        <v>1</v>
      </c>
      <c r="AO436" s="3">
        <v>0</v>
      </c>
      <c r="AP436" s="14"/>
      <c r="AQ436" s="16"/>
      <c r="AR436" s="16">
        <v>0</v>
      </c>
      <c r="AS436" s="16">
        <v>1</v>
      </c>
      <c r="AT436" s="16"/>
      <c r="AU436" s="16"/>
      <c r="AV436" s="16"/>
      <c r="AW436" s="16"/>
      <c r="AX436" s="16">
        <v>1</v>
      </c>
      <c r="AY436" s="16">
        <v>0</v>
      </c>
      <c r="AZ436" s="16">
        <v>0</v>
      </c>
      <c r="BA436" s="16">
        <v>0</v>
      </c>
    </row>
    <row r="437" spans="1:53" x14ac:dyDescent="0.2">
      <c r="A437" s="14" t="s">
        <v>9</v>
      </c>
      <c r="B437" s="14" t="str">
        <f t="shared" si="120"/>
        <v>Nordhaus 2008</v>
      </c>
      <c r="C437" s="61">
        <f t="shared" si="121"/>
        <v>52</v>
      </c>
      <c r="D437" s="58">
        <v>2008</v>
      </c>
      <c r="E437" s="17" t="s">
        <v>136</v>
      </c>
      <c r="F437" s="58">
        <v>0</v>
      </c>
      <c r="G437" s="16">
        <v>2005</v>
      </c>
      <c r="H437" s="15">
        <f>LOOKUP(G437,CPI!A$69:A$100,CPI!O$69:O$100)</f>
        <v>1.1165181771633383</v>
      </c>
      <c r="I437" s="52">
        <v>2005</v>
      </c>
      <c r="J437" s="15">
        <v>0.2</v>
      </c>
      <c r="K437" s="59">
        <v>0.25</v>
      </c>
      <c r="L437" s="57">
        <f>+L439</f>
        <v>4.1317629544612489E-2</v>
      </c>
      <c r="M437" s="56">
        <f>AA437*H437*(1+$L$2)^(2015-I437)</f>
        <v>42.622952008437778</v>
      </c>
      <c r="N437" s="14">
        <v>28.1</v>
      </c>
      <c r="O437" s="18">
        <f t="shared" ref="O437:O452" si="141">N437</f>
        <v>28.1</v>
      </c>
      <c r="P437" s="16">
        <v>0</v>
      </c>
      <c r="Q437" s="16">
        <v>1</v>
      </c>
      <c r="R437" s="16">
        <v>0</v>
      </c>
      <c r="S437" s="14"/>
      <c r="T437" s="56" t="str">
        <f t="shared" ref="T437:T452" si="142">IF(OR(M437="",S437=""),"",S437*H437*(1+$L$2)^(2015-I437))</f>
        <v/>
      </c>
      <c r="U437" s="56" t="str">
        <f t="shared" ref="U437:U452" si="143">+V437</f>
        <v/>
      </c>
      <c r="V437" s="56" t="str">
        <f t="shared" ref="V437:V452" si="144">+T437</f>
        <v/>
      </c>
      <c r="W437" s="14"/>
      <c r="X437" s="14"/>
      <c r="Y437" s="14"/>
      <c r="Z437" s="14"/>
      <c r="AA437" s="18">
        <f t="shared" ref="AA437:AA452" si="145">N437</f>
        <v>28.1</v>
      </c>
      <c r="AB437" s="14"/>
      <c r="AC437" s="14"/>
      <c r="AD437" s="14"/>
      <c r="AE437" s="14"/>
      <c r="AF437" s="16">
        <v>1</v>
      </c>
      <c r="AG437" s="16">
        <v>1</v>
      </c>
      <c r="AH437" s="16">
        <v>0</v>
      </c>
      <c r="AI437" s="16">
        <v>1</v>
      </c>
      <c r="AJ437" s="5">
        <v>0</v>
      </c>
      <c r="AK437" s="5">
        <v>1</v>
      </c>
      <c r="AL437" s="5">
        <v>0</v>
      </c>
      <c r="AM437" s="13">
        <v>4.0999999999999996</v>
      </c>
      <c r="AN437" s="13">
        <v>1.5</v>
      </c>
      <c r="AO437" s="3">
        <v>2</v>
      </c>
      <c r="AP437" s="3">
        <v>1.3</v>
      </c>
      <c r="AQ437" s="3">
        <v>0.5</v>
      </c>
      <c r="AR437" s="16">
        <v>0</v>
      </c>
      <c r="AS437" s="16">
        <v>0</v>
      </c>
      <c r="AT437" s="16"/>
      <c r="AU437" s="5">
        <v>3</v>
      </c>
      <c r="AV437" s="16"/>
      <c r="AW437" s="16"/>
      <c r="AX437" s="16">
        <v>0</v>
      </c>
      <c r="AY437" s="16">
        <v>1</v>
      </c>
      <c r="AZ437" s="16">
        <v>0</v>
      </c>
      <c r="BA437" s="16">
        <v>0</v>
      </c>
    </row>
    <row r="438" spans="1:53" x14ac:dyDescent="0.2">
      <c r="A438" s="14"/>
      <c r="B438" s="14" t="str">
        <f t="shared" si="120"/>
        <v>Nordhaus 2008</v>
      </c>
      <c r="C438" s="61">
        <f t="shared" si="121"/>
        <v>52</v>
      </c>
      <c r="D438" s="58">
        <v>2008</v>
      </c>
      <c r="E438" s="17"/>
      <c r="F438" s="58">
        <v>0</v>
      </c>
      <c r="G438" s="16">
        <v>2005</v>
      </c>
      <c r="H438" s="15">
        <f>LOOKUP(G438,CPI!A$69:A$100,CPI!O$69:O$100)</f>
        <v>1.1165181771633383</v>
      </c>
      <c r="I438" s="5">
        <v>2005</v>
      </c>
      <c r="J438" s="15">
        <v>0.8</v>
      </c>
      <c r="K438" s="59">
        <v>0.25</v>
      </c>
      <c r="L438" s="57">
        <f>+L439</f>
        <v>4.1317629544612489E-2</v>
      </c>
      <c r="M438" s="56">
        <f>AA438*H438*(1+$L$2)^(2015-I438)</f>
        <v>41.379150561928213</v>
      </c>
      <c r="N438" s="14">
        <v>27.28</v>
      </c>
      <c r="O438" s="18">
        <f t="shared" si="141"/>
        <v>27.28</v>
      </c>
      <c r="P438" s="16">
        <v>0</v>
      </c>
      <c r="Q438" s="16">
        <v>1</v>
      </c>
      <c r="R438" s="16">
        <v>0</v>
      </c>
      <c r="S438" s="14"/>
      <c r="T438" s="56" t="str">
        <f t="shared" si="142"/>
        <v/>
      </c>
      <c r="U438" s="56" t="str">
        <f t="shared" si="143"/>
        <v/>
      </c>
      <c r="V438" s="56" t="str">
        <f t="shared" si="144"/>
        <v/>
      </c>
      <c r="W438" s="14"/>
      <c r="X438" s="14"/>
      <c r="Y438" s="14"/>
      <c r="Z438" s="14"/>
      <c r="AA438" s="18">
        <f t="shared" si="145"/>
        <v>27.28</v>
      </c>
      <c r="AB438" s="14"/>
      <c r="AC438" s="14"/>
      <c r="AD438" s="14"/>
      <c r="AE438" s="14"/>
      <c r="AF438" s="16">
        <v>1</v>
      </c>
      <c r="AG438" s="16">
        <v>1</v>
      </c>
      <c r="AH438" s="16">
        <v>0</v>
      </c>
      <c r="AI438" s="16">
        <v>1</v>
      </c>
      <c r="AJ438" s="5">
        <v>0</v>
      </c>
      <c r="AK438" s="5">
        <v>1</v>
      </c>
      <c r="AL438" s="5">
        <v>0</v>
      </c>
      <c r="AM438" s="13">
        <v>4.0999999999999996</v>
      </c>
      <c r="AN438" s="13">
        <v>1.5</v>
      </c>
      <c r="AO438" s="3">
        <v>2</v>
      </c>
      <c r="AP438" s="3">
        <v>1.3</v>
      </c>
      <c r="AQ438" s="3">
        <v>0.5</v>
      </c>
      <c r="AR438" s="16">
        <v>0</v>
      </c>
      <c r="AS438" s="16">
        <v>0</v>
      </c>
      <c r="AT438" s="16"/>
      <c r="AU438" s="5">
        <v>3</v>
      </c>
      <c r="AV438" s="16"/>
      <c r="AW438" s="16"/>
      <c r="AX438" s="16">
        <v>0</v>
      </c>
      <c r="AY438" s="16">
        <v>1</v>
      </c>
      <c r="AZ438" s="16">
        <v>0</v>
      </c>
      <c r="BA438" s="16">
        <v>1</v>
      </c>
    </row>
    <row r="439" spans="1:53" s="36" customFormat="1" x14ac:dyDescent="0.2">
      <c r="A439" s="29"/>
      <c r="B439" s="14" t="str">
        <f>+IF(A439="",B452,A439&amp;" "&amp;D439)</f>
        <v>Nordhaus 2008</v>
      </c>
      <c r="C439" s="61">
        <f>+IF(A439="",C452,C452+1)</f>
        <v>52</v>
      </c>
      <c r="D439" s="58">
        <v>2008</v>
      </c>
      <c r="E439" s="17"/>
      <c r="F439" s="58">
        <v>0</v>
      </c>
      <c r="G439" s="16">
        <v>2005</v>
      </c>
      <c r="H439" s="15">
        <f>LOOKUP(G439,CPI!A$69:A$100,CPI!O$69:O$100)</f>
        <v>1.1165181771633383</v>
      </c>
      <c r="I439" s="5">
        <v>2010</v>
      </c>
      <c r="J439" s="43">
        <v>1</v>
      </c>
      <c r="K439" s="59">
        <v>0.25</v>
      </c>
      <c r="L439" s="57">
        <f>(AA440/AA452)^(1/(I440-I452))-1</f>
        <v>4.1317629544612489E-2</v>
      </c>
      <c r="M439" s="56"/>
      <c r="N439" s="3">
        <v>33.799999999999997</v>
      </c>
      <c r="O439" s="41">
        <f t="shared" ref="O439:O450" si="146">N439</f>
        <v>33.799999999999997</v>
      </c>
      <c r="P439" s="16">
        <v>0</v>
      </c>
      <c r="Q439" s="16">
        <v>1</v>
      </c>
      <c r="R439" s="16">
        <v>0</v>
      </c>
      <c r="S439" s="42"/>
      <c r="T439" s="56" t="str">
        <f t="shared" ref="T439:T450" si="147">IF(OR(M439="",S439=""),"",S439*H439*(1+$L$2)^(2015-I439))</f>
        <v/>
      </c>
      <c r="U439" s="56" t="str">
        <f t="shared" ref="U439:U450" si="148">+V439</f>
        <v/>
      </c>
      <c r="V439" s="56" t="str">
        <f t="shared" ref="V439:V450" si="149">+T439</f>
        <v/>
      </c>
      <c r="W439" s="42"/>
      <c r="X439" s="42"/>
      <c r="Y439" s="42"/>
      <c r="Z439" s="42"/>
      <c r="AA439" s="37">
        <f t="shared" ref="AA439:AA450" si="150">N439</f>
        <v>33.799999999999997</v>
      </c>
      <c r="AB439" s="42"/>
      <c r="AC439" s="42"/>
      <c r="AD439" s="42"/>
      <c r="AE439" s="42"/>
      <c r="AF439" s="16">
        <v>1</v>
      </c>
      <c r="AG439" s="16">
        <v>1</v>
      </c>
      <c r="AH439" s="16">
        <v>0</v>
      </c>
      <c r="AI439" s="16">
        <v>1</v>
      </c>
      <c r="AJ439" s="5">
        <v>0</v>
      </c>
      <c r="AK439" s="5">
        <v>1</v>
      </c>
      <c r="AL439" s="5">
        <v>0</v>
      </c>
      <c r="AM439" s="13">
        <v>4.0999999999999996</v>
      </c>
      <c r="AN439" s="13">
        <v>1.5</v>
      </c>
      <c r="AO439" s="3">
        <v>2</v>
      </c>
      <c r="AP439" s="3">
        <v>1.3</v>
      </c>
      <c r="AQ439" s="3">
        <v>0.5</v>
      </c>
      <c r="AR439" s="16">
        <v>0</v>
      </c>
      <c r="AS439" s="16">
        <v>0</v>
      </c>
      <c r="AT439" s="16"/>
      <c r="AU439" s="5">
        <v>3</v>
      </c>
      <c r="AV439" s="16"/>
      <c r="AW439" s="16"/>
      <c r="AX439" s="16">
        <v>0</v>
      </c>
      <c r="AY439" s="16">
        <v>1</v>
      </c>
      <c r="AZ439" s="16">
        <v>0</v>
      </c>
      <c r="BA439" s="16">
        <v>1</v>
      </c>
    </row>
    <row r="440" spans="1:53" s="36" customFormat="1" x14ac:dyDescent="0.2">
      <c r="A440" s="29"/>
      <c r="B440" s="14" t="str">
        <f t="shared" ref="B440:B450" si="151">+IF(A440="",B439,A440&amp;" "&amp;D440)</f>
        <v>Nordhaus 2008</v>
      </c>
      <c r="C440" s="61">
        <f t="shared" ref="C440:C450" si="152">+IF(A440="",C439,C439+1)</f>
        <v>52</v>
      </c>
      <c r="D440" s="58">
        <v>2008</v>
      </c>
      <c r="E440" s="17"/>
      <c r="F440" s="58">
        <v>0</v>
      </c>
      <c r="G440" s="16">
        <v>2005</v>
      </c>
      <c r="H440" s="15">
        <f>LOOKUP(G440,CPI!A$69:A$100,CPI!O$69:O$100)</f>
        <v>1.1165181771633383</v>
      </c>
      <c r="I440" s="52">
        <v>2015</v>
      </c>
      <c r="J440" s="43">
        <v>0</v>
      </c>
      <c r="K440" s="43"/>
      <c r="L440" s="57"/>
      <c r="M440" s="56">
        <f>AA440*H440*(1+$L$2)^(2015-I440)</f>
        <v>46.782111623143876</v>
      </c>
      <c r="N440" s="3">
        <v>41.9</v>
      </c>
      <c r="O440" s="41">
        <f t="shared" si="146"/>
        <v>41.9</v>
      </c>
      <c r="P440" s="16">
        <v>0</v>
      </c>
      <c r="Q440" s="16">
        <v>1</v>
      </c>
      <c r="R440" s="16">
        <v>0</v>
      </c>
      <c r="S440" s="42"/>
      <c r="T440" s="56" t="str">
        <f t="shared" si="147"/>
        <v/>
      </c>
      <c r="U440" s="56" t="str">
        <f t="shared" si="148"/>
        <v/>
      </c>
      <c r="V440" s="56" t="str">
        <f t="shared" si="149"/>
        <v/>
      </c>
      <c r="W440" s="42"/>
      <c r="X440" s="42"/>
      <c r="Y440" s="42"/>
      <c r="Z440" s="42"/>
      <c r="AA440" s="37">
        <f t="shared" si="150"/>
        <v>41.9</v>
      </c>
      <c r="AB440" s="42"/>
      <c r="AC440" s="42"/>
      <c r="AD440" s="42"/>
      <c r="AE440" s="42"/>
      <c r="AF440" s="16">
        <v>1</v>
      </c>
      <c r="AG440" s="16">
        <v>1</v>
      </c>
      <c r="AH440" s="16">
        <v>0</v>
      </c>
      <c r="AI440" s="16">
        <v>1</v>
      </c>
      <c r="AJ440" s="5">
        <v>0</v>
      </c>
      <c r="AK440" s="5">
        <v>1</v>
      </c>
      <c r="AL440" s="5">
        <v>0</v>
      </c>
      <c r="AM440" s="13">
        <v>4.0999999999999996</v>
      </c>
      <c r="AN440" s="13">
        <v>1.5</v>
      </c>
      <c r="AO440" s="3">
        <v>2</v>
      </c>
      <c r="AP440" s="3">
        <v>1.3</v>
      </c>
      <c r="AQ440" s="3">
        <v>0.5</v>
      </c>
      <c r="AR440" s="16">
        <v>0</v>
      </c>
      <c r="AS440" s="16">
        <v>0</v>
      </c>
      <c r="AT440" s="16"/>
      <c r="AU440" s="5">
        <v>3</v>
      </c>
      <c r="AV440" s="16"/>
      <c r="AW440" s="16"/>
      <c r="AX440" s="16">
        <v>0</v>
      </c>
      <c r="AY440" s="16">
        <v>1</v>
      </c>
      <c r="AZ440" s="16">
        <v>0</v>
      </c>
      <c r="BA440" s="16">
        <v>1</v>
      </c>
    </row>
    <row r="441" spans="1:53" s="36" customFormat="1" x14ac:dyDescent="0.2">
      <c r="A441" s="29"/>
      <c r="B441" s="14" t="str">
        <f t="shared" si="151"/>
        <v>Nordhaus 2008</v>
      </c>
      <c r="C441" s="61">
        <f t="shared" si="152"/>
        <v>52</v>
      </c>
      <c r="D441" s="58">
        <v>2008</v>
      </c>
      <c r="E441" s="17"/>
      <c r="F441" s="58">
        <v>0</v>
      </c>
      <c r="G441" s="16">
        <v>2005</v>
      </c>
      <c r="H441" s="15">
        <f>LOOKUP(G441,CPI!A$69:A$100,CPI!O$69:O$100)</f>
        <v>1.1165181771633383</v>
      </c>
      <c r="I441" s="5">
        <v>2025</v>
      </c>
      <c r="J441" s="43">
        <v>0</v>
      </c>
      <c r="K441" s="43"/>
      <c r="L441" s="57"/>
      <c r="M441" s="56"/>
      <c r="N441" s="3">
        <v>53.39</v>
      </c>
      <c r="O441" s="41">
        <f t="shared" si="146"/>
        <v>53.39</v>
      </c>
      <c r="P441" s="16">
        <v>0</v>
      </c>
      <c r="Q441" s="16">
        <v>1</v>
      </c>
      <c r="R441" s="16">
        <v>0</v>
      </c>
      <c r="S441" s="42"/>
      <c r="T441" s="56" t="str">
        <f t="shared" si="147"/>
        <v/>
      </c>
      <c r="U441" s="56" t="str">
        <f t="shared" si="148"/>
        <v/>
      </c>
      <c r="V441" s="56" t="str">
        <f t="shared" si="149"/>
        <v/>
      </c>
      <c r="W441" s="42"/>
      <c r="X441" s="42"/>
      <c r="Y441" s="42"/>
      <c r="Z441" s="42"/>
      <c r="AA441" s="37">
        <f t="shared" si="150"/>
        <v>53.39</v>
      </c>
      <c r="AB441" s="42"/>
      <c r="AC441" s="42"/>
      <c r="AD441" s="42"/>
      <c r="AE441" s="42"/>
      <c r="AF441" s="16">
        <v>1</v>
      </c>
      <c r="AG441" s="16">
        <v>1</v>
      </c>
      <c r="AH441" s="16">
        <v>0</v>
      </c>
      <c r="AI441" s="16">
        <v>1</v>
      </c>
      <c r="AJ441" s="5">
        <v>0</v>
      </c>
      <c r="AK441" s="5">
        <v>1</v>
      </c>
      <c r="AL441" s="5">
        <v>0</v>
      </c>
      <c r="AM441" s="13">
        <v>4.0999999999999996</v>
      </c>
      <c r="AN441" s="13">
        <v>1.5</v>
      </c>
      <c r="AO441" s="3">
        <v>2</v>
      </c>
      <c r="AP441" s="3">
        <v>1.3</v>
      </c>
      <c r="AQ441" s="3">
        <v>0.5</v>
      </c>
      <c r="AR441" s="16">
        <v>0</v>
      </c>
      <c r="AS441" s="16">
        <v>0</v>
      </c>
      <c r="AT441" s="16"/>
      <c r="AU441" s="5">
        <v>3</v>
      </c>
      <c r="AV441" s="16"/>
      <c r="AW441" s="16"/>
      <c r="AX441" s="16">
        <v>0</v>
      </c>
      <c r="AY441" s="16">
        <v>1</v>
      </c>
      <c r="AZ441" s="16">
        <v>0</v>
      </c>
      <c r="BA441" s="16">
        <v>1</v>
      </c>
    </row>
    <row r="442" spans="1:53" s="36" customFormat="1" x14ac:dyDescent="0.2">
      <c r="A442" s="29"/>
      <c r="B442" s="14" t="str">
        <f t="shared" si="151"/>
        <v>Nordhaus 2008</v>
      </c>
      <c r="C442" s="61">
        <f t="shared" si="152"/>
        <v>52</v>
      </c>
      <c r="D442" s="58">
        <v>2008</v>
      </c>
      <c r="E442" s="17"/>
      <c r="F442" s="58">
        <v>0</v>
      </c>
      <c r="G442" s="16">
        <v>2005</v>
      </c>
      <c r="H442" s="15">
        <f>LOOKUP(G442,CPI!A$69:A$100,CPI!O$69:O$100)</f>
        <v>1.1165181771633383</v>
      </c>
      <c r="I442" s="5">
        <v>2035</v>
      </c>
      <c r="J442" s="43">
        <v>0</v>
      </c>
      <c r="K442" s="43"/>
      <c r="L442" s="57"/>
      <c r="M442" s="56"/>
      <c r="N442" s="3">
        <v>66.489999999999995</v>
      </c>
      <c r="O442" s="41">
        <f t="shared" si="146"/>
        <v>66.489999999999995</v>
      </c>
      <c r="P442" s="16">
        <v>0</v>
      </c>
      <c r="Q442" s="16">
        <v>1</v>
      </c>
      <c r="R442" s="16">
        <v>0</v>
      </c>
      <c r="S442" s="42"/>
      <c r="T442" s="56" t="str">
        <f t="shared" si="147"/>
        <v/>
      </c>
      <c r="U442" s="56" t="str">
        <f t="shared" si="148"/>
        <v/>
      </c>
      <c r="V442" s="56" t="str">
        <f t="shared" si="149"/>
        <v/>
      </c>
      <c r="W442" s="42"/>
      <c r="X442" s="42"/>
      <c r="Y442" s="42"/>
      <c r="Z442" s="42"/>
      <c r="AA442" s="37">
        <f t="shared" si="150"/>
        <v>66.489999999999995</v>
      </c>
      <c r="AB442" s="42"/>
      <c r="AC442" s="42"/>
      <c r="AD442" s="42"/>
      <c r="AE442" s="42"/>
      <c r="AF442" s="16">
        <v>1</v>
      </c>
      <c r="AG442" s="16">
        <v>1</v>
      </c>
      <c r="AH442" s="16">
        <v>0</v>
      </c>
      <c r="AI442" s="16">
        <v>1</v>
      </c>
      <c r="AJ442" s="5">
        <v>0</v>
      </c>
      <c r="AK442" s="5">
        <v>1</v>
      </c>
      <c r="AL442" s="5">
        <v>0</v>
      </c>
      <c r="AM442" s="13">
        <v>4.0999999999999996</v>
      </c>
      <c r="AN442" s="13">
        <v>1.5</v>
      </c>
      <c r="AO442" s="3">
        <v>2</v>
      </c>
      <c r="AP442" s="3">
        <v>1.3</v>
      </c>
      <c r="AQ442" s="3">
        <v>0.5</v>
      </c>
      <c r="AR442" s="16">
        <v>0</v>
      </c>
      <c r="AS442" s="16">
        <v>0</v>
      </c>
      <c r="AT442" s="16"/>
      <c r="AU442" s="5">
        <v>3</v>
      </c>
      <c r="AV442" s="16"/>
      <c r="AW442" s="16"/>
      <c r="AX442" s="16">
        <v>0</v>
      </c>
      <c r="AY442" s="16">
        <v>1</v>
      </c>
      <c r="AZ442" s="16">
        <v>0</v>
      </c>
      <c r="BA442" s="16">
        <v>1</v>
      </c>
    </row>
    <row r="443" spans="1:53" s="36" customFormat="1" x14ac:dyDescent="0.2">
      <c r="A443" s="29"/>
      <c r="B443" s="14" t="str">
        <f t="shared" si="151"/>
        <v>Nordhaus 2008</v>
      </c>
      <c r="C443" s="61">
        <f t="shared" si="152"/>
        <v>52</v>
      </c>
      <c r="D443" s="58">
        <v>2008</v>
      </c>
      <c r="E443" s="17"/>
      <c r="F443" s="58">
        <v>0</v>
      </c>
      <c r="G443" s="16">
        <v>2005</v>
      </c>
      <c r="H443" s="15">
        <f>LOOKUP(G443,CPI!A$69:A$100,CPI!O$69:O$100)</f>
        <v>1.1165181771633383</v>
      </c>
      <c r="I443" s="5">
        <v>2045</v>
      </c>
      <c r="J443" s="43">
        <v>0</v>
      </c>
      <c r="K443" s="43"/>
      <c r="L443" s="57"/>
      <c r="M443" s="56"/>
      <c r="N443" s="3">
        <v>81.31</v>
      </c>
      <c r="O443" s="41">
        <f t="shared" si="146"/>
        <v>81.31</v>
      </c>
      <c r="P443" s="16">
        <v>0</v>
      </c>
      <c r="Q443" s="16">
        <v>1</v>
      </c>
      <c r="R443" s="16">
        <v>0</v>
      </c>
      <c r="S443" s="42"/>
      <c r="T443" s="56" t="str">
        <f t="shared" si="147"/>
        <v/>
      </c>
      <c r="U443" s="56" t="str">
        <f t="shared" si="148"/>
        <v/>
      </c>
      <c r="V443" s="56" t="str">
        <f t="shared" si="149"/>
        <v/>
      </c>
      <c r="W443" s="42"/>
      <c r="X443" s="42"/>
      <c r="Y443" s="42"/>
      <c r="Z443" s="42"/>
      <c r="AA443" s="37">
        <f t="shared" si="150"/>
        <v>81.31</v>
      </c>
      <c r="AB443" s="42"/>
      <c r="AC443" s="42"/>
      <c r="AD443" s="42"/>
      <c r="AE443" s="42"/>
      <c r="AF443" s="16">
        <v>1</v>
      </c>
      <c r="AG443" s="16">
        <v>1</v>
      </c>
      <c r="AH443" s="16">
        <v>0</v>
      </c>
      <c r="AI443" s="16">
        <v>1</v>
      </c>
      <c r="AJ443" s="5">
        <v>0</v>
      </c>
      <c r="AK443" s="5">
        <v>1</v>
      </c>
      <c r="AL443" s="5">
        <v>0</v>
      </c>
      <c r="AM443" s="13">
        <v>4.0999999999999996</v>
      </c>
      <c r="AN443" s="13">
        <v>1.5</v>
      </c>
      <c r="AO443" s="3">
        <v>2</v>
      </c>
      <c r="AP443" s="3">
        <v>1.3</v>
      </c>
      <c r="AQ443" s="3">
        <v>0.5</v>
      </c>
      <c r="AR443" s="16">
        <v>0</v>
      </c>
      <c r="AS443" s="16">
        <v>0</v>
      </c>
      <c r="AT443" s="16"/>
      <c r="AU443" s="5">
        <v>3</v>
      </c>
      <c r="AV443" s="16"/>
      <c r="AW443" s="16"/>
      <c r="AX443" s="16">
        <v>0</v>
      </c>
      <c r="AY443" s="16">
        <v>1</v>
      </c>
      <c r="AZ443" s="16">
        <v>0</v>
      </c>
      <c r="BA443" s="16">
        <v>1</v>
      </c>
    </row>
    <row r="444" spans="1:53" s="36" customFormat="1" x14ac:dyDescent="0.2">
      <c r="A444" s="29"/>
      <c r="B444" s="14" t="str">
        <f t="shared" si="151"/>
        <v>Nordhaus 2008</v>
      </c>
      <c r="C444" s="61">
        <f t="shared" si="152"/>
        <v>52</v>
      </c>
      <c r="D444" s="58">
        <v>2008</v>
      </c>
      <c r="E444" s="17"/>
      <c r="F444" s="58">
        <v>0</v>
      </c>
      <c r="G444" s="16">
        <v>2005</v>
      </c>
      <c r="H444" s="15">
        <f>LOOKUP(G444,CPI!A$69:A$100,CPI!O$69:O$100)</f>
        <v>1.1165181771633383</v>
      </c>
      <c r="I444" s="5">
        <v>2055</v>
      </c>
      <c r="J444" s="43">
        <v>0</v>
      </c>
      <c r="K444" s="43"/>
      <c r="L444" s="57"/>
      <c r="M444" s="56"/>
      <c r="N444" s="3">
        <v>98.01</v>
      </c>
      <c r="O444" s="41">
        <f t="shared" si="146"/>
        <v>98.01</v>
      </c>
      <c r="P444" s="16">
        <v>0</v>
      </c>
      <c r="Q444" s="16">
        <v>1</v>
      </c>
      <c r="R444" s="16">
        <v>0</v>
      </c>
      <c r="S444" s="42"/>
      <c r="T444" s="56" t="str">
        <f t="shared" si="147"/>
        <v/>
      </c>
      <c r="U444" s="56" t="str">
        <f t="shared" si="148"/>
        <v/>
      </c>
      <c r="V444" s="56" t="str">
        <f t="shared" si="149"/>
        <v/>
      </c>
      <c r="W444" s="42"/>
      <c r="X444" s="42"/>
      <c r="Y444" s="42"/>
      <c r="Z444" s="42"/>
      <c r="AA444" s="37">
        <f t="shared" si="150"/>
        <v>98.01</v>
      </c>
      <c r="AB444" s="42"/>
      <c r="AC444" s="42"/>
      <c r="AD444" s="42"/>
      <c r="AE444" s="42"/>
      <c r="AF444" s="16">
        <v>1</v>
      </c>
      <c r="AG444" s="16">
        <v>1</v>
      </c>
      <c r="AH444" s="16">
        <v>0</v>
      </c>
      <c r="AI444" s="16">
        <v>1</v>
      </c>
      <c r="AJ444" s="5">
        <v>0</v>
      </c>
      <c r="AK444" s="5">
        <v>1</v>
      </c>
      <c r="AL444" s="5">
        <v>0</v>
      </c>
      <c r="AM444" s="13">
        <v>4.0999999999999996</v>
      </c>
      <c r="AN444" s="13">
        <v>1.5</v>
      </c>
      <c r="AO444" s="3">
        <v>2</v>
      </c>
      <c r="AP444" s="3">
        <v>1.3</v>
      </c>
      <c r="AQ444" s="3">
        <v>0.5</v>
      </c>
      <c r="AR444" s="16">
        <v>0</v>
      </c>
      <c r="AS444" s="16">
        <v>0</v>
      </c>
      <c r="AT444" s="16"/>
      <c r="AU444" s="5">
        <v>3</v>
      </c>
      <c r="AV444" s="16"/>
      <c r="AW444" s="16"/>
      <c r="AX444" s="16">
        <v>0</v>
      </c>
      <c r="AY444" s="16">
        <v>1</v>
      </c>
      <c r="AZ444" s="16">
        <v>0</v>
      </c>
      <c r="BA444" s="16">
        <v>1</v>
      </c>
    </row>
    <row r="445" spans="1:53" s="36" customFormat="1" x14ac:dyDescent="0.2">
      <c r="A445" s="29"/>
      <c r="B445" s="14" t="str">
        <f t="shared" si="151"/>
        <v>Nordhaus 2008</v>
      </c>
      <c r="C445" s="61">
        <f t="shared" si="152"/>
        <v>52</v>
      </c>
      <c r="D445" s="58">
        <v>2008</v>
      </c>
      <c r="E445" s="17"/>
      <c r="F445" s="58">
        <v>0</v>
      </c>
      <c r="G445" s="16">
        <v>2005</v>
      </c>
      <c r="H445" s="15">
        <f>LOOKUP(G445,CPI!A$69:A$100,CPI!O$69:O$100)</f>
        <v>1.1165181771633383</v>
      </c>
      <c r="I445" s="5">
        <v>2065</v>
      </c>
      <c r="J445" s="43">
        <v>0</v>
      </c>
      <c r="K445" s="43"/>
      <c r="L445" s="57"/>
      <c r="M445" s="56"/>
      <c r="N445" s="3">
        <v>116.78</v>
      </c>
      <c r="O445" s="41">
        <f t="shared" si="146"/>
        <v>116.78</v>
      </c>
      <c r="P445" s="16">
        <v>0</v>
      </c>
      <c r="Q445" s="16">
        <v>1</v>
      </c>
      <c r="R445" s="16">
        <v>0</v>
      </c>
      <c r="S445" s="42"/>
      <c r="T445" s="56" t="str">
        <f t="shared" si="147"/>
        <v/>
      </c>
      <c r="U445" s="56" t="str">
        <f t="shared" si="148"/>
        <v/>
      </c>
      <c r="V445" s="56" t="str">
        <f t="shared" si="149"/>
        <v/>
      </c>
      <c r="W445" s="42"/>
      <c r="X445" s="42"/>
      <c r="Y445" s="42"/>
      <c r="Z445" s="42"/>
      <c r="AA445" s="37">
        <f t="shared" si="150"/>
        <v>116.78</v>
      </c>
      <c r="AB445" s="42"/>
      <c r="AC445" s="42"/>
      <c r="AD445" s="42"/>
      <c r="AE445" s="42"/>
      <c r="AF445" s="16">
        <v>1</v>
      </c>
      <c r="AG445" s="16">
        <v>1</v>
      </c>
      <c r="AH445" s="16">
        <v>0</v>
      </c>
      <c r="AI445" s="16">
        <v>1</v>
      </c>
      <c r="AJ445" s="5">
        <v>0</v>
      </c>
      <c r="AK445" s="5">
        <v>1</v>
      </c>
      <c r="AL445" s="5">
        <v>0</v>
      </c>
      <c r="AM445" s="13">
        <v>4.0999999999999996</v>
      </c>
      <c r="AN445" s="13">
        <v>1.5</v>
      </c>
      <c r="AO445" s="3">
        <v>2</v>
      </c>
      <c r="AP445" s="3">
        <v>1.3</v>
      </c>
      <c r="AQ445" s="3">
        <v>0.5</v>
      </c>
      <c r="AR445" s="16">
        <v>0</v>
      </c>
      <c r="AS445" s="16">
        <v>0</v>
      </c>
      <c r="AT445" s="16"/>
      <c r="AU445" s="5">
        <v>3</v>
      </c>
      <c r="AV445" s="16"/>
      <c r="AW445" s="16"/>
      <c r="AX445" s="16">
        <v>0</v>
      </c>
      <c r="AY445" s="16">
        <v>1</v>
      </c>
      <c r="AZ445" s="16">
        <v>0</v>
      </c>
      <c r="BA445" s="16">
        <v>1</v>
      </c>
    </row>
    <row r="446" spans="1:53" s="36" customFormat="1" x14ac:dyDescent="0.2">
      <c r="A446" s="29"/>
      <c r="B446" s="14" t="str">
        <f t="shared" si="151"/>
        <v>Nordhaus 2008</v>
      </c>
      <c r="C446" s="61">
        <f t="shared" si="152"/>
        <v>52</v>
      </c>
      <c r="D446" s="58">
        <v>2008</v>
      </c>
      <c r="E446" s="17"/>
      <c r="F446" s="58">
        <v>0</v>
      </c>
      <c r="G446" s="16">
        <v>2005</v>
      </c>
      <c r="H446" s="15">
        <f>LOOKUP(G446,CPI!A$69:A$100,CPI!O$69:O$100)</f>
        <v>1.1165181771633383</v>
      </c>
      <c r="I446" s="5">
        <v>2075</v>
      </c>
      <c r="J446" s="43">
        <v>0</v>
      </c>
      <c r="K446" s="43"/>
      <c r="L446" s="57"/>
      <c r="M446" s="56"/>
      <c r="N446" s="3">
        <v>137.82</v>
      </c>
      <c r="O446" s="41">
        <f t="shared" si="146"/>
        <v>137.82</v>
      </c>
      <c r="P446" s="16">
        <v>0</v>
      </c>
      <c r="Q446" s="16">
        <v>1</v>
      </c>
      <c r="R446" s="16">
        <v>0</v>
      </c>
      <c r="S446" s="42"/>
      <c r="T446" s="56" t="str">
        <f t="shared" si="147"/>
        <v/>
      </c>
      <c r="U446" s="56" t="str">
        <f t="shared" si="148"/>
        <v/>
      </c>
      <c r="V446" s="56" t="str">
        <f t="shared" si="149"/>
        <v/>
      </c>
      <c r="W446" s="42"/>
      <c r="X446" s="42"/>
      <c r="Y446" s="42"/>
      <c r="Z446" s="42"/>
      <c r="AA446" s="37">
        <f t="shared" si="150"/>
        <v>137.82</v>
      </c>
      <c r="AB446" s="42"/>
      <c r="AC446" s="42"/>
      <c r="AD446" s="42"/>
      <c r="AE446" s="42"/>
      <c r="AF446" s="16">
        <v>1</v>
      </c>
      <c r="AG446" s="16">
        <v>1</v>
      </c>
      <c r="AH446" s="16">
        <v>0</v>
      </c>
      <c r="AI446" s="16">
        <v>1</v>
      </c>
      <c r="AJ446" s="5">
        <v>0</v>
      </c>
      <c r="AK446" s="5">
        <v>1</v>
      </c>
      <c r="AL446" s="5">
        <v>0</v>
      </c>
      <c r="AM446" s="13">
        <v>4.0999999999999996</v>
      </c>
      <c r="AN446" s="13">
        <v>1.5</v>
      </c>
      <c r="AO446" s="3">
        <v>2</v>
      </c>
      <c r="AP446" s="3">
        <v>1.3</v>
      </c>
      <c r="AQ446" s="3">
        <v>0.5</v>
      </c>
      <c r="AR446" s="16">
        <v>0</v>
      </c>
      <c r="AS446" s="16">
        <v>0</v>
      </c>
      <c r="AT446" s="16"/>
      <c r="AU446" s="5">
        <v>3</v>
      </c>
      <c r="AV446" s="16"/>
      <c r="AW446" s="16"/>
      <c r="AX446" s="16">
        <v>0</v>
      </c>
      <c r="AY446" s="16">
        <v>1</v>
      </c>
      <c r="AZ446" s="16">
        <v>0</v>
      </c>
      <c r="BA446" s="16">
        <v>1</v>
      </c>
    </row>
    <row r="447" spans="1:53" s="36" customFormat="1" x14ac:dyDescent="0.2">
      <c r="A447" s="29"/>
      <c r="B447" s="14" t="str">
        <f t="shared" si="151"/>
        <v>Nordhaus 2008</v>
      </c>
      <c r="C447" s="61">
        <f t="shared" si="152"/>
        <v>52</v>
      </c>
      <c r="D447" s="58">
        <v>2008</v>
      </c>
      <c r="E447" s="17"/>
      <c r="F447" s="58">
        <v>0</v>
      </c>
      <c r="G447" s="16">
        <v>2005</v>
      </c>
      <c r="H447" s="15">
        <f>LOOKUP(G447,CPI!A$69:A$100,CPI!O$69:O$100)</f>
        <v>1.1165181771633383</v>
      </c>
      <c r="I447" s="5">
        <v>2085</v>
      </c>
      <c r="J447" s="43">
        <v>0</v>
      </c>
      <c r="K447" s="43"/>
      <c r="L447" s="57"/>
      <c r="M447" s="56"/>
      <c r="N447" s="3">
        <v>161.37</v>
      </c>
      <c r="O447" s="41">
        <f t="shared" si="146"/>
        <v>161.37</v>
      </c>
      <c r="P447" s="16">
        <v>0</v>
      </c>
      <c r="Q447" s="16">
        <v>1</v>
      </c>
      <c r="R447" s="16">
        <v>0</v>
      </c>
      <c r="S447" s="42"/>
      <c r="T447" s="56" t="str">
        <f t="shared" si="147"/>
        <v/>
      </c>
      <c r="U447" s="56" t="str">
        <f t="shared" si="148"/>
        <v/>
      </c>
      <c r="V447" s="56" t="str">
        <f t="shared" si="149"/>
        <v/>
      </c>
      <c r="W447" s="42"/>
      <c r="X447" s="42"/>
      <c r="Y447" s="42"/>
      <c r="Z447" s="42"/>
      <c r="AA447" s="37">
        <f t="shared" si="150"/>
        <v>161.37</v>
      </c>
      <c r="AB447" s="42"/>
      <c r="AC447" s="42"/>
      <c r="AD447" s="42"/>
      <c r="AE447" s="42"/>
      <c r="AF447" s="16">
        <v>1</v>
      </c>
      <c r="AG447" s="16">
        <v>1</v>
      </c>
      <c r="AH447" s="16">
        <v>0</v>
      </c>
      <c r="AI447" s="16">
        <v>1</v>
      </c>
      <c r="AJ447" s="5">
        <v>0</v>
      </c>
      <c r="AK447" s="5">
        <v>1</v>
      </c>
      <c r="AL447" s="5">
        <v>0</v>
      </c>
      <c r="AM447" s="13">
        <v>4.0999999999999996</v>
      </c>
      <c r="AN447" s="13">
        <v>1.5</v>
      </c>
      <c r="AO447" s="3">
        <v>2</v>
      </c>
      <c r="AP447" s="3">
        <v>1.3</v>
      </c>
      <c r="AQ447" s="3">
        <v>0.5</v>
      </c>
      <c r="AR447" s="16">
        <v>0</v>
      </c>
      <c r="AS447" s="16">
        <v>0</v>
      </c>
      <c r="AT447" s="16"/>
      <c r="AU447" s="5">
        <v>3</v>
      </c>
      <c r="AV447" s="16"/>
      <c r="AW447" s="16"/>
      <c r="AX447" s="16">
        <v>0</v>
      </c>
      <c r="AY447" s="16">
        <v>1</v>
      </c>
      <c r="AZ447" s="16">
        <v>0</v>
      </c>
      <c r="BA447" s="16">
        <v>1</v>
      </c>
    </row>
    <row r="448" spans="1:53" s="36" customFormat="1" x14ac:dyDescent="0.2">
      <c r="A448" s="29"/>
      <c r="B448" s="14" t="str">
        <f t="shared" si="151"/>
        <v>Nordhaus 2008</v>
      </c>
      <c r="C448" s="61">
        <f t="shared" si="152"/>
        <v>52</v>
      </c>
      <c r="D448" s="58">
        <v>2008</v>
      </c>
      <c r="E448" s="17"/>
      <c r="F448" s="58">
        <v>0</v>
      </c>
      <c r="G448" s="16">
        <v>2005</v>
      </c>
      <c r="H448" s="15">
        <f>LOOKUP(G448,CPI!A$69:A$100,CPI!O$69:O$100)</f>
        <v>1.1165181771633383</v>
      </c>
      <c r="I448" s="5">
        <v>2095</v>
      </c>
      <c r="J448" s="43">
        <v>0</v>
      </c>
      <c r="K448" s="43"/>
      <c r="L448" s="57"/>
      <c r="M448" s="56"/>
      <c r="N448" s="3">
        <v>187.68</v>
      </c>
      <c r="O448" s="41">
        <f t="shared" si="146"/>
        <v>187.68</v>
      </c>
      <c r="P448" s="16">
        <v>0</v>
      </c>
      <c r="Q448" s="16">
        <v>1</v>
      </c>
      <c r="R448" s="16">
        <v>0</v>
      </c>
      <c r="S448" s="42"/>
      <c r="T448" s="56" t="str">
        <f t="shared" si="147"/>
        <v/>
      </c>
      <c r="U448" s="56" t="str">
        <f t="shared" si="148"/>
        <v/>
      </c>
      <c r="V448" s="56" t="str">
        <f t="shared" si="149"/>
        <v/>
      </c>
      <c r="W448" s="42"/>
      <c r="X448" s="42"/>
      <c r="Y448" s="42"/>
      <c r="Z448" s="42"/>
      <c r="AA448" s="37">
        <f t="shared" si="150"/>
        <v>187.68</v>
      </c>
      <c r="AB448" s="42"/>
      <c r="AC448" s="42"/>
      <c r="AD448" s="42"/>
      <c r="AE448" s="42"/>
      <c r="AF448" s="16">
        <v>1</v>
      </c>
      <c r="AG448" s="16">
        <v>1</v>
      </c>
      <c r="AH448" s="16">
        <v>0</v>
      </c>
      <c r="AI448" s="16">
        <v>1</v>
      </c>
      <c r="AJ448" s="5">
        <v>0</v>
      </c>
      <c r="AK448" s="5">
        <v>1</v>
      </c>
      <c r="AL448" s="5">
        <v>0</v>
      </c>
      <c r="AM448" s="13">
        <v>4.0999999999999996</v>
      </c>
      <c r="AN448" s="13">
        <v>1.5</v>
      </c>
      <c r="AO448" s="3">
        <v>2</v>
      </c>
      <c r="AP448" s="3">
        <v>1.3</v>
      </c>
      <c r="AQ448" s="3">
        <v>0.5</v>
      </c>
      <c r="AR448" s="16">
        <v>0</v>
      </c>
      <c r="AS448" s="16">
        <v>0</v>
      </c>
      <c r="AT448" s="16"/>
      <c r="AU448" s="5">
        <v>3</v>
      </c>
      <c r="AV448" s="16"/>
      <c r="AW448" s="16"/>
      <c r="AX448" s="16">
        <v>0</v>
      </c>
      <c r="AY448" s="16">
        <v>1</v>
      </c>
      <c r="AZ448" s="16">
        <v>0</v>
      </c>
      <c r="BA448" s="16">
        <v>1</v>
      </c>
    </row>
    <row r="449" spans="1:53" s="36" customFormat="1" x14ac:dyDescent="0.2">
      <c r="A449" s="29"/>
      <c r="B449" s="14" t="str">
        <f t="shared" si="151"/>
        <v>Nordhaus 2008</v>
      </c>
      <c r="C449" s="61">
        <f t="shared" si="152"/>
        <v>52</v>
      </c>
      <c r="D449" s="58">
        <v>2008</v>
      </c>
      <c r="E449" s="17"/>
      <c r="F449" s="58">
        <v>0</v>
      </c>
      <c r="G449" s="16">
        <v>2005</v>
      </c>
      <c r="H449" s="15">
        <f>LOOKUP(G449,CPI!A$69:A$100,CPI!O$69:O$100)</f>
        <v>1.1165181771633383</v>
      </c>
      <c r="I449" s="5">
        <v>2100</v>
      </c>
      <c r="J449" s="43">
        <v>1</v>
      </c>
      <c r="K449" s="43"/>
      <c r="L449" s="57"/>
      <c r="M449" s="56"/>
      <c r="N449" s="3">
        <v>202.4</v>
      </c>
      <c r="O449" s="41">
        <f t="shared" si="146"/>
        <v>202.4</v>
      </c>
      <c r="P449" s="16">
        <v>0</v>
      </c>
      <c r="Q449" s="16">
        <v>1</v>
      </c>
      <c r="R449" s="16">
        <v>0</v>
      </c>
      <c r="S449" s="42"/>
      <c r="T449" s="56" t="str">
        <f t="shared" si="147"/>
        <v/>
      </c>
      <c r="U449" s="56" t="str">
        <f t="shared" si="148"/>
        <v/>
      </c>
      <c r="V449" s="56" t="str">
        <f t="shared" si="149"/>
        <v/>
      </c>
      <c r="W449" s="42"/>
      <c r="X449" s="42"/>
      <c r="Y449" s="42"/>
      <c r="Z449" s="42"/>
      <c r="AA449" s="37">
        <f t="shared" si="150"/>
        <v>202.4</v>
      </c>
      <c r="AB449" s="42"/>
      <c r="AC449" s="42"/>
      <c r="AD449" s="42"/>
      <c r="AE449" s="42"/>
      <c r="AF449" s="16">
        <v>1</v>
      </c>
      <c r="AG449" s="16">
        <v>1</v>
      </c>
      <c r="AH449" s="16">
        <v>0</v>
      </c>
      <c r="AI449" s="16">
        <v>1</v>
      </c>
      <c r="AJ449" s="5">
        <v>0</v>
      </c>
      <c r="AK449" s="5">
        <v>1</v>
      </c>
      <c r="AL449" s="5">
        <v>0</v>
      </c>
      <c r="AM449" s="13">
        <v>4.0999999999999996</v>
      </c>
      <c r="AN449" s="13">
        <v>1.5</v>
      </c>
      <c r="AO449" s="3">
        <v>2</v>
      </c>
      <c r="AP449" s="3">
        <v>1.3</v>
      </c>
      <c r="AQ449" s="3">
        <v>0.5</v>
      </c>
      <c r="AR449" s="16">
        <v>0</v>
      </c>
      <c r="AS449" s="16">
        <v>0</v>
      </c>
      <c r="AT449" s="16"/>
      <c r="AU449" s="5">
        <v>3</v>
      </c>
      <c r="AV449" s="16"/>
      <c r="AW449" s="16"/>
      <c r="AX449" s="16">
        <v>0</v>
      </c>
      <c r="AY449" s="16">
        <v>1</v>
      </c>
      <c r="AZ449" s="16">
        <v>0</v>
      </c>
      <c r="BA449" s="16">
        <v>1</v>
      </c>
    </row>
    <row r="450" spans="1:53" s="36" customFormat="1" x14ac:dyDescent="0.2">
      <c r="A450" s="29"/>
      <c r="B450" s="14" t="str">
        <f t="shared" si="151"/>
        <v>Nordhaus 2008</v>
      </c>
      <c r="C450" s="61">
        <f t="shared" si="152"/>
        <v>52</v>
      </c>
      <c r="D450" s="58">
        <v>2008</v>
      </c>
      <c r="E450" s="17"/>
      <c r="F450" s="58">
        <v>0</v>
      </c>
      <c r="G450" s="16">
        <v>2005</v>
      </c>
      <c r="H450" s="15">
        <f>LOOKUP(G450,CPI!A$69:A$100,CPI!O$69:O$100)</f>
        <v>1.1165181771633383</v>
      </c>
      <c r="I450" s="5">
        <v>2105</v>
      </c>
      <c r="J450" s="43">
        <v>0</v>
      </c>
      <c r="K450" s="43"/>
      <c r="L450" s="57"/>
      <c r="M450" s="56"/>
      <c r="N450" s="3">
        <v>217.02</v>
      </c>
      <c r="O450" s="41">
        <f t="shared" si="146"/>
        <v>217.02</v>
      </c>
      <c r="P450" s="16">
        <v>0</v>
      </c>
      <c r="Q450" s="16">
        <v>1</v>
      </c>
      <c r="R450" s="16">
        <v>0</v>
      </c>
      <c r="S450" s="42"/>
      <c r="T450" s="56" t="str">
        <f t="shared" si="147"/>
        <v/>
      </c>
      <c r="U450" s="56" t="str">
        <f t="shared" si="148"/>
        <v/>
      </c>
      <c r="V450" s="56" t="str">
        <f t="shared" si="149"/>
        <v/>
      </c>
      <c r="W450" s="42"/>
      <c r="X450" s="42"/>
      <c r="Y450" s="42"/>
      <c r="Z450" s="42"/>
      <c r="AA450" s="37">
        <f t="shared" si="150"/>
        <v>217.02</v>
      </c>
      <c r="AB450" s="42"/>
      <c r="AC450" s="42"/>
      <c r="AD450" s="42"/>
      <c r="AE450" s="42"/>
      <c r="AF450" s="16">
        <v>1</v>
      </c>
      <c r="AG450" s="16">
        <v>1</v>
      </c>
      <c r="AH450" s="16">
        <v>0</v>
      </c>
      <c r="AI450" s="16">
        <v>1</v>
      </c>
      <c r="AJ450" s="5">
        <v>0</v>
      </c>
      <c r="AK450" s="5">
        <v>1</v>
      </c>
      <c r="AL450" s="5">
        <v>0</v>
      </c>
      <c r="AM450" s="13">
        <v>4.0999999999999996</v>
      </c>
      <c r="AN450" s="13">
        <v>1.5</v>
      </c>
      <c r="AO450" s="3">
        <v>2</v>
      </c>
      <c r="AP450" s="3">
        <v>1.3</v>
      </c>
      <c r="AQ450" s="3">
        <v>0.5</v>
      </c>
      <c r="AR450" s="16">
        <v>0</v>
      </c>
      <c r="AS450" s="16">
        <v>0</v>
      </c>
      <c r="AT450" s="16"/>
      <c r="AU450" s="5">
        <v>3</v>
      </c>
      <c r="AV450" s="16"/>
      <c r="AW450" s="16"/>
      <c r="AX450" s="16">
        <v>0</v>
      </c>
      <c r="AY450" s="16">
        <v>1</v>
      </c>
      <c r="AZ450" s="16">
        <v>0</v>
      </c>
      <c r="BA450" s="16">
        <v>1</v>
      </c>
    </row>
    <row r="451" spans="1:53" x14ac:dyDescent="0.2">
      <c r="A451" s="14"/>
      <c r="B451" s="14" t="str">
        <f>+IF(A451="",B438,A451&amp;" "&amp;D451)</f>
        <v>Nordhaus 2008</v>
      </c>
      <c r="C451" s="61">
        <f>+IF(A451="",C438,C438+1)</f>
        <v>52</v>
      </c>
      <c r="D451" s="58">
        <v>2008</v>
      </c>
      <c r="E451" s="17"/>
      <c r="F451" s="58">
        <v>0</v>
      </c>
      <c r="G451" s="16">
        <v>2005</v>
      </c>
      <c r="H451" s="15">
        <f>LOOKUP(G451,CPI!A$69:A$100,CPI!O$69:O$100)</f>
        <v>1.1165181771633383</v>
      </c>
      <c r="I451" s="52">
        <v>2005</v>
      </c>
      <c r="J451" s="15">
        <v>0.01</v>
      </c>
      <c r="K451" s="59">
        <v>0.25</v>
      </c>
      <c r="L451" s="57">
        <f>+L439</f>
        <v>4.1317629544612489E-2</v>
      </c>
      <c r="M451" s="56">
        <f>AA451*H451*(1+$L$2)^(2015-I451)</f>
        <v>343.10717951276246</v>
      </c>
      <c r="N451" s="14">
        <f>27.3*348/42</f>
        <v>226.2</v>
      </c>
      <c r="O451" s="18">
        <f t="shared" si="141"/>
        <v>226.2</v>
      </c>
      <c r="P451" s="16">
        <v>0</v>
      </c>
      <c r="Q451" s="16">
        <v>1</v>
      </c>
      <c r="R451" s="16">
        <v>0</v>
      </c>
      <c r="S451" s="14"/>
      <c r="T451" s="56" t="str">
        <f t="shared" si="142"/>
        <v/>
      </c>
      <c r="U451" s="56" t="str">
        <f t="shared" si="143"/>
        <v/>
      </c>
      <c r="V451" s="56" t="str">
        <f t="shared" si="144"/>
        <v/>
      </c>
      <c r="W451" s="14"/>
      <c r="X451" s="14"/>
      <c r="Y451" s="14"/>
      <c r="Z451" s="14"/>
      <c r="AA451" s="18">
        <f t="shared" si="145"/>
        <v>226.2</v>
      </c>
      <c r="AB451" s="14"/>
      <c r="AC451" s="14"/>
      <c r="AD451" s="14"/>
      <c r="AE451" s="14"/>
      <c r="AF451" s="16">
        <v>1</v>
      </c>
      <c r="AG451" s="16">
        <v>1</v>
      </c>
      <c r="AH451" s="16">
        <v>0</v>
      </c>
      <c r="AI451" s="16">
        <v>1</v>
      </c>
      <c r="AJ451" s="5">
        <v>0</v>
      </c>
      <c r="AK451" s="5">
        <v>1</v>
      </c>
      <c r="AL451" s="5">
        <v>0</v>
      </c>
      <c r="AM451" s="13">
        <v>1.4</v>
      </c>
      <c r="AN451" s="13">
        <v>0.1</v>
      </c>
      <c r="AO451" s="3">
        <v>1</v>
      </c>
      <c r="AP451" s="3">
        <v>1.3</v>
      </c>
      <c r="AQ451" s="3">
        <v>1</v>
      </c>
      <c r="AR451" s="16">
        <v>0</v>
      </c>
      <c r="AS451" s="16">
        <v>0</v>
      </c>
      <c r="AT451" s="16"/>
      <c r="AU451" s="5">
        <v>3</v>
      </c>
      <c r="AV451" s="16"/>
      <c r="AW451" s="16"/>
      <c r="AX451" s="16">
        <v>0</v>
      </c>
      <c r="AY451" s="16">
        <v>1</v>
      </c>
      <c r="AZ451" s="16">
        <v>0</v>
      </c>
      <c r="BA451" s="16">
        <v>1</v>
      </c>
    </row>
    <row r="452" spans="1:53" x14ac:dyDescent="0.2">
      <c r="A452" s="14"/>
      <c r="B452" s="14" t="str">
        <f t="shared" si="120"/>
        <v>Nordhaus 2008</v>
      </c>
      <c r="C452" s="61">
        <f t="shared" si="121"/>
        <v>52</v>
      </c>
      <c r="D452" s="58">
        <v>2008</v>
      </c>
      <c r="E452" s="17"/>
      <c r="F452" s="58">
        <v>0</v>
      </c>
      <c r="G452" s="16">
        <v>2005</v>
      </c>
      <c r="H452" s="15">
        <f>LOOKUP(G452,CPI!A$69:A$100,CPI!O$69:O$100)</f>
        <v>1.1165181771633383</v>
      </c>
      <c r="I452" s="52">
        <v>2005</v>
      </c>
      <c r="J452" s="15">
        <v>0.09</v>
      </c>
      <c r="K452" s="15"/>
      <c r="L452" s="62"/>
      <c r="M452" s="56">
        <f>AA452*H452*(1+$L$2)^(2015-I452)</f>
        <v>42.395427353588467</v>
      </c>
      <c r="N452" s="14">
        <f>27.3*43/42</f>
        <v>27.950000000000003</v>
      </c>
      <c r="O452" s="18">
        <f t="shared" si="141"/>
        <v>27.950000000000003</v>
      </c>
      <c r="P452" s="16">
        <v>0</v>
      </c>
      <c r="Q452" s="16">
        <v>1</v>
      </c>
      <c r="R452" s="16">
        <v>0</v>
      </c>
      <c r="S452" s="14"/>
      <c r="T452" s="56" t="str">
        <f t="shared" si="142"/>
        <v/>
      </c>
      <c r="U452" s="56" t="str">
        <f t="shared" si="143"/>
        <v/>
      </c>
      <c r="V452" s="56" t="str">
        <f t="shared" si="144"/>
        <v/>
      </c>
      <c r="W452" s="14"/>
      <c r="X452" s="14"/>
      <c r="Y452" s="14"/>
      <c r="Z452" s="14"/>
      <c r="AA452" s="18">
        <f t="shared" si="145"/>
        <v>27.950000000000003</v>
      </c>
      <c r="AB452" s="14"/>
      <c r="AC452" s="14"/>
      <c r="AD452" s="14"/>
      <c r="AE452" s="14"/>
      <c r="AF452" s="16">
        <v>1</v>
      </c>
      <c r="AG452" s="16">
        <v>1</v>
      </c>
      <c r="AH452" s="16">
        <v>0</v>
      </c>
      <c r="AI452" s="16">
        <v>1</v>
      </c>
      <c r="AJ452" s="5">
        <v>0</v>
      </c>
      <c r="AK452" s="5">
        <v>1</v>
      </c>
      <c r="AL452" s="5">
        <v>0</v>
      </c>
      <c r="AM452" s="13">
        <v>1.4</v>
      </c>
      <c r="AN452" s="13">
        <v>0.1</v>
      </c>
      <c r="AO452" s="3">
        <v>1</v>
      </c>
      <c r="AP452" s="3">
        <v>1.3</v>
      </c>
      <c r="AQ452" s="3">
        <v>1</v>
      </c>
      <c r="AR452" s="16">
        <v>0</v>
      </c>
      <c r="AS452" s="16">
        <v>0</v>
      </c>
      <c r="AT452" s="16"/>
      <c r="AU452" s="5">
        <v>3</v>
      </c>
      <c r="AV452" s="16"/>
      <c r="AW452" s="16"/>
      <c r="AX452" s="16">
        <v>0</v>
      </c>
      <c r="AY452" s="16">
        <v>1</v>
      </c>
      <c r="AZ452" s="16">
        <v>0</v>
      </c>
      <c r="BA452" s="16">
        <v>1</v>
      </c>
    </row>
    <row r="453" spans="1:53" x14ac:dyDescent="0.2">
      <c r="A453" s="14" t="s">
        <v>31</v>
      </c>
      <c r="B453" s="14" t="str">
        <f>+IF(A453="",B450,A453&amp;" "&amp;D453)</f>
        <v>Anthoff et al. 2009</v>
      </c>
      <c r="C453" s="61">
        <f>+IF(A453="",C450,C450+1)</f>
        <v>53</v>
      </c>
      <c r="D453" s="58">
        <v>2009</v>
      </c>
      <c r="E453" s="17" t="s">
        <v>115</v>
      </c>
      <c r="F453" s="58">
        <v>1</v>
      </c>
      <c r="G453" s="16">
        <v>1995</v>
      </c>
      <c r="H453" s="15">
        <f>LOOKUP(G453,CPI!A$69:A$100,CPI!O$69:O$100)</f>
        <v>1.4308136482939633</v>
      </c>
      <c r="I453" s="69">
        <v>2010</v>
      </c>
      <c r="J453" s="15">
        <f>1/33</f>
        <v>3.0303030303030304E-2</v>
      </c>
      <c r="K453" s="15"/>
      <c r="L453" s="62"/>
      <c r="M453" s="56">
        <f t="shared" si="134"/>
        <v>83.885473996294053</v>
      </c>
      <c r="N453" s="15">
        <v>50.3</v>
      </c>
      <c r="O453" s="18">
        <f t="shared" ref="O453:O484" si="153">N453</f>
        <v>50.3</v>
      </c>
      <c r="P453" s="16">
        <v>0</v>
      </c>
      <c r="Q453" s="16">
        <v>1</v>
      </c>
      <c r="R453" s="16">
        <v>0</v>
      </c>
      <c r="S453" s="14"/>
      <c r="T453" s="56" t="str">
        <f t="shared" si="140"/>
        <v/>
      </c>
      <c r="U453" s="56" t="str">
        <f t="shared" ref="U453:U516" si="154">+V453</f>
        <v/>
      </c>
      <c r="V453" s="56" t="str">
        <f t="shared" ref="V453:V516" si="155">+T453</f>
        <v/>
      </c>
      <c r="W453" s="14"/>
      <c r="X453" s="14"/>
      <c r="Y453" s="14"/>
      <c r="Z453" s="14"/>
      <c r="AA453" s="18">
        <f t="shared" si="129"/>
        <v>50.3</v>
      </c>
      <c r="AB453" s="14"/>
      <c r="AC453" s="14"/>
      <c r="AD453" s="14"/>
      <c r="AE453" s="14"/>
      <c r="AF453" s="16">
        <v>0</v>
      </c>
      <c r="AG453" s="16">
        <v>1</v>
      </c>
      <c r="AH453" s="16">
        <v>1</v>
      </c>
      <c r="AI453" s="16">
        <v>1</v>
      </c>
      <c r="AJ453" s="5">
        <v>1</v>
      </c>
      <c r="AK453" s="5">
        <v>0</v>
      </c>
      <c r="AL453" s="5">
        <v>0</v>
      </c>
      <c r="AM453" s="20"/>
      <c r="AN453" s="20">
        <v>0</v>
      </c>
      <c r="AO453" s="14"/>
      <c r="AP453" s="14"/>
      <c r="AQ453" s="16"/>
      <c r="AR453" s="16">
        <v>1</v>
      </c>
      <c r="AS453" s="16">
        <v>1</v>
      </c>
      <c r="AT453" s="16"/>
      <c r="AU453" s="16"/>
      <c r="AV453" s="16"/>
      <c r="AW453" s="16"/>
      <c r="AX453" s="16">
        <v>0</v>
      </c>
      <c r="AY453" s="16">
        <v>0</v>
      </c>
      <c r="AZ453" s="16">
        <v>1</v>
      </c>
      <c r="BA453" s="16">
        <v>0</v>
      </c>
    </row>
    <row r="454" spans="1:53" x14ac:dyDescent="0.2">
      <c r="A454" s="14"/>
      <c r="B454" s="14" t="str">
        <f t="shared" si="120"/>
        <v>Anthoff et al. 2009</v>
      </c>
      <c r="C454" s="61">
        <f t="shared" si="121"/>
        <v>53</v>
      </c>
      <c r="D454" s="58">
        <v>2009</v>
      </c>
      <c r="E454" s="17"/>
      <c r="F454" s="58">
        <v>1</v>
      </c>
      <c r="G454" s="16">
        <v>1995</v>
      </c>
      <c r="H454" s="15">
        <f>LOOKUP(G454,CPI!A$69:A$100,CPI!O$69:O$100)</f>
        <v>1.4308136482939633</v>
      </c>
      <c r="I454" s="69">
        <v>2010</v>
      </c>
      <c r="J454" s="15">
        <f t="shared" ref="J454:J485" si="156">1/33</f>
        <v>3.0303030303030304E-2</v>
      </c>
      <c r="K454" s="15"/>
      <c r="L454" s="62"/>
      <c r="M454" s="56">
        <f t="shared" si="134"/>
        <v>14.675788691200552</v>
      </c>
      <c r="N454" s="15">
        <v>8.8000000000000007</v>
      </c>
      <c r="O454" s="18">
        <f t="shared" si="153"/>
        <v>8.8000000000000007</v>
      </c>
      <c r="P454" s="16">
        <v>0</v>
      </c>
      <c r="Q454" s="16">
        <v>1</v>
      </c>
      <c r="R454" s="16">
        <v>0</v>
      </c>
      <c r="S454" s="14"/>
      <c r="T454" s="56" t="str">
        <f t="shared" si="140"/>
        <v/>
      </c>
      <c r="U454" s="56" t="str">
        <f t="shared" si="154"/>
        <v/>
      </c>
      <c r="V454" s="56" t="str">
        <f t="shared" si="155"/>
        <v/>
      </c>
      <c r="W454" s="14"/>
      <c r="X454" s="14"/>
      <c r="Y454" s="14"/>
      <c r="Z454" s="14"/>
      <c r="AA454" s="18">
        <f t="shared" si="129"/>
        <v>8.8000000000000007</v>
      </c>
      <c r="AB454" s="14"/>
      <c r="AC454" s="14"/>
      <c r="AD454" s="14"/>
      <c r="AE454" s="14"/>
      <c r="AF454" s="16">
        <v>0</v>
      </c>
      <c r="AG454" s="16">
        <v>1</v>
      </c>
      <c r="AH454" s="16">
        <v>1</v>
      </c>
      <c r="AI454" s="16">
        <v>1</v>
      </c>
      <c r="AJ454" s="5">
        <v>1</v>
      </c>
      <c r="AK454" s="5">
        <v>0</v>
      </c>
      <c r="AL454" s="5">
        <v>0</v>
      </c>
      <c r="AM454" s="20"/>
      <c r="AN454" s="20">
        <v>1</v>
      </c>
      <c r="AO454" s="14"/>
      <c r="AP454" s="14"/>
      <c r="AQ454" s="16"/>
      <c r="AR454" s="16">
        <v>1</v>
      </c>
      <c r="AS454" s="16">
        <v>1</v>
      </c>
      <c r="AT454" s="16"/>
      <c r="AU454" s="16"/>
      <c r="AV454" s="16"/>
      <c r="AW454" s="16"/>
      <c r="AX454" s="16">
        <v>0</v>
      </c>
      <c r="AY454" s="16">
        <v>0</v>
      </c>
      <c r="AZ454" s="16">
        <v>1</v>
      </c>
      <c r="BA454" s="16">
        <v>0</v>
      </c>
    </row>
    <row r="455" spans="1:53" x14ac:dyDescent="0.2">
      <c r="A455" s="14"/>
      <c r="B455" s="14" t="str">
        <f t="shared" si="120"/>
        <v>Anthoff et al. 2009</v>
      </c>
      <c r="C455" s="61">
        <f t="shared" si="121"/>
        <v>53</v>
      </c>
      <c r="D455" s="58">
        <v>2009</v>
      </c>
      <c r="E455" s="17"/>
      <c r="F455" s="58">
        <v>1</v>
      </c>
      <c r="G455" s="16">
        <v>1995</v>
      </c>
      <c r="H455" s="15">
        <f>LOOKUP(G455,CPI!A$69:A$100,CPI!O$69:O$100)</f>
        <v>1.4308136482939633</v>
      </c>
      <c r="I455" s="69">
        <v>2010</v>
      </c>
      <c r="J455" s="15">
        <f t="shared" si="156"/>
        <v>3.0303030303030304E-2</v>
      </c>
      <c r="K455" s="15"/>
      <c r="L455" s="62"/>
      <c r="M455" s="56">
        <f t="shared" si="134"/>
        <v>-9.8394492361458248</v>
      </c>
      <c r="N455" s="15">
        <v>-5.9</v>
      </c>
      <c r="O455" s="18">
        <f t="shared" si="153"/>
        <v>-5.9</v>
      </c>
      <c r="P455" s="16">
        <v>0</v>
      </c>
      <c r="Q455" s="16">
        <v>1</v>
      </c>
      <c r="R455" s="16">
        <v>0</v>
      </c>
      <c r="S455" s="14"/>
      <c r="T455" s="56" t="str">
        <f t="shared" si="140"/>
        <v/>
      </c>
      <c r="U455" s="56" t="str">
        <f t="shared" si="154"/>
        <v/>
      </c>
      <c r="V455" s="56" t="str">
        <f t="shared" si="155"/>
        <v/>
      </c>
      <c r="W455" s="14"/>
      <c r="X455" s="14"/>
      <c r="Y455" s="14"/>
      <c r="Z455" s="14"/>
      <c r="AA455" s="18">
        <f t="shared" si="129"/>
        <v>-5.9</v>
      </c>
      <c r="AB455" s="14"/>
      <c r="AC455" s="14"/>
      <c r="AD455" s="14"/>
      <c r="AE455" s="14"/>
      <c r="AF455" s="16">
        <v>0</v>
      </c>
      <c r="AG455" s="16">
        <v>1</v>
      </c>
      <c r="AH455" s="16">
        <v>1</v>
      </c>
      <c r="AI455" s="16">
        <v>1</v>
      </c>
      <c r="AJ455" s="5">
        <v>1</v>
      </c>
      <c r="AK455" s="5">
        <v>0</v>
      </c>
      <c r="AL455" s="5">
        <v>0</v>
      </c>
      <c r="AM455" s="20"/>
      <c r="AN455" s="20">
        <v>3</v>
      </c>
      <c r="AO455" s="14"/>
      <c r="AP455" s="14"/>
      <c r="AQ455" s="16"/>
      <c r="AR455" s="16">
        <v>1</v>
      </c>
      <c r="AS455" s="16">
        <v>1</v>
      </c>
      <c r="AT455" s="16"/>
      <c r="AU455" s="16"/>
      <c r="AV455" s="16"/>
      <c r="AW455" s="16"/>
      <c r="AX455" s="16">
        <v>0</v>
      </c>
      <c r="AY455" s="16">
        <v>0</v>
      </c>
      <c r="AZ455" s="16">
        <v>1</v>
      </c>
      <c r="BA455" s="16">
        <v>0</v>
      </c>
    </row>
    <row r="456" spans="1:53" x14ac:dyDescent="0.2">
      <c r="A456" s="14"/>
      <c r="B456" s="14" t="str">
        <f t="shared" si="120"/>
        <v>Anthoff et al. 2009</v>
      </c>
      <c r="C456" s="61">
        <f t="shared" si="121"/>
        <v>53</v>
      </c>
      <c r="D456" s="58">
        <v>2009</v>
      </c>
      <c r="E456" s="17"/>
      <c r="F456" s="58">
        <v>1</v>
      </c>
      <c r="G456" s="16">
        <v>1995</v>
      </c>
      <c r="H456" s="15">
        <f>LOOKUP(G456,CPI!A$69:A$100,CPI!O$69:O$100)</f>
        <v>1.4308136482939633</v>
      </c>
      <c r="I456" s="69">
        <v>2010</v>
      </c>
      <c r="J456" s="15">
        <f t="shared" si="156"/>
        <v>3.0303030303030304E-2</v>
      </c>
      <c r="K456" s="15"/>
      <c r="L456" s="62"/>
      <c r="M456" s="56">
        <f t="shared" si="134"/>
        <v>123.24327094087735</v>
      </c>
      <c r="N456" s="14">
        <v>73.900000000000006</v>
      </c>
      <c r="O456" s="18">
        <f t="shared" si="153"/>
        <v>73.900000000000006</v>
      </c>
      <c r="P456" s="16">
        <v>0</v>
      </c>
      <c r="Q456" s="16">
        <v>1</v>
      </c>
      <c r="R456" s="16">
        <v>0</v>
      </c>
      <c r="S456" s="14"/>
      <c r="T456" s="56" t="str">
        <f t="shared" si="140"/>
        <v/>
      </c>
      <c r="U456" s="56" t="str">
        <f t="shared" si="154"/>
        <v/>
      </c>
      <c r="V456" s="56" t="str">
        <f t="shared" si="155"/>
        <v/>
      </c>
      <c r="W456" s="14"/>
      <c r="X456" s="14"/>
      <c r="Y456" s="14"/>
      <c r="Z456" s="14"/>
      <c r="AA456" s="18">
        <f t="shared" si="129"/>
        <v>73.900000000000006</v>
      </c>
      <c r="AB456" s="14"/>
      <c r="AC456" s="14"/>
      <c r="AD456" s="14"/>
      <c r="AE456" s="14"/>
      <c r="AF456" s="16">
        <v>0</v>
      </c>
      <c r="AG456" s="16">
        <v>1</v>
      </c>
      <c r="AH456" s="16">
        <v>1</v>
      </c>
      <c r="AI456" s="16">
        <v>1</v>
      </c>
      <c r="AJ456" s="5">
        <v>1</v>
      </c>
      <c r="AK456" s="5">
        <v>0</v>
      </c>
      <c r="AL456" s="5">
        <v>0</v>
      </c>
      <c r="AM456" s="20"/>
      <c r="AN456" s="20">
        <v>0</v>
      </c>
      <c r="AO456" s="14"/>
      <c r="AP456" s="14"/>
      <c r="AQ456" s="16"/>
      <c r="AR456" s="16">
        <v>0</v>
      </c>
      <c r="AS456" s="16">
        <v>1</v>
      </c>
      <c r="AT456" s="16"/>
      <c r="AU456" s="16"/>
      <c r="AV456" s="16"/>
      <c r="AW456" s="16"/>
      <c r="AX456" s="16">
        <v>0</v>
      </c>
      <c r="AY456" s="16">
        <v>0</v>
      </c>
      <c r="AZ456" s="16">
        <v>1</v>
      </c>
      <c r="BA456" s="16">
        <v>0</v>
      </c>
    </row>
    <row r="457" spans="1:53" x14ac:dyDescent="0.2">
      <c r="A457" s="14"/>
      <c r="B457" s="14" t="str">
        <f t="shared" si="120"/>
        <v>Anthoff et al. 2009</v>
      </c>
      <c r="C457" s="61">
        <f t="shared" si="121"/>
        <v>53</v>
      </c>
      <c r="D457" s="58">
        <v>2009</v>
      </c>
      <c r="E457" s="17"/>
      <c r="F457" s="58">
        <v>1</v>
      </c>
      <c r="G457" s="16">
        <v>1995</v>
      </c>
      <c r="H457" s="15">
        <f>LOOKUP(G457,CPI!A$69:A$100,CPI!O$69:O$100)</f>
        <v>1.4308136482939633</v>
      </c>
      <c r="I457" s="69">
        <v>2010</v>
      </c>
      <c r="J457" s="15">
        <f t="shared" si="156"/>
        <v>3.0303030303030304E-2</v>
      </c>
      <c r="K457" s="15"/>
      <c r="L457" s="62"/>
      <c r="M457" s="56">
        <f t="shared" si="134"/>
        <v>43.860595747565284</v>
      </c>
      <c r="N457" s="14">
        <v>26.3</v>
      </c>
      <c r="O457" s="18">
        <f t="shared" si="153"/>
        <v>26.3</v>
      </c>
      <c r="P457" s="16">
        <v>0</v>
      </c>
      <c r="Q457" s="16">
        <v>1</v>
      </c>
      <c r="R457" s="16">
        <v>0</v>
      </c>
      <c r="S457" s="14"/>
      <c r="T457" s="56" t="str">
        <f t="shared" si="140"/>
        <v/>
      </c>
      <c r="U457" s="56" t="str">
        <f t="shared" si="154"/>
        <v/>
      </c>
      <c r="V457" s="56" t="str">
        <f t="shared" si="155"/>
        <v/>
      </c>
      <c r="W457" s="14"/>
      <c r="X457" s="14"/>
      <c r="Y457" s="14"/>
      <c r="Z457" s="14"/>
      <c r="AA457" s="18">
        <f t="shared" si="129"/>
        <v>26.3</v>
      </c>
      <c r="AB457" s="14"/>
      <c r="AC457" s="14"/>
      <c r="AD457" s="14"/>
      <c r="AE457" s="14"/>
      <c r="AF457" s="16">
        <v>0</v>
      </c>
      <c r="AG457" s="16">
        <v>1</v>
      </c>
      <c r="AH457" s="16">
        <v>1</v>
      </c>
      <c r="AI457" s="16">
        <v>1</v>
      </c>
      <c r="AJ457" s="5">
        <v>1</v>
      </c>
      <c r="AK457" s="5">
        <v>0</v>
      </c>
      <c r="AL457" s="5">
        <v>0</v>
      </c>
      <c r="AM457" s="20"/>
      <c r="AN457" s="20">
        <v>0</v>
      </c>
      <c r="AO457" s="14"/>
      <c r="AP457" s="14"/>
      <c r="AQ457" s="16"/>
      <c r="AR457" s="16">
        <v>0</v>
      </c>
      <c r="AS457" s="16">
        <v>1</v>
      </c>
      <c r="AT457" s="16"/>
      <c r="AU457" s="16"/>
      <c r="AV457" s="16"/>
      <c r="AW457" s="16"/>
      <c r="AX457" s="16">
        <v>0</v>
      </c>
      <c r="AY457" s="16">
        <v>0</v>
      </c>
      <c r="AZ457" s="16">
        <v>1</v>
      </c>
      <c r="BA457" s="16">
        <v>0</v>
      </c>
    </row>
    <row r="458" spans="1:53" x14ac:dyDescent="0.2">
      <c r="A458" s="14"/>
      <c r="B458" s="14" t="str">
        <f t="shared" ref="B458:B521" si="157">+IF(A458="",B457,A458&amp;" "&amp;D458)</f>
        <v>Anthoff et al. 2009</v>
      </c>
      <c r="C458" s="61">
        <f t="shared" ref="C458:C521" si="158">+IF(A458="",C457,C457+1)</f>
        <v>53</v>
      </c>
      <c r="D458" s="58">
        <v>2009</v>
      </c>
      <c r="E458" s="17"/>
      <c r="F458" s="58">
        <v>1</v>
      </c>
      <c r="G458" s="16">
        <v>1995</v>
      </c>
      <c r="H458" s="15">
        <f>LOOKUP(G458,CPI!A$69:A$100,CPI!O$69:O$100)</f>
        <v>1.4308136482939633</v>
      </c>
      <c r="I458" s="69">
        <v>2010</v>
      </c>
      <c r="J458" s="15">
        <f t="shared" si="156"/>
        <v>3.0303030303030304E-2</v>
      </c>
      <c r="K458" s="15"/>
      <c r="L458" s="62"/>
      <c r="M458" s="56">
        <f t="shared" si="134"/>
        <v>185.94891353055243</v>
      </c>
      <c r="N458" s="14">
        <v>111.5</v>
      </c>
      <c r="O458" s="18">
        <f t="shared" si="153"/>
        <v>111.5</v>
      </c>
      <c r="P458" s="16">
        <v>0</v>
      </c>
      <c r="Q458" s="16">
        <v>1</v>
      </c>
      <c r="R458" s="16">
        <v>0</v>
      </c>
      <c r="S458" s="14"/>
      <c r="T458" s="56" t="str">
        <f t="shared" si="140"/>
        <v/>
      </c>
      <c r="U458" s="56" t="str">
        <f t="shared" si="154"/>
        <v/>
      </c>
      <c r="V458" s="56" t="str">
        <f t="shared" si="155"/>
        <v/>
      </c>
      <c r="W458" s="14"/>
      <c r="X458" s="14"/>
      <c r="Y458" s="14"/>
      <c r="Z458" s="14"/>
      <c r="AA458" s="18">
        <f t="shared" si="129"/>
        <v>111.5</v>
      </c>
      <c r="AB458" s="14"/>
      <c r="AC458" s="14"/>
      <c r="AD458" s="14"/>
      <c r="AE458" s="14"/>
      <c r="AF458" s="16">
        <v>0</v>
      </c>
      <c r="AG458" s="16">
        <v>1</v>
      </c>
      <c r="AH458" s="16">
        <v>1</v>
      </c>
      <c r="AI458" s="16">
        <v>1</v>
      </c>
      <c r="AJ458" s="5">
        <v>1</v>
      </c>
      <c r="AK458" s="5">
        <v>0</v>
      </c>
      <c r="AL458" s="5">
        <v>0</v>
      </c>
      <c r="AM458" s="20"/>
      <c r="AN458" s="20">
        <v>0</v>
      </c>
      <c r="AO458" s="14"/>
      <c r="AP458" s="14"/>
      <c r="AQ458" s="16"/>
      <c r="AR458" s="16">
        <v>0</v>
      </c>
      <c r="AS458" s="16">
        <v>1</v>
      </c>
      <c r="AT458" s="16"/>
      <c r="AU458" s="16"/>
      <c r="AV458" s="16"/>
      <c r="AW458" s="16"/>
      <c r="AX458" s="16">
        <v>0</v>
      </c>
      <c r="AY458" s="16">
        <v>0</v>
      </c>
      <c r="AZ458" s="16">
        <v>1</v>
      </c>
      <c r="BA458" s="16">
        <v>0</v>
      </c>
    </row>
    <row r="459" spans="1:53" x14ac:dyDescent="0.2">
      <c r="A459" s="14"/>
      <c r="B459" s="14" t="str">
        <f t="shared" si="157"/>
        <v>Anthoff et al. 2009</v>
      </c>
      <c r="C459" s="61">
        <f t="shared" si="158"/>
        <v>53</v>
      </c>
      <c r="D459" s="58">
        <v>2009</v>
      </c>
      <c r="E459" s="17"/>
      <c r="F459" s="58">
        <v>1</v>
      </c>
      <c r="G459" s="16">
        <v>1995</v>
      </c>
      <c r="H459" s="15">
        <f>LOOKUP(G459,CPI!A$69:A$100,CPI!O$69:O$100)</f>
        <v>1.4308136482939633</v>
      </c>
      <c r="I459" s="69">
        <v>2010</v>
      </c>
      <c r="J459" s="15">
        <f t="shared" si="156"/>
        <v>3.0303030303030304E-2</v>
      </c>
      <c r="K459" s="15"/>
      <c r="L459" s="62"/>
      <c r="M459" s="56">
        <f t="shared" si="134"/>
        <v>21.846912710764457</v>
      </c>
      <c r="N459" s="14">
        <v>13.1</v>
      </c>
      <c r="O459" s="18">
        <f t="shared" si="153"/>
        <v>13.1</v>
      </c>
      <c r="P459" s="16">
        <v>0</v>
      </c>
      <c r="Q459" s="16">
        <v>1</v>
      </c>
      <c r="R459" s="16">
        <v>0</v>
      </c>
      <c r="S459" s="14"/>
      <c r="T459" s="56" t="str">
        <f t="shared" si="140"/>
        <v/>
      </c>
      <c r="U459" s="56" t="str">
        <f t="shared" si="154"/>
        <v/>
      </c>
      <c r="V459" s="56" t="str">
        <f t="shared" si="155"/>
        <v/>
      </c>
      <c r="W459" s="14"/>
      <c r="X459" s="14"/>
      <c r="Y459" s="14"/>
      <c r="Z459" s="14"/>
      <c r="AA459" s="18">
        <f t="shared" si="129"/>
        <v>13.1</v>
      </c>
      <c r="AB459" s="14"/>
      <c r="AC459" s="14"/>
      <c r="AD459" s="14"/>
      <c r="AE459" s="14"/>
      <c r="AF459" s="16">
        <v>0</v>
      </c>
      <c r="AG459" s="16">
        <v>1</v>
      </c>
      <c r="AH459" s="16">
        <v>1</v>
      </c>
      <c r="AI459" s="16">
        <v>1</v>
      </c>
      <c r="AJ459" s="5">
        <v>1</v>
      </c>
      <c r="AK459" s="5">
        <v>0</v>
      </c>
      <c r="AL459" s="5">
        <v>0</v>
      </c>
      <c r="AM459" s="20"/>
      <c r="AN459" s="20">
        <v>0</v>
      </c>
      <c r="AO459" s="14"/>
      <c r="AP459" s="14"/>
      <c r="AQ459" s="16"/>
      <c r="AR459" s="16">
        <v>0</v>
      </c>
      <c r="AS459" s="16">
        <v>1</v>
      </c>
      <c r="AT459" s="16"/>
      <c r="AU459" s="16"/>
      <c r="AV459" s="16"/>
      <c r="AW459" s="16"/>
      <c r="AX459" s="16">
        <v>0</v>
      </c>
      <c r="AY459" s="16">
        <v>0</v>
      </c>
      <c r="AZ459" s="16">
        <v>1</v>
      </c>
      <c r="BA459" s="16">
        <v>0</v>
      </c>
    </row>
    <row r="460" spans="1:53" x14ac:dyDescent="0.2">
      <c r="A460" s="14"/>
      <c r="B460" s="14" t="str">
        <f t="shared" si="157"/>
        <v>Anthoff et al. 2009</v>
      </c>
      <c r="C460" s="61">
        <f t="shared" si="158"/>
        <v>53</v>
      </c>
      <c r="D460" s="58">
        <v>2009</v>
      </c>
      <c r="E460" s="17"/>
      <c r="F460" s="58">
        <v>1</v>
      </c>
      <c r="G460" s="16">
        <v>1995</v>
      </c>
      <c r="H460" s="15">
        <f>LOOKUP(G460,CPI!A$69:A$100,CPI!O$69:O$100)</f>
        <v>1.4308136482939633</v>
      </c>
      <c r="I460" s="69">
        <v>2010</v>
      </c>
      <c r="J460" s="15">
        <f t="shared" si="156"/>
        <v>3.0303030303030304E-2</v>
      </c>
      <c r="K460" s="15"/>
      <c r="L460" s="62"/>
      <c r="M460" s="56">
        <f t="shared" si="134"/>
        <v>116.40568757338617</v>
      </c>
      <c r="N460" s="14">
        <v>69.8</v>
      </c>
      <c r="O460" s="18">
        <f t="shared" si="153"/>
        <v>69.8</v>
      </c>
      <c r="P460" s="16">
        <v>0</v>
      </c>
      <c r="Q460" s="16">
        <v>1</v>
      </c>
      <c r="R460" s="16">
        <v>0</v>
      </c>
      <c r="S460" s="14"/>
      <c r="T460" s="56" t="str">
        <f t="shared" si="140"/>
        <v/>
      </c>
      <c r="U460" s="56" t="str">
        <f t="shared" si="154"/>
        <v/>
      </c>
      <c r="V460" s="56" t="str">
        <f t="shared" si="155"/>
        <v/>
      </c>
      <c r="W460" s="14"/>
      <c r="X460" s="14"/>
      <c r="Y460" s="14"/>
      <c r="Z460" s="14"/>
      <c r="AA460" s="18">
        <f t="shared" si="129"/>
        <v>69.8</v>
      </c>
      <c r="AB460" s="14"/>
      <c r="AC460" s="14"/>
      <c r="AD460" s="14"/>
      <c r="AE460" s="14"/>
      <c r="AF460" s="16">
        <v>0</v>
      </c>
      <c r="AG460" s="16">
        <v>1</v>
      </c>
      <c r="AH460" s="16">
        <v>1</v>
      </c>
      <c r="AI460" s="16">
        <v>1</v>
      </c>
      <c r="AJ460" s="5">
        <v>1</v>
      </c>
      <c r="AK460" s="5">
        <v>0</v>
      </c>
      <c r="AL460" s="5">
        <v>0</v>
      </c>
      <c r="AM460" s="20"/>
      <c r="AN460" s="20">
        <v>0</v>
      </c>
      <c r="AO460" s="14"/>
      <c r="AP460" s="14"/>
      <c r="AQ460" s="16"/>
      <c r="AR460" s="16">
        <v>0</v>
      </c>
      <c r="AS460" s="16">
        <v>1</v>
      </c>
      <c r="AT460" s="16"/>
      <c r="AU460" s="16"/>
      <c r="AV460" s="16"/>
      <c r="AW460" s="16"/>
      <c r="AX460" s="16">
        <v>0</v>
      </c>
      <c r="AY460" s="16">
        <v>0</v>
      </c>
      <c r="AZ460" s="16">
        <v>1</v>
      </c>
      <c r="BA460" s="16">
        <v>0</v>
      </c>
    </row>
    <row r="461" spans="1:53" x14ac:dyDescent="0.2">
      <c r="A461" s="14"/>
      <c r="B461" s="14" t="str">
        <f t="shared" si="157"/>
        <v>Anthoff et al. 2009</v>
      </c>
      <c r="C461" s="61">
        <f t="shared" si="158"/>
        <v>53</v>
      </c>
      <c r="D461" s="58">
        <v>2009</v>
      </c>
      <c r="E461" s="17"/>
      <c r="F461" s="58">
        <v>1</v>
      </c>
      <c r="G461" s="16">
        <v>1995</v>
      </c>
      <c r="H461" s="15">
        <f>LOOKUP(G461,CPI!A$69:A$100,CPI!O$69:O$100)</f>
        <v>1.4308136482939633</v>
      </c>
      <c r="I461" s="69">
        <v>2010</v>
      </c>
      <c r="J461" s="15">
        <f t="shared" si="156"/>
        <v>3.0303030303030304E-2</v>
      </c>
      <c r="K461" s="15"/>
      <c r="L461" s="62"/>
      <c r="M461" s="56">
        <f t="shared" si="134"/>
        <v>25.015548905455482</v>
      </c>
      <c r="N461" s="14">
        <v>15</v>
      </c>
      <c r="O461" s="18">
        <f t="shared" si="153"/>
        <v>15</v>
      </c>
      <c r="P461" s="16">
        <v>0</v>
      </c>
      <c r="Q461" s="16">
        <v>1</v>
      </c>
      <c r="R461" s="16">
        <v>0</v>
      </c>
      <c r="S461" s="14"/>
      <c r="T461" s="56" t="str">
        <f t="shared" si="140"/>
        <v/>
      </c>
      <c r="U461" s="56" t="str">
        <f t="shared" si="154"/>
        <v/>
      </c>
      <c r="V461" s="56" t="str">
        <f t="shared" si="155"/>
        <v/>
      </c>
      <c r="W461" s="14"/>
      <c r="X461" s="14"/>
      <c r="Y461" s="14"/>
      <c r="Z461" s="14"/>
      <c r="AA461" s="18">
        <f t="shared" si="129"/>
        <v>15</v>
      </c>
      <c r="AB461" s="14"/>
      <c r="AC461" s="14"/>
      <c r="AD461" s="14"/>
      <c r="AE461" s="14"/>
      <c r="AF461" s="16">
        <v>0</v>
      </c>
      <c r="AG461" s="16">
        <v>1</v>
      </c>
      <c r="AH461" s="16">
        <v>1</v>
      </c>
      <c r="AI461" s="16">
        <v>1</v>
      </c>
      <c r="AJ461" s="5">
        <v>1</v>
      </c>
      <c r="AK461" s="5">
        <v>0</v>
      </c>
      <c r="AL461" s="5">
        <v>0</v>
      </c>
      <c r="AM461" s="20"/>
      <c r="AN461" s="20">
        <v>1</v>
      </c>
      <c r="AO461" s="14"/>
      <c r="AP461" s="14"/>
      <c r="AQ461" s="16"/>
      <c r="AR461" s="16">
        <v>0</v>
      </c>
      <c r="AS461" s="16">
        <v>1</v>
      </c>
      <c r="AT461" s="16"/>
      <c r="AU461" s="16"/>
      <c r="AV461" s="16"/>
      <c r="AW461" s="16"/>
      <c r="AX461" s="16">
        <v>0</v>
      </c>
      <c r="AY461" s="16">
        <v>0</v>
      </c>
      <c r="AZ461" s="16">
        <v>1</v>
      </c>
      <c r="BA461" s="16">
        <v>0</v>
      </c>
    </row>
    <row r="462" spans="1:53" x14ac:dyDescent="0.2">
      <c r="A462" s="14"/>
      <c r="B462" s="14" t="str">
        <f t="shared" si="157"/>
        <v>Anthoff et al. 2009</v>
      </c>
      <c r="C462" s="61">
        <f t="shared" si="158"/>
        <v>53</v>
      </c>
      <c r="D462" s="58">
        <v>2009</v>
      </c>
      <c r="E462" s="17"/>
      <c r="F462" s="58">
        <v>1</v>
      </c>
      <c r="G462" s="16">
        <v>1995</v>
      </c>
      <c r="H462" s="15">
        <f>LOOKUP(G462,CPI!A$69:A$100,CPI!O$69:O$100)</f>
        <v>1.4308136482939633</v>
      </c>
      <c r="I462" s="69">
        <v>2010</v>
      </c>
      <c r="J462" s="15">
        <f t="shared" si="156"/>
        <v>3.0303030303030304E-2</v>
      </c>
      <c r="K462" s="15"/>
      <c r="L462" s="62"/>
      <c r="M462" s="56">
        <f t="shared" si="134"/>
        <v>5.836961411272946</v>
      </c>
      <c r="N462" s="14">
        <v>3.5</v>
      </c>
      <c r="O462" s="18">
        <f t="shared" si="153"/>
        <v>3.5</v>
      </c>
      <c r="P462" s="16">
        <v>0</v>
      </c>
      <c r="Q462" s="16">
        <v>1</v>
      </c>
      <c r="R462" s="16">
        <v>0</v>
      </c>
      <c r="S462" s="14"/>
      <c r="T462" s="56" t="str">
        <f t="shared" si="140"/>
        <v/>
      </c>
      <c r="U462" s="56" t="str">
        <f t="shared" si="154"/>
        <v/>
      </c>
      <c r="V462" s="56" t="str">
        <f t="shared" si="155"/>
        <v/>
      </c>
      <c r="W462" s="14"/>
      <c r="X462" s="14"/>
      <c r="Y462" s="14"/>
      <c r="Z462" s="14"/>
      <c r="AA462" s="18">
        <f t="shared" si="129"/>
        <v>3.5</v>
      </c>
      <c r="AB462" s="14"/>
      <c r="AC462" s="14"/>
      <c r="AD462" s="14"/>
      <c r="AE462" s="14"/>
      <c r="AF462" s="16">
        <v>0</v>
      </c>
      <c r="AG462" s="16">
        <v>1</v>
      </c>
      <c r="AH462" s="16">
        <v>1</v>
      </c>
      <c r="AI462" s="16">
        <v>1</v>
      </c>
      <c r="AJ462" s="5">
        <v>1</v>
      </c>
      <c r="AK462" s="5">
        <v>0</v>
      </c>
      <c r="AL462" s="5">
        <v>0</v>
      </c>
      <c r="AM462" s="20"/>
      <c r="AN462" s="20">
        <v>1</v>
      </c>
      <c r="AO462" s="14"/>
      <c r="AP462" s="14"/>
      <c r="AQ462" s="16"/>
      <c r="AR462" s="16">
        <v>0</v>
      </c>
      <c r="AS462" s="16">
        <v>1</v>
      </c>
      <c r="AT462" s="16"/>
      <c r="AU462" s="16"/>
      <c r="AV462" s="16"/>
      <c r="AW462" s="16"/>
      <c r="AX462" s="16">
        <v>0</v>
      </c>
      <c r="AY462" s="16">
        <v>0</v>
      </c>
      <c r="AZ462" s="16">
        <v>1</v>
      </c>
      <c r="BA462" s="16">
        <v>0</v>
      </c>
    </row>
    <row r="463" spans="1:53" x14ac:dyDescent="0.2">
      <c r="A463" s="14"/>
      <c r="B463" s="14" t="str">
        <f t="shared" si="157"/>
        <v>Anthoff et al. 2009</v>
      </c>
      <c r="C463" s="61">
        <f t="shared" si="158"/>
        <v>53</v>
      </c>
      <c r="D463" s="58">
        <v>2009</v>
      </c>
      <c r="E463" s="17"/>
      <c r="F463" s="58">
        <v>1</v>
      </c>
      <c r="G463" s="16">
        <v>1995</v>
      </c>
      <c r="H463" s="15">
        <f>LOOKUP(G463,CPI!A$69:A$100,CPI!O$69:O$100)</f>
        <v>1.4308136482939633</v>
      </c>
      <c r="I463" s="69">
        <v>2010</v>
      </c>
      <c r="J463" s="15">
        <f t="shared" si="156"/>
        <v>3.0303030303030304E-2</v>
      </c>
      <c r="K463" s="15"/>
      <c r="L463" s="62"/>
      <c r="M463" s="56">
        <f t="shared" si="134"/>
        <v>36.355931075928638</v>
      </c>
      <c r="N463" s="14">
        <v>21.8</v>
      </c>
      <c r="O463" s="18">
        <f t="shared" si="153"/>
        <v>21.8</v>
      </c>
      <c r="P463" s="16">
        <v>0</v>
      </c>
      <c r="Q463" s="16">
        <v>1</v>
      </c>
      <c r="R463" s="16">
        <v>0</v>
      </c>
      <c r="S463" s="14"/>
      <c r="T463" s="56" t="str">
        <f t="shared" si="140"/>
        <v/>
      </c>
      <c r="U463" s="56" t="str">
        <f t="shared" si="154"/>
        <v/>
      </c>
      <c r="V463" s="56" t="str">
        <f t="shared" si="155"/>
        <v/>
      </c>
      <c r="W463" s="14"/>
      <c r="X463" s="14"/>
      <c r="Y463" s="14"/>
      <c r="Z463" s="14"/>
      <c r="AA463" s="18">
        <f t="shared" si="129"/>
        <v>21.8</v>
      </c>
      <c r="AB463" s="14"/>
      <c r="AC463" s="14"/>
      <c r="AD463" s="14"/>
      <c r="AE463" s="14"/>
      <c r="AF463" s="16">
        <v>0</v>
      </c>
      <c r="AG463" s="16">
        <v>1</v>
      </c>
      <c r="AH463" s="16">
        <v>1</v>
      </c>
      <c r="AI463" s="16">
        <v>1</v>
      </c>
      <c r="AJ463" s="5">
        <v>1</v>
      </c>
      <c r="AK463" s="5">
        <v>0</v>
      </c>
      <c r="AL463" s="5">
        <v>0</v>
      </c>
      <c r="AM463" s="20"/>
      <c r="AN463" s="20">
        <v>1</v>
      </c>
      <c r="AO463" s="14"/>
      <c r="AP463" s="14"/>
      <c r="AQ463" s="16"/>
      <c r="AR463" s="16">
        <v>0</v>
      </c>
      <c r="AS463" s="16">
        <v>1</v>
      </c>
      <c r="AT463" s="16"/>
      <c r="AU463" s="16"/>
      <c r="AV463" s="16"/>
      <c r="AW463" s="16"/>
      <c r="AX463" s="16">
        <v>0</v>
      </c>
      <c r="AY463" s="16">
        <v>0</v>
      </c>
      <c r="AZ463" s="16">
        <v>1</v>
      </c>
      <c r="BA463" s="16">
        <v>0</v>
      </c>
    </row>
    <row r="464" spans="1:53" x14ac:dyDescent="0.2">
      <c r="A464" s="14"/>
      <c r="B464" s="14" t="str">
        <f t="shared" si="157"/>
        <v>Anthoff et al. 2009</v>
      </c>
      <c r="C464" s="61">
        <f t="shared" si="158"/>
        <v>53</v>
      </c>
      <c r="D464" s="58">
        <v>2009</v>
      </c>
      <c r="E464" s="17"/>
      <c r="F464" s="58">
        <v>1</v>
      </c>
      <c r="G464" s="16">
        <v>1995</v>
      </c>
      <c r="H464" s="15">
        <f>LOOKUP(G464,CPI!A$69:A$100,CPI!O$69:O$100)</f>
        <v>1.4308136482939633</v>
      </c>
      <c r="I464" s="69">
        <v>2010</v>
      </c>
      <c r="J464" s="15">
        <f t="shared" si="156"/>
        <v>3.0303030303030304E-2</v>
      </c>
      <c r="K464" s="15"/>
      <c r="L464" s="62"/>
      <c r="M464" s="56">
        <f t="shared" si="134"/>
        <v>-2.6683252165819185</v>
      </c>
      <c r="N464" s="14">
        <v>-1.6</v>
      </c>
      <c r="O464" s="18">
        <f t="shared" si="153"/>
        <v>-1.6</v>
      </c>
      <c r="P464" s="16">
        <v>0</v>
      </c>
      <c r="Q464" s="16">
        <v>1</v>
      </c>
      <c r="R464" s="16">
        <v>0</v>
      </c>
      <c r="S464" s="14"/>
      <c r="T464" s="56" t="str">
        <f t="shared" si="140"/>
        <v/>
      </c>
      <c r="U464" s="56" t="str">
        <f t="shared" si="154"/>
        <v/>
      </c>
      <c r="V464" s="56" t="str">
        <f t="shared" si="155"/>
        <v/>
      </c>
      <c r="W464" s="14"/>
      <c r="X464" s="14"/>
      <c r="Y464" s="14"/>
      <c r="Z464" s="14"/>
      <c r="AA464" s="18">
        <f t="shared" si="129"/>
        <v>-1.6</v>
      </c>
      <c r="AB464" s="14"/>
      <c r="AC464" s="14"/>
      <c r="AD464" s="14"/>
      <c r="AE464" s="14"/>
      <c r="AF464" s="16">
        <v>0</v>
      </c>
      <c r="AG464" s="16">
        <v>1</v>
      </c>
      <c r="AH464" s="16">
        <v>1</v>
      </c>
      <c r="AI464" s="16">
        <v>1</v>
      </c>
      <c r="AJ464" s="5">
        <v>1</v>
      </c>
      <c r="AK464" s="5">
        <v>0</v>
      </c>
      <c r="AL464" s="5">
        <v>0</v>
      </c>
      <c r="AM464" s="20"/>
      <c r="AN464" s="20">
        <v>1</v>
      </c>
      <c r="AO464" s="14"/>
      <c r="AP464" s="14"/>
      <c r="AQ464" s="16"/>
      <c r="AR464" s="16">
        <v>0</v>
      </c>
      <c r="AS464" s="16">
        <v>1</v>
      </c>
      <c r="AT464" s="16"/>
      <c r="AU464" s="16"/>
      <c r="AV464" s="16"/>
      <c r="AW464" s="16"/>
      <c r="AX464" s="16">
        <v>0</v>
      </c>
      <c r="AY464" s="16">
        <v>0</v>
      </c>
      <c r="AZ464" s="16">
        <v>1</v>
      </c>
      <c r="BA464" s="16">
        <v>0</v>
      </c>
    </row>
    <row r="465" spans="1:53" x14ac:dyDescent="0.2">
      <c r="A465" s="14"/>
      <c r="B465" s="14" t="str">
        <f t="shared" si="157"/>
        <v>Anthoff et al. 2009</v>
      </c>
      <c r="C465" s="61">
        <f t="shared" si="158"/>
        <v>53</v>
      </c>
      <c r="D465" s="58">
        <v>2009</v>
      </c>
      <c r="E465" s="17"/>
      <c r="F465" s="58">
        <v>1</v>
      </c>
      <c r="G465" s="16">
        <v>1995</v>
      </c>
      <c r="H465" s="15">
        <f>LOOKUP(G465,CPI!A$69:A$100,CPI!O$69:O$100)</f>
        <v>1.4308136482939633</v>
      </c>
      <c r="I465" s="69">
        <v>2010</v>
      </c>
      <c r="J465" s="15">
        <f t="shared" si="156"/>
        <v>3.0303030303030304E-2</v>
      </c>
      <c r="K465" s="15"/>
      <c r="L465" s="62"/>
      <c r="M465" s="56">
        <f t="shared" si="134"/>
        <v>21.179831406618973</v>
      </c>
      <c r="N465" s="14">
        <v>12.7</v>
      </c>
      <c r="O465" s="18">
        <f t="shared" si="153"/>
        <v>12.7</v>
      </c>
      <c r="P465" s="16">
        <v>0</v>
      </c>
      <c r="Q465" s="16">
        <v>1</v>
      </c>
      <c r="R465" s="16">
        <v>0</v>
      </c>
      <c r="S465" s="14"/>
      <c r="T465" s="56" t="str">
        <f t="shared" si="140"/>
        <v/>
      </c>
      <c r="U465" s="56" t="str">
        <f t="shared" si="154"/>
        <v/>
      </c>
      <c r="V465" s="56" t="str">
        <f t="shared" si="155"/>
        <v/>
      </c>
      <c r="W465" s="14"/>
      <c r="X465" s="14"/>
      <c r="Y465" s="14"/>
      <c r="Z465" s="14"/>
      <c r="AA465" s="18">
        <f t="shared" si="129"/>
        <v>12.7</v>
      </c>
      <c r="AB465" s="14"/>
      <c r="AC465" s="14"/>
      <c r="AD465" s="14"/>
      <c r="AE465" s="14"/>
      <c r="AF465" s="16">
        <v>0</v>
      </c>
      <c r="AG465" s="16">
        <v>1</v>
      </c>
      <c r="AH465" s="16">
        <v>1</v>
      </c>
      <c r="AI465" s="16">
        <v>1</v>
      </c>
      <c r="AJ465" s="5">
        <v>1</v>
      </c>
      <c r="AK465" s="5">
        <v>0</v>
      </c>
      <c r="AL465" s="5">
        <v>0</v>
      </c>
      <c r="AM465" s="20"/>
      <c r="AN465" s="20">
        <v>1</v>
      </c>
      <c r="AO465" s="14"/>
      <c r="AP465" s="14"/>
      <c r="AQ465" s="16"/>
      <c r="AR465" s="16">
        <v>0</v>
      </c>
      <c r="AS465" s="16">
        <v>1</v>
      </c>
      <c r="AT465" s="16"/>
      <c r="AU465" s="16"/>
      <c r="AV465" s="16"/>
      <c r="AW465" s="16"/>
      <c r="AX465" s="16">
        <v>0</v>
      </c>
      <c r="AY465" s="16">
        <v>0</v>
      </c>
      <c r="AZ465" s="16">
        <v>1</v>
      </c>
      <c r="BA465" s="16">
        <v>0</v>
      </c>
    </row>
    <row r="466" spans="1:53" x14ac:dyDescent="0.2">
      <c r="A466" s="14"/>
      <c r="B466" s="14" t="str">
        <f t="shared" si="157"/>
        <v>Anthoff et al. 2009</v>
      </c>
      <c r="C466" s="61">
        <f t="shared" si="158"/>
        <v>53</v>
      </c>
      <c r="D466" s="58">
        <v>2009</v>
      </c>
      <c r="E466" s="17"/>
      <c r="F466" s="58">
        <v>1</v>
      </c>
      <c r="G466" s="16">
        <v>1995</v>
      </c>
      <c r="H466" s="15">
        <f>LOOKUP(G466,CPI!A$69:A$100,CPI!O$69:O$100)</f>
        <v>1.4308136482939633</v>
      </c>
      <c r="I466" s="69">
        <v>2010</v>
      </c>
      <c r="J466" s="15">
        <f t="shared" si="156"/>
        <v>3.0303030303030304E-2</v>
      </c>
      <c r="K466" s="15"/>
      <c r="L466" s="62"/>
      <c r="M466" s="56">
        <f t="shared" si="134"/>
        <v>-4.336028476945617</v>
      </c>
      <c r="N466" s="14">
        <v>-2.6</v>
      </c>
      <c r="O466" s="18">
        <f t="shared" si="153"/>
        <v>-2.6</v>
      </c>
      <c r="P466" s="16">
        <v>0</v>
      </c>
      <c r="Q466" s="16">
        <v>1</v>
      </c>
      <c r="R466" s="16">
        <v>0</v>
      </c>
      <c r="S466" s="14"/>
      <c r="T466" s="56" t="str">
        <f t="shared" si="140"/>
        <v/>
      </c>
      <c r="U466" s="56" t="str">
        <f t="shared" si="154"/>
        <v/>
      </c>
      <c r="V466" s="56" t="str">
        <f t="shared" si="155"/>
        <v/>
      </c>
      <c r="W466" s="14"/>
      <c r="X466" s="14"/>
      <c r="Y466" s="14"/>
      <c r="Z466" s="14"/>
      <c r="AA466" s="18">
        <f t="shared" si="129"/>
        <v>-2.6</v>
      </c>
      <c r="AB466" s="14"/>
      <c r="AC466" s="14"/>
      <c r="AD466" s="14"/>
      <c r="AE466" s="14"/>
      <c r="AF466" s="16">
        <v>0</v>
      </c>
      <c r="AG466" s="16">
        <v>1</v>
      </c>
      <c r="AH466" s="16">
        <v>1</v>
      </c>
      <c r="AI466" s="16">
        <v>1</v>
      </c>
      <c r="AJ466" s="5">
        <v>1</v>
      </c>
      <c r="AK466" s="5">
        <v>0</v>
      </c>
      <c r="AL466" s="5">
        <v>0</v>
      </c>
      <c r="AM466" s="20"/>
      <c r="AN466" s="20">
        <v>3</v>
      </c>
      <c r="AO466" s="14"/>
      <c r="AP466" s="14"/>
      <c r="AQ466" s="16"/>
      <c r="AR466" s="16">
        <v>0</v>
      </c>
      <c r="AS466" s="16">
        <v>1</v>
      </c>
      <c r="AT466" s="16"/>
      <c r="AU466" s="16"/>
      <c r="AV466" s="16"/>
      <c r="AW466" s="16"/>
      <c r="AX466" s="16">
        <v>0</v>
      </c>
      <c r="AY466" s="16">
        <v>0</v>
      </c>
      <c r="AZ466" s="16">
        <v>1</v>
      </c>
      <c r="BA466" s="16">
        <v>0</v>
      </c>
    </row>
    <row r="467" spans="1:53" x14ac:dyDescent="0.2">
      <c r="A467" s="14"/>
      <c r="B467" s="14" t="str">
        <f t="shared" si="157"/>
        <v>Anthoff et al. 2009</v>
      </c>
      <c r="C467" s="61">
        <f t="shared" si="158"/>
        <v>53</v>
      </c>
      <c r="D467" s="58">
        <v>2009</v>
      </c>
      <c r="E467" s="17"/>
      <c r="F467" s="58">
        <v>1</v>
      </c>
      <c r="G467" s="16">
        <v>1995</v>
      </c>
      <c r="H467" s="15">
        <f>LOOKUP(G467,CPI!A$69:A$100,CPI!O$69:O$100)</f>
        <v>1.4308136482939633</v>
      </c>
      <c r="I467" s="69">
        <v>2010</v>
      </c>
      <c r="J467" s="15">
        <f t="shared" si="156"/>
        <v>3.0303030303030304E-2</v>
      </c>
      <c r="K467" s="15"/>
      <c r="L467" s="62"/>
      <c r="M467" s="56">
        <f t="shared" si="134"/>
        <v>-6.3372723893820551</v>
      </c>
      <c r="N467" s="14">
        <v>-3.8</v>
      </c>
      <c r="O467" s="18">
        <f t="shared" si="153"/>
        <v>-3.8</v>
      </c>
      <c r="P467" s="16">
        <v>0</v>
      </c>
      <c r="Q467" s="16">
        <v>1</v>
      </c>
      <c r="R467" s="16">
        <v>0</v>
      </c>
      <c r="S467" s="14"/>
      <c r="T467" s="56" t="str">
        <f t="shared" si="140"/>
        <v/>
      </c>
      <c r="U467" s="56" t="str">
        <f t="shared" si="154"/>
        <v/>
      </c>
      <c r="V467" s="56" t="str">
        <f t="shared" si="155"/>
        <v/>
      </c>
      <c r="W467" s="14"/>
      <c r="X467" s="14"/>
      <c r="Y467" s="14"/>
      <c r="Z467" s="14"/>
      <c r="AA467" s="18">
        <f t="shared" si="129"/>
        <v>-3.8</v>
      </c>
      <c r="AB467" s="14"/>
      <c r="AC467" s="14"/>
      <c r="AD467" s="14"/>
      <c r="AE467" s="14"/>
      <c r="AF467" s="16">
        <v>0</v>
      </c>
      <c r="AG467" s="16">
        <v>1</v>
      </c>
      <c r="AH467" s="16">
        <v>1</v>
      </c>
      <c r="AI467" s="16">
        <v>1</v>
      </c>
      <c r="AJ467" s="5">
        <v>1</v>
      </c>
      <c r="AK467" s="5">
        <v>0</v>
      </c>
      <c r="AL467" s="5">
        <v>0</v>
      </c>
      <c r="AM467" s="20"/>
      <c r="AN467" s="20">
        <v>3</v>
      </c>
      <c r="AO467" s="14"/>
      <c r="AP467" s="14"/>
      <c r="AQ467" s="16"/>
      <c r="AR467" s="16">
        <v>0</v>
      </c>
      <c r="AS467" s="16">
        <v>1</v>
      </c>
      <c r="AT467" s="16"/>
      <c r="AU467" s="16"/>
      <c r="AV467" s="16"/>
      <c r="AW467" s="16"/>
      <c r="AX467" s="16">
        <v>0</v>
      </c>
      <c r="AY467" s="16">
        <v>0</v>
      </c>
      <c r="AZ467" s="16">
        <v>1</v>
      </c>
      <c r="BA467" s="16">
        <v>0</v>
      </c>
    </row>
    <row r="468" spans="1:53" x14ac:dyDescent="0.2">
      <c r="A468" s="14"/>
      <c r="B468" s="14" t="str">
        <f t="shared" si="157"/>
        <v>Anthoff et al. 2009</v>
      </c>
      <c r="C468" s="61">
        <f t="shared" si="158"/>
        <v>53</v>
      </c>
      <c r="D468" s="58">
        <v>2009</v>
      </c>
      <c r="E468" s="17"/>
      <c r="F468" s="58">
        <v>1</v>
      </c>
      <c r="G468" s="16">
        <v>1995</v>
      </c>
      <c r="H468" s="15">
        <f>LOOKUP(G468,CPI!A$69:A$100,CPI!O$69:O$100)</f>
        <v>1.4308136482939633</v>
      </c>
      <c r="I468" s="69">
        <v>2010</v>
      </c>
      <c r="J468" s="15">
        <f t="shared" si="156"/>
        <v>3.0303030303030304E-2</v>
      </c>
      <c r="K468" s="15"/>
      <c r="L468" s="62"/>
      <c r="M468" s="56">
        <f t="shared" si="134"/>
        <v>-4.002487824872877</v>
      </c>
      <c r="N468" s="14">
        <v>-2.4</v>
      </c>
      <c r="O468" s="18">
        <f t="shared" si="153"/>
        <v>-2.4</v>
      </c>
      <c r="P468" s="16">
        <v>0</v>
      </c>
      <c r="Q468" s="16">
        <v>1</v>
      </c>
      <c r="R468" s="16">
        <v>0</v>
      </c>
      <c r="S468" s="14"/>
      <c r="T468" s="56" t="str">
        <f t="shared" si="140"/>
        <v/>
      </c>
      <c r="U468" s="56" t="str">
        <f t="shared" si="154"/>
        <v/>
      </c>
      <c r="V468" s="56" t="str">
        <f t="shared" si="155"/>
        <v/>
      </c>
      <c r="W468" s="14"/>
      <c r="X468" s="14"/>
      <c r="Y468" s="14"/>
      <c r="Z468" s="14"/>
      <c r="AA468" s="18">
        <f t="shared" si="129"/>
        <v>-2.4</v>
      </c>
      <c r="AB468" s="14"/>
      <c r="AC468" s="14"/>
      <c r="AD468" s="14"/>
      <c r="AE468" s="14"/>
      <c r="AF468" s="16">
        <v>0</v>
      </c>
      <c r="AG468" s="16">
        <v>1</v>
      </c>
      <c r="AH468" s="16">
        <v>1</v>
      </c>
      <c r="AI468" s="16">
        <v>1</v>
      </c>
      <c r="AJ468" s="5">
        <v>1</v>
      </c>
      <c r="AK468" s="5">
        <v>0</v>
      </c>
      <c r="AL468" s="5">
        <v>0</v>
      </c>
      <c r="AM468" s="20"/>
      <c r="AN468" s="20">
        <v>3</v>
      </c>
      <c r="AO468" s="14"/>
      <c r="AP468" s="14"/>
      <c r="AQ468" s="16"/>
      <c r="AR468" s="16">
        <v>0</v>
      </c>
      <c r="AS468" s="16">
        <v>1</v>
      </c>
      <c r="AT468" s="16"/>
      <c r="AU468" s="16"/>
      <c r="AV468" s="16"/>
      <c r="AW468" s="16"/>
      <c r="AX468" s="16">
        <v>0</v>
      </c>
      <c r="AY468" s="16">
        <v>0</v>
      </c>
      <c r="AZ468" s="16">
        <v>1</v>
      </c>
      <c r="BA468" s="16">
        <v>0</v>
      </c>
    </row>
    <row r="469" spans="1:53" x14ac:dyDescent="0.2">
      <c r="A469" s="14"/>
      <c r="B469" s="14" t="str">
        <f t="shared" si="157"/>
        <v>Anthoff et al. 2009</v>
      </c>
      <c r="C469" s="61">
        <f t="shared" si="158"/>
        <v>53</v>
      </c>
      <c r="D469" s="58">
        <v>2009</v>
      </c>
      <c r="E469" s="17"/>
      <c r="F469" s="58">
        <v>1</v>
      </c>
      <c r="G469" s="16">
        <v>1995</v>
      </c>
      <c r="H469" s="15">
        <f>LOOKUP(G469,CPI!A$69:A$100,CPI!O$69:O$100)</f>
        <v>1.4308136482939633</v>
      </c>
      <c r="I469" s="69">
        <v>2010</v>
      </c>
      <c r="J469" s="15">
        <f t="shared" si="156"/>
        <v>3.0303030303030304E-2</v>
      </c>
      <c r="K469" s="15"/>
      <c r="L469" s="62"/>
      <c r="M469" s="56">
        <f t="shared" si="134"/>
        <v>-8.8388272799276031</v>
      </c>
      <c r="N469" s="14">
        <v>-5.3</v>
      </c>
      <c r="O469" s="18">
        <f t="shared" si="153"/>
        <v>-5.3</v>
      </c>
      <c r="P469" s="16">
        <v>0</v>
      </c>
      <c r="Q469" s="16">
        <v>1</v>
      </c>
      <c r="R469" s="16">
        <v>0</v>
      </c>
      <c r="S469" s="14"/>
      <c r="T469" s="56" t="str">
        <f t="shared" si="140"/>
        <v/>
      </c>
      <c r="U469" s="56" t="str">
        <f t="shared" si="154"/>
        <v/>
      </c>
      <c r="V469" s="56" t="str">
        <f t="shared" si="155"/>
        <v/>
      </c>
      <c r="W469" s="14"/>
      <c r="X469" s="14"/>
      <c r="Y469" s="14"/>
      <c r="Z469" s="14"/>
      <c r="AA469" s="18">
        <f t="shared" si="129"/>
        <v>-5.3</v>
      </c>
      <c r="AB469" s="14"/>
      <c r="AC469" s="14"/>
      <c r="AD469" s="14"/>
      <c r="AE469" s="14"/>
      <c r="AF469" s="16">
        <v>0</v>
      </c>
      <c r="AG469" s="16">
        <v>1</v>
      </c>
      <c r="AH469" s="16">
        <v>1</v>
      </c>
      <c r="AI469" s="16">
        <v>1</v>
      </c>
      <c r="AJ469" s="5">
        <v>1</v>
      </c>
      <c r="AK469" s="5">
        <v>0</v>
      </c>
      <c r="AL469" s="5">
        <v>0</v>
      </c>
      <c r="AM469" s="20"/>
      <c r="AN469" s="20">
        <v>3</v>
      </c>
      <c r="AO469" s="14"/>
      <c r="AP469" s="14"/>
      <c r="AQ469" s="16"/>
      <c r="AR469" s="16">
        <v>0</v>
      </c>
      <c r="AS469" s="16">
        <v>1</v>
      </c>
      <c r="AT469" s="16"/>
      <c r="AU469" s="16"/>
      <c r="AV469" s="16"/>
      <c r="AW469" s="16"/>
      <c r="AX469" s="16">
        <v>0</v>
      </c>
      <c r="AY469" s="16">
        <v>0</v>
      </c>
      <c r="AZ469" s="16">
        <v>1</v>
      </c>
      <c r="BA469" s="16">
        <v>0</v>
      </c>
    </row>
    <row r="470" spans="1:53" x14ac:dyDescent="0.2">
      <c r="A470" s="14"/>
      <c r="B470" s="14" t="str">
        <f t="shared" si="157"/>
        <v>Anthoff et al. 2009</v>
      </c>
      <c r="C470" s="61">
        <f t="shared" si="158"/>
        <v>53</v>
      </c>
      <c r="D470" s="58">
        <v>2009</v>
      </c>
      <c r="E470" s="17"/>
      <c r="F470" s="58">
        <v>1</v>
      </c>
      <c r="G470" s="16">
        <v>1995</v>
      </c>
      <c r="H470" s="15">
        <f>LOOKUP(G470,CPI!A$69:A$100,CPI!O$69:O$100)</f>
        <v>1.4308136482939633</v>
      </c>
      <c r="I470" s="69">
        <v>2010</v>
      </c>
      <c r="J470" s="15">
        <f t="shared" si="156"/>
        <v>3.0303030303030304E-2</v>
      </c>
      <c r="K470" s="15"/>
      <c r="L470" s="62"/>
      <c r="M470" s="56">
        <f t="shared" ref="M470:M501" si="159">AA470*H470*(1+$L$2)^(2015-I470)</f>
        <v>-5.1698801071274669</v>
      </c>
      <c r="N470" s="14">
        <v>-3.1</v>
      </c>
      <c r="O470" s="18">
        <f t="shared" si="153"/>
        <v>-3.1</v>
      </c>
      <c r="P470" s="16">
        <v>0</v>
      </c>
      <c r="Q470" s="16">
        <v>1</v>
      </c>
      <c r="R470" s="16">
        <v>0</v>
      </c>
      <c r="S470" s="14"/>
      <c r="T470" s="56" t="str">
        <f t="shared" si="140"/>
        <v/>
      </c>
      <c r="U470" s="56" t="str">
        <f t="shared" si="154"/>
        <v/>
      </c>
      <c r="V470" s="56" t="str">
        <f t="shared" si="155"/>
        <v/>
      </c>
      <c r="W470" s="14"/>
      <c r="X470" s="14"/>
      <c r="Y470" s="14"/>
      <c r="Z470" s="14"/>
      <c r="AA470" s="18">
        <f t="shared" ref="AA470:AA533" si="160">N470</f>
        <v>-3.1</v>
      </c>
      <c r="AB470" s="14"/>
      <c r="AC470" s="14"/>
      <c r="AD470" s="14"/>
      <c r="AE470" s="14"/>
      <c r="AF470" s="16">
        <v>0</v>
      </c>
      <c r="AG470" s="16">
        <v>1</v>
      </c>
      <c r="AH470" s="16">
        <v>1</v>
      </c>
      <c r="AI470" s="16">
        <v>1</v>
      </c>
      <c r="AJ470" s="5">
        <v>1</v>
      </c>
      <c r="AK470" s="5">
        <v>0</v>
      </c>
      <c r="AL470" s="5">
        <v>0</v>
      </c>
      <c r="AM470" s="20"/>
      <c r="AN470" s="20">
        <v>3</v>
      </c>
      <c r="AO470" s="14"/>
      <c r="AP470" s="16"/>
      <c r="AQ470" s="16"/>
      <c r="AR470" s="16">
        <v>0</v>
      </c>
      <c r="AS470" s="16">
        <v>1</v>
      </c>
      <c r="AT470" s="16"/>
      <c r="AU470" s="16"/>
      <c r="AV470" s="16"/>
      <c r="AW470" s="16"/>
      <c r="AX470" s="16">
        <v>0</v>
      </c>
      <c r="AY470" s="16">
        <v>0</v>
      </c>
      <c r="AZ470" s="16">
        <v>1</v>
      </c>
      <c r="BA470" s="16">
        <v>0</v>
      </c>
    </row>
    <row r="471" spans="1:53" x14ac:dyDescent="0.2">
      <c r="A471" s="14"/>
      <c r="B471" s="14" t="str">
        <f t="shared" si="157"/>
        <v>Anthoff et al. 2009</v>
      </c>
      <c r="C471" s="61">
        <f t="shared" si="158"/>
        <v>53</v>
      </c>
      <c r="D471" s="58">
        <v>2009</v>
      </c>
      <c r="E471" s="17"/>
      <c r="F471" s="58">
        <v>1</v>
      </c>
      <c r="G471" s="16">
        <v>1995</v>
      </c>
      <c r="H471" s="15">
        <f>LOOKUP(G471,CPI!A$69:A$100,CPI!O$69:O$100)</f>
        <v>1.4308136482939633</v>
      </c>
      <c r="I471" s="69">
        <v>2010</v>
      </c>
      <c r="J471" s="15">
        <f t="shared" si="156"/>
        <v>3.0303030303030304E-2</v>
      </c>
      <c r="K471" s="15"/>
      <c r="L471" s="62"/>
      <c r="M471" s="56">
        <f t="shared" si="159"/>
        <v>122.57618963673187</v>
      </c>
      <c r="N471" s="14">
        <v>73.5</v>
      </c>
      <c r="O471" s="18">
        <f t="shared" si="153"/>
        <v>73.5</v>
      </c>
      <c r="P471" s="16">
        <v>0</v>
      </c>
      <c r="Q471" s="16">
        <v>1</v>
      </c>
      <c r="R471" s="16">
        <v>0</v>
      </c>
      <c r="S471" s="14"/>
      <c r="T471" s="56" t="str">
        <f t="shared" si="140"/>
        <v/>
      </c>
      <c r="U471" s="56" t="str">
        <f t="shared" si="154"/>
        <v/>
      </c>
      <c r="V471" s="56" t="str">
        <f t="shared" si="155"/>
        <v/>
      </c>
      <c r="W471" s="14"/>
      <c r="X471" s="14"/>
      <c r="Y471" s="14"/>
      <c r="Z471" s="14"/>
      <c r="AA471" s="18">
        <f t="shared" si="160"/>
        <v>73.5</v>
      </c>
      <c r="AB471" s="14"/>
      <c r="AC471" s="14"/>
      <c r="AD471" s="14"/>
      <c r="AE471" s="14"/>
      <c r="AF471" s="16">
        <v>0</v>
      </c>
      <c r="AG471" s="16">
        <v>1</v>
      </c>
      <c r="AH471" s="16">
        <v>1</v>
      </c>
      <c r="AI471" s="16">
        <v>1</v>
      </c>
      <c r="AJ471" s="5">
        <v>1</v>
      </c>
      <c r="AK471" s="5">
        <v>0</v>
      </c>
      <c r="AL471" s="5">
        <v>0</v>
      </c>
      <c r="AM471" s="20"/>
      <c r="AN471" s="20">
        <v>0</v>
      </c>
      <c r="AO471" s="14"/>
      <c r="AP471" s="16"/>
      <c r="AQ471" s="16"/>
      <c r="AR471" s="16">
        <v>1</v>
      </c>
      <c r="AS471" s="16">
        <v>1</v>
      </c>
      <c r="AT471" s="16"/>
      <c r="AU471" s="16"/>
      <c r="AV471" s="16"/>
      <c r="AW471" s="16"/>
      <c r="AX471" s="16">
        <v>0</v>
      </c>
      <c r="AY471" s="16">
        <v>0</v>
      </c>
      <c r="AZ471" s="16">
        <v>1</v>
      </c>
      <c r="BA471" s="16">
        <v>0</v>
      </c>
    </row>
    <row r="472" spans="1:53" x14ac:dyDescent="0.2">
      <c r="A472" s="14"/>
      <c r="B472" s="14" t="str">
        <f t="shared" si="157"/>
        <v>Anthoff et al. 2009</v>
      </c>
      <c r="C472" s="61">
        <f t="shared" si="158"/>
        <v>53</v>
      </c>
      <c r="D472" s="58">
        <v>2009</v>
      </c>
      <c r="E472" s="17"/>
      <c r="F472" s="58">
        <v>1</v>
      </c>
      <c r="G472" s="16">
        <v>1995</v>
      </c>
      <c r="H472" s="15">
        <f>LOOKUP(G472,CPI!A$69:A$100,CPI!O$69:O$100)</f>
        <v>1.4308136482939633</v>
      </c>
      <c r="I472" s="69">
        <v>2010</v>
      </c>
      <c r="J472" s="15">
        <f t="shared" si="156"/>
        <v>3.0303030303030304E-2</v>
      </c>
      <c r="K472" s="15"/>
      <c r="L472" s="62"/>
      <c r="M472" s="56">
        <f t="shared" si="159"/>
        <v>43.693825421528913</v>
      </c>
      <c r="N472" s="14">
        <v>26.2</v>
      </c>
      <c r="O472" s="18">
        <f t="shared" si="153"/>
        <v>26.2</v>
      </c>
      <c r="P472" s="16">
        <v>0</v>
      </c>
      <c r="Q472" s="16">
        <v>1</v>
      </c>
      <c r="R472" s="16">
        <v>0</v>
      </c>
      <c r="S472" s="14"/>
      <c r="T472" s="56" t="str">
        <f t="shared" si="140"/>
        <v/>
      </c>
      <c r="U472" s="56" t="str">
        <f t="shared" si="154"/>
        <v/>
      </c>
      <c r="V472" s="56" t="str">
        <f t="shared" si="155"/>
        <v/>
      </c>
      <c r="W472" s="14"/>
      <c r="X472" s="14"/>
      <c r="Y472" s="14"/>
      <c r="Z472" s="14"/>
      <c r="AA472" s="18">
        <f t="shared" si="160"/>
        <v>26.2</v>
      </c>
      <c r="AB472" s="14"/>
      <c r="AC472" s="14"/>
      <c r="AD472" s="14"/>
      <c r="AE472" s="14"/>
      <c r="AF472" s="16">
        <v>0</v>
      </c>
      <c r="AG472" s="16">
        <v>1</v>
      </c>
      <c r="AH472" s="16">
        <v>1</v>
      </c>
      <c r="AI472" s="16">
        <v>1</v>
      </c>
      <c r="AJ472" s="5">
        <v>1</v>
      </c>
      <c r="AK472" s="5">
        <v>0</v>
      </c>
      <c r="AL472" s="5">
        <v>0</v>
      </c>
      <c r="AM472" s="20"/>
      <c r="AN472" s="20">
        <v>0</v>
      </c>
      <c r="AO472" s="14"/>
      <c r="AP472" s="16"/>
      <c r="AQ472" s="16"/>
      <c r="AR472" s="16">
        <v>1</v>
      </c>
      <c r="AS472" s="16">
        <v>1</v>
      </c>
      <c r="AT472" s="16"/>
      <c r="AU472" s="16"/>
      <c r="AV472" s="16"/>
      <c r="AW472" s="16"/>
      <c r="AX472" s="16">
        <v>0</v>
      </c>
      <c r="AY472" s="16">
        <v>0</v>
      </c>
      <c r="AZ472" s="16">
        <v>1</v>
      </c>
      <c r="BA472" s="16">
        <v>0</v>
      </c>
    </row>
    <row r="473" spans="1:53" x14ac:dyDescent="0.2">
      <c r="A473" s="14"/>
      <c r="B473" s="14" t="str">
        <f t="shared" si="157"/>
        <v>Anthoff et al. 2009</v>
      </c>
      <c r="C473" s="61">
        <f t="shared" si="158"/>
        <v>53</v>
      </c>
      <c r="D473" s="58">
        <v>2009</v>
      </c>
      <c r="E473" s="17"/>
      <c r="F473" s="58">
        <v>1</v>
      </c>
      <c r="G473" s="16">
        <v>1995</v>
      </c>
      <c r="H473" s="15">
        <f>LOOKUP(G473,CPI!A$69:A$100,CPI!O$69:O$100)</f>
        <v>1.4308136482939633</v>
      </c>
      <c r="I473" s="69">
        <v>2010</v>
      </c>
      <c r="J473" s="15">
        <f t="shared" si="156"/>
        <v>3.0303030303030304E-2</v>
      </c>
      <c r="K473" s="15"/>
      <c r="L473" s="62"/>
      <c r="M473" s="56">
        <f t="shared" si="159"/>
        <v>214.46663928277167</v>
      </c>
      <c r="N473" s="14">
        <v>128.6</v>
      </c>
      <c r="O473" s="18">
        <f t="shared" si="153"/>
        <v>128.6</v>
      </c>
      <c r="P473" s="16">
        <v>0</v>
      </c>
      <c r="Q473" s="16">
        <v>1</v>
      </c>
      <c r="R473" s="16">
        <v>0</v>
      </c>
      <c r="S473" s="14"/>
      <c r="T473" s="56" t="str">
        <f t="shared" si="140"/>
        <v/>
      </c>
      <c r="U473" s="56" t="str">
        <f t="shared" si="154"/>
        <v/>
      </c>
      <c r="V473" s="56" t="str">
        <f t="shared" si="155"/>
        <v/>
      </c>
      <c r="W473" s="14"/>
      <c r="X473" s="14"/>
      <c r="Y473" s="14"/>
      <c r="Z473" s="14"/>
      <c r="AA473" s="18">
        <f t="shared" si="160"/>
        <v>128.6</v>
      </c>
      <c r="AB473" s="14"/>
      <c r="AC473" s="14"/>
      <c r="AD473" s="14"/>
      <c r="AE473" s="14"/>
      <c r="AF473" s="16">
        <v>0</v>
      </c>
      <c r="AG473" s="16">
        <v>1</v>
      </c>
      <c r="AH473" s="16">
        <v>1</v>
      </c>
      <c r="AI473" s="16">
        <v>1</v>
      </c>
      <c r="AJ473" s="5">
        <v>1</v>
      </c>
      <c r="AK473" s="5">
        <v>0</v>
      </c>
      <c r="AL473" s="5">
        <v>0</v>
      </c>
      <c r="AM473" s="20"/>
      <c r="AN473" s="20">
        <v>0</v>
      </c>
      <c r="AO473" s="14"/>
      <c r="AP473" s="16"/>
      <c r="AQ473" s="16"/>
      <c r="AR473" s="16">
        <v>1</v>
      </c>
      <c r="AS473" s="16">
        <v>1</v>
      </c>
      <c r="AT473" s="16"/>
      <c r="AU473" s="16"/>
      <c r="AV473" s="16"/>
      <c r="AW473" s="16"/>
      <c r="AX473" s="16">
        <v>0</v>
      </c>
      <c r="AY473" s="16">
        <v>0</v>
      </c>
      <c r="AZ473" s="16">
        <v>1</v>
      </c>
      <c r="BA473" s="16">
        <v>0</v>
      </c>
    </row>
    <row r="474" spans="1:53" x14ac:dyDescent="0.2">
      <c r="A474" s="14"/>
      <c r="B474" s="14" t="str">
        <f t="shared" si="157"/>
        <v>Anthoff et al. 2009</v>
      </c>
      <c r="C474" s="61">
        <f t="shared" si="158"/>
        <v>53</v>
      </c>
      <c r="D474" s="58">
        <v>2009</v>
      </c>
      <c r="E474" s="17"/>
      <c r="F474" s="58">
        <v>1</v>
      </c>
      <c r="G474" s="16">
        <v>1995</v>
      </c>
      <c r="H474" s="15">
        <f>LOOKUP(G474,CPI!A$69:A$100,CPI!O$69:O$100)</f>
        <v>1.4308136482939633</v>
      </c>
      <c r="I474" s="69">
        <v>2010</v>
      </c>
      <c r="J474" s="15">
        <f t="shared" si="156"/>
        <v>3.0303030303030304E-2</v>
      </c>
      <c r="K474" s="15"/>
      <c r="L474" s="62"/>
      <c r="M474" s="56">
        <f t="shared" si="159"/>
        <v>20.345979776437126</v>
      </c>
      <c r="N474" s="14">
        <v>12.2</v>
      </c>
      <c r="O474" s="18">
        <f t="shared" si="153"/>
        <v>12.2</v>
      </c>
      <c r="P474" s="16">
        <v>0</v>
      </c>
      <c r="Q474" s="16">
        <v>1</v>
      </c>
      <c r="R474" s="16">
        <v>0</v>
      </c>
      <c r="S474" s="14"/>
      <c r="T474" s="56" t="str">
        <f t="shared" si="140"/>
        <v/>
      </c>
      <c r="U474" s="56" t="str">
        <f t="shared" si="154"/>
        <v/>
      </c>
      <c r="V474" s="56" t="str">
        <f t="shared" si="155"/>
        <v/>
      </c>
      <c r="W474" s="14"/>
      <c r="X474" s="14"/>
      <c r="Y474" s="14"/>
      <c r="Z474" s="14"/>
      <c r="AA474" s="18">
        <f t="shared" si="160"/>
        <v>12.2</v>
      </c>
      <c r="AB474" s="14"/>
      <c r="AC474" s="14"/>
      <c r="AD474" s="14"/>
      <c r="AE474" s="14"/>
      <c r="AF474" s="16">
        <v>0</v>
      </c>
      <c r="AG474" s="16">
        <v>1</v>
      </c>
      <c r="AH474" s="16">
        <v>1</v>
      </c>
      <c r="AI474" s="16">
        <v>1</v>
      </c>
      <c r="AJ474" s="5">
        <v>1</v>
      </c>
      <c r="AK474" s="5">
        <v>0</v>
      </c>
      <c r="AL474" s="5">
        <v>0</v>
      </c>
      <c r="AM474" s="20"/>
      <c r="AN474" s="20">
        <v>0</v>
      </c>
      <c r="AO474" s="14"/>
      <c r="AP474" s="16"/>
      <c r="AQ474" s="16"/>
      <c r="AR474" s="16">
        <v>1</v>
      </c>
      <c r="AS474" s="16">
        <v>1</v>
      </c>
      <c r="AT474" s="16"/>
      <c r="AU474" s="16"/>
      <c r="AV474" s="16"/>
      <c r="AW474" s="16"/>
      <c r="AX474" s="16">
        <v>0</v>
      </c>
      <c r="AY474" s="16">
        <v>0</v>
      </c>
      <c r="AZ474" s="16">
        <v>1</v>
      </c>
      <c r="BA474" s="16">
        <v>0</v>
      </c>
    </row>
    <row r="475" spans="1:53" x14ac:dyDescent="0.2">
      <c r="A475" s="14"/>
      <c r="B475" s="14" t="str">
        <f t="shared" si="157"/>
        <v>Anthoff et al. 2009</v>
      </c>
      <c r="C475" s="61">
        <f t="shared" si="158"/>
        <v>53</v>
      </c>
      <c r="D475" s="58">
        <v>2009</v>
      </c>
      <c r="E475" s="17"/>
      <c r="F475" s="58">
        <v>1</v>
      </c>
      <c r="G475" s="16">
        <v>1995</v>
      </c>
      <c r="H475" s="15">
        <f>LOOKUP(G475,CPI!A$69:A$100,CPI!O$69:O$100)</f>
        <v>1.4308136482939633</v>
      </c>
      <c r="I475" s="69">
        <v>2010</v>
      </c>
      <c r="J475" s="15">
        <f t="shared" si="156"/>
        <v>3.0303030303030304E-2</v>
      </c>
      <c r="K475" s="15"/>
      <c r="L475" s="62"/>
      <c r="M475" s="56">
        <f t="shared" si="159"/>
        <v>108.23394159760407</v>
      </c>
      <c r="N475" s="14">
        <v>64.900000000000006</v>
      </c>
      <c r="O475" s="18">
        <f t="shared" si="153"/>
        <v>64.900000000000006</v>
      </c>
      <c r="P475" s="16">
        <v>0</v>
      </c>
      <c r="Q475" s="16">
        <v>1</v>
      </c>
      <c r="R475" s="16">
        <v>0</v>
      </c>
      <c r="S475" s="14"/>
      <c r="T475" s="56" t="str">
        <f t="shared" si="140"/>
        <v/>
      </c>
      <c r="U475" s="56" t="str">
        <f t="shared" si="154"/>
        <v/>
      </c>
      <c r="V475" s="56" t="str">
        <f t="shared" si="155"/>
        <v/>
      </c>
      <c r="W475" s="14"/>
      <c r="X475" s="14"/>
      <c r="Y475" s="14"/>
      <c r="Z475" s="14"/>
      <c r="AA475" s="18">
        <f t="shared" si="160"/>
        <v>64.900000000000006</v>
      </c>
      <c r="AB475" s="14"/>
      <c r="AC475" s="14"/>
      <c r="AD475" s="14"/>
      <c r="AE475" s="14"/>
      <c r="AF475" s="16">
        <v>0</v>
      </c>
      <c r="AG475" s="16">
        <v>1</v>
      </c>
      <c r="AH475" s="16">
        <v>1</v>
      </c>
      <c r="AI475" s="16">
        <v>1</v>
      </c>
      <c r="AJ475" s="5">
        <v>1</v>
      </c>
      <c r="AK475" s="5">
        <v>0</v>
      </c>
      <c r="AL475" s="5">
        <v>0</v>
      </c>
      <c r="AM475" s="20"/>
      <c r="AN475" s="20">
        <v>0</v>
      </c>
      <c r="AO475" s="14"/>
      <c r="AP475" s="16"/>
      <c r="AQ475" s="16"/>
      <c r="AR475" s="16">
        <v>1</v>
      </c>
      <c r="AS475" s="16">
        <v>1</v>
      </c>
      <c r="AT475" s="16"/>
      <c r="AU475" s="16"/>
      <c r="AV475" s="16"/>
      <c r="AW475" s="16"/>
      <c r="AX475" s="16">
        <v>0</v>
      </c>
      <c r="AY475" s="16">
        <v>0</v>
      </c>
      <c r="AZ475" s="16">
        <v>1</v>
      </c>
      <c r="BA475" s="16">
        <v>0</v>
      </c>
    </row>
    <row r="476" spans="1:53" x14ac:dyDescent="0.2">
      <c r="A476" s="14"/>
      <c r="B476" s="14" t="str">
        <f t="shared" si="157"/>
        <v>Anthoff et al. 2009</v>
      </c>
      <c r="C476" s="61">
        <f t="shared" si="158"/>
        <v>53</v>
      </c>
      <c r="D476" s="58">
        <v>2009</v>
      </c>
      <c r="E476" s="17"/>
      <c r="F476" s="58">
        <v>1</v>
      </c>
      <c r="G476" s="16">
        <v>1995</v>
      </c>
      <c r="H476" s="15">
        <f>LOOKUP(G476,CPI!A$69:A$100,CPI!O$69:O$100)</f>
        <v>1.4308136482939633</v>
      </c>
      <c r="I476" s="69">
        <v>2010</v>
      </c>
      <c r="J476" s="15">
        <f t="shared" si="156"/>
        <v>3.0303030303030304E-2</v>
      </c>
      <c r="K476" s="15"/>
      <c r="L476" s="62"/>
      <c r="M476" s="56">
        <f t="shared" si="159"/>
        <v>28.517725752219253</v>
      </c>
      <c r="N476" s="14">
        <v>17.100000000000001</v>
      </c>
      <c r="O476" s="18">
        <f t="shared" si="153"/>
        <v>17.100000000000001</v>
      </c>
      <c r="P476" s="16">
        <v>0</v>
      </c>
      <c r="Q476" s="16">
        <v>1</v>
      </c>
      <c r="R476" s="16">
        <v>0</v>
      </c>
      <c r="S476" s="14"/>
      <c r="T476" s="56" t="str">
        <f t="shared" si="140"/>
        <v/>
      </c>
      <c r="U476" s="56" t="str">
        <f t="shared" si="154"/>
        <v/>
      </c>
      <c r="V476" s="56" t="str">
        <f t="shared" si="155"/>
        <v/>
      </c>
      <c r="W476" s="14"/>
      <c r="X476" s="14"/>
      <c r="Y476" s="14"/>
      <c r="Z476" s="14"/>
      <c r="AA476" s="18">
        <f t="shared" si="160"/>
        <v>17.100000000000001</v>
      </c>
      <c r="AB476" s="14"/>
      <c r="AC476" s="14"/>
      <c r="AD476" s="14"/>
      <c r="AE476" s="14"/>
      <c r="AF476" s="16">
        <v>0</v>
      </c>
      <c r="AG476" s="16">
        <v>1</v>
      </c>
      <c r="AH476" s="16">
        <v>1</v>
      </c>
      <c r="AI476" s="16">
        <v>1</v>
      </c>
      <c r="AJ476" s="5">
        <v>1</v>
      </c>
      <c r="AK476" s="5">
        <v>0</v>
      </c>
      <c r="AL476" s="5">
        <v>0</v>
      </c>
      <c r="AM476" s="20"/>
      <c r="AN476" s="20">
        <v>1</v>
      </c>
      <c r="AO476" s="14"/>
      <c r="AP476" s="16"/>
      <c r="AQ476" s="16"/>
      <c r="AR476" s="16">
        <v>1</v>
      </c>
      <c r="AS476" s="16">
        <v>1</v>
      </c>
      <c r="AT476" s="16"/>
      <c r="AU476" s="16"/>
      <c r="AV476" s="16"/>
      <c r="AW476" s="16"/>
      <c r="AX476" s="16">
        <v>0</v>
      </c>
      <c r="AY476" s="16">
        <v>0</v>
      </c>
      <c r="AZ476" s="16">
        <v>1</v>
      </c>
      <c r="BA476" s="16">
        <v>0</v>
      </c>
    </row>
    <row r="477" spans="1:53" x14ac:dyDescent="0.2">
      <c r="A477" s="14"/>
      <c r="B477" s="14" t="str">
        <f t="shared" si="157"/>
        <v>Anthoff et al. 2009</v>
      </c>
      <c r="C477" s="61">
        <f t="shared" si="158"/>
        <v>53</v>
      </c>
      <c r="D477" s="58">
        <v>2009</v>
      </c>
      <c r="E477" s="17"/>
      <c r="F477" s="58">
        <v>1</v>
      </c>
      <c r="G477" s="16">
        <v>1995</v>
      </c>
      <c r="H477" s="15">
        <f>LOOKUP(G477,CPI!A$69:A$100,CPI!O$69:O$100)</f>
        <v>1.4308136482939633</v>
      </c>
      <c r="I477" s="69">
        <v>2010</v>
      </c>
      <c r="J477" s="15">
        <f t="shared" si="156"/>
        <v>3.0303030303030304E-2</v>
      </c>
      <c r="K477" s="15"/>
      <c r="L477" s="62"/>
      <c r="M477" s="56">
        <f t="shared" si="159"/>
        <v>5.670191085236576</v>
      </c>
      <c r="N477" s="14">
        <v>3.4</v>
      </c>
      <c r="O477" s="18">
        <f t="shared" si="153"/>
        <v>3.4</v>
      </c>
      <c r="P477" s="16">
        <v>0</v>
      </c>
      <c r="Q477" s="16">
        <v>1</v>
      </c>
      <c r="R477" s="16">
        <v>0</v>
      </c>
      <c r="S477" s="14"/>
      <c r="T477" s="56" t="str">
        <f t="shared" si="140"/>
        <v/>
      </c>
      <c r="U477" s="56" t="str">
        <f t="shared" si="154"/>
        <v/>
      </c>
      <c r="V477" s="56" t="str">
        <f t="shared" si="155"/>
        <v/>
      </c>
      <c r="W477" s="14"/>
      <c r="X477" s="14"/>
      <c r="Y477" s="14"/>
      <c r="Z477" s="14"/>
      <c r="AA477" s="18">
        <f t="shared" si="160"/>
        <v>3.4</v>
      </c>
      <c r="AB477" s="14"/>
      <c r="AC477" s="14"/>
      <c r="AD477" s="14"/>
      <c r="AE477" s="14"/>
      <c r="AF477" s="16">
        <v>0</v>
      </c>
      <c r="AG477" s="16">
        <v>1</v>
      </c>
      <c r="AH477" s="16">
        <v>1</v>
      </c>
      <c r="AI477" s="16">
        <v>1</v>
      </c>
      <c r="AJ477" s="5">
        <v>1</v>
      </c>
      <c r="AK477" s="5">
        <v>0</v>
      </c>
      <c r="AL477" s="5">
        <v>0</v>
      </c>
      <c r="AM477" s="20"/>
      <c r="AN477" s="20">
        <v>1</v>
      </c>
      <c r="AO477" s="14"/>
      <c r="AP477" s="16"/>
      <c r="AQ477" s="16"/>
      <c r="AR477" s="16">
        <v>1</v>
      </c>
      <c r="AS477" s="16">
        <v>1</v>
      </c>
      <c r="AT477" s="16"/>
      <c r="AU477" s="16"/>
      <c r="AV477" s="16"/>
      <c r="AW477" s="16"/>
      <c r="AX477" s="16">
        <v>0</v>
      </c>
      <c r="AY477" s="16">
        <v>0</v>
      </c>
      <c r="AZ477" s="16">
        <v>1</v>
      </c>
      <c r="BA477" s="16">
        <v>0</v>
      </c>
    </row>
    <row r="478" spans="1:53" x14ac:dyDescent="0.2">
      <c r="A478" s="14"/>
      <c r="B478" s="14" t="str">
        <f t="shared" si="157"/>
        <v>Anthoff et al. 2009</v>
      </c>
      <c r="C478" s="61">
        <f t="shared" si="158"/>
        <v>53</v>
      </c>
      <c r="D478" s="58">
        <v>2009</v>
      </c>
      <c r="E478" s="17"/>
      <c r="F478" s="58">
        <v>1</v>
      </c>
      <c r="G478" s="16">
        <v>1995</v>
      </c>
      <c r="H478" s="15">
        <f>LOOKUP(G478,CPI!A$69:A$100,CPI!O$69:O$100)</f>
        <v>1.4308136482939633</v>
      </c>
      <c r="I478" s="69">
        <v>2010</v>
      </c>
      <c r="J478" s="15">
        <f t="shared" si="156"/>
        <v>3.0303030303030304E-2</v>
      </c>
      <c r="K478" s="15"/>
      <c r="L478" s="62"/>
      <c r="M478" s="56">
        <f t="shared" si="159"/>
        <v>46.028609986038092</v>
      </c>
      <c r="N478" s="14">
        <v>27.6</v>
      </c>
      <c r="O478" s="18">
        <f t="shared" si="153"/>
        <v>27.6</v>
      </c>
      <c r="P478" s="16">
        <v>0</v>
      </c>
      <c r="Q478" s="16">
        <v>1</v>
      </c>
      <c r="R478" s="16">
        <v>0</v>
      </c>
      <c r="S478" s="14"/>
      <c r="T478" s="56" t="str">
        <f t="shared" si="140"/>
        <v/>
      </c>
      <c r="U478" s="56" t="str">
        <f t="shared" si="154"/>
        <v/>
      </c>
      <c r="V478" s="56" t="str">
        <f t="shared" si="155"/>
        <v/>
      </c>
      <c r="W478" s="14"/>
      <c r="X478" s="14"/>
      <c r="Y478" s="14"/>
      <c r="Z478" s="14"/>
      <c r="AA478" s="18">
        <f t="shared" si="160"/>
        <v>27.6</v>
      </c>
      <c r="AB478" s="14"/>
      <c r="AC478" s="14"/>
      <c r="AD478" s="14"/>
      <c r="AE478" s="14"/>
      <c r="AF478" s="16">
        <v>0</v>
      </c>
      <c r="AG478" s="16">
        <v>1</v>
      </c>
      <c r="AH478" s="16">
        <v>1</v>
      </c>
      <c r="AI478" s="16">
        <v>1</v>
      </c>
      <c r="AJ478" s="5">
        <v>1</v>
      </c>
      <c r="AK478" s="5">
        <v>0</v>
      </c>
      <c r="AL478" s="5">
        <v>0</v>
      </c>
      <c r="AM478" s="20"/>
      <c r="AN478" s="20">
        <v>1</v>
      </c>
      <c r="AO478" s="14"/>
      <c r="AP478" s="16"/>
      <c r="AQ478" s="16"/>
      <c r="AR478" s="16">
        <v>1</v>
      </c>
      <c r="AS478" s="16">
        <v>1</v>
      </c>
      <c r="AT478" s="16"/>
      <c r="AU478" s="16"/>
      <c r="AV478" s="16"/>
      <c r="AW478" s="16"/>
      <c r="AX478" s="16">
        <v>0</v>
      </c>
      <c r="AY478" s="16">
        <v>0</v>
      </c>
      <c r="AZ478" s="16">
        <v>1</v>
      </c>
      <c r="BA478" s="16">
        <v>0</v>
      </c>
    </row>
    <row r="479" spans="1:53" x14ac:dyDescent="0.2">
      <c r="A479" s="14"/>
      <c r="B479" s="14" t="str">
        <f t="shared" si="157"/>
        <v>Anthoff et al. 2009</v>
      </c>
      <c r="C479" s="61">
        <f t="shared" si="158"/>
        <v>53</v>
      </c>
      <c r="D479" s="58">
        <v>2009</v>
      </c>
      <c r="E479" s="17"/>
      <c r="F479" s="58">
        <v>1</v>
      </c>
      <c r="G479" s="16">
        <v>1995</v>
      </c>
      <c r="H479" s="15">
        <f>LOOKUP(G479,CPI!A$69:A$100,CPI!O$69:O$100)</f>
        <v>1.4308136482939633</v>
      </c>
      <c r="I479" s="69">
        <v>2010</v>
      </c>
      <c r="J479" s="15">
        <f t="shared" si="156"/>
        <v>3.0303030303030304E-2</v>
      </c>
      <c r="K479" s="15"/>
      <c r="L479" s="62"/>
      <c r="M479" s="56">
        <f t="shared" si="159"/>
        <v>-3.835717498836507</v>
      </c>
      <c r="N479" s="14">
        <v>-2.2999999999999998</v>
      </c>
      <c r="O479" s="18">
        <f t="shared" si="153"/>
        <v>-2.2999999999999998</v>
      </c>
      <c r="P479" s="16">
        <v>0</v>
      </c>
      <c r="Q479" s="16">
        <v>1</v>
      </c>
      <c r="R479" s="16">
        <v>0</v>
      </c>
      <c r="S479" s="14"/>
      <c r="T479" s="56" t="str">
        <f t="shared" si="140"/>
        <v/>
      </c>
      <c r="U479" s="56" t="str">
        <f t="shared" si="154"/>
        <v/>
      </c>
      <c r="V479" s="56" t="str">
        <f t="shared" si="155"/>
        <v/>
      </c>
      <c r="W479" s="14"/>
      <c r="X479" s="14"/>
      <c r="Y479" s="14"/>
      <c r="Z479" s="14"/>
      <c r="AA479" s="18">
        <f t="shared" si="160"/>
        <v>-2.2999999999999998</v>
      </c>
      <c r="AB479" s="14"/>
      <c r="AC479" s="14"/>
      <c r="AD479" s="14"/>
      <c r="AE479" s="14"/>
      <c r="AF479" s="16">
        <v>0</v>
      </c>
      <c r="AG479" s="16">
        <v>1</v>
      </c>
      <c r="AH479" s="16">
        <v>1</v>
      </c>
      <c r="AI479" s="16">
        <v>1</v>
      </c>
      <c r="AJ479" s="5">
        <v>1</v>
      </c>
      <c r="AK479" s="5">
        <v>0</v>
      </c>
      <c r="AL479" s="5">
        <v>0</v>
      </c>
      <c r="AM479" s="20"/>
      <c r="AN479" s="20">
        <v>1</v>
      </c>
      <c r="AO479" s="14"/>
      <c r="AP479" s="16"/>
      <c r="AQ479" s="16"/>
      <c r="AR479" s="16">
        <v>1</v>
      </c>
      <c r="AS479" s="16">
        <v>1</v>
      </c>
      <c r="AT479" s="16"/>
      <c r="AU479" s="16"/>
      <c r="AV479" s="16"/>
      <c r="AW479" s="16"/>
      <c r="AX479" s="16">
        <v>0</v>
      </c>
      <c r="AY479" s="16">
        <v>0</v>
      </c>
      <c r="AZ479" s="16">
        <v>1</v>
      </c>
      <c r="BA479" s="16">
        <v>0</v>
      </c>
    </row>
    <row r="480" spans="1:53" x14ac:dyDescent="0.2">
      <c r="A480" s="14"/>
      <c r="B480" s="14" t="str">
        <f t="shared" si="157"/>
        <v>Anthoff et al. 2009</v>
      </c>
      <c r="C480" s="61">
        <f t="shared" si="158"/>
        <v>53</v>
      </c>
      <c r="D480" s="58">
        <v>2009</v>
      </c>
      <c r="E480" s="17"/>
      <c r="F480" s="58">
        <v>1</v>
      </c>
      <c r="G480" s="16">
        <v>1995</v>
      </c>
      <c r="H480" s="15">
        <f>LOOKUP(G480,CPI!A$69:A$100,CPI!O$69:O$100)</f>
        <v>1.4308136482939633</v>
      </c>
      <c r="I480" s="69">
        <v>2010</v>
      </c>
      <c r="J480" s="15">
        <f t="shared" si="156"/>
        <v>3.0303030303030304E-2</v>
      </c>
      <c r="K480" s="15"/>
      <c r="L480" s="62"/>
      <c r="M480" s="56">
        <f t="shared" si="159"/>
        <v>21.179831406618973</v>
      </c>
      <c r="N480" s="14">
        <v>12.7</v>
      </c>
      <c r="O480" s="18">
        <f t="shared" si="153"/>
        <v>12.7</v>
      </c>
      <c r="P480" s="16">
        <v>0</v>
      </c>
      <c r="Q480" s="16">
        <v>1</v>
      </c>
      <c r="R480" s="16">
        <v>0</v>
      </c>
      <c r="S480" s="14"/>
      <c r="T480" s="56" t="str">
        <f t="shared" si="140"/>
        <v/>
      </c>
      <c r="U480" s="56" t="str">
        <f t="shared" si="154"/>
        <v/>
      </c>
      <c r="V480" s="56" t="str">
        <f t="shared" si="155"/>
        <v/>
      </c>
      <c r="W480" s="14"/>
      <c r="X480" s="14"/>
      <c r="Y480" s="14"/>
      <c r="Z480" s="14"/>
      <c r="AA480" s="18">
        <f t="shared" si="160"/>
        <v>12.7</v>
      </c>
      <c r="AB480" s="14"/>
      <c r="AC480" s="14"/>
      <c r="AD480" s="14"/>
      <c r="AE480" s="14"/>
      <c r="AF480" s="16">
        <v>0</v>
      </c>
      <c r="AG480" s="16">
        <v>1</v>
      </c>
      <c r="AH480" s="16">
        <v>1</v>
      </c>
      <c r="AI480" s="16">
        <v>1</v>
      </c>
      <c r="AJ480" s="5">
        <v>1</v>
      </c>
      <c r="AK480" s="5">
        <v>0</v>
      </c>
      <c r="AL480" s="5">
        <v>0</v>
      </c>
      <c r="AM480" s="20"/>
      <c r="AN480" s="20">
        <v>1</v>
      </c>
      <c r="AO480" s="14"/>
      <c r="AP480" s="16"/>
      <c r="AQ480" s="16"/>
      <c r="AR480" s="16">
        <v>1</v>
      </c>
      <c r="AS480" s="16">
        <v>1</v>
      </c>
      <c r="AT480" s="16"/>
      <c r="AU480" s="16"/>
      <c r="AV480" s="16"/>
      <c r="AW480" s="16"/>
      <c r="AX480" s="16">
        <v>0</v>
      </c>
      <c r="AY480" s="16">
        <v>0</v>
      </c>
      <c r="AZ480" s="16">
        <v>1</v>
      </c>
      <c r="BA480" s="16">
        <v>0</v>
      </c>
    </row>
    <row r="481" spans="1:53" x14ac:dyDescent="0.2">
      <c r="A481" s="14"/>
      <c r="B481" s="14" t="str">
        <f t="shared" si="157"/>
        <v>Anthoff et al. 2009</v>
      </c>
      <c r="C481" s="61">
        <f t="shared" si="158"/>
        <v>53</v>
      </c>
      <c r="D481" s="58">
        <v>2009</v>
      </c>
      <c r="E481" s="17"/>
      <c r="F481" s="58">
        <v>1</v>
      </c>
      <c r="G481" s="16">
        <v>1995</v>
      </c>
      <c r="H481" s="15">
        <f>LOOKUP(G481,CPI!A$69:A$100,CPI!O$69:O$100)</f>
        <v>1.4308136482939633</v>
      </c>
      <c r="I481" s="69">
        <v>2010</v>
      </c>
      <c r="J481" s="15">
        <f t="shared" si="156"/>
        <v>3.0303030303030304E-2</v>
      </c>
      <c r="K481" s="15"/>
      <c r="L481" s="62"/>
      <c r="M481" s="56">
        <f t="shared" si="159"/>
        <v>-4.836339455054727</v>
      </c>
      <c r="N481" s="14">
        <v>-2.9</v>
      </c>
      <c r="O481" s="18">
        <f t="shared" si="153"/>
        <v>-2.9</v>
      </c>
      <c r="P481" s="16">
        <v>0</v>
      </c>
      <c r="Q481" s="16">
        <v>1</v>
      </c>
      <c r="R481" s="16">
        <v>0</v>
      </c>
      <c r="S481" s="14"/>
      <c r="T481" s="56" t="str">
        <f t="shared" si="140"/>
        <v/>
      </c>
      <c r="U481" s="56" t="str">
        <f t="shared" si="154"/>
        <v/>
      </c>
      <c r="V481" s="56" t="str">
        <f t="shared" si="155"/>
        <v/>
      </c>
      <c r="W481" s="14"/>
      <c r="X481" s="14"/>
      <c r="Y481" s="14"/>
      <c r="Z481" s="14"/>
      <c r="AA481" s="18">
        <f t="shared" si="160"/>
        <v>-2.9</v>
      </c>
      <c r="AB481" s="14"/>
      <c r="AC481" s="14"/>
      <c r="AD481" s="14"/>
      <c r="AE481" s="14"/>
      <c r="AF481" s="16">
        <v>0</v>
      </c>
      <c r="AG481" s="16">
        <v>1</v>
      </c>
      <c r="AH481" s="16">
        <v>1</v>
      </c>
      <c r="AI481" s="16">
        <v>1</v>
      </c>
      <c r="AJ481" s="5">
        <v>1</v>
      </c>
      <c r="AK481" s="5">
        <v>0</v>
      </c>
      <c r="AL481" s="5">
        <v>0</v>
      </c>
      <c r="AM481" s="20"/>
      <c r="AN481" s="20">
        <v>3</v>
      </c>
      <c r="AO481" s="14"/>
      <c r="AP481" s="16"/>
      <c r="AQ481" s="16"/>
      <c r="AR481" s="16">
        <v>1</v>
      </c>
      <c r="AS481" s="16">
        <v>1</v>
      </c>
      <c r="AT481" s="16"/>
      <c r="AU481" s="16"/>
      <c r="AV481" s="16"/>
      <c r="AW481" s="16"/>
      <c r="AX481" s="16">
        <v>0</v>
      </c>
      <c r="AY481" s="16">
        <v>0</v>
      </c>
      <c r="AZ481" s="16">
        <v>1</v>
      </c>
      <c r="BA481" s="16">
        <v>0</v>
      </c>
    </row>
    <row r="482" spans="1:53" x14ac:dyDescent="0.2">
      <c r="A482" s="14"/>
      <c r="B482" s="14" t="str">
        <f t="shared" si="157"/>
        <v>Anthoff et al. 2009</v>
      </c>
      <c r="C482" s="61">
        <f t="shared" si="158"/>
        <v>53</v>
      </c>
      <c r="D482" s="58">
        <v>2009</v>
      </c>
      <c r="E482" s="17"/>
      <c r="F482" s="58">
        <v>1</v>
      </c>
      <c r="G482" s="16">
        <v>1995</v>
      </c>
      <c r="H482" s="15">
        <f>LOOKUP(G482,CPI!A$69:A$100,CPI!O$69:O$100)</f>
        <v>1.4308136482939633</v>
      </c>
      <c r="I482" s="69">
        <v>2010</v>
      </c>
      <c r="J482" s="15">
        <f t="shared" si="156"/>
        <v>3.0303030303030304E-2</v>
      </c>
      <c r="K482" s="15"/>
      <c r="L482" s="62"/>
      <c r="M482" s="56">
        <f t="shared" si="159"/>
        <v>-7.504664671636645</v>
      </c>
      <c r="N482" s="14">
        <v>-4.5</v>
      </c>
      <c r="O482" s="18">
        <f t="shared" si="153"/>
        <v>-4.5</v>
      </c>
      <c r="P482" s="16">
        <v>0</v>
      </c>
      <c r="Q482" s="16">
        <v>1</v>
      </c>
      <c r="R482" s="16">
        <v>0</v>
      </c>
      <c r="S482" s="14"/>
      <c r="T482" s="56" t="str">
        <f t="shared" si="140"/>
        <v/>
      </c>
      <c r="U482" s="56" t="str">
        <f t="shared" si="154"/>
        <v/>
      </c>
      <c r="V482" s="56" t="str">
        <f t="shared" si="155"/>
        <v/>
      </c>
      <c r="W482" s="14"/>
      <c r="X482" s="14"/>
      <c r="Y482" s="14"/>
      <c r="Z482" s="14"/>
      <c r="AA482" s="18">
        <f t="shared" si="160"/>
        <v>-4.5</v>
      </c>
      <c r="AB482" s="14"/>
      <c r="AC482" s="14"/>
      <c r="AD482" s="14"/>
      <c r="AE482" s="14"/>
      <c r="AF482" s="16">
        <v>0</v>
      </c>
      <c r="AG482" s="16">
        <v>1</v>
      </c>
      <c r="AH482" s="16">
        <v>1</v>
      </c>
      <c r="AI482" s="16">
        <v>1</v>
      </c>
      <c r="AJ482" s="5">
        <v>1</v>
      </c>
      <c r="AK482" s="5">
        <v>0</v>
      </c>
      <c r="AL482" s="5">
        <v>0</v>
      </c>
      <c r="AM482" s="20"/>
      <c r="AN482" s="20">
        <v>3</v>
      </c>
      <c r="AO482" s="14"/>
      <c r="AP482" s="16"/>
      <c r="AQ482" s="16"/>
      <c r="AR482" s="16">
        <v>1</v>
      </c>
      <c r="AS482" s="16">
        <v>1</v>
      </c>
      <c r="AT482" s="16"/>
      <c r="AU482" s="16"/>
      <c r="AV482" s="16"/>
      <c r="AW482" s="16"/>
      <c r="AX482" s="16">
        <v>0</v>
      </c>
      <c r="AY482" s="16">
        <v>0</v>
      </c>
      <c r="AZ482" s="16">
        <v>1</v>
      </c>
      <c r="BA482" s="16">
        <v>0</v>
      </c>
    </row>
    <row r="483" spans="1:53" x14ac:dyDescent="0.2">
      <c r="A483" s="14"/>
      <c r="B483" s="14" t="str">
        <f t="shared" si="157"/>
        <v>Anthoff et al. 2009</v>
      </c>
      <c r="C483" s="61">
        <f t="shared" si="158"/>
        <v>53</v>
      </c>
      <c r="D483" s="58">
        <v>2009</v>
      </c>
      <c r="E483" s="17"/>
      <c r="F483" s="58">
        <v>1</v>
      </c>
      <c r="G483" s="16">
        <v>1995</v>
      </c>
      <c r="H483" s="15">
        <f>LOOKUP(G483,CPI!A$69:A$100,CPI!O$69:O$100)</f>
        <v>1.4308136482939633</v>
      </c>
      <c r="I483" s="69">
        <v>2010</v>
      </c>
      <c r="J483" s="15">
        <f t="shared" si="156"/>
        <v>3.0303030303030304E-2</v>
      </c>
      <c r="K483" s="15"/>
      <c r="L483" s="62"/>
      <c r="M483" s="56">
        <f t="shared" si="159"/>
        <v>-3.1686361946910275</v>
      </c>
      <c r="N483" s="14">
        <v>-1.9</v>
      </c>
      <c r="O483" s="18">
        <f t="shared" si="153"/>
        <v>-1.9</v>
      </c>
      <c r="P483" s="16">
        <v>0</v>
      </c>
      <c r="Q483" s="16">
        <v>1</v>
      </c>
      <c r="R483" s="16">
        <v>0</v>
      </c>
      <c r="S483" s="14"/>
      <c r="T483" s="56" t="str">
        <f t="shared" si="140"/>
        <v/>
      </c>
      <c r="U483" s="56" t="str">
        <f t="shared" si="154"/>
        <v/>
      </c>
      <c r="V483" s="56" t="str">
        <f t="shared" si="155"/>
        <v/>
      </c>
      <c r="W483" s="14"/>
      <c r="X483" s="14"/>
      <c r="Y483" s="14"/>
      <c r="Z483" s="14"/>
      <c r="AA483" s="18">
        <f t="shared" si="160"/>
        <v>-1.9</v>
      </c>
      <c r="AB483" s="14"/>
      <c r="AC483" s="14"/>
      <c r="AD483" s="14"/>
      <c r="AE483" s="14"/>
      <c r="AF483" s="16">
        <v>0</v>
      </c>
      <c r="AG483" s="16">
        <v>1</v>
      </c>
      <c r="AH483" s="16">
        <v>1</v>
      </c>
      <c r="AI483" s="16">
        <v>1</v>
      </c>
      <c r="AJ483" s="5">
        <v>1</v>
      </c>
      <c r="AK483" s="5">
        <v>0</v>
      </c>
      <c r="AL483" s="5">
        <v>0</v>
      </c>
      <c r="AM483" s="20"/>
      <c r="AN483" s="20">
        <v>3</v>
      </c>
      <c r="AO483" s="14"/>
      <c r="AP483" s="16"/>
      <c r="AQ483" s="16"/>
      <c r="AR483" s="16">
        <v>1</v>
      </c>
      <c r="AS483" s="16">
        <v>1</v>
      </c>
      <c r="AT483" s="16"/>
      <c r="AU483" s="16"/>
      <c r="AV483" s="16"/>
      <c r="AW483" s="16"/>
      <c r="AX483" s="16">
        <v>0</v>
      </c>
      <c r="AY483" s="16">
        <v>0</v>
      </c>
      <c r="AZ483" s="16">
        <v>1</v>
      </c>
      <c r="BA483" s="16">
        <v>0</v>
      </c>
    </row>
    <row r="484" spans="1:53" x14ac:dyDescent="0.2">
      <c r="A484" s="14"/>
      <c r="B484" s="14" t="str">
        <f t="shared" si="157"/>
        <v>Anthoff et al. 2009</v>
      </c>
      <c r="C484" s="61">
        <f t="shared" si="158"/>
        <v>53</v>
      </c>
      <c r="D484" s="58">
        <v>2009</v>
      </c>
      <c r="E484" s="17"/>
      <c r="F484" s="58">
        <v>1</v>
      </c>
      <c r="G484" s="16">
        <v>1995</v>
      </c>
      <c r="H484" s="15">
        <f>LOOKUP(G484,CPI!A$69:A$100,CPI!O$69:O$100)</f>
        <v>1.4308136482939633</v>
      </c>
      <c r="I484" s="69">
        <v>2010</v>
      </c>
      <c r="J484" s="15">
        <f t="shared" si="156"/>
        <v>3.0303030303030304E-2</v>
      </c>
      <c r="K484" s="15"/>
      <c r="L484" s="62"/>
      <c r="M484" s="56">
        <f t="shared" si="159"/>
        <v>-11.006841518400412</v>
      </c>
      <c r="N484" s="14">
        <v>-6.6</v>
      </c>
      <c r="O484" s="18">
        <f t="shared" si="153"/>
        <v>-6.6</v>
      </c>
      <c r="P484" s="16">
        <v>0</v>
      </c>
      <c r="Q484" s="16">
        <v>1</v>
      </c>
      <c r="R484" s="16">
        <v>0</v>
      </c>
      <c r="S484" s="14"/>
      <c r="T484" s="56" t="str">
        <f t="shared" si="140"/>
        <v/>
      </c>
      <c r="U484" s="56" t="str">
        <f t="shared" si="154"/>
        <v/>
      </c>
      <c r="V484" s="56" t="str">
        <f t="shared" si="155"/>
        <v/>
      </c>
      <c r="W484" s="14"/>
      <c r="X484" s="14"/>
      <c r="Y484" s="14"/>
      <c r="Z484" s="14"/>
      <c r="AA484" s="18">
        <f t="shared" si="160"/>
        <v>-6.6</v>
      </c>
      <c r="AB484" s="14"/>
      <c r="AC484" s="14"/>
      <c r="AD484" s="14"/>
      <c r="AE484" s="14"/>
      <c r="AF484" s="16">
        <v>0</v>
      </c>
      <c r="AG484" s="16">
        <v>1</v>
      </c>
      <c r="AH484" s="16">
        <v>1</v>
      </c>
      <c r="AI484" s="16">
        <v>1</v>
      </c>
      <c r="AJ484" s="5">
        <v>1</v>
      </c>
      <c r="AK484" s="5">
        <v>0</v>
      </c>
      <c r="AL484" s="5">
        <v>0</v>
      </c>
      <c r="AM484" s="20"/>
      <c r="AN484" s="20">
        <v>3</v>
      </c>
      <c r="AO484" s="14"/>
      <c r="AP484" s="16"/>
      <c r="AQ484" s="16"/>
      <c r="AR484" s="16">
        <v>1</v>
      </c>
      <c r="AS484" s="16">
        <v>1</v>
      </c>
      <c r="AT484" s="16"/>
      <c r="AU484" s="16"/>
      <c r="AV484" s="16"/>
      <c r="AW484" s="16"/>
      <c r="AX484" s="16">
        <v>0</v>
      </c>
      <c r="AY484" s="16">
        <v>0</v>
      </c>
      <c r="AZ484" s="16">
        <v>1</v>
      </c>
      <c r="BA484" s="16">
        <v>0</v>
      </c>
    </row>
    <row r="485" spans="1:53" x14ac:dyDescent="0.2">
      <c r="A485" s="14"/>
      <c r="B485" s="14" t="str">
        <f t="shared" si="157"/>
        <v>Anthoff et al. 2009</v>
      </c>
      <c r="C485" s="61">
        <f t="shared" si="158"/>
        <v>53</v>
      </c>
      <c r="D485" s="58">
        <v>2009</v>
      </c>
      <c r="E485" s="17"/>
      <c r="F485" s="58">
        <v>1</v>
      </c>
      <c r="G485" s="16">
        <v>1995</v>
      </c>
      <c r="H485" s="15">
        <f>LOOKUP(G485,CPI!A$69:A$100,CPI!O$69:O$100)</f>
        <v>1.4308136482939633</v>
      </c>
      <c r="I485" s="69">
        <v>2010</v>
      </c>
      <c r="J485" s="15">
        <f t="shared" si="156"/>
        <v>3.0303030303030304E-2</v>
      </c>
      <c r="K485" s="15"/>
      <c r="L485" s="62"/>
      <c r="M485" s="56">
        <f t="shared" si="159"/>
        <v>-4.836339455054727</v>
      </c>
      <c r="N485" s="14">
        <v>-2.9</v>
      </c>
      <c r="O485" s="18">
        <f t="shared" ref="O485:O516" si="161">N485</f>
        <v>-2.9</v>
      </c>
      <c r="P485" s="16">
        <v>0</v>
      </c>
      <c r="Q485" s="16">
        <v>1</v>
      </c>
      <c r="R485" s="16">
        <v>0</v>
      </c>
      <c r="S485" s="14"/>
      <c r="T485" s="56" t="str">
        <f t="shared" si="140"/>
        <v/>
      </c>
      <c r="U485" s="56" t="str">
        <f t="shared" si="154"/>
        <v/>
      </c>
      <c r="V485" s="56" t="str">
        <f t="shared" si="155"/>
        <v/>
      </c>
      <c r="W485" s="14"/>
      <c r="X485" s="14"/>
      <c r="Y485" s="14"/>
      <c r="Z485" s="14"/>
      <c r="AA485" s="18">
        <f t="shared" si="160"/>
        <v>-2.9</v>
      </c>
      <c r="AB485" s="14"/>
      <c r="AC485" s="14"/>
      <c r="AD485" s="14"/>
      <c r="AE485" s="14"/>
      <c r="AF485" s="16">
        <v>0</v>
      </c>
      <c r="AG485" s="16">
        <v>1</v>
      </c>
      <c r="AH485" s="16">
        <v>1</v>
      </c>
      <c r="AI485" s="16">
        <v>1</v>
      </c>
      <c r="AJ485" s="5">
        <v>1</v>
      </c>
      <c r="AK485" s="5">
        <v>0</v>
      </c>
      <c r="AL485" s="5">
        <v>0</v>
      </c>
      <c r="AM485" s="20"/>
      <c r="AN485" s="20">
        <v>3</v>
      </c>
      <c r="AO485" s="14"/>
      <c r="AP485" s="16"/>
      <c r="AQ485" s="16"/>
      <c r="AR485" s="16">
        <v>1</v>
      </c>
      <c r="AS485" s="16">
        <v>1</v>
      </c>
      <c r="AT485" s="16"/>
      <c r="AU485" s="16"/>
      <c r="AV485" s="16"/>
      <c r="AW485" s="16"/>
      <c r="AX485" s="16">
        <v>0</v>
      </c>
      <c r="AY485" s="16">
        <v>0</v>
      </c>
      <c r="AZ485" s="16">
        <v>1</v>
      </c>
      <c r="BA485" s="16">
        <v>0</v>
      </c>
    </row>
    <row r="486" spans="1:53" x14ac:dyDescent="0.2">
      <c r="A486" s="14" t="s">
        <v>31</v>
      </c>
      <c r="B486" s="14" t="str">
        <f t="shared" si="157"/>
        <v>Anthoff et al. 2009</v>
      </c>
      <c r="C486" s="61">
        <f t="shared" si="158"/>
        <v>54</v>
      </c>
      <c r="D486" s="58">
        <v>2009</v>
      </c>
      <c r="E486" s="17" t="s">
        <v>133</v>
      </c>
      <c r="F486" s="58">
        <v>1</v>
      </c>
      <c r="G486" s="16">
        <v>1995</v>
      </c>
      <c r="H486" s="15">
        <f>LOOKUP(G486,CPI!A$69:A$100,CPI!O$69:O$100)</f>
        <v>1.4308136482939633</v>
      </c>
      <c r="I486" s="52">
        <v>2010</v>
      </c>
      <c r="J486" s="15">
        <v>0.25</v>
      </c>
      <c r="K486" s="15"/>
      <c r="L486" s="62"/>
      <c r="M486" s="56">
        <f t="shared" si="159"/>
        <v>-3.1352821294837536</v>
      </c>
      <c r="N486" s="14">
        <v>-1.88</v>
      </c>
      <c r="O486" s="18">
        <f t="shared" si="161"/>
        <v>-1.88</v>
      </c>
      <c r="P486" s="16">
        <v>0</v>
      </c>
      <c r="Q486" s="16">
        <v>1</v>
      </c>
      <c r="R486" s="16">
        <v>0</v>
      </c>
      <c r="S486" s="14">
        <v>2.2000000000000002</v>
      </c>
      <c r="T486" s="56">
        <f t="shared" si="140"/>
        <v>3.6689471728001379</v>
      </c>
      <c r="U486" s="56">
        <f t="shared" si="154"/>
        <v>3.6689471728001379</v>
      </c>
      <c r="V486" s="56">
        <f t="shared" si="155"/>
        <v>3.6689471728001379</v>
      </c>
      <c r="W486" s="14"/>
      <c r="X486" s="14"/>
      <c r="Y486" s="14"/>
      <c r="Z486" s="14"/>
      <c r="AA486" s="18">
        <f t="shared" si="160"/>
        <v>-1.88</v>
      </c>
      <c r="AB486" s="14"/>
      <c r="AC486" s="14"/>
      <c r="AD486" s="14"/>
      <c r="AE486" s="14"/>
      <c r="AF486" s="16">
        <v>0</v>
      </c>
      <c r="AG486" s="16">
        <v>1</v>
      </c>
      <c r="AH486" s="16">
        <v>1</v>
      </c>
      <c r="AI486" s="16">
        <v>1</v>
      </c>
      <c r="AJ486" s="5">
        <v>1</v>
      </c>
      <c r="AK486" s="5">
        <v>0</v>
      </c>
      <c r="AL486" s="5">
        <v>0</v>
      </c>
      <c r="AM486" s="20"/>
      <c r="AN486" s="20" t="s">
        <v>25</v>
      </c>
      <c r="AO486" s="14"/>
      <c r="AP486" s="16"/>
      <c r="AQ486" s="16"/>
      <c r="AR486" s="16">
        <v>0</v>
      </c>
      <c r="AS486" s="16">
        <v>1</v>
      </c>
      <c r="AT486" s="16"/>
      <c r="AU486" s="16"/>
      <c r="AV486" s="16"/>
      <c r="AW486" s="16"/>
      <c r="AX486" s="16">
        <v>0</v>
      </c>
      <c r="AY486" s="16">
        <v>0</v>
      </c>
      <c r="AZ486" s="16">
        <v>1</v>
      </c>
      <c r="BA486" s="16">
        <v>0</v>
      </c>
    </row>
    <row r="487" spans="1:53" x14ac:dyDescent="0.2">
      <c r="A487" s="14"/>
      <c r="B487" s="14" t="str">
        <f t="shared" si="157"/>
        <v>Anthoff et al. 2009</v>
      </c>
      <c r="C487" s="61">
        <f t="shared" si="158"/>
        <v>54</v>
      </c>
      <c r="D487" s="58">
        <v>2009</v>
      </c>
      <c r="E487" s="17"/>
      <c r="F487" s="58">
        <v>1</v>
      </c>
      <c r="G487" s="16">
        <v>1995</v>
      </c>
      <c r="H487" s="15">
        <f>LOOKUP(G487,CPI!A$69:A$100,CPI!O$69:O$100)</f>
        <v>1.4308136482939633</v>
      </c>
      <c r="I487" s="52">
        <v>2010</v>
      </c>
      <c r="J487" s="15">
        <v>0.25</v>
      </c>
      <c r="K487" s="15"/>
      <c r="L487" s="62"/>
      <c r="M487" s="56">
        <f t="shared" si="159"/>
        <v>-0.58369614112729462</v>
      </c>
      <c r="N487" s="14">
        <v>-0.35</v>
      </c>
      <c r="O487" s="18">
        <f t="shared" si="161"/>
        <v>-0.35</v>
      </c>
      <c r="P487" s="16">
        <v>0</v>
      </c>
      <c r="Q487" s="16">
        <v>1</v>
      </c>
      <c r="R487" s="16">
        <v>0</v>
      </c>
      <c r="S487" s="14">
        <v>4.8499999999999996</v>
      </c>
      <c r="T487" s="56">
        <f t="shared" si="140"/>
        <v>8.0883608127639377</v>
      </c>
      <c r="U487" s="56">
        <f t="shared" si="154"/>
        <v>8.0883608127639377</v>
      </c>
      <c r="V487" s="56">
        <f t="shared" si="155"/>
        <v>8.0883608127639377</v>
      </c>
      <c r="W487" s="14"/>
      <c r="X487" s="14"/>
      <c r="Y487" s="14"/>
      <c r="Z487" s="14"/>
      <c r="AA487" s="18">
        <f t="shared" si="160"/>
        <v>-0.35</v>
      </c>
      <c r="AB487" s="14"/>
      <c r="AC487" s="14"/>
      <c r="AD487" s="14"/>
      <c r="AE487" s="14"/>
      <c r="AF487" s="16">
        <v>0</v>
      </c>
      <c r="AG487" s="16">
        <v>1</v>
      </c>
      <c r="AH487" s="16">
        <v>1</v>
      </c>
      <c r="AI487" s="16">
        <v>1</v>
      </c>
      <c r="AJ487" s="5">
        <v>1</v>
      </c>
      <c r="AK487" s="5">
        <v>0</v>
      </c>
      <c r="AL487" s="5">
        <v>0</v>
      </c>
      <c r="AM487" s="20"/>
      <c r="AN487" s="20" t="s">
        <v>25</v>
      </c>
      <c r="AO487" s="14"/>
      <c r="AP487" s="16"/>
      <c r="AQ487" s="16"/>
      <c r="AR487" s="16">
        <v>1</v>
      </c>
      <c r="AS487" s="16">
        <v>1</v>
      </c>
      <c r="AT487" s="16"/>
      <c r="AU487" s="16"/>
      <c r="AV487" s="16"/>
      <c r="AW487" s="16"/>
      <c r="AX487" s="16">
        <v>0</v>
      </c>
      <c r="AY487" s="16">
        <v>0</v>
      </c>
      <c r="AZ487" s="16">
        <v>1</v>
      </c>
      <c r="BA487" s="16">
        <v>0</v>
      </c>
    </row>
    <row r="488" spans="1:53" x14ac:dyDescent="0.2">
      <c r="A488" s="14"/>
      <c r="B488" s="14" t="str">
        <f t="shared" si="157"/>
        <v>Anthoff et al. 2009</v>
      </c>
      <c r="C488" s="61">
        <f t="shared" si="158"/>
        <v>54</v>
      </c>
      <c r="D488" s="58">
        <v>2009</v>
      </c>
      <c r="E488" s="17"/>
      <c r="F488" s="58">
        <v>1</v>
      </c>
      <c r="G488" s="16">
        <v>1995</v>
      </c>
      <c r="H488" s="15">
        <f>LOOKUP(G488,CPI!A$69:A$100,CPI!O$69:O$100)</f>
        <v>1.4308136482939633</v>
      </c>
      <c r="I488" s="52">
        <v>2010</v>
      </c>
      <c r="J488" s="15">
        <v>0.25</v>
      </c>
      <c r="K488" s="15"/>
      <c r="L488" s="62"/>
      <c r="M488" s="56">
        <f t="shared" si="159"/>
        <v>14.942621212858743</v>
      </c>
      <c r="N488" s="14">
        <v>8.9600000000000009</v>
      </c>
      <c r="O488" s="18">
        <f t="shared" si="161"/>
        <v>8.9600000000000009</v>
      </c>
      <c r="P488" s="16">
        <v>1</v>
      </c>
      <c r="Q488" s="16">
        <v>0</v>
      </c>
      <c r="R488" s="16">
        <v>0</v>
      </c>
      <c r="S488" s="14">
        <v>6.88</v>
      </c>
      <c r="T488" s="56">
        <f t="shared" si="140"/>
        <v>11.473798431302248</v>
      </c>
      <c r="U488" s="56">
        <f t="shared" si="154"/>
        <v>11.473798431302248</v>
      </c>
      <c r="V488" s="56">
        <f t="shared" si="155"/>
        <v>11.473798431302248</v>
      </c>
      <c r="W488" s="14"/>
      <c r="X488" s="14"/>
      <c r="Y488" s="14"/>
      <c r="Z488" s="14"/>
      <c r="AA488" s="18">
        <f t="shared" si="160"/>
        <v>8.9600000000000009</v>
      </c>
      <c r="AB488" s="14"/>
      <c r="AC488" s="14"/>
      <c r="AD488" s="14"/>
      <c r="AE488" s="14"/>
      <c r="AF488" s="16">
        <v>0</v>
      </c>
      <c r="AG488" s="16">
        <v>1</v>
      </c>
      <c r="AH488" s="16">
        <v>1</v>
      </c>
      <c r="AI488" s="16">
        <v>1</v>
      </c>
      <c r="AJ488" s="5">
        <v>1</v>
      </c>
      <c r="AK488" s="5">
        <v>0</v>
      </c>
      <c r="AL488" s="5">
        <v>0</v>
      </c>
      <c r="AM488" s="20"/>
      <c r="AN488" s="20" t="s">
        <v>25</v>
      </c>
      <c r="AO488" s="14"/>
      <c r="AP488" s="16"/>
      <c r="AQ488" s="16"/>
      <c r="AR488" s="16">
        <v>0</v>
      </c>
      <c r="AS488" s="16">
        <v>1</v>
      </c>
      <c r="AT488" s="16"/>
      <c r="AU488" s="16"/>
      <c r="AV488" s="16"/>
      <c r="AW488" s="16"/>
      <c r="AX488" s="16">
        <v>0</v>
      </c>
      <c r="AY488" s="16">
        <v>0</v>
      </c>
      <c r="AZ488" s="16">
        <v>1</v>
      </c>
      <c r="BA488" s="16">
        <v>0</v>
      </c>
    </row>
    <row r="489" spans="1:53" x14ac:dyDescent="0.2">
      <c r="A489" s="14"/>
      <c r="B489" s="14" t="str">
        <f t="shared" si="157"/>
        <v>Anthoff et al. 2009</v>
      </c>
      <c r="C489" s="61">
        <f t="shared" si="158"/>
        <v>54</v>
      </c>
      <c r="D489" s="58">
        <v>2009</v>
      </c>
      <c r="E489" s="17"/>
      <c r="F489" s="58">
        <v>1</v>
      </c>
      <c r="G489" s="16">
        <v>1995</v>
      </c>
      <c r="H489" s="15">
        <f>LOOKUP(G489,CPI!A$69:A$100,CPI!O$69:O$100)</f>
        <v>1.4308136482939633</v>
      </c>
      <c r="I489" s="52">
        <v>2010</v>
      </c>
      <c r="J489" s="15">
        <v>0.25</v>
      </c>
      <c r="K489" s="15"/>
      <c r="L489" s="62"/>
      <c r="M489" s="56">
        <f t="shared" si="159"/>
        <v>73.96263959713005</v>
      </c>
      <c r="N489" s="14">
        <v>44.35</v>
      </c>
      <c r="O489" s="18">
        <f t="shared" si="161"/>
        <v>44.35</v>
      </c>
      <c r="P489" s="16">
        <v>1</v>
      </c>
      <c r="Q489" s="16">
        <v>0</v>
      </c>
      <c r="R489" s="16">
        <v>0</v>
      </c>
      <c r="S489" s="14">
        <v>11.85</v>
      </c>
      <c r="T489" s="56">
        <f t="shared" si="140"/>
        <v>19.762283635309831</v>
      </c>
      <c r="U489" s="56">
        <f t="shared" si="154"/>
        <v>19.762283635309831</v>
      </c>
      <c r="V489" s="56">
        <f t="shared" si="155"/>
        <v>19.762283635309831</v>
      </c>
      <c r="W489" s="14"/>
      <c r="X489" s="14"/>
      <c r="Y489" s="14"/>
      <c r="Z489" s="14"/>
      <c r="AA489" s="18">
        <f t="shared" si="160"/>
        <v>44.35</v>
      </c>
      <c r="AB489" s="14"/>
      <c r="AC489" s="14"/>
      <c r="AD489" s="14"/>
      <c r="AE489" s="14"/>
      <c r="AF489" s="16">
        <v>0</v>
      </c>
      <c r="AG489" s="16">
        <v>1</v>
      </c>
      <c r="AH489" s="16">
        <v>1</v>
      </c>
      <c r="AI489" s="16">
        <v>1</v>
      </c>
      <c r="AJ489" s="5">
        <v>1</v>
      </c>
      <c r="AK489" s="5">
        <v>0</v>
      </c>
      <c r="AL489" s="5">
        <v>0</v>
      </c>
      <c r="AM489" s="20"/>
      <c r="AN489" s="20" t="s">
        <v>25</v>
      </c>
      <c r="AO489" s="14"/>
      <c r="AP489" s="16"/>
      <c r="AQ489" s="16"/>
      <c r="AR489" s="16">
        <v>1</v>
      </c>
      <c r="AS489" s="16">
        <v>1</v>
      </c>
      <c r="AT489" s="16"/>
      <c r="AU489" s="16"/>
      <c r="AV489" s="16"/>
      <c r="AW489" s="16"/>
      <c r="AX489" s="16">
        <v>0</v>
      </c>
      <c r="AY489" s="16">
        <v>0</v>
      </c>
      <c r="AZ489" s="16">
        <v>1</v>
      </c>
      <c r="BA489" s="16">
        <v>0</v>
      </c>
    </row>
    <row r="490" spans="1:53" x14ac:dyDescent="0.2">
      <c r="A490" s="14" t="s">
        <v>31</v>
      </c>
      <c r="B490" s="14" t="str">
        <f t="shared" si="157"/>
        <v>Anthoff et al. 2009</v>
      </c>
      <c r="C490" s="61">
        <f t="shared" si="158"/>
        <v>55</v>
      </c>
      <c r="D490" s="58">
        <v>2009</v>
      </c>
      <c r="E490" s="17" t="s">
        <v>132</v>
      </c>
      <c r="F490" s="58">
        <v>1</v>
      </c>
      <c r="G490" s="16">
        <v>1995</v>
      </c>
      <c r="H490" s="15">
        <f>LOOKUP(G490,CPI!A$69:A$100,CPI!O$69:O$100)</f>
        <v>1.4308136482939633</v>
      </c>
      <c r="I490" s="52">
        <v>2010</v>
      </c>
      <c r="J490" s="15">
        <f t="shared" ref="J490:J497" si="162">0.1*0.25</f>
        <v>2.5000000000000001E-2</v>
      </c>
      <c r="K490" s="15"/>
      <c r="L490" s="62"/>
      <c r="M490" s="56">
        <f t="shared" si="159"/>
        <v>-1.1673922822545892</v>
      </c>
      <c r="N490" s="14">
        <v>-0.7</v>
      </c>
      <c r="O490" s="18">
        <f t="shared" si="161"/>
        <v>-0.7</v>
      </c>
      <c r="P490" s="16">
        <v>1</v>
      </c>
      <c r="Q490" s="16">
        <v>0</v>
      </c>
      <c r="R490" s="16">
        <v>0</v>
      </c>
      <c r="S490" s="14"/>
      <c r="T490" s="56" t="str">
        <f t="shared" si="140"/>
        <v/>
      </c>
      <c r="U490" s="56" t="str">
        <f t="shared" si="154"/>
        <v/>
      </c>
      <c r="V490" s="56" t="str">
        <f t="shared" si="155"/>
        <v/>
      </c>
      <c r="W490" s="14"/>
      <c r="X490" s="14"/>
      <c r="Y490" s="14"/>
      <c r="Z490" s="14"/>
      <c r="AA490" s="18">
        <f t="shared" si="160"/>
        <v>-0.7</v>
      </c>
      <c r="AB490" s="14"/>
      <c r="AC490" s="14"/>
      <c r="AD490" s="14"/>
      <c r="AE490" s="14"/>
      <c r="AF490" s="16">
        <v>0</v>
      </c>
      <c r="AG490" s="16">
        <v>1</v>
      </c>
      <c r="AH490" s="16">
        <v>1</v>
      </c>
      <c r="AI490" s="16">
        <v>1</v>
      </c>
      <c r="AJ490" s="5">
        <v>1</v>
      </c>
      <c r="AK490" s="5">
        <v>0</v>
      </c>
      <c r="AL490" s="5">
        <v>0</v>
      </c>
      <c r="AM490" s="20"/>
      <c r="AN490" s="20" t="s">
        <v>25</v>
      </c>
      <c r="AO490" s="14"/>
      <c r="AP490" s="16"/>
      <c r="AQ490" s="16"/>
      <c r="AR490" s="16">
        <v>1</v>
      </c>
      <c r="AS490" s="16">
        <v>0</v>
      </c>
      <c r="AT490" s="16"/>
      <c r="AU490" s="16"/>
      <c r="AV490" s="16"/>
      <c r="AW490" s="16"/>
      <c r="AX490" s="16">
        <v>0</v>
      </c>
      <c r="AY490" s="16">
        <v>0</v>
      </c>
      <c r="AZ490" s="16">
        <v>1</v>
      </c>
      <c r="BA490" s="16">
        <v>0</v>
      </c>
    </row>
    <row r="491" spans="1:53" x14ac:dyDescent="0.2">
      <c r="A491" s="14"/>
      <c r="B491" s="14" t="str">
        <f t="shared" si="157"/>
        <v>Anthoff et al. 2009</v>
      </c>
      <c r="C491" s="61">
        <f t="shared" si="158"/>
        <v>55</v>
      </c>
      <c r="D491" s="58">
        <v>2009</v>
      </c>
      <c r="E491" s="17"/>
      <c r="F491" s="58">
        <v>1</v>
      </c>
      <c r="G491" s="16">
        <v>1995</v>
      </c>
      <c r="H491" s="15">
        <f>LOOKUP(G491,CPI!A$69:A$100,CPI!O$69:O$100)</f>
        <v>1.4308136482939633</v>
      </c>
      <c r="I491" s="52">
        <v>2010</v>
      </c>
      <c r="J491" s="15">
        <f t="shared" si="162"/>
        <v>2.5000000000000001E-2</v>
      </c>
      <c r="K491" s="15"/>
      <c r="L491" s="62"/>
      <c r="M491" s="56">
        <f t="shared" si="159"/>
        <v>21.013061080582606</v>
      </c>
      <c r="N491" s="14">
        <v>12.6</v>
      </c>
      <c r="O491" s="18">
        <f t="shared" si="161"/>
        <v>12.6</v>
      </c>
      <c r="P491" s="16">
        <v>1</v>
      </c>
      <c r="Q491" s="16">
        <v>0</v>
      </c>
      <c r="R491" s="16">
        <v>0</v>
      </c>
      <c r="S491" s="14"/>
      <c r="T491" s="56" t="str">
        <f t="shared" si="140"/>
        <v/>
      </c>
      <c r="U491" s="56" t="str">
        <f t="shared" si="154"/>
        <v/>
      </c>
      <c r="V491" s="56" t="str">
        <f t="shared" si="155"/>
        <v/>
      </c>
      <c r="W491" s="14"/>
      <c r="X491" s="14"/>
      <c r="Y491" s="14"/>
      <c r="Z491" s="14"/>
      <c r="AA491" s="18">
        <f t="shared" si="160"/>
        <v>12.6</v>
      </c>
      <c r="AB491" s="14"/>
      <c r="AC491" s="14"/>
      <c r="AD491" s="14"/>
      <c r="AE491" s="14"/>
      <c r="AF491" s="16">
        <v>0</v>
      </c>
      <c r="AG491" s="16">
        <v>1</v>
      </c>
      <c r="AH491" s="16">
        <v>1</v>
      </c>
      <c r="AI491" s="16">
        <v>1</v>
      </c>
      <c r="AJ491" s="5">
        <v>1</v>
      </c>
      <c r="AK491" s="5">
        <v>0</v>
      </c>
      <c r="AL491" s="5">
        <v>0</v>
      </c>
      <c r="AM491" s="20"/>
      <c r="AN491" s="20" t="s">
        <v>25</v>
      </c>
      <c r="AO491" s="14"/>
      <c r="AP491" s="16"/>
      <c r="AQ491" s="16"/>
      <c r="AR491" s="16">
        <v>1</v>
      </c>
      <c r="AS491" s="16">
        <v>0</v>
      </c>
      <c r="AT491" s="16"/>
      <c r="AU491" s="16"/>
      <c r="AV491" s="16"/>
      <c r="AW491" s="16"/>
      <c r="AX491" s="16">
        <v>0</v>
      </c>
      <c r="AY491" s="16">
        <v>0</v>
      </c>
      <c r="AZ491" s="16">
        <v>1</v>
      </c>
      <c r="BA491" s="16">
        <v>0</v>
      </c>
    </row>
    <row r="492" spans="1:53" x14ac:dyDescent="0.2">
      <c r="A492" s="14"/>
      <c r="B492" s="14" t="str">
        <f t="shared" si="157"/>
        <v>Anthoff et al. 2009</v>
      </c>
      <c r="C492" s="61">
        <f t="shared" si="158"/>
        <v>55</v>
      </c>
      <c r="D492" s="58">
        <v>2009</v>
      </c>
      <c r="E492" s="17"/>
      <c r="F492" s="58">
        <v>1</v>
      </c>
      <c r="G492" s="16">
        <v>1995</v>
      </c>
      <c r="H492" s="15">
        <f>LOOKUP(G492,CPI!A$69:A$100,CPI!O$69:O$100)</f>
        <v>1.4308136482939633</v>
      </c>
      <c r="I492" s="52">
        <v>2010</v>
      </c>
      <c r="J492" s="15">
        <f t="shared" si="162"/>
        <v>2.5000000000000001E-2</v>
      </c>
      <c r="K492" s="15"/>
      <c r="L492" s="62"/>
      <c r="M492" s="56">
        <f t="shared" si="159"/>
        <v>350.38445500241312</v>
      </c>
      <c r="N492" s="14">
        <v>210.1</v>
      </c>
      <c r="O492" s="18">
        <f t="shared" si="161"/>
        <v>210.1</v>
      </c>
      <c r="P492" s="16">
        <v>1</v>
      </c>
      <c r="Q492" s="16">
        <v>0</v>
      </c>
      <c r="R492" s="16">
        <v>0</v>
      </c>
      <c r="S492" s="14"/>
      <c r="T492" s="56" t="str">
        <f t="shared" si="140"/>
        <v/>
      </c>
      <c r="U492" s="56" t="str">
        <f t="shared" si="154"/>
        <v/>
      </c>
      <c r="V492" s="56" t="str">
        <f t="shared" si="155"/>
        <v/>
      </c>
      <c r="W492" s="14"/>
      <c r="X492" s="14"/>
      <c r="Y492" s="14"/>
      <c r="Z492" s="14"/>
      <c r="AA492" s="18">
        <f t="shared" si="160"/>
        <v>210.1</v>
      </c>
      <c r="AB492" s="14"/>
      <c r="AC492" s="14"/>
      <c r="AD492" s="14"/>
      <c r="AE492" s="14"/>
      <c r="AF492" s="16">
        <v>0</v>
      </c>
      <c r="AG492" s="16">
        <v>1</v>
      </c>
      <c r="AH492" s="16">
        <v>1</v>
      </c>
      <c r="AI492" s="16">
        <v>1</v>
      </c>
      <c r="AJ492" s="5">
        <v>1</v>
      </c>
      <c r="AK492" s="5">
        <v>0</v>
      </c>
      <c r="AL492" s="5">
        <v>0</v>
      </c>
      <c r="AM492" s="20"/>
      <c r="AN492" s="20" t="s">
        <v>25</v>
      </c>
      <c r="AO492" s="14"/>
      <c r="AP492" s="16"/>
      <c r="AQ492" s="16"/>
      <c r="AR492" s="16">
        <v>1</v>
      </c>
      <c r="AS492" s="16">
        <v>0</v>
      </c>
      <c r="AT492" s="16"/>
      <c r="AU492" s="16"/>
      <c r="AV492" s="16"/>
      <c r="AW492" s="16"/>
      <c r="AX492" s="16">
        <v>0</v>
      </c>
      <c r="AY492" s="16">
        <v>0</v>
      </c>
      <c r="AZ492" s="16">
        <v>1</v>
      </c>
      <c r="BA492" s="16">
        <v>0</v>
      </c>
    </row>
    <row r="493" spans="1:53" x14ac:dyDescent="0.2">
      <c r="A493" s="14"/>
      <c r="B493" s="14" t="str">
        <f t="shared" si="157"/>
        <v>Anthoff et al. 2009</v>
      </c>
      <c r="C493" s="61">
        <f t="shared" si="158"/>
        <v>55</v>
      </c>
      <c r="D493" s="58">
        <v>2009</v>
      </c>
      <c r="E493" s="17"/>
      <c r="F493" s="58">
        <v>1</v>
      </c>
      <c r="G493" s="16">
        <v>1995</v>
      </c>
      <c r="H493" s="15">
        <f>LOOKUP(G493,CPI!A$69:A$100,CPI!O$69:O$100)</f>
        <v>1.4308136482939633</v>
      </c>
      <c r="I493" s="52">
        <v>2010</v>
      </c>
      <c r="J493" s="15">
        <f t="shared" si="162"/>
        <v>2.5000000000000001E-2</v>
      </c>
      <c r="K493" s="15"/>
      <c r="L493" s="62"/>
      <c r="M493" s="56">
        <f t="shared" si="159"/>
        <v>102.73052083840385</v>
      </c>
      <c r="N493" s="14">
        <v>61.6</v>
      </c>
      <c r="O493" s="18">
        <f t="shared" si="161"/>
        <v>61.6</v>
      </c>
      <c r="P493" s="16">
        <v>1</v>
      </c>
      <c r="Q493" s="16">
        <v>0</v>
      </c>
      <c r="R493" s="16">
        <v>0</v>
      </c>
      <c r="S493" s="14"/>
      <c r="T493" s="56" t="str">
        <f t="shared" si="140"/>
        <v/>
      </c>
      <c r="U493" s="56" t="str">
        <f t="shared" si="154"/>
        <v/>
      </c>
      <c r="V493" s="56" t="str">
        <f t="shared" si="155"/>
        <v/>
      </c>
      <c r="W493" s="14"/>
      <c r="X493" s="14"/>
      <c r="Y493" s="14"/>
      <c r="Z493" s="14"/>
      <c r="AA493" s="18">
        <f t="shared" si="160"/>
        <v>61.6</v>
      </c>
      <c r="AB493" s="14"/>
      <c r="AC493" s="14"/>
      <c r="AD493" s="14"/>
      <c r="AE493" s="14"/>
      <c r="AF493" s="16">
        <v>0</v>
      </c>
      <c r="AG493" s="16">
        <v>1</v>
      </c>
      <c r="AH493" s="16">
        <v>1</v>
      </c>
      <c r="AI493" s="16">
        <v>1</v>
      </c>
      <c r="AJ493" s="5">
        <v>1</v>
      </c>
      <c r="AK493" s="5">
        <v>0</v>
      </c>
      <c r="AL493" s="5">
        <v>0</v>
      </c>
      <c r="AM493" s="20"/>
      <c r="AN493" s="20" t="s">
        <v>25</v>
      </c>
      <c r="AO493" s="14"/>
      <c r="AP493" s="16"/>
      <c r="AQ493" s="16"/>
      <c r="AR493" s="16">
        <v>1</v>
      </c>
      <c r="AS493" s="16">
        <v>0</v>
      </c>
      <c r="AT493" s="16"/>
      <c r="AU493" s="16"/>
      <c r="AV493" s="16"/>
      <c r="AW493" s="16"/>
      <c r="AX493" s="16">
        <v>0</v>
      </c>
      <c r="AY493" s="16">
        <v>0</v>
      </c>
      <c r="AZ493" s="16">
        <v>1</v>
      </c>
      <c r="BA493" s="16">
        <v>0</v>
      </c>
    </row>
    <row r="494" spans="1:53" x14ac:dyDescent="0.2">
      <c r="A494" s="14"/>
      <c r="B494" s="14" t="str">
        <f t="shared" si="157"/>
        <v>Anthoff et al. 2009</v>
      </c>
      <c r="C494" s="61">
        <f t="shared" si="158"/>
        <v>55</v>
      </c>
      <c r="D494" s="58">
        <v>2009</v>
      </c>
      <c r="E494" s="17"/>
      <c r="F494" s="58">
        <v>1</v>
      </c>
      <c r="G494" s="16">
        <v>1995</v>
      </c>
      <c r="H494" s="15">
        <f>LOOKUP(G494,CPI!A$69:A$100,CPI!O$69:O$100)</f>
        <v>1.4308136482939633</v>
      </c>
      <c r="I494" s="52">
        <v>2010</v>
      </c>
      <c r="J494" s="15">
        <f t="shared" si="162"/>
        <v>2.5000000000000001E-2</v>
      </c>
      <c r="K494" s="15"/>
      <c r="L494" s="62"/>
      <c r="M494" s="56">
        <f t="shared" si="159"/>
        <v>67.875522696802548</v>
      </c>
      <c r="N494" s="14">
        <v>40.700000000000003</v>
      </c>
      <c r="O494" s="18">
        <f t="shared" si="161"/>
        <v>40.700000000000003</v>
      </c>
      <c r="P494" s="16">
        <v>1</v>
      </c>
      <c r="Q494" s="16">
        <v>0</v>
      </c>
      <c r="R494" s="16">
        <v>0</v>
      </c>
      <c r="S494" s="14"/>
      <c r="T494" s="56" t="str">
        <f t="shared" si="140"/>
        <v/>
      </c>
      <c r="U494" s="56" t="str">
        <f t="shared" si="154"/>
        <v/>
      </c>
      <c r="V494" s="56" t="str">
        <f t="shared" si="155"/>
        <v/>
      </c>
      <c r="W494" s="14"/>
      <c r="X494" s="14"/>
      <c r="Y494" s="14"/>
      <c r="Z494" s="14"/>
      <c r="AA494" s="18">
        <f t="shared" si="160"/>
        <v>40.700000000000003</v>
      </c>
      <c r="AB494" s="14"/>
      <c r="AC494" s="14"/>
      <c r="AD494" s="14"/>
      <c r="AE494" s="14"/>
      <c r="AF494" s="16">
        <v>0</v>
      </c>
      <c r="AG494" s="16">
        <v>1</v>
      </c>
      <c r="AH494" s="16">
        <v>1</v>
      </c>
      <c r="AI494" s="16">
        <v>1</v>
      </c>
      <c r="AJ494" s="5">
        <v>1</v>
      </c>
      <c r="AK494" s="5">
        <v>0</v>
      </c>
      <c r="AL494" s="5">
        <v>0</v>
      </c>
      <c r="AM494" s="20"/>
      <c r="AN494" s="20" t="s">
        <v>25</v>
      </c>
      <c r="AO494" s="14"/>
      <c r="AP494" s="16"/>
      <c r="AQ494" s="16"/>
      <c r="AR494" s="16">
        <v>1</v>
      </c>
      <c r="AS494" s="16">
        <v>0</v>
      </c>
      <c r="AT494" s="16"/>
      <c r="AU494" s="16"/>
      <c r="AV494" s="16"/>
      <c r="AW494" s="16"/>
      <c r="AX494" s="16">
        <v>0</v>
      </c>
      <c r="AY494" s="16">
        <v>0</v>
      </c>
      <c r="AZ494" s="16">
        <v>1</v>
      </c>
      <c r="BA494" s="16">
        <v>0</v>
      </c>
    </row>
    <row r="495" spans="1:53" x14ac:dyDescent="0.2">
      <c r="A495" s="14"/>
      <c r="B495" s="14" t="str">
        <f t="shared" si="157"/>
        <v>Anthoff et al. 2009</v>
      </c>
      <c r="C495" s="61">
        <f t="shared" si="158"/>
        <v>55</v>
      </c>
      <c r="D495" s="58">
        <v>2009</v>
      </c>
      <c r="E495" s="17"/>
      <c r="F495" s="58">
        <v>1</v>
      </c>
      <c r="G495" s="16">
        <v>1995</v>
      </c>
      <c r="H495" s="15">
        <f>LOOKUP(G495,CPI!A$69:A$100,CPI!O$69:O$100)</f>
        <v>1.4308136482939633</v>
      </c>
      <c r="I495" s="52">
        <v>2010</v>
      </c>
      <c r="J495" s="15">
        <f t="shared" si="162"/>
        <v>2.5000000000000001E-2</v>
      </c>
      <c r="K495" s="15"/>
      <c r="L495" s="62"/>
      <c r="M495" s="56">
        <f t="shared" si="159"/>
        <v>97.894181383349135</v>
      </c>
      <c r="N495" s="14">
        <v>58.7</v>
      </c>
      <c r="O495" s="18">
        <f t="shared" si="161"/>
        <v>58.7</v>
      </c>
      <c r="P495" s="16">
        <v>1</v>
      </c>
      <c r="Q495" s="16">
        <v>0</v>
      </c>
      <c r="R495" s="16">
        <v>0</v>
      </c>
      <c r="S495" s="14"/>
      <c r="T495" s="56" t="str">
        <f t="shared" si="140"/>
        <v/>
      </c>
      <c r="U495" s="56" t="str">
        <f t="shared" si="154"/>
        <v/>
      </c>
      <c r="V495" s="56" t="str">
        <f t="shared" si="155"/>
        <v/>
      </c>
      <c r="W495" s="14"/>
      <c r="X495" s="14"/>
      <c r="Y495" s="14"/>
      <c r="Z495" s="14"/>
      <c r="AA495" s="18">
        <f t="shared" si="160"/>
        <v>58.7</v>
      </c>
      <c r="AB495" s="14"/>
      <c r="AC495" s="14"/>
      <c r="AD495" s="14"/>
      <c r="AE495" s="14"/>
      <c r="AF495" s="16">
        <v>0</v>
      </c>
      <c r="AG495" s="16">
        <v>1</v>
      </c>
      <c r="AH495" s="16">
        <v>1</v>
      </c>
      <c r="AI495" s="16">
        <v>1</v>
      </c>
      <c r="AJ495" s="5">
        <v>1</v>
      </c>
      <c r="AK495" s="5">
        <v>0</v>
      </c>
      <c r="AL495" s="5">
        <v>0</v>
      </c>
      <c r="AM495" s="20"/>
      <c r="AN495" s="20" t="s">
        <v>25</v>
      </c>
      <c r="AO495" s="14"/>
      <c r="AP495" s="16"/>
      <c r="AQ495" s="16"/>
      <c r="AR495" s="16">
        <v>1</v>
      </c>
      <c r="AS495" s="16">
        <v>0</v>
      </c>
      <c r="AT495" s="16"/>
      <c r="AU495" s="16"/>
      <c r="AV495" s="16"/>
      <c r="AW495" s="16"/>
      <c r="AX495" s="16">
        <v>0</v>
      </c>
      <c r="AY495" s="16">
        <v>0</v>
      </c>
      <c r="AZ495" s="16">
        <v>1</v>
      </c>
      <c r="BA495" s="16">
        <v>0</v>
      </c>
    </row>
    <row r="496" spans="1:53" x14ac:dyDescent="0.2">
      <c r="A496" s="14"/>
      <c r="B496" s="14" t="str">
        <f t="shared" si="157"/>
        <v>Anthoff et al. 2009</v>
      </c>
      <c r="C496" s="61">
        <f t="shared" si="158"/>
        <v>55</v>
      </c>
      <c r="D496" s="58">
        <v>2009</v>
      </c>
      <c r="E496" s="17"/>
      <c r="F496" s="58">
        <v>1</v>
      </c>
      <c r="G496" s="16">
        <v>1995</v>
      </c>
      <c r="H496" s="15">
        <f>LOOKUP(G496,CPI!A$69:A$100,CPI!O$69:O$100)</f>
        <v>1.4308136482939633</v>
      </c>
      <c r="I496" s="52">
        <v>2010</v>
      </c>
      <c r="J496" s="15">
        <f t="shared" si="162"/>
        <v>2.5000000000000001E-2</v>
      </c>
      <c r="K496" s="15"/>
      <c r="L496" s="62"/>
      <c r="M496" s="56">
        <f t="shared" si="159"/>
        <v>379.90280271085066</v>
      </c>
      <c r="N496" s="14">
        <v>227.8</v>
      </c>
      <c r="O496" s="18">
        <f t="shared" si="161"/>
        <v>227.8</v>
      </c>
      <c r="P496" s="16">
        <v>1</v>
      </c>
      <c r="Q496" s="16">
        <v>0</v>
      </c>
      <c r="R496" s="16">
        <v>0</v>
      </c>
      <c r="S496" s="14"/>
      <c r="T496" s="56" t="str">
        <f t="shared" si="140"/>
        <v/>
      </c>
      <c r="U496" s="56" t="str">
        <f t="shared" si="154"/>
        <v/>
      </c>
      <c r="V496" s="56" t="str">
        <f t="shared" si="155"/>
        <v/>
      </c>
      <c r="W496" s="14"/>
      <c r="X496" s="14"/>
      <c r="Y496" s="14"/>
      <c r="Z496" s="14"/>
      <c r="AA496" s="18">
        <f t="shared" si="160"/>
        <v>227.8</v>
      </c>
      <c r="AB496" s="14"/>
      <c r="AC496" s="14"/>
      <c r="AD496" s="14"/>
      <c r="AE496" s="14"/>
      <c r="AF496" s="16">
        <v>0</v>
      </c>
      <c r="AG496" s="16">
        <v>1</v>
      </c>
      <c r="AH496" s="16">
        <v>1</v>
      </c>
      <c r="AI496" s="16">
        <v>1</v>
      </c>
      <c r="AJ496" s="5">
        <v>1</v>
      </c>
      <c r="AK496" s="5">
        <v>0</v>
      </c>
      <c r="AL496" s="5">
        <v>0</v>
      </c>
      <c r="AM496" s="20"/>
      <c r="AN496" s="20" t="s">
        <v>25</v>
      </c>
      <c r="AO496" s="14"/>
      <c r="AP496" s="16"/>
      <c r="AQ496" s="16"/>
      <c r="AR496" s="16">
        <v>1</v>
      </c>
      <c r="AS496" s="16">
        <v>0</v>
      </c>
      <c r="AT496" s="16"/>
      <c r="AU496" s="16"/>
      <c r="AV496" s="16"/>
      <c r="AW496" s="16"/>
      <c r="AX496" s="16">
        <v>0</v>
      </c>
      <c r="AY496" s="16">
        <v>0</v>
      </c>
      <c r="AZ496" s="16">
        <v>1</v>
      </c>
      <c r="BA496" s="16">
        <v>0</v>
      </c>
    </row>
    <row r="497" spans="1:53" x14ac:dyDescent="0.2">
      <c r="A497" s="14"/>
      <c r="B497" s="14" t="str">
        <f t="shared" si="157"/>
        <v>Anthoff et al. 2009</v>
      </c>
      <c r="C497" s="61">
        <f t="shared" si="158"/>
        <v>55</v>
      </c>
      <c r="D497" s="58">
        <v>2009</v>
      </c>
      <c r="E497" s="17"/>
      <c r="F497" s="58">
        <v>1</v>
      </c>
      <c r="G497" s="16">
        <v>1995</v>
      </c>
      <c r="H497" s="15">
        <f>LOOKUP(G497,CPI!A$69:A$100,CPI!O$69:O$100)</f>
        <v>1.4308136482939633</v>
      </c>
      <c r="I497" s="52">
        <v>2010</v>
      </c>
      <c r="J497" s="15">
        <f t="shared" si="162"/>
        <v>2.5000000000000001E-2</v>
      </c>
      <c r="K497" s="15"/>
      <c r="L497" s="62"/>
      <c r="M497" s="56">
        <f t="shared" si="159"/>
        <v>195.78836276669827</v>
      </c>
      <c r="N497" s="14">
        <v>117.4</v>
      </c>
      <c r="O497" s="18">
        <f t="shared" si="161"/>
        <v>117.4</v>
      </c>
      <c r="P497" s="16">
        <v>1</v>
      </c>
      <c r="Q497" s="16">
        <v>0</v>
      </c>
      <c r="R497" s="16">
        <v>0</v>
      </c>
      <c r="S497" s="14"/>
      <c r="T497" s="56" t="str">
        <f t="shared" si="140"/>
        <v/>
      </c>
      <c r="U497" s="56" t="str">
        <f t="shared" si="154"/>
        <v/>
      </c>
      <c r="V497" s="56" t="str">
        <f t="shared" si="155"/>
        <v/>
      </c>
      <c r="W497" s="14"/>
      <c r="X497" s="14"/>
      <c r="Y497" s="14"/>
      <c r="Z497" s="14"/>
      <c r="AA497" s="18">
        <f t="shared" si="160"/>
        <v>117.4</v>
      </c>
      <c r="AB497" s="14"/>
      <c r="AC497" s="14"/>
      <c r="AD497" s="14"/>
      <c r="AE497" s="14"/>
      <c r="AF497" s="16">
        <v>0</v>
      </c>
      <c r="AG497" s="16">
        <v>1</v>
      </c>
      <c r="AH497" s="16">
        <v>1</v>
      </c>
      <c r="AI497" s="16">
        <v>1</v>
      </c>
      <c r="AJ497" s="5">
        <v>1</v>
      </c>
      <c r="AK497" s="5">
        <v>0</v>
      </c>
      <c r="AL497" s="5">
        <v>0</v>
      </c>
      <c r="AM497" s="20"/>
      <c r="AN497" s="20" t="s">
        <v>25</v>
      </c>
      <c r="AO497" s="14"/>
      <c r="AP497" s="16"/>
      <c r="AQ497" s="16"/>
      <c r="AR497" s="16">
        <v>1</v>
      </c>
      <c r="AS497" s="16">
        <v>0</v>
      </c>
      <c r="AT497" s="16"/>
      <c r="AU497" s="16"/>
      <c r="AV497" s="16"/>
      <c r="AW497" s="16"/>
      <c r="AX497" s="16">
        <v>0</v>
      </c>
      <c r="AY497" s="16">
        <v>0</v>
      </c>
      <c r="AZ497" s="16">
        <v>1</v>
      </c>
      <c r="BA497" s="16">
        <v>0</v>
      </c>
    </row>
    <row r="498" spans="1:53" x14ac:dyDescent="0.2">
      <c r="A498" s="14"/>
      <c r="B498" s="14" t="str">
        <f t="shared" si="157"/>
        <v>Anthoff et al. 2009</v>
      </c>
      <c r="C498" s="61">
        <f t="shared" si="158"/>
        <v>55</v>
      </c>
      <c r="D498" s="58">
        <v>2009</v>
      </c>
      <c r="E498" s="17"/>
      <c r="F498" s="58">
        <v>1</v>
      </c>
      <c r="G498" s="16">
        <v>1995</v>
      </c>
      <c r="H498" s="15">
        <f>LOOKUP(G498,CPI!A$69:A$100,CPI!O$69:O$100)</f>
        <v>1.4308136482939633</v>
      </c>
      <c r="I498" s="52">
        <v>2010</v>
      </c>
      <c r="J498" s="15">
        <f>0.8*0.25</f>
        <v>0.2</v>
      </c>
      <c r="K498" s="15"/>
      <c r="L498" s="62"/>
      <c r="M498" s="56">
        <f t="shared" si="159"/>
        <v>-0.66708130414547961</v>
      </c>
      <c r="N498" s="14">
        <v>-0.4</v>
      </c>
      <c r="O498" s="18">
        <f t="shared" si="161"/>
        <v>-0.4</v>
      </c>
      <c r="P498" s="16">
        <v>1</v>
      </c>
      <c r="Q498" s="16">
        <v>0</v>
      </c>
      <c r="R498" s="16">
        <v>0</v>
      </c>
      <c r="S498" s="14"/>
      <c r="T498" s="56" t="str">
        <f t="shared" si="140"/>
        <v/>
      </c>
      <c r="U498" s="56" t="str">
        <f t="shared" si="154"/>
        <v/>
      </c>
      <c r="V498" s="56" t="str">
        <f t="shared" si="155"/>
        <v/>
      </c>
      <c r="W498" s="14"/>
      <c r="X498" s="14"/>
      <c r="Y498" s="14"/>
      <c r="Z498" s="14"/>
      <c r="AA498" s="18">
        <f t="shared" si="160"/>
        <v>-0.4</v>
      </c>
      <c r="AB498" s="14"/>
      <c r="AC498" s="14"/>
      <c r="AD498" s="14"/>
      <c r="AE498" s="14"/>
      <c r="AF498" s="16">
        <v>0</v>
      </c>
      <c r="AG498" s="16">
        <v>1</v>
      </c>
      <c r="AH498" s="16">
        <v>1</v>
      </c>
      <c r="AI498" s="16">
        <v>1</v>
      </c>
      <c r="AJ498" s="5">
        <v>1</v>
      </c>
      <c r="AK498" s="5">
        <v>0</v>
      </c>
      <c r="AL498" s="5">
        <v>0</v>
      </c>
      <c r="AM498" s="20"/>
      <c r="AN498" s="20" t="s">
        <v>25</v>
      </c>
      <c r="AO498" s="14"/>
      <c r="AP498" s="16"/>
      <c r="AQ498" s="16"/>
      <c r="AR498" s="16">
        <v>1</v>
      </c>
      <c r="AS498" s="16">
        <v>0</v>
      </c>
      <c r="AT498" s="16"/>
      <c r="AU498" s="16"/>
      <c r="AV498" s="16"/>
      <c r="AW498" s="16"/>
      <c r="AX498" s="16">
        <v>0</v>
      </c>
      <c r="AY498" s="16">
        <v>0</v>
      </c>
      <c r="AZ498" s="16">
        <v>1</v>
      </c>
      <c r="BA498" s="16">
        <v>0</v>
      </c>
    </row>
    <row r="499" spans="1:53" x14ac:dyDescent="0.2">
      <c r="A499" s="14"/>
      <c r="B499" s="14" t="str">
        <f t="shared" si="157"/>
        <v>Anthoff et al. 2009</v>
      </c>
      <c r="C499" s="61">
        <f t="shared" si="158"/>
        <v>55</v>
      </c>
      <c r="D499" s="58">
        <v>2009</v>
      </c>
      <c r="E499" s="17"/>
      <c r="F499" s="58">
        <v>1</v>
      </c>
      <c r="G499" s="16">
        <v>1995</v>
      </c>
      <c r="H499" s="15">
        <f>LOOKUP(G499,CPI!A$69:A$100,CPI!O$69:O$100)</f>
        <v>1.4308136482939633</v>
      </c>
      <c r="I499" s="52">
        <v>2010</v>
      </c>
      <c r="J499" s="15">
        <f>0.8*0.25</f>
        <v>0.2</v>
      </c>
      <c r="K499" s="15"/>
      <c r="L499" s="62"/>
      <c r="M499" s="56">
        <f t="shared" si="159"/>
        <v>22.013683036800824</v>
      </c>
      <c r="N499" s="14">
        <v>13.2</v>
      </c>
      <c r="O499" s="18">
        <f t="shared" si="161"/>
        <v>13.2</v>
      </c>
      <c r="P499" s="16">
        <v>1</v>
      </c>
      <c r="Q499" s="16">
        <v>0</v>
      </c>
      <c r="R499" s="16">
        <v>0</v>
      </c>
      <c r="S499" s="14"/>
      <c r="T499" s="56" t="str">
        <f t="shared" si="140"/>
        <v/>
      </c>
      <c r="U499" s="56" t="str">
        <f t="shared" si="154"/>
        <v/>
      </c>
      <c r="V499" s="56" t="str">
        <f t="shared" si="155"/>
        <v/>
      </c>
      <c r="W499" s="14"/>
      <c r="X499" s="14"/>
      <c r="Y499" s="14"/>
      <c r="Z499" s="14"/>
      <c r="AA499" s="18">
        <f t="shared" si="160"/>
        <v>13.2</v>
      </c>
      <c r="AB499" s="14"/>
      <c r="AC499" s="14"/>
      <c r="AD499" s="14"/>
      <c r="AE499" s="14"/>
      <c r="AF499" s="16">
        <v>0</v>
      </c>
      <c r="AG499" s="16">
        <v>1</v>
      </c>
      <c r="AH499" s="16">
        <v>1</v>
      </c>
      <c r="AI499" s="16">
        <v>1</v>
      </c>
      <c r="AJ499" s="5">
        <v>1</v>
      </c>
      <c r="AK499" s="5">
        <v>0</v>
      </c>
      <c r="AL499" s="5">
        <v>0</v>
      </c>
      <c r="AM499" s="20"/>
      <c r="AN499" s="20" t="s">
        <v>25</v>
      </c>
      <c r="AO499" s="14"/>
      <c r="AP499" s="16"/>
      <c r="AQ499" s="16"/>
      <c r="AR499" s="16">
        <v>1</v>
      </c>
      <c r="AS499" s="16">
        <v>0</v>
      </c>
      <c r="AT499" s="16"/>
      <c r="AU499" s="16"/>
      <c r="AV499" s="16"/>
      <c r="AW499" s="16"/>
      <c r="AX499" s="16">
        <v>0</v>
      </c>
      <c r="AY499" s="16">
        <v>0</v>
      </c>
      <c r="AZ499" s="16">
        <v>1</v>
      </c>
      <c r="BA499" s="16">
        <v>0</v>
      </c>
    </row>
    <row r="500" spans="1:53" x14ac:dyDescent="0.2">
      <c r="A500" s="14"/>
      <c r="B500" s="14" t="str">
        <f t="shared" si="157"/>
        <v>Anthoff et al. 2009</v>
      </c>
      <c r="C500" s="61">
        <f t="shared" si="158"/>
        <v>55</v>
      </c>
      <c r="D500" s="58">
        <v>2009</v>
      </c>
      <c r="E500" s="17"/>
      <c r="F500" s="58">
        <v>1</v>
      </c>
      <c r="G500" s="16">
        <v>1995</v>
      </c>
      <c r="H500" s="15">
        <f>LOOKUP(G500,CPI!A$69:A$100,CPI!O$69:O$100)</f>
        <v>1.4308136482939633</v>
      </c>
      <c r="I500" s="52">
        <v>2010</v>
      </c>
      <c r="J500" s="15">
        <f>0.8*0.25</f>
        <v>0.2</v>
      </c>
      <c r="K500" s="15"/>
      <c r="L500" s="62"/>
      <c r="M500" s="56">
        <f t="shared" si="159"/>
        <v>342.71302000474009</v>
      </c>
      <c r="N500" s="14">
        <v>205.5</v>
      </c>
      <c r="O500" s="18">
        <f t="shared" si="161"/>
        <v>205.5</v>
      </c>
      <c r="P500" s="16">
        <v>1</v>
      </c>
      <c r="Q500" s="16">
        <v>0</v>
      </c>
      <c r="R500" s="16">
        <v>0</v>
      </c>
      <c r="S500" s="14"/>
      <c r="T500" s="56" t="str">
        <f t="shared" si="140"/>
        <v/>
      </c>
      <c r="U500" s="56" t="str">
        <f t="shared" si="154"/>
        <v/>
      </c>
      <c r="V500" s="56" t="str">
        <f t="shared" si="155"/>
        <v/>
      </c>
      <c r="W500" s="14"/>
      <c r="X500" s="14"/>
      <c r="Y500" s="14"/>
      <c r="Z500" s="14"/>
      <c r="AA500" s="18">
        <f t="shared" si="160"/>
        <v>205.5</v>
      </c>
      <c r="AB500" s="14"/>
      <c r="AC500" s="14"/>
      <c r="AD500" s="14"/>
      <c r="AE500" s="14"/>
      <c r="AF500" s="16">
        <v>0</v>
      </c>
      <c r="AG500" s="16">
        <v>1</v>
      </c>
      <c r="AH500" s="16">
        <v>1</v>
      </c>
      <c r="AI500" s="16">
        <v>1</v>
      </c>
      <c r="AJ500" s="5">
        <v>1</v>
      </c>
      <c r="AK500" s="5">
        <v>0</v>
      </c>
      <c r="AL500" s="5">
        <v>0</v>
      </c>
      <c r="AM500" s="20"/>
      <c r="AN500" s="20" t="s">
        <v>25</v>
      </c>
      <c r="AO500" s="14"/>
      <c r="AP500" s="16"/>
      <c r="AQ500" s="16"/>
      <c r="AR500" s="16">
        <v>1</v>
      </c>
      <c r="AS500" s="16">
        <v>0</v>
      </c>
      <c r="AT500" s="16"/>
      <c r="AU500" s="16"/>
      <c r="AV500" s="16"/>
      <c r="AW500" s="16"/>
      <c r="AX500" s="16">
        <v>0</v>
      </c>
      <c r="AY500" s="16">
        <v>0</v>
      </c>
      <c r="AZ500" s="16">
        <v>1</v>
      </c>
      <c r="BA500" s="16">
        <v>0</v>
      </c>
    </row>
    <row r="501" spans="1:53" x14ac:dyDescent="0.2">
      <c r="A501" s="14"/>
      <c r="B501" s="14" t="str">
        <f t="shared" si="157"/>
        <v>Anthoff et al. 2009</v>
      </c>
      <c r="C501" s="61">
        <f t="shared" si="158"/>
        <v>55</v>
      </c>
      <c r="D501" s="58">
        <v>2009</v>
      </c>
      <c r="E501" s="17"/>
      <c r="F501" s="58">
        <v>1</v>
      </c>
      <c r="G501" s="16">
        <v>1995</v>
      </c>
      <c r="H501" s="15">
        <f>LOOKUP(G501,CPI!A$69:A$100,CPI!O$69:O$100)</f>
        <v>1.4308136482939633</v>
      </c>
      <c r="I501" s="52">
        <v>2010</v>
      </c>
      <c r="J501" s="15">
        <f>0.8*0.25</f>
        <v>0.2</v>
      </c>
      <c r="K501" s="15"/>
      <c r="L501" s="62"/>
      <c r="M501" s="56">
        <f t="shared" si="159"/>
        <v>101.22958790407652</v>
      </c>
      <c r="N501" s="14">
        <v>60.7</v>
      </c>
      <c r="O501" s="18">
        <f t="shared" si="161"/>
        <v>60.7</v>
      </c>
      <c r="P501" s="16">
        <v>1</v>
      </c>
      <c r="Q501" s="16">
        <v>0</v>
      </c>
      <c r="R501" s="16">
        <v>0</v>
      </c>
      <c r="S501" s="14"/>
      <c r="T501" s="56" t="str">
        <f t="shared" si="140"/>
        <v/>
      </c>
      <c r="U501" s="56" t="str">
        <f t="shared" si="154"/>
        <v/>
      </c>
      <c r="V501" s="56" t="str">
        <f t="shared" si="155"/>
        <v/>
      </c>
      <c r="W501" s="14"/>
      <c r="X501" s="14"/>
      <c r="Y501" s="14"/>
      <c r="Z501" s="14"/>
      <c r="AA501" s="18">
        <f t="shared" si="160"/>
        <v>60.7</v>
      </c>
      <c r="AB501" s="14"/>
      <c r="AC501" s="14"/>
      <c r="AD501" s="14"/>
      <c r="AE501" s="14"/>
      <c r="AF501" s="16">
        <v>0</v>
      </c>
      <c r="AG501" s="16">
        <v>1</v>
      </c>
      <c r="AH501" s="16">
        <v>1</v>
      </c>
      <c r="AI501" s="16">
        <v>1</v>
      </c>
      <c r="AJ501" s="5">
        <v>1</v>
      </c>
      <c r="AK501" s="5">
        <v>0</v>
      </c>
      <c r="AL501" s="5">
        <v>0</v>
      </c>
      <c r="AM501" s="20"/>
      <c r="AN501" s="20" t="s">
        <v>25</v>
      </c>
      <c r="AO501" s="14"/>
      <c r="AP501" s="16"/>
      <c r="AQ501" s="16"/>
      <c r="AR501" s="16">
        <v>1</v>
      </c>
      <c r="AS501" s="16">
        <v>0</v>
      </c>
      <c r="AT501" s="16"/>
      <c r="AU501" s="16"/>
      <c r="AV501" s="16"/>
      <c r="AW501" s="16"/>
      <c r="AX501" s="16">
        <v>0</v>
      </c>
      <c r="AY501" s="16">
        <v>0</v>
      </c>
      <c r="AZ501" s="16">
        <v>1</v>
      </c>
      <c r="BA501" s="16">
        <v>0</v>
      </c>
    </row>
    <row r="502" spans="1:53" x14ac:dyDescent="0.2">
      <c r="A502" s="14" t="s">
        <v>33</v>
      </c>
      <c r="B502" s="14" t="str">
        <f t="shared" si="157"/>
        <v>EPA &amp; NHTSA 2009</v>
      </c>
      <c r="C502" s="61">
        <f t="shared" si="158"/>
        <v>56</v>
      </c>
      <c r="D502" s="58">
        <v>2009</v>
      </c>
      <c r="E502" s="17" t="s">
        <v>131</v>
      </c>
      <c r="F502" s="58">
        <v>0</v>
      </c>
      <c r="G502" s="16">
        <v>2007</v>
      </c>
      <c r="H502" s="15">
        <f>LOOKUP(G502,CPI!A$69:A$100,CPI!O$69:O$100)</f>
        <v>1.0516730811895323</v>
      </c>
      <c r="I502" s="16">
        <v>2007</v>
      </c>
      <c r="J502" s="15">
        <f>1/9</f>
        <v>0.1111111111111111</v>
      </c>
      <c r="K502" s="44">
        <v>0.2</v>
      </c>
      <c r="L502" s="57">
        <f>(AA503/AA502)^(1/(I503-I502))-1</f>
        <v>4.2956042188392995E-2</v>
      </c>
      <c r="N502" s="14">
        <f>5*44/12</f>
        <v>18.333333333333332</v>
      </c>
      <c r="O502" s="18">
        <f t="shared" si="161"/>
        <v>18.333333333333332</v>
      </c>
      <c r="P502" s="16">
        <v>0</v>
      </c>
      <c r="Q502" s="16">
        <v>1</v>
      </c>
      <c r="R502" s="16">
        <v>0</v>
      </c>
      <c r="S502" s="14"/>
      <c r="T502" s="56" t="str">
        <f t="shared" si="140"/>
        <v/>
      </c>
      <c r="U502" s="56" t="str">
        <f t="shared" si="154"/>
        <v/>
      </c>
      <c r="V502" s="56" t="str">
        <f t="shared" si="155"/>
        <v/>
      </c>
      <c r="W502" s="14"/>
      <c r="X502" s="14"/>
      <c r="Y502" s="14"/>
      <c r="Z502" s="14"/>
      <c r="AA502" s="18">
        <f t="shared" si="160"/>
        <v>18.333333333333332</v>
      </c>
      <c r="AB502" s="14"/>
      <c r="AC502" s="14"/>
      <c r="AD502" s="14"/>
      <c r="AE502" s="14"/>
      <c r="AF502" s="16">
        <v>0</v>
      </c>
      <c r="AG502" s="16">
        <v>0</v>
      </c>
      <c r="AH502" s="16">
        <v>0</v>
      </c>
      <c r="AI502" s="16">
        <v>0</v>
      </c>
      <c r="AJ502" s="5">
        <v>1</v>
      </c>
      <c r="AK502" s="5">
        <v>1</v>
      </c>
      <c r="AL502" s="5">
        <v>1</v>
      </c>
      <c r="AM502" s="20">
        <v>5</v>
      </c>
      <c r="AN502" s="20" t="s">
        <v>25</v>
      </c>
      <c r="AO502" s="14"/>
      <c r="AP502" s="16"/>
      <c r="AQ502" s="16"/>
      <c r="AR502" s="16">
        <v>0</v>
      </c>
      <c r="AS502" s="16">
        <v>0</v>
      </c>
      <c r="AT502" s="16"/>
      <c r="AU502" s="16"/>
      <c r="AV502" s="16"/>
      <c r="AW502" s="16"/>
      <c r="AX502" s="16">
        <v>0</v>
      </c>
      <c r="AY502" s="16">
        <v>0</v>
      </c>
      <c r="AZ502" s="16">
        <v>0</v>
      </c>
      <c r="BA502" s="16">
        <v>0</v>
      </c>
    </row>
    <row r="503" spans="1:53" s="36" customFormat="1" x14ac:dyDescent="0.2">
      <c r="A503" s="29"/>
      <c r="B503" s="14" t="str">
        <f t="shared" si="157"/>
        <v>EPA &amp; NHTSA 2009</v>
      </c>
      <c r="C503" s="61">
        <f t="shared" si="158"/>
        <v>56</v>
      </c>
      <c r="D503" s="58">
        <v>2009</v>
      </c>
      <c r="E503" s="17"/>
      <c r="F503" s="58">
        <v>0</v>
      </c>
      <c r="G503" s="16">
        <v>2007</v>
      </c>
      <c r="H503" s="15">
        <f>LOOKUP(G503,CPI!A$69:A$100,CPI!O$69:O$100)</f>
        <v>1.0516730811895323</v>
      </c>
      <c r="I503" s="52">
        <v>2015</v>
      </c>
      <c r="J503" s="43">
        <v>0</v>
      </c>
      <c r="K503" s="43"/>
      <c r="L503" s="57"/>
      <c r="M503" s="56">
        <f>AA503*H503*(1+$L$2)^(2015-I503)</f>
        <v>26.992942417197998</v>
      </c>
      <c r="N503" s="3">
        <f>7*44/12</f>
        <v>25.666666666666668</v>
      </c>
      <c r="O503" s="50">
        <f t="shared" si="161"/>
        <v>25.666666666666668</v>
      </c>
      <c r="P503" s="16">
        <v>0</v>
      </c>
      <c r="Q503" s="16">
        <v>1</v>
      </c>
      <c r="R503" s="16">
        <v>0</v>
      </c>
      <c r="S503" s="42"/>
      <c r="T503" s="56" t="str">
        <f t="shared" si="140"/>
        <v/>
      </c>
      <c r="U503" s="56" t="str">
        <f t="shared" si="154"/>
        <v/>
      </c>
      <c r="V503" s="56" t="str">
        <f t="shared" si="155"/>
        <v/>
      </c>
      <c r="W503" s="42"/>
      <c r="X503" s="42"/>
      <c r="Y503" s="42"/>
      <c r="Z503" s="42"/>
      <c r="AA503" s="37">
        <f t="shared" si="160"/>
        <v>25.666666666666668</v>
      </c>
      <c r="AB503" s="42"/>
      <c r="AC503" s="42"/>
      <c r="AD503" s="42"/>
      <c r="AE503" s="42"/>
      <c r="AF503" s="16">
        <v>0</v>
      </c>
      <c r="AG503" s="16">
        <v>0</v>
      </c>
      <c r="AH503" s="16">
        <v>0</v>
      </c>
      <c r="AI503" s="16">
        <v>0</v>
      </c>
      <c r="AJ503" s="5">
        <v>1</v>
      </c>
      <c r="AK503" s="5">
        <v>1</v>
      </c>
      <c r="AL503" s="5">
        <v>1</v>
      </c>
      <c r="AM503" s="20">
        <v>5</v>
      </c>
      <c r="AN503" s="20" t="s">
        <v>25</v>
      </c>
      <c r="AO503" s="14"/>
      <c r="AP503" s="16"/>
      <c r="AQ503" s="16"/>
      <c r="AR503" s="16">
        <v>0</v>
      </c>
      <c r="AS503" s="16">
        <v>0</v>
      </c>
      <c r="AT503" s="16"/>
      <c r="AU503" s="16"/>
      <c r="AV503" s="16"/>
      <c r="AW503" s="16"/>
      <c r="AX503" s="16">
        <v>0</v>
      </c>
      <c r="AY503" s="16">
        <v>0</v>
      </c>
      <c r="AZ503" s="16">
        <v>0</v>
      </c>
      <c r="BA503" s="16">
        <v>0</v>
      </c>
    </row>
    <row r="504" spans="1:53" s="36" customFormat="1" x14ac:dyDescent="0.2">
      <c r="A504" s="29"/>
      <c r="B504" s="14" t="str">
        <f t="shared" si="157"/>
        <v>EPA &amp; NHTSA 2009</v>
      </c>
      <c r="C504" s="61">
        <f t="shared" si="158"/>
        <v>56</v>
      </c>
      <c r="D504" s="58">
        <v>2009</v>
      </c>
      <c r="E504" s="17"/>
      <c r="F504" s="58">
        <v>0</v>
      </c>
      <c r="G504" s="16">
        <v>2007</v>
      </c>
      <c r="H504" s="15">
        <f>LOOKUP(G504,CPI!A$69:A$100,CPI!O$69:O$100)</f>
        <v>1.0516730811895323</v>
      </c>
      <c r="I504" s="5">
        <v>2020</v>
      </c>
      <c r="J504" s="43">
        <v>0</v>
      </c>
      <c r="K504" s="43"/>
      <c r="L504" s="57"/>
      <c r="M504" s="56"/>
      <c r="N504" s="3">
        <f>8*44/12</f>
        <v>29.333333333333332</v>
      </c>
      <c r="O504" s="50">
        <f t="shared" si="161"/>
        <v>29.333333333333332</v>
      </c>
      <c r="P504" s="16">
        <v>0</v>
      </c>
      <c r="Q504" s="16">
        <v>1</v>
      </c>
      <c r="R504" s="16">
        <v>0</v>
      </c>
      <c r="S504" s="42"/>
      <c r="T504" s="56" t="str">
        <f t="shared" si="140"/>
        <v/>
      </c>
      <c r="U504" s="56" t="str">
        <f t="shared" si="154"/>
        <v/>
      </c>
      <c r="V504" s="56" t="str">
        <f t="shared" si="155"/>
        <v/>
      </c>
      <c r="W504" s="51"/>
      <c r="X504" s="42"/>
      <c r="Y504" s="42"/>
      <c r="Z504" s="42"/>
      <c r="AA504" s="37">
        <f t="shared" si="160"/>
        <v>29.333333333333332</v>
      </c>
      <c r="AB504" s="42"/>
      <c r="AC504" s="42"/>
      <c r="AD504" s="42"/>
      <c r="AE504" s="42"/>
      <c r="AF504" s="16">
        <v>0</v>
      </c>
      <c r="AG504" s="16">
        <v>0</v>
      </c>
      <c r="AH504" s="16">
        <v>0</v>
      </c>
      <c r="AI504" s="16">
        <v>0</v>
      </c>
      <c r="AJ504" s="5">
        <v>1</v>
      </c>
      <c r="AK504" s="5">
        <v>1</v>
      </c>
      <c r="AL504" s="5">
        <v>1</v>
      </c>
      <c r="AM504" s="20">
        <v>5</v>
      </c>
      <c r="AN504" s="20" t="s">
        <v>25</v>
      </c>
      <c r="AO504" s="14"/>
      <c r="AP504" s="16"/>
      <c r="AQ504" s="16"/>
      <c r="AR504" s="16">
        <v>0</v>
      </c>
      <c r="AS504" s="16">
        <v>0</v>
      </c>
      <c r="AT504" s="16"/>
      <c r="AU504" s="16"/>
      <c r="AV504" s="16"/>
      <c r="AW504" s="16"/>
      <c r="AX504" s="16">
        <v>0</v>
      </c>
      <c r="AY504" s="16">
        <v>0</v>
      </c>
      <c r="AZ504" s="16">
        <v>0</v>
      </c>
      <c r="BA504" s="16">
        <v>0</v>
      </c>
    </row>
    <row r="505" spans="1:53" s="36" customFormat="1" x14ac:dyDescent="0.2">
      <c r="A505" s="29"/>
      <c r="B505" s="14" t="str">
        <f t="shared" si="157"/>
        <v>EPA &amp; NHTSA 2009</v>
      </c>
      <c r="C505" s="61">
        <f t="shared" si="158"/>
        <v>56</v>
      </c>
      <c r="D505" s="58">
        <v>2009</v>
      </c>
      <c r="E505" s="17"/>
      <c r="F505" s="58">
        <v>0</v>
      </c>
      <c r="G505" s="16">
        <v>2007</v>
      </c>
      <c r="H505" s="15">
        <f>LOOKUP(G505,CPI!A$69:A$100,CPI!O$69:O$100)</f>
        <v>1.0516730811895323</v>
      </c>
      <c r="I505" s="5">
        <v>2030</v>
      </c>
      <c r="J505" s="43">
        <v>0</v>
      </c>
      <c r="K505" s="43"/>
      <c r="L505" s="57"/>
      <c r="M505" s="56"/>
      <c r="N505" s="3">
        <f>10*44/12</f>
        <v>36.666666666666664</v>
      </c>
      <c r="O505" s="50">
        <f t="shared" si="161"/>
        <v>36.666666666666664</v>
      </c>
      <c r="P505" s="16">
        <v>0</v>
      </c>
      <c r="Q505" s="16">
        <v>1</v>
      </c>
      <c r="R505" s="16">
        <v>0</v>
      </c>
      <c r="S505" s="42"/>
      <c r="T505" s="56" t="str">
        <f t="shared" si="140"/>
        <v/>
      </c>
      <c r="U505" s="56" t="str">
        <f t="shared" si="154"/>
        <v/>
      </c>
      <c r="V505" s="56" t="str">
        <f t="shared" si="155"/>
        <v/>
      </c>
      <c r="W505" s="42"/>
      <c r="X505" s="42"/>
      <c r="Y505" s="42"/>
      <c r="Z505" s="42"/>
      <c r="AA505" s="37">
        <f t="shared" si="160"/>
        <v>36.666666666666664</v>
      </c>
      <c r="AB505" s="42"/>
      <c r="AC505" s="42"/>
      <c r="AD505" s="42"/>
      <c r="AE505" s="42"/>
      <c r="AF505" s="16">
        <v>0</v>
      </c>
      <c r="AG505" s="16">
        <v>0</v>
      </c>
      <c r="AH505" s="16">
        <v>0</v>
      </c>
      <c r="AI505" s="16">
        <v>0</v>
      </c>
      <c r="AJ505" s="5">
        <v>1</v>
      </c>
      <c r="AK505" s="5">
        <v>1</v>
      </c>
      <c r="AL505" s="5">
        <v>1</v>
      </c>
      <c r="AM505" s="20">
        <v>5</v>
      </c>
      <c r="AN505" s="20" t="s">
        <v>25</v>
      </c>
      <c r="AO505" s="14"/>
      <c r="AP505" s="16"/>
      <c r="AQ505" s="16"/>
      <c r="AR505" s="16">
        <v>0</v>
      </c>
      <c r="AS505" s="16">
        <v>0</v>
      </c>
      <c r="AT505" s="16"/>
      <c r="AU505" s="16"/>
      <c r="AV505" s="16"/>
      <c r="AW505" s="16"/>
      <c r="AX505" s="16">
        <v>0</v>
      </c>
      <c r="AY505" s="16">
        <v>0</v>
      </c>
      <c r="AZ505" s="16">
        <v>0</v>
      </c>
      <c r="BA505" s="16">
        <v>0</v>
      </c>
    </row>
    <row r="506" spans="1:53" s="36" customFormat="1" x14ac:dyDescent="0.2">
      <c r="A506" s="29"/>
      <c r="B506" s="14" t="str">
        <f t="shared" si="157"/>
        <v>EPA &amp; NHTSA 2009</v>
      </c>
      <c r="C506" s="61">
        <f t="shared" si="158"/>
        <v>56</v>
      </c>
      <c r="D506" s="58">
        <v>2009</v>
      </c>
      <c r="E506" s="17"/>
      <c r="F506" s="58">
        <v>0</v>
      </c>
      <c r="G506" s="16">
        <v>2007</v>
      </c>
      <c r="H506" s="15">
        <f>LOOKUP(G506,CPI!A$69:A$100,CPI!O$69:O$100)</f>
        <v>1.0516730811895323</v>
      </c>
      <c r="I506" s="5">
        <v>2040</v>
      </c>
      <c r="J506" s="43">
        <v>0</v>
      </c>
      <c r="K506" s="43"/>
      <c r="L506" s="57"/>
      <c r="M506" s="56"/>
      <c r="N506" s="3">
        <f>14*44/12</f>
        <v>51.333333333333336</v>
      </c>
      <c r="O506" s="50">
        <f t="shared" si="161"/>
        <v>51.333333333333336</v>
      </c>
      <c r="P506" s="16">
        <v>0</v>
      </c>
      <c r="Q506" s="16">
        <v>1</v>
      </c>
      <c r="R506" s="16">
        <v>0</v>
      </c>
      <c r="S506" s="42"/>
      <c r="T506" s="56" t="str">
        <f t="shared" si="140"/>
        <v/>
      </c>
      <c r="U506" s="56" t="str">
        <f t="shared" si="154"/>
        <v/>
      </c>
      <c r="V506" s="56" t="str">
        <f t="shared" si="155"/>
        <v/>
      </c>
      <c r="W506" s="42"/>
      <c r="X506" s="42"/>
      <c r="Y506" s="42"/>
      <c r="Z506" s="42"/>
      <c r="AA506" s="37">
        <f t="shared" si="160"/>
        <v>51.333333333333336</v>
      </c>
      <c r="AB506" s="42"/>
      <c r="AC506" s="42"/>
      <c r="AD506" s="42"/>
      <c r="AE506" s="42"/>
      <c r="AF506" s="16">
        <v>0</v>
      </c>
      <c r="AG506" s="16">
        <v>0</v>
      </c>
      <c r="AH506" s="16">
        <v>0</v>
      </c>
      <c r="AI506" s="16">
        <v>0</v>
      </c>
      <c r="AJ506" s="5">
        <v>1</v>
      </c>
      <c r="AK506" s="5">
        <v>1</v>
      </c>
      <c r="AL506" s="5">
        <v>1</v>
      </c>
      <c r="AM506" s="20">
        <v>5</v>
      </c>
      <c r="AN506" s="20" t="s">
        <v>25</v>
      </c>
      <c r="AO506" s="14"/>
      <c r="AP506" s="16"/>
      <c r="AQ506" s="16"/>
      <c r="AR506" s="16">
        <v>0</v>
      </c>
      <c r="AS506" s="16">
        <v>0</v>
      </c>
      <c r="AT506" s="16"/>
      <c r="AU506" s="16"/>
      <c r="AV506" s="16"/>
      <c r="AW506" s="16"/>
      <c r="AX506" s="16">
        <v>0</v>
      </c>
      <c r="AY506" s="16">
        <v>0</v>
      </c>
      <c r="AZ506" s="16">
        <v>0</v>
      </c>
      <c r="BA506" s="16">
        <v>0</v>
      </c>
    </row>
    <row r="507" spans="1:53" s="36" customFormat="1" x14ac:dyDescent="0.2">
      <c r="A507" s="29"/>
      <c r="B507" s="14" t="str">
        <f t="shared" si="157"/>
        <v>EPA &amp; NHTSA 2009</v>
      </c>
      <c r="C507" s="61">
        <f t="shared" si="158"/>
        <v>56</v>
      </c>
      <c r="D507" s="58">
        <v>2009</v>
      </c>
      <c r="E507" s="17"/>
      <c r="F507" s="58">
        <v>0</v>
      </c>
      <c r="G507" s="16">
        <v>2007</v>
      </c>
      <c r="H507" s="15">
        <f>LOOKUP(G507,CPI!A$69:A$100,CPI!O$69:O$100)</f>
        <v>1.0516730811895323</v>
      </c>
      <c r="I507" s="5">
        <v>2050</v>
      </c>
      <c r="J507" s="43">
        <v>0</v>
      </c>
      <c r="K507" s="43"/>
      <c r="L507" s="57"/>
      <c r="M507" s="56"/>
      <c r="N507" s="3">
        <f>18*44/12</f>
        <v>66</v>
      </c>
      <c r="O507" s="50">
        <f t="shared" si="161"/>
        <v>66</v>
      </c>
      <c r="P507" s="16">
        <v>0</v>
      </c>
      <c r="Q507" s="16">
        <v>1</v>
      </c>
      <c r="R507" s="16">
        <v>0</v>
      </c>
      <c r="S507" s="42"/>
      <c r="T507" s="56" t="str">
        <f t="shared" si="140"/>
        <v/>
      </c>
      <c r="U507" s="56" t="str">
        <f t="shared" si="154"/>
        <v/>
      </c>
      <c r="V507" s="56" t="str">
        <f t="shared" si="155"/>
        <v/>
      </c>
      <c r="W507" s="42"/>
      <c r="X507" s="42"/>
      <c r="Y507" s="42"/>
      <c r="Z507" s="42"/>
      <c r="AA507" s="37">
        <f t="shared" si="160"/>
        <v>66</v>
      </c>
      <c r="AB507" s="42"/>
      <c r="AC507" s="42"/>
      <c r="AD507" s="42"/>
      <c r="AE507" s="42"/>
      <c r="AF507" s="16">
        <v>0</v>
      </c>
      <c r="AG507" s="16">
        <v>0</v>
      </c>
      <c r="AH507" s="16">
        <v>0</v>
      </c>
      <c r="AI507" s="16">
        <v>0</v>
      </c>
      <c r="AJ507" s="5">
        <v>1</v>
      </c>
      <c r="AK507" s="5">
        <v>1</v>
      </c>
      <c r="AL507" s="5">
        <v>1</v>
      </c>
      <c r="AM507" s="20">
        <v>5</v>
      </c>
      <c r="AN507" s="20" t="s">
        <v>25</v>
      </c>
      <c r="AO507" s="14"/>
      <c r="AP507" s="16"/>
      <c r="AQ507" s="16"/>
      <c r="AR507" s="16">
        <v>0</v>
      </c>
      <c r="AS507" s="16">
        <v>0</v>
      </c>
      <c r="AT507" s="16"/>
      <c r="AU507" s="16"/>
      <c r="AV507" s="16"/>
      <c r="AW507" s="16"/>
      <c r="AX507" s="16">
        <v>0</v>
      </c>
      <c r="AY507" s="16">
        <v>0</v>
      </c>
      <c r="AZ507" s="16">
        <v>0</v>
      </c>
      <c r="BA507" s="16">
        <v>0</v>
      </c>
    </row>
    <row r="508" spans="1:53" x14ac:dyDescent="0.2">
      <c r="A508" s="14"/>
      <c r="B508" s="14" t="str">
        <f t="shared" si="157"/>
        <v>EPA &amp; NHTSA 2009</v>
      </c>
      <c r="C508" s="61">
        <f t="shared" si="158"/>
        <v>56</v>
      </c>
      <c r="D508" s="58">
        <v>2009</v>
      </c>
      <c r="E508" s="17"/>
      <c r="F508" s="58">
        <v>0</v>
      </c>
      <c r="G508" s="16">
        <v>2007</v>
      </c>
      <c r="H508" s="15">
        <f>LOOKUP(G508,CPI!A$69:A$100,CPI!O$69:O$100)</f>
        <v>1.0516730811895323</v>
      </c>
      <c r="I508" s="16">
        <v>2007</v>
      </c>
      <c r="J508" s="15">
        <f>2/9</f>
        <v>0.22222222222222221</v>
      </c>
      <c r="K508" s="44">
        <v>0.2</v>
      </c>
      <c r="L508" s="57">
        <f>(AA509/AA508)^(1/(I509-I508))-1</f>
        <v>3.3339233926807266E-2</v>
      </c>
      <c r="N508" s="14">
        <f>10*44/12</f>
        <v>36.666666666666664</v>
      </c>
      <c r="O508" s="18">
        <f t="shared" si="161"/>
        <v>36.666666666666664</v>
      </c>
      <c r="P508" s="16">
        <v>0</v>
      </c>
      <c r="Q508" s="16">
        <v>1</v>
      </c>
      <c r="R508" s="16">
        <v>0</v>
      </c>
      <c r="S508" s="14"/>
      <c r="T508" s="56" t="str">
        <f t="shared" si="140"/>
        <v/>
      </c>
      <c r="U508" s="56" t="str">
        <f t="shared" si="154"/>
        <v/>
      </c>
      <c r="V508" s="56" t="str">
        <f t="shared" si="155"/>
        <v/>
      </c>
      <c r="W508" s="14"/>
      <c r="X508" s="14"/>
      <c r="Y508" s="14"/>
      <c r="Z508" s="14"/>
      <c r="AA508" s="18">
        <f t="shared" si="160"/>
        <v>36.666666666666664</v>
      </c>
      <c r="AB508" s="14"/>
      <c r="AC508" s="14"/>
      <c r="AD508" s="14"/>
      <c r="AE508" s="14"/>
      <c r="AF508" s="16">
        <v>0</v>
      </c>
      <c r="AG508" s="16">
        <v>0</v>
      </c>
      <c r="AH508" s="16">
        <v>0</v>
      </c>
      <c r="AI508" s="16">
        <v>0</v>
      </c>
      <c r="AJ508" s="5">
        <v>1</v>
      </c>
      <c r="AK508" s="5">
        <v>1</v>
      </c>
      <c r="AL508" s="5">
        <v>1</v>
      </c>
      <c r="AM508" s="20"/>
      <c r="AN508" s="20" t="s">
        <v>25</v>
      </c>
      <c r="AO508" s="14"/>
      <c r="AP508" s="16"/>
      <c r="AQ508" s="16"/>
      <c r="AR508" s="16">
        <v>0</v>
      </c>
      <c r="AS508" s="16">
        <v>0</v>
      </c>
      <c r="AT508" s="16"/>
      <c r="AU508" s="16"/>
      <c r="AV508" s="16"/>
      <c r="AW508" s="16"/>
      <c r="AX508" s="16">
        <v>0</v>
      </c>
      <c r="AY508" s="16">
        <v>0</v>
      </c>
      <c r="AZ508" s="16">
        <v>0</v>
      </c>
      <c r="BA508" s="16">
        <v>0</v>
      </c>
    </row>
    <row r="509" spans="1:53" s="36" customFormat="1" x14ac:dyDescent="0.2">
      <c r="A509" s="29"/>
      <c r="B509" s="14" t="str">
        <f t="shared" si="157"/>
        <v>EPA &amp; NHTSA 2009</v>
      </c>
      <c r="C509" s="61">
        <f t="shared" si="158"/>
        <v>56</v>
      </c>
      <c r="D509" s="58">
        <v>2009</v>
      </c>
      <c r="E509" s="17"/>
      <c r="F509" s="58">
        <v>0</v>
      </c>
      <c r="G509" s="16">
        <v>2007</v>
      </c>
      <c r="H509" s="15">
        <f>LOOKUP(G509,CPI!A$69:A$100,CPI!O$69:O$100)</f>
        <v>1.0516730811895323</v>
      </c>
      <c r="I509" s="52">
        <v>2015</v>
      </c>
      <c r="J509" s="43">
        <v>0</v>
      </c>
      <c r="K509" s="43"/>
      <c r="L509" s="57"/>
      <c r="M509" s="56">
        <f>AA509*H509*(1+$L$2)^(2015-I509)</f>
        <v>50.129750203367706</v>
      </c>
      <c r="N509" s="3">
        <f>13*(44/12)</f>
        <v>47.666666666666664</v>
      </c>
      <c r="O509" s="50">
        <f t="shared" si="161"/>
        <v>47.666666666666664</v>
      </c>
      <c r="P509" s="16">
        <v>0</v>
      </c>
      <c r="Q509" s="16">
        <v>1</v>
      </c>
      <c r="R509" s="16">
        <v>0</v>
      </c>
      <c r="S509" s="42"/>
      <c r="T509" s="56" t="str">
        <f t="shared" si="140"/>
        <v/>
      </c>
      <c r="U509" s="56" t="str">
        <f t="shared" si="154"/>
        <v/>
      </c>
      <c r="V509" s="56" t="str">
        <f t="shared" si="155"/>
        <v/>
      </c>
      <c r="W509" s="42"/>
      <c r="X509" s="42"/>
      <c r="Y509" s="42"/>
      <c r="Z509" s="42"/>
      <c r="AA509" s="37">
        <f t="shared" si="160"/>
        <v>47.666666666666664</v>
      </c>
      <c r="AB509" s="42"/>
      <c r="AC509" s="42"/>
      <c r="AD509" s="42"/>
      <c r="AE509" s="42"/>
      <c r="AF509" s="16">
        <v>0</v>
      </c>
      <c r="AG509" s="16">
        <v>0</v>
      </c>
      <c r="AH509" s="16">
        <v>0</v>
      </c>
      <c r="AI509" s="16">
        <v>0</v>
      </c>
      <c r="AJ509" s="5">
        <v>1</v>
      </c>
      <c r="AK509" s="5">
        <v>1</v>
      </c>
      <c r="AL509" s="5">
        <v>1</v>
      </c>
      <c r="AM509" s="20"/>
      <c r="AN509" s="20" t="s">
        <v>25</v>
      </c>
      <c r="AO509" s="14"/>
      <c r="AP509" s="16"/>
      <c r="AQ509" s="16"/>
      <c r="AR509" s="16">
        <v>0</v>
      </c>
      <c r="AS509" s="16">
        <v>0</v>
      </c>
      <c r="AT509" s="16"/>
      <c r="AU509" s="16"/>
      <c r="AV509" s="16"/>
      <c r="AW509" s="16"/>
      <c r="AX509" s="16">
        <v>0</v>
      </c>
      <c r="AY509" s="16">
        <v>0</v>
      </c>
      <c r="AZ509" s="16">
        <v>0</v>
      </c>
      <c r="BA509" s="16">
        <v>0</v>
      </c>
    </row>
    <row r="510" spans="1:53" s="36" customFormat="1" x14ac:dyDescent="0.2">
      <c r="A510" s="29"/>
      <c r="B510" s="14" t="str">
        <f t="shared" si="157"/>
        <v>EPA &amp; NHTSA 2009</v>
      </c>
      <c r="C510" s="61">
        <f t="shared" si="158"/>
        <v>56</v>
      </c>
      <c r="D510" s="58">
        <v>2009</v>
      </c>
      <c r="E510" s="17"/>
      <c r="F510" s="58">
        <v>0</v>
      </c>
      <c r="G510" s="16">
        <v>2007</v>
      </c>
      <c r="H510" s="15">
        <f>LOOKUP(G510,CPI!A$69:A$100,CPI!O$69:O$100)</f>
        <v>1.0516730811895323</v>
      </c>
      <c r="I510" s="5">
        <v>2020</v>
      </c>
      <c r="J510" s="43">
        <v>0</v>
      </c>
      <c r="K510" s="43"/>
      <c r="L510" s="57"/>
      <c r="M510" s="56"/>
      <c r="N510" s="3">
        <f>15*(44/12)</f>
        <v>55</v>
      </c>
      <c r="O510" s="50">
        <f t="shared" si="161"/>
        <v>55</v>
      </c>
      <c r="P510" s="16">
        <v>0</v>
      </c>
      <c r="Q510" s="16">
        <v>1</v>
      </c>
      <c r="R510" s="16">
        <v>0</v>
      </c>
      <c r="S510" s="42"/>
      <c r="T510" s="56" t="str">
        <f t="shared" si="140"/>
        <v/>
      </c>
      <c r="U510" s="56" t="str">
        <f t="shared" si="154"/>
        <v/>
      </c>
      <c r="V510" s="56" t="str">
        <f t="shared" si="155"/>
        <v/>
      </c>
      <c r="W510" s="42"/>
      <c r="X510" s="42"/>
      <c r="Y510" s="42"/>
      <c r="Z510" s="42"/>
      <c r="AA510" s="37">
        <f t="shared" si="160"/>
        <v>55</v>
      </c>
      <c r="AB510" s="42"/>
      <c r="AC510" s="42"/>
      <c r="AD510" s="42"/>
      <c r="AE510" s="42"/>
      <c r="AF510" s="16">
        <v>0</v>
      </c>
      <c r="AG510" s="16">
        <v>0</v>
      </c>
      <c r="AH510" s="16">
        <v>0</v>
      </c>
      <c r="AI510" s="16">
        <v>0</v>
      </c>
      <c r="AJ510" s="5">
        <v>1</v>
      </c>
      <c r="AK510" s="5">
        <v>1</v>
      </c>
      <c r="AL510" s="5">
        <v>1</v>
      </c>
      <c r="AM510" s="20"/>
      <c r="AN510" s="20" t="s">
        <v>25</v>
      </c>
      <c r="AO510" s="14"/>
      <c r="AP510" s="16"/>
      <c r="AQ510" s="16"/>
      <c r="AR510" s="16">
        <v>0</v>
      </c>
      <c r="AS510" s="16">
        <v>0</v>
      </c>
      <c r="AT510" s="16"/>
      <c r="AU510" s="16"/>
      <c r="AV510" s="16"/>
      <c r="AW510" s="16"/>
      <c r="AX510" s="16">
        <v>0</v>
      </c>
      <c r="AY510" s="16">
        <v>0</v>
      </c>
      <c r="AZ510" s="16">
        <v>0</v>
      </c>
      <c r="BA510" s="16">
        <v>0</v>
      </c>
    </row>
    <row r="511" spans="1:53" s="36" customFormat="1" x14ac:dyDescent="0.2">
      <c r="A511" s="29"/>
      <c r="B511" s="14" t="str">
        <f t="shared" si="157"/>
        <v>EPA &amp; NHTSA 2009</v>
      </c>
      <c r="C511" s="61">
        <f t="shared" si="158"/>
        <v>56</v>
      </c>
      <c r="D511" s="58">
        <v>2009</v>
      </c>
      <c r="E511" s="17"/>
      <c r="F511" s="58">
        <v>0</v>
      </c>
      <c r="G511" s="16">
        <v>2007</v>
      </c>
      <c r="H511" s="15">
        <f>LOOKUP(G511,CPI!A$69:A$100,CPI!O$69:O$100)</f>
        <v>1.0516730811895323</v>
      </c>
      <c r="I511" s="5">
        <v>2030</v>
      </c>
      <c r="J511" s="43">
        <v>0</v>
      </c>
      <c r="K511" s="43"/>
      <c r="L511" s="57"/>
      <c r="M511" s="56"/>
      <c r="N511" s="3">
        <f>20*(44/12)</f>
        <v>73.333333333333329</v>
      </c>
      <c r="O511" s="50">
        <f t="shared" si="161"/>
        <v>73.333333333333329</v>
      </c>
      <c r="P511" s="16">
        <v>0</v>
      </c>
      <c r="Q511" s="16">
        <v>1</v>
      </c>
      <c r="R511" s="16">
        <v>0</v>
      </c>
      <c r="S511" s="42"/>
      <c r="T511" s="56" t="str">
        <f t="shared" si="140"/>
        <v/>
      </c>
      <c r="U511" s="56" t="str">
        <f t="shared" si="154"/>
        <v/>
      </c>
      <c r="V511" s="56" t="str">
        <f t="shared" si="155"/>
        <v/>
      </c>
      <c r="W511" s="42"/>
      <c r="X511" s="42"/>
      <c r="Y511" s="42"/>
      <c r="Z511" s="42"/>
      <c r="AA511" s="37">
        <f t="shared" si="160"/>
        <v>73.333333333333329</v>
      </c>
      <c r="AB511" s="42"/>
      <c r="AC511" s="42"/>
      <c r="AD511" s="42"/>
      <c r="AE511" s="42"/>
      <c r="AF511" s="16">
        <v>0</v>
      </c>
      <c r="AG511" s="16">
        <v>0</v>
      </c>
      <c r="AH511" s="16">
        <v>0</v>
      </c>
      <c r="AI511" s="16">
        <v>0</v>
      </c>
      <c r="AJ511" s="5">
        <v>1</v>
      </c>
      <c r="AK511" s="5">
        <v>1</v>
      </c>
      <c r="AL511" s="5">
        <v>1</v>
      </c>
      <c r="AM511" s="20"/>
      <c r="AN511" s="20" t="s">
        <v>25</v>
      </c>
      <c r="AO511" s="14"/>
      <c r="AP511" s="16"/>
      <c r="AQ511" s="16"/>
      <c r="AR511" s="16">
        <v>0</v>
      </c>
      <c r="AS511" s="16">
        <v>0</v>
      </c>
      <c r="AT511" s="16"/>
      <c r="AU511" s="16"/>
      <c r="AV511" s="16"/>
      <c r="AW511" s="16"/>
      <c r="AX511" s="16">
        <v>0</v>
      </c>
      <c r="AY511" s="16">
        <v>0</v>
      </c>
      <c r="AZ511" s="16">
        <v>0</v>
      </c>
      <c r="BA511" s="16">
        <v>0</v>
      </c>
    </row>
    <row r="512" spans="1:53" s="36" customFormat="1" x14ac:dyDescent="0.2">
      <c r="A512" s="29"/>
      <c r="B512" s="14" t="str">
        <f t="shared" si="157"/>
        <v>EPA &amp; NHTSA 2009</v>
      </c>
      <c r="C512" s="61">
        <f t="shared" si="158"/>
        <v>56</v>
      </c>
      <c r="D512" s="58">
        <v>2009</v>
      </c>
      <c r="E512" s="17"/>
      <c r="F512" s="58">
        <v>0</v>
      </c>
      <c r="G512" s="16">
        <v>2007</v>
      </c>
      <c r="H512" s="15">
        <f>LOOKUP(G512,CPI!A$69:A$100,CPI!O$69:O$100)</f>
        <v>1.0516730811895323</v>
      </c>
      <c r="I512" s="5">
        <v>2040</v>
      </c>
      <c r="J512" s="43">
        <v>0</v>
      </c>
      <c r="K512" s="43"/>
      <c r="L512" s="57"/>
      <c r="M512" s="56"/>
      <c r="N512" s="3">
        <f>27*(44/12)</f>
        <v>99</v>
      </c>
      <c r="O512" s="50">
        <f t="shared" si="161"/>
        <v>99</v>
      </c>
      <c r="P512" s="16">
        <v>0</v>
      </c>
      <c r="Q512" s="16">
        <v>1</v>
      </c>
      <c r="R512" s="16">
        <v>0</v>
      </c>
      <c r="S512" s="42"/>
      <c r="T512" s="56" t="str">
        <f t="shared" si="140"/>
        <v/>
      </c>
      <c r="U512" s="56" t="str">
        <f t="shared" si="154"/>
        <v/>
      </c>
      <c r="V512" s="56" t="str">
        <f t="shared" si="155"/>
        <v/>
      </c>
      <c r="W512" s="42"/>
      <c r="X512" s="42"/>
      <c r="Y512" s="42"/>
      <c r="Z512" s="42"/>
      <c r="AA512" s="37">
        <f t="shared" si="160"/>
        <v>99</v>
      </c>
      <c r="AB512" s="42"/>
      <c r="AC512" s="42"/>
      <c r="AD512" s="42"/>
      <c r="AE512" s="42"/>
      <c r="AF512" s="16">
        <v>0</v>
      </c>
      <c r="AG512" s="16">
        <v>0</v>
      </c>
      <c r="AH512" s="16">
        <v>0</v>
      </c>
      <c r="AI512" s="16">
        <v>0</v>
      </c>
      <c r="AJ512" s="5">
        <v>1</v>
      </c>
      <c r="AK512" s="5">
        <v>1</v>
      </c>
      <c r="AL512" s="5">
        <v>1</v>
      </c>
      <c r="AM512" s="20"/>
      <c r="AN512" s="20" t="s">
        <v>25</v>
      </c>
      <c r="AO512" s="14"/>
      <c r="AP512" s="16"/>
      <c r="AQ512" s="16"/>
      <c r="AR512" s="16">
        <v>0</v>
      </c>
      <c r="AS512" s="16">
        <v>0</v>
      </c>
      <c r="AT512" s="16"/>
      <c r="AU512" s="16"/>
      <c r="AV512" s="16"/>
      <c r="AW512" s="16"/>
      <c r="AX512" s="16">
        <v>0</v>
      </c>
      <c r="AY512" s="16">
        <v>0</v>
      </c>
      <c r="AZ512" s="16">
        <v>0</v>
      </c>
      <c r="BA512" s="16">
        <v>0</v>
      </c>
    </row>
    <row r="513" spans="1:53" s="36" customFormat="1" x14ac:dyDescent="0.2">
      <c r="A513" s="29"/>
      <c r="B513" s="14" t="str">
        <f t="shared" si="157"/>
        <v>EPA &amp; NHTSA 2009</v>
      </c>
      <c r="C513" s="61">
        <f t="shared" si="158"/>
        <v>56</v>
      </c>
      <c r="D513" s="58">
        <v>2009</v>
      </c>
      <c r="E513" s="17"/>
      <c r="F513" s="58">
        <v>0</v>
      </c>
      <c r="G513" s="16">
        <v>2007</v>
      </c>
      <c r="H513" s="15">
        <f>LOOKUP(G513,CPI!A$69:A$100,CPI!O$69:O$100)</f>
        <v>1.0516730811895323</v>
      </c>
      <c r="I513" s="5">
        <v>2050</v>
      </c>
      <c r="J513" s="43">
        <v>0</v>
      </c>
      <c r="K513" s="43"/>
      <c r="L513" s="57"/>
      <c r="M513" s="56"/>
      <c r="N513" s="3">
        <f>37*(44/12)</f>
        <v>135.66666666666666</v>
      </c>
      <c r="O513" s="50">
        <f t="shared" si="161"/>
        <v>135.66666666666666</v>
      </c>
      <c r="P513" s="16">
        <v>0</v>
      </c>
      <c r="Q513" s="16">
        <v>1</v>
      </c>
      <c r="R513" s="16">
        <v>0</v>
      </c>
      <c r="S513" s="42"/>
      <c r="T513" s="56" t="str">
        <f t="shared" si="140"/>
        <v/>
      </c>
      <c r="U513" s="56" t="str">
        <f t="shared" si="154"/>
        <v/>
      </c>
      <c r="V513" s="56" t="str">
        <f t="shared" si="155"/>
        <v/>
      </c>
      <c r="W513" s="42"/>
      <c r="X513" s="42"/>
      <c r="Y513" s="42"/>
      <c r="Z513" s="42"/>
      <c r="AA513" s="37">
        <f t="shared" si="160"/>
        <v>135.66666666666666</v>
      </c>
      <c r="AB513" s="42"/>
      <c r="AC513" s="42"/>
      <c r="AD513" s="42"/>
      <c r="AE513" s="42"/>
      <c r="AF513" s="16">
        <v>0</v>
      </c>
      <c r="AG513" s="16">
        <v>0</v>
      </c>
      <c r="AH513" s="16">
        <v>0</v>
      </c>
      <c r="AI513" s="16">
        <v>0</v>
      </c>
      <c r="AJ513" s="5">
        <v>1</v>
      </c>
      <c r="AK513" s="5">
        <v>1</v>
      </c>
      <c r="AL513" s="5">
        <v>1</v>
      </c>
      <c r="AM513" s="20"/>
      <c r="AN513" s="20" t="s">
        <v>25</v>
      </c>
      <c r="AO513" s="14"/>
      <c r="AP513" s="16"/>
      <c r="AQ513" s="16"/>
      <c r="AR513" s="16">
        <v>0</v>
      </c>
      <c r="AS513" s="16">
        <v>0</v>
      </c>
      <c r="AT513" s="16"/>
      <c r="AU513" s="16"/>
      <c r="AV513" s="16"/>
      <c r="AW513" s="16"/>
      <c r="AX513" s="16">
        <v>0</v>
      </c>
      <c r="AY513" s="16">
        <v>0</v>
      </c>
      <c r="AZ513" s="16">
        <v>0</v>
      </c>
      <c r="BA513" s="16">
        <v>0</v>
      </c>
    </row>
    <row r="514" spans="1:53" x14ac:dyDescent="0.2">
      <c r="A514" s="14"/>
      <c r="B514" s="14" t="str">
        <f t="shared" si="157"/>
        <v>EPA &amp; NHTSA 2009</v>
      </c>
      <c r="C514" s="61">
        <f t="shared" si="158"/>
        <v>56</v>
      </c>
      <c r="D514" s="58">
        <v>2009</v>
      </c>
      <c r="E514" s="17"/>
      <c r="F514" s="58">
        <v>0</v>
      </c>
      <c r="G514" s="16">
        <v>2007</v>
      </c>
      <c r="H514" s="15">
        <f>LOOKUP(G514,CPI!A$69:A$100,CPI!O$69:O$100)</f>
        <v>1.0516730811895323</v>
      </c>
      <c r="I514" s="16">
        <v>2007</v>
      </c>
      <c r="J514" s="15">
        <f>3/9</f>
        <v>0.33333333333333331</v>
      </c>
      <c r="K514" s="44">
        <v>0.2</v>
      </c>
      <c r="L514" s="57">
        <f>(AA515/AA514)^(1/(I515-I514))-1</f>
        <v>0.20961643916529993</v>
      </c>
      <c r="N514" s="14">
        <f>20*44/12</f>
        <v>73.333333333333329</v>
      </c>
      <c r="O514" s="18">
        <f t="shared" si="161"/>
        <v>73.333333333333329</v>
      </c>
      <c r="P514" s="16">
        <v>0</v>
      </c>
      <c r="Q514" s="16">
        <v>1</v>
      </c>
      <c r="R514" s="16">
        <v>0</v>
      </c>
      <c r="S514" s="14"/>
      <c r="T514" s="56" t="str">
        <f t="shared" si="140"/>
        <v/>
      </c>
      <c r="U514" s="56" t="str">
        <f t="shared" si="154"/>
        <v/>
      </c>
      <c r="V514" s="56" t="str">
        <f t="shared" si="155"/>
        <v/>
      </c>
      <c r="W514" s="14"/>
      <c r="X514" s="14"/>
      <c r="Y514" s="14"/>
      <c r="Z514" s="14"/>
      <c r="AA514" s="18">
        <f t="shared" si="160"/>
        <v>73.333333333333329</v>
      </c>
      <c r="AB514" s="14"/>
      <c r="AC514" s="14"/>
      <c r="AD514" s="14"/>
      <c r="AE514" s="14"/>
      <c r="AF514" s="16">
        <v>0</v>
      </c>
      <c r="AG514" s="16">
        <v>0</v>
      </c>
      <c r="AH514" s="16">
        <v>0</v>
      </c>
      <c r="AI514" s="16">
        <v>0</v>
      </c>
      <c r="AJ514" s="5">
        <v>1</v>
      </c>
      <c r="AK514" s="5">
        <v>1</v>
      </c>
      <c r="AL514" s="5">
        <v>1</v>
      </c>
      <c r="AM514" s="20"/>
      <c r="AN514" s="20" t="s">
        <v>25</v>
      </c>
      <c r="AO514" s="14"/>
      <c r="AP514" s="16"/>
      <c r="AQ514" s="16"/>
      <c r="AR514" s="16">
        <v>0</v>
      </c>
      <c r="AS514" s="16">
        <v>0</v>
      </c>
      <c r="AT514" s="16"/>
      <c r="AU514" s="16"/>
      <c r="AV514" s="16"/>
      <c r="AW514" s="16"/>
      <c r="AX514" s="16">
        <v>0</v>
      </c>
      <c r="AY514" s="16">
        <v>0</v>
      </c>
      <c r="AZ514" s="16">
        <v>0</v>
      </c>
      <c r="BA514" s="16">
        <v>0</v>
      </c>
    </row>
    <row r="515" spans="1:53" s="36" customFormat="1" x14ac:dyDescent="0.2">
      <c r="A515" s="29"/>
      <c r="B515" s="14" t="str">
        <f t="shared" si="157"/>
        <v>EPA &amp; NHTSA 2009</v>
      </c>
      <c r="C515" s="61">
        <f t="shared" si="158"/>
        <v>56</v>
      </c>
      <c r="D515" s="58">
        <v>2009</v>
      </c>
      <c r="E515" s="17"/>
      <c r="F515" s="58">
        <v>0</v>
      </c>
      <c r="G515" s="16">
        <v>2007</v>
      </c>
      <c r="H515" s="15">
        <f>LOOKUP(G515,CPI!A$69:A$100,CPI!O$69:O$100)</f>
        <v>1.0516730811895323</v>
      </c>
      <c r="I515" s="52">
        <v>2015</v>
      </c>
      <c r="J515" s="43">
        <v>0</v>
      </c>
      <c r="K515" s="43"/>
      <c r="L515" s="57"/>
      <c r="M515" s="56">
        <f>AA515*H515*(1+$L$2)^(2015-I515)</f>
        <v>353.47900784425946</v>
      </c>
      <c r="N515" s="3">
        <f>25*((44/12)*(44/12))</f>
        <v>336.11111111111109</v>
      </c>
      <c r="O515" s="50">
        <f t="shared" si="161"/>
        <v>336.11111111111109</v>
      </c>
      <c r="P515" s="16">
        <v>0</v>
      </c>
      <c r="Q515" s="16">
        <v>1</v>
      </c>
      <c r="R515" s="16">
        <v>0</v>
      </c>
      <c r="S515" s="42"/>
      <c r="T515" s="56" t="str">
        <f t="shared" ref="T515:T578" si="163">IF(OR(M515="",S515=""),"",S515*H515*(1+$L$2)^(2015-I515))</f>
        <v/>
      </c>
      <c r="U515" s="56" t="str">
        <f t="shared" si="154"/>
        <v/>
      </c>
      <c r="V515" s="56" t="str">
        <f t="shared" si="155"/>
        <v/>
      </c>
      <c r="W515" s="42"/>
      <c r="X515" s="42"/>
      <c r="Y515" s="42"/>
      <c r="Z515" s="42"/>
      <c r="AA515" s="37">
        <f t="shared" si="160"/>
        <v>336.11111111111109</v>
      </c>
      <c r="AB515" s="42"/>
      <c r="AC515" s="42"/>
      <c r="AD515" s="42"/>
      <c r="AE515" s="42"/>
      <c r="AF515" s="16">
        <v>0</v>
      </c>
      <c r="AG515" s="16">
        <v>0</v>
      </c>
      <c r="AH515" s="16">
        <v>0</v>
      </c>
      <c r="AI515" s="16">
        <v>0</v>
      </c>
      <c r="AJ515" s="5">
        <v>1</v>
      </c>
      <c r="AK515" s="5">
        <v>1</v>
      </c>
      <c r="AL515" s="5">
        <v>1</v>
      </c>
      <c r="AM515" s="20"/>
      <c r="AN515" s="20" t="s">
        <v>25</v>
      </c>
      <c r="AO515" s="14"/>
      <c r="AP515" s="16"/>
      <c r="AQ515" s="16"/>
      <c r="AR515" s="16">
        <v>0</v>
      </c>
      <c r="AS515" s="16">
        <v>0</v>
      </c>
      <c r="AT515" s="16"/>
      <c r="AU515" s="16"/>
      <c r="AV515" s="16"/>
      <c r="AW515" s="16"/>
      <c r="AX515" s="16">
        <v>0</v>
      </c>
      <c r="AY515" s="16">
        <v>0</v>
      </c>
      <c r="AZ515" s="16">
        <v>0</v>
      </c>
      <c r="BA515" s="16">
        <v>0</v>
      </c>
    </row>
    <row r="516" spans="1:53" s="36" customFormat="1" x14ac:dyDescent="0.2">
      <c r="A516" s="29"/>
      <c r="B516" s="14" t="str">
        <f t="shared" si="157"/>
        <v>EPA &amp; NHTSA 2009</v>
      </c>
      <c r="C516" s="61">
        <f t="shared" si="158"/>
        <v>56</v>
      </c>
      <c r="D516" s="58">
        <v>2009</v>
      </c>
      <c r="E516" s="17"/>
      <c r="F516" s="58">
        <v>0</v>
      </c>
      <c r="G516" s="16">
        <v>2007</v>
      </c>
      <c r="H516" s="15">
        <f>LOOKUP(G516,CPI!A$69:A$100,CPI!O$69:O$100)</f>
        <v>1.0516730811895323</v>
      </c>
      <c r="I516" s="5">
        <v>2020</v>
      </c>
      <c r="J516" s="43">
        <v>0</v>
      </c>
      <c r="K516" s="43"/>
      <c r="L516" s="57"/>
      <c r="M516" s="56"/>
      <c r="N516" s="3">
        <f>29*((44/12)*(44/12))</f>
        <v>389.88888888888886</v>
      </c>
      <c r="O516" s="50">
        <f t="shared" si="161"/>
        <v>389.88888888888886</v>
      </c>
      <c r="P516" s="16">
        <v>0</v>
      </c>
      <c r="Q516" s="16">
        <v>1</v>
      </c>
      <c r="R516" s="16">
        <v>0</v>
      </c>
      <c r="S516" s="42"/>
      <c r="T516" s="56" t="str">
        <f t="shared" si="163"/>
        <v/>
      </c>
      <c r="U516" s="56" t="str">
        <f t="shared" si="154"/>
        <v/>
      </c>
      <c r="V516" s="56" t="str">
        <f t="shared" si="155"/>
        <v/>
      </c>
      <c r="W516" s="42"/>
      <c r="X516" s="42"/>
      <c r="Y516" s="42"/>
      <c r="Z516" s="42"/>
      <c r="AA516" s="37">
        <f t="shared" si="160"/>
        <v>389.88888888888886</v>
      </c>
      <c r="AB516" s="42"/>
      <c r="AC516" s="42"/>
      <c r="AD516" s="42"/>
      <c r="AE516" s="42"/>
      <c r="AF516" s="16">
        <v>0</v>
      </c>
      <c r="AG516" s="16">
        <v>0</v>
      </c>
      <c r="AH516" s="16">
        <v>0</v>
      </c>
      <c r="AI516" s="16">
        <v>0</v>
      </c>
      <c r="AJ516" s="5">
        <v>1</v>
      </c>
      <c r="AK516" s="5">
        <v>1</v>
      </c>
      <c r="AL516" s="5">
        <v>1</v>
      </c>
      <c r="AM516" s="20"/>
      <c r="AN516" s="20" t="s">
        <v>25</v>
      </c>
      <c r="AO516" s="14"/>
      <c r="AP516" s="16"/>
      <c r="AQ516" s="16"/>
      <c r="AR516" s="16">
        <v>0</v>
      </c>
      <c r="AS516" s="16">
        <v>0</v>
      </c>
      <c r="AT516" s="16"/>
      <c r="AU516" s="16"/>
      <c r="AV516" s="16"/>
      <c r="AW516" s="16"/>
      <c r="AX516" s="16">
        <v>0</v>
      </c>
      <c r="AY516" s="16">
        <v>0</v>
      </c>
      <c r="AZ516" s="16">
        <v>0</v>
      </c>
      <c r="BA516" s="16">
        <v>0</v>
      </c>
    </row>
    <row r="517" spans="1:53" s="36" customFormat="1" x14ac:dyDescent="0.2">
      <c r="A517" s="29"/>
      <c r="B517" s="14" t="str">
        <f t="shared" si="157"/>
        <v>EPA &amp; NHTSA 2009</v>
      </c>
      <c r="C517" s="61">
        <f t="shared" si="158"/>
        <v>56</v>
      </c>
      <c r="D517" s="58">
        <v>2009</v>
      </c>
      <c r="E517" s="17"/>
      <c r="F517" s="58">
        <v>0</v>
      </c>
      <c r="G517" s="16">
        <v>2007</v>
      </c>
      <c r="H517" s="15">
        <f>LOOKUP(G517,CPI!A$69:A$100,CPI!O$69:O$100)</f>
        <v>1.0516730811895323</v>
      </c>
      <c r="I517" s="5">
        <v>2030</v>
      </c>
      <c r="J517" s="43">
        <v>0</v>
      </c>
      <c r="K517" s="43"/>
      <c r="L517" s="57"/>
      <c r="M517" s="56"/>
      <c r="N517" s="3">
        <f>39*((44/12)*(44/12))</f>
        <v>524.33333333333326</v>
      </c>
      <c r="O517" s="50">
        <f t="shared" ref="O517:O548" si="164">N517</f>
        <v>524.33333333333326</v>
      </c>
      <c r="P517" s="16">
        <v>0</v>
      </c>
      <c r="Q517" s="16">
        <v>1</v>
      </c>
      <c r="R517" s="16">
        <v>0</v>
      </c>
      <c r="S517" s="42"/>
      <c r="T517" s="56" t="str">
        <f t="shared" si="163"/>
        <v/>
      </c>
      <c r="U517" s="56" t="str">
        <f t="shared" ref="U517:U580" si="165">+V517</f>
        <v/>
      </c>
      <c r="V517" s="56" t="str">
        <f t="shared" ref="V517:V580" si="166">+T517</f>
        <v/>
      </c>
      <c r="W517" s="42"/>
      <c r="X517" s="42"/>
      <c r="Y517" s="42"/>
      <c r="Z517" s="42"/>
      <c r="AA517" s="37">
        <f t="shared" si="160"/>
        <v>524.33333333333326</v>
      </c>
      <c r="AB517" s="42"/>
      <c r="AC517" s="42"/>
      <c r="AD517" s="42"/>
      <c r="AE517" s="42"/>
      <c r="AF517" s="16">
        <v>0</v>
      </c>
      <c r="AG517" s="16">
        <v>0</v>
      </c>
      <c r="AH517" s="16">
        <v>0</v>
      </c>
      <c r="AI517" s="16">
        <v>0</v>
      </c>
      <c r="AJ517" s="5">
        <v>1</v>
      </c>
      <c r="AK517" s="5">
        <v>1</v>
      </c>
      <c r="AL517" s="5">
        <v>1</v>
      </c>
      <c r="AM517" s="20"/>
      <c r="AN517" s="20" t="s">
        <v>25</v>
      </c>
      <c r="AO517" s="14"/>
      <c r="AP517" s="16"/>
      <c r="AQ517" s="16"/>
      <c r="AR517" s="16">
        <v>0</v>
      </c>
      <c r="AS517" s="16">
        <v>0</v>
      </c>
      <c r="AT517" s="16"/>
      <c r="AU517" s="16"/>
      <c r="AV517" s="16"/>
      <c r="AW517" s="16"/>
      <c r="AX517" s="16">
        <v>0</v>
      </c>
      <c r="AY517" s="16">
        <v>0</v>
      </c>
      <c r="AZ517" s="16">
        <v>0</v>
      </c>
      <c r="BA517" s="16">
        <v>0</v>
      </c>
    </row>
    <row r="518" spans="1:53" s="36" customFormat="1" x14ac:dyDescent="0.2">
      <c r="A518" s="29"/>
      <c r="B518" s="14" t="str">
        <f t="shared" si="157"/>
        <v>EPA &amp; NHTSA 2009</v>
      </c>
      <c r="C518" s="61">
        <f t="shared" si="158"/>
        <v>56</v>
      </c>
      <c r="D518" s="58">
        <v>2009</v>
      </c>
      <c r="E518" s="17"/>
      <c r="F518" s="58">
        <v>0</v>
      </c>
      <c r="G518" s="16">
        <v>2007</v>
      </c>
      <c r="H518" s="15">
        <f>LOOKUP(G518,CPI!A$69:A$100,CPI!O$69:O$100)</f>
        <v>1.0516730811895323</v>
      </c>
      <c r="I518" s="5">
        <v>2040</v>
      </c>
      <c r="J518" s="43">
        <v>0</v>
      </c>
      <c r="K518" s="43"/>
      <c r="L518" s="57"/>
      <c r="M518" s="56"/>
      <c r="N518" s="3">
        <f>52*((44/12)*(44/12))</f>
        <v>699.11111111111109</v>
      </c>
      <c r="O518" s="50">
        <f t="shared" si="164"/>
        <v>699.11111111111109</v>
      </c>
      <c r="P518" s="16">
        <v>0</v>
      </c>
      <c r="Q518" s="16">
        <v>1</v>
      </c>
      <c r="R518" s="16">
        <v>0</v>
      </c>
      <c r="S518" s="42"/>
      <c r="T518" s="56" t="str">
        <f t="shared" si="163"/>
        <v/>
      </c>
      <c r="U518" s="56" t="str">
        <f t="shared" si="165"/>
        <v/>
      </c>
      <c r="V518" s="56" t="str">
        <f t="shared" si="166"/>
        <v/>
      </c>
      <c r="W518" s="42"/>
      <c r="X518" s="42"/>
      <c r="Y518" s="42"/>
      <c r="Z518" s="42"/>
      <c r="AA518" s="37">
        <f t="shared" si="160"/>
        <v>699.11111111111109</v>
      </c>
      <c r="AB518" s="42"/>
      <c r="AC518" s="42"/>
      <c r="AD518" s="42"/>
      <c r="AE518" s="42"/>
      <c r="AF518" s="16">
        <v>0</v>
      </c>
      <c r="AG518" s="16">
        <v>0</v>
      </c>
      <c r="AH518" s="16">
        <v>0</v>
      </c>
      <c r="AI518" s="16">
        <v>0</v>
      </c>
      <c r="AJ518" s="5">
        <v>1</v>
      </c>
      <c r="AK518" s="5">
        <v>1</v>
      </c>
      <c r="AL518" s="5">
        <v>1</v>
      </c>
      <c r="AM518" s="20"/>
      <c r="AN518" s="20" t="s">
        <v>25</v>
      </c>
      <c r="AO518" s="14"/>
      <c r="AP518" s="16"/>
      <c r="AQ518" s="16"/>
      <c r="AR518" s="16">
        <v>0</v>
      </c>
      <c r="AS518" s="16">
        <v>0</v>
      </c>
      <c r="AT518" s="16"/>
      <c r="AU518" s="16"/>
      <c r="AV518" s="16"/>
      <c r="AW518" s="16"/>
      <c r="AX518" s="16">
        <v>0</v>
      </c>
      <c r="AY518" s="16">
        <v>0</v>
      </c>
      <c r="AZ518" s="16">
        <v>0</v>
      </c>
      <c r="BA518" s="16">
        <v>0</v>
      </c>
    </row>
    <row r="519" spans="1:53" s="36" customFormat="1" x14ac:dyDescent="0.2">
      <c r="A519" s="29"/>
      <c r="B519" s="14" t="str">
        <f t="shared" si="157"/>
        <v>EPA &amp; NHTSA 2009</v>
      </c>
      <c r="C519" s="61">
        <f t="shared" si="158"/>
        <v>56</v>
      </c>
      <c r="D519" s="58">
        <v>2009</v>
      </c>
      <c r="E519" s="17"/>
      <c r="F519" s="58">
        <v>0</v>
      </c>
      <c r="G519" s="16">
        <v>2007</v>
      </c>
      <c r="H519" s="15">
        <f>LOOKUP(G519,CPI!A$69:A$100,CPI!O$69:O$100)</f>
        <v>1.0516730811895323</v>
      </c>
      <c r="I519" s="5">
        <v>2050</v>
      </c>
      <c r="J519" s="43">
        <v>0</v>
      </c>
      <c r="K519" s="43"/>
      <c r="L519" s="57"/>
      <c r="M519" s="56"/>
      <c r="N519" s="3">
        <f>70*((44/12)*(44/12))</f>
        <v>941.11111111111097</v>
      </c>
      <c r="O519" s="50">
        <f t="shared" si="164"/>
        <v>941.11111111111097</v>
      </c>
      <c r="P519" s="16">
        <v>0</v>
      </c>
      <c r="Q519" s="16">
        <v>1</v>
      </c>
      <c r="R519" s="16">
        <v>0</v>
      </c>
      <c r="S519" s="42"/>
      <c r="T519" s="56" t="str">
        <f t="shared" si="163"/>
        <v/>
      </c>
      <c r="U519" s="56" t="str">
        <f t="shared" si="165"/>
        <v/>
      </c>
      <c r="V519" s="56" t="str">
        <f t="shared" si="166"/>
        <v/>
      </c>
      <c r="W519" s="42"/>
      <c r="X519" s="42"/>
      <c r="Y519" s="42"/>
      <c r="Z519" s="42"/>
      <c r="AA519" s="37">
        <f t="shared" si="160"/>
        <v>941.11111111111097</v>
      </c>
      <c r="AB519" s="42"/>
      <c r="AC519" s="42"/>
      <c r="AD519" s="42"/>
      <c r="AE519" s="42"/>
      <c r="AF519" s="16">
        <v>0</v>
      </c>
      <c r="AG519" s="16">
        <v>0</v>
      </c>
      <c r="AH519" s="16">
        <v>0</v>
      </c>
      <c r="AI519" s="16">
        <v>0</v>
      </c>
      <c r="AJ519" s="5">
        <v>1</v>
      </c>
      <c r="AK519" s="5">
        <v>1</v>
      </c>
      <c r="AL519" s="5">
        <v>1</v>
      </c>
      <c r="AM519" s="20"/>
      <c r="AN519" s="20" t="s">
        <v>25</v>
      </c>
      <c r="AO519" s="14"/>
      <c r="AP519" s="16"/>
      <c r="AQ519" s="16"/>
      <c r="AR519" s="16">
        <v>0</v>
      </c>
      <c r="AS519" s="16">
        <v>0</v>
      </c>
      <c r="AT519" s="16"/>
      <c r="AU519" s="16"/>
      <c r="AV519" s="16"/>
      <c r="AW519" s="16"/>
      <c r="AX519" s="16">
        <v>0</v>
      </c>
      <c r="AY519" s="16">
        <v>0</v>
      </c>
      <c r="AZ519" s="16">
        <v>0</v>
      </c>
      <c r="BA519" s="16">
        <v>0</v>
      </c>
    </row>
    <row r="520" spans="1:53" x14ac:dyDescent="0.2">
      <c r="A520" s="14"/>
      <c r="B520" s="14" t="str">
        <f t="shared" si="157"/>
        <v>EPA &amp; NHTSA 2009</v>
      </c>
      <c r="C520" s="61">
        <f t="shared" si="158"/>
        <v>56</v>
      </c>
      <c r="D520" s="58">
        <v>2009</v>
      </c>
      <c r="E520" s="17"/>
      <c r="F520" s="58">
        <v>0</v>
      </c>
      <c r="G520" s="16">
        <v>2007</v>
      </c>
      <c r="H520" s="15">
        <f>LOOKUP(G520,CPI!A$69:A$100,CPI!O$69:O$100)</f>
        <v>1.0516730811895323</v>
      </c>
      <c r="I520" s="16">
        <v>2007</v>
      </c>
      <c r="J520" s="15">
        <f>2/9</f>
        <v>0.22222222222222221</v>
      </c>
      <c r="K520" s="44">
        <v>0.2</v>
      </c>
      <c r="L520" s="57">
        <f>(AA521/AA520)^(1/(I521-I520))-1</f>
        <v>0.21138619779435985</v>
      </c>
      <c r="N520" s="14">
        <f>34*44/12</f>
        <v>124.66666666666667</v>
      </c>
      <c r="O520" s="18">
        <f t="shared" si="164"/>
        <v>124.66666666666667</v>
      </c>
      <c r="P520" s="16">
        <v>0</v>
      </c>
      <c r="Q520" s="16">
        <v>1</v>
      </c>
      <c r="R520" s="16">
        <v>0</v>
      </c>
      <c r="S520" s="14"/>
      <c r="T520" s="56" t="str">
        <f t="shared" si="163"/>
        <v/>
      </c>
      <c r="U520" s="56" t="str">
        <f t="shared" si="165"/>
        <v/>
      </c>
      <c r="V520" s="56" t="str">
        <f t="shared" si="166"/>
        <v/>
      </c>
      <c r="W520" s="14"/>
      <c r="X520" s="14"/>
      <c r="Y520" s="14"/>
      <c r="Z520" s="14"/>
      <c r="AA520" s="18">
        <f t="shared" si="160"/>
        <v>124.66666666666667</v>
      </c>
      <c r="AB520" s="14"/>
      <c r="AC520" s="14"/>
      <c r="AD520" s="14"/>
      <c r="AE520" s="14"/>
      <c r="AF520" s="16">
        <v>0</v>
      </c>
      <c r="AG520" s="16">
        <v>0</v>
      </c>
      <c r="AH520" s="16">
        <v>0</v>
      </c>
      <c r="AI520" s="16">
        <v>0</v>
      </c>
      <c r="AJ520" s="5">
        <v>1</v>
      </c>
      <c r="AK520" s="5">
        <v>1</v>
      </c>
      <c r="AL520" s="5">
        <v>1</v>
      </c>
      <c r="AM520" s="20">
        <v>3</v>
      </c>
      <c r="AN520" s="20" t="s">
        <v>25</v>
      </c>
      <c r="AO520" s="14"/>
      <c r="AP520" s="16"/>
      <c r="AQ520" s="16"/>
      <c r="AR520" s="16">
        <v>0</v>
      </c>
      <c r="AS520" s="16">
        <v>0</v>
      </c>
      <c r="AT520" s="16"/>
      <c r="AU520" s="16"/>
      <c r="AV520" s="16"/>
      <c r="AW520" s="16"/>
      <c r="AX520" s="16">
        <v>0</v>
      </c>
      <c r="AY520" s="16">
        <v>0</v>
      </c>
      <c r="AZ520" s="16">
        <v>0</v>
      </c>
      <c r="BA520" s="16">
        <v>0</v>
      </c>
    </row>
    <row r="521" spans="1:53" s="36" customFormat="1" x14ac:dyDescent="0.2">
      <c r="A521" s="29"/>
      <c r="B521" s="14" t="str">
        <f t="shared" si="157"/>
        <v>EPA &amp; NHTSA 2009</v>
      </c>
      <c r="C521" s="61">
        <f t="shared" si="158"/>
        <v>56</v>
      </c>
      <c r="D521" s="58">
        <v>2009</v>
      </c>
      <c r="E521" s="17"/>
      <c r="F521" s="58">
        <v>0</v>
      </c>
      <c r="G521" s="16">
        <v>2007</v>
      </c>
      <c r="H521" s="15">
        <f>LOOKUP(G521,CPI!A$69:A$100,CPI!O$69:O$100)</f>
        <v>1.0516730811895323</v>
      </c>
      <c r="I521" s="52">
        <v>2015</v>
      </c>
      <c r="J521" s="43">
        <v>0</v>
      </c>
      <c r="K521" s="43"/>
      <c r="L521" s="57"/>
      <c r="M521" s="56">
        <f>AA521*H521*(1+$L$2)^(2015-I521)</f>
        <v>607.9838934921263</v>
      </c>
      <c r="N521" s="3">
        <f>43*((44/12)*(44/12))</f>
        <v>578.11111111111109</v>
      </c>
      <c r="O521" s="50">
        <f t="shared" si="164"/>
        <v>578.11111111111109</v>
      </c>
      <c r="P521" s="16">
        <v>0</v>
      </c>
      <c r="Q521" s="16">
        <v>1</v>
      </c>
      <c r="R521" s="16">
        <v>0</v>
      </c>
      <c r="S521" s="42"/>
      <c r="T521" s="56" t="str">
        <f t="shared" si="163"/>
        <v/>
      </c>
      <c r="U521" s="56" t="str">
        <f t="shared" si="165"/>
        <v/>
      </c>
      <c r="V521" s="56" t="str">
        <f t="shared" si="166"/>
        <v/>
      </c>
      <c r="W521" s="42"/>
      <c r="X521" s="42"/>
      <c r="Y521" s="42"/>
      <c r="Z521" s="42"/>
      <c r="AA521" s="37">
        <f t="shared" si="160"/>
        <v>578.11111111111109</v>
      </c>
      <c r="AB521" s="42"/>
      <c r="AC521" s="42"/>
      <c r="AD521" s="42"/>
      <c r="AE521" s="42"/>
      <c r="AF521" s="16">
        <v>0</v>
      </c>
      <c r="AG521" s="16">
        <v>0</v>
      </c>
      <c r="AH521" s="16">
        <v>0</v>
      </c>
      <c r="AI521" s="16">
        <v>0</v>
      </c>
      <c r="AJ521" s="5">
        <v>1</v>
      </c>
      <c r="AK521" s="5">
        <v>1</v>
      </c>
      <c r="AL521" s="5">
        <v>1</v>
      </c>
      <c r="AM521" s="20">
        <v>3</v>
      </c>
      <c r="AN521" s="20" t="s">
        <v>25</v>
      </c>
      <c r="AO521" s="14"/>
      <c r="AP521" s="16"/>
      <c r="AQ521" s="16"/>
      <c r="AR521" s="16">
        <v>0</v>
      </c>
      <c r="AS521" s="16">
        <v>0</v>
      </c>
      <c r="AT521" s="16"/>
      <c r="AU521" s="16"/>
      <c r="AV521" s="16"/>
      <c r="AW521" s="16"/>
      <c r="AX521" s="16">
        <v>0</v>
      </c>
      <c r="AY521" s="16">
        <v>0</v>
      </c>
      <c r="AZ521" s="16">
        <v>0</v>
      </c>
      <c r="BA521" s="16">
        <v>0</v>
      </c>
    </row>
    <row r="522" spans="1:53" s="36" customFormat="1" x14ac:dyDescent="0.2">
      <c r="A522" s="29"/>
      <c r="B522" s="14" t="str">
        <f t="shared" ref="B522:B585" si="167">+IF(A522="",B521,A522&amp;" "&amp;D522)</f>
        <v>EPA &amp; NHTSA 2009</v>
      </c>
      <c r="C522" s="61">
        <f t="shared" ref="C522:C585" si="168">+IF(A522="",C521,C521+1)</f>
        <v>56</v>
      </c>
      <c r="D522" s="58">
        <v>2009</v>
      </c>
      <c r="E522" s="17"/>
      <c r="F522" s="58">
        <v>0</v>
      </c>
      <c r="G522" s="16">
        <v>2007</v>
      </c>
      <c r="H522" s="15">
        <f>LOOKUP(G522,CPI!A$69:A$100,CPI!O$69:O$100)</f>
        <v>1.0516730811895323</v>
      </c>
      <c r="I522" s="5">
        <v>2020</v>
      </c>
      <c r="J522" s="43">
        <v>0</v>
      </c>
      <c r="K522" s="43"/>
      <c r="L522" s="57"/>
      <c r="M522" s="56"/>
      <c r="N522" s="3">
        <f>50*((44/12)*(44/12))</f>
        <v>672.22222222222217</v>
      </c>
      <c r="O522" s="50">
        <f t="shared" si="164"/>
        <v>672.22222222222217</v>
      </c>
      <c r="P522" s="16">
        <v>0</v>
      </c>
      <c r="Q522" s="16">
        <v>1</v>
      </c>
      <c r="R522" s="16">
        <v>0</v>
      </c>
      <c r="S522" s="42"/>
      <c r="T522" s="56" t="str">
        <f t="shared" si="163"/>
        <v/>
      </c>
      <c r="U522" s="56" t="str">
        <f t="shared" si="165"/>
        <v/>
      </c>
      <c r="V522" s="56" t="str">
        <f t="shared" si="166"/>
        <v/>
      </c>
      <c r="W522" s="42"/>
      <c r="X522" s="42"/>
      <c r="Y522" s="42"/>
      <c r="Z522" s="42"/>
      <c r="AA522" s="37">
        <f t="shared" si="160"/>
        <v>672.22222222222217</v>
      </c>
      <c r="AB522" s="42"/>
      <c r="AC522" s="42"/>
      <c r="AD522" s="42"/>
      <c r="AE522" s="42"/>
      <c r="AF522" s="16">
        <v>0</v>
      </c>
      <c r="AG522" s="16">
        <v>0</v>
      </c>
      <c r="AH522" s="16">
        <v>0</v>
      </c>
      <c r="AI522" s="16">
        <v>0</v>
      </c>
      <c r="AJ522" s="5">
        <v>1</v>
      </c>
      <c r="AK522" s="5">
        <v>1</v>
      </c>
      <c r="AL522" s="5">
        <v>1</v>
      </c>
      <c r="AM522" s="20">
        <v>3</v>
      </c>
      <c r="AN522" s="20" t="s">
        <v>25</v>
      </c>
      <c r="AO522" s="14"/>
      <c r="AP522" s="16"/>
      <c r="AQ522" s="16"/>
      <c r="AR522" s="16">
        <v>0</v>
      </c>
      <c r="AS522" s="16">
        <v>0</v>
      </c>
      <c r="AT522" s="16"/>
      <c r="AU522" s="16"/>
      <c r="AV522" s="16"/>
      <c r="AW522" s="16"/>
      <c r="AX522" s="16">
        <v>0</v>
      </c>
      <c r="AY522" s="16">
        <v>0</v>
      </c>
      <c r="AZ522" s="16">
        <v>0</v>
      </c>
      <c r="BA522" s="16">
        <v>0</v>
      </c>
    </row>
    <row r="523" spans="1:53" s="36" customFormat="1" x14ac:dyDescent="0.2">
      <c r="A523" s="29"/>
      <c r="B523" s="14" t="str">
        <f t="shared" si="167"/>
        <v>EPA &amp; NHTSA 2009</v>
      </c>
      <c r="C523" s="61">
        <f t="shared" si="168"/>
        <v>56</v>
      </c>
      <c r="D523" s="58">
        <v>2009</v>
      </c>
      <c r="E523" s="17"/>
      <c r="F523" s="58">
        <v>0</v>
      </c>
      <c r="G523" s="16">
        <v>2007</v>
      </c>
      <c r="H523" s="15">
        <f>LOOKUP(G523,CPI!A$69:A$100,CPI!O$69:O$100)</f>
        <v>1.0516730811895323</v>
      </c>
      <c r="I523" s="5">
        <v>2030</v>
      </c>
      <c r="J523" s="43">
        <v>0</v>
      </c>
      <c r="K523" s="43"/>
      <c r="L523" s="57"/>
      <c r="M523" s="56"/>
      <c r="N523" s="3">
        <f>67*((44/12)*(44/12))</f>
        <v>900.77777777777771</v>
      </c>
      <c r="O523" s="50">
        <f t="shared" si="164"/>
        <v>900.77777777777771</v>
      </c>
      <c r="P523" s="16">
        <v>0</v>
      </c>
      <c r="Q523" s="16">
        <v>1</v>
      </c>
      <c r="R523" s="16">
        <v>0</v>
      </c>
      <c r="S523" s="42"/>
      <c r="T523" s="56" t="str">
        <f t="shared" si="163"/>
        <v/>
      </c>
      <c r="U523" s="56" t="str">
        <f t="shared" si="165"/>
        <v/>
      </c>
      <c r="V523" s="56" t="str">
        <f t="shared" si="166"/>
        <v/>
      </c>
      <c r="W523" s="42"/>
      <c r="X523" s="42"/>
      <c r="Y523" s="42"/>
      <c r="Z523" s="42"/>
      <c r="AA523" s="37">
        <f t="shared" si="160"/>
        <v>900.77777777777771</v>
      </c>
      <c r="AB523" s="42"/>
      <c r="AC523" s="42"/>
      <c r="AD523" s="42"/>
      <c r="AE523" s="42"/>
      <c r="AF523" s="16">
        <v>0</v>
      </c>
      <c r="AG523" s="16">
        <v>0</v>
      </c>
      <c r="AH523" s="16">
        <v>0</v>
      </c>
      <c r="AI523" s="16">
        <v>0</v>
      </c>
      <c r="AJ523" s="5">
        <v>1</v>
      </c>
      <c r="AK523" s="5">
        <v>1</v>
      </c>
      <c r="AL523" s="5">
        <v>1</v>
      </c>
      <c r="AM523" s="20">
        <v>3</v>
      </c>
      <c r="AN523" s="20" t="s">
        <v>25</v>
      </c>
      <c r="AO523" s="14"/>
      <c r="AP523" s="16"/>
      <c r="AQ523" s="16"/>
      <c r="AR523" s="16">
        <v>0</v>
      </c>
      <c r="AS523" s="16">
        <v>0</v>
      </c>
      <c r="AT523" s="16"/>
      <c r="AU523" s="16"/>
      <c r="AV523" s="16"/>
      <c r="AW523" s="16"/>
      <c r="AX523" s="16">
        <v>0</v>
      </c>
      <c r="AY523" s="16">
        <v>0</v>
      </c>
      <c r="AZ523" s="16">
        <v>0</v>
      </c>
      <c r="BA523" s="16">
        <v>0</v>
      </c>
    </row>
    <row r="524" spans="1:53" s="36" customFormat="1" x14ac:dyDescent="0.2">
      <c r="A524" s="29"/>
      <c r="B524" s="14" t="str">
        <f t="shared" si="167"/>
        <v>EPA &amp; NHTSA 2009</v>
      </c>
      <c r="C524" s="61">
        <f t="shared" si="168"/>
        <v>56</v>
      </c>
      <c r="D524" s="58">
        <v>2009</v>
      </c>
      <c r="E524" s="17"/>
      <c r="F524" s="58">
        <v>0</v>
      </c>
      <c r="G524" s="16">
        <v>2007</v>
      </c>
      <c r="H524" s="15">
        <f>LOOKUP(G524,CPI!A$69:A$100,CPI!O$69:O$100)</f>
        <v>1.0516730811895323</v>
      </c>
      <c r="I524" s="5">
        <v>2040</v>
      </c>
      <c r="J524" s="43">
        <v>0</v>
      </c>
      <c r="K524" s="43"/>
      <c r="L524" s="57"/>
      <c r="M524" s="56"/>
      <c r="N524" s="3">
        <f>90*((44/12)*(44/12))</f>
        <v>1209.9999999999998</v>
      </c>
      <c r="O524" s="50">
        <f t="shared" si="164"/>
        <v>1209.9999999999998</v>
      </c>
      <c r="P524" s="16">
        <v>0</v>
      </c>
      <c r="Q524" s="16">
        <v>1</v>
      </c>
      <c r="R524" s="16">
        <v>0</v>
      </c>
      <c r="S524" s="42"/>
      <c r="T524" s="56" t="str">
        <f t="shared" si="163"/>
        <v/>
      </c>
      <c r="U524" s="56" t="str">
        <f t="shared" si="165"/>
        <v/>
      </c>
      <c r="V524" s="56" t="str">
        <f t="shared" si="166"/>
        <v/>
      </c>
      <c r="W524" s="42"/>
      <c r="X524" s="42"/>
      <c r="Y524" s="42"/>
      <c r="Z524" s="42"/>
      <c r="AA524" s="37">
        <f t="shared" si="160"/>
        <v>1209.9999999999998</v>
      </c>
      <c r="AB524" s="42"/>
      <c r="AC524" s="42"/>
      <c r="AD524" s="42"/>
      <c r="AE524" s="42"/>
      <c r="AF524" s="16">
        <v>0</v>
      </c>
      <c r="AG524" s="16">
        <v>0</v>
      </c>
      <c r="AH524" s="16">
        <v>0</v>
      </c>
      <c r="AI524" s="16">
        <v>0</v>
      </c>
      <c r="AJ524" s="5">
        <v>1</v>
      </c>
      <c r="AK524" s="5">
        <v>1</v>
      </c>
      <c r="AL524" s="5">
        <v>1</v>
      </c>
      <c r="AM524" s="20">
        <v>3</v>
      </c>
      <c r="AN524" s="20" t="s">
        <v>25</v>
      </c>
      <c r="AO524" s="14"/>
      <c r="AP524" s="16"/>
      <c r="AQ524" s="16"/>
      <c r="AR524" s="16">
        <v>0</v>
      </c>
      <c r="AS524" s="16">
        <v>0</v>
      </c>
      <c r="AT524" s="16"/>
      <c r="AU524" s="16"/>
      <c r="AV524" s="16"/>
      <c r="AW524" s="16"/>
      <c r="AX524" s="16">
        <v>0</v>
      </c>
      <c r="AY524" s="16">
        <v>0</v>
      </c>
      <c r="AZ524" s="16">
        <v>0</v>
      </c>
      <c r="BA524" s="16">
        <v>0</v>
      </c>
    </row>
    <row r="525" spans="1:53" s="36" customFormat="1" x14ac:dyDescent="0.2">
      <c r="A525" s="29"/>
      <c r="B525" s="14" t="str">
        <f t="shared" si="167"/>
        <v>EPA &amp; NHTSA 2009</v>
      </c>
      <c r="C525" s="61">
        <f t="shared" si="168"/>
        <v>56</v>
      </c>
      <c r="D525" s="58">
        <v>2009</v>
      </c>
      <c r="E525" s="17"/>
      <c r="F525" s="58">
        <v>0</v>
      </c>
      <c r="G525" s="16">
        <v>2007</v>
      </c>
      <c r="H525" s="15">
        <f>LOOKUP(G525,CPI!A$69:A$100,CPI!O$69:O$100)</f>
        <v>1.0516730811895323</v>
      </c>
      <c r="I525" s="5">
        <v>2050</v>
      </c>
      <c r="J525" s="43">
        <v>0</v>
      </c>
      <c r="K525" s="43"/>
      <c r="L525" s="57"/>
      <c r="M525" s="56"/>
      <c r="N525" s="3">
        <f>120*((44/12)*(44/12))</f>
        <v>1613.333333333333</v>
      </c>
      <c r="O525" s="50">
        <f t="shared" si="164"/>
        <v>1613.333333333333</v>
      </c>
      <c r="P525" s="16">
        <v>0</v>
      </c>
      <c r="Q525" s="16">
        <v>1</v>
      </c>
      <c r="R525" s="16">
        <v>0</v>
      </c>
      <c r="S525" s="42"/>
      <c r="T525" s="56" t="str">
        <f t="shared" si="163"/>
        <v/>
      </c>
      <c r="U525" s="56" t="str">
        <f t="shared" si="165"/>
        <v/>
      </c>
      <c r="V525" s="56" t="str">
        <f t="shared" si="166"/>
        <v/>
      </c>
      <c r="W525" s="42"/>
      <c r="X525" s="42"/>
      <c r="Y525" s="42"/>
      <c r="Z525" s="42"/>
      <c r="AA525" s="37">
        <f t="shared" si="160"/>
        <v>1613.333333333333</v>
      </c>
      <c r="AB525" s="42"/>
      <c r="AC525" s="42"/>
      <c r="AD525" s="42"/>
      <c r="AE525" s="42"/>
      <c r="AF525" s="16">
        <v>0</v>
      </c>
      <c r="AG525" s="16">
        <v>0</v>
      </c>
      <c r="AH525" s="16">
        <v>0</v>
      </c>
      <c r="AI525" s="16">
        <v>0</v>
      </c>
      <c r="AJ525" s="5">
        <v>1</v>
      </c>
      <c r="AK525" s="5">
        <v>1</v>
      </c>
      <c r="AL525" s="5">
        <v>1</v>
      </c>
      <c r="AM525" s="20">
        <v>3</v>
      </c>
      <c r="AN525" s="20" t="s">
        <v>25</v>
      </c>
      <c r="AO525" s="14"/>
      <c r="AP525" s="16"/>
      <c r="AQ525" s="16"/>
      <c r="AR525" s="16">
        <v>0</v>
      </c>
      <c r="AS525" s="16">
        <v>0</v>
      </c>
      <c r="AT525" s="16"/>
      <c r="AU525" s="16"/>
      <c r="AV525" s="16"/>
      <c r="AW525" s="16"/>
      <c r="AX525" s="16">
        <v>0</v>
      </c>
      <c r="AY525" s="16">
        <v>0</v>
      </c>
      <c r="AZ525" s="16">
        <v>0</v>
      </c>
      <c r="BA525" s="16">
        <v>0</v>
      </c>
    </row>
    <row r="526" spans="1:53" x14ac:dyDescent="0.2">
      <c r="A526" s="14"/>
      <c r="B526" s="14" t="str">
        <f t="shared" si="167"/>
        <v>EPA &amp; NHTSA 2009</v>
      </c>
      <c r="C526" s="61">
        <f t="shared" si="168"/>
        <v>56</v>
      </c>
      <c r="D526" s="58">
        <v>2009</v>
      </c>
      <c r="E526" s="17"/>
      <c r="F526" s="58">
        <v>0</v>
      </c>
      <c r="G526" s="16">
        <v>2007</v>
      </c>
      <c r="H526" s="15">
        <f>LOOKUP(G526,CPI!A$69:A$100,CPI!O$69:O$100)</f>
        <v>1.0516730811895323</v>
      </c>
      <c r="I526" s="16">
        <v>2007</v>
      </c>
      <c r="J526" s="15">
        <f>1/9</f>
        <v>0.1111111111111111</v>
      </c>
      <c r="K526" s="44">
        <v>0.2</v>
      </c>
      <c r="L526" s="57">
        <f>(AA527/AA526)^(1/(I527-I526))-1</f>
        <v>0.2138834420675122</v>
      </c>
      <c r="N526" s="14">
        <f>56*44/12</f>
        <v>205.33333333333334</v>
      </c>
      <c r="O526" s="18">
        <f t="shared" si="164"/>
        <v>205.33333333333334</v>
      </c>
      <c r="P526" s="16">
        <v>0</v>
      </c>
      <c r="Q526" s="16">
        <v>1</v>
      </c>
      <c r="R526" s="16">
        <v>0</v>
      </c>
      <c r="S526" s="14"/>
      <c r="T526" s="56" t="str">
        <f t="shared" si="163"/>
        <v/>
      </c>
      <c r="U526" s="56" t="str">
        <f t="shared" si="165"/>
        <v/>
      </c>
      <c r="V526" s="56" t="str">
        <f t="shared" si="166"/>
        <v/>
      </c>
      <c r="W526" s="14"/>
      <c r="X526" s="14"/>
      <c r="Y526" s="14"/>
      <c r="Z526" s="14"/>
      <c r="AA526" s="18">
        <f t="shared" si="160"/>
        <v>205.33333333333334</v>
      </c>
      <c r="AB526" s="14"/>
      <c r="AC526" s="14"/>
      <c r="AD526" s="14"/>
      <c r="AE526" s="14"/>
      <c r="AF526" s="16">
        <v>0</v>
      </c>
      <c r="AG526" s="16">
        <v>0</v>
      </c>
      <c r="AH526" s="16">
        <v>0</v>
      </c>
      <c r="AI526" s="16">
        <v>0</v>
      </c>
      <c r="AJ526" s="5">
        <v>1</v>
      </c>
      <c r="AK526" s="5">
        <v>1</v>
      </c>
      <c r="AL526" s="5">
        <v>1</v>
      </c>
      <c r="AM526" s="20"/>
      <c r="AN526" s="20" t="s">
        <v>25</v>
      </c>
      <c r="AO526" s="14"/>
      <c r="AP526" s="16"/>
      <c r="AQ526" s="16"/>
      <c r="AR526" s="16">
        <v>0</v>
      </c>
      <c r="AS526" s="16">
        <v>0</v>
      </c>
      <c r="AT526" s="16"/>
      <c r="AU526" s="16"/>
      <c r="AV526" s="16"/>
      <c r="AW526" s="16"/>
      <c r="AX526" s="16">
        <v>0</v>
      </c>
      <c r="AY526" s="16">
        <v>0</v>
      </c>
      <c r="AZ526" s="16">
        <v>0</v>
      </c>
      <c r="BA526" s="16">
        <v>0</v>
      </c>
    </row>
    <row r="527" spans="1:53" s="36" customFormat="1" x14ac:dyDescent="0.2">
      <c r="A527" s="29"/>
      <c r="B527" s="14" t="str">
        <f t="shared" si="167"/>
        <v>EPA &amp; NHTSA 2009</v>
      </c>
      <c r="C527" s="61">
        <f t="shared" si="168"/>
        <v>56</v>
      </c>
      <c r="D527" s="58">
        <v>2009</v>
      </c>
      <c r="E527" s="17"/>
      <c r="F527" s="58">
        <v>0</v>
      </c>
      <c r="G527" s="16">
        <v>2007</v>
      </c>
      <c r="H527" s="15">
        <f>LOOKUP(G527,CPI!A$69:A$100,CPI!O$69:O$100)</f>
        <v>1.0516730811895323</v>
      </c>
      <c r="I527" s="52">
        <v>2015</v>
      </c>
      <c r="J527" s="43">
        <v>0</v>
      </c>
      <c r="K527" s="43"/>
      <c r="L527" s="57"/>
      <c r="M527" s="56">
        <f>AA527*H527*(1+$L$2)^(2015-I527)</f>
        <v>1018.0195425914671</v>
      </c>
      <c r="N527" s="3">
        <f>72*((44/12)*(44/12))</f>
        <v>967.99999999999989</v>
      </c>
      <c r="O527" s="50">
        <f t="shared" si="164"/>
        <v>967.99999999999989</v>
      </c>
      <c r="P527" s="16">
        <v>0</v>
      </c>
      <c r="Q527" s="16">
        <v>1</v>
      </c>
      <c r="R527" s="16">
        <v>0</v>
      </c>
      <c r="S527" s="42"/>
      <c r="T527" s="56" t="str">
        <f t="shared" si="163"/>
        <v/>
      </c>
      <c r="U527" s="56" t="str">
        <f t="shared" si="165"/>
        <v/>
      </c>
      <c r="V527" s="56" t="str">
        <f t="shared" si="166"/>
        <v/>
      </c>
      <c r="W527" s="42"/>
      <c r="X527" s="42"/>
      <c r="Y527" s="42"/>
      <c r="Z527" s="42"/>
      <c r="AA527" s="37">
        <f t="shared" si="160"/>
        <v>967.99999999999989</v>
      </c>
      <c r="AB527" s="42"/>
      <c r="AC527" s="42"/>
      <c r="AD527" s="42"/>
      <c r="AE527" s="42"/>
      <c r="AF527" s="16">
        <v>0</v>
      </c>
      <c r="AG527" s="16">
        <v>0</v>
      </c>
      <c r="AH527" s="16">
        <v>0</v>
      </c>
      <c r="AI527" s="16">
        <v>0</v>
      </c>
      <c r="AJ527" s="5">
        <v>1</v>
      </c>
      <c r="AK527" s="5">
        <v>1</v>
      </c>
      <c r="AL527" s="5">
        <v>1</v>
      </c>
      <c r="AM527" s="20"/>
      <c r="AN527" s="20" t="s">
        <v>25</v>
      </c>
      <c r="AO527" s="14"/>
      <c r="AP527" s="16"/>
      <c r="AQ527" s="16"/>
      <c r="AR527" s="16">
        <v>0</v>
      </c>
      <c r="AS527" s="16">
        <v>0</v>
      </c>
      <c r="AT527" s="16"/>
      <c r="AU527" s="16"/>
      <c r="AV527" s="16"/>
      <c r="AW527" s="16"/>
      <c r="AX527" s="16">
        <v>0</v>
      </c>
      <c r="AY527" s="16">
        <v>0</v>
      </c>
      <c r="AZ527" s="16">
        <v>0</v>
      </c>
      <c r="BA527" s="16">
        <v>0</v>
      </c>
    </row>
    <row r="528" spans="1:53" s="36" customFormat="1" x14ac:dyDescent="0.2">
      <c r="A528" s="29"/>
      <c r="B528" s="14" t="str">
        <f t="shared" si="167"/>
        <v>EPA &amp; NHTSA 2009</v>
      </c>
      <c r="C528" s="61">
        <f t="shared" si="168"/>
        <v>56</v>
      </c>
      <c r="D528" s="58">
        <v>2009</v>
      </c>
      <c r="E528" s="17"/>
      <c r="F528" s="58">
        <v>0</v>
      </c>
      <c r="G528" s="16">
        <v>2007</v>
      </c>
      <c r="H528" s="15">
        <f>LOOKUP(G528,CPI!A$69:A$100,CPI!O$69:O$100)</f>
        <v>1.0516730811895323</v>
      </c>
      <c r="I528" s="5">
        <v>2020</v>
      </c>
      <c r="J528" s="43">
        <v>0</v>
      </c>
      <c r="K528" s="43"/>
      <c r="L528" s="57"/>
      <c r="M528" s="56"/>
      <c r="N528" s="3">
        <f>83*((44/12)*(44/12))</f>
        <v>1115.8888888888887</v>
      </c>
      <c r="O528" s="50">
        <f t="shared" si="164"/>
        <v>1115.8888888888887</v>
      </c>
      <c r="P528" s="16">
        <v>0</v>
      </c>
      <c r="Q528" s="16">
        <v>1</v>
      </c>
      <c r="R528" s="16">
        <v>0</v>
      </c>
      <c r="S528" s="42"/>
      <c r="T528" s="56" t="str">
        <f t="shared" si="163"/>
        <v/>
      </c>
      <c r="U528" s="56" t="str">
        <f t="shared" si="165"/>
        <v/>
      </c>
      <c r="V528" s="56" t="str">
        <f t="shared" si="166"/>
        <v/>
      </c>
      <c r="W528" s="42"/>
      <c r="X528" s="42"/>
      <c r="Y528" s="42"/>
      <c r="Z528" s="42"/>
      <c r="AA528" s="37">
        <f t="shared" si="160"/>
        <v>1115.8888888888887</v>
      </c>
      <c r="AB528" s="42"/>
      <c r="AC528" s="42"/>
      <c r="AD528" s="42"/>
      <c r="AE528" s="42"/>
      <c r="AF528" s="16">
        <v>0</v>
      </c>
      <c r="AG528" s="16">
        <v>0</v>
      </c>
      <c r="AH528" s="16">
        <v>0</v>
      </c>
      <c r="AI528" s="16">
        <v>0</v>
      </c>
      <c r="AJ528" s="5">
        <v>1</v>
      </c>
      <c r="AK528" s="5">
        <v>1</v>
      </c>
      <c r="AL528" s="5">
        <v>1</v>
      </c>
      <c r="AM528" s="20"/>
      <c r="AN528" s="20" t="s">
        <v>25</v>
      </c>
      <c r="AO528" s="14"/>
      <c r="AP528" s="16"/>
      <c r="AQ528" s="16"/>
      <c r="AR528" s="16">
        <v>0</v>
      </c>
      <c r="AS528" s="16">
        <v>0</v>
      </c>
      <c r="AT528" s="16"/>
      <c r="AU528" s="16"/>
      <c r="AV528" s="16"/>
      <c r="AW528" s="16"/>
      <c r="AX528" s="16">
        <v>0</v>
      </c>
      <c r="AY528" s="16">
        <v>0</v>
      </c>
      <c r="AZ528" s="16">
        <v>0</v>
      </c>
      <c r="BA528" s="16">
        <v>0</v>
      </c>
    </row>
    <row r="529" spans="1:53" s="36" customFormat="1" x14ac:dyDescent="0.2">
      <c r="A529" s="29"/>
      <c r="B529" s="14" t="str">
        <f t="shared" si="167"/>
        <v>EPA &amp; NHTSA 2009</v>
      </c>
      <c r="C529" s="61">
        <f t="shared" si="168"/>
        <v>56</v>
      </c>
      <c r="D529" s="58">
        <v>2009</v>
      </c>
      <c r="E529" s="17"/>
      <c r="F529" s="58">
        <v>0</v>
      </c>
      <c r="G529" s="16">
        <v>2007</v>
      </c>
      <c r="H529" s="15">
        <f>LOOKUP(G529,CPI!A$69:A$100,CPI!O$69:O$100)</f>
        <v>1.0516730811895323</v>
      </c>
      <c r="I529" s="5">
        <v>2030</v>
      </c>
      <c r="J529" s="43">
        <v>0</v>
      </c>
      <c r="K529" s="43"/>
      <c r="L529" s="57"/>
      <c r="M529" s="56"/>
      <c r="N529" s="3">
        <f>110*((44/12)*(44/12))</f>
        <v>1478.8888888888887</v>
      </c>
      <c r="O529" s="50">
        <f t="shared" si="164"/>
        <v>1478.8888888888887</v>
      </c>
      <c r="P529" s="16">
        <v>0</v>
      </c>
      <c r="Q529" s="16">
        <v>1</v>
      </c>
      <c r="R529" s="16">
        <v>0</v>
      </c>
      <c r="S529" s="42"/>
      <c r="T529" s="56" t="str">
        <f t="shared" si="163"/>
        <v/>
      </c>
      <c r="U529" s="56" t="str">
        <f t="shared" si="165"/>
        <v/>
      </c>
      <c r="V529" s="56" t="str">
        <f t="shared" si="166"/>
        <v/>
      </c>
      <c r="W529" s="42"/>
      <c r="X529" s="42"/>
      <c r="Y529" s="42"/>
      <c r="Z529" s="42"/>
      <c r="AA529" s="37">
        <f t="shared" si="160"/>
        <v>1478.8888888888887</v>
      </c>
      <c r="AB529" s="42"/>
      <c r="AC529" s="42"/>
      <c r="AD529" s="42"/>
      <c r="AE529" s="42"/>
      <c r="AF529" s="16">
        <v>0</v>
      </c>
      <c r="AG529" s="16">
        <v>0</v>
      </c>
      <c r="AH529" s="16">
        <v>0</v>
      </c>
      <c r="AI529" s="16">
        <v>0</v>
      </c>
      <c r="AJ529" s="5">
        <v>1</v>
      </c>
      <c r="AK529" s="5">
        <v>1</v>
      </c>
      <c r="AL529" s="5">
        <v>1</v>
      </c>
      <c r="AM529" s="20"/>
      <c r="AN529" s="20" t="s">
        <v>25</v>
      </c>
      <c r="AO529" s="14"/>
      <c r="AP529" s="16"/>
      <c r="AQ529" s="16"/>
      <c r="AR529" s="16">
        <v>0</v>
      </c>
      <c r="AS529" s="16">
        <v>0</v>
      </c>
      <c r="AT529" s="16"/>
      <c r="AU529" s="16"/>
      <c r="AV529" s="16"/>
      <c r="AW529" s="16"/>
      <c r="AX529" s="16">
        <v>0</v>
      </c>
      <c r="AY529" s="16">
        <v>0</v>
      </c>
      <c r="AZ529" s="16">
        <v>0</v>
      </c>
      <c r="BA529" s="16">
        <v>0</v>
      </c>
    </row>
    <row r="530" spans="1:53" s="36" customFormat="1" x14ac:dyDescent="0.2">
      <c r="A530" s="29"/>
      <c r="B530" s="14" t="str">
        <f t="shared" si="167"/>
        <v>EPA &amp; NHTSA 2009</v>
      </c>
      <c r="C530" s="61">
        <f t="shared" si="168"/>
        <v>56</v>
      </c>
      <c r="D530" s="58">
        <v>2009</v>
      </c>
      <c r="E530" s="17"/>
      <c r="F530" s="58">
        <v>0</v>
      </c>
      <c r="G530" s="16">
        <v>2007</v>
      </c>
      <c r="H530" s="15">
        <f>LOOKUP(G530,CPI!A$69:A$100,CPI!O$69:O$100)</f>
        <v>1.0516730811895323</v>
      </c>
      <c r="I530" s="5">
        <v>2040</v>
      </c>
      <c r="J530" s="43">
        <v>0</v>
      </c>
      <c r="K530" s="43"/>
      <c r="L530" s="57"/>
      <c r="M530" s="56"/>
      <c r="N530" s="3">
        <f>150*((44/12)*(44/12))</f>
        <v>2016.6666666666665</v>
      </c>
      <c r="O530" s="50">
        <f t="shared" si="164"/>
        <v>2016.6666666666665</v>
      </c>
      <c r="P530" s="16">
        <v>0</v>
      </c>
      <c r="Q530" s="16">
        <v>1</v>
      </c>
      <c r="R530" s="16">
        <v>0</v>
      </c>
      <c r="S530" s="42"/>
      <c r="T530" s="56" t="str">
        <f t="shared" si="163"/>
        <v/>
      </c>
      <c r="U530" s="56" t="str">
        <f t="shared" si="165"/>
        <v/>
      </c>
      <c r="V530" s="56" t="str">
        <f t="shared" si="166"/>
        <v/>
      </c>
      <c r="W530" s="42"/>
      <c r="X530" s="42"/>
      <c r="Y530" s="42"/>
      <c r="Z530" s="42"/>
      <c r="AA530" s="37">
        <f t="shared" si="160"/>
        <v>2016.6666666666665</v>
      </c>
      <c r="AB530" s="42"/>
      <c r="AC530" s="42"/>
      <c r="AD530" s="42"/>
      <c r="AE530" s="42"/>
      <c r="AF530" s="16">
        <v>0</v>
      </c>
      <c r="AG530" s="16">
        <v>0</v>
      </c>
      <c r="AH530" s="16">
        <v>0</v>
      </c>
      <c r="AI530" s="16">
        <v>0</v>
      </c>
      <c r="AJ530" s="5">
        <v>1</v>
      </c>
      <c r="AK530" s="5">
        <v>1</v>
      </c>
      <c r="AL530" s="5">
        <v>1</v>
      </c>
      <c r="AM530" s="20"/>
      <c r="AN530" s="20" t="s">
        <v>25</v>
      </c>
      <c r="AO530" s="14"/>
      <c r="AP530" s="16"/>
      <c r="AQ530" s="16"/>
      <c r="AR530" s="16">
        <v>0</v>
      </c>
      <c r="AS530" s="16">
        <v>0</v>
      </c>
      <c r="AT530" s="16"/>
      <c r="AU530" s="16"/>
      <c r="AV530" s="16"/>
      <c r="AW530" s="16"/>
      <c r="AX530" s="16">
        <v>0</v>
      </c>
      <c r="AY530" s="16">
        <v>0</v>
      </c>
      <c r="AZ530" s="16">
        <v>0</v>
      </c>
      <c r="BA530" s="16">
        <v>0</v>
      </c>
    </row>
    <row r="531" spans="1:53" s="36" customFormat="1" x14ac:dyDescent="0.2">
      <c r="A531" s="29"/>
      <c r="B531" s="14" t="str">
        <f t="shared" si="167"/>
        <v>EPA &amp; NHTSA 2009</v>
      </c>
      <c r="C531" s="61">
        <f t="shared" si="168"/>
        <v>56</v>
      </c>
      <c r="D531" s="58">
        <v>2009</v>
      </c>
      <c r="E531" s="17"/>
      <c r="F531" s="58">
        <v>0</v>
      </c>
      <c r="G531" s="16">
        <v>2007</v>
      </c>
      <c r="H531" s="15">
        <f>LOOKUP(G531,CPI!A$69:A$100,CPI!O$69:O$100)</f>
        <v>1.0516730811895323</v>
      </c>
      <c r="I531" s="5">
        <v>2050</v>
      </c>
      <c r="J531" s="43">
        <v>0</v>
      </c>
      <c r="K531" s="43"/>
      <c r="L531" s="57"/>
      <c r="M531" s="56"/>
      <c r="N531" s="3">
        <f>200*((44/12)*(44/12))</f>
        <v>2688.8888888888887</v>
      </c>
      <c r="O531" s="50">
        <f t="shared" si="164"/>
        <v>2688.8888888888887</v>
      </c>
      <c r="P531" s="16">
        <v>0</v>
      </c>
      <c r="Q531" s="16">
        <v>1</v>
      </c>
      <c r="R531" s="16">
        <v>0</v>
      </c>
      <c r="S531" s="42"/>
      <c r="T531" s="56" t="str">
        <f t="shared" si="163"/>
        <v/>
      </c>
      <c r="U531" s="56" t="str">
        <f t="shared" si="165"/>
        <v/>
      </c>
      <c r="V531" s="56" t="str">
        <f t="shared" si="166"/>
        <v/>
      </c>
      <c r="W531" s="42"/>
      <c r="X531" s="42"/>
      <c r="Y531" s="42"/>
      <c r="Z531" s="42"/>
      <c r="AA531" s="37">
        <f t="shared" si="160"/>
        <v>2688.8888888888887</v>
      </c>
      <c r="AB531" s="42"/>
      <c r="AC531" s="42"/>
      <c r="AD531" s="42"/>
      <c r="AE531" s="42"/>
      <c r="AF531" s="16">
        <v>0</v>
      </c>
      <c r="AG531" s="16">
        <v>0</v>
      </c>
      <c r="AH531" s="16">
        <v>0</v>
      </c>
      <c r="AI531" s="16">
        <v>0</v>
      </c>
      <c r="AJ531" s="5">
        <v>1</v>
      </c>
      <c r="AK531" s="5">
        <v>1</v>
      </c>
      <c r="AL531" s="5">
        <v>1</v>
      </c>
      <c r="AM531" s="20"/>
      <c r="AN531" s="20" t="s">
        <v>25</v>
      </c>
      <c r="AO531" s="14"/>
      <c r="AP531" s="16"/>
      <c r="AQ531" s="16"/>
      <c r="AR531" s="16">
        <v>0</v>
      </c>
      <c r="AS531" s="16">
        <v>0</v>
      </c>
      <c r="AT531" s="16"/>
      <c r="AU531" s="16"/>
      <c r="AV531" s="16"/>
      <c r="AW531" s="16"/>
      <c r="AX531" s="16">
        <v>0</v>
      </c>
      <c r="AY531" s="16">
        <v>0</v>
      </c>
      <c r="AZ531" s="16">
        <v>0</v>
      </c>
      <c r="BA531" s="16">
        <v>0</v>
      </c>
    </row>
    <row r="532" spans="1:53" x14ac:dyDescent="0.2">
      <c r="A532" s="14" t="s">
        <v>32</v>
      </c>
      <c r="B532" s="14" t="str">
        <f t="shared" si="167"/>
        <v>Narita et al. 2009</v>
      </c>
      <c r="C532" s="61">
        <f t="shared" si="168"/>
        <v>57</v>
      </c>
      <c r="D532" s="58">
        <v>2009</v>
      </c>
      <c r="E532" s="17" t="s">
        <v>116</v>
      </c>
      <c r="F532" s="58">
        <v>1</v>
      </c>
      <c r="G532" s="22">
        <v>2005</v>
      </c>
      <c r="H532" s="15">
        <f>LOOKUP(G532,CPI!A$69:A$100,CPI!O$69:O$100)</f>
        <v>1.1165181771633383</v>
      </c>
      <c r="I532" s="69">
        <v>2010</v>
      </c>
      <c r="J532" s="15">
        <f t="shared" ref="J532:J556" si="169">1/3</f>
        <v>0.33333333333333331</v>
      </c>
      <c r="K532" s="15"/>
      <c r="L532" s="62"/>
      <c r="M532" s="56">
        <f t="shared" ref="M532:M556" si="170">AA532*H532*(1+$L$2)^(2015-I532)</f>
        <v>142.29202863285522</v>
      </c>
      <c r="N532" s="14">
        <v>109.34</v>
      </c>
      <c r="O532" s="18">
        <f t="shared" si="164"/>
        <v>109.34</v>
      </c>
      <c r="P532" s="16">
        <v>0</v>
      </c>
      <c r="Q532" s="16">
        <v>1</v>
      </c>
      <c r="R532" s="16">
        <v>0</v>
      </c>
      <c r="S532" s="14"/>
      <c r="T532" s="56" t="str">
        <f t="shared" si="163"/>
        <v/>
      </c>
      <c r="U532" s="56" t="str">
        <f t="shared" si="165"/>
        <v/>
      </c>
      <c r="V532" s="56" t="str">
        <f t="shared" si="166"/>
        <v/>
      </c>
      <c r="W532" s="14"/>
      <c r="X532" s="14"/>
      <c r="Y532" s="14"/>
      <c r="Z532" s="14"/>
      <c r="AA532" s="18">
        <f t="shared" si="160"/>
        <v>109.34</v>
      </c>
      <c r="AB532" s="14"/>
      <c r="AC532" s="14"/>
      <c r="AD532" s="14"/>
      <c r="AE532" s="14"/>
      <c r="AF532" s="16">
        <v>0</v>
      </c>
      <c r="AG532" s="16">
        <v>1</v>
      </c>
      <c r="AH532" s="16">
        <v>1</v>
      </c>
      <c r="AI532" s="16">
        <v>1</v>
      </c>
      <c r="AJ532" s="5">
        <v>1</v>
      </c>
      <c r="AK532" s="5">
        <v>0</v>
      </c>
      <c r="AL532" s="5">
        <v>0</v>
      </c>
      <c r="AM532" s="20"/>
      <c r="AN532" s="20">
        <v>0</v>
      </c>
      <c r="AO532" s="14"/>
      <c r="AP532" s="16"/>
      <c r="AQ532" s="16"/>
      <c r="AR532" s="16">
        <v>0</v>
      </c>
      <c r="AS532" s="16">
        <v>0</v>
      </c>
      <c r="AT532" s="16"/>
      <c r="AU532" s="16"/>
      <c r="AV532" s="16"/>
      <c r="AW532" s="16"/>
      <c r="AX532" s="16">
        <v>0</v>
      </c>
      <c r="AY532" s="16">
        <v>0</v>
      </c>
      <c r="AZ532" s="16">
        <v>1</v>
      </c>
      <c r="BA532" s="16">
        <v>0</v>
      </c>
    </row>
    <row r="533" spans="1:53" x14ac:dyDescent="0.2">
      <c r="A533" s="14"/>
      <c r="B533" s="14" t="str">
        <f t="shared" si="167"/>
        <v>Narita et al. 2009</v>
      </c>
      <c r="C533" s="61">
        <f t="shared" si="168"/>
        <v>57</v>
      </c>
      <c r="D533" s="58">
        <v>2009</v>
      </c>
      <c r="E533" s="17"/>
      <c r="F533" s="58">
        <v>1</v>
      </c>
      <c r="G533" s="22">
        <v>2005</v>
      </c>
      <c r="H533" s="15">
        <f>LOOKUP(G533,CPI!A$69:A$100,CPI!O$69:O$100)</f>
        <v>1.1165181771633383</v>
      </c>
      <c r="I533" s="69">
        <v>2010</v>
      </c>
      <c r="J533" s="15">
        <f t="shared" si="169"/>
        <v>0.33333333333333331</v>
      </c>
      <c r="K533" s="15"/>
      <c r="L533" s="62"/>
      <c r="M533" s="56">
        <f t="shared" si="170"/>
        <v>11.829472656600091</v>
      </c>
      <c r="N533" s="14">
        <v>9.09</v>
      </c>
      <c r="O533" s="18">
        <f t="shared" si="164"/>
        <v>9.09</v>
      </c>
      <c r="P533" s="16">
        <v>0</v>
      </c>
      <c r="Q533" s="16">
        <v>1</v>
      </c>
      <c r="R533" s="16">
        <v>0</v>
      </c>
      <c r="S533" s="14"/>
      <c r="T533" s="56" t="str">
        <f t="shared" si="163"/>
        <v/>
      </c>
      <c r="U533" s="56" t="str">
        <f t="shared" si="165"/>
        <v/>
      </c>
      <c r="V533" s="56" t="str">
        <f t="shared" si="166"/>
        <v/>
      </c>
      <c r="W533" s="14"/>
      <c r="X533" s="14"/>
      <c r="Y533" s="14"/>
      <c r="Z533" s="14"/>
      <c r="AA533" s="18">
        <f t="shared" si="160"/>
        <v>9.09</v>
      </c>
      <c r="AB533" s="14"/>
      <c r="AC533" s="14"/>
      <c r="AD533" s="14"/>
      <c r="AE533" s="14"/>
      <c r="AF533" s="16">
        <v>0</v>
      </c>
      <c r="AG533" s="16">
        <v>1</v>
      </c>
      <c r="AH533" s="16">
        <v>1</v>
      </c>
      <c r="AI533" s="16">
        <v>1</v>
      </c>
      <c r="AJ533" s="5">
        <v>1</v>
      </c>
      <c r="AK533" s="5">
        <v>0</v>
      </c>
      <c r="AL533" s="5">
        <v>0</v>
      </c>
      <c r="AM533" s="20"/>
      <c r="AN533" s="20">
        <v>1</v>
      </c>
      <c r="AO533" s="14"/>
      <c r="AP533" s="16"/>
      <c r="AQ533" s="16"/>
      <c r="AR533" s="16">
        <v>0</v>
      </c>
      <c r="AS533" s="16">
        <v>0</v>
      </c>
      <c r="AT533" s="16"/>
      <c r="AU533" s="16"/>
      <c r="AV533" s="16"/>
      <c r="AW533" s="16"/>
      <c r="AX533" s="16">
        <v>0</v>
      </c>
      <c r="AY533" s="16">
        <v>0</v>
      </c>
      <c r="AZ533" s="16">
        <v>1</v>
      </c>
      <c r="BA533" s="16">
        <v>0</v>
      </c>
    </row>
    <row r="534" spans="1:53" x14ac:dyDescent="0.2">
      <c r="A534" s="14"/>
      <c r="B534" s="14" t="str">
        <f t="shared" si="167"/>
        <v>Narita et al. 2009</v>
      </c>
      <c r="C534" s="61">
        <f t="shared" si="168"/>
        <v>57</v>
      </c>
      <c r="D534" s="58">
        <v>2009</v>
      </c>
      <c r="E534" s="17"/>
      <c r="F534" s="58">
        <v>1</v>
      </c>
      <c r="G534" s="22">
        <v>2005</v>
      </c>
      <c r="H534" s="15">
        <f>LOOKUP(G534,CPI!A$69:A$100,CPI!O$69:O$100)</f>
        <v>1.1165181771633383</v>
      </c>
      <c r="I534" s="69">
        <v>2010</v>
      </c>
      <c r="J534" s="15">
        <f t="shared" si="169"/>
        <v>0.33333333333333331</v>
      </c>
      <c r="K534" s="15"/>
      <c r="L534" s="62"/>
      <c r="M534" s="56">
        <f t="shared" si="170"/>
        <v>-3.8650752244336934</v>
      </c>
      <c r="N534" s="14">
        <v>-2.97</v>
      </c>
      <c r="O534" s="18">
        <f t="shared" si="164"/>
        <v>-2.97</v>
      </c>
      <c r="P534" s="16">
        <v>0</v>
      </c>
      <c r="Q534" s="16">
        <v>1</v>
      </c>
      <c r="R534" s="16">
        <v>0</v>
      </c>
      <c r="S534" s="14"/>
      <c r="T534" s="56" t="str">
        <f t="shared" si="163"/>
        <v/>
      </c>
      <c r="U534" s="56" t="str">
        <f t="shared" si="165"/>
        <v/>
      </c>
      <c r="V534" s="56" t="str">
        <f t="shared" si="166"/>
        <v/>
      </c>
      <c r="W534" s="14"/>
      <c r="X534" s="14"/>
      <c r="Y534" s="14"/>
      <c r="Z534" s="14"/>
      <c r="AA534" s="18">
        <f t="shared" ref="AA534:AA597" si="171">N534</f>
        <v>-2.97</v>
      </c>
      <c r="AB534" s="14"/>
      <c r="AC534" s="14"/>
      <c r="AD534" s="14"/>
      <c r="AE534" s="14"/>
      <c r="AF534" s="16">
        <v>0</v>
      </c>
      <c r="AG534" s="16">
        <v>1</v>
      </c>
      <c r="AH534" s="16">
        <v>1</v>
      </c>
      <c r="AI534" s="16">
        <v>1</v>
      </c>
      <c r="AJ534" s="5">
        <v>1</v>
      </c>
      <c r="AK534" s="5">
        <v>0</v>
      </c>
      <c r="AL534" s="5">
        <v>0</v>
      </c>
      <c r="AM534" s="20"/>
      <c r="AN534" s="20">
        <v>3</v>
      </c>
      <c r="AO534" s="14"/>
      <c r="AP534" s="16"/>
      <c r="AQ534" s="16"/>
      <c r="AR534" s="16">
        <v>0</v>
      </c>
      <c r="AS534" s="16">
        <v>0</v>
      </c>
      <c r="AT534" s="16"/>
      <c r="AU534" s="16"/>
      <c r="AV534" s="16"/>
      <c r="AW534" s="16"/>
      <c r="AX534" s="16">
        <v>0</v>
      </c>
      <c r="AY534" s="16">
        <v>0</v>
      </c>
      <c r="AZ534" s="16">
        <v>1</v>
      </c>
      <c r="BA534" s="16">
        <v>0</v>
      </c>
    </row>
    <row r="535" spans="1:53" x14ac:dyDescent="0.2">
      <c r="A535" s="14" t="s">
        <v>174</v>
      </c>
      <c r="B535" s="14" t="str">
        <f t="shared" si="167"/>
        <v>Anthoff &amp; Tol 2010</v>
      </c>
      <c r="C535" s="61">
        <f t="shared" si="168"/>
        <v>58</v>
      </c>
      <c r="D535" s="58">
        <v>2010</v>
      </c>
      <c r="E535" s="17" t="s">
        <v>130</v>
      </c>
      <c r="F535" s="58">
        <v>1</v>
      </c>
      <c r="G535" s="16">
        <v>1995</v>
      </c>
      <c r="H535" s="15">
        <f>LOOKUP(G535,CPI!A$69:A$100,CPI!O$69:O$100)</f>
        <v>1.4308136482939633</v>
      </c>
      <c r="I535" s="69">
        <v>2010</v>
      </c>
      <c r="J535" s="15">
        <f>4/34</f>
        <v>0.11764705882352941</v>
      </c>
      <c r="K535" s="15"/>
      <c r="L535" s="62"/>
      <c r="M535" s="56">
        <f t="shared" si="170"/>
        <v>25.949462731259153</v>
      </c>
      <c r="N535" s="14">
        <v>15.56</v>
      </c>
      <c r="O535" s="18">
        <f t="shared" si="164"/>
        <v>15.56</v>
      </c>
      <c r="P535" s="16">
        <v>0</v>
      </c>
      <c r="Q535" s="16">
        <v>1</v>
      </c>
      <c r="R535" s="16">
        <v>0</v>
      </c>
      <c r="S535" s="14"/>
      <c r="T535" s="56" t="str">
        <f t="shared" si="163"/>
        <v/>
      </c>
      <c r="U535" s="56" t="str">
        <f t="shared" si="165"/>
        <v/>
      </c>
      <c r="V535" s="56" t="str">
        <f t="shared" si="166"/>
        <v/>
      </c>
      <c r="W535" s="14"/>
      <c r="X535" s="14"/>
      <c r="Y535" s="14"/>
      <c r="Z535" s="14"/>
      <c r="AA535" s="18">
        <f t="shared" si="171"/>
        <v>15.56</v>
      </c>
      <c r="AB535" s="14"/>
      <c r="AC535" s="14"/>
      <c r="AD535" s="14"/>
      <c r="AE535" s="14"/>
      <c r="AF535" s="16">
        <v>0</v>
      </c>
      <c r="AG535" s="16">
        <v>1</v>
      </c>
      <c r="AH535" s="16">
        <v>1</v>
      </c>
      <c r="AI535" s="16">
        <v>1</v>
      </c>
      <c r="AJ535" s="5">
        <v>1</v>
      </c>
      <c r="AK535" s="5">
        <v>0</v>
      </c>
      <c r="AL535" s="5">
        <v>0</v>
      </c>
      <c r="AM535" s="20"/>
      <c r="AN535" s="20">
        <v>1</v>
      </c>
      <c r="AO535" s="14"/>
      <c r="AP535" s="16"/>
      <c r="AQ535" s="16"/>
      <c r="AR535" s="16">
        <v>0</v>
      </c>
      <c r="AS535" s="16">
        <v>1</v>
      </c>
      <c r="AT535" s="16"/>
      <c r="AU535" s="16"/>
      <c r="AV535" s="16"/>
      <c r="AW535" s="16"/>
      <c r="AX535" s="16">
        <v>0</v>
      </c>
      <c r="AY535" s="16">
        <v>0</v>
      </c>
      <c r="AZ535" s="16">
        <v>1</v>
      </c>
      <c r="BA535" s="16">
        <v>0</v>
      </c>
    </row>
    <row r="536" spans="1:53" x14ac:dyDescent="0.2">
      <c r="A536" s="14"/>
      <c r="B536" s="14" t="str">
        <f t="shared" si="167"/>
        <v>Anthoff &amp; Tol 2010</v>
      </c>
      <c r="C536" s="61">
        <f t="shared" si="168"/>
        <v>58</v>
      </c>
      <c r="D536" s="58">
        <v>2010</v>
      </c>
      <c r="E536" s="17"/>
      <c r="F536" s="58">
        <v>1</v>
      </c>
      <c r="G536" s="16">
        <v>1995</v>
      </c>
      <c r="H536" s="15">
        <f>LOOKUP(G536,CPI!A$69:A$100,CPI!O$69:O$100)</f>
        <v>1.4308136482939633</v>
      </c>
      <c r="I536" s="69">
        <v>2010</v>
      </c>
      <c r="J536" s="15">
        <f>4/34</f>
        <v>0.11764705882352941</v>
      </c>
      <c r="K536" s="15"/>
      <c r="L536" s="62"/>
      <c r="M536" s="56">
        <f t="shared" si="170"/>
        <v>46.462212833732657</v>
      </c>
      <c r="N536" s="14">
        <v>27.86</v>
      </c>
      <c r="O536" s="18">
        <f t="shared" si="164"/>
        <v>27.86</v>
      </c>
      <c r="P536" s="16">
        <v>0</v>
      </c>
      <c r="Q536" s="16">
        <v>1</v>
      </c>
      <c r="R536" s="16">
        <v>0</v>
      </c>
      <c r="S536" s="14"/>
      <c r="T536" s="56" t="str">
        <f t="shared" si="163"/>
        <v/>
      </c>
      <c r="U536" s="56" t="str">
        <f t="shared" si="165"/>
        <v/>
      </c>
      <c r="V536" s="56" t="str">
        <f t="shared" si="166"/>
        <v/>
      </c>
      <c r="W536" s="14"/>
      <c r="X536" s="14"/>
      <c r="Y536" s="14"/>
      <c r="Z536" s="14"/>
      <c r="AA536" s="18">
        <f t="shared" si="171"/>
        <v>27.86</v>
      </c>
      <c r="AB536" s="14"/>
      <c r="AC536" s="14"/>
      <c r="AD536" s="14"/>
      <c r="AE536" s="14"/>
      <c r="AF536" s="16">
        <v>0</v>
      </c>
      <c r="AG536" s="16">
        <v>1</v>
      </c>
      <c r="AH536" s="16">
        <v>1</v>
      </c>
      <c r="AI536" s="16">
        <v>1</v>
      </c>
      <c r="AJ536" s="5">
        <v>1</v>
      </c>
      <c r="AK536" s="5">
        <v>0</v>
      </c>
      <c r="AL536" s="5">
        <v>0</v>
      </c>
      <c r="AM536" s="20"/>
      <c r="AN536" s="20">
        <v>1</v>
      </c>
      <c r="AO536" s="14"/>
      <c r="AP536" s="16"/>
      <c r="AQ536" s="16"/>
      <c r="AR536" s="16">
        <v>1</v>
      </c>
      <c r="AS536" s="16">
        <v>1</v>
      </c>
      <c r="AT536" s="16"/>
      <c r="AU536" s="16"/>
      <c r="AV536" s="16"/>
      <c r="AW536" s="16"/>
      <c r="AX536" s="16">
        <v>0</v>
      </c>
      <c r="AY536" s="16">
        <v>0</v>
      </c>
      <c r="AZ536" s="16">
        <v>1</v>
      </c>
      <c r="BA536" s="16">
        <v>0</v>
      </c>
    </row>
    <row r="537" spans="1:53" x14ac:dyDescent="0.2">
      <c r="A537" s="14"/>
      <c r="B537" s="14" t="str">
        <f t="shared" si="167"/>
        <v>Anthoff &amp; Tol 2010</v>
      </c>
      <c r="C537" s="61">
        <f t="shared" si="168"/>
        <v>58</v>
      </c>
      <c r="D537" s="58">
        <v>2010</v>
      </c>
      <c r="E537" s="17"/>
      <c r="F537" s="58">
        <v>1</v>
      </c>
      <c r="G537" s="16">
        <v>1995</v>
      </c>
      <c r="H537" s="15">
        <f>LOOKUP(G537,CPI!A$69:A$100,CPI!O$69:O$100)</f>
        <v>1.4308136482939633</v>
      </c>
      <c r="I537" s="69">
        <v>2010</v>
      </c>
      <c r="J537" s="15">
        <f>2/34</f>
        <v>5.8823529411764705E-2</v>
      </c>
      <c r="K537" s="15"/>
      <c r="L537" s="62"/>
      <c r="M537" s="56">
        <f t="shared" si="170"/>
        <v>169.25520389431179</v>
      </c>
      <c r="N537" s="14">
        <v>101.49</v>
      </c>
      <c r="O537" s="18">
        <f t="shared" si="164"/>
        <v>101.49</v>
      </c>
      <c r="P537" s="16">
        <v>0</v>
      </c>
      <c r="Q537" s="16">
        <v>1</v>
      </c>
      <c r="R537" s="16">
        <v>0</v>
      </c>
      <c r="S537" s="14"/>
      <c r="T537" s="56" t="str">
        <f t="shared" si="163"/>
        <v/>
      </c>
      <c r="U537" s="56" t="str">
        <f t="shared" si="165"/>
        <v/>
      </c>
      <c r="V537" s="56" t="str">
        <f t="shared" si="166"/>
        <v/>
      </c>
      <c r="W537" s="14"/>
      <c r="X537" s="14"/>
      <c r="Y537" s="14"/>
      <c r="Z537" s="14"/>
      <c r="AA537" s="18">
        <f t="shared" si="171"/>
        <v>101.49</v>
      </c>
      <c r="AB537" s="14"/>
      <c r="AC537" s="14"/>
      <c r="AD537" s="14"/>
      <c r="AE537" s="14"/>
      <c r="AF537" s="16">
        <v>0</v>
      </c>
      <c r="AG537" s="16">
        <v>1</v>
      </c>
      <c r="AH537" s="16">
        <v>1</v>
      </c>
      <c r="AI537" s="16">
        <v>1</v>
      </c>
      <c r="AJ537" s="5">
        <v>1</v>
      </c>
      <c r="AK537" s="5">
        <v>0</v>
      </c>
      <c r="AL537" s="5">
        <v>0</v>
      </c>
      <c r="AM537" s="20"/>
      <c r="AN537" s="20">
        <v>0</v>
      </c>
      <c r="AO537" s="14"/>
      <c r="AP537" s="16"/>
      <c r="AQ537" s="16"/>
      <c r="AR537" s="16">
        <v>0</v>
      </c>
      <c r="AS537" s="16">
        <v>1</v>
      </c>
      <c r="AT537" s="16"/>
      <c r="AU537" s="16"/>
      <c r="AV537" s="16"/>
      <c r="AW537" s="16"/>
      <c r="AX537" s="16">
        <v>0</v>
      </c>
      <c r="AY537" s="16">
        <v>0</v>
      </c>
      <c r="AZ537" s="16">
        <v>1</v>
      </c>
      <c r="BA537" s="16">
        <v>0</v>
      </c>
    </row>
    <row r="538" spans="1:53" x14ac:dyDescent="0.2">
      <c r="A538" s="14"/>
      <c r="B538" s="14" t="str">
        <f t="shared" si="167"/>
        <v>Anthoff &amp; Tol 2010</v>
      </c>
      <c r="C538" s="61">
        <f t="shared" si="168"/>
        <v>58</v>
      </c>
      <c r="D538" s="58">
        <v>2010</v>
      </c>
      <c r="E538" s="17"/>
      <c r="F538" s="58">
        <v>1</v>
      </c>
      <c r="G538" s="16">
        <v>1995</v>
      </c>
      <c r="H538" s="15">
        <f>LOOKUP(G538,CPI!A$69:A$100,CPI!O$69:O$100)</f>
        <v>1.4308136482939633</v>
      </c>
      <c r="I538" s="69">
        <v>2010</v>
      </c>
      <c r="J538" s="15">
        <f t="shared" ref="J538:J548" si="172">2/34</f>
        <v>5.8823529411764705E-2</v>
      </c>
      <c r="K538" s="15"/>
      <c r="L538" s="62"/>
      <c r="M538" s="56">
        <f t="shared" si="170"/>
        <v>303.72211777743684</v>
      </c>
      <c r="N538" s="14">
        <v>182.12</v>
      </c>
      <c r="O538" s="18">
        <f t="shared" si="164"/>
        <v>182.12</v>
      </c>
      <c r="P538" s="16">
        <v>0</v>
      </c>
      <c r="Q538" s="16">
        <v>1</v>
      </c>
      <c r="R538" s="16">
        <v>0</v>
      </c>
      <c r="S538" s="14"/>
      <c r="T538" s="56" t="str">
        <f t="shared" si="163"/>
        <v/>
      </c>
      <c r="U538" s="56" t="str">
        <f t="shared" si="165"/>
        <v/>
      </c>
      <c r="V538" s="56" t="str">
        <f t="shared" si="166"/>
        <v/>
      </c>
      <c r="W538" s="14"/>
      <c r="X538" s="14"/>
      <c r="Y538" s="14"/>
      <c r="Z538" s="14"/>
      <c r="AA538" s="18">
        <f t="shared" si="171"/>
        <v>182.12</v>
      </c>
      <c r="AB538" s="14"/>
      <c r="AC538" s="14"/>
      <c r="AD538" s="14"/>
      <c r="AE538" s="14"/>
      <c r="AF538" s="16">
        <v>0</v>
      </c>
      <c r="AG538" s="16">
        <v>1</v>
      </c>
      <c r="AH538" s="16">
        <v>1</v>
      </c>
      <c r="AI538" s="16">
        <v>1</v>
      </c>
      <c r="AJ538" s="5">
        <v>1</v>
      </c>
      <c r="AK538" s="5">
        <v>0</v>
      </c>
      <c r="AL538" s="5">
        <v>0</v>
      </c>
      <c r="AM538" s="20"/>
      <c r="AN538" s="20">
        <v>0</v>
      </c>
      <c r="AO538" s="14"/>
      <c r="AP538" s="16"/>
      <c r="AQ538" s="16"/>
      <c r="AR538" s="16">
        <v>1</v>
      </c>
      <c r="AS538" s="16">
        <v>1</v>
      </c>
      <c r="AT538" s="16"/>
      <c r="AU538" s="16"/>
      <c r="AV538" s="16"/>
      <c r="AW538" s="16"/>
      <c r="AX538" s="16">
        <v>0</v>
      </c>
      <c r="AY538" s="16">
        <v>0</v>
      </c>
      <c r="AZ538" s="16">
        <v>1</v>
      </c>
      <c r="BA538" s="16">
        <v>0</v>
      </c>
    </row>
    <row r="539" spans="1:53" x14ac:dyDescent="0.2">
      <c r="A539" s="14"/>
      <c r="B539" s="14" t="str">
        <f t="shared" si="167"/>
        <v>Anthoff &amp; Tol 2010</v>
      </c>
      <c r="C539" s="61">
        <f t="shared" si="168"/>
        <v>58</v>
      </c>
      <c r="D539" s="58">
        <v>2010</v>
      </c>
      <c r="E539" s="17"/>
      <c r="F539" s="58">
        <v>1</v>
      </c>
      <c r="G539" s="16">
        <v>1995</v>
      </c>
      <c r="H539" s="15">
        <f>LOOKUP(G539,CPI!A$69:A$100,CPI!O$69:O$100)</f>
        <v>1.4308136482939633</v>
      </c>
      <c r="I539" s="69">
        <v>2010</v>
      </c>
      <c r="J539" s="15">
        <f t="shared" si="172"/>
        <v>5.8823529411764705E-2</v>
      </c>
      <c r="K539" s="15"/>
      <c r="L539" s="62"/>
      <c r="M539" s="56">
        <f t="shared" si="170"/>
        <v>1.1006841518400414</v>
      </c>
      <c r="N539" s="14">
        <v>0.66</v>
      </c>
      <c r="O539" s="18">
        <f t="shared" si="164"/>
        <v>0.66</v>
      </c>
      <c r="P539" s="16">
        <v>0</v>
      </c>
      <c r="Q539" s="16">
        <v>1</v>
      </c>
      <c r="R539" s="16">
        <v>0</v>
      </c>
      <c r="S539" s="14"/>
      <c r="T539" s="56" t="str">
        <f t="shared" si="163"/>
        <v/>
      </c>
      <c r="U539" s="56" t="str">
        <f t="shared" si="165"/>
        <v/>
      </c>
      <c r="V539" s="56" t="str">
        <f t="shared" si="166"/>
        <v/>
      </c>
      <c r="W539" s="14"/>
      <c r="X539" s="14"/>
      <c r="Y539" s="14"/>
      <c r="Z539" s="14"/>
      <c r="AA539" s="18">
        <f t="shared" si="171"/>
        <v>0.66</v>
      </c>
      <c r="AB539" s="14"/>
      <c r="AC539" s="14"/>
      <c r="AD539" s="14"/>
      <c r="AE539" s="14"/>
      <c r="AF539" s="16">
        <v>0</v>
      </c>
      <c r="AG539" s="16">
        <v>1</v>
      </c>
      <c r="AH539" s="16">
        <v>1</v>
      </c>
      <c r="AI539" s="16">
        <v>1</v>
      </c>
      <c r="AJ539" s="5">
        <v>1</v>
      </c>
      <c r="AK539" s="5">
        <v>0</v>
      </c>
      <c r="AL539" s="5">
        <v>0</v>
      </c>
      <c r="AM539" s="20"/>
      <c r="AN539" s="20">
        <v>3</v>
      </c>
      <c r="AO539" s="14"/>
      <c r="AP539" s="16"/>
      <c r="AQ539" s="16"/>
      <c r="AR539" s="16">
        <v>0</v>
      </c>
      <c r="AS539" s="16">
        <v>1</v>
      </c>
      <c r="AT539" s="16"/>
      <c r="AU539" s="16"/>
      <c r="AV539" s="16"/>
      <c r="AW539" s="16"/>
      <c r="AX539" s="16">
        <v>0</v>
      </c>
      <c r="AY539" s="16">
        <v>0</v>
      </c>
      <c r="AZ539" s="16">
        <v>1</v>
      </c>
      <c r="BA539" s="16">
        <v>0</v>
      </c>
    </row>
    <row r="540" spans="1:53" x14ac:dyDescent="0.2">
      <c r="A540" s="14"/>
      <c r="B540" s="14" t="str">
        <f t="shared" si="167"/>
        <v>Anthoff &amp; Tol 2010</v>
      </c>
      <c r="C540" s="61">
        <f t="shared" si="168"/>
        <v>58</v>
      </c>
      <c r="D540" s="58">
        <v>2010</v>
      </c>
      <c r="E540" s="17"/>
      <c r="F540" s="58">
        <v>1</v>
      </c>
      <c r="G540" s="16">
        <v>1995</v>
      </c>
      <c r="H540" s="15">
        <f>LOOKUP(G540,CPI!A$69:A$100,CPI!O$69:O$100)</f>
        <v>1.4308136482939633</v>
      </c>
      <c r="I540" s="69">
        <v>2010</v>
      </c>
      <c r="J540" s="15">
        <f t="shared" si="172"/>
        <v>5.8823529411764705E-2</v>
      </c>
      <c r="K540" s="15"/>
      <c r="L540" s="62"/>
      <c r="M540" s="56">
        <f t="shared" si="170"/>
        <v>1.9345357820218907</v>
      </c>
      <c r="N540" s="14">
        <v>1.1599999999999999</v>
      </c>
      <c r="O540" s="18">
        <f t="shared" si="164"/>
        <v>1.1599999999999999</v>
      </c>
      <c r="P540" s="16">
        <v>0</v>
      </c>
      <c r="Q540" s="16">
        <v>1</v>
      </c>
      <c r="R540" s="16">
        <v>0</v>
      </c>
      <c r="S540" s="14"/>
      <c r="T540" s="56" t="str">
        <f t="shared" si="163"/>
        <v/>
      </c>
      <c r="U540" s="56" t="str">
        <f t="shared" si="165"/>
        <v/>
      </c>
      <c r="V540" s="56" t="str">
        <f t="shared" si="166"/>
        <v/>
      </c>
      <c r="W540" s="14"/>
      <c r="X540" s="14"/>
      <c r="Y540" s="14"/>
      <c r="Z540" s="14"/>
      <c r="AA540" s="18">
        <f t="shared" si="171"/>
        <v>1.1599999999999999</v>
      </c>
      <c r="AB540" s="14"/>
      <c r="AC540" s="14"/>
      <c r="AD540" s="14"/>
      <c r="AE540" s="14"/>
      <c r="AF540" s="16">
        <v>0</v>
      </c>
      <c r="AG540" s="16">
        <v>1</v>
      </c>
      <c r="AH540" s="16">
        <v>1</v>
      </c>
      <c r="AI540" s="16">
        <v>1</v>
      </c>
      <c r="AJ540" s="5">
        <v>1</v>
      </c>
      <c r="AK540" s="5">
        <v>0</v>
      </c>
      <c r="AL540" s="5">
        <v>0</v>
      </c>
      <c r="AM540" s="20"/>
      <c r="AN540" s="20">
        <v>3</v>
      </c>
      <c r="AO540" s="14"/>
      <c r="AP540" s="16"/>
      <c r="AQ540" s="16"/>
      <c r="AR540" s="16">
        <v>1</v>
      </c>
      <c r="AS540" s="16">
        <v>1</v>
      </c>
      <c r="AT540" s="16"/>
      <c r="AU540" s="16"/>
      <c r="AV540" s="16"/>
      <c r="AW540" s="16"/>
      <c r="AX540" s="16">
        <v>0</v>
      </c>
      <c r="AY540" s="16">
        <v>0</v>
      </c>
      <c r="AZ540" s="16">
        <v>1</v>
      </c>
      <c r="BA540" s="16">
        <v>0</v>
      </c>
    </row>
    <row r="541" spans="1:53" x14ac:dyDescent="0.2">
      <c r="A541" s="14"/>
      <c r="B541" s="14" t="str">
        <f t="shared" si="167"/>
        <v>Anthoff &amp; Tol 2010</v>
      </c>
      <c r="C541" s="61">
        <f t="shared" si="168"/>
        <v>58</v>
      </c>
      <c r="D541" s="58">
        <v>2010</v>
      </c>
      <c r="E541" s="17"/>
      <c r="F541" s="58">
        <v>1</v>
      </c>
      <c r="G541" s="16">
        <v>1995</v>
      </c>
      <c r="H541" s="15">
        <f>LOOKUP(G541,CPI!A$69:A$100,CPI!O$69:O$100)</f>
        <v>1.4308136482939633</v>
      </c>
      <c r="I541" s="69">
        <v>2010</v>
      </c>
      <c r="J541" s="15">
        <f t="shared" si="172"/>
        <v>5.8823529411764705E-2</v>
      </c>
      <c r="K541" s="15"/>
      <c r="L541" s="62"/>
      <c r="M541" s="56">
        <f t="shared" si="170"/>
        <v>93.174581156519864</v>
      </c>
      <c r="N541" s="14">
        <v>55.87</v>
      </c>
      <c r="O541" s="18">
        <f t="shared" si="164"/>
        <v>55.87</v>
      </c>
      <c r="P541" s="16">
        <v>0</v>
      </c>
      <c r="Q541" s="16">
        <v>1</v>
      </c>
      <c r="R541" s="16">
        <v>0</v>
      </c>
      <c r="S541" s="14"/>
      <c r="T541" s="56" t="str">
        <f t="shared" si="163"/>
        <v/>
      </c>
      <c r="U541" s="56" t="str">
        <f t="shared" si="165"/>
        <v/>
      </c>
      <c r="V541" s="56" t="str">
        <f t="shared" si="166"/>
        <v/>
      </c>
      <c r="W541" s="14"/>
      <c r="X541" s="14"/>
      <c r="Y541" s="14"/>
      <c r="Z541" s="14"/>
      <c r="AA541" s="18">
        <f t="shared" si="171"/>
        <v>55.87</v>
      </c>
      <c r="AB541" s="14"/>
      <c r="AC541" s="14"/>
      <c r="AD541" s="14"/>
      <c r="AE541" s="14"/>
      <c r="AF541" s="16">
        <v>0</v>
      </c>
      <c r="AG541" s="16">
        <v>1</v>
      </c>
      <c r="AH541" s="16">
        <v>1</v>
      </c>
      <c r="AI541" s="16">
        <v>1</v>
      </c>
      <c r="AJ541" s="5">
        <v>1</v>
      </c>
      <c r="AK541" s="5">
        <v>0</v>
      </c>
      <c r="AL541" s="5">
        <v>0</v>
      </c>
      <c r="AM541" s="20"/>
      <c r="AN541" s="20">
        <v>1</v>
      </c>
      <c r="AO541" s="14"/>
      <c r="AP541" s="16"/>
      <c r="AQ541" s="16"/>
      <c r="AR541" s="16">
        <v>0</v>
      </c>
      <c r="AS541" s="16">
        <v>1</v>
      </c>
      <c r="AT541" s="16"/>
      <c r="AU541" s="16"/>
      <c r="AV541" s="16"/>
      <c r="AW541" s="16"/>
      <c r="AX541" s="16">
        <v>0</v>
      </c>
      <c r="AY541" s="16">
        <v>0</v>
      </c>
      <c r="AZ541" s="16">
        <v>1</v>
      </c>
      <c r="BA541" s="16">
        <v>0</v>
      </c>
    </row>
    <row r="542" spans="1:53" x14ac:dyDescent="0.2">
      <c r="A542" s="14"/>
      <c r="B542" s="14" t="str">
        <f t="shared" si="167"/>
        <v>Anthoff &amp; Tol 2010</v>
      </c>
      <c r="C542" s="61">
        <f t="shared" si="168"/>
        <v>58</v>
      </c>
      <c r="D542" s="58">
        <v>2010</v>
      </c>
      <c r="E542" s="17"/>
      <c r="F542" s="58">
        <v>1</v>
      </c>
      <c r="G542" s="16">
        <v>1995</v>
      </c>
      <c r="H542" s="15">
        <f>LOOKUP(G542,CPI!A$69:A$100,CPI!O$69:O$100)</f>
        <v>1.4308136482939633</v>
      </c>
      <c r="I542" s="69">
        <v>2010</v>
      </c>
      <c r="J542" s="15">
        <f t="shared" si="172"/>
        <v>5.8823529411764705E-2</v>
      </c>
      <c r="K542" s="15"/>
      <c r="L542" s="62"/>
      <c r="M542" s="56">
        <f t="shared" si="170"/>
        <v>119.67438596369904</v>
      </c>
      <c r="N542" s="14">
        <v>71.760000000000005</v>
      </c>
      <c r="O542" s="18">
        <f t="shared" si="164"/>
        <v>71.760000000000005</v>
      </c>
      <c r="P542" s="16">
        <v>0</v>
      </c>
      <c r="Q542" s="16">
        <v>1</v>
      </c>
      <c r="R542" s="16">
        <v>0</v>
      </c>
      <c r="S542" s="14"/>
      <c r="T542" s="56" t="str">
        <f t="shared" si="163"/>
        <v/>
      </c>
      <c r="U542" s="56" t="str">
        <f t="shared" si="165"/>
        <v/>
      </c>
      <c r="V542" s="56" t="str">
        <f t="shared" si="166"/>
        <v/>
      </c>
      <c r="W542" s="14"/>
      <c r="X542" s="14"/>
      <c r="Y542" s="14"/>
      <c r="Z542" s="14"/>
      <c r="AA542" s="18">
        <f t="shared" si="171"/>
        <v>71.760000000000005</v>
      </c>
      <c r="AB542" s="14"/>
      <c r="AC542" s="14"/>
      <c r="AD542" s="14"/>
      <c r="AE542" s="14"/>
      <c r="AF542" s="16">
        <v>0</v>
      </c>
      <c r="AG542" s="16">
        <v>1</v>
      </c>
      <c r="AH542" s="16">
        <v>1</v>
      </c>
      <c r="AI542" s="16">
        <v>1</v>
      </c>
      <c r="AJ542" s="5">
        <v>1</v>
      </c>
      <c r="AK542" s="5">
        <v>0</v>
      </c>
      <c r="AL542" s="5">
        <v>0</v>
      </c>
      <c r="AM542" s="20"/>
      <c r="AN542" s="20">
        <v>1</v>
      </c>
      <c r="AO542" s="14"/>
      <c r="AP542" s="16"/>
      <c r="AQ542" s="16"/>
      <c r="AR542" s="16">
        <v>1</v>
      </c>
      <c r="AS542" s="16">
        <v>1</v>
      </c>
      <c r="AT542" s="16"/>
      <c r="AU542" s="16"/>
      <c r="AV542" s="16"/>
      <c r="AW542" s="16"/>
      <c r="AX542" s="16">
        <v>0</v>
      </c>
      <c r="AY542" s="16">
        <v>0</v>
      </c>
      <c r="AZ542" s="16">
        <v>1</v>
      </c>
      <c r="BA542" s="16">
        <v>0</v>
      </c>
    </row>
    <row r="543" spans="1:53" x14ac:dyDescent="0.2">
      <c r="A543" s="14"/>
      <c r="B543" s="14" t="str">
        <f t="shared" si="167"/>
        <v>Anthoff &amp; Tol 2010</v>
      </c>
      <c r="C543" s="61">
        <f t="shared" si="168"/>
        <v>58</v>
      </c>
      <c r="D543" s="58">
        <v>2010</v>
      </c>
      <c r="E543" s="17"/>
      <c r="F543" s="58">
        <v>1</v>
      </c>
      <c r="G543" s="16">
        <v>1995</v>
      </c>
      <c r="H543" s="15">
        <f>LOOKUP(G543,CPI!A$69:A$100,CPI!O$69:O$100)</f>
        <v>1.4308136482939633</v>
      </c>
      <c r="I543" s="69">
        <v>2010</v>
      </c>
      <c r="J543" s="15">
        <f t="shared" si="172"/>
        <v>5.8823529411764705E-2</v>
      </c>
      <c r="K543" s="15"/>
      <c r="L543" s="62"/>
      <c r="M543" s="56">
        <f t="shared" si="170"/>
        <v>7.7548201606912004</v>
      </c>
      <c r="N543" s="14">
        <v>4.6500000000000004</v>
      </c>
      <c r="O543" s="18">
        <f t="shared" si="164"/>
        <v>4.6500000000000004</v>
      </c>
      <c r="P543" s="16">
        <v>0</v>
      </c>
      <c r="Q543" s="16">
        <v>1</v>
      </c>
      <c r="R543" s="16">
        <v>0</v>
      </c>
      <c r="S543" s="14"/>
      <c r="T543" s="56" t="str">
        <f t="shared" si="163"/>
        <v/>
      </c>
      <c r="U543" s="56" t="str">
        <f t="shared" si="165"/>
        <v/>
      </c>
      <c r="V543" s="56" t="str">
        <f t="shared" si="166"/>
        <v/>
      </c>
      <c r="W543" s="14"/>
      <c r="X543" s="14"/>
      <c r="Y543" s="14"/>
      <c r="Z543" s="14"/>
      <c r="AA543" s="18">
        <f t="shared" si="171"/>
        <v>4.6500000000000004</v>
      </c>
      <c r="AB543" s="14"/>
      <c r="AC543" s="14"/>
      <c r="AD543" s="14"/>
      <c r="AE543" s="14"/>
      <c r="AF543" s="16">
        <v>0</v>
      </c>
      <c r="AG543" s="16">
        <v>1</v>
      </c>
      <c r="AH543" s="16">
        <v>1</v>
      </c>
      <c r="AI543" s="16">
        <v>1</v>
      </c>
      <c r="AJ543" s="5">
        <v>1</v>
      </c>
      <c r="AK543" s="5">
        <v>0</v>
      </c>
      <c r="AL543" s="5">
        <v>0</v>
      </c>
      <c r="AM543" s="20"/>
      <c r="AN543" s="20">
        <v>1</v>
      </c>
      <c r="AO543" s="14"/>
      <c r="AP543" s="16"/>
      <c r="AQ543" s="16"/>
      <c r="AR543" s="16">
        <v>0</v>
      </c>
      <c r="AS543" s="16">
        <v>1</v>
      </c>
      <c r="AT543" s="16"/>
      <c r="AU543" s="16"/>
      <c r="AV543" s="16"/>
      <c r="AW543" s="16"/>
      <c r="AX543" s="16">
        <v>0</v>
      </c>
      <c r="AY543" s="16">
        <v>0</v>
      </c>
      <c r="AZ543" s="16">
        <v>1</v>
      </c>
      <c r="BA543" s="16">
        <v>0</v>
      </c>
    </row>
    <row r="544" spans="1:53" x14ac:dyDescent="0.2">
      <c r="A544" s="14"/>
      <c r="B544" s="14" t="str">
        <f t="shared" si="167"/>
        <v>Anthoff &amp; Tol 2010</v>
      </c>
      <c r="C544" s="61">
        <f t="shared" si="168"/>
        <v>58</v>
      </c>
      <c r="D544" s="58">
        <v>2010</v>
      </c>
      <c r="E544" s="17"/>
      <c r="F544" s="58">
        <v>1</v>
      </c>
      <c r="G544" s="16">
        <v>1995</v>
      </c>
      <c r="H544" s="15">
        <f>LOOKUP(G544,CPI!A$69:A$100,CPI!O$69:O$100)</f>
        <v>1.4308136482939633</v>
      </c>
      <c r="I544" s="69">
        <v>2010</v>
      </c>
      <c r="J544" s="15">
        <f t="shared" si="172"/>
        <v>5.8823529411764705E-2</v>
      </c>
      <c r="K544" s="15"/>
      <c r="L544" s="62"/>
      <c r="M544" s="56">
        <f t="shared" si="170"/>
        <v>21.5967572217099</v>
      </c>
      <c r="N544" s="14">
        <v>12.95</v>
      </c>
      <c r="O544" s="18">
        <f t="shared" si="164"/>
        <v>12.95</v>
      </c>
      <c r="P544" s="16">
        <v>0</v>
      </c>
      <c r="Q544" s="16">
        <v>1</v>
      </c>
      <c r="R544" s="16">
        <v>0</v>
      </c>
      <c r="S544" s="14"/>
      <c r="T544" s="56" t="str">
        <f t="shared" si="163"/>
        <v/>
      </c>
      <c r="U544" s="56" t="str">
        <f t="shared" si="165"/>
        <v/>
      </c>
      <c r="V544" s="56" t="str">
        <f t="shared" si="166"/>
        <v/>
      </c>
      <c r="W544" s="14"/>
      <c r="X544" s="14"/>
      <c r="Y544" s="14"/>
      <c r="Z544" s="14"/>
      <c r="AA544" s="18">
        <f t="shared" si="171"/>
        <v>12.95</v>
      </c>
      <c r="AB544" s="14"/>
      <c r="AC544" s="14"/>
      <c r="AD544" s="14"/>
      <c r="AE544" s="14"/>
      <c r="AF544" s="16">
        <v>0</v>
      </c>
      <c r="AG544" s="16">
        <v>1</v>
      </c>
      <c r="AH544" s="16">
        <v>1</v>
      </c>
      <c r="AI544" s="16">
        <v>1</v>
      </c>
      <c r="AJ544" s="5">
        <v>1</v>
      </c>
      <c r="AK544" s="5">
        <v>0</v>
      </c>
      <c r="AL544" s="5">
        <v>0</v>
      </c>
      <c r="AM544" s="20"/>
      <c r="AN544" s="20">
        <v>1</v>
      </c>
      <c r="AO544" s="14"/>
      <c r="AP544" s="16"/>
      <c r="AQ544" s="16"/>
      <c r="AR544" s="16">
        <v>1</v>
      </c>
      <c r="AS544" s="16">
        <v>1</v>
      </c>
      <c r="AT544" s="16"/>
      <c r="AU544" s="16"/>
      <c r="AV544" s="16"/>
      <c r="AW544" s="16"/>
      <c r="AX544" s="16">
        <v>0</v>
      </c>
      <c r="AY544" s="16">
        <v>0</v>
      </c>
      <c r="AZ544" s="16">
        <v>1</v>
      </c>
      <c r="BA544" s="16">
        <v>0</v>
      </c>
    </row>
    <row r="545" spans="1:53" x14ac:dyDescent="0.2">
      <c r="A545" s="14"/>
      <c r="B545" s="14" t="str">
        <f t="shared" si="167"/>
        <v>Anthoff &amp; Tol 2010</v>
      </c>
      <c r="C545" s="61">
        <f t="shared" si="168"/>
        <v>58</v>
      </c>
      <c r="D545" s="58">
        <v>2010</v>
      </c>
      <c r="E545" s="17"/>
      <c r="F545" s="58">
        <v>1</v>
      </c>
      <c r="G545" s="16">
        <v>1995</v>
      </c>
      <c r="H545" s="15">
        <f>LOOKUP(G545,CPI!A$69:A$100,CPI!O$69:O$100)</f>
        <v>1.4308136482939633</v>
      </c>
      <c r="I545" s="69">
        <v>2010</v>
      </c>
      <c r="J545" s="15">
        <f t="shared" si="172"/>
        <v>5.8823529411764705E-2</v>
      </c>
      <c r="K545" s="15"/>
      <c r="L545" s="62"/>
      <c r="M545" s="56">
        <f t="shared" si="170"/>
        <v>2.4848778579419113</v>
      </c>
      <c r="N545" s="14">
        <v>1.49</v>
      </c>
      <c r="O545" s="18">
        <f t="shared" si="164"/>
        <v>1.49</v>
      </c>
      <c r="P545" s="16">
        <v>0</v>
      </c>
      <c r="Q545" s="16">
        <v>1</v>
      </c>
      <c r="R545" s="16">
        <v>0</v>
      </c>
      <c r="S545" s="14"/>
      <c r="T545" s="56" t="str">
        <f t="shared" si="163"/>
        <v/>
      </c>
      <c r="U545" s="56" t="str">
        <f t="shared" si="165"/>
        <v/>
      </c>
      <c r="V545" s="56" t="str">
        <f t="shared" si="166"/>
        <v/>
      </c>
      <c r="W545" s="14"/>
      <c r="X545" s="14"/>
      <c r="Y545" s="14"/>
      <c r="Z545" s="14"/>
      <c r="AA545" s="18">
        <f t="shared" si="171"/>
        <v>1.49</v>
      </c>
      <c r="AB545" s="14"/>
      <c r="AC545" s="14"/>
      <c r="AD545" s="14"/>
      <c r="AE545" s="14"/>
      <c r="AF545" s="16">
        <v>0</v>
      </c>
      <c r="AG545" s="16">
        <v>1</v>
      </c>
      <c r="AH545" s="16">
        <v>1</v>
      </c>
      <c r="AI545" s="16">
        <v>1</v>
      </c>
      <c r="AJ545" s="5">
        <v>1</v>
      </c>
      <c r="AK545" s="5">
        <v>0</v>
      </c>
      <c r="AL545" s="5">
        <v>0</v>
      </c>
      <c r="AM545" s="20"/>
      <c r="AN545" s="20">
        <v>1</v>
      </c>
      <c r="AO545" s="14"/>
      <c r="AP545" s="16"/>
      <c r="AQ545" s="16"/>
      <c r="AR545" s="16">
        <v>0</v>
      </c>
      <c r="AS545" s="16">
        <v>1</v>
      </c>
      <c r="AT545" s="16"/>
      <c r="AU545" s="16"/>
      <c r="AV545" s="16"/>
      <c r="AW545" s="16"/>
      <c r="AX545" s="16">
        <v>0</v>
      </c>
      <c r="AY545" s="16">
        <v>0</v>
      </c>
      <c r="AZ545" s="16">
        <v>1</v>
      </c>
      <c r="BA545" s="16">
        <v>0</v>
      </c>
    </row>
    <row r="546" spans="1:53" x14ac:dyDescent="0.2">
      <c r="A546" s="14"/>
      <c r="B546" s="14" t="str">
        <f t="shared" si="167"/>
        <v>Anthoff &amp; Tol 2010</v>
      </c>
      <c r="C546" s="61">
        <f t="shared" si="168"/>
        <v>58</v>
      </c>
      <c r="D546" s="58">
        <v>2010</v>
      </c>
      <c r="E546" s="17"/>
      <c r="F546" s="58">
        <v>1</v>
      </c>
      <c r="G546" s="16">
        <v>1995</v>
      </c>
      <c r="H546" s="15">
        <f>LOOKUP(G546,CPI!A$69:A$100,CPI!O$69:O$100)</f>
        <v>1.4308136482939633</v>
      </c>
      <c r="I546" s="69">
        <v>2010</v>
      </c>
      <c r="J546" s="15">
        <f t="shared" si="172"/>
        <v>5.8823529411764705E-2</v>
      </c>
      <c r="K546" s="15"/>
      <c r="L546" s="62"/>
      <c r="M546" s="56">
        <f t="shared" si="170"/>
        <v>12.107525670240452</v>
      </c>
      <c r="N546" s="14">
        <v>7.26</v>
      </c>
      <c r="O546" s="18">
        <f t="shared" si="164"/>
        <v>7.26</v>
      </c>
      <c r="P546" s="16">
        <v>0</v>
      </c>
      <c r="Q546" s="16">
        <v>1</v>
      </c>
      <c r="R546" s="16">
        <v>0</v>
      </c>
      <c r="S546" s="14"/>
      <c r="T546" s="56" t="str">
        <f t="shared" si="163"/>
        <v/>
      </c>
      <c r="U546" s="56" t="str">
        <f t="shared" si="165"/>
        <v/>
      </c>
      <c r="V546" s="56" t="str">
        <f t="shared" si="166"/>
        <v/>
      </c>
      <c r="W546" s="14"/>
      <c r="X546" s="14"/>
      <c r="Y546" s="14"/>
      <c r="Z546" s="14"/>
      <c r="AA546" s="18">
        <f t="shared" si="171"/>
        <v>7.26</v>
      </c>
      <c r="AB546" s="14"/>
      <c r="AC546" s="14"/>
      <c r="AD546" s="14"/>
      <c r="AE546" s="14"/>
      <c r="AF546" s="16">
        <v>0</v>
      </c>
      <c r="AG546" s="16">
        <v>1</v>
      </c>
      <c r="AH546" s="16">
        <v>1</v>
      </c>
      <c r="AI546" s="16">
        <v>1</v>
      </c>
      <c r="AJ546" s="5">
        <v>1</v>
      </c>
      <c r="AK546" s="5">
        <v>0</v>
      </c>
      <c r="AL546" s="5">
        <v>0</v>
      </c>
      <c r="AM546" s="20"/>
      <c r="AN546" s="20">
        <v>1</v>
      </c>
      <c r="AO546" s="14"/>
      <c r="AP546" s="16"/>
      <c r="AQ546" s="16"/>
      <c r="AR546" s="16">
        <v>1</v>
      </c>
      <c r="AS546" s="16">
        <v>1</v>
      </c>
      <c r="AT546" s="16"/>
      <c r="AU546" s="16"/>
      <c r="AV546" s="16"/>
      <c r="AW546" s="16"/>
      <c r="AX546" s="16">
        <v>0</v>
      </c>
      <c r="AY546" s="16">
        <v>0</v>
      </c>
      <c r="AZ546" s="16">
        <v>1</v>
      </c>
      <c r="BA546" s="16">
        <v>0</v>
      </c>
    </row>
    <row r="547" spans="1:53" x14ac:dyDescent="0.2">
      <c r="A547" s="14"/>
      <c r="B547" s="14" t="str">
        <f t="shared" si="167"/>
        <v>Anthoff &amp; Tol 2010</v>
      </c>
      <c r="C547" s="61">
        <f t="shared" si="168"/>
        <v>58</v>
      </c>
      <c r="D547" s="58">
        <v>2010</v>
      </c>
      <c r="E547" s="17"/>
      <c r="F547" s="58">
        <v>1</v>
      </c>
      <c r="G547" s="16">
        <v>1995</v>
      </c>
      <c r="H547" s="15">
        <f>LOOKUP(G547,CPI!A$69:A$100,CPI!O$69:O$100)</f>
        <v>1.4308136482939633</v>
      </c>
      <c r="I547" s="69">
        <v>2010</v>
      </c>
      <c r="J547" s="15">
        <f t="shared" si="172"/>
        <v>5.8823529411764705E-2</v>
      </c>
      <c r="K547" s="15"/>
      <c r="L547" s="62"/>
      <c r="M547" s="56">
        <f t="shared" si="170"/>
        <v>25.949462731259153</v>
      </c>
      <c r="N547" s="14">
        <v>15.56</v>
      </c>
      <c r="O547" s="18">
        <f t="shared" si="164"/>
        <v>15.56</v>
      </c>
      <c r="P547" s="16">
        <v>0</v>
      </c>
      <c r="Q547" s="16">
        <v>1</v>
      </c>
      <c r="R547" s="16">
        <v>0</v>
      </c>
      <c r="S547" s="14"/>
      <c r="T547" s="56" t="str">
        <f t="shared" si="163"/>
        <v/>
      </c>
      <c r="U547" s="56" t="str">
        <f t="shared" si="165"/>
        <v/>
      </c>
      <c r="V547" s="56" t="str">
        <f t="shared" si="166"/>
        <v/>
      </c>
      <c r="W547" s="14"/>
      <c r="X547" s="14"/>
      <c r="Y547" s="14"/>
      <c r="Z547" s="14"/>
      <c r="AA547" s="18">
        <f t="shared" si="171"/>
        <v>15.56</v>
      </c>
      <c r="AB547" s="14"/>
      <c r="AC547" s="14"/>
      <c r="AD547" s="14"/>
      <c r="AE547" s="14"/>
      <c r="AF547" s="16">
        <v>0</v>
      </c>
      <c r="AG547" s="16">
        <v>1</v>
      </c>
      <c r="AH547" s="16">
        <v>1</v>
      </c>
      <c r="AI547" s="16">
        <v>1</v>
      </c>
      <c r="AJ547" s="5">
        <v>1</v>
      </c>
      <c r="AK547" s="5">
        <v>0</v>
      </c>
      <c r="AL547" s="5">
        <v>0</v>
      </c>
      <c r="AM547" s="20"/>
      <c r="AN547" s="20">
        <v>1</v>
      </c>
      <c r="AO547" s="14"/>
      <c r="AP547" s="16"/>
      <c r="AQ547" s="16"/>
      <c r="AR547" s="16">
        <v>0</v>
      </c>
      <c r="AS547" s="16">
        <v>1</v>
      </c>
      <c r="AT547" s="16"/>
      <c r="AU547" s="16"/>
      <c r="AV547" s="16"/>
      <c r="AW547" s="16"/>
      <c r="AX547" s="16">
        <v>0</v>
      </c>
      <c r="AY547" s="16">
        <v>0</v>
      </c>
      <c r="AZ547" s="16">
        <v>1</v>
      </c>
      <c r="BA547" s="16">
        <v>0</v>
      </c>
    </row>
    <row r="548" spans="1:53" x14ac:dyDescent="0.2">
      <c r="A548" s="14"/>
      <c r="B548" s="14" t="str">
        <f t="shared" si="167"/>
        <v>Anthoff &amp; Tol 2010</v>
      </c>
      <c r="C548" s="61">
        <f t="shared" si="168"/>
        <v>58</v>
      </c>
      <c r="D548" s="58">
        <v>2010</v>
      </c>
      <c r="E548" s="17"/>
      <c r="F548" s="58">
        <v>1</v>
      </c>
      <c r="G548" s="16">
        <v>1995</v>
      </c>
      <c r="H548" s="15">
        <f>LOOKUP(G548,CPI!A$69:A$100,CPI!O$69:O$100)</f>
        <v>1.4308136482939633</v>
      </c>
      <c r="I548" s="69">
        <v>2010</v>
      </c>
      <c r="J548" s="15">
        <f t="shared" si="172"/>
        <v>5.8823529411764705E-2</v>
      </c>
      <c r="K548" s="15"/>
      <c r="L548" s="62"/>
      <c r="M548" s="56">
        <f t="shared" si="170"/>
        <v>32.303412153244849</v>
      </c>
      <c r="N548" s="14">
        <v>19.37</v>
      </c>
      <c r="O548" s="18">
        <f t="shared" si="164"/>
        <v>19.37</v>
      </c>
      <c r="P548" s="16">
        <v>0</v>
      </c>
      <c r="Q548" s="16">
        <v>1</v>
      </c>
      <c r="R548" s="16">
        <v>0</v>
      </c>
      <c r="S548" s="14"/>
      <c r="T548" s="56" t="str">
        <f t="shared" si="163"/>
        <v/>
      </c>
      <c r="U548" s="56" t="str">
        <f t="shared" si="165"/>
        <v/>
      </c>
      <c r="V548" s="56" t="str">
        <f t="shared" si="166"/>
        <v/>
      </c>
      <c r="W548" s="14"/>
      <c r="X548" s="14"/>
      <c r="Y548" s="14"/>
      <c r="Z548" s="14"/>
      <c r="AA548" s="18">
        <f t="shared" si="171"/>
        <v>19.37</v>
      </c>
      <c r="AB548" s="14"/>
      <c r="AC548" s="14"/>
      <c r="AD548" s="14"/>
      <c r="AE548" s="14"/>
      <c r="AF548" s="16">
        <v>0</v>
      </c>
      <c r="AG548" s="16">
        <v>1</v>
      </c>
      <c r="AH548" s="16">
        <v>1</v>
      </c>
      <c r="AI548" s="16">
        <v>1</v>
      </c>
      <c r="AJ548" s="5">
        <v>1</v>
      </c>
      <c r="AK548" s="5">
        <v>0</v>
      </c>
      <c r="AL548" s="5">
        <v>0</v>
      </c>
      <c r="AM548" s="20"/>
      <c r="AN548" s="20">
        <v>1</v>
      </c>
      <c r="AO548" s="14"/>
      <c r="AP548" s="16"/>
      <c r="AQ548" s="16"/>
      <c r="AR548" s="16">
        <v>1</v>
      </c>
      <c r="AS548" s="16">
        <v>1</v>
      </c>
      <c r="AT548" s="16"/>
      <c r="AU548" s="16"/>
      <c r="AV548" s="16"/>
      <c r="AW548" s="16"/>
      <c r="AX548" s="16">
        <v>0</v>
      </c>
      <c r="AY548" s="16">
        <v>0</v>
      </c>
      <c r="AZ548" s="16">
        <v>1</v>
      </c>
      <c r="BA548" s="16">
        <v>0</v>
      </c>
    </row>
    <row r="549" spans="1:53" x14ac:dyDescent="0.2">
      <c r="A549" s="14"/>
      <c r="B549" s="14" t="str">
        <f t="shared" si="167"/>
        <v>Anthoff &amp; Tol 2010</v>
      </c>
      <c r="C549" s="61">
        <f t="shared" si="168"/>
        <v>58</v>
      </c>
      <c r="D549" s="58">
        <v>2010</v>
      </c>
      <c r="E549" s="17"/>
      <c r="F549" s="58">
        <v>1</v>
      </c>
      <c r="G549" s="16">
        <v>1995</v>
      </c>
      <c r="H549" s="15">
        <f>LOOKUP(G549,CPI!A$69:A$100,CPI!O$69:O$100)</f>
        <v>1.4308136482939633</v>
      </c>
      <c r="I549" s="69">
        <v>2010</v>
      </c>
      <c r="J549" s="15">
        <f>1/34</f>
        <v>2.9411764705882353E-2</v>
      </c>
      <c r="K549" s="15"/>
      <c r="L549" s="62"/>
      <c r="M549" s="56">
        <f t="shared" si="170"/>
        <v>25.949462731259153</v>
      </c>
      <c r="N549" s="14">
        <v>15.56</v>
      </c>
      <c r="O549" s="18">
        <f t="shared" ref="O549:O580" si="173">N549</f>
        <v>15.56</v>
      </c>
      <c r="P549" s="16">
        <v>0</v>
      </c>
      <c r="Q549" s="16">
        <v>1</v>
      </c>
      <c r="R549" s="16">
        <v>0</v>
      </c>
      <c r="S549" s="14"/>
      <c r="T549" s="56" t="str">
        <f t="shared" si="163"/>
        <v/>
      </c>
      <c r="U549" s="56" t="str">
        <f t="shared" si="165"/>
        <v/>
      </c>
      <c r="V549" s="56" t="str">
        <f t="shared" si="166"/>
        <v/>
      </c>
      <c r="W549" s="14"/>
      <c r="X549" s="14"/>
      <c r="Y549" s="14"/>
      <c r="Z549" s="14"/>
      <c r="AA549" s="18">
        <f t="shared" si="171"/>
        <v>15.56</v>
      </c>
      <c r="AB549" s="14"/>
      <c r="AC549" s="14"/>
      <c r="AD549" s="14"/>
      <c r="AE549" s="14"/>
      <c r="AF549" s="16">
        <v>0</v>
      </c>
      <c r="AG549" s="16">
        <v>1</v>
      </c>
      <c r="AH549" s="16">
        <v>1</v>
      </c>
      <c r="AI549" s="16">
        <v>1</v>
      </c>
      <c r="AJ549" s="5">
        <v>1</v>
      </c>
      <c r="AK549" s="5">
        <v>0</v>
      </c>
      <c r="AL549" s="5">
        <v>0</v>
      </c>
      <c r="AM549" s="20"/>
      <c r="AN549" s="20">
        <v>1</v>
      </c>
      <c r="AO549" s="14"/>
      <c r="AP549" s="16"/>
      <c r="AQ549" s="16"/>
      <c r="AR549" s="16">
        <v>0</v>
      </c>
      <c r="AS549" s="16">
        <v>1</v>
      </c>
      <c r="AT549" s="16"/>
      <c r="AU549" s="16"/>
      <c r="AV549" s="16"/>
      <c r="AW549" s="16"/>
      <c r="AX549" s="16">
        <v>0</v>
      </c>
      <c r="AY549" s="16">
        <v>0</v>
      </c>
      <c r="AZ549" s="16">
        <v>1</v>
      </c>
      <c r="BA549" s="16">
        <v>0</v>
      </c>
    </row>
    <row r="550" spans="1:53" x14ac:dyDescent="0.2">
      <c r="A550" s="14"/>
      <c r="B550" s="14" t="str">
        <f t="shared" si="167"/>
        <v>Anthoff &amp; Tol 2010</v>
      </c>
      <c r="C550" s="61">
        <f t="shared" si="168"/>
        <v>58</v>
      </c>
      <c r="D550" s="58">
        <v>2010</v>
      </c>
      <c r="E550" s="17"/>
      <c r="F550" s="58">
        <v>1</v>
      </c>
      <c r="G550" s="16">
        <v>1995</v>
      </c>
      <c r="H550" s="15">
        <f>LOOKUP(G550,CPI!A$69:A$100,CPI!O$69:O$100)</f>
        <v>1.4308136482939633</v>
      </c>
      <c r="I550" s="69">
        <v>2010</v>
      </c>
      <c r="J550" s="15">
        <f>1/34</f>
        <v>2.9411764705882353E-2</v>
      </c>
      <c r="K550" s="15"/>
      <c r="L550" s="62"/>
      <c r="M550" s="56">
        <f t="shared" si="170"/>
        <v>75.230094075006463</v>
      </c>
      <c r="N550" s="14">
        <v>45.11</v>
      </c>
      <c r="O550" s="18">
        <f t="shared" si="173"/>
        <v>45.11</v>
      </c>
      <c r="P550" s="16">
        <v>0</v>
      </c>
      <c r="Q550" s="16">
        <v>1</v>
      </c>
      <c r="R550" s="16">
        <v>0</v>
      </c>
      <c r="S550" s="14"/>
      <c r="T550" s="56" t="str">
        <f t="shared" si="163"/>
        <v/>
      </c>
      <c r="U550" s="56" t="str">
        <f t="shared" si="165"/>
        <v/>
      </c>
      <c r="V550" s="56" t="str">
        <f t="shared" si="166"/>
        <v/>
      </c>
      <c r="W550" s="14"/>
      <c r="X550" s="14"/>
      <c r="Y550" s="14"/>
      <c r="Z550" s="14"/>
      <c r="AA550" s="18">
        <f t="shared" si="171"/>
        <v>45.11</v>
      </c>
      <c r="AB550" s="14"/>
      <c r="AC550" s="14"/>
      <c r="AD550" s="14"/>
      <c r="AE550" s="14"/>
      <c r="AF550" s="16">
        <v>0</v>
      </c>
      <c r="AG550" s="16">
        <v>1</v>
      </c>
      <c r="AH550" s="16">
        <v>1</v>
      </c>
      <c r="AI550" s="16">
        <v>1</v>
      </c>
      <c r="AJ550" s="5">
        <v>1</v>
      </c>
      <c r="AK550" s="5">
        <v>0</v>
      </c>
      <c r="AL550" s="5">
        <v>0</v>
      </c>
      <c r="AM550" s="20"/>
      <c r="AN550" s="20">
        <v>1</v>
      </c>
      <c r="AO550" s="14"/>
      <c r="AP550" s="16"/>
      <c r="AQ550" s="16"/>
      <c r="AR550" s="16">
        <v>1</v>
      </c>
      <c r="AS550" s="16">
        <v>1</v>
      </c>
      <c r="AT550" s="16"/>
      <c r="AU550" s="16"/>
      <c r="AV550" s="16"/>
      <c r="AW550" s="16"/>
      <c r="AX550" s="16">
        <v>0</v>
      </c>
      <c r="AY550" s="16">
        <v>0</v>
      </c>
      <c r="AZ550" s="16">
        <v>1</v>
      </c>
      <c r="BA550" s="16">
        <v>0</v>
      </c>
    </row>
    <row r="551" spans="1:53" x14ac:dyDescent="0.2">
      <c r="A551" s="14" t="s">
        <v>175</v>
      </c>
      <c r="B551" s="14" t="str">
        <f t="shared" si="167"/>
        <v>Kemfert &amp; Schill 2010</v>
      </c>
      <c r="C551" s="61">
        <f t="shared" si="168"/>
        <v>59</v>
      </c>
      <c r="D551" s="58">
        <v>2010</v>
      </c>
      <c r="E551" s="17" t="s">
        <v>129</v>
      </c>
      <c r="F551" s="58">
        <v>0</v>
      </c>
      <c r="G551" s="16">
        <v>2000</v>
      </c>
      <c r="H551" s="15">
        <f>LOOKUP(G551,CPI!A$69:A$100,CPI!O$69:O$100)</f>
        <v>1.2662950058072011</v>
      </c>
      <c r="I551" s="52">
        <v>2010</v>
      </c>
      <c r="J551" s="15">
        <v>0.1</v>
      </c>
      <c r="K551" s="15"/>
      <c r="L551" s="62"/>
      <c r="M551" s="56">
        <f t="shared" si="170"/>
        <v>70.353446948815645</v>
      </c>
      <c r="N551" s="14">
        <f>13*44/12</f>
        <v>47.666666666666664</v>
      </c>
      <c r="O551" s="18">
        <f t="shared" si="173"/>
        <v>47.666666666666664</v>
      </c>
      <c r="P551" s="16">
        <v>0</v>
      </c>
      <c r="Q551" s="16">
        <v>1</v>
      </c>
      <c r="R551" s="16">
        <v>0</v>
      </c>
      <c r="S551" s="14"/>
      <c r="T551" s="56" t="str">
        <f t="shared" si="163"/>
        <v/>
      </c>
      <c r="U551" s="56" t="str">
        <f t="shared" si="165"/>
        <v/>
      </c>
      <c r="V551" s="56" t="str">
        <f t="shared" si="166"/>
        <v/>
      </c>
      <c r="W551" s="14"/>
      <c r="X551" s="14"/>
      <c r="Y551" s="14"/>
      <c r="Z551" s="14"/>
      <c r="AA551" s="18">
        <f t="shared" si="171"/>
        <v>47.666666666666664</v>
      </c>
      <c r="AB551" s="14"/>
      <c r="AC551" s="14"/>
      <c r="AD551" s="14"/>
      <c r="AE551" s="14"/>
      <c r="AF551" s="16">
        <v>0</v>
      </c>
      <c r="AG551" s="16">
        <v>1</v>
      </c>
      <c r="AH551" s="16">
        <v>0</v>
      </c>
      <c r="AI551" s="16">
        <v>1</v>
      </c>
      <c r="AJ551" s="5">
        <v>0</v>
      </c>
      <c r="AK551" s="5">
        <v>0</v>
      </c>
      <c r="AL551" s="5">
        <v>0</v>
      </c>
      <c r="AM551" s="20"/>
      <c r="AN551" s="20" t="s">
        <v>25</v>
      </c>
      <c r="AO551" s="14"/>
      <c r="AP551" s="16"/>
      <c r="AQ551" s="16"/>
      <c r="AR551" s="16">
        <v>0</v>
      </c>
      <c r="AS551" s="16">
        <v>0</v>
      </c>
      <c r="AT551" s="16"/>
      <c r="AU551" s="16"/>
      <c r="AV551" s="16"/>
      <c r="AW551" s="16"/>
      <c r="AX551" s="16">
        <v>0</v>
      </c>
      <c r="AY551" s="16">
        <v>0</v>
      </c>
      <c r="AZ551" s="16">
        <v>0</v>
      </c>
      <c r="BA551" s="16">
        <v>0</v>
      </c>
    </row>
    <row r="552" spans="1:53" x14ac:dyDescent="0.2">
      <c r="A552" s="14"/>
      <c r="B552" s="14" t="str">
        <f t="shared" si="167"/>
        <v>Kemfert &amp; Schill 2010</v>
      </c>
      <c r="C552" s="61">
        <f t="shared" si="168"/>
        <v>59</v>
      </c>
      <c r="D552" s="58">
        <v>2010</v>
      </c>
      <c r="E552" s="17"/>
      <c r="F552" s="58">
        <v>0</v>
      </c>
      <c r="G552" s="16">
        <v>2000</v>
      </c>
      <c r="H552" s="15">
        <f>LOOKUP(G552,CPI!A$69:A$100,CPI!O$69:O$100)</f>
        <v>1.2662950058072011</v>
      </c>
      <c r="I552" s="52">
        <v>2010</v>
      </c>
      <c r="J552" s="15">
        <v>0.8</v>
      </c>
      <c r="K552" s="15"/>
      <c r="L552" s="62"/>
      <c r="M552" s="56">
        <f t="shared" si="170"/>
        <v>102.82426861749981</v>
      </c>
      <c r="N552" s="14">
        <f>19*44/12</f>
        <v>69.666666666666671</v>
      </c>
      <c r="O552" s="18">
        <f t="shared" si="173"/>
        <v>69.666666666666671</v>
      </c>
      <c r="P552" s="16">
        <v>1</v>
      </c>
      <c r="Q552" s="16">
        <v>0</v>
      </c>
      <c r="R552" s="16">
        <v>0</v>
      </c>
      <c r="S552" s="14"/>
      <c r="T552" s="56" t="str">
        <f t="shared" si="163"/>
        <v/>
      </c>
      <c r="U552" s="56" t="str">
        <f t="shared" si="165"/>
        <v/>
      </c>
      <c r="V552" s="56" t="str">
        <f t="shared" si="166"/>
        <v/>
      </c>
      <c r="W552" s="14"/>
      <c r="X552" s="14"/>
      <c r="Y552" s="14"/>
      <c r="Z552" s="14"/>
      <c r="AA552" s="18">
        <f t="shared" si="171"/>
        <v>69.666666666666671</v>
      </c>
      <c r="AB552" s="14"/>
      <c r="AC552" s="14"/>
      <c r="AD552" s="14"/>
      <c r="AE552" s="14"/>
      <c r="AF552" s="16">
        <v>0</v>
      </c>
      <c r="AG552" s="16">
        <v>1</v>
      </c>
      <c r="AH552" s="16">
        <v>0</v>
      </c>
      <c r="AI552" s="16">
        <v>1</v>
      </c>
      <c r="AJ552" s="5">
        <v>0</v>
      </c>
      <c r="AK552" s="5">
        <v>0</v>
      </c>
      <c r="AL552" s="5">
        <v>0</v>
      </c>
      <c r="AM552" s="20"/>
      <c r="AN552" s="20" t="s">
        <v>25</v>
      </c>
      <c r="AO552" s="14"/>
      <c r="AP552" s="16"/>
      <c r="AQ552" s="16"/>
      <c r="AR552" s="16">
        <v>0</v>
      </c>
      <c r="AS552" s="16">
        <v>0</v>
      </c>
      <c r="AT552" s="16"/>
      <c r="AU552" s="16"/>
      <c r="AV552" s="16"/>
      <c r="AW552" s="16"/>
      <c r="AX552" s="16">
        <v>0</v>
      </c>
      <c r="AY552" s="16">
        <v>0</v>
      </c>
      <c r="AZ552" s="16">
        <v>0</v>
      </c>
      <c r="BA552" s="16">
        <v>0</v>
      </c>
    </row>
    <row r="553" spans="1:53" x14ac:dyDescent="0.2">
      <c r="A553" s="14"/>
      <c r="B553" s="14" t="str">
        <f t="shared" si="167"/>
        <v>Kemfert &amp; Schill 2010</v>
      </c>
      <c r="C553" s="61">
        <f t="shared" si="168"/>
        <v>59</v>
      </c>
      <c r="D553" s="58">
        <v>2010</v>
      </c>
      <c r="E553" s="17"/>
      <c r="F553" s="58">
        <v>0</v>
      </c>
      <c r="G553" s="16">
        <v>2000</v>
      </c>
      <c r="H553" s="15">
        <f>LOOKUP(G553,CPI!A$69:A$100,CPI!O$69:O$100)</f>
        <v>1.2662950058072011</v>
      </c>
      <c r="I553" s="52">
        <v>2010</v>
      </c>
      <c r="J553" s="15">
        <v>0.1</v>
      </c>
      <c r="K553" s="15"/>
      <c r="L553" s="62"/>
      <c r="M553" s="56">
        <f t="shared" si="170"/>
        <v>248.94296612657845</v>
      </c>
      <c r="N553" s="14">
        <f>46*44/12</f>
        <v>168.66666666666666</v>
      </c>
      <c r="O553" s="18">
        <f t="shared" si="173"/>
        <v>168.66666666666666</v>
      </c>
      <c r="P553" s="16">
        <v>0</v>
      </c>
      <c r="Q553" s="16">
        <v>1</v>
      </c>
      <c r="R553" s="16">
        <v>0</v>
      </c>
      <c r="S553" s="14"/>
      <c r="T553" s="56" t="str">
        <f t="shared" si="163"/>
        <v/>
      </c>
      <c r="U553" s="56" t="str">
        <f t="shared" si="165"/>
        <v/>
      </c>
      <c r="V553" s="56" t="str">
        <f t="shared" si="166"/>
        <v/>
      </c>
      <c r="W553" s="14"/>
      <c r="X553" s="14"/>
      <c r="Y553" s="14"/>
      <c r="Z553" s="14"/>
      <c r="AA553" s="18">
        <f t="shared" si="171"/>
        <v>168.66666666666666</v>
      </c>
      <c r="AB553" s="14"/>
      <c r="AC553" s="14"/>
      <c r="AD553" s="14"/>
      <c r="AE553" s="14"/>
      <c r="AF553" s="16">
        <v>0</v>
      </c>
      <c r="AG553" s="16">
        <v>1</v>
      </c>
      <c r="AH553" s="16">
        <v>0</v>
      </c>
      <c r="AI553" s="16">
        <v>1</v>
      </c>
      <c r="AJ553" s="5">
        <v>0</v>
      </c>
      <c r="AK553" s="5">
        <v>0</v>
      </c>
      <c r="AL553" s="5">
        <v>0</v>
      </c>
      <c r="AM553" s="20"/>
      <c r="AN553" s="20" t="s">
        <v>25</v>
      </c>
      <c r="AO553" s="14"/>
      <c r="AP553" s="16"/>
      <c r="AQ553" s="16"/>
      <c r="AR553" s="16">
        <v>0</v>
      </c>
      <c r="AS553" s="16">
        <v>0</v>
      </c>
      <c r="AT553" s="16"/>
      <c r="AU553" s="16"/>
      <c r="AV553" s="16"/>
      <c r="AW553" s="16"/>
      <c r="AX553" s="16">
        <v>0</v>
      </c>
      <c r="AY553" s="16">
        <v>0</v>
      </c>
      <c r="AZ553" s="16">
        <v>0</v>
      </c>
      <c r="BA553" s="16">
        <v>0</v>
      </c>
    </row>
    <row r="554" spans="1:53" x14ac:dyDescent="0.2">
      <c r="A554" s="14" t="s">
        <v>32</v>
      </c>
      <c r="B554" s="14" t="str">
        <f t="shared" si="167"/>
        <v>Narita et al. 2010</v>
      </c>
      <c r="C554" s="61">
        <f t="shared" si="168"/>
        <v>60</v>
      </c>
      <c r="D554" s="58">
        <v>2010</v>
      </c>
      <c r="E554" s="17" t="s">
        <v>117</v>
      </c>
      <c r="F554" s="58">
        <v>1</v>
      </c>
      <c r="G554" s="22">
        <v>2005</v>
      </c>
      <c r="H554" s="15">
        <f>LOOKUP(G554,CPI!A$69:A$100,CPI!O$69:O$100)</f>
        <v>1.1165181771633383</v>
      </c>
      <c r="I554" s="69">
        <v>2010</v>
      </c>
      <c r="J554" s="15">
        <f t="shared" si="169"/>
        <v>0.33333333333333331</v>
      </c>
      <c r="K554" s="15"/>
      <c r="L554" s="62"/>
      <c r="M554" s="56">
        <f t="shared" si="170"/>
        <v>187.43662780309251</v>
      </c>
      <c r="N554" s="14">
        <v>144.03</v>
      </c>
      <c r="O554" s="18">
        <f t="shared" si="173"/>
        <v>144.03</v>
      </c>
      <c r="P554" s="16">
        <v>0</v>
      </c>
      <c r="Q554" s="16">
        <v>1</v>
      </c>
      <c r="R554" s="16">
        <v>0</v>
      </c>
      <c r="S554" s="14"/>
      <c r="T554" s="56" t="str">
        <f t="shared" si="163"/>
        <v/>
      </c>
      <c r="U554" s="56" t="str">
        <f t="shared" si="165"/>
        <v/>
      </c>
      <c r="V554" s="56" t="str">
        <f t="shared" si="166"/>
        <v/>
      </c>
      <c r="W554" s="14"/>
      <c r="X554" s="14"/>
      <c r="Y554" s="14"/>
      <c r="Z554" s="14"/>
      <c r="AA554" s="18">
        <f t="shared" si="171"/>
        <v>144.03</v>
      </c>
      <c r="AB554" s="14"/>
      <c r="AC554" s="14"/>
      <c r="AD554" s="14"/>
      <c r="AE554" s="14"/>
      <c r="AF554" s="16">
        <v>0</v>
      </c>
      <c r="AG554" s="16">
        <v>1</v>
      </c>
      <c r="AH554" s="16">
        <v>1</v>
      </c>
      <c r="AI554" s="16">
        <v>1</v>
      </c>
      <c r="AJ554" s="5">
        <v>1</v>
      </c>
      <c r="AK554" s="5">
        <v>0</v>
      </c>
      <c r="AL554" s="5">
        <v>0</v>
      </c>
      <c r="AM554" s="20"/>
      <c r="AN554" s="20">
        <v>0</v>
      </c>
      <c r="AO554" s="14"/>
      <c r="AP554" s="16"/>
      <c r="AQ554" s="16"/>
      <c r="AR554" s="16">
        <v>0</v>
      </c>
      <c r="AS554" s="16">
        <v>0</v>
      </c>
      <c r="AT554" s="16"/>
      <c r="AU554" s="16"/>
      <c r="AV554" s="16"/>
      <c r="AW554" s="16"/>
      <c r="AX554" s="16">
        <v>0</v>
      </c>
      <c r="AY554" s="16">
        <v>0</v>
      </c>
      <c r="AZ554" s="16">
        <v>1</v>
      </c>
      <c r="BA554" s="16">
        <v>0</v>
      </c>
    </row>
    <row r="555" spans="1:53" x14ac:dyDescent="0.2">
      <c r="A555" s="14"/>
      <c r="B555" s="14" t="str">
        <f t="shared" si="167"/>
        <v>Narita et al. 2010</v>
      </c>
      <c r="C555" s="61">
        <f t="shared" si="168"/>
        <v>60</v>
      </c>
      <c r="D555" s="58">
        <v>2010</v>
      </c>
      <c r="E555" s="17"/>
      <c r="F555" s="58">
        <v>1</v>
      </c>
      <c r="G555" s="22">
        <v>2005</v>
      </c>
      <c r="H555" s="15">
        <f>LOOKUP(G555,CPI!A$69:A$100,CPI!O$69:O$100)</f>
        <v>1.1165181771633383</v>
      </c>
      <c r="I555" s="69">
        <v>2010</v>
      </c>
      <c r="J555" s="15">
        <f t="shared" si="169"/>
        <v>0.33333333333333331</v>
      </c>
      <c r="K555" s="15"/>
      <c r="L555" s="62"/>
      <c r="M555" s="56">
        <f t="shared" si="170"/>
        <v>28.643200568951375</v>
      </c>
      <c r="N555" s="14">
        <v>22.01</v>
      </c>
      <c r="O555" s="18">
        <f t="shared" si="173"/>
        <v>22.01</v>
      </c>
      <c r="P555" s="16">
        <v>0</v>
      </c>
      <c r="Q555" s="16">
        <v>1</v>
      </c>
      <c r="R555" s="16">
        <v>0</v>
      </c>
      <c r="S555" s="14"/>
      <c r="T555" s="56" t="str">
        <f t="shared" si="163"/>
        <v/>
      </c>
      <c r="U555" s="56" t="str">
        <f t="shared" si="165"/>
        <v/>
      </c>
      <c r="V555" s="56" t="str">
        <f t="shared" si="166"/>
        <v/>
      </c>
      <c r="W555" s="14"/>
      <c r="X555" s="14"/>
      <c r="Y555" s="14"/>
      <c r="Z555" s="14"/>
      <c r="AA555" s="18">
        <f t="shared" si="171"/>
        <v>22.01</v>
      </c>
      <c r="AB555" s="14"/>
      <c r="AC555" s="14"/>
      <c r="AD555" s="14"/>
      <c r="AE555" s="14"/>
      <c r="AF555" s="16">
        <v>0</v>
      </c>
      <c r="AG555" s="16">
        <v>1</v>
      </c>
      <c r="AH555" s="16">
        <v>1</v>
      </c>
      <c r="AI555" s="16">
        <v>1</v>
      </c>
      <c r="AJ555" s="5">
        <v>1</v>
      </c>
      <c r="AK555" s="5">
        <v>0</v>
      </c>
      <c r="AL555" s="5">
        <v>0</v>
      </c>
      <c r="AM555" s="20"/>
      <c r="AN555" s="20">
        <v>1</v>
      </c>
      <c r="AO555" s="14"/>
      <c r="AP555" s="16"/>
      <c r="AQ555" s="16"/>
      <c r="AR555" s="16">
        <v>0</v>
      </c>
      <c r="AS555" s="16">
        <v>0</v>
      </c>
      <c r="AT555" s="16"/>
      <c r="AU555" s="16"/>
      <c r="AV555" s="16"/>
      <c r="AW555" s="16"/>
      <c r="AX555" s="16">
        <v>0</v>
      </c>
      <c r="AY555" s="16">
        <v>0</v>
      </c>
      <c r="AZ555" s="16">
        <v>1</v>
      </c>
      <c r="BA555" s="16">
        <v>0</v>
      </c>
    </row>
    <row r="556" spans="1:53" x14ac:dyDescent="0.2">
      <c r="A556" s="14"/>
      <c r="B556" s="14" t="str">
        <f t="shared" si="167"/>
        <v>Narita et al. 2010</v>
      </c>
      <c r="C556" s="61">
        <f t="shared" si="168"/>
        <v>60</v>
      </c>
      <c r="D556" s="58">
        <v>2010</v>
      </c>
      <c r="E556" s="17"/>
      <c r="F556" s="58">
        <v>1</v>
      </c>
      <c r="G556" s="22">
        <v>2005</v>
      </c>
      <c r="H556" s="15">
        <f>LOOKUP(G556,CPI!A$69:A$100,CPI!O$69:O$100)</f>
        <v>1.1165181771633383</v>
      </c>
      <c r="I556" s="69">
        <v>2010</v>
      </c>
      <c r="J556" s="15">
        <f t="shared" si="169"/>
        <v>0.33333333333333331</v>
      </c>
      <c r="K556" s="15"/>
      <c r="L556" s="62"/>
      <c r="M556" s="56">
        <f t="shared" si="170"/>
        <v>1.3143858507333432</v>
      </c>
      <c r="N556" s="14">
        <v>1.01</v>
      </c>
      <c r="O556" s="18">
        <f t="shared" si="173"/>
        <v>1.01</v>
      </c>
      <c r="P556" s="16">
        <v>0</v>
      </c>
      <c r="Q556" s="16">
        <v>1</v>
      </c>
      <c r="R556" s="16">
        <v>0</v>
      </c>
      <c r="S556" s="14"/>
      <c r="T556" s="56" t="str">
        <f t="shared" si="163"/>
        <v/>
      </c>
      <c r="U556" s="56" t="str">
        <f t="shared" si="165"/>
        <v/>
      </c>
      <c r="V556" s="56" t="str">
        <f t="shared" si="166"/>
        <v/>
      </c>
      <c r="W556" s="14"/>
      <c r="X556" s="14"/>
      <c r="Y556" s="14"/>
      <c r="Z556" s="14"/>
      <c r="AA556" s="18">
        <f t="shared" si="171"/>
        <v>1.01</v>
      </c>
      <c r="AB556" s="14"/>
      <c r="AC556" s="14"/>
      <c r="AD556" s="14"/>
      <c r="AE556" s="14"/>
      <c r="AF556" s="16">
        <v>0</v>
      </c>
      <c r="AG556" s="16">
        <v>1</v>
      </c>
      <c r="AH556" s="16">
        <v>1</v>
      </c>
      <c r="AI556" s="16">
        <v>1</v>
      </c>
      <c r="AJ556" s="5">
        <v>1</v>
      </c>
      <c r="AK556" s="5">
        <v>0</v>
      </c>
      <c r="AL556" s="5">
        <v>0</v>
      </c>
      <c r="AM556" s="20"/>
      <c r="AN556" s="20" t="s">
        <v>25</v>
      </c>
      <c r="AO556" s="14"/>
      <c r="AP556" s="16"/>
      <c r="AQ556" s="16"/>
      <c r="AR556" s="16">
        <v>0</v>
      </c>
      <c r="AS556" s="16">
        <v>0</v>
      </c>
      <c r="AT556" s="16"/>
      <c r="AU556" s="16"/>
      <c r="AV556" s="16"/>
      <c r="AW556" s="16"/>
      <c r="AX556" s="16">
        <v>0</v>
      </c>
      <c r="AY556" s="16">
        <v>0</v>
      </c>
      <c r="AZ556" s="16">
        <v>1</v>
      </c>
      <c r="BA556" s="16">
        <v>0</v>
      </c>
    </row>
    <row r="557" spans="1:53" x14ac:dyDescent="0.2">
      <c r="A557" s="14" t="s">
        <v>9</v>
      </c>
      <c r="B557" s="14" t="str">
        <f t="shared" si="167"/>
        <v>Nordhaus 2010</v>
      </c>
      <c r="C557" s="61">
        <f t="shared" si="168"/>
        <v>61</v>
      </c>
      <c r="D557" s="58">
        <v>2010</v>
      </c>
      <c r="E557" s="17" t="s">
        <v>128</v>
      </c>
      <c r="F557" s="58">
        <v>1</v>
      </c>
      <c r="G557" s="16">
        <v>2005</v>
      </c>
      <c r="H557" s="15">
        <f>LOOKUP(G557,CPI!A$69:A$100,CPI!O$69:O$100)</f>
        <v>1.1165181771633383</v>
      </c>
      <c r="I557" s="16">
        <v>2010</v>
      </c>
      <c r="J557" s="15">
        <v>1</v>
      </c>
      <c r="K557" s="44">
        <v>1</v>
      </c>
      <c r="L557" s="57">
        <f>(AA558/AA557)^(1/(I558-I557))-1</f>
        <v>5.6052896830073529E-2</v>
      </c>
      <c r="N557" s="14">
        <v>28.9</v>
      </c>
      <c r="O557" s="18">
        <f t="shared" si="173"/>
        <v>28.9</v>
      </c>
      <c r="P557" s="16">
        <v>0</v>
      </c>
      <c r="Q557" s="16">
        <v>1</v>
      </c>
      <c r="R557" s="16">
        <v>0</v>
      </c>
      <c r="S557" s="14"/>
      <c r="T557" s="56" t="str">
        <f t="shared" si="163"/>
        <v/>
      </c>
      <c r="U557" s="56" t="str">
        <f t="shared" si="165"/>
        <v/>
      </c>
      <c r="V557" s="56" t="str">
        <f t="shared" si="166"/>
        <v/>
      </c>
      <c r="W557" s="14"/>
      <c r="X557" s="14"/>
      <c r="Y557" s="14"/>
      <c r="Z557" s="14"/>
      <c r="AA557" s="18">
        <f t="shared" si="171"/>
        <v>28.9</v>
      </c>
      <c r="AB557" s="14"/>
      <c r="AC557" s="14"/>
      <c r="AD557" s="14"/>
      <c r="AE557" s="14"/>
      <c r="AF557" s="16">
        <v>0</v>
      </c>
      <c r="AG557" s="16">
        <v>1</v>
      </c>
      <c r="AH557" s="16">
        <v>0</v>
      </c>
      <c r="AI557" s="16">
        <v>1</v>
      </c>
      <c r="AJ557" s="5">
        <v>0</v>
      </c>
      <c r="AK557" s="5">
        <v>1</v>
      </c>
      <c r="AL557" s="5">
        <v>0</v>
      </c>
      <c r="AM557" s="20"/>
      <c r="AN557" s="20">
        <v>3</v>
      </c>
      <c r="AO557" s="14"/>
      <c r="AP557" s="16"/>
      <c r="AQ557" s="16"/>
      <c r="AR557" s="16">
        <v>0</v>
      </c>
      <c r="AS557" s="16">
        <v>0</v>
      </c>
      <c r="AT557" s="16"/>
      <c r="AU557" s="16"/>
      <c r="AV557" s="16"/>
      <c r="AW557" s="16"/>
      <c r="AX557" s="16">
        <v>0</v>
      </c>
      <c r="AY557" s="16">
        <v>1</v>
      </c>
      <c r="AZ557" s="16">
        <v>0</v>
      </c>
      <c r="BA557" s="16">
        <v>1</v>
      </c>
    </row>
    <row r="558" spans="1:53" s="36" customFormat="1" x14ac:dyDescent="0.2">
      <c r="A558" s="29"/>
      <c r="B558" s="14" t="str">
        <f t="shared" si="167"/>
        <v>Nordhaus 2010</v>
      </c>
      <c r="C558" s="61">
        <f t="shared" si="168"/>
        <v>61</v>
      </c>
      <c r="D558" s="58">
        <v>2010</v>
      </c>
      <c r="E558" s="17"/>
      <c r="F558" s="58">
        <v>1</v>
      </c>
      <c r="G558" s="16">
        <v>2005</v>
      </c>
      <c r="H558" s="15">
        <f>LOOKUP(G558,CPI!A$69:A$100,CPI!O$69:O$100)</f>
        <v>1.1165181771633383</v>
      </c>
      <c r="I558" s="52">
        <v>2015</v>
      </c>
      <c r="J558" s="43">
        <v>0</v>
      </c>
      <c r="K558" s="43"/>
      <c r="L558" s="57"/>
      <c r="M558" s="56">
        <f>AA558*H558*(1+$L$2)^(2015-I558)</f>
        <v>42.383030005120325</v>
      </c>
      <c r="N558" s="3">
        <v>37.96</v>
      </c>
      <c r="O558" s="50">
        <f t="shared" si="173"/>
        <v>37.96</v>
      </c>
      <c r="P558" s="16">
        <v>0</v>
      </c>
      <c r="Q558" s="16">
        <v>1</v>
      </c>
      <c r="R558" s="16">
        <v>0</v>
      </c>
      <c r="S558" s="42"/>
      <c r="T558" s="56" t="str">
        <f t="shared" si="163"/>
        <v/>
      </c>
      <c r="U558" s="56" t="str">
        <f t="shared" si="165"/>
        <v/>
      </c>
      <c r="V558" s="56" t="str">
        <f t="shared" si="166"/>
        <v/>
      </c>
      <c r="W558" s="42"/>
      <c r="X558" s="42"/>
      <c r="Y558" s="42"/>
      <c r="Z558" s="42"/>
      <c r="AA558" s="37">
        <f t="shared" si="171"/>
        <v>37.96</v>
      </c>
      <c r="AB558" s="42"/>
      <c r="AC558" s="42"/>
      <c r="AD558" s="42"/>
      <c r="AE558" s="42"/>
      <c r="AF558" s="16">
        <v>0</v>
      </c>
      <c r="AG558" s="16">
        <v>1</v>
      </c>
      <c r="AH558" s="16">
        <v>0</v>
      </c>
      <c r="AI558" s="16">
        <v>1</v>
      </c>
      <c r="AJ558" s="5">
        <v>0</v>
      </c>
      <c r="AK558" s="5">
        <v>1</v>
      </c>
      <c r="AL558" s="5">
        <v>0</v>
      </c>
      <c r="AM558" s="20"/>
      <c r="AN558" s="20">
        <v>3</v>
      </c>
      <c r="AO558" s="14"/>
      <c r="AP558" s="16"/>
      <c r="AQ558" s="16"/>
      <c r="AR558" s="16">
        <v>0</v>
      </c>
      <c r="AS558" s="16">
        <v>0</v>
      </c>
      <c r="AT558" s="16"/>
      <c r="AU558" s="16"/>
      <c r="AV558" s="16"/>
      <c r="AW558" s="16"/>
      <c r="AX558" s="16">
        <v>0</v>
      </c>
      <c r="AY558" s="16">
        <v>1</v>
      </c>
      <c r="AZ558" s="16">
        <v>0</v>
      </c>
      <c r="BA558" s="16">
        <v>1</v>
      </c>
    </row>
    <row r="559" spans="1:53" s="36" customFormat="1" x14ac:dyDescent="0.2">
      <c r="A559" s="29"/>
      <c r="B559" s="14" t="str">
        <f t="shared" si="167"/>
        <v>Nordhaus 2010</v>
      </c>
      <c r="C559" s="61">
        <f t="shared" si="168"/>
        <v>61</v>
      </c>
      <c r="D559" s="58">
        <v>2010</v>
      </c>
      <c r="E559" s="17"/>
      <c r="F559" s="58">
        <v>1</v>
      </c>
      <c r="G559" s="16">
        <v>2005</v>
      </c>
      <c r="H559" s="15">
        <f>LOOKUP(G559,CPI!A$69:A$100,CPI!O$69:O$100)</f>
        <v>1.1165181771633383</v>
      </c>
      <c r="I559" s="5">
        <v>2020</v>
      </c>
      <c r="J559" s="43">
        <v>0</v>
      </c>
      <c r="K559" s="43"/>
      <c r="L559" s="57"/>
      <c r="M559" s="56"/>
      <c r="N559" s="3">
        <v>49.87</v>
      </c>
      <c r="O559" s="50">
        <f t="shared" si="173"/>
        <v>49.87</v>
      </c>
      <c r="P559" s="16">
        <v>0</v>
      </c>
      <c r="Q559" s="16">
        <v>1</v>
      </c>
      <c r="R559" s="16">
        <v>0</v>
      </c>
      <c r="S559" s="42"/>
      <c r="T559" s="56" t="str">
        <f t="shared" si="163"/>
        <v/>
      </c>
      <c r="U559" s="56" t="str">
        <f t="shared" si="165"/>
        <v/>
      </c>
      <c r="V559" s="56" t="str">
        <f t="shared" si="166"/>
        <v/>
      </c>
      <c r="W559" s="42"/>
      <c r="X559" s="42"/>
      <c r="Y559" s="42"/>
      <c r="Z559" s="42"/>
      <c r="AA559" s="37">
        <f t="shared" si="171"/>
        <v>49.87</v>
      </c>
      <c r="AB559" s="42"/>
      <c r="AC559" s="42"/>
      <c r="AD559" s="42"/>
      <c r="AE559" s="42"/>
      <c r="AF559" s="16">
        <v>0</v>
      </c>
      <c r="AG559" s="16">
        <v>1</v>
      </c>
      <c r="AH559" s="16">
        <v>0</v>
      </c>
      <c r="AI559" s="16">
        <v>1</v>
      </c>
      <c r="AJ559" s="5">
        <v>0</v>
      </c>
      <c r="AK559" s="5">
        <v>1</v>
      </c>
      <c r="AL559" s="5">
        <v>0</v>
      </c>
      <c r="AM559" s="20"/>
      <c r="AN559" s="20">
        <v>3</v>
      </c>
      <c r="AO559" s="14"/>
      <c r="AP559" s="16"/>
      <c r="AQ559" s="16"/>
      <c r="AR559" s="16">
        <v>0</v>
      </c>
      <c r="AS559" s="16">
        <v>0</v>
      </c>
      <c r="AT559" s="16"/>
      <c r="AU559" s="16"/>
      <c r="AV559" s="16"/>
      <c r="AW559" s="16"/>
      <c r="AX559" s="16">
        <v>0</v>
      </c>
      <c r="AY559" s="16">
        <v>1</v>
      </c>
      <c r="AZ559" s="16">
        <v>0</v>
      </c>
      <c r="BA559" s="16">
        <v>1</v>
      </c>
    </row>
    <row r="560" spans="1:53" s="36" customFormat="1" x14ac:dyDescent="0.2">
      <c r="A560" s="29"/>
      <c r="B560" s="14" t="str">
        <f t="shared" si="167"/>
        <v>Nordhaus 2010</v>
      </c>
      <c r="C560" s="61">
        <f t="shared" si="168"/>
        <v>61</v>
      </c>
      <c r="D560" s="58">
        <v>2010</v>
      </c>
      <c r="E560" s="17"/>
      <c r="F560" s="58">
        <v>1</v>
      </c>
      <c r="G560" s="16">
        <v>2005</v>
      </c>
      <c r="H560" s="15">
        <f>LOOKUP(G560,CPI!A$69:A$100,CPI!O$69:O$100)</f>
        <v>1.1165181771633383</v>
      </c>
      <c r="I560" s="5">
        <v>2025</v>
      </c>
      <c r="J560" s="43">
        <v>0</v>
      </c>
      <c r="K560" s="43"/>
      <c r="L560" s="57"/>
      <c r="M560" s="56"/>
      <c r="N560" s="3">
        <v>65.5</v>
      </c>
      <c r="O560" s="50">
        <f t="shared" si="173"/>
        <v>65.5</v>
      </c>
      <c r="P560" s="16">
        <v>0</v>
      </c>
      <c r="Q560" s="16">
        <v>1</v>
      </c>
      <c r="R560" s="16">
        <v>0</v>
      </c>
      <c r="S560" s="42"/>
      <c r="T560" s="56" t="str">
        <f t="shared" si="163"/>
        <v/>
      </c>
      <c r="U560" s="56" t="str">
        <f t="shared" si="165"/>
        <v/>
      </c>
      <c r="V560" s="56" t="str">
        <f t="shared" si="166"/>
        <v/>
      </c>
      <c r="W560" s="42"/>
      <c r="X560" s="42"/>
      <c r="Y560" s="42"/>
      <c r="Z560" s="42"/>
      <c r="AA560" s="37">
        <f t="shared" si="171"/>
        <v>65.5</v>
      </c>
      <c r="AB560" s="42"/>
      <c r="AC560" s="42"/>
      <c r="AD560" s="42"/>
      <c r="AE560" s="42"/>
      <c r="AF560" s="16">
        <v>0</v>
      </c>
      <c r="AG560" s="16">
        <v>1</v>
      </c>
      <c r="AH560" s="16">
        <v>0</v>
      </c>
      <c r="AI560" s="16">
        <v>1</v>
      </c>
      <c r="AJ560" s="5">
        <v>0</v>
      </c>
      <c r="AK560" s="5">
        <v>1</v>
      </c>
      <c r="AL560" s="5">
        <v>0</v>
      </c>
      <c r="AM560" s="20"/>
      <c r="AN560" s="20">
        <v>3</v>
      </c>
      <c r="AO560" s="14"/>
      <c r="AP560" s="16"/>
      <c r="AQ560" s="16"/>
      <c r="AR560" s="16">
        <v>0</v>
      </c>
      <c r="AS560" s="16">
        <v>0</v>
      </c>
      <c r="AT560" s="16"/>
      <c r="AU560" s="16"/>
      <c r="AV560" s="16"/>
      <c r="AW560" s="16"/>
      <c r="AX560" s="16">
        <v>0</v>
      </c>
      <c r="AY560" s="16">
        <v>1</v>
      </c>
      <c r="AZ560" s="16">
        <v>0</v>
      </c>
      <c r="BA560" s="16">
        <v>1</v>
      </c>
    </row>
    <row r="561" spans="1:53" s="36" customFormat="1" x14ac:dyDescent="0.2">
      <c r="A561" s="29"/>
      <c r="B561" s="14" t="str">
        <f t="shared" si="167"/>
        <v>Nordhaus 2010</v>
      </c>
      <c r="C561" s="61">
        <f t="shared" si="168"/>
        <v>61</v>
      </c>
      <c r="D561" s="58">
        <v>2010</v>
      </c>
      <c r="E561" s="17"/>
      <c r="F561" s="58">
        <v>1</v>
      </c>
      <c r="G561" s="16">
        <v>2005</v>
      </c>
      <c r="H561" s="15">
        <f>LOOKUP(G561,CPI!A$69:A$100,CPI!O$69:O$100)</f>
        <v>1.1165181771633383</v>
      </c>
      <c r="I561" s="5">
        <v>2055</v>
      </c>
      <c r="J561" s="43">
        <v>0</v>
      </c>
      <c r="K561" s="43"/>
      <c r="L561" s="57"/>
      <c r="M561" s="56"/>
      <c r="N561" s="3">
        <v>155.55000000000001</v>
      </c>
      <c r="O561" s="50">
        <f t="shared" si="173"/>
        <v>155.55000000000001</v>
      </c>
      <c r="P561" s="16">
        <v>0</v>
      </c>
      <c r="Q561" s="16">
        <v>1</v>
      </c>
      <c r="R561" s="16">
        <v>0</v>
      </c>
      <c r="S561" s="42"/>
      <c r="T561" s="56" t="str">
        <f t="shared" si="163"/>
        <v/>
      </c>
      <c r="U561" s="56" t="str">
        <f t="shared" si="165"/>
        <v/>
      </c>
      <c r="V561" s="56" t="str">
        <f t="shared" si="166"/>
        <v/>
      </c>
      <c r="W561" s="42"/>
      <c r="X561" s="42"/>
      <c r="Y561" s="42"/>
      <c r="Z561" s="42"/>
      <c r="AA561" s="37">
        <f t="shared" si="171"/>
        <v>155.55000000000001</v>
      </c>
      <c r="AB561" s="42"/>
      <c r="AC561" s="42"/>
      <c r="AD561" s="42"/>
      <c r="AE561" s="42"/>
      <c r="AF561" s="16">
        <v>0</v>
      </c>
      <c r="AG561" s="16">
        <v>1</v>
      </c>
      <c r="AH561" s="16">
        <v>0</v>
      </c>
      <c r="AI561" s="16">
        <v>1</v>
      </c>
      <c r="AJ561" s="5">
        <v>0</v>
      </c>
      <c r="AK561" s="5">
        <v>1</v>
      </c>
      <c r="AL561" s="5">
        <v>0</v>
      </c>
      <c r="AM561" s="20"/>
      <c r="AN561" s="20">
        <v>3</v>
      </c>
      <c r="AO561" s="14"/>
      <c r="AP561" s="16"/>
      <c r="AQ561" s="16"/>
      <c r="AR561" s="16">
        <v>0</v>
      </c>
      <c r="AS561" s="16">
        <v>0</v>
      </c>
      <c r="AT561" s="16"/>
      <c r="AU561" s="16"/>
      <c r="AV561" s="16"/>
      <c r="AW561" s="16"/>
      <c r="AX561" s="16">
        <v>0</v>
      </c>
      <c r="AY561" s="16">
        <v>1</v>
      </c>
      <c r="AZ561" s="16">
        <v>0</v>
      </c>
      <c r="BA561" s="16">
        <v>1</v>
      </c>
    </row>
    <row r="562" spans="1:53" s="36" customFormat="1" x14ac:dyDescent="0.2">
      <c r="A562" s="29"/>
      <c r="B562" s="14" t="str">
        <f t="shared" si="167"/>
        <v>Nordhaus 2010</v>
      </c>
      <c r="C562" s="61">
        <f t="shared" si="168"/>
        <v>61</v>
      </c>
      <c r="D562" s="58">
        <v>2010</v>
      </c>
      <c r="E562" s="17"/>
      <c r="F562" s="58">
        <v>1</v>
      </c>
      <c r="G562" s="16">
        <v>2005</v>
      </c>
      <c r="H562" s="15">
        <f>LOOKUP(G562,CPI!A$69:A$100,CPI!O$69:O$100)</f>
        <v>1.1165181771633383</v>
      </c>
      <c r="I562" s="5">
        <v>2105</v>
      </c>
      <c r="J562" s="43">
        <v>0</v>
      </c>
      <c r="K562" s="43"/>
      <c r="L562" s="57"/>
      <c r="M562" s="56"/>
      <c r="N562" s="3">
        <v>408.48</v>
      </c>
      <c r="O562" s="50">
        <f t="shared" si="173"/>
        <v>408.48</v>
      </c>
      <c r="P562" s="16">
        <v>0</v>
      </c>
      <c r="Q562" s="16">
        <v>1</v>
      </c>
      <c r="R562" s="16">
        <v>0</v>
      </c>
      <c r="S562" s="42"/>
      <c r="T562" s="56" t="str">
        <f t="shared" si="163"/>
        <v/>
      </c>
      <c r="U562" s="56" t="str">
        <f t="shared" si="165"/>
        <v/>
      </c>
      <c r="V562" s="56" t="str">
        <f t="shared" si="166"/>
        <v/>
      </c>
      <c r="W562" s="42"/>
      <c r="X562" s="42"/>
      <c r="Y562" s="42"/>
      <c r="Z562" s="42"/>
      <c r="AA562" s="37">
        <f t="shared" si="171"/>
        <v>408.48</v>
      </c>
      <c r="AB562" s="42"/>
      <c r="AC562" s="42"/>
      <c r="AD562" s="42"/>
      <c r="AE562" s="42"/>
      <c r="AF562" s="16">
        <v>0</v>
      </c>
      <c r="AG562" s="16">
        <v>1</v>
      </c>
      <c r="AH562" s="16">
        <v>0</v>
      </c>
      <c r="AI562" s="16">
        <v>1</v>
      </c>
      <c r="AJ562" s="5">
        <v>0</v>
      </c>
      <c r="AK562" s="5">
        <v>1</v>
      </c>
      <c r="AL562" s="5">
        <v>0</v>
      </c>
      <c r="AM562" s="20"/>
      <c r="AN562" s="20">
        <v>3</v>
      </c>
      <c r="AO562" s="14"/>
      <c r="AP562" s="16"/>
      <c r="AQ562" s="16"/>
      <c r="AR562" s="16">
        <v>0</v>
      </c>
      <c r="AS562" s="16">
        <v>0</v>
      </c>
      <c r="AT562" s="16"/>
      <c r="AU562" s="16"/>
      <c r="AV562" s="16"/>
      <c r="AW562" s="16"/>
      <c r="AX562" s="16">
        <v>0</v>
      </c>
      <c r="AY562" s="16">
        <v>1</v>
      </c>
      <c r="AZ562" s="16">
        <v>0</v>
      </c>
      <c r="BA562" s="16">
        <v>1</v>
      </c>
    </row>
    <row r="563" spans="1:53" x14ac:dyDescent="0.2">
      <c r="A563" s="14" t="s">
        <v>30</v>
      </c>
      <c r="B563" s="14" t="str">
        <f t="shared" si="167"/>
        <v>Sohngen 2010</v>
      </c>
      <c r="C563" s="61">
        <f t="shared" si="168"/>
        <v>62</v>
      </c>
      <c r="D563" s="58">
        <v>2010</v>
      </c>
      <c r="E563" s="17" t="s">
        <v>127</v>
      </c>
      <c r="F563" s="58">
        <v>0</v>
      </c>
      <c r="G563" s="22">
        <v>2005</v>
      </c>
      <c r="H563" s="15">
        <f>LOOKUP(G563,CPI!A$69:A$100,CPI!O$69:O$100)</f>
        <v>1.1165181771633383</v>
      </c>
      <c r="I563" s="52">
        <v>2010</v>
      </c>
      <c r="J563" s="15">
        <v>1</v>
      </c>
      <c r="K563" s="59">
        <v>1</v>
      </c>
      <c r="L563" s="57">
        <f>(AA564/AA563)^(1/(I564-I563))-1</f>
        <v>4.3520372991858736E-2</v>
      </c>
      <c r="M563" s="56">
        <f>AA563*H563*(1+$L$2)^(2015-I563)</f>
        <v>34.499375151426669</v>
      </c>
      <c r="N563" s="14">
        <f>7.23*44/12</f>
        <v>26.51</v>
      </c>
      <c r="O563" s="18">
        <f t="shared" si="173"/>
        <v>26.51</v>
      </c>
      <c r="P563" s="16">
        <v>0</v>
      </c>
      <c r="Q563" s="16">
        <v>1</v>
      </c>
      <c r="R563" s="16">
        <v>0</v>
      </c>
      <c r="S563" s="14"/>
      <c r="T563" s="56" t="str">
        <f t="shared" si="163"/>
        <v/>
      </c>
      <c r="U563" s="56" t="str">
        <f t="shared" si="165"/>
        <v/>
      </c>
      <c r="V563" s="56" t="str">
        <f t="shared" si="166"/>
        <v/>
      </c>
      <c r="W563" s="14"/>
      <c r="X563" s="14"/>
      <c r="Y563" s="14"/>
      <c r="Z563" s="14"/>
      <c r="AA563" s="18">
        <f t="shared" si="171"/>
        <v>26.51</v>
      </c>
      <c r="AB563" s="14"/>
      <c r="AC563" s="14"/>
      <c r="AD563" s="14"/>
      <c r="AE563" s="14"/>
      <c r="AF563" s="16">
        <v>0</v>
      </c>
      <c r="AG563" s="16">
        <v>1</v>
      </c>
      <c r="AH563" s="16">
        <v>0</v>
      </c>
      <c r="AI563" s="16">
        <v>1</v>
      </c>
      <c r="AJ563" s="5">
        <v>0</v>
      </c>
      <c r="AK563" s="5">
        <v>1</v>
      </c>
      <c r="AL563" s="5">
        <v>0</v>
      </c>
      <c r="AM563" s="20">
        <v>5</v>
      </c>
      <c r="AN563" s="20">
        <v>3</v>
      </c>
      <c r="AO563" s="14"/>
      <c r="AP563" s="16"/>
      <c r="AQ563" s="16"/>
      <c r="AR563" s="16">
        <v>0</v>
      </c>
      <c r="AS563" s="16">
        <v>0</v>
      </c>
      <c r="AT563" s="16"/>
      <c r="AU563" s="16"/>
      <c r="AV563" s="16"/>
      <c r="AW563" s="16"/>
      <c r="AX563" s="16">
        <v>0</v>
      </c>
      <c r="AY563" s="16">
        <v>0</v>
      </c>
      <c r="AZ563" s="16">
        <v>0</v>
      </c>
      <c r="BA563" s="16">
        <v>0</v>
      </c>
    </row>
    <row r="564" spans="1:53" s="36" customFormat="1" x14ac:dyDescent="0.2">
      <c r="A564" s="29"/>
      <c r="B564" s="14" t="str">
        <f t="shared" si="167"/>
        <v>Sohngen 2010</v>
      </c>
      <c r="C564" s="61">
        <f t="shared" si="168"/>
        <v>62</v>
      </c>
      <c r="D564" s="58">
        <v>2010</v>
      </c>
      <c r="E564" s="17"/>
      <c r="F564" s="58">
        <v>0</v>
      </c>
      <c r="G564" s="22">
        <v>2005</v>
      </c>
      <c r="H564" s="15">
        <f>LOOKUP(G564,CPI!A$69:A$100,CPI!O$69:O$100)</f>
        <v>1.1165181771633383</v>
      </c>
      <c r="I564" s="5">
        <v>2020</v>
      </c>
      <c r="J564" s="43">
        <v>0</v>
      </c>
      <c r="K564" s="43"/>
      <c r="L564" s="57"/>
      <c r="M564" s="56"/>
      <c r="N564" s="3">
        <f>44/12*11.07</f>
        <v>40.589999999999996</v>
      </c>
      <c r="O564" s="50">
        <f t="shared" si="173"/>
        <v>40.589999999999996</v>
      </c>
      <c r="P564" s="16">
        <v>0</v>
      </c>
      <c r="Q564" s="16">
        <v>1</v>
      </c>
      <c r="R564" s="16">
        <v>0</v>
      </c>
      <c r="S564" s="42"/>
      <c r="T564" s="56" t="str">
        <f t="shared" si="163"/>
        <v/>
      </c>
      <c r="U564" s="56" t="str">
        <f t="shared" si="165"/>
        <v/>
      </c>
      <c r="V564" s="56" t="str">
        <f t="shared" si="166"/>
        <v/>
      </c>
      <c r="W564" s="42"/>
      <c r="X564" s="42"/>
      <c r="Y564" s="42"/>
      <c r="Z564" s="42"/>
      <c r="AA564" s="37">
        <f t="shared" si="171"/>
        <v>40.589999999999996</v>
      </c>
      <c r="AB564" s="42"/>
      <c r="AC564" s="42"/>
      <c r="AD564" s="42"/>
      <c r="AE564" s="42"/>
      <c r="AF564" s="16">
        <v>0</v>
      </c>
      <c r="AG564" s="16">
        <v>1</v>
      </c>
      <c r="AH564" s="16">
        <v>0</v>
      </c>
      <c r="AI564" s="16">
        <v>1</v>
      </c>
      <c r="AJ564" s="5">
        <v>0</v>
      </c>
      <c r="AK564" s="5">
        <v>1</v>
      </c>
      <c r="AL564" s="5">
        <v>0</v>
      </c>
      <c r="AM564" s="20">
        <v>5</v>
      </c>
      <c r="AN564" s="20">
        <v>3</v>
      </c>
      <c r="AO564" s="14"/>
      <c r="AP564" s="16"/>
      <c r="AQ564" s="16"/>
      <c r="AR564" s="16">
        <v>0</v>
      </c>
      <c r="AS564" s="16">
        <v>0</v>
      </c>
      <c r="AT564" s="16"/>
      <c r="AU564" s="16"/>
      <c r="AV564" s="16"/>
      <c r="AW564" s="16"/>
      <c r="AX564" s="16">
        <v>0</v>
      </c>
      <c r="AY564" s="16">
        <v>0</v>
      </c>
      <c r="AZ564" s="16">
        <v>0</v>
      </c>
      <c r="BA564" s="16">
        <v>0</v>
      </c>
    </row>
    <row r="565" spans="1:53" s="36" customFormat="1" x14ac:dyDescent="0.2">
      <c r="A565" s="29"/>
      <c r="B565" s="14" t="str">
        <f t="shared" si="167"/>
        <v>Sohngen 2010</v>
      </c>
      <c r="C565" s="61">
        <f t="shared" si="168"/>
        <v>62</v>
      </c>
      <c r="D565" s="58">
        <v>2010</v>
      </c>
      <c r="E565" s="17"/>
      <c r="F565" s="58">
        <v>0</v>
      </c>
      <c r="G565" s="22">
        <v>2005</v>
      </c>
      <c r="H565" s="15">
        <f>LOOKUP(G565,CPI!A$69:A$100,CPI!O$69:O$100)</f>
        <v>1.1165181771633383</v>
      </c>
      <c r="I565" s="5">
        <v>2030</v>
      </c>
      <c r="J565" s="43">
        <v>0</v>
      </c>
      <c r="K565" s="43"/>
      <c r="L565" s="57"/>
      <c r="M565" s="56"/>
      <c r="N565" s="3">
        <f>44/12*14.09</f>
        <v>51.663333333333334</v>
      </c>
      <c r="O565" s="50">
        <f t="shared" si="173"/>
        <v>51.663333333333334</v>
      </c>
      <c r="P565" s="16">
        <v>0</v>
      </c>
      <c r="Q565" s="16">
        <v>1</v>
      </c>
      <c r="R565" s="16">
        <v>0</v>
      </c>
      <c r="S565" s="42"/>
      <c r="T565" s="56" t="str">
        <f t="shared" si="163"/>
        <v/>
      </c>
      <c r="U565" s="56" t="str">
        <f t="shared" si="165"/>
        <v/>
      </c>
      <c r="V565" s="56" t="str">
        <f t="shared" si="166"/>
        <v/>
      </c>
      <c r="W565" s="42"/>
      <c r="X565" s="42"/>
      <c r="Y565" s="42"/>
      <c r="Z565" s="42"/>
      <c r="AA565" s="37">
        <f t="shared" si="171"/>
        <v>51.663333333333334</v>
      </c>
      <c r="AB565" s="42"/>
      <c r="AC565" s="42"/>
      <c r="AD565" s="42"/>
      <c r="AE565" s="42"/>
      <c r="AF565" s="16">
        <v>0</v>
      </c>
      <c r="AG565" s="16">
        <v>1</v>
      </c>
      <c r="AH565" s="16">
        <v>0</v>
      </c>
      <c r="AI565" s="16">
        <v>1</v>
      </c>
      <c r="AJ565" s="5">
        <v>0</v>
      </c>
      <c r="AK565" s="5">
        <v>1</v>
      </c>
      <c r="AL565" s="5">
        <v>0</v>
      </c>
      <c r="AM565" s="20">
        <v>5</v>
      </c>
      <c r="AN565" s="20">
        <v>3</v>
      </c>
      <c r="AO565" s="14"/>
      <c r="AP565" s="16"/>
      <c r="AQ565" s="16"/>
      <c r="AR565" s="16">
        <v>0</v>
      </c>
      <c r="AS565" s="16">
        <v>0</v>
      </c>
      <c r="AT565" s="16"/>
      <c r="AU565" s="16"/>
      <c r="AV565" s="16"/>
      <c r="AW565" s="16"/>
      <c r="AX565" s="16">
        <v>0</v>
      </c>
      <c r="AY565" s="16">
        <v>0</v>
      </c>
      <c r="AZ565" s="16">
        <v>0</v>
      </c>
      <c r="BA565" s="16">
        <v>0</v>
      </c>
    </row>
    <row r="566" spans="1:53" s="36" customFormat="1" x14ac:dyDescent="0.2">
      <c r="A566" s="29"/>
      <c r="B566" s="14" t="str">
        <f t="shared" si="167"/>
        <v>Sohngen 2010</v>
      </c>
      <c r="C566" s="61">
        <f t="shared" si="168"/>
        <v>62</v>
      </c>
      <c r="D566" s="58">
        <v>2010</v>
      </c>
      <c r="E566" s="17"/>
      <c r="F566" s="58">
        <v>0</v>
      </c>
      <c r="G566" s="22">
        <v>2005</v>
      </c>
      <c r="H566" s="15">
        <f>LOOKUP(G566,CPI!A$69:A$100,CPI!O$69:O$100)</f>
        <v>1.1165181771633383</v>
      </c>
      <c r="I566" s="5">
        <v>2040</v>
      </c>
      <c r="J566" s="43">
        <v>0</v>
      </c>
      <c r="K566" s="59"/>
      <c r="L566" s="57"/>
      <c r="M566" s="56"/>
      <c r="N566" s="3">
        <f>44/12*17.54</f>
        <v>64.313333333333333</v>
      </c>
      <c r="O566" s="50">
        <f t="shared" si="173"/>
        <v>64.313333333333333</v>
      </c>
      <c r="P566" s="16">
        <v>0</v>
      </c>
      <c r="Q566" s="16">
        <v>1</v>
      </c>
      <c r="R566" s="16">
        <v>0</v>
      </c>
      <c r="S566" s="42"/>
      <c r="T566" s="56" t="str">
        <f t="shared" si="163"/>
        <v/>
      </c>
      <c r="U566" s="56" t="str">
        <f t="shared" si="165"/>
        <v/>
      </c>
      <c r="V566" s="56" t="str">
        <f t="shared" si="166"/>
        <v/>
      </c>
      <c r="W566" s="42"/>
      <c r="X566" s="42"/>
      <c r="Y566" s="42"/>
      <c r="Z566" s="42"/>
      <c r="AA566" s="37">
        <f t="shared" si="171"/>
        <v>64.313333333333333</v>
      </c>
      <c r="AB566" s="42"/>
      <c r="AC566" s="42"/>
      <c r="AD566" s="42"/>
      <c r="AE566" s="42"/>
      <c r="AF566" s="16">
        <v>0</v>
      </c>
      <c r="AG566" s="16">
        <v>1</v>
      </c>
      <c r="AH566" s="16">
        <v>0</v>
      </c>
      <c r="AI566" s="16">
        <v>1</v>
      </c>
      <c r="AJ566" s="5">
        <v>0</v>
      </c>
      <c r="AK566" s="5">
        <v>1</v>
      </c>
      <c r="AL566" s="5">
        <v>0</v>
      </c>
      <c r="AM566" s="20">
        <v>5</v>
      </c>
      <c r="AN566" s="20">
        <v>3</v>
      </c>
      <c r="AO566" s="14"/>
      <c r="AP566" s="16"/>
      <c r="AQ566" s="16"/>
      <c r="AR566" s="16">
        <v>0</v>
      </c>
      <c r="AS566" s="16">
        <v>0</v>
      </c>
      <c r="AT566" s="16"/>
      <c r="AU566" s="16"/>
      <c r="AV566" s="16"/>
      <c r="AW566" s="16"/>
      <c r="AX566" s="16">
        <v>0</v>
      </c>
      <c r="AY566" s="16">
        <v>0</v>
      </c>
      <c r="AZ566" s="16">
        <v>0</v>
      </c>
      <c r="BA566" s="16">
        <v>0</v>
      </c>
    </row>
    <row r="567" spans="1:53" s="36" customFormat="1" x14ac:dyDescent="0.2">
      <c r="A567" s="29"/>
      <c r="B567" s="14" t="str">
        <f t="shared" si="167"/>
        <v>Sohngen 2010</v>
      </c>
      <c r="C567" s="61">
        <f t="shared" si="168"/>
        <v>62</v>
      </c>
      <c r="D567" s="58">
        <v>2010</v>
      </c>
      <c r="E567" s="17"/>
      <c r="F567" s="58">
        <v>0</v>
      </c>
      <c r="G567" s="22">
        <v>2005</v>
      </c>
      <c r="H567" s="15">
        <f>LOOKUP(G567,CPI!A$69:A$100,CPI!O$69:O$100)</f>
        <v>1.1165181771633383</v>
      </c>
      <c r="I567" s="5">
        <v>2050</v>
      </c>
      <c r="J567" s="43">
        <v>0</v>
      </c>
      <c r="K567" s="43"/>
      <c r="L567" s="57"/>
      <c r="M567" s="56"/>
      <c r="N567" s="3">
        <f>44/12*21.45</f>
        <v>78.649999999999991</v>
      </c>
      <c r="O567" s="50">
        <f t="shared" si="173"/>
        <v>78.649999999999991</v>
      </c>
      <c r="P567" s="16">
        <v>0</v>
      </c>
      <c r="Q567" s="16">
        <v>1</v>
      </c>
      <c r="R567" s="16">
        <v>0</v>
      </c>
      <c r="S567" s="42"/>
      <c r="T567" s="56" t="str">
        <f t="shared" si="163"/>
        <v/>
      </c>
      <c r="U567" s="56" t="str">
        <f t="shared" si="165"/>
        <v/>
      </c>
      <c r="V567" s="56" t="str">
        <f t="shared" si="166"/>
        <v/>
      </c>
      <c r="W567" s="42"/>
      <c r="X567" s="42"/>
      <c r="Y567" s="42"/>
      <c r="Z567" s="42"/>
      <c r="AA567" s="37">
        <f t="shared" si="171"/>
        <v>78.649999999999991</v>
      </c>
      <c r="AB567" s="42"/>
      <c r="AC567" s="42"/>
      <c r="AD567" s="42"/>
      <c r="AE567" s="42"/>
      <c r="AF567" s="16">
        <v>0</v>
      </c>
      <c r="AG567" s="16">
        <v>1</v>
      </c>
      <c r="AH567" s="16">
        <v>0</v>
      </c>
      <c r="AI567" s="16">
        <v>1</v>
      </c>
      <c r="AJ567" s="5">
        <v>0</v>
      </c>
      <c r="AK567" s="5">
        <v>1</v>
      </c>
      <c r="AL567" s="5">
        <v>0</v>
      </c>
      <c r="AM567" s="20">
        <v>5</v>
      </c>
      <c r="AN567" s="20">
        <v>3</v>
      </c>
      <c r="AO567" s="14"/>
      <c r="AP567" s="16"/>
      <c r="AQ567" s="16"/>
      <c r="AR567" s="16">
        <v>0</v>
      </c>
      <c r="AS567" s="16">
        <v>0</v>
      </c>
      <c r="AT567" s="16"/>
      <c r="AU567" s="16"/>
      <c r="AV567" s="16"/>
      <c r="AW567" s="16"/>
      <c r="AX567" s="16">
        <v>0</v>
      </c>
      <c r="AY567" s="16">
        <v>0</v>
      </c>
      <c r="AZ567" s="16">
        <v>0</v>
      </c>
      <c r="BA567" s="16">
        <v>0</v>
      </c>
    </row>
    <row r="568" spans="1:53" s="36" customFormat="1" x14ac:dyDescent="0.2">
      <c r="A568" s="29"/>
      <c r="B568" s="14" t="str">
        <f t="shared" si="167"/>
        <v>Sohngen 2010</v>
      </c>
      <c r="C568" s="61">
        <f t="shared" si="168"/>
        <v>62</v>
      </c>
      <c r="D568" s="58">
        <v>2010</v>
      </c>
      <c r="E568" s="17"/>
      <c r="F568" s="58">
        <v>0</v>
      </c>
      <c r="G568" s="22">
        <v>2005</v>
      </c>
      <c r="H568" s="15">
        <f>LOOKUP(G568,CPI!A$69:A$100,CPI!O$69:O$100)</f>
        <v>1.1165181771633383</v>
      </c>
      <c r="I568" s="5">
        <v>2060</v>
      </c>
      <c r="J568" s="43">
        <v>0</v>
      </c>
      <c r="K568" s="43"/>
      <c r="L568" s="57"/>
      <c r="M568" s="56"/>
      <c r="N568" s="3">
        <f>44/12*25.87</f>
        <v>94.856666666666669</v>
      </c>
      <c r="O568" s="50">
        <f t="shared" si="173"/>
        <v>94.856666666666669</v>
      </c>
      <c r="P568" s="16">
        <v>0</v>
      </c>
      <c r="Q568" s="16">
        <v>1</v>
      </c>
      <c r="R568" s="16">
        <v>0</v>
      </c>
      <c r="S568" s="42"/>
      <c r="T568" s="56" t="str">
        <f t="shared" si="163"/>
        <v/>
      </c>
      <c r="U568" s="56" t="str">
        <f t="shared" si="165"/>
        <v/>
      </c>
      <c r="V568" s="56" t="str">
        <f t="shared" si="166"/>
        <v/>
      </c>
      <c r="W568" s="42"/>
      <c r="X568" s="42"/>
      <c r="Y568" s="42"/>
      <c r="Z568" s="42"/>
      <c r="AA568" s="37">
        <f t="shared" si="171"/>
        <v>94.856666666666669</v>
      </c>
      <c r="AB568" s="42"/>
      <c r="AC568" s="42"/>
      <c r="AD568" s="42"/>
      <c r="AE568" s="42"/>
      <c r="AF568" s="16">
        <v>0</v>
      </c>
      <c r="AG568" s="16">
        <v>1</v>
      </c>
      <c r="AH568" s="16">
        <v>0</v>
      </c>
      <c r="AI568" s="16">
        <v>1</v>
      </c>
      <c r="AJ568" s="5">
        <v>0</v>
      </c>
      <c r="AK568" s="5">
        <v>1</v>
      </c>
      <c r="AL568" s="5">
        <v>0</v>
      </c>
      <c r="AM568" s="20">
        <v>5</v>
      </c>
      <c r="AN568" s="20">
        <v>3</v>
      </c>
      <c r="AO568" s="14"/>
      <c r="AP568" s="16"/>
      <c r="AQ568" s="16"/>
      <c r="AR568" s="16">
        <v>0</v>
      </c>
      <c r="AS568" s="16">
        <v>0</v>
      </c>
      <c r="AT568" s="16"/>
      <c r="AU568" s="16"/>
      <c r="AV568" s="16"/>
      <c r="AW568" s="16"/>
      <c r="AX568" s="16">
        <v>0</v>
      </c>
      <c r="AY568" s="16">
        <v>0</v>
      </c>
      <c r="AZ568" s="16">
        <v>0</v>
      </c>
      <c r="BA568" s="16">
        <v>0</v>
      </c>
    </row>
    <row r="569" spans="1:53" s="36" customFormat="1" x14ac:dyDescent="0.2">
      <c r="A569" s="29"/>
      <c r="B569" s="14" t="str">
        <f t="shared" si="167"/>
        <v>Sohngen 2010</v>
      </c>
      <c r="C569" s="61">
        <f t="shared" si="168"/>
        <v>62</v>
      </c>
      <c r="D569" s="58">
        <v>2010</v>
      </c>
      <c r="E569" s="17"/>
      <c r="F569" s="58">
        <v>0</v>
      </c>
      <c r="G569" s="22">
        <v>2005</v>
      </c>
      <c r="H569" s="15">
        <f>LOOKUP(G569,CPI!A$69:A$100,CPI!O$69:O$100)</f>
        <v>1.1165181771633383</v>
      </c>
      <c r="I569" s="5">
        <v>2070</v>
      </c>
      <c r="J569" s="43">
        <v>0</v>
      </c>
      <c r="K569" s="43"/>
      <c r="L569" s="57"/>
      <c r="M569" s="56"/>
      <c r="N569" s="3">
        <f>44/12*30.85</f>
        <v>113.11666666666667</v>
      </c>
      <c r="O569" s="50">
        <f t="shared" si="173"/>
        <v>113.11666666666667</v>
      </c>
      <c r="P569" s="16">
        <v>0</v>
      </c>
      <c r="Q569" s="16">
        <v>1</v>
      </c>
      <c r="R569" s="16">
        <v>0</v>
      </c>
      <c r="S569" s="42"/>
      <c r="T569" s="56" t="str">
        <f t="shared" si="163"/>
        <v/>
      </c>
      <c r="U569" s="56" t="str">
        <f t="shared" si="165"/>
        <v/>
      </c>
      <c r="V569" s="56" t="str">
        <f t="shared" si="166"/>
        <v/>
      </c>
      <c r="W569" s="42"/>
      <c r="X569" s="42"/>
      <c r="Y569" s="42"/>
      <c r="Z569" s="42"/>
      <c r="AA569" s="37">
        <f t="shared" si="171"/>
        <v>113.11666666666667</v>
      </c>
      <c r="AB569" s="42"/>
      <c r="AC569" s="42"/>
      <c r="AD569" s="42"/>
      <c r="AE569" s="42"/>
      <c r="AF569" s="16">
        <v>0</v>
      </c>
      <c r="AG569" s="16">
        <v>1</v>
      </c>
      <c r="AH569" s="16">
        <v>0</v>
      </c>
      <c r="AI569" s="16">
        <v>1</v>
      </c>
      <c r="AJ569" s="5">
        <v>0</v>
      </c>
      <c r="AK569" s="5">
        <v>1</v>
      </c>
      <c r="AL569" s="5">
        <v>0</v>
      </c>
      <c r="AM569" s="20">
        <v>5</v>
      </c>
      <c r="AN569" s="20">
        <v>3</v>
      </c>
      <c r="AO569" s="14"/>
      <c r="AP569" s="16"/>
      <c r="AQ569" s="16"/>
      <c r="AR569" s="16">
        <v>0</v>
      </c>
      <c r="AS569" s="16">
        <v>0</v>
      </c>
      <c r="AT569" s="16"/>
      <c r="AU569" s="16"/>
      <c r="AV569" s="16"/>
      <c r="AW569" s="16"/>
      <c r="AX569" s="16">
        <v>0</v>
      </c>
      <c r="AY569" s="16">
        <v>0</v>
      </c>
      <c r="AZ569" s="16">
        <v>0</v>
      </c>
      <c r="BA569" s="16">
        <v>0</v>
      </c>
    </row>
    <row r="570" spans="1:53" s="36" customFormat="1" x14ac:dyDescent="0.2">
      <c r="A570" s="29"/>
      <c r="B570" s="14" t="str">
        <f t="shared" si="167"/>
        <v>Sohngen 2010</v>
      </c>
      <c r="C570" s="61">
        <f t="shared" si="168"/>
        <v>62</v>
      </c>
      <c r="D570" s="58">
        <v>2010</v>
      </c>
      <c r="E570" s="17"/>
      <c r="F570" s="58">
        <v>0</v>
      </c>
      <c r="G570" s="22">
        <v>2005</v>
      </c>
      <c r="H570" s="15">
        <f>LOOKUP(G570,CPI!A$69:A$100,CPI!O$69:O$100)</f>
        <v>1.1165181771633383</v>
      </c>
      <c r="I570" s="5">
        <v>2080</v>
      </c>
      <c r="J570" s="43">
        <v>0</v>
      </c>
      <c r="K570" s="43"/>
      <c r="L570" s="57"/>
      <c r="M570" s="56"/>
      <c r="N570" s="3">
        <f>44/12*36.43</f>
        <v>133.57666666666665</v>
      </c>
      <c r="O570" s="50">
        <f t="shared" si="173"/>
        <v>133.57666666666665</v>
      </c>
      <c r="P570" s="16">
        <v>0</v>
      </c>
      <c r="Q570" s="16">
        <v>1</v>
      </c>
      <c r="R570" s="16">
        <v>0</v>
      </c>
      <c r="S570" s="42"/>
      <c r="T570" s="56" t="str">
        <f t="shared" si="163"/>
        <v/>
      </c>
      <c r="U570" s="56" t="str">
        <f t="shared" si="165"/>
        <v/>
      </c>
      <c r="V570" s="56" t="str">
        <f t="shared" si="166"/>
        <v/>
      </c>
      <c r="W570" s="42"/>
      <c r="X570" s="42"/>
      <c r="Y570" s="42"/>
      <c r="Z570" s="42"/>
      <c r="AA570" s="37">
        <f t="shared" si="171"/>
        <v>133.57666666666665</v>
      </c>
      <c r="AB570" s="42"/>
      <c r="AC570" s="42"/>
      <c r="AD570" s="42"/>
      <c r="AE570" s="42"/>
      <c r="AF570" s="16">
        <v>0</v>
      </c>
      <c r="AG570" s="16">
        <v>1</v>
      </c>
      <c r="AH570" s="16">
        <v>0</v>
      </c>
      <c r="AI570" s="16">
        <v>1</v>
      </c>
      <c r="AJ570" s="5">
        <v>0</v>
      </c>
      <c r="AK570" s="5">
        <v>1</v>
      </c>
      <c r="AL570" s="5">
        <v>0</v>
      </c>
      <c r="AM570" s="20">
        <v>5</v>
      </c>
      <c r="AN570" s="20">
        <v>3</v>
      </c>
      <c r="AO570" s="14"/>
      <c r="AP570" s="16"/>
      <c r="AQ570" s="16"/>
      <c r="AR570" s="16">
        <v>0</v>
      </c>
      <c r="AS570" s="16">
        <v>0</v>
      </c>
      <c r="AT570" s="16"/>
      <c r="AU570" s="16"/>
      <c r="AV570" s="16"/>
      <c r="AW570" s="16"/>
      <c r="AX570" s="16">
        <v>0</v>
      </c>
      <c r="AY570" s="16">
        <v>0</v>
      </c>
      <c r="AZ570" s="16">
        <v>0</v>
      </c>
      <c r="BA570" s="16">
        <v>0</v>
      </c>
    </row>
    <row r="571" spans="1:53" s="36" customFormat="1" x14ac:dyDescent="0.2">
      <c r="A571" s="29"/>
      <c r="B571" s="14" t="str">
        <f t="shared" si="167"/>
        <v>Sohngen 2010</v>
      </c>
      <c r="C571" s="61">
        <f t="shared" si="168"/>
        <v>62</v>
      </c>
      <c r="D571" s="58">
        <v>2010</v>
      </c>
      <c r="E571" s="17"/>
      <c r="F571" s="58">
        <v>0</v>
      </c>
      <c r="G571" s="22">
        <v>2005</v>
      </c>
      <c r="H571" s="15">
        <f>LOOKUP(G571,CPI!A$69:A$100,CPI!O$69:O$100)</f>
        <v>1.1165181771633383</v>
      </c>
      <c r="I571" s="5">
        <v>2090</v>
      </c>
      <c r="J571" s="43">
        <v>0</v>
      </c>
      <c r="K571" s="43"/>
      <c r="L571" s="57"/>
      <c r="M571" s="56"/>
      <c r="N571" s="3">
        <f>44/12*42.69</f>
        <v>156.52999999999997</v>
      </c>
      <c r="O571" s="50">
        <f t="shared" si="173"/>
        <v>156.52999999999997</v>
      </c>
      <c r="P571" s="16">
        <v>0</v>
      </c>
      <c r="Q571" s="16">
        <v>1</v>
      </c>
      <c r="R571" s="16">
        <v>0</v>
      </c>
      <c r="S571" s="42"/>
      <c r="T571" s="56" t="str">
        <f t="shared" si="163"/>
        <v/>
      </c>
      <c r="U571" s="56" t="str">
        <f t="shared" si="165"/>
        <v/>
      </c>
      <c r="V571" s="56" t="str">
        <f t="shared" si="166"/>
        <v/>
      </c>
      <c r="W571" s="42"/>
      <c r="X571" s="42"/>
      <c r="Y571" s="42"/>
      <c r="Z571" s="42"/>
      <c r="AA571" s="37">
        <f t="shared" si="171"/>
        <v>156.52999999999997</v>
      </c>
      <c r="AB571" s="42"/>
      <c r="AC571" s="42"/>
      <c r="AD571" s="42"/>
      <c r="AE571" s="42"/>
      <c r="AF571" s="16">
        <v>0</v>
      </c>
      <c r="AG571" s="16">
        <v>1</v>
      </c>
      <c r="AH571" s="16">
        <v>0</v>
      </c>
      <c r="AI571" s="16">
        <v>1</v>
      </c>
      <c r="AJ571" s="5">
        <v>0</v>
      </c>
      <c r="AK571" s="5">
        <v>1</v>
      </c>
      <c r="AL571" s="5">
        <v>0</v>
      </c>
      <c r="AM571" s="20">
        <v>5</v>
      </c>
      <c r="AN571" s="20">
        <v>3</v>
      </c>
      <c r="AO571" s="14"/>
      <c r="AP571" s="16"/>
      <c r="AQ571" s="16"/>
      <c r="AR571" s="16">
        <v>0</v>
      </c>
      <c r="AS571" s="16">
        <v>0</v>
      </c>
      <c r="AT571" s="16"/>
      <c r="AU571" s="16"/>
      <c r="AV571" s="16"/>
      <c r="AW571" s="16"/>
      <c r="AX571" s="16">
        <v>0</v>
      </c>
      <c r="AY571" s="16">
        <v>0</v>
      </c>
      <c r="AZ571" s="16">
        <v>0</v>
      </c>
      <c r="BA571" s="16">
        <v>0</v>
      </c>
    </row>
    <row r="572" spans="1:53" s="36" customFormat="1" x14ac:dyDescent="0.2">
      <c r="A572" s="29"/>
      <c r="B572" s="14" t="str">
        <f t="shared" si="167"/>
        <v>Sohngen 2010</v>
      </c>
      <c r="C572" s="61">
        <f t="shared" si="168"/>
        <v>62</v>
      </c>
      <c r="D572" s="58">
        <v>2010</v>
      </c>
      <c r="E572" s="17"/>
      <c r="F572" s="58">
        <v>0</v>
      </c>
      <c r="G572" s="22">
        <v>2005</v>
      </c>
      <c r="H572" s="15">
        <f>LOOKUP(G572,CPI!A$69:A$100,CPI!O$69:O$100)</f>
        <v>1.1165181771633383</v>
      </c>
      <c r="I572" s="5">
        <v>2100</v>
      </c>
      <c r="J572" s="43">
        <v>0</v>
      </c>
      <c r="K572" s="43"/>
      <c r="L572" s="57"/>
      <c r="M572" s="56"/>
      <c r="N572" s="3">
        <f>44/12*49.68</f>
        <v>182.16</v>
      </c>
      <c r="O572" s="50">
        <f t="shared" si="173"/>
        <v>182.16</v>
      </c>
      <c r="P572" s="16">
        <v>0</v>
      </c>
      <c r="Q572" s="16">
        <v>1</v>
      </c>
      <c r="R572" s="16">
        <v>0</v>
      </c>
      <c r="S572" s="42"/>
      <c r="T572" s="56" t="str">
        <f t="shared" si="163"/>
        <v/>
      </c>
      <c r="U572" s="56" t="str">
        <f t="shared" si="165"/>
        <v/>
      </c>
      <c r="V572" s="56" t="str">
        <f t="shared" si="166"/>
        <v/>
      </c>
      <c r="W572" s="42"/>
      <c r="X572" s="42"/>
      <c r="Y572" s="42"/>
      <c r="Z572" s="42"/>
      <c r="AA572" s="37">
        <f t="shared" si="171"/>
        <v>182.16</v>
      </c>
      <c r="AB572" s="42"/>
      <c r="AC572" s="42"/>
      <c r="AD572" s="42"/>
      <c r="AE572" s="42"/>
      <c r="AF572" s="16">
        <v>0</v>
      </c>
      <c r="AG572" s="16">
        <v>1</v>
      </c>
      <c r="AH572" s="16">
        <v>0</v>
      </c>
      <c r="AI572" s="16">
        <v>1</v>
      </c>
      <c r="AJ572" s="5">
        <v>0</v>
      </c>
      <c r="AK572" s="5">
        <v>1</v>
      </c>
      <c r="AL572" s="5">
        <v>0</v>
      </c>
      <c r="AM572" s="20">
        <v>5</v>
      </c>
      <c r="AN572" s="20">
        <v>3</v>
      </c>
      <c r="AO572" s="14"/>
      <c r="AP572" s="16"/>
      <c r="AQ572" s="16"/>
      <c r="AR572" s="16">
        <v>0</v>
      </c>
      <c r="AS572" s="16">
        <v>0</v>
      </c>
      <c r="AT572" s="16"/>
      <c r="AU572" s="16"/>
      <c r="AV572" s="16"/>
      <c r="AW572" s="16"/>
      <c r="AX572" s="16">
        <v>0</v>
      </c>
      <c r="AY572" s="16">
        <v>0</v>
      </c>
      <c r="AZ572" s="16">
        <v>0</v>
      </c>
      <c r="BA572" s="16">
        <v>0</v>
      </c>
    </row>
    <row r="573" spans="1:53" x14ac:dyDescent="0.2">
      <c r="A573" s="14" t="s">
        <v>0</v>
      </c>
      <c r="B573" s="14" t="str">
        <f t="shared" si="167"/>
        <v>Tol 2010</v>
      </c>
      <c r="C573" s="61">
        <f t="shared" si="168"/>
        <v>63</v>
      </c>
      <c r="D573" s="58">
        <v>2010</v>
      </c>
      <c r="E573" s="17" t="s">
        <v>126</v>
      </c>
      <c r="F573" s="58">
        <v>0</v>
      </c>
      <c r="G573" s="16">
        <v>1995</v>
      </c>
      <c r="H573" s="15">
        <f>LOOKUP(G573,CPI!A$69:A$100,CPI!O$69:O$100)</f>
        <v>1.4308136482939633</v>
      </c>
      <c r="I573" s="52">
        <v>2010</v>
      </c>
      <c r="J573" s="15">
        <v>1</v>
      </c>
      <c r="K573" s="15"/>
      <c r="L573" s="62"/>
      <c r="M573" s="56">
        <f>AA573*H573*(1+$L$2)^(2015-I573)</f>
        <v>3.335406520727398</v>
      </c>
      <c r="N573" s="14">
        <v>2</v>
      </c>
      <c r="O573" s="18">
        <f t="shared" si="173"/>
        <v>2</v>
      </c>
      <c r="P573" s="16">
        <v>0</v>
      </c>
      <c r="Q573" s="16">
        <v>1</v>
      </c>
      <c r="R573" s="16">
        <v>0</v>
      </c>
      <c r="S573" s="14"/>
      <c r="T573" s="56" t="str">
        <f t="shared" si="163"/>
        <v/>
      </c>
      <c r="U573" s="56" t="str">
        <f t="shared" si="165"/>
        <v/>
      </c>
      <c r="V573" s="56" t="str">
        <f t="shared" si="166"/>
        <v/>
      </c>
      <c r="W573" s="14"/>
      <c r="X573" s="14"/>
      <c r="Y573" s="14"/>
      <c r="Z573" s="14"/>
      <c r="AA573" s="18">
        <f t="shared" si="171"/>
        <v>2</v>
      </c>
      <c r="AB573" s="14"/>
      <c r="AC573" s="14"/>
      <c r="AD573" s="14"/>
      <c r="AE573" s="14"/>
      <c r="AF573" s="16">
        <v>0</v>
      </c>
      <c r="AG573" s="16">
        <v>1</v>
      </c>
      <c r="AH573" s="16">
        <v>1</v>
      </c>
      <c r="AI573" s="16">
        <v>1</v>
      </c>
      <c r="AJ573" s="5">
        <v>1</v>
      </c>
      <c r="AK573" s="5">
        <v>0</v>
      </c>
      <c r="AL573" s="5">
        <v>0</v>
      </c>
      <c r="AM573" s="20"/>
      <c r="AN573" s="20">
        <v>3</v>
      </c>
      <c r="AO573" s="14"/>
      <c r="AP573" s="16"/>
      <c r="AQ573" s="16"/>
      <c r="AR573" s="16">
        <v>0</v>
      </c>
      <c r="AS573" s="16">
        <v>0</v>
      </c>
      <c r="AT573" s="16"/>
      <c r="AU573" s="16"/>
      <c r="AV573" s="16"/>
      <c r="AW573" s="16"/>
      <c r="AX573" s="16">
        <v>0</v>
      </c>
      <c r="AY573" s="16">
        <v>0</v>
      </c>
      <c r="AZ573" s="16">
        <v>1</v>
      </c>
      <c r="BA573" s="16">
        <v>0</v>
      </c>
    </row>
    <row r="574" spans="1:53" x14ac:dyDescent="0.2">
      <c r="A574" s="14" t="s">
        <v>31</v>
      </c>
      <c r="B574" s="14" t="str">
        <f t="shared" si="167"/>
        <v>Anthoff et al. 2011</v>
      </c>
      <c r="C574" s="61">
        <f t="shared" si="168"/>
        <v>64</v>
      </c>
      <c r="D574" s="58">
        <v>2011</v>
      </c>
      <c r="E574" s="17" t="s">
        <v>125</v>
      </c>
      <c r="F574" s="58">
        <v>0</v>
      </c>
      <c r="G574" s="16">
        <v>1995</v>
      </c>
      <c r="H574" s="15">
        <f>LOOKUP(G574,CPI!A$69:A$100,CPI!O$69:O$100)</f>
        <v>1.4308136482939633</v>
      </c>
      <c r="I574" s="52">
        <v>2015</v>
      </c>
      <c r="J574" s="15">
        <f>2/34</f>
        <v>5.8823529411764705E-2</v>
      </c>
      <c r="K574" s="44">
        <v>7.6923076923076927E-2</v>
      </c>
      <c r="L574" s="57">
        <f>(AA575/AA574)^(1/(I575-I574))-1</f>
        <v>2.200000000000002E-2</v>
      </c>
      <c r="M574" s="56">
        <f>AA574*H574*(1+$L$2)^(2015-I574)</f>
        <v>1.9029821522309713</v>
      </c>
      <c r="N574" s="14">
        <v>1.33</v>
      </c>
      <c r="O574" s="18">
        <f t="shared" si="173"/>
        <v>1.33</v>
      </c>
      <c r="P574" s="16">
        <v>0</v>
      </c>
      <c r="Q574" s="16">
        <v>1</v>
      </c>
      <c r="R574" s="16">
        <v>0</v>
      </c>
      <c r="S574" s="14"/>
      <c r="T574" s="56" t="str">
        <f t="shared" si="163"/>
        <v/>
      </c>
      <c r="U574" s="56" t="str">
        <f t="shared" si="165"/>
        <v/>
      </c>
      <c r="V574" s="56" t="str">
        <f t="shared" si="166"/>
        <v/>
      </c>
      <c r="W574" s="14"/>
      <c r="X574" s="14"/>
      <c r="Y574" s="14"/>
      <c r="Z574" s="14"/>
      <c r="AA574" s="18">
        <f t="shared" si="171"/>
        <v>1.33</v>
      </c>
      <c r="AB574" s="14"/>
      <c r="AC574" s="14"/>
      <c r="AD574" s="14"/>
      <c r="AE574" s="14"/>
      <c r="AF574" s="16">
        <v>0</v>
      </c>
      <c r="AG574" s="16">
        <v>1</v>
      </c>
      <c r="AH574" s="16">
        <v>1</v>
      </c>
      <c r="AI574" s="16">
        <v>1</v>
      </c>
      <c r="AJ574" s="5">
        <v>1</v>
      </c>
      <c r="AK574" s="5">
        <v>0</v>
      </c>
      <c r="AL574" s="5">
        <v>0</v>
      </c>
      <c r="AM574" s="20"/>
      <c r="AN574" s="20">
        <v>3</v>
      </c>
      <c r="AO574" s="14"/>
      <c r="AP574" s="16"/>
      <c r="AQ574" s="16"/>
      <c r="AR574" s="16">
        <v>0</v>
      </c>
      <c r="AS574" s="16">
        <v>0</v>
      </c>
      <c r="AT574" s="16"/>
      <c r="AU574" s="16"/>
      <c r="AV574" s="16"/>
      <c r="AW574" s="16"/>
      <c r="AX574" s="16">
        <v>0</v>
      </c>
      <c r="AY574" s="16">
        <v>0</v>
      </c>
      <c r="AZ574" s="16">
        <v>1</v>
      </c>
      <c r="BA574" s="16">
        <v>0</v>
      </c>
    </row>
    <row r="575" spans="1:53" s="36" customFormat="1" x14ac:dyDescent="0.2">
      <c r="A575" s="29"/>
      <c r="B575" s="14" t="str">
        <f t="shared" si="167"/>
        <v>Anthoff et al. 2011</v>
      </c>
      <c r="C575" s="61">
        <f t="shared" si="168"/>
        <v>64</v>
      </c>
      <c r="D575" s="58">
        <v>2011</v>
      </c>
      <c r="E575" s="17"/>
      <c r="F575" s="58">
        <v>0</v>
      </c>
      <c r="G575" s="16">
        <v>1995</v>
      </c>
      <c r="H575" s="15">
        <f>LOOKUP(G575,CPI!A$69:A$100,CPI!O$69:O$100)</f>
        <v>1.4308136482939633</v>
      </c>
      <c r="I575" s="5">
        <v>2100</v>
      </c>
      <c r="J575" s="43">
        <v>0</v>
      </c>
      <c r="K575" s="43"/>
      <c r="L575" s="57"/>
      <c r="M575" s="56"/>
      <c r="N575" s="3">
        <f>N574*(1.022)^85</f>
        <v>8.4562494141956766</v>
      </c>
      <c r="O575" s="50">
        <f t="shared" si="173"/>
        <v>8.4562494141956766</v>
      </c>
      <c r="P575" s="16">
        <v>0</v>
      </c>
      <c r="Q575" s="16">
        <v>1</v>
      </c>
      <c r="R575" s="16">
        <v>0</v>
      </c>
      <c r="S575" s="42"/>
      <c r="T575" s="56" t="str">
        <f t="shared" si="163"/>
        <v/>
      </c>
      <c r="U575" s="56" t="str">
        <f t="shared" si="165"/>
        <v/>
      </c>
      <c r="V575" s="56" t="str">
        <f t="shared" si="166"/>
        <v/>
      </c>
      <c r="W575" s="42"/>
      <c r="X575" s="42"/>
      <c r="Y575" s="42"/>
      <c r="Z575" s="42"/>
      <c r="AA575" s="37">
        <f t="shared" si="171"/>
        <v>8.4562494141956766</v>
      </c>
      <c r="AB575" s="42"/>
      <c r="AC575" s="42"/>
      <c r="AD575" s="42"/>
      <c r="AE575" s="42"/>
      <c r="AF575" s="16">
        <v>0</v>
      </c>
      <c r="AG575" s="16">
        <v>1</v>
      </c>
      <c r="AH575" s="16">
        <v>1</v>
      </c>
      <c r="AI575" s="16">
        <v>1</v>
      </c>
      <c r="AJ575" s="5">
        <v>1</v>
      </c>
      <c r="AK575" s="5">
        <v>0</v>
      </c>
      <c r="AL575" s="5">
        <v>0</v>
      </c>
      <c r="AM575" s="20"/>
      <c r="AN575" s="20">
        <v>3</v>
      </c>
      <c r="AO575" s="14"/>
      <c r="AP575" s="16"/>
      <c r="AQ575" s="16"/>
      <c r="AR575" s="16">
        <v>0</v>
      </c>
      <c r="AS575" s="16">
        <v>0</v>
      </c>
      <c r="AT575" s="16"/>
      <c r="AU575" s="16"/>
      <c r="AV575" s="16"/>
      <c r="AW575" s="16"/>
      <c r="AX575" s="16">
        <v>0</v>
      </c>
      <c r="AY575" s="16">
        <v>0</v>
      </c>
      <c r="AZ575" s="16">
        <v>1</v>
      </c>
      <c r="BA575" s="16">
        <v>0</v>
      </c>
    </row>
    <row r="576" spans="1:53" x14ac:dyDescent="0.2">
      <c r="A576" s="14"/>
      <c r="B576" s="14" t="str">
        <f t="shared" si="167"/>
        <v>Anthoff et al. 2011</v>
      </c>
      <c r="C576" s="61">
        <f t="shared" si="168"/>
        <v>64</v>
      </c>
      <c r="D576" s="58">
        <v>2011</v>
      </c>
      <c r="E576" s="17"/>
      <c r="F576" s="58">
        <v>0</v>
      </c>
      <c r="G576" s="16">
        <v>1995</v>
      </c>
      <c r="H576" s="15">
        <f>LOOKUP(G576,CPI!A$69:A$100,CPI!O$69:O$100)</f>
        <v>1.4308136482939633</v>
      </c>
      <c r="I576" s="52">
        <v>2015</v>
      </c>
      <c r="J576" s="15">
        <f t="shared" ref="J576:J600" si="174">2/34</f>
        <v>5.8823529411764705E-2</v>
      </c>
      <c r="K576" s="44">
        <v>7.6923076923076927E-2</v>
      </c>
      <c r="L576" s="57">
        <f>(AA577/AA576)^(1/(I577-I576))-1</f>
        <v>2.2100000000000009E-2</v>
      </c>
      <c r="M576" s="56">
        <f>AA576*H576*(1+$L$2)^(2015-I576)</f>
        <v>43.35365354330709</v>
      </c>
      <c r="N576" s="14">
        <v>30.3</v>
      </c>
      <c r="O576" s="18">
        <f t="shared" si="173"/>
        <v>30.3</v>
      </c>
      <c r="P576" s="16">
        <v>0</v>
      </c>
      <c r="Q576" s="16">
        <v>1</v>
      </c>
      <c r="R576" s="16">
        <v>0</v>
      </c>
      <c r="S576" s="14"/>
      <c r="T576" s="56" t="str">
        <f t="shared" si="163"/>
        <v/>
      </c>
      <c r="U576" s="56" t="str">
        <f t="shared" si="165"/>
        <v/>
      </c>
      <c r="V576" s="56" t="str">
        <f t="shared" si="166"/>
        <v/>
      </c>
      <c r="W576" s="14"/>
      <c r="X576" s="14"/>
      <c r="Y576" s="14"/>
      <c r="Z576" s="14"/>
      <c r="AA576" s="18">
        <f t="shared" si="171"/>
        <v>30.3</v>
      </c>
      <c r="AB576" s="14"/>
      <c r="AC576" s="14"/>
      <c r="AD576" s="14"/>
      <c r="AE576" s="14"/>
      <c r="AF576" s="16">
        <v>0</v>
      </c>
      <c r="AG576" s="16">
        <v>1</v>
      </c>
      <c r="AH576" s="16">
        <v>1</v>
      </c>
      <c r="AI576" s="16">
        <v>1</v>
      </c>
      <c r="AJ576" s="5">
        <v>1</v>
      </c>
      <c r="AK576" s="5">
        <v>0</v>
      </c>
      <c r="AL576" s="5">
        <v>0</v>
      </c>
      <c r="AM576" s="20"/>
      <c r="AN576" s="20">
        <v>1</v>
      </c>
      <c r="AO576" s="14"/>
      <c r="AP576" s="16"/>
      <c r="AQ576" s="16"/>
      <c r="AR576" s="16">
        <v>0</v>
      </c>
      <c r="AS576" s="16">
        <v>1</v>
      </c>
      <c r="AT576" s="16"/>
      <c r="AU576" s="16"/>
      <c r="AV576" s="16"/>
      <c r="AW576" s="16"/>
      <c r="AX576" s="16">
        <v>0</v>
      </c>
      <c r="AY576" s="16">
        <v>0</v>
      </c>
      <c r="AZ576" s="16">
        <v>1</v>
      </c>
      <c r="BA576" s="16">
        <v>0</v>
      </c>
    </row>
    <row r="577" spans="1:53" s="36" customFormat="1" x14ac:dyDescent="0.2">
      <c r="A577" s="29"/>
      <c r="B577" s="14" t="str">
        <f t="shared" si="167"/>
        <v>Anthoff et al. 2011</v>
      </c>
      <c r="C577" s="61">
        <f t="shared" si="168"/>
        <v>64</v>
      </c>
      <c r="D577" s="58">
        <v>2011</v>
      </c>
      <c r="E577" s="17"/>
      <c r="F577" s="58">
        <v>0</v>
      </c>
      <c r="G577" s="16">
        <v>1995</v>
      </c>
      <c r="H577" s="15">
        <f>LOOKUP(G577,CPI!A$69:A$100,CPI!O$69:O$100)</f>
        <v>1.4308136482939633</v>
      </c>
      <c r="I577" s="5">
        <v>2100</v>
      </c>
      <c r="J577" s="43">
        <v>0</v>
      </c>
      <c r="K577" s="43"/>
      <c r="L577" s="57"/>
      <c r="M577" s="56"/>
      <c r="N577" s="3">
        <f>N576*(1.0221)^85</f>
        <v>194.25876927687338</v>
      </c>
      <c r="O577" s="50">
        <f t="shared" si="173"/>
        <v>194.25876927687338</v>
      </c>
      <c r="P577" s="16">
        <v>0</v>
      </c>
      <c r="Q577" s="16">
        <v>1</v>
      </c>
      <c r="R577" s="16">
        <v>0</v>
      </c>
      <c r="S577" s="42"/>
      <c r="T577" s="56" t="str">
        <f t="shared" si="163"/>
        <v/>
      </c>
      <c r="U577" s="56" t="str">
        <f t="shared" si="165"/>
        <v/>
      </c>
      <c r="V577" s="56" t="str">
        <f t="shared" si="166"/>
        <v/>
      </c>
      <c r="W577" s="42"/>
      <c r="X577" s="42"/>
      <c r="Y577" s="42"/>
      <c r="Z577" s="42"/>
      <c r="AA577" s="37">
        <f t="shared" si="171"/>
        <v>194.25876927687338</v>
      </c>
      <c r="AB577" s="42"/>
      <c r="AC577" s="42"/>
      <c r="AD577" s="42"/>
      <c r="AE577" s="42"/>
      <c r="AF577" s="16">
        <v>0</v>
      </c>
      <c r="AG577" s="16">
        <v>1</v>
      </c>
      <c r="AH577" s="16">
        <v>1</v>
      </c>
      <c r="AI577" s="16">
        <v>1</v>
      </c>
      <c r="AJ577" s="5">
        <v>1</v>
      </c>
      <c r="AK577" s="5">
        <v>0</v>
      </c>
      <c r="AL577" s="5">
        <v>0</v>
      </c>
      <c r="AM577" s="20"/>
      <c r="AN577" s="20">
        <v>1</v>
      </c>
      <c r="AO577" s="14"/>
      <c r="AP577" s="16"/>
      <c r="AQ577" s="16"/>
      <c r="AR577" s="16">
        <v>0</v>
      </c>
      <c r="AS577" s="16">
        <v>1</v>
      </c>
      <c r="AT577" s="16"/>
      <c r="AU577" s="16"/>
      <c r="AV577" s="16"/>
      <c r="AW577" s="16"/>
      <c r="AX577" s="16">
        <v>0</v>
      </c>
      <c r="AY577" s="16">
        <v>0</v>
      </c>
      <c r="AZ577" s="16">
        <v>1</v>
      </c>
      <c r="BA577" s="16">
        <v>0</v>
      </c>
    </row>
    <row r="578" spans="1:53" x14ac:dyDescent="0.2">
      <c r="A578" s="14"/>
      <c r="B578" s="14" t="str">
        <f t="shared" si="167"/>
        <v>Anthoff et al. 2011</v>
      </c>
      <c r="C578" s="61">
        <f t="shared" si="168"/>
        <v>64</v>
      </c>
      <c r="D578" s="58">
        <v>2011</v>
      </c>
      <c r="E578" s="17"/>
      <c r="F578" s="58">
        <v>0</v>
      </c>
      <c r="G578" s="16">
        <v>1995</v>
      </c>
      <c r="H578" s="15">
        <f>LOOKUP(G578,CPI!A$69:A$100,CPI!O$69:O$100)</f>
        <v>1.4308136482939633</v>
      </c>
      <c r="I578" s="52">
        <v>2015</v>
      </c>
      <c r="J578" s="15">
        <f t="shared" si="174"/>
        <v>5.8823529411764705E-2</v>
      </c>
      <c r="K578" s="44">
        <v>7.6923076923076927E-2</v>
      </c>
      <c r="L578" s="57">
        <f>(AA579/AA578)^(1/(I579-I578))-1</f>
        <v>3.8999999999999924E-2</v>
      </c>
      <c r="M578" s="56">
        <f>AA578*H578*(1+$L$2)^(2015-I578)</f>
        <v>266.13133858267719</v>
      </c>
      <c r="N578" s="14">
        <v>186</v>
      </c>
      <c r="O578" s="18">
        <f t="shared" si="173"/>
        <v>186</v>
      </c>
      <c r="P578" s="16">
        <v>0</v>
      </c>
      <c r="Q578" s="16">
        <v>1</v>
      </c>
      <c r="R578" s="16">
        <v>0</v>
      </c>
      <c r="S578" s="14"/>
      <c r="T578" s="56" t="str">
        <f t="shared" si="163"/>
        <v/>
      </c>
      <c r="U578" s="56" t="str">
        <f t="shared" si="165"/>
        <v/>
      </c>
      <c r="V578" s="56" t="str">
        <f t="shared" si="166"/>
        <v/>
      </c>
      <c r="W578" s="14"/>
      <c r="X578" s="14"/>
      <c r="Y578" s="14"/>
      <c r="Z578" s="14"/>
      <c r="AA578" s="18">
        <f t="shared" si="171"/>
        <v>186</v>
      </c>
      <c r="AB578" s="14"/>
      <c r="AC578" s="14"/>
      <c r="AD578" s="14"/>
      <c r="AE578" s="14"/>
      <c r="AF578" s="16">
        <v>0</v>
      </c>
      <c r="AG578" s="16">
        <v>1</v>
      </c>
      <c r="AH578" s="16">
        <v>1</v>
      </c>
      <c r="AI578" s="16">
        <v>1</v>
      </c>
      <c r="AJ578" s="5">
        <v>1</v>
      </c>
      <c r="AK578" s="5">
        <v>0</v>
      </c>
      <c r="AL578" s="5">
        <v>0</v>
      </c>
      <c r="AM578" s="20"/>
      <c r="AN578" s="20">
        <v>0.1</v>
      </c>
      <c r="AO578" s="14"/>
      <c r="AP578" s="16"/>
      <c r="AQ578" s="16"/>
      <c r="AR578" s="16">
        <v>0</v>
      </c>
      <c r="AS578" s="16">
        <v>0</v>
      </c>
      <c r="AT578" s="16"/>
      <c r="AU578" s="16"/>
      <c r="AV578" s="16"/>
      <c r="AW578" s="16"/>
      <c r="AX578" s="16">
        <v>0</v>
      </c>
      <c r="AY578" s="16">
        <v>0</v>
      </c>
      <c r="AZ578" s="16">
        <v>1</v>
      </c>
      <c r="BA578" s="16">
        <v>0</v>
      </c>
    </row>
    <row r="579" spans="1:53" s="36" customFormat="1" x14ac:dyDescent="0.2">
      <c r="A579" s="29"/>
      <c r="B579" s="14" t="str">
        <f t="shared" si="167"/>
        <v>Anthoff et al. 2011</v>
      </c>
      <c r="C579" s="61">
        <f t="shared" si="168"/>
        <v>64</v>
      </c>
      <c r="D579" s="58">
        <v>2011</v>
      </c>
      <c r="E579" s="17"/>
      <c r="F579" s="58">
        <v>0</v>
      </c>
      <c r="G579" s="16">
        <v>1995</v>
      </c>
      <c r="H579" s="15">
        <f>LOOKUP(G579,CPI!A$69:A$100,CPI!O$69:O$100)</f>
        <v>1.4308136482939633</v>
      </c>
      <c r="I579" s="5">
        <v>2100</v>
      </c>
      <c r="J579" s="43">
        <v>0</v>
      </c>
      <c r="K579" s="43"/>
      <c r="L579" s="57"/>
      <c r="M579" s="56"/>
      <c r="N579" s="3">
        <f>N578*(1.039)^85</f>
        <v>4806.5613128740879</v>
      </c>
      <c r="O579" s="50">
        <f t="shared" si="173"/>
        <v>4806.5613128740879</v>
      </c>
      <c r="P579" s="16">
        <v>0</v>
      </c>
      <c r="Q579" s="16">
        <v>1</v>
      </c>
      <c r="R579" s="16">
        <v>0</v>
      </c>
      <c r="S579" s="42"/>
      <c r="T579" s="56" t="str">
        <f t="shared" ref="T579:T633" si="175">IF(OR(M579="",S579=""),"",S579*H579*(1+$L$2)^(2015-I579))</f>
        <v/>
      </c>
      <c r="U579" s="56" t="str">
        <f t="shared" si="165"/>
        <v/>
      </c>
      <c r="V579" s="56" t="str">
        <f t="shared" si="166"/>
        <v/>
      </c>
      <c r="W579" s="42"/>
      <c r="X579" s="42"/>
      <c r="Y579" s="42"/>
      <c r="Z579" s="42"/>
      <c r="AA579" s="37">
        <f t="shared" si="171"/>
        <v>4806.5613128740879</v>
      </c>
      <c r="AB579" s="42"/>
      <c r="AC579" s="42"/>
      <c r="AD579" s="42"/>
      <c r="AE579" s="42"/>
      <c r="AF579" s="16">
        <v>0</v>
      </c>
      <c r="AG579" s="16">
        <v>1</v>
      </c>
      <c r="AH579" s="16">
        <v>1</v>
      </c>
      <c r="AI579" s="16">
        <v>1</v>
      </c>
      <c r="AJ579" s="5">
        <v>1</v>
      </c>
      <c r="AK579" s="5">
        <v>0</v>
      </c>
      <c r="AL579" s="5">
        <v>0</v>
      </c>
      <c r="AM579" s="20"/>
      <c r="AN579" s="20">
        <v>0.1</v>
      </c>
      <c r="AO579" s="14"/>
      <c r="AP579" s="16"/>
      <c r="AQ579" s="16"/>
      <c r="AR579" s="16">
        <v>0</v>
      </c>
      <c r="AS579" s="16">
        <v>0</v>
      </c>
      <c r="AT579" s="16"/>
      <c r="AU579" s="16"/>
      <c r="AV579" s="16"/>
      <c r="AW579" s="16"/>
      <c r="AX579" s="16">
        <v>0</v>
      </c>
      <c r="AY579" s="16">
        <v>0</v>
      </c>
      <c r="AZ579" s="16">
        <v>1</v>
      </c>
      <c r="BA579" s="16">
        <v>0</v>
      </c>
    </row>
    <row r="580" spans="1:53" x14ac:dyDescent="0.2">
      <c r="A580" s="14"/>
      <c r="B580" s="14" t="str">
        <f t="shared" si="167"/>
        <v>Anthoff et al. 2011</v>
      </c>
      <c r="C580" s="61">
        <f t="shared" si="168"/>
        <v>64</v>
      </c>
      <c r="D580" s="58">
        <v>2011</v>
      </c>
      <c r="E580" s="17"/>
      <c r="F580" s="58">
        <v>0</v>
      </c>
      <c r="G580" s="16">
        <v>1995</v>
      </c>
      <c r="H580" s="15">
        <f>LOOKUP(G580,CPI!A$69:A$100,CPI!O$69:O$100)</f>
        <v>1.4308136482939633</v>
      </c>
      <c r="I580" s="52">
        <v>2015</v>
      </c>
      <c r="J580" s="15">
        <f t="shared" si="174"/>
        <v>5.8823529411764705E-2</v>
      </c>
      <c r="K580" s="15"/>
      <c r="L580" s="62"/>
      <c r="M580" s="56">
        <f>AA580*H580*(1+$L$2)^(2015-I580)</f>
        <v>-3.2765632545931758</v>
      </c>
      <c r="N580" s="14">
        <v>-2.29</v>
      </c>
      <c r="O580" s="18">
        <f t="shared" si="173"/>
        <v>-2.29</v>
      </c>
      <c r="P580" s="16">
        <v>0</v>
      </c>
      <c r="Q580" s="16">
        <v>1</v>
      </c>
      <c r="R580" s="16">
        <v>0</v>
      </c>
      <c r="S580" s="14"/>
      <c r="T580" s="56" t="str">
        <f t="shared" si="175"/>
        <v/>
      </c>
      <c r="U580" s="56" t="str">
        <f t="shared" si="165"/>
        <v/>
      </c>
      <c r="V580" s="56" t="str">
        <f t="shared" si="166"/>
        <v/>
      </c>
      <c r="W580" s="14"/>
      <c r="X580" s="14"/>
      <c r="Y580" s="14"/>
      <c r="Z580" s="14"/>
      <c r="AA580" s="18">
        <f t="shared" si="171"/>
        <v>-2.29</v>
      </c>
      <c r="AB580" s="14"/>
      <c r="AC580" s="14"/>
      <c r="AD580" s="14"/>
      <c r="AE580" s="14"/>
      <c r="AF580" s="16">
        <v>0</v>
      </c>
      <c r="AG580" s="16">
        <v>1</v>
      </c>
      <c r="AH580" s="16">
        <v>1</v>
      </c>
      <c r="AI580" s="16">
        <v>1</v>
      </c>
      <c r="AJ580" s="5">
        <v>1</v>
      </c>
      <c r="AK580" s="5">
        <v>0</v>
      </c>
      <c r="AL580" s="5">
        <v>0</v>
      </c>
      <c r="AM580" s="20"/>
      <c r="AN580" s="20">
        <v>3</v>
      </c>
      <c r="AO580" s="14"/>
      <c r="AP580" s="16"/>
      <c r="AQ580" s="16"/>
      <c r="AR580" s="16">
        <v>0</v>
      </c>
      <c r="AS580" s="16">
        <v>0</v>
      </c>
      <c r="AT580" s="16"/>
      <c r="AU580" s="16"/>
      <c r="AV580" s="16"/>
      <c r="AW580" s="16"/>
      <c r="AX580" s="16">
        <v>0</v>
      </c>
      <c r="AY580" s="16">
        <v>0</v>
      </c>
      <c r="AZ580" s="16">
        <v>1</v>
      </c>
      <c r="BA580" s="16">
        <v>0</v>
      </c>
    </row>
    <row r="581" spans="1:53" x14ac:dyDescent="0.2">
      <c r="A581" s="14"/>
      <c r="B581" s="14" t="str">
        <f t="shared" si="167"/>
        <v>Anthoff et al. 2011</v>
      </c>
      <c r="C581" s="61">
        <f t="shared" si="168"/>
        <v>64</v>
      </c>
      <c r="D581" s="58">
        <v>2011</v>
      </c>
      <c r="E581" s="17"/>
      <c r="F581" s="58">
        <v>0</v>
      </c>
      <c r="G581" s="16">
        <v>1995</v>
      </c>
      <c r="H581" s="15">
        <f>LOOKUP(G581,CPI!A$69:A$100,CPI!O$69:O$100)</f>
        <v>1.4308136482939633</v>
      </c>
      <c r="I581" s="52">
        <v>2015</v>
      </c>
      <c r="J581" s="15">
        <f t="shared" si="174"/>
        <v>5.8823529411764705E-2</v>
      </c>
      <c r="K581" s="15"/>
      <c r="L581" s="62"/>
      <c r="M581" s="56">
        <f>AA581*H581*(1+$L$2)^(2015-I581)</f>
        <v>2.2177611548556433</v>
      </c>
      <c r="N581" s="14">
        <v>1.55</v>
      </c>
      <c r="O581" s="18">
        <f t="shared" ref="O581:O609" si="176">N581</f>
        <v>1.55</v>
      </c>
      <c r="P581" s="16">
        <v>0</v>
      </c>
      <c r="Q581" s="16">
        <v>1</v>
      </c>
      <c r="R581" s="16">
        <v>0</v>
      </c>
      <c r="S581" s="14"/>
      <c r="T581" s="56" t="str">
        <f t="shared" si="175"/>
        <v/>
      </c>
      <c r="U581" s="56" t="str">
        <f t="shared" ref="U581:U635" si="177">+V581</f>
        <v/>
      </c>
      <c r="V581" s="56" t="str">
        <f t="shared" ref="V581:V635" si="178">+T581</f>
        <v/>
      </c>
      <c r="W581" s="14"/>
      <c r="X581" s="14"/>
      <c r="Y581" s="14"/>
      <c r="Z581" s="14"/>
      <c r="AA581" s="18">
        <f t="shared" si="171"/>
        <v>1.55</v>
      </c>
      <c r="AB581" s="14"/>
      <c r="AC581" s="14"/>
      <c r="AD581" s="14"/>
      <c r="AE581" s="14"/>
      <c r="AF581" s="16">
        <v>0</v>
      </c>
      <c r="AG581" s="16">
        <v>1</v>
      </c>
      <c r="AH581" s="16">
        <v>1</v>
      </c>
      <c r="AI581" s="16">
        <v>1</v>
      </c>
      <c r="AJ581" s="5">
        <v>1</v>
      </c>
      <c r="AK581" s="5">
        <v>0</v>
      </c>
      <c r="AL581" s="5">
        <v>0</v>
      </c>
      <c r="AM581" s="20"/>
      <c r="AN581" s="20">
        <v>3</v>
      </c>
      <c r="AO581" s="14"/>
      <c r="AP581" s="16"/>
      <c r="AQ581" s="16"/>
      <c r="AR581" s="16">
        <v>0</v>
      </c>
      <c r="AS581" s="16">
        <v>0</v>
      </c>
      <c r="AT581" s="16"/>
      <c r="AU581" s="16"/>
      <c r="AV581" s="16"/>
      <c r="AW581" s="16"/>
      <c r="AX581" s="16">
        <v>0</v>
      </c>
      <c r="AY581" s="16">
        <v>0</v>
      </c>
      <c r="AZ581" s="16">
        <v>1</v>
      </c>
      <c r="BA581" s="16">
        <v>0</v>
      </c>
    </row>
    <row r="582" spans="1:53" x14ac:dyDescent="0.2">
      <c r="A582" s="14"/>
      <c r="B582" s="14" t="str">
        <f t="shared" si="167"/>
        <v>Anthoff et al. 2011</v>
      </c>
      <c r="C582" s="61">
        <f t="shared" si="168"/>
        <v>64</v>
      </c>
      <c r="D582" s="58">
        <v>2011</v>
      </c>
      <c r="E582" s="17"/>
      <c r="F582" s="58">
        <v>0</v>
      </c>
      <c r="G582" s="16">
        <v>1995</v>
      </c>
      <c r="H582" s="15">
        <f>LOOKUP(G582,CPI!A$69:A$100,CPI!O$69:O$100)</f>
        <v>1.4308136482939633</v>
      </c>
      <c r="I582" s="52">
        <v>2015</v>
      </c>
      <c r="J582" s="15">
        <f t="shared" si="174"/>
        <v>5.8823529411764705E-2</v>
      </c>
      <c r="K582" s="44">
        <v>7.6923076923076927E-2</v>
      </c>
      <c r="L582" s="57">
        <f>(AA583/AA582)^(1/(I583-I582))-1</f>
        <v>3.0000000000000027E-2</v>
      </c>
      <c r="M582" s="56">
        <f>AA582*H582*(1+$L$2)^(2015-I582)</f>
        <v>11.575282414698163</v>
      </c>
      <c r="N582" s="14">
        <v>8.09</v>
      </c>
      <c r="O582" s="18">
        <f t="shared" si="176"/>
        <v>8.09</v>
      </c>
      <c r="P582" s="16">
        <v>0</v>
      </c>
      <c r="Q582" s="16">
        <v>1</v>
      </c>
      <c r="R582" s="16">
        <v>0</v>
      </c>
      <c r="S582" s="14"/>
      <c r="T582" s="56" t="str">
        <f t="shared" si="175"/>
        <v/>
      </c>
      <c r="U582" s="56" t="str">
        <f t="shared" si="177"/>
        <v/>
      </c>
      <c r="V582" s="56" t="str">
        <f t="shared" si="178"/>
        <v/>
      </c>
      <c r="W582" s="14"/>
      <c r="X582" s="14"/>
      <c r="Y582" s="14"/>
      <c r="Z582" s="14"/>
      <c r="AA582" s="18">
        <f t="shared" si="171"/>
        <v>8.09</v>
      </c>
      <c r="AB582" s="14"/>
      <c r="AC582" s="14"/>
      <c r="AD582" s="14"/>
      <c r="AE582" s="14"/>
      <c r="AF582" s="16">
        <v>0</v>
      </c>
      <c r="AG582" s="16">
        <v>1</v>
      </c>
      <c r="AH582" s="16">
        <v>1</v>
      </c>
      <c r="AI582" s="16">
        <v>1</v>
      </c>
      <c r="AJ582" s="5">
        <v>1</v>
      </c>
      <c r="AK582" s="5">
        <v>0</v>
      </c>
      <c r="AL582" s="5">
        <v>0</v>
      </c>
      <c r="AM582" s="20"/>
      <c r="AN582" s="20">
        <v>1</v>
      </c>
      <c r="AO582" s="14"/>
      <c r="AP582" s="16"/>
      <c r="AQ582" s="16"/>
      <c r="AR582" s="16">
        <v>0</v>
      </c>
      <c r="AS582" s="16">
        <v>0</v>
      </c>
      <c r="AT582" s="16"/>
      <c r="AU582" s="16"/>
      <c r="AV582" s="16"/>
      <c r="AW582" s="16"/>
      <c r="AX582" s="16">
        <v>0</v>
      </c>
      <c r="AY582" s="16">
        <v>0</v>
      </c>
      <c r="AZ582" s="16">
        <v>1</v>
      </c>
      <c r="BA582" s="16">
        <v>0</v>
      </c>
    </row>
    <row r="583" spans="1:53" s="36" customFormat="1" x14ac:dyDescent="0.2">
      <c r="A583" s="29"/>
      <c r="B583" s="14" t="str">
        <f t="shared" si="167"/>
        <v>Anthoff et al. 2011</v>
      </c>
      <c r="C583" s="61">
        <f t="shared" si="168"/>
        <v>64</v>
      </c>
      <c r="D583" s="58">
        <v>2011</v>
      </c>
      <c r="E583" s="17"/>
      <c r="F583" s="58">
        <v>0</v>
      </c>
      <c r="G583" s="16">
        <v>1995</v>
      </c>
      <c r="H583" s="15">
        <f>LOOKUP(G583,CPI!A$69:A$100,CPI!O$69:O$100)</f>
        <v>1.4308136482939633</v>
      </c>
      <c r="I583" s="5">
        <v>2100</v>
      </c>
      <c r="J583" s="43">
        <v>0</v>
      </c>
      <c r="K583" s="43"/>
      <c r="L583" s="57"/>
      <c r="M583" s="56"/>
      <c r="N583" s="3">
        <f>N582*(1.03)^85</f>
        <v>99.795882165723654</v>
      </c>
      <c r="O583" s="50">
        <f t="shared" si="176"/>
        <v>99.795882165723654</v>
      </c>
      <c r="P583" s="16">
        <v>0</v>
      </c>
      <c r="Q583" s="16">
        <v>1</v>
      </c>
      <c r="R583" s="16">
        <v>0</v>
      </c>
      <c r="S583" s="42"/>
      <c r="T583" s="56" t="str">
        <f t="shared" si="175"/>
        <v/>
      </c>
      <c r="U583" s="56" t="str">
        <f t="shared" si="177"/>
        <v/>
      </c>
      <c r="V583" s="56" t="str">
        <f t="shared" si="178"/>
        <v/>
      </c>
      <c r="W583" s="42"/>
      <c r="X583" s="42"/>
      <c r="Y583" s="42"/>
      <c r="Z583" s="42"/>
      <c r="AA583" s="37">
        <f t="shared" si="171"/>
        <v>99.795882165723654</v>
      </c>
      <c r="AB583" s="42"/>
      <c r="AC583" s="42"/>
      <c r="AD583" s="42"/>
      <c r="AE583" s="42"/>
      <c r="AF583" s="16">
        <v>0</v>
      </c>
      <c r="AG583" s="16">
        <v>1</v>
      </c>
      <c r="AH583" s="16">
        <v>1</v>
      </c>
      <c r="AI583" s="16">
        <v>1</v>
      </c>
      <c r="AJ583" s="5">
        <v>1</v>
      </c>
      <c r="AK583" s="5">
        <v>0</v>
      </c>
      <c r="AL583" s="5">
        <v>0</v>
      </c>
      <c r="AM583" s="20"/>
      <c r="AN583" s="20">
        <v>1</v>
      </c>
      <c r="AO583" s="14"/>
      <c r="AP583" s="16"/>
      <c r="AQ583" s="16"/>
      <c r="AR583" s="16">
        <v>0</v>
      </c>
      <c r="AS583" s="16">
        <v>0</v>
      </c>
      <c r="AT583" s="16"/>
      <c r="AU583" s="16"/>
      <c r="AV583" s="16"/>
      <c r="AW583" s="16"/>
      <c r="AX583" s="16">
        <v>0</v>
      </c>
      <c r="AY583" s="16">
        <v>0</v>
      </c>
      <c r="AZ583" s="16">
        <v>1</v>
      </c>
      <c r="BA583" s="16">
        <v>0</v>
      </c>
    </row>
    <row r="584" spans="1:53" x14ac:dyDescent="0.2">
      <c r="A584" s="14"/>
      <c r="B584" s="14" t="str">
        <f t="shared" si="167"/>
        <v>Anthoff et al. 2011</v>
      </c>
      <c r="C584" s="61">
        <f t="shared" si="168"/>
        <v>64</v>
      </c>
      <c r="D584" s="58">
        <v>2011</v>
      </c>
      <c r="E584" s="17"/>
      <c r="F584" s="58">
        <v>0</v>
      </c>
      <c r="G584" s="16">
        <v>1995</v>
      </c>
      <c r="H584" s="15">
        <f>LOOKUP(G584,CPI!A$69:A$100,CPI!O$69:O$100)</f>
        <v>1.4308136482939633</v>
      </c>
      <c r="I584" s="52">
        <v>2015</v>
      </c>
      <c r="J584" s="15">
        <f t="shared" si="174"/>
        <v>5.8823529411764705E-2</v>
      </c>
      <c r="K584" s="44">
        <v>7.6923076923076927E-2</v>
      </c>
      <c r="L584" s="57">
        <f>(AA585/AA584)^(1/(I585-I584))-1</f>
        <v>2.2999999999999909E-2</v>
      </c>
      <c r="M584" s="56">
        <f>AA584*H584*(1+$L$2)^(2015-I584)</f>
        <v>64.958939632545935</v>
      </c>
      <c r="N584" s="14">
        <v>45.4</v>
      </c>
      <c r="O584" s="18">
        <f t="shared" si="176"/>
        <v>45.4</v>
      </c>
      <c r="P584" s="16">
        <v>0</v>
      </c>
      <c r="Q584" s="16">
        <v>1</v>
      </c>
      <c r="R584" s="16">
        <v>0</v>
      </c>
      <c r="S584" s="14"/>
      <c r="T584" s="56" t="str">
        <f t="shared" si="175"/>
        <v/>
      </c>
      <c r="U584" s="56" t="str">
        <f t="shared" si="177"/>
        <v/>
      </c>
      <c r="V584" s="56" t="str">
        <f t="shared" si="178"/>
        <v/>
      </c>
      <c r="W584" s="14"/>
      <c r="X584" s="14"/>
      <c r="Y584" s="14"/>
      <c r="Z584" s="14"/>
      <c r="AA584" s="18">
        <f t="shared" si="171"/>
        <v>45.4</v>
      </c>
      <c r="AB584" s="14"/>
      <c r="AC584" s="14"/>
      <c r="AD584" s="14"/>
      <c r="AE584" s="14"/>
      <c r="AF584" s="16">
        <v>0</v>
      </c>
      <c r="AG584" s="16">
        <v>1</v>
      </c>
      <c r="AH584" s="16">
        <v>1</v>
      </c>
      <c r="AI584" s="16">
        <v>1</v>
      </c>
      <c r="AJ584" s="5">
        <v>1</v>
      </c>
      <c r="AK584" s="5">
        <v>0</v>
      </c>
      <c r="AL584" s="5">
        <v>0</v>
      </c>
      <c r="AM584" s="20"/>
      <c r="AN584" s="20">
        <v>1</v>
      </c>
      <c r="AO584" s="14"/>
      <c r="AP584" s="16"/>
      <c r="AQ584" s="16"/>
      <c r="AR584" s="16">
        <v>0</v>
      </c>
      <c r="AS584" s="16">
        <v>0</v>
      </c>
      <c r="AT584" s="16"/>
      <c r="AU584" s="16"/>
      <c r="AV584" s="16"/>
      <c r="AW584" s="16"/>
      <c r="AX584" s="16">
        <v>0</v>
      </c>
      <c r="AY584" s="16">
        <v>0</v>
      </c>
      <c r="AZ584" s="16">
        <v>1</v>
      </c>
      <c r="BA584" s="16">
        <v>0</v>
      </c>
    </row>
    <row r="585" spans="1:53" s="36" customFormat="1" x14ac:dyDescent="0.2">
      <c r="A585" s="29"/>
      <c r="B585" s="14" t="str">
        <f t="shared" si="167"/>
        <v>Anthoff et al. 2011</v>
      </c>
      <c r="C585" s="61">
        <f t="shared" si="168"/>
        <v>64</v>
      </c>
      <c r="D585" s="58">
        <v>2011</v>
      </c>
      <c r="E585" s="17"/>
      <c r="F585" s="58">
        <v>0</v>
      </c>
      <c r="G585" s="16">
        <v>1995</v>
      </c>
      <c r="H585" s="15">
        <f>LOOKUP(G585,CPI!A$69:A$100,CPI!O$69:O$100)</f>
        <v>1.4308136482939633</v>
      </c>
      <c r="I585" s="5">
        <v>2100</v>
      </c>
      <c r="J585" s="43">
        <v>0</v>
      </c>
      <c r="K585" s="43"/>
      <c r="L585" s="57"/>
      <c r="M585" s="56"/>
      <c r="N585" s="3">
        <f>N584*(1.023)^85</f>
        <v>313.67847535259818</v>
      </c>
      <c r="O585" s="50">
        <f t="shared" si="176"/>
        <v>313.67847535259818</v>
      </c>
      <c r="P585" s="16">
        <v>0</v>
      </c>
      <c r="Q585" s="16">
        <v>1</v>
      </c>
      <c r="R585" s="16">
        <v>0</v>
      </c>
      <c r="S585" s="42"/>
      <c r="T585" s="56" t="str">
        <f t="shared" si="175"/>
        <v/>
      </c>
      <c r="U585" s="56" t="str">
        <f t="shared" si="177"/>
        <v/>
      </c>
      <c r="V585" s="56" t="str">
        <f t="shared" si="178"/>
        <v/>
      </c>
      <c r="W585" s="42"/>
      <c r="X585" s="42"/>
      <c r="Y585" s="42"/>
      <c r="Z585" s="42"/>
      <c r="AA585" s="37">
        <f t="shared" si="171"/>
        <v>313.67847535259818</v>
      </c>
      <c r="AB585" s="42"/>
      <c r="AC585" s="42"/>
      <c r="AD585" s="42"/>
      <c r="AE585" s="42"/>
      <c r="AF585" s="16">
        <v>0</v>
      </c>
      <c r="AG585" s="16">
        <v>1</v>
      </c>
      <c r="AH585" s="16">
        <v>1</v>
      </c>
      <c r="AI585" s="16">
        <v>1</v>
      </c>
      <c r="AJ585" s="5">
        <v>1</v>
      </c>
      <c r="AK585" s="5">
        <v>0</v>
      </c>
      <c r="AL585" s="5">
        <v>0</v>
      </c>
      <c r="AM585" s="20"/>
      <c r="AN585" s="20">
        <v>1</v>
      </c>
      <c r="AO585" s="14"/>
      <c r="AP585" s="16"/>
      <c r="AQ585" s="16"/>
      <c r="AR585" s="16">
        <v>0</v>
      </c>
      <c r="AS585" s="16">
        <v>0</v>
      </c>
      <c r="AT585" s="16"/>
      <c r="AU585" s="16"/>
      <c r="AV585" s="16"/>
      <c r="AW585" s="16"/>
      <c r="AX585" s="16">
        <v>0</v>
      </c>
      <c r="AY585" s="16">
        <v>0</v>
      </c>
      <c r="AZ585" s="16">
        <v>1</v>
      </c>
      <c r="BA585" s="16">
        <v>0</v>
      </c>
    </row>
    <row r="586" spans="1:53" x14ac:dyDescent="0.2">
      <c r="A586" s="14"/>
      <c r="B586" s="14" t="str">
        <f t="shared" ref="B586:B649" si="179">+IF(A586="",B585,A586&amp;" "&amp;D586)</f>
        <v>Anthoff et al. 2011</v>
      </c>
      <c r="C586" s="61">
        <f t="shared" ref="C586:C649" si="180">+IF(A586="",C585,C585+1)</f>
        <v>64</v>
      </c>
      <c r="D586" s="58">
        <v>2011</v>
      </c>
      <c r="E586" s="17"/>
      <c r="F586" s="58">
        <v>0</v>
      </c>
      <c r="G586" s="16">
        <v>1995</v>
      </c>
      <c r="H586" s="15">
        <f>LOOKUP(G586,CPI!A$69:A$100,CPI!O$69:O$100)</f>
        <v>1.4308136482939633</v>
      </c>
      <c r="I586" s="52">
        <v>2015</v>
      </c>
      <c r="J586" s="15">
        <f t="shared" si="174"/>
        <v>5.8823529411764705E-2</v>
      </c>
      <c r="K586" s="15"/>
      <c r="L586" s="62"/>
      <c r="M586" s="56">
        <f>AA586*H586*(1+$L$2)^(2015-I586)</f>
        <v>83.130272965879271</v>
      </c>
      <c r="N586" s="14">
        <v>58.1</v>
      </c>
      <c r="O586" s="18">
        <f t="shared" si="176"/>
        <v>58.1</v>
      </c>
      <c r="P586" s="16">
        <v>0</v>
      </c>
      <c r="Q586" s="16">
        <v>1</v>
      </c>
      <c r="R586" s="16">
        <v>0</v>
      </c>
      <c r="S586" s="14"/>
      <c r="T586" s="56" t="str">
        <f t="shared" si="175"/>
        <v/>
      </c>
      <c r="U586" s="56" t="str">
        <f t="shared" si="177"/>
        <v/>
      </c>
      <c r="V586" s="56" t="str">
        <f t="shared" si="178"/>
        <v/>
      </c>
      <c r="W586" s="14"/>
      <c r="X586" s="14"/>
      <c r="Y586" s="14"/>
      <c r="Z586" s="14"/>
      <c r="AA586" s="18">
        <f t="shared" si="171"/>
        <v>58.1</v>
      </c>
      <c r="AB586" s="14"/>
      <c r="AC586" s="14"/>
      <c r="AD586" s="14"/>
      <c r="AE586" s="14"/>
      <c r="AF586" s="16">
        <v>0</v>
      </c>
      <c r="AG586" s="16">
        <v>1</v>
      </c>
      <c r="AH586" s="16">
        <v>1</v>
      </c>
      <c r="AI586" s="16">
        <v>1</v>
      </c>
      <c r="AJ586" s="5">
        <v>1</v>
      </c>
      <c r="AK586" s="5">
        <v>0</v>
      </c>
      <c r="AL586" s="5">
        <v>0</v>
      </c>
      <c r="AM586" s="20"/>
      <c r="AN586" s="20">
        <v>0.1</v>
      </c>
      <c r="AO586" s="14"/>
      <c r="AP586" s="16"/>
      <c r="AQ586" s="16"/>
      <c r="AR586" s="16">
        <v>0</v>
      </c>
      <c r="AS586" s="16">
        <v>0</v>
      </c>
      <c r="AT586" s="16"/>
      <c r="AU586" s="16"/>
      <c r="AV586" s="16"/>
      <c r="AW586" s="16"/>
      <c r="AX586" s="16">
        <v>0</v>
      </c>
      <c r="AY586" s="16">
        <v>0</v>
      </c>
      <c r="AZ586" s="16">
        <v>1</v>
      </c>
      <c r="BA586" s="16">
        <v>0</v>
      </c>
    </row>
    <row r="587" spans="1:53" x14ac:dyDescent="0.2">
      <c r="A587" s="14"/>
      <c r="B587" s="14" t="str">
        <f t="shared" si="179"/>
        <v>Anthoff et al. 2011</v>
      </c>
      <c r="C587" s="61">
        <f t="shared" si="180"/>
        <v>64</v>
      </c>
      <c r="D587" s="58">
        <v>2011</v>
      </c>
      <c r="E587" s="17"/>
      <c r="F587" s="58">
        <v>0</v>
      </c>
      <c r="G587" s="16">
        <v>1995</v>
      </c>
      <c r="H587" s="15">
        <f>LOOKUP(G587,CPI!A$69:A$100,CPI!O$69:O$100)</f>
        <v>1.4308136482939633</v>
      </c>
      <c r="I587" s="52">
        <v>2015</v>
      </c>
      <c r="J587" s="15">
        <f t="shared" si="174"/>
        <v>5.8823529411764705E-2</v>
      </c>
      <c r="K587" s="15"/>
      <c r="L587" s="62"/>
      <c r="M587" s="56">
        <f>AA587*H587*(1+$L$2)^(2015-I587)</f>
        <v>2689.929658792651</v>
      </c>
      <c r="N587" s="14">
        <v>1880</v>
      </c>
      <c r="O587" s="18">
        <f t="shared" si="176"/>
        <v>1880</v>
      </c>
      <c r="P587" s="16">
        <v>0</v>
      </c>
      <c r="Q587" s="16">
        <v>1</v>
      </c>
      <c r="R587" s="16">
        <v>0</v>
      </c>
      <c r="S587" s="14"/>
      <c r="T587" s="56" t="str">
        <f t="shared" si="175"/>
        <v/>
      </c>
      <c r="U587" s="56" t="str">
        <f t="shared" si="177"/>
        <v/>
      </c>
      <c r="V587" s="56" t="str">
        <f t="shared" si="178"/>
        <v/>
      </c>
      <c r="W587" s="14"/>
      <c r="X587" s="14"/>
      <c r="Y587" s="14"/>
      <c r="Z587" s="14"/>
      <c r="AA587" s="18">
        <f t="shared" si="171"/>
        <v>1880</v>
      </c>
      <c r="AB587" s="14"/>
      <c r="AC587" s="14"/>
      <c r="AD587" s="14"/>
      <c r="AE587" s="14"/>
      <c r="AF587" s="16">
        <v>0</v>
      </c>
      <c r="AG587" s="16">
        <v>1</v>
      </c>
      <c r="AH587" s="16">
        <v>1</v>
      </c>
      <c r="AI587" s="16">
        <v>1</v>
      </c>
      <c r="AJ587" s="5">
        <v>1</v>
      </c>
      <c r="AK587" s="5">
        <v>0</v>
      </c>
      <c r="AL587" s="5">
        <v>0</v>
      </c>
      <c r="AM587" s="20"/>
      <c r="AN587" s="20">
        <v>0.1</v>
      </c>
      <c r="AO587" s="14"/>
      <c r="AP587" s="16"/>
      <c r="AQ587" s="16"/>
      <c r="AR587" s="16">
        <v>0</v>
      </c>
      <c r="AS587" s="16">
        <v>0</v>
      </c>
      <c r="AT587" s="16"/>
      <c r="AU587" s="16"/>
      <c r="AV587" s="16"/>
      <c r="AW587" s="16"/>
      <c r="AX587" s="16">
        <v>0</v>
      </c>
      <c r="AY587" s="16">
        <v>0</v>
      </c>
      <c r="AZ587" s="16">
        <v>1</v>
      </c>
      <c r="BA587" s="16">
        <v>0</v>
      </c>
    </row>
    <row r="588" spans="1:53" x14ac:dyDescent="0.2">
      <c r="A588" s="14"/>
      <c r="B588" s="14" t="str">
        <f t="shared" si="179"/>
        <v>Anthoff et al. 2011</v>
      </c>
      <c r="C588" s="61">
        <f t="shared" si="180"/>
        <v>64</v>
      </c>
      <c r="D588" s="58">
        <v>2011</v>
      </c>
      <c r="E588" s="17"/>
      <c r="F588" s="58">
        <v>0</v>
      </c>
      <c r="G588" s="16">
        <v>1995</v>
      </c>
      <c r="H588" s="15">
        <f>LOOKUP(G588,CPI!A$69:A$100,CPI!O$69:O$100)</f>
        <v>1.4308136482939633</v>
      </c>
      <c r="I588" s="52">
        <v>2015</v>
      </c>
      <c r="J588" s="15">
        <f t="shared" ref="J588:J595" si="181">1/34</f>
        <v>2.9411764705882353E-2</v>
      </c>
      <c r="K588" s="15"/>
      <c r="L588" s="62"/>
      <c r="M588" s="56">
        <f>AA588*H588*(1+$L$2)^(2015-I588)</f>
        <v>1.0130160629921259</v>
      </c>
      <c r="N588" s="14">
        <v>0.70799999999999996</v>
      </c>
      <c r="O588" s="18">
        <f t="shared" si="176"/>
        <v>0.70799999999999996</v>
      </c>
      <c r="P588" s="16">
        <v>0</v>
      </c>
      <c r="Q588" s="16">
        <v>1</v>
      </c>
      <c r="R588" s="16">
        <v>0</v>
      </c>
      <c r="S588" s="14"/>
      <c r="T588" s="56" t="str">
        <f t="shared" si="175"/>
        <v/>
      </c>
      <c r="U588" s="56" t="str">
        <f t="shared" si="177"/>
        <v/>
      </c>
      <c r="V588" s="56" t="str">
        <f t="shared" si="178"/>
        <v/>
      </c>
      <c r="W588" s="14"/>
      <c r="X588" s="14"/>
      <c r="Y588" s="14"/>
      <c r="Z588" s="14"/>
      <c r="AA588" s="18">
        <f t="shared" si="171"/>
        <v>0.70799999999999996</v>
      </c>
      <c r="AB588" s="14"/>
      <c r="AC588" s="14"/>
      <c r="AD588" s="14"/>
      <c r="AE588" s="14"/>
      <c r="AF588" s="16">
        <v>0</v>
      </c>
      <c r="AG588" s="16">
        <v>1</v>
      </c>
      <c r="AH588" s="16">
        <v>1</v>
      </c>
      <c r="AI588" s="16">
        <v>1</v>
      </c>
      <c r="AJ588" s="5">
        <v>1</v>
      </c>
      <c r="AK588" s="5">
        <v>0</v>
      </c>
      <c r="AL588" s="5">
        <v>0</v>
      </c>
      <c r="AM588" s="20"/>
      <c r="AN588" s="20">
        <v>3</v>
      </c>
      <c r="AO588" s="14"/>
      <c r="AP588" s="16"/>
      <c r="AQ588" s="16"/>
      <c r="AR588" s="16">
        <v>0</v>
      </c>
      <c r="AS588" s="16">
        <v>0</v>
      </c>
      <c r="AT588" s="16"/>
      <c r="AU588" s="16"/>
      <c r="AV588" s="16"/>
      <c r="AW588" s="16"/>
      <c r="AX588" s="16">
        <v>0</v>
      </c>
      <c r="AY588" s="16">
        <v>0</v>
      </c>
      <c r="AZ588" s="16">
        <v>1</v>
      </c>
      <c r="BA588" s="16">
        <v>0</v>
      </c>
    </row>
    <row r="589" spans="1:53" x14ac:dyDescent="0.2">
      <c r="A589" s="14"/>
      <c r="B589" s="14" t="str">
        <f t="shared" si="179"/>
        <v>Anthoff et al. 2011</v>
      </c>
      <c r="C589" s="61">
        <f t="shared" si="180"/>
        <v>64</v>
      </c>
      <c r="D589" s="58">
        <v>2011</v>
      </c>
      <c r="E589" s="17"/>
      <c r="F589" s="58">
        <v>0</v>
      </c>
      <c r="G589" s="16">
        <v>1995</v>
      </c>
      <c r="H589" s="15">
        <f>LOOKUP(G589,CPI!A$69:A$100,CPI!O$69:O$100)</f>
        <v>1.4308136482939633</v>
      </c>
      <c r="I589" s="52">
        <v>2015</v>
      </c>
      <c r="J589" s="15">
        <f t="shared" si="181"/>
        <v>2.9411764705882353E-2</v>
      </c>
      <c r="K589" s="15"/>
      <c r="L589" s="62"/>
      <c r="M589" s="56">
        <f>AA589*H589*(1+$L$2)^(2015-I589)</f>
        <v>4.1779758530183724</v>
      </c>
      <c r="N589" s="14">
        <v>2.92</v>
      </c>
      <c r="O589" s="18">
        <f t="shared" si="176"/>
        <v>2.92</v>
      </c>
      <c r="P589" s="16">
        <v>0</v>
      </c>
      <c r="Q589" s="16">
        <v>1</v>
      </c>
      <c r="R589" s="16">
        <v>0</v>
      </c>
      <c r="S589" s="14"/>
      <c r="T589" s="56" t="str">
        <f t="shared" si="175"/>
        <v/>
      </c>
      <c r="U589" s="56" t="str">
        <f t="shared" si="177"/>
        <v/>
      </c>
      <c r="V589" s="56" t="str">
        <f t="shared" si="178"/>
        <v/>
      </c>
      <c r="W589" s="14"/>
      <c r="X589" s="14"/>
      <c r="Y589" s="14"/>
      <c r="Z589" s="14"/>
      <c r="AA589" s="18">
        <f t="shared" si="171"/>
        <v>2.92</v>
      </c>
      <c r="AB589" s="14"/>
      <c r="AC589" s="14"/>
      <c r="AD589" s="14"/>
      <c r="AE589" s="14"/>
      <c r="AF589" s="16">
        <v>0</v>
      </c>
      <c r="AG589" s="16">
        <v>1</v>
      </c>
      <c r="AH589" s="16">
        <v>1</v>
      </c>
      <c r="AI589" s="16">
        <v>1</v>
      </c>
      <c r="AJ589" s="5">
        <v>1</v>
      </c>
      <c r="AK589" s="5">
        <v>0</v>
      </c>
      <c r="AL589" s="5">
        <v>0</v>
      </c>
      <c r="AM589" s="20"/>
      <c r="AN589" s="20">
        <v>3</v>
      </c>
      <c r="AO589" s="14"/>
      <c r="AP589" s="16"/>
      <c r="AQ589" s="16"/>
      <c r="AR589" s="16">
        <v>0</v>
      </c>
      <c r="AS589" s="16">
        <v>0</v>
      </c>
      <c r="AT589" s="16"/>
      <c r="AU589" s="16"/>
      <c r="AV589" s="16"/>
      <c r="AW589" s="16"/>
      <c r="AX589" s="16">
        <v>0</v>
      </c>
      <c r="AY589" s="16">
        <v>0</v>
      </c>
      <c r="AZ589" s="16">
        <v>1</v>
      </c>
      <c r="BA589" s="16">
        <v>0</v>
      </c>
    </row>
    <row r="590" spans="1:53" x14ac:dyDescent="0.2">
      <c r="A590" s="14"/>
      <c r="B590" s="14" t="str">
        <f t="shared" si="179"/>
        <v>Anthoff et al. 2011</v>
      </c>
      <c r="C590" s="61">
        <f t="shared" si="180"/>
        <v>64</v>
      </c>
      <c r="D590" s="58">
        <v>2011</v>
      </c>
      <c r="E590" s="17"/>
      <c r="F590" s="58">
        <v>0</v>
      </c>
      <c r="G590" s="16">
        <v>1995</v>
      </c>
      <c r="H590" s="15">
        <f>LOOKUP(G590,CPI!A$69:A$100,CPI!O$69:O$100)</f>
        <v>1.4308136482939633</v>
      </c>
      <c r="I590" s="52">
        <v>2015</v>
      </c>
      <c r="J590" s="15">
        <f t="shared" si="181"/>
        <v>2.9411764705882353E-2</v>
      </c>
      <c r="K590" s="44">
        <v>7.6923076923076927E-2</v>
      </c>
      <c r="L590" s="57">
        <f>(AA591/AA590)^(1/(I591-I590))-1</f>
        <v>2.4999999999999911E-2</v>
      </c>
      <c r="M590" s="56">
        <f>AA590*H590*(1+$L$2)^(2015-I590)</f>
        <v>16.454356955380579</v>
      </c>
      <c r="N590" s="14">
        <v>11.5</v>
      </c>
      <c r="O590" s="18">
        <f t="shared" si="176"/>
        <v>11.5</v>
      </c>
      <c r="P590" s="16">
        <v>0</v>
      </c>
      <c r="Q590" s="16">
        <v>1</v>
      </c>
      <c r="R590" s="16">
        <v>0</v>
      </c>
      <c r="S590" s="14"/>
      <c r="T590" s="56" t="str">
        <f t="shared" si="175"/>
        <v/>
      </c>
      <c r="U590" s="56" t="str">
        <f t="shared" si="177"/>
        <v/>
      </c>
      <c r="V590" s="56" t="str">
        <f t="shared" si="178"/>
        <v/>
      </c>
      <c r="W590" s="14"/>
      <c r="X590" s="14"/>
      <c r="Y590" s="14"/>
      <c r="Z590" s="14"/>
      <c r="AA590" s="18">
        <f t="shared" si="171"/>
        <v>11.5</v>
      </c>
      <c r="AB590" s="14"/>
      <c r="AC590" s="14"/>
      <c r="AD590" s="14"/>
      <c r="AE590" s="14"/>
      <c r="AF590" s="16">
        <v>0</v>
      </c>
      <c r="AG590" s="16">
        <v>1</v>
      </c>
      <c r="AH590" s="16">
        <v>1</v>
      </c>
      <c r="AI590" s="16">
        <v>1</v>
      </c>
      <c r="AJ590" s="5">
        <v>1</v>
      </c>
      <c r="AK590" s="5">
        <v>0</v>
      </c>
      <c r="AL590" s="5">
        <v>0</v>
      </c>
      <c r="AM590" s="20"/>
      <c r="AN590" s="20">
        <v>1</v>
      </c>
      <c r="AO590" s="14"/>
      <c r="AP590" s="16"/>
      <c r="AQ590" s="16"/>
      <c r="AR590" s="16">
        <v>0</v>
      </c>
      <c r="AS590" s="16">
        <v>0</v>
      </c>
      <c r="AT590" s="16"/>
      <c r="AU590" s="16"/>
      <c r="AV590" s="16"/>
      <c r="AW590" s="16"/>
      <c r="AX590" s="16">
        <v>0</v>
      </c>
      <c r="AY590" s="16">
        <v>0</v>
      </c>
      <c r="AZ590" s="16">
        <v>1</v>
      </c>
      <c r="BA590" s="16">
        <v>0</v>
      </c>
    </row>
    <row r="591" spans="1:53" s="36" customFormat="1" x14ac:dyDescent="0.2">
      <c r="A591" s="29"/>
      <c r="B591" s="14" t="str">
        <f t="shared" si="179"/>
        <v>Anthoff et al. 2011</v>
      </c>
      <c r="C591" s="61">
        <f t="shared" si="180"/>
        <v>64</v>
      </c>
      <c r="D591" s="58">
        <v>2011</v>
      </c>
      <c r="E591" s="17"/>
      <c r="F591" s="58">
        <v>0</v>
      </c>
      <c r="G591" s="16">
        <v>1995</v>
      </c>
      <c r="H591" s="15">
        <f>LOOKUP(G591,CPI!A$69:A$100,CPI!O$69:O$100)</f>
        <v>1.4308136482939633</v>
      </c>
      <c r="I591" s="5">
        <v>2100</v>
      </c>
      <c r="J591" s="43">
        <v>0</v>
      </c>
      <c r="K591" s="43"/>
      <c r="L591" s="57"/>
      <c r="M591" s="56"/>
      <c r="N591" s="3">
        <f>N590*(1.025)^85</f>
        <v>93.80508874475035</v>
      </c>
      <c r="O591" s="50">
        <f t="shared" si="176"/>
        <v>93.80508874475035</v>
      </c>
      <c r="P591" s="16">
        <v>0</v>
      </c>
      <c r="Q591" s="16">
        <v>1</v>
      </c>
      <c r="R591" s="16">
        <v>0</v>
      </c>
      <c r="S591" s="42"/>
      <c r="T591" s="56" t="str">
        <f t="shared" si="175"/>
        <v/>
      </c>
      <c r="U591" s="56" t="str">
        <f t="shared" si="177"/>
        <v/>
      </c>
      <c r="V591" s="56" t="str">
        <f t="shared" si="178"/>
        <v/>
      </c>
      <c r="W591" s="42"/>
      <c r="X591" s="42"/>
      <c r="Y591" s="42"/>
      <c r="Z591" s="42"/>
      <c r="AA591" s="37">
        <f t="shared" si="171"/>
        <v>93.80508874475035</v>
      </c>
      <c r="AB591" s="42"/>
      <c r="AC591" s="42"/>
      <c r="AD591" s="42"/>
      <c r="AE591" s="42"/>
      <c r="AF591" s="16">
        <v>0</v>
      </c>
      <c r="AG591" s="16">
        <v>1</v>
      </c>
      <c r="AH591" s="16">
        <v>1</v>
      </c>
      <c r="AI591" s="16">
        <v>1</v>
      </c>
      <c r="AJ591" s="5">
        <v>1</v>
      </c>
      <c r="AK591" s="5">
        <v>0</v>
      </c>
      <c r="AL591" s="5">
        <v>0</v>
      </c>
      <c r="AM591" s="20"/>
      <c r="AN591" s="20">
        <v>1</v>
      </c>
      <c r="AO591" s="14"/>
      <c r="AP591" s="16"/>
      <c r="AQ591" s="16"/>
      <c r="AR591" s="16">
        <v>0</v>
      </c>
      <c r="AS591" s="16">
        <v>0</v>
      </c>
      <c r="AT591" s="16"/>
      <c r="AU591" s="16"/>
      <c r="AV591" s="16"/>
      <c r="AW591" s="16"/>
      <c r="AX591" s="16">
        <v>0</v>
      </c>
      <c r="AY591" s="16">
        <v>0</v>
      </c>
      <c r="AZ591" s="16">
        <v>1</v>
      </c>
      <c r="BA591" s="16">
        <v>0</v>
      </c>
    </row>
    <row r="592" spans="1:53" x14ac:dyDescent="0.2">
      <c r="A592" s="14"/>
      <c r="B592" s="14" t="str">
        <f t="shared" si="179"/>
        <v>Anthoff et al. 2011</v>
      </c>
      <c r="C592" s="61">
        <f t="shared" si="180"/>
        <v>64</v>
      </c>
      <c r="D592" s="58">
        <v>2011</v>
      </c>
      <c r="E592" s="17"/>
      <c r="F592" s="58">
        <v>0</v>
      </c>
      <c r="G592" s="16">
        <v>1995</v>
      </c>
      <c r="H592" s="15">
        <f>LOOKUP(G592,CPI!A$69:A$100,CPI!O$69:O$100)</f>
        <v>1.4308136482939633</v>
      </c>
      <c r="I592" s="52">
        <v>2015</v>
      </c>
      <c r="J592" s="15">
        <f t="shared" si="181"/>
        <v>2.9411764705882353E-2</v>
      </c>
      <c r="K592" s="44">
        <v>7.6923076923076927E-2</v>
      </c>
      <c r="L592" s="57">
        <f>(AA593/AA592)^(1/(I593-I592))-1</f>
        <v>2.4999999999999911E-2</v>
      </c>
      <c r="M592" s="56">
        <f>AA592*H592*(1+$L$2)^(2015-I592)</f>
        <v>92.287480314960632</v>
      </c>
      <c r="N592" s="14">
        <v>64.5</v>
      </c>
      <c r="O592" s="18">
        <f t="shared" si="176"/>
        <v>64.5</v>
      </c>
      <c r="P592" s="16">
        <v>0</v>
      </c>
      <c r="Q592" s="16">
        <v>1</v>
      </c>
      <c r="R592" s="16">
        <v>0</v>
      </c>
      <c r="S592" s="14"/>
      <c r="T592" s="56" t="str">
        <f t="shared" si="175"/>
        <v/>
      </c>
      <c r="U592" s="56" t="str">
        <f t="shared" si="177"/>
        <v/>
      </c>
      <c r="V592" s="56" t="str">
        <f t="shared" si="178"/>
        <v/>
      </c>
      <c r="W592" s="14"/>
      <c r="X592" s="14"/>
      <c r="Y592" s="14"/>
      <c r="Z592" s="14"/>
      <c r="AA592" s="18">
        <f t="shared" si="171"/>
        <v>64.5</v>
      </c>
      <c r="AB592" s="14"/>
      <c r="AC592" s="14"/>
      <c r="AD592" s="14"/>
      <c r="AE592" s="14"/>
      <c r="AF592" s="16">
        <v>0</v>
      </c>
      <c r="AG592" s="16">
        <v>1</v>
      </c>
      <c r="AH592" s="16">
        <v>1</v>
      </c>
      <c r="AI592" s="16">
        <v>1</v>
      </c>
      <c r="AJ592" s="5">
        <v>1</v>
      </c>
      <c r="AK592" s="5">
        <v>0</v>
      </c>
      <c r="AL592" s="5">
        <v>0</v>
      </c>
      <c r="AM592" s="20"/>
      <c r="AN592" s="20">
        <v>1</v>
      </c>
      <c r="AO592" s="14"/>
      <c r="AP592" s="16"/>
      <c r="AQ592" s="16"/>
      <c r="AR592" s="16">
        <v>0</v>
      </c>
      <c r="AS592" s="16">
        <v>0</v>
      </c>
      <c r="AT592" s="16"/>
      <c r="AU592" s="16"/>
      <c r="AV592" s="16"/>
      <c r="AW592" s="16"/>
      <c r="AX592" s="16">
        <v>0</v>
      </c>
      <c r="AY592" s="16">
        <v>0</v>
      </c>
      <c r="AZ592" s="16">
        <v>1</v>
      </c>
      <c r="BA592" s="16">
        <v>0</v>
      </c>
    </row>
    <row r="593" spans="1:53" s="36" customFormat="1" x14ac:dyDescent="0.2">
      <c r="A593" s="29"/>
      <c r="B593" s="14" t="str">
        <f t="shared" si="179"/>
        <v>Anthoff et al. 2011</v>
      </c>
      <c r="C593" s="61">
        <f t="shared" si="180"/>
        <v>64</v>
      </c>
      <c r="D593" s="58">
        <v>2011</v>
      </c>
      <c r="E593" s="17"/>
      <c r="F593" s="58">
        <v>0</v>
      </c>
      <c r="G593" s="16">
        <v>1995</v>
      </c>
      <c r="H593" s="15">
        <f>LOOKUP(G593,CPI!A$69:A$100,CPI!O$69:O$100)</f>
        <v>1.4308136482939633</v>
      </c>
      <c r="I593" s="5">
        <v>2100</v>
      </c>
      <c r="J593" s="43">
        <v>0</v>
      </c>
      <c r="K593" s="43"/>
      <c r="L593" s="57"/>
      <c r="M593" s="56"/>
      <c r="N593" s="3">
        <f>N592*(1.025)^85</f>
        <v>526.12419339446933</v>
      </c>
      <c r="O593" s="50">
        <f t="shared" si="176"/>
        <v>526.12419339446933</v>
      </c>
      <c r="P593" s="16">
        <v>0</v>
      </c>
      <c r="Q593" s="16">
        <v>1</v>
      </c>
      <c r="R593" s="16">
        <v>0</v>
      </c>
      <c r="S593" s="42"/>
      <c r="T593" s="56" t="str">
        <f t="shared" si="175"/>
        <v/>
      </c>
      <c r="U593" s="56" t="str">
        <f t="shared" si="177"/>
        <v/>
      </c>
      <c r="V593" s="56" t="str">
        <f t="shared" si="178"/>
        <v/>
      </c>
      <c r="W593" s="42"/>
      <c r="X593" s="42"/>
      <c r="Y593" s="42"/>
      <c r="Z593" s="42"/>
      <c r="AA593" s="37">
        <f t="shared" si="171"/>
        <v>526.12419339446933</v>
      </c>
      <c r="AB593" s="42"/>
      <c r="AC593" s="42"/>
      <c r="AD593" s="42"/>
      <c r="AE593" s="42"/>
      <c r="AF593" s="16">
        <v>0</v>
      </c>
      <c r="AG593" s="16">
        <v>1</v>
      </c>
      <c r="AH593" s="16">
        <v>1</v>
      </c>
      <c r="AI593" s="16">
        <v>1</v>
      </c>
      <c r="AJ593" s="5">
        <v>1</v>
      </c>
      <c r="AK593" s="5">
        <v>0</v>
      </c>
      <c r="AL593" s="5">
        <v>0</v>
      </c>
      <c r="AM593" s="20"/>
      <c r="AN593" s="20">
        <v>1</v>
      </c>
      <c r="AO593" s="14"/>
      <c r="AP593" s="16"/>
      <c r="AQ593" s="16"/>
      <c r="AR593" s="16">
        <v>0</v>
      </c>
      <c r="AS593" s="16">
        <v>0</v>
      </c>
      <c r="AT593" s="16"/>
      <c r="AU593" s="16"/>
      <c r="AV593" s="16"/>
      <c r="AW593" s="16"/>
      <c r="AX593" s="16">
        <v>0</v>
      </c>
      <c r="AY593" s="16">
        <v>0</v>
      </c>
      <c r="AZ593" s="16">
        <v>1</v>
      </c>
      <c r="BA593" s="16">
        <v>0</v>
      </c>
    </row>
    <row r="594" spans="1:53" x14ac:dyDescent="0.2">
      <c r="A594" s="14"/>
      <c r="B594" s="14" t="str">
        <f t="shared" si="179"/>
        <v>Anthoff et al. 2011</v>
      </c>
      <c r="C594" s="61">
        <f t="shared" si="180"/>
        <v>64</v>
      </c>
      <c r="D594" s="58">
        <v>2011</v>
      </c>
      <c r="E594" s="17"/>
      <c r="F594" s="58">
        <v>0</v>
      </c>
      <c r="G594" s="16">
        <v>1995</v>
      </c>
      <c r="H594" s="15">
        <f>LOOKUP(G594,CPI!A$69:A$100,CPI!O$69:O$100)</f>
        <v>1.4308136482939633</v>
      </c>
      <c r="I594" s="52">
        <v>2015</v>
      </c>
      <c r="J594" s="15">
        <f t="shared" si="181"/>
        <v>2.9411764705882353E-2</v>
      </c>
      <c r="K594" s="15"/>
      <c r="L594" s="62"/>
      <c r="M594" s="56">
        <f>AA594*H594*(1+$L$2)^(2015-I594)</f>
        <v>75.546960629921259</v>
      </c>
      <c r="N594" s="14">
        <v>52.8</v>
      </c>
      <c r="O594" s="18">
        <f t="shared" si="176"/>
        <v>52.8</v>
      </c>
      <c r="P594" s="16">
        <v>0</v>
      </c>
      <c r="Q594" s="16">
        <v>1</v>
      </c>
      <c r="R594" s="16">
        <v>0</v>
      </c>
      <c r="S594" s="14"/>
      <c r="T594" s="56" t="str">
        <f t="shared" si="175"/>
        <v/>
      </c>
      <c r="U594" s="56" t="str">
        <f t="shared" si="177"/>
        <v/>
      </c>
      <c r="V594" s="56" t="str">
        <f t="shared" si="178"/>
        <v/>
      </c>
      <c r="W594" s="14"/>
      <c r="X594" s="14"/>
      <c r="Y594" s="14"/>
      <c r="Z594" s="14"/>
      <c r="AA594" s="18">
        <f t="shared" si="171"/>
        <v>52.8</v>
      </c>
      <c r="AB594" s="14"/>
      <c r="AC594" s="14"/>
      <c r="AD594" s="14"/>
      <c r="AE594" s="14"/>
      <c r="AF594" s="16">
        <v>0</v>
      </c>
      <c r="AG594" s="16">
        <v>1</v>
      </c>
      <c r="AH594" s="16">
        <v>1</v>
      </c>
      <c r="AI594" s="16">
        <v>1</v>
      </c>
      <c r="AJ594" s="5">
        <v>1</v>
      </c>
      <c r="AK594" s="5">
        <v>0</v>
      </c>
      <c r="AL594" s="5">
        <v>0</v>
      </c>
      <c r="AM594" s="20"/>
      <c r="AN594" s="20">
        <v>0.1</v>
      </c>
      <c r="AO594" s="14"/>
      <c r="AP594" s="16"/>
      <c r="AQ594" s="16"/>
      <c r="AR594" s="16">
        <v>0</v>
      </c>
      <c r="AS594" s="16">
        <v>0</v>
      </c>
      <c r="AT594" s="16"/>
      <c r="AU594" s="16"/>
      <c r="AV594" s="16"/>
      <c r="AW594" s="16"/>
      <c r="AX594" s="16">
        <v>0</v>
      </c>
      <c r="AY594" s="16">
        <v>0</v>
      </c>
      <c r="AZ594" s="16">
        <v>1</v>
      </c>
      <c r="BA594" s="16">
        <v>0</v>
      </c>
    </row>
    <row r="595" spans="1:53" x14ac:dyDescent="0.2">
      <c r="A595" s="14"/>
      <c r="B595" s="14" t="str">
        <f t="shared" si="179"/>
        <v>Anthoff et al. 2011</v>
      </c>
      <c r="C595" s="61">
        <f t="shared" si="180"/>
        <v>64</v>
      </c>
      <c r="D595" s="58">
        <v>2011</v>
      </c>
      <c r="E595" s="17"/>
      <c r="F595" s="58">
        <v>0</v>
      </c>
      <c r="G595" s="16">
        <v>1995</v>
      </c>
      <c r="H595" s="15">
        <f>LOOKUP(G595,CPI!A$69:A$100,CPI!O$69:O$100)</f>
        <v>1.4308136482939633</v>
      </c>
      <c r="I595" s="52">
        <v>2015</v>
      </c>
      <c r="J595" s="15">
        <f t="shared" si="181"/>
        <v>2.9411764705882353E-2</v>
      </c>
      <c r="K595" s="15"/>
      <c r="L595" s="62"/>
      <c r="M595" s="56">
        <f>AA595*H595*(1+$L$2)^(2015-I595)</f>
        <v>2160.5286089238843</v>
      </c>
      <c r="N595" s="14">
        <v>1510</v>
      </c>
      <c r="O595" s="18">
        <f t="shared" si="176"/>
        <v>1510</v>
      </c>
      <c r="P595" s="16">
        <v>0</v>
      </c>
      <c r="Q595" s="16">
        <v>1</v>
      </c>
      <c r="R595" s="16">
        <v>0</v>
      </c>
      <c r="S595" s="14"/>
      <c r="T595" s="56" t="str">
        <f t="shared" si="175"/>
        <v/>
      </c>
      <c r="U595" s="56" t="str">
        <f t="shared" si="177"/>
        <v/>
      </c>
      <c r="V595" s="56" t="str">
        <f t="shared" si="178"/>
        <v/>
      </c>
      <c r="W595" s="14"/>
      <c r="X595" s="14"/>
      <c r="Y595" s="14"/>
      <c r="Z595" s="14"/>
      <c r="AA595" s="18">
        <f t="shared" si="171"/>
        <v>1510</v>
      </c>
      <c r="AB595" s="14"/>
      <c r="AC595" s="14"/>
      <c r="AD595" s="14"/>
      <c r="AE595" s="14"/>
      <c r="AF595" s="16">
        <v>0</v>
      </c>
      <c r="AG595" s="16">
        <v>1</v>
      </c>
      <c r="AH595" s="16">
        <v>1</v>
      </c>
      <c r="AI595" s="16">
        <v>1</v>
      </c>
      <c r="AJ595" s="5">
        <v>1</v>
      </c>
      <c r="AK595" s="5">
        <v>0</v>
      </c>
      <c r="AL595" s="5">
        <v>0</v>
      </c>
      <c r="AM595" s="20"/>
      <c r="AN595" s="20">
        <v>0.1</v>
      </c>
      <c r="AO595" s="14"/>
      <c r="AP595" s="16"/>
      <c r="AQ595" s="16"/>
      <c r="AR595" s="16">
        <v>0</v>
      </c>
      <c r="AS595" s="16">
        <v>0</v>
      </c>
      <c r="AT595" s="16"/>
      <c r="AU595" s="16"/>
      <c r="AV595" s="16"/>
      <c r="AW595" s="16"/>
      <c r="AX595" s="16">
        <v>0</v>
      </c>
      <c r="AY595" s="16">
        <v>0</v>
      </c>
      <c r="AZ595" s="16">
        <v>1</v>
      </c>
      <c r="BA595" s="16">
        <v>0</v>
      </c>
    </row>
    <row r="596" spans="1:53" x14ac:dyDescent="0.2">
      <c r="A596" s="14"/>
      <c r="B596" s="14" t="str">
        <f t="shared" si="179"/>
        <v>Anthoff et al. 2011</v>
      </c>
      <c r="C596" s="61">
        <f t="shared" si="180"/>
        <v>64</v>
      </c>
      <c r="D596" s="58">
        <v>2011</v>
      </c>
      <c r="E596" s="17"/>
      <c r="F596" s="58">
        <v>0</v>
      </c>
      <c r="G596" s="16">
        <v>1995</v>
      </c>
      <c r="H596" s="15">
        <f>LOOKUP(G596,CPI!A$69:A$100,CPI!O$69:O$100)</f>
        <v>1.4308136482939633</v>
      </c>
      <c r="I596" s="52">
        <v>2015</v>
      </c>
      <c r="J596" s="15">
        <f t="shared" si="174"/>
        <v>5.8823529411764705E-2</v>
      </c>
      <c r="K596" s="44">
        <v>7.6923076923076927E-2</v>
      </c>
      <c r="L596" s="57">
        <f>(AA597/AA596)^(1/(I597-I596))-1</f>
        <v>1.2999999999999901E-2</v>
      </c>
      <c r="M596" s="56">
        <f>AA596*H596*(1+$L$2)^(2015-I596)</f>
        <v>130.91944881889765</v>
      </c>
      <c r="N596" s="14">
        <v>91.5</v>
      </c>
      <c r="O596" s="18">
        <f t="shared" si="176"/>
        <v>91.5</v>
      </c>
      <c r="P596" s="16">
        <v>0</v>
      </c>
      <c r="Q596" s="16">
        <v>1</v>
      </c>
      <c r="R596" s="16">
        <v>0</v>
      </c>
      <c r="S596" s="14"/>
      <c r="T596" s="56" t="str">
        <f t="shared" si="175"/>
        <v/>
      </c>
      <c r="U596" s="56" t="str">
        <f t="shared" si="177"/>
        <v/>
      </c>
      <c r="V596" s="56" t="str">
        <f t="shared" si="178"/>
        <v/>
      </c>
      <c r="W596" s="14"/>
      <c r="X596" s="14"/>
      <c r="Y596" s="14"/>
      <c r="Z596" s="14"/>
      <c r="AA596" s="18">
        <f t="shared" si="171"/>
        <v>91.5</v>
      </c>
      <c r="AB596" s="14"/>
      <c r="AC596" s="14"/>
      <c r="AD596" s="14"/>
      <c r="AE596" s="14"/>
      <c r="AF596" s="16">
        <v>0</v>
      </c>
      <c r="AG596" s="16">
        <v>1</v>
      </c>
      <c r="AH596" s="16">
        <v>1</v>
      </c>
      <c r="AI596" s="16">
        <v>1</v>
      </c>
      <c r="AJ596" s="5">
        <v>1</v>
      </c>
      <c r="AK596" s="5">
        <v>0</v>
      </c>
      <c r="AL596" s="5">
        <v>0</v>
      </c>
      <c r="AM596" s="20"/>
      <c r="AN596" s="20">
        <v>1</v>
      </c>
      <c r="AO596" s="14"/>
      <c r="AP596" s="16"/>
      <c r="AQ596" s="16"/>
      <c r="AR596" s="16">
        <v>1</v>
      </c>
      <c r="AS596" s="16">
        <v>1</v>
      </c>
      <c r="AT596" s="16"/>
      <c r="AU596" s="16"/>
      <c r="AV596" s="16"/>
      <c r="AW596" s="16"/>
      <c r="AX596" s="16">
        <v>0</v>
      </c>
      <c r="AY596" s="16">
        <v>0</v>
      </c>
      <c r="AZ596" s="16">
        <v>1</v>
      </c>
      <c r="BA596" s="16">
        <v>0</v>
      </c>
    </row>
    <row r="597" spans="1:53" s="36" customFormat="1" x14ac:dyDescent="0.2">
      <c r="A597" s="29"/>
      <c r="B597" s="14" t="str">
        <f t="shared" si="179"/>
        <v>Anthoff et al. 2011</v>
      </c>
      <c r="C597" s="61">
        <f t="shared" si="180"/>
        <v>64</v>
      </c>
      <c r="D597" s="58">
        <v>2011</v>
      </c>
      <c r="E597" s="17"/>
      <c r="F597" s="58">
        <v>0</v>
      </c>
      <c r="G597" s="16">
        <v>1995</v>
      </c>
      <c r="H597" s="15">
        <f>LOOKUP(G597,CPI!A$69:A$100,CPI!O$69:O$100)</f>
        <v>1.4308136482939633</v>
      </c>
      <c r="I597" s="5">
        <v>2100</v>
      </c>
      <c r="J597" s="43">
        <v>0</v>
      </c>
      <c r="K597" s="43"/>
      <c r="L597" s="57"/>
      <c r="M597" s="56"/>
      <c r="N597" s="3">
        <f>N596*(1.013)^85</f>
        <v>274.29882654556098</v>
      </c>
      <c r="O597" s="50">
        <f t="shared" si="176"/>
        <v>274.29882654556098</v>
      </c>
      <c r="P597" s="16">
        <v>0</v>
      </c>
      <c r="Q597" s="16">
        <v>1</v>
      </c>
      <c r="R597" s="16">
        <v>0</v>
      </c>
      <c r="S597" s="42"/>
      <c r="T597" s="56" t="str">
        <f t="shared" si="175"/>
        <v/>
      </c>
      <c r="U597" s="56" t="str">
        <f t="shared" si="177"/>
        <v/>
      </c>
      <c r="V597" s="56" t="str">
        <f t="shared" si="178"/>
        <v/>
      </c>
      <c r="W597" s="42"/>
      <c r="X597" s="42"/>
      <c r="Y597" s="42"/>
      <c r="Z597" s="42"/>
      <c r="AA597" s="37">
        <f t="shared" si="171"/>
        <v>274.29882654556098</v>
      </c>
      <c r="AB597" s="42"/>
      <c r="AC597" s="42"/>
      <c r="AD597" s="42"/>
      <c r="AE597" s="42"/>
      <c r="AF597" s="16">
        <v>0</v>
      </c>
      <c r="AG597" s="16">
        <v>1</v>
      </c>
      <c r="AH597" s="16">
        <v>1</v>
      </c>
      <c r="AI597" s="16">
        <v>1</v>
      </c>
      <c r="AJ597" s="5">
        <v>1</v>
      </c>
      <c r="AK597" s="5">
        <v>0</v>
      </c>
      <c r="AL597" s="5">
        <v>0</v>
      </c>
      <c r="AM597" s="20"/>
      <c r="AN597" s="20">
        <v>1</v>
      </c>
      <c r="AO597" s="14"/>
      <c r="AP597" s="16"/>
      <c r="AQ597" s="16"/>
      <c r="AR597" s="16">
        <v>1</v>
      </c>
      <c r="AS597" s="16">
        <v>1</v>
      </c>
      <c r="AT597" s="16"/>
      <c r="AU597" s="16"/>
      <c r="AV597" s="16"/>
      <c r="AW597" s="16"/>
      <c r="AX597" s="16">
        <v>0</v>
      </c>
      <c r="AY597" s="16">
        <v>0</v>
      </c>
      <c r="AZ597" s="16">
        <v>1</v>
      </c>
      <c r="BA597" s="16">
        <v>0</v>
      </c>
    </row>
    <row r="598" spans="1:53" x14ac:dyDescent="0.2">
      <c r="A598" s="14"/>
      <c r="B598" s="14" t="str">
        <f t="shared" si="179"/>
        <v>Anthoff et al. 2011</v>
      </c>
      <c r="C598" s="61">
        <f t="shared" si="180"/>
        <v>64</v>
      </c>
      <c r="D598" s="58">
        <v>2011</v>
      </c>
      <c r="E598" s="17"/>
      <c r="F598" s="58">
        <v>0</v>
      </c>
      <c r="G598" s="16">
        <v>1995</v>
      </c>
      <c r="H598" s="15">
        <f>LOOKUP(G598,CPI!A$69:A$100,CPI!O$69:O$100)</f>
        <v>1.4308136482939633</v>
      </c>
      <c r="I598" s="52">
        <v>2015</v>
      </c>
      <c r="J598" s="15">
        <f t="shared" si="174"/>
        <v>5.8823529411764705E-2</v>
      </c>
      <c r="K598" s="44">
        <v>7.6923076923076927E-2</v>
      </c>
      <c r="L598" s="57">
        <f>(AA599/AA598)^(1/(I599-I598))-1</f>
        <v>3.0999999999999917E-2</v>
      </c>
      <c r="M598" s="56">
        <f>AA598*H598*(1+$L$2)^(2015-I598)</f>
        <v>17.312845144356956</v>
      </c>
      <c r="N598" s="14">
        <v>12.1</v>
      </c>
      <c r="O598" s="18">
        <f t="shared" si="176"/>
        <v>12.1</v>
      </c>
      <c r="P598" s="16">
        <v>0</v>
      </c>
      <c r="Q598" s="16">
        <v>1</v>
      </c>
      <c r="R598" s="16">
        <v>0</v>
      </c>
      <c r="S598" s="14"/>
      <c r="T598" s="56" t="str">
        <f t="shared" si="175"/>
        <v/>
      </c>
      <c r="U598" s="56" t="str">
        <f t="shared" si="177"/>
        <v/>
      </c>
      <c r="V598" s="56" t="str">
        <f t="shared" si="178"/>
        <v/>
      </c>
      <c r="W598" s="14"/>
      <c r="X598" s="14"/>
      <c r="Y598" s="14"/>
      <c r="Z598" s="14"/>
      <c r="AA598" s="18">
        <f t="shared" ref="AA598:AA652" si="182">N598</f>
        <v>12.1</v>
      </c>
      <c r="AB598" s="14"/>
      <c r="AC598" s="14"/>
      <c r="AD598" s="14"/>
      <c r="AE598" s="14"/>
      <c r="AF598" s="16">
        <v>0</v>
      </c>
      <c r="AG598" s="16">
        <v>1</v>
      </c>
      <c r="AH598" s="16">
        <v>1</v>
      </c>
      <c r="AI598" s="16">
        <v>1</v>
      </c>
      <c r="AJ598" s="5">
        <v>1</v>
      </c>
      <c r="AK598" s="5">
        <v>0</v>
      </c>
      <c r="AL598" s="5">
        <v>0</v>
      </c>
      <c r="AM598" s="20"/>
      <c r="AN598" s="20">
        <v>1</v>
      </c>
      <c r="AO598" s="14"/>
      <c r="AP598" s="16"/>
      <c r="AQ598" s="16"/>
      <c r="AR598" s="16">
        <v>0</v>
      </c>
      <c r="AS598" s="16">
        <v>0</v>
      </c>
      <c r="AT598" s="16"/>
      <c r="AU598" s="16"/>
      <c r="AV598" s="16"/>
      <c r="AW598" s="16"/>
      <c r="AX598" s="16">
        <v>0</v>
      </c>
      <c r="AY598" s="16">
        <v>0</v>
      </c>
      <c r="AZ598" s="16">
        <v>1</v>
      </c>
      <c r="BA598" s="16">
        <v>0</v>
      </c>
    </row>
    <row r="599" spans="1:53" s="36" customFormat="1" x14ac:dyDescent="0.2">
      <c r="A599" s="29"/>
      <c r="B599" s="14" t="str">
        <f t="shared" si="179"/>
        <v>Anthoff et al. 2011</v>
      </c>
      <c r="C599" s="61">
        <f t="shared" si="180"/>
        <v>64</v>
      </c>
      <c r="D599" s="58">
        <v>2011</v>
      </c>
      <c r="E599" s="17"/>
      <c r="F599" s="58">
        <v>0</v>
      </c>
      <c r="G599" s="16">
        <v>1995</v>
      </c>
      <c r="H599" s="15">
        <f>LOOKUP(G599,CPI!A$69:A$100,CPI!O$69:O$100)</f>
        <v>1.4308136482939633</v>
      </c>
      <c r="I599" s="5">
        <v>2100</v>
      </c>
      <c r="J599" s="43">
        <v>0</v>
      </c>
      <c r="K599" s="43"/>
      <c r="L599" s="57"/>
      <c r="M599" s="56"/>
      <c r="N599" s="3">
        <f>N598*(1.031)^85</f>
        <v>162.09585869308648</v>
      </c>
      <c r="O599" s="50">
        <f t="shared" si="176"/>
        <v>162.09585869308648</v>
      </c>
      <c r="P599" s="16">
        <v>0</v>
      </c>
      <c r="Q599" s="16">
        <v>1</v>
      </c>
      <c r="R599" s="16">
        <v>0</v>
      </c>
      <c r="S599" s="42"/>
      <c r="T599" s="56" t="str">
        <f t="shared" si="175"/>
        <v/>
      </c>
      <c r="U599" s="56" t="str">
        <f t="shared" si="177"/>
        <v/>
      </c>
      <c r="V599" s="56" t="str">
        <f t="shared" si="178"/>
        <v/>
      </c>
      <c r="W599" s="42"/>
      <c r="X599" s="42"/>
      <c r="Y599" s="42"/>
      <c r="Z599" s="42"/>
      <c r="AA599" s="37">
        <f t="shared" si="182"/>
        <v>162.09585869308648</v>
      </c>
      <c r="AB599" s="42"/>
      <c r="AC599" s="42"/>
      <c r="AD599" s="42"/>
      <c r="AE599" s="42"/>
      <c r="AF599" s="16">
        <v>0</v>
      </c>
      <c r="AG599" s="16">
        <v>1</v>
      </c>
      <c r="AH599" s="16">
        <v>1</v>
      </c>
      <c r="AI599" s="16">
        <v>1</v>
      </c>
      <c r="AJ599" s="5">
        <v>1</v>
      </c>
      <c r="AK599" s="5">
        <v>0</v>
      </c>
      <c r="AL599" s="5">
        <v>0</v>
      </c>
      <c r="AM599" s="20"/>
      <c r="AN599" s="20">
        <v>1</v>
      </c>
      <c r="AO599" s="14"/>
      <c r="AP599" s="16"/>
      <c r="AQ599" s="16"/>
      <c r="AR599" s="16">
        <v>0</v>
      </c>
      <c r="AS599" s="16">
        <v>0</v>
      </c>
      <c r="AT599" s="16"/>
      <c r="AU599" s="16"/>
      <c r="AV599" s="16"/>
      <c r="AW599" s="16"/>
      <c r="AX599" s="16">
        <v>0</v>
      </c>
      <c r="AY599" s="16">
        <v>0</v>
      </c>
      <c r="AZ599" s="16">
        <v>1</v>
      </c>
      <c r="BA599" s="16">
        <v>0</v>
      </c>
    </row>
    <row r="600" spans="1:53" x14ac:dyDescent="0.2">
      <c r="A600" s="14"/>
      <c r="B600" s="14" t="str">
        <f t="shared" si="179"/>
        <v>Anthoff et al. 2011</v>
      </c>
      <c r="C600" s="61">
        <f t="shared" si="180"/>
        <v>64</v>
      </c>
      <c r="D600" s="58">
        <v>2011</v>
      </c>
      <c r="E600" s="17"/>
      <c r="F600" s="58">
        <v>0</v>
      </c>
      <c r="G600" s="16">
        <v>1995</v>
      </c>
      <c r="H600" s="15">
        <f>LOOKUP(G600,CPI!A$69:A$100,CPI!O$69:O$100)</f>
        <v>1.4308136482939633</v>
      </c>
      <c r="I600" s="52">
        <v>2015</v>
      </c>
      <c r="J600" s="15">
        <f t="shared" si="174"/>
        <v>5.8823529411764705E-2</v>
      </c>
      <c r="K600" s="44">
        <v>7.6923076923076927E-2</v>
      </c>
      <c r="L600" s="57">
        <f>(AA601/AA600)^(1/(I601-I600))-1</f>
        <v>2.2999999999999909E-2</v>
      </c>
      <c r="M600" s="56">
        <f>AA600*H600*(1+$L$2)^(2015-I600)</f>
        <v>41.636677165354335</v>
      </c>
      <c r="N600" s="14">
        <v>29.1</v>
      </c>
      <c r="O600" s="18">
        <f t="shared" si="176"/>
        <v>29.1</v>
      </c>
      <c r="P600" s="16">
        <v>0</v>
      </c>
      <c r="Q600" s="16">
        <v>1</v>
      </c>
      <c r="R600" s="16">
        <v>0</v>
      </c>
      <c r="S600" s="14"/>
      <c r="T600" s="56" t="str">
        <f t="shared" si="175"/>
        <v/>
      </c>
      <c r="U600" s="56" t="str">
        <f t="shared" si="177"/>
        <v/>
      </c>
      <c r="V600" s="56" t="str">
        <f t="shared" si="178"/>
        <v/>
      </c>
      <c r="W600" s="14"/>
      <c r="X600" s="14"/>
      <c r="Y600" s="14"/>
      <c r="Z600" s="14"/>
      <c r="AA600" s="18">
        <f t="shared" si="182"/>
        <v>29.1</v>
      </c>
      <c r="AB600" s="14"/>
      <c r="AC600" s="14"/>
      <c r="AD600" s="14"/>
      <c r="AE600" s="14"/>
      <c r="AF600" s="16">
        <v>0</v>
      </c>
      <c r="AG600" s="16">
        <v>1</v>
      </c>
      <c r="AH600" s="16">
        <v>1</v>
      </c>
      <c r="AI600" s="16">
        <v>1</v>
      </c>
      <c r="AJ600" s="5">
        <v>1</v>
      </c>
      <c r="AK600" s="5">
        <v>0</v>
      </c>
      <c r="AL600" s="5">
        <v>0</v>
      </c>
      <c r="AM600" s="20"/>
      <c r="AN600" s="20">
        <v>1</v>
      </c>
      <c r="AO600" s="14"/>
      <c r="AP600" s="16"/>
      <c r="AQ600" s="16"/>
      <c r="AR600" s="16">
        <v>0</v>
      </c>
      <c r="AS600" s="16">
        <v>0</v>
      </c>
      <c r="AT600" s="16"/>
      <c r="AU600" s="16"/>
      <c r="AV600" s="16"/>
      <c r="AW600" s="16"/>
      <c r="AX600" s="16">
        <v>0</v>
      </c>
      <c r="AY600" s="16">
        <v>0</v>
      </c>
      <c r="AZ600" s="16">
        <v>1</v>
      </c>
      <c r="BA600" s="16">
        <v>0</v>
      </c>
    </row>
    <row r="601" spans="1:53" s="36" customFormat="1" x14ac:dyDescent="0.2">
      <c r="A601" s="29"/>
      <c r="B601" s="14" t="str">
        <f t="shared" si="179"/>
        <v>Anthoff et al. 2011</v>
      </c>
      <c r="C601" s="61">
        <f t="shared" si="180"/>
        <v>64</v>
      </c>
      <c r="D601" s="58">
        <v>2011</v>
      </c>
      <c r="E601" s="17"/>
      <c r="F601" s="58">
        <v>0</v>
      </c>
      <c r="G601" s="16">
        <v>1995</v>
      </c>
      <c r="H601" s="15">
        <f>LOOKUP(G601,CPI!A$69:A$100,CPI!O$69:O$100)</f>
        <v>1.4308136482939633</v>
      </c>
      <c r="I601" s="5">
        <v>2100</v>
      </c>
      <c r="J601" s="43">
        <v>0</v>
      </c>
      <c r="K601" s="43"/>
      <c r="L601" s="57"/>
      <c r="M601" s="56"/>
      <c r="N601" s="3">
        <f>N600*(1.023)^85</f>
        <v>201.05822979648914</v>
      </c>
      <c r="O601" s="50">
        <f t="shared" si="176"/>
        <v>201.05822979648914</v>
      </c>
      <c r="P601" s="16">
        <v>0</v>
      </c>
      <c r="Q601" s="16">
        <v>1</v>
      </c>
      <c r="R601" s="16">
        <v>0</v>
      </c>
      <c r="S601" s="42"/>
      <c r="T601" s="56" t="str">
        <f t="shared" si="175"/>
        <v/>
      </c>
      <c r="U601" s="56" t="str">
        <f t="shared" si="177"/>
        <v/>
      </c>
      <c r="V601" s="56" t="str">
        <f t="shared" si="178"/>
        <v/>
      </c>
      <c r="W601" s="42"/>
      <c r="X601" s="42"/>
      <c r="Y601" s="42"/>
      <c r="Z601" s="42"/>
      <c r="AA601" s="37">
        <f t="shared" si="182"/>
        <v>201.05822979648914</v>
      </c>
      <c r="AB601" s="42"/>
      <c r="AC601" s="42"/>
      <c r="AD601" s="42"/>
      <c r="AE601" s="42"/>
      <c r="AF601" s="16">
        <v>0</v>
      </c>
      <c r="AG601" s="16">
        <v>1</v>
      </c>
      <c r="AH601" s="16">
        <v>1</v>
      </c>
      <c r="AI601" s="16">
        <v>1</v>
      </c>
      <c r="AJ601" s="5">
        <v>1</v>
      </c>
      <c r="AK601" s="5">
        <v>0</v>
      </c>
      <c r="AL601" s="5">
        <v>0</v>
      </c>
      <c r="AM601" s="20"/>
      <c r="AN601" s="20">
        <v>1</v>
      </c>
      <c r="AO601" s="14"/>
      <c r="AP601" s="16"/>
      <c r="AQ601" s="16"/>
      <c r="AR601" s="16">
        <v>0</v>
      </c>
      <c r="AS601" s="16">
        <v>0</v>
      </c>
      <c r="AT601" s="16"/>
      <c r="AU601" s="16"/>
      <c r="AV601" s="16"/>
      <c r="AW601" s="16"/>
      <c r="AX601" s="16">
        <v>0</v>
      </c>
      <c r="AY601" s="16">
        <v>0</v>
      </c>
      <c r="AZ601" s="16">
        <v>1</v>
      </c>
      <c r="BA601" s="16">
        <v>0</v>
      </c>
    </row>
    <row r="602" spans="1:53" x14ac:dyDescent="0.2">
      <c r="A602" s="14"/>
      <c r="B602" s="14" t="str">
        <f t="shared" si="179"/>
        <v>Anthoff et al. 2011</v>
      </c>
      <c r="C602" s="61">
        <f t="shared" si="180"/>
        <v>64</v>
      </c>
      <c r="D602" s="58">
        <v>2011</v>
      </c>
      <c r="E602" s="17"/>
      <c r="F602" s="58">
        <v>0</v>
      </c>
      <c r="G602" s="16">
        <v>1995</v>
      </c>
      <c r="H602" s="15">
        <f>LOOKUP(G602,CPI!A$69:A$100,CPI!O$69:O$100)</f>
        <v>1.4308136482939633</v>
      </c>
      <c r="I602" s="52">
        <v>2015</v>
      </c>
      <c r="J602" s="15">
        <f>1/34</f>
        <v>2.9411764705882353E-2</v>
      </c>
      <c r="K602" s="15"/>
      <c r="L602" s="62"/>
      <c r="M602" s="56">
        <f>AA602*H602*(1+$L$2)^(2015-I602)</f>
        <v>3.4482608923884519</v>
      </c>
      <c r="N602" s="14">
        <v>2.41</v>
      </c>
      <c r="O602" s="18">
        <f t="shared" si="176"/>
        <v>2.41</v>
      </c>
      <c r="P602" s="16">
        <v>0</v>
      </c>
      <c r="Q602" s="16">
        <v>1</v>
      </c>
      <c r="R602" s="16">
        <v>0</v>
      </c>
      <c r="S602" s="14"/>
      <c r="T602" s="56" t="str">
        <f t="shared" si="175"/>
        <v/>
      </c>
      <c r="U602" s="56" t="str">
        <f t="shared" si="177"/>
        <v/>
      </c>
      <c r="V602" s="56" t="str">
        <f t="shared" si="178"/>
        <v/>
      </c>
      <c r="W602" s="14"/>
      <c r="X602" s="14"/>
      <c r="Y602" s="14"/>
      <c r="Z602" s="14"/>
      <c r="AA602" s="18">
        <f t="shared" si="182"/>
        <v>2.41</v>
      </c>
      <c r="AB602" s="14"/>
      <c r="AC602" s="14"/>
      <c r="AD602" s="14"/>
      <c r="AE602" s="14"/>
      <c r="AF602" s="16">
        <v>0</v>
      </c>
      <c r="AG602" s="16">
        <v>1</v>
      </c>
      <c r="AH602" s="16">
        <v>1</v>
      </c>
      <c r="AI602" s="16">
        <v>1</v>
      </c>
      <c r="AJ602" s="5">
        <v>1</v>
      </c>
      <c r="AK602" s="5">
        <v>0</v>
      </c>
      <c r="AL602" s="5">
        <v>0</v>
      </c>
      <c r="AM602" s="20"/>
      <c r="AN602" s="20">
        <v>1</v>
      </c>
      <c r="AO602" s="14"/>
      <c r="AP602" s="16"/>
      <c r="AQ602" s="16"/>
      <c r="AR602" s="16">
        <v>0</v>
      </c>
      <c r="AS602" s="16">
        <v>0</v>
      </c>
      <c r="AT602" s="16"/>
      <c r="AU602" s="16"/>
      <c r="AV602" s="16"/>
      <c r="AW602" s="16"/>
      <c r="AX602" s="16">
        <v>0</v>
      </c>
      <c r="AY602" s="16">
        <v>0</v>
      </c>
      <c r="AZ602" s="16">
        <v>1</v>
      </c>
      <c r="BA602" s="16">
        <v>0</v>
      </c>
    </row>
    <row r="603" spans="1:53" s="36" customFormat="1" x14ac:dyDescent="0.2">
      <c r="A603" s="29"/>
      <c r="B603" s="14" t="str">
        <f t="shared" si="179"/>
        <v>Anthoff et al. 2011</v>
      </c>
      <c r="C603" s="61">
        <f t="shared" si="180"/>
        <v>64</v>
      </c>
      <c r="D603" s="58">
        <v>2011</v>
      </c>
      <c r="E603" s="17"/>
      <c r="F603" s="58">
        <v>0</v>
      </c>
      <c r="G603" s="16">
        <v>1996</v>
      </c>
      <c r="H603" s="15">
        <f>LOOKUP(G603,CPI!A$69:A$100,CPI!O$69:O$100)</f>
        <v>1.3897769279796048</v>
      </c>
      <c r="I603" s="5">
        <v>2100</v>
      </c>
      <c r="J603" s="43">
        <v>0</v>
      </c>
      <c r="K603" s="43"/>
      <c r="L603" s="57"/>
      <c r="M603" s="56"/>
      <c r="N603" s="3">
        <v>-18.8</v>
      </c>
      <c r="O603" s="50">
        <f t="shared" si="176"/>
        <v>-18.8</v>
      </c>
      <c r="P603" s="16">
        <v>0</v>
      </c>
      <c r="Q603" s="16">
        <v>1</v>
      </c>
      <c r="R603" s="16">
        <v>0</v>
      </c>
      <c r="S603" s="42"/>
      <c r="T603" s="56" t="str">
        <f t="shared" si="175"/>
        <v/>
      </c>
      <c r="U603" s="56" t="str">
        <f t="shared" si="177"/>
        <v/>
      </c>
      <c r="V603" s="56" t="str">
        <f t="shared" si="178"/>
        <v/>
      </c>
      <c r="W603" s="42"/>
      <c r="X603" s="42"/>
      <c r="Y603" s="42"/>
      <c r="Z603" s="42"/>
      <c r="AA603" s="37">
        <f t="shared" si="182"/>
        <v>-18.8</v>
      </c>
      <c r="AB603" s="42"/>
      <c r="AC603" s="42"/>
      <c r="AD603" s="42"/>
      <c r="AE603" s="42"/>
      <c r="AF603" s="16">
        <v>0</v>
      </c>
      <c r="AG603" s="16">
        <v>1</v>
      </c>
      <c r="AH603" s="16">
        <v>1</v>
      </c>
      <c r="AI603" s="16">
        <v>1</v>
      </c>
      <c r="AJ603" s="5">
        <v>1</v>
      </c>
      <c r="AK603" s="5">
        <v>0</v>
      </c>
      <c r="AL603" s="5">
        <v>0</v>
      </c>
      <c r="AM603" s="20"/>
      <c r="AN603" s="20">
        <v>1</v>
      </c>
      <c r="AO603" s="14"/>
      <c r="AP603" s="16"/>
      <c r="AQ603" s="16"/>
      <c r="AR603" s="16">
        <v>0</v>
      </c>
      <c r="AS603" s="16">
        <v>0</v>
      </c>
      <c r="AT603" s="16"/>
      <c r="AU603" s="16"/>
      <c r="AV603" s="16"/>
      <c r="AW603" s="16"/>
      <c r="AX603" s="16">
        <v>0</v>
      </c>
      <c r="AY603" s="16">
        <v>0</v>
      </c>
      <c r="AZ603" s="16">
        <v>1</v>
      </c>
      <c r="BA603" s="16">
        <v>0</v>
      </c>
    </row>
    <row r="604" spans="1:53" x14ac:dyDescent="0.2">
      <c r="A604" s="14"/>
      <c r="B604" s="14" t="str">
        <f t="shared" si="179"/>
        <v>Anthoff et al. 2011</v>
      </c>
      <c r="C604" s="61">
        <f t="shared" si="180"/>
        <v>64</v>
      </c>
      <c r="D604" s="58">
        <v>2011</v>
      </c>
      <c r="E604" s="17"/>
      <c r="F604" s="58">
        <v>0</v>
      </c>
      <c r="G604" s="16">
        <v>1995</v>
      </c>
      <c r="H604" s="15">
        <f>LOOKUP(G604,CPI!A$69:A$100,CPI!O$69:O$100)</f>
        <v>1.4308136482939633</v>
      </c>
      <c r="I604" s="52">
        <v>2015</v>
      </c>
      <c r="J604" s="15">
        <f>1/34</f>
        <v>2.9411764705882353E-2</v>
      </c>
      <c r="K604" s="44">
        <v>7.6923076923076927E-2</v>
      </c>
      <c r="L604" s="57">
        <f>(AA605/AA604)^(1/(I605-I604))-1</f>
        <v>2.6000000000000023E-2</v>
      </c>
      <c r="M604" s="56">
        <f>AA604*H604*(1+$L$2)^(2015-I604)</f>
        <v>107.31102362204724</v>
      </c>
      <c r="N604" s="14">
        <v>75</v>
      </c>
      <c r="O604" s="18">
        <f t="shared" si="176"/>
        <v>75</v>
      </c>
      <c r="P604" s="16">
        <v>0</v>
      </c>
      <c r="Q604" s="16">
        <v>1</v>
      </c>
      <c r="R604" s="16">
        <v>0</v>
      </c>
      <c r="S604" s="14"/>
      <c r="T604" s="56" t="str">
        <f t="shared" si="175"/>
        <v/>
      </c>
      <c r="U604" s="56" t="str">
        <f t="shared" si="177"/>
        <v/>
      </c>
      <c r="V604" s="56" t="str">
        <f t="shared" si="178"/>
        <v/>
      </c>
      <c r="W604" s="14"/>
      <c r="X604" s="14"/>
      <c r="Y604" s="14"/>
      <c r="Z604" s="14"/>
      <c r="AA604" s="18">
        <f t="shared" si="182"/>
        <v>75</v>
      </c>
      <c r="AB604" s="14"/>
      <c r="AC604" s="14"/>
      <c r="AD604" s="14"/>
      <c r="AE604" s="14"/>
      <c r="AF604" s="16">
        <v>0</v>
      </c>
      <c r="AG604" s="16">
        <v>1</v>
      </c>
      <c r="AH604" s="16">
        <v>1</v>
      </c>
      <c r="AI604" s="16">
        <v>1</v>
      </c>
      <c r="AJ604" s="5">
        <v>1</v>
      </c>
      <c r="AK604" s="5">
        <v>0</v>
      </c>
      <c r="AL604" s="5">
        <v>0</v>
      </c>
      <c r="AM604" s="20"/>
      <c r="AN604" s="20">
        <v>1</v>
      </c>
      <c r="AO604" s="14"/>
      <c r="AP604" s="16"/>
      <c r="AQ604" s="16"/>
      <c r="AR604" s="16">
        <v>0</v>
      </c>
      <c r="AS604" s="16">
        <v>0</v>
      </c>
      <c r="AT604" s="16"/>
      <c r="AU604" s="16"/>
      <c r="AV604" s="16"/>
      <c r="AW604" s="16"/>
      <c r="AX604" s="16">
        <v>0</v>
      </c>
      <c r="AY604" s="16">
        <v>0</v>
      </c>
      <c r="AZ604" s="16">
        <v>1</v>
      </c>
      <c r="BA604" s="16">
        <v>0</v>
      </c>
    </row>
    <row r="605" spans="1:53" s="36" customFormat="1" x14ac:dyDescent="0.2">
      <c r="A605" s="29"/>
      <c r="B605" s="14" t="str">
        <f t="shared" si="179"/>
        <v>Anthoff et al. 2011</v>
      </c>
      <c r="C605" s="61">
        <f t="shared" si="180"/>
        <v>64</v>
      </c>
      <c r="D605" s="58">
        <v>2011</v>
      </c>
      <c r="E605" s="17"/>
      <c r="F605" s="58">
        <v>0</v>
      </c>
      <c r="G605" s="16">
        <v>1995</v>
      </c>
      <c r="H605" s="15">
        <f>LOOKUP(G605,CPI!A$69:A$100,CPI!O$69:O$100)</f>
        <v>1.4308136482939633</v>
      </c>
      <c r="I605" s="5">
        <v>2100</v>
      </c>
      <c r="J605" s="43">
        <v>0</v>
      </c>
      <c r="K605" s="43"/>
      <c r="L605" s="57"/>
      <c r="M605" s="56"/>
      <c r="N605" s="3">
        <f>N604*(1.026)^85</f>
        <v>664.6406955312849</v>
      </c>
      <c r="O605" s="50">
        <f t="shared" si="176"/>
        <v>664.6406955312849</v>
      </c>
      <c r="P605" s="16">
        <v>0</v>
      </c>
      <c r="Q605" s="16">
        <v>1</v>
      </c>
      <c r="R605" s="16">
        <v>0</v>
      </c>
      <c r="S605" s="42"/>
      <c r="T605" s="56" t="str">
        <f t="shared" si="175"/>
        <v/>
      </c>
      <c r="U605" s="56" t="str">
        <f t="shared" si="177"/>
        <v/>
      </c>
      <c r="V605" s="56" t="str">
        <f t="shared" si="178"/>
        <v/>
      </c>
      <c r="W605" s="42"/>
      <c r="X605" s="42"/>
      <c r="Y605" s="42"/>
      <c r="Z605" s="42"/>
      <c r="AA605" s="37">
        <f t="shared" si="182"/>
        <v>664.6406955312849</v>
      </c>
      <c r="AB605" s="42"/>
      <c r="AC605" s="42"/>
      <c r="AD605" s="42"/>
      <c r="AE605" s="42"/>
      <c r="AF605" s="16">
        <v>0</v>
      </c>
      <c r="AG605" s="16">
        <v>1</v>
      </c>
      <c r="AH605" s="16">
        <v>1</v>
      </c>
      <c r="AI605" s="16">
        <v>1</v>
      </c>
      <c r="AJ605" s="5">
        <v>1</v>
      </c>
      <c r="AK605" s="5">
        <v>0</v>
      </c>
      <c r="AL605" s="5">
        <v>0</v>
      </c>
      <c r="AM605" s="20"/>
      <c r="AN605" s="20">
        <v>1</v>
      </c>
      <c r="AO605" s="14"/>
      <c r="AP605" s="16"/>
      <c r="AQ605" s="16"/>
      <c r="AR605" s="16">
        <v>0</v>
      </c>
      <c r="AS605" s="16">
        <v>0</v>
      </c>
      <c r="AT605" s="16"/>
      <c r="AU605" s="16"/>
      <c r="AV605" s="16"/>
      <c r="AW605" s="16"/>
      <c r="AX605" s="16">
        <v>0</v>
      </c>
      <c r="AY605" s="16">
        <v>0</v>
      </c>
      <c r="AZ605" s="16">
        <v>1</v>
      </c>
      <c r="BA605" s="16">
        <v>0</v>
      </c>
    </row>
    <row r="606" spans="1:53" x14ac:dyDescent="0.2">
      <c r="A606" s="14"/>
      <c r="B606" s="14" t="str">
        <f t="shared" si="179"/>
        <v>Anthoff et al. 2011</v>
      </c>
      <c r="C606" s="61">
        <f t="shared" si="180"/>
        <v>64</v>
      </c>
      <c r="D606" s="58">
        <v>2011</v>
      </c>
      <c r="E606" s="17"/>
      <c r="F606" s="58">
        <v>0</v>
      </c>
      <c r="G606" s="16">
        <v>1995</v>
      </c>
      <c r="H606" s="15">
        <f>LOOKUP(G606,CPI!A$69:A$100,CPI!O$69:O$100)</f>
        <v>1.4308136482939633</v>
      </c>
      <c r="I606" s="52">
        <v>2015</v>
      </c>
      <c r="J606" s="15">
        <f>1/34</f>
        <v>2.9411764705882353E-2</v>
      </c>
      <c r="K606" s="44">
        <v>7.6923076923076927E-2</v>
      </c>
      <c r="L606" s="57">
        <f>(AA607/AA606)^(1/(I607-I606))-1</f>
        <v>1.2999999999999901E-2</v>
      </c>
      <c r="M606" s="56">
        <f>AA606*H606*(1+$L$2)^(2015-I606)</f>
        <v>7.3686902887139114</v>
      </c>
      <c r="N606" s="14">
        <v>5.15</v>
      </c>
      <c r="O606" s="18">
        <f t="shared" si="176"/>
        <v>5.15</v>
      </c>
      <c r="P606" s="16">
        <v>0</v>
      </c>
      <c r="Q606" s="16">
        <v>1</v>
      </c>
      <c r="R606" s="16">
        <v>0</v>
      </c>
      <c r="S606" s="14"/>
      <c r="T606" s="56" t="str">
        <f t="shared" si="175"/>
        <v/>
      </c>
      <c r="U606" s="56" t="str">
        <f t="shared" si="177"/>
        <v/>
      </c>
      <c r="V606" s="56" t="str">
        <f t="shared" si="178"/>
        <v/>
      </c>
      <c r="W606" s="14"/>
      <c r="X606" s="14"/>
      <c r="Y606" s="14"/>
      <c r="Z606" s="14"/>
      <c r="AA606" s="18">
        <f t="shared" si="182"/>
        <v>5.15</v>
      </c>
      <c r="AB606" s="14"/>
      <c r="AC606" s="14"/>
      <c r="AD606" s="14"/>
      <c r="AE606" s="14"/>
      <c r="AF606" s="16">
        <v>0</v>
      </c>
      <c r="AG606" s="16">
        <v>1</v>
      </c>
      <c r="AH606" s="16">
        <v>1</v>
      </c>
      <c r="AI606" s="16">
        <v>1</v>
      </c>
      <c r="AJ606" s="5">
        <v>1</v>
      </c>
      <c r="AK606" s="5">
        <v>0</v>
      </c>
      <c r="AL606" s="5">
        <v>0</v>
      </c>
      <c r="AM606" s="20"/>
      <c r="AN606" s="20">
        <v>1</v>
      </c>
      <c r="AO606" s="14"/>
      <c r="AP606" s="16"/>
      <c r="AQ606" s="16"/>
      <c r="AR606" s="16">
        <v>0</v>
      </c>
      <c r="AS606" s="16">
        <v>0</v>
      </c>
      <c r="AT606" s="16"/>
      <c r="AU606" s="16"/>
      <c r="AV606" s="16"/>
      <c r="AW606" s="16"/>
      <c r="AX606" s="16">
        <v>0</v>
      </c>
      <c r="AY606" s="16">
        <v>0</v>
      </c>
      <c r="AZ606" s="16">
        <v>1</v>
      </c>
      <c r="BA606" s="16">
        <v>0</v>
      </c>
    </row>
    <row r="607" spans="1:53" s="36" customFormat="1" x14ac:dyDescent="0.2">
      <c r="A607" s="29"/>
      <c r="B607" s="14" t="str">
        <f t="shared" si="179"/>
        <v>Anthoff et al. 2011</v>
      </c>
      <c r="C607" s="61">
        <f t="shared" si="180"/>
        <v>64</v>
      </c>
      <c r="D607" s="58">
        <v>2011</v>
      </c>
      <c r="E607" s="17"/>
      <c r="F607" s="58">
        <v>0</v>
      </c>
      <c r="G607" s="16">
        <v>1995</v>
      </c>
      <c r="H607" s="15">
        <f>LOOKUP(G607,CPI!A$69:A$100,CPI!O$69:O$100)</f>
        <v>1.4308136482939633</v>
      </c>
      <c r="I607" s="5">
        <v>2100</v>
      </c>
      <c r="J607" s="43">
        <v>0</v>
      </c>
      <c r="K607" s="43"/>
      <c r="L607" s="57"/>
      <c r="M607" s="56"/>
      <c r="N607" s="3">
        <f>N606*(1.013)^85</f>
        <v>15.438677122509718</v>
      </c>
      <c r="O607" s="50">
        <f t="shared" si="176"/>
        <v>15.438677122509718</v>
      </c>
      <c r="P607" s="16">
        <v>0</v>
      </c>
      <c r="Q607" s="16">
        <v>1</v>
      </c>
      <c r="R607" s="16">
        <v>0</v>
      </c>
      <c r="S607" s="42"/>
      <c r="T607" s="56" t="str">
        <f t="shared" si="175"/>
        <v/>
      </c>
      <c r="U607" s="56" t="str">
        <f t="shared" si="177"/>
        <v/>
      </c>
      <c r="V607" s="56" t="str">
        <f t="shared" si="178"/>
        <v/>
      </c>
      <c r="W607" s="42"/>
      <c r="X607" s="42"/>
      <c r="Y607" s="42"/>
      <c r="Z607" s="42"/>
      <c r="AA607" s="37">
        <f t="shared" si="182"/>
        <v>15.438677122509718</v>
      </c>
      <c r="AB607" s="42"/>
      <c r="AC607" s="42"/>
      <c r="AD607" s="42"/>
      <c r="AE607" s="42"/>
      <c r="AF607" s="16">
        <v>0</v>
      </c>
      <c r="AG607" s="16">
        <v>1</v>
      </c>
      <c r="AH607" s="16">
        <v>1</v>
      </c>
      <c r="AI607" s="16">
        <v>1</v>
      </c>
      <c r="AJ607" s="5">
        <v>1</v>
      </c>
      <c r="AK607" s="5">
        <v>0</v>
      </c>
      <c r="AL607" s="5">
        <v>0</v>
      </c>
      <c r="AM607" s="20"/>
      <c r="AN607" s="20">
        <v>1</v>
      </c>
      <c r="AO607" s="14"/>
      <c r="AP607" s="16"/>
      <c r="AQ607" s="16"/>
      <c r="AR607" s="16">
        <v>0</v>
      </c>
      <c r="AS607" s="16">
        <v>0</v>
      </c>
      <c r="AT607" s="16"/>
      <c r="AU607" s="16"/>
      <c r="AV607" s="16"/>
      <c r="AW607" s="16"/>
      <c r="AX607" s="16">
        <v>0</v>
      </c>
      <c r="AY607" s="16">
        <v>0</v>
      </c>
      <c r="AZ607" s="16">
        <v>1</v>
      </c>
      <c r="BA607" s="16">
        <v>0</v>
      </c>
    </row>
    <row r="608" spans="1:53" x14ac:dyDescent="0.2">
      <c r="A608" s="14"/>
      <c r="B608" s="14" t="str">
        <f t="shared" si="179"/>
        <v>Anthoff et al. 2011</v>
      </c>
      <c r="C608" s="61">
        <f t="shared" si="180"/>
        <v>64</v>
      </c>
      <c r="D608" s="58">
        <v>2011</v>
      </c>
      <c r="E608" s="17"/>
      <c r="F608" s="58">
        <v>0</v>
      </c>
      <c r="G608" s="16">
        <v>1995</v>
      </c>
      <c r="H608" s="15">
        <f>LOOKUP(G608,CPI!A$69:A$100,CPI!O$69:O$100)</f>
        <v>1.4308136482939633</v>
      </c>
      <c r="I608" s="52">
        <v>2015</v>
      </c>
      <c r="J608" s="15">
        <f>1/34</f>
        <v>2.9411764705882353E-2</v>
      </c>
      <c r="K608" s="44">
        <v>7.6923076923076927E-2</v>
      </c>
      <c r="L608" s="57">
        <f>(AA609/AA608)^(1/(I609-I608))-1</f>
        <v>1.8999999999999906E-2</v>
      </c>
      <c r="M608" s="56">
        <f>AA608*H608*(1+$L$2)^(2015-I608)</f>
        <v>74.402309711286094</v>
      </c>
      <c r="N608" s="14">
        <v>52</v>
      </c>
      <c r="O608" s="18">
        <f t="shared" si="176"/>
        <v>52</v>
      </c>
      <c r="P608" s="16">
        <v>0</v>
      </c>
      <c r="Q608" s="16">
        <v>1</v>
      </c>
      <c r="R608" s="16">
        <v>0</v>
      </c>
      <c r="S608" s="14"/>
      <c r="T608" s="56" t="str">
        <f t="shared" si="175"/>
        <v/>
      </c>
      <c r="U608" s="56" t="str">
        <f t="shared" si="177"/>
        <v/>
      </c>
      <c r="V608" s="56" t="str">
        <f t="shared" si="178"/>
        <v/>
      </c>
      <c r="W608" s="14"/>
      <c r="X608" s="14"/>
      <c r="Y608" s="14"/>
      <c r="Z608" s="14"/>
      <c r="AA608" s="18">
        <f t="shared" si="182"/>
        <v>52</v>
      </c>
      <c r="AB608" s="14"/>
      <c r="AC608" s="14"/>
      <c r="AD608" s="14"/>
      <c r="AE608" s="14"/>
      <c r="AF608" s="16">
        <v>0</v>
      </c>
      <c r="AG608" s="16">
        <v>1</v>
      </c>
      <c r="AH608" s="16">
        <v>1</v>
      </c>
      <c r="AI608" s="16">
        <v>1</v>
      </c>
      <c r="AJ608" s="5">
        <v>1</v>
      </c>
      <c r="AK608" s="5">
        <v>0</v>
      </c>
      <c r="AL608" s="5">
        <v>0</v>
      </c>
      <c r="AM608" s="20"/>
      <c r="AN608" s="20">
        <v>1</v>
      </c>
      <c r="AO608" s="14"/>
      <c r="AP608" s="16"/>
      <c r="AQ608" s="16"/>
      <c r="AR608" s="16">
        <v>0</v>
      </c>
      <c r="AS608" s="16">
        <v>0</v>
      </c>
      <c r="AT608" s="16"/>
      <c r="AU608" s="16"/>
      <c r="AV608" s="16"/>
      <c r="AW608" s="16"/>
      <c r="AX608" s="16">
        <v>0</v>
      </c>
      <c r="AY608" s="16">
        <v>0</v>
      </c>
      <c r="AZ608" s="16">
        <v>1</v>
      </c>
      <c r="BA608" s="16">
        <v>0</v>
      </c>
    </row>
    <row r="609" spans="1:53" s="36" customFormat="1" x14ac:dyDescent="0.2">
      <c r="A609" s="29"/>
      <c r="B609" s="14" t="str">
        <f t="shared" si="179"/>
        <v>Anthoff et al. 2011</v>
      </c>
      <c r="C609" s="61">
        <f t="shared" si="180"/>
        <v>64</v>
      </c>
      <c r="D609" s="58">
        <v>2011</v>
      </c>
      <c r="E609" s="17"/>
      <c r="F609" s="58">
        <v>0</v>
      </c>
      <c r="G609" s="16">
        <v>1995</v>
      </c>
      <c r="H609" s="15">
        <f>LOOKUP(G609,CPI!A$69:A$100,CPI!O$69:O$100)</f>
        <v>1.4308136482939633</v>
      </c>
      <c r="I609" s="5">
        <v>2100</v>
      </c>
      <c r="J609" s="43">
        <v>0</v>
      </c>
      <c r="K609" s="43"/>
      <c r="L609" s="57"/>
      <c r="M609" s="56"/>
      <c r="N609" s="3">
        <f>N608*(1.019)^85</f>
        <v>257.51882623702971</v>
      </c>
      <c r="O609" s="50">
        <f t="shared" si="176"/>
        <v>257.51882623702971</v>
      </c>
      <c r="P609" s="16">
        <v>0</v>
      </c>
      <c r="Q609" s="16">
        <v>1</v>
      </c>
      <c r="R609" s="16">
        <v>0</v>
      </c>
      <c r="S609" s="42"/>
      <c r="T609" s="56" t="str">
        <f t="shared" si="175"/>
        <v/>
      </c>
      <c r="U609" s="56" t="str">
        <f t="shared" si="177"/>
        <v/>
      </c>
      <c r="V609" s="56" t="str">
        <f t="shared" si="178"/>
        <v/>
      </c>
      <c r="W609" s="42"/>
      <c r="X609" s="42"/>
      <c r="Y609" s="42"/>
      <c r="Z609" s="42"/>
      <c r="AA609" s="37">
        <f t="shared" si="182"/>
        <v>257.51882623702971</v>
      </c>
      <c r="AB609" s="42"/>
      <c r="AC609" s="42"/>
      <c r="AD609" s="42"/>
      <c r="AE609" s="42"/>
      <c r="AF609" s="16">
        <v>0</v>
      </c>
      <c r="AG609" s="16">
        <v>1</v>
      </c>
      <c r="AH609" s="16">
        <v>1</v>
      </c>
      <c r="AI609" s="16">
        <v>1</v>
      </c>
      <c r="AJ609" s="5">
        <v>1</v>
      </c>
      <c r="AK609" s="5">
        <v>0</v>
      </c>
      <c r="AL609" s="5">
        <v>0</v>
      </c>
      <c r="AM609" s="20"/>
      <c r="AN609" s="20">
        <v>1</v>
      </c>
      <c r="AO609" s="14"/>
      <c r="AP609" s="16"/>
      <c r="AQ609" s="16"/>
      <c r="AR609" s="16">
        <v>0</v>
      </c>
      <c r="AS609" s="16">
        <v>0</v>
      </c>
      <c r="AT609" s="16"/>
      <c r="AU609" s="16"/>
      <c r="AV609" s="16"/>
      <c r="AW609" s="16"/>
      <c r="AX609" s="16">
        <v>0</v>
      </c>
      <c r="AY609" s="16">
        <v>0</v>
      </c>
      <c r="AZ609" s="16">
        <v>1</v>
      </c>
      <c r="BA609" s="16">
        <v>0</v>
      </c>
    </row>
    <row r="610" spans="1:53" x14ac:dyDescent="0.2">
      <c r="A610" s="14" t="s">
        <v>56</v>
      </c>
      <c r="B610" s="14" t="str">
        <f t="shared" si="179"/>
        <v>Ceronsky et al. 2011</v>
      </c>
      <c r="C610" s="61">
        <f t="shared" si="180"/>
        <v>65</v>
      </c>
      <c r="D610" s="58">
        <v>2011</v>
      </c>
      <c r="E610" s="17" t="s">
        <v>124</v>
      </c>
      <c r="F610" s="58">
        <v>0</v>
      </c>
      <c r="G610" s="16">
        <v>2010</v>
      </c>
      <c r="H610" s="15">
        <f>LOOKUP(G610,CPI!A$69:A$100,CPI!O$69:O$100)</f>
        <v>1</v>
      </c>
      <c r="I610" s="52">
        <v>2010</v>
      </c>
      <c r="J610" s="27">
        <f>1/7.392</f>
        <v>0.13528138528138528</v>
      </c>
      <c r="K610" s="15"/>
      <c r="L610" s="62"/>
      <c r="M610" s="56">
        <f t="shared" ref="M610:M632" si="183">AA610*H610*(1+$L$2)^(2015-I610)</f>
        <v>644.55626634590897</v>
      </c>
      <c r="N610" s="14">
        <v>553</v>
      </c>
      <c r="O610" s="18">
        <f t="shared" ref="O610:O657" si="184">N610</f>
        <v>553</v>
      </c>
      <c r="P610" s="16">
        <v>1</v>
      </c>
      <c r="Q610" s="16">
        <v>0</v>
      </c>
      <c r="R610" s="16">
        <v>0</v>
      </c>
      <c r="S610" s="14"/>
      <c r="T610" s="56" t="str">
        <f t="shared" si="175"/>
        <v/>
      </c>
      <c r="U610" s="56" t="str">
        <f t="shared" si="177"/>
        <v/>
      </c>
      <c r="V610" s="56" t="str">
        <f t="shared" si="178"/>
        <v/>
      </c>
      <c r="W610" s="14"/>
      <c r="X610" s="14"/>
      <c r="Y610" s="14"/>
      <c r="Z610" s="14"/>
      <c r="AA610" s="18">
        <f t="shared" si="182"/>
        <v>553</v>
      </c>
      <c r="AB610" s="14"/>
      <c r="AC610" s="14"/>
      <c r="AD610" s="14"/>
      <c r="AE610" s="14"/>
      <c r="AF610" s="16">
        <v>0</v>
      </c>
      <c r="AG610" s="16">
        <v>1</v>
      </c>
      <c r="AH610" s="16">
        <v>1</v>
      </c>
      <c r="AI610" s="16">
        <v>1</v>
      </c>
      <c r="AJ610" s="5">
        <v>1</v>
      </c>
      <c r="AK610" s="5">
        <v>0</v>
      </c>
      <c r="AL610" s="5">
        <v>0</v>
      </c>
      <c r="AM610" s="20"/>
      <c r="AN610" s="20">
        <v>0</v>
      </c>
      <c r="AO610" s="14"/>
      <c r="AP610" s="16"/>
      <c r="AQ610" s="16"/>
      <c r="AR610" s="16">
        <v>0</v>
      </c>
      <c r="AS610" s="16">
        <v>0</v>
      </c>
      <c r="AT610" s="16"/>
      <c r="AU610" s="16"/>
      <c r="AV610" s="16"/>
      <c r="AW610" s="16"/>
      <c r="AX610" s="16">
        <v>0</v>
      </c>
      <c r="AY610" s="16">
        <v>0</v>
      </c>
      <c r="AZ610" s="16">
        <v>1</v>
      </c>
      <c r="BA610" s="16">
        <v>0</v>
      </c>
    </row>
    <row r="611" spans="1:53" x14ac:dyDescent="0.2">
      <c r="A611" s="14"/>
      <c r="B611" s="14" t="str">
        <f t="shared" si="179"/>
        <v>Ceronsky et al. 2011</v>
      </c>
      <c r="C611" s="61">
        <f t="shared" si="180"/>
        <v>65</v>
      </c>
      <c r="D611" s="58">
        <v>2011</v>
      </c>
      <c r="E611" s="17"/>
      <c r="F611" s="58">
        <v>0</v>
      </c>
      <c r="G611" s="16">
        <v>2010</v>
      </c>
      <c r="H611" s="15">
        <f>LOOKUP(G611,CPI!A$69:A$100,CPI!O$69:O$100)</f>
        <v>1</v>
      </c>
      <c r="I611" s="52">
        <v>2010</v>
      </c>
      <c r="J611" s="27">
        <f>0.01/7.392</f>
        <v>1.3528138528138528E-3</v>
      </c>
      <c r="K611" s="15"/>
      <c r="L611" s="62"/>
      <c r="M611" s="56">
        <f t="shared" si="183"/>
        <v>624.74169757939819</v>
      </c>
      <c r="N611" s="14">
        <v>536</v>
      </c>
      <c r="O611" s="18">
        <f t="shared" si="184"/>
        <v>536</v>
      </c>
      <c r="P611" s="16">
        <v>1</v>
      </c>
      <c r="Q611" s="16">
        <v>0</v>
      </c>
      <c r="R611" s="16">
        <v>0</v>
      </c>
      <c r="S611" s="14"/>
      <c r="T611" s="56" t="str">
        <f t="shared" si="175"/>
        <v/>
      </c>
      <c r="U611" s="56" t="str">
        <f t="shared" si="177"/>
        <v/>
      </c>
      <c r="V611" s="56" t="str">
        <f t="shared" si="178"/>
        <v/>
      </c>
      <c r="W611" s="14"/>
      <c r="X611" s="14"/>
      <c r="Y611" s="14"/>
      <c r="Z611" s="14"/>
      <c r="AA611" s="18">
        <f t="shared" si="182"/>
        <v>536</v>
      </c>
      <c r="AB611" s="14"/>
      <c r="AC611" s="14"/>
      <c r="AD611" s="14"/>
      <c r="AE611" s="14"/>
      <c r="AF611" s="16">
        <v>0</v>
      </c>
      <c r="AG611" s="16">
        <v>1</v>
      </c>
      <c r="AH611" s="16">
        <v>1</v>
      </c>
      <c r="AI611" s="16">
        <v>1</v>
      </c>
      <c r="AJ611" s="5">
        <v>1</v>
      </c>
      <c r="AK611" s="5">
        <v>0</v>
      </c>
      <c r="AL611" s="5">
        <v>0</v>
      </c>
      <c r="AM611" s="20"/>
      <c r="AN611" s="20">
        <v>0</v>
      </c>
      <c r="AO611" s="14"/>
      <c r="AP611" s="16"/>
      <c r="AQ611" s="16"/>
      <c r="AR611" s="16">
        <v>0</v>
      </c>
      <c r="AS611" s="16">
        <v>0</v>
      </c>
      <c r="AT611" s="16"/>
      <c r="AU611" s="16"/>
      <c r="AV611" s="16"/>
      <c r="AW611" s="16"/>
      <c r="AX611" s="16">
        <v>0</v>
      </c>
      <c r="AY611" s="16">
        <v>0</v>
      </c>
      <c r="AZ611" s="16">
        <v>1</v>
      </c>
      <c r="BA611" s="16">
        <v>0</v>
      </c>
    </row>
    <row r="612" spans="1:53" x14ac:dyDescent="0.2">
      <c r="A612" s="14"/>
      <c r="B612" s="14" t="str">
        <f t="shared" si="179"/>
        <v>Ceronsky et al. 2011</v>
      </c>
      <c r="C612" s="61">
        <f t="shared" si="180"/>
        <v>65</v>
      </c>
      <c r="D612" s="58">
        <v>2011</v>
      </c>
      <c r="E612" s="17"/>
      <c r="F612" s="58">
        <v>0</v>
      </c>
      <c r="G612" s="16">
        <v>2010</v>
      </c>
      <c r="H612" s="15">
        <f>LOOKUP(G612,CPI!A$69:A$100,CPI!O$69:O$100)</f>
        <v>1</v>
      </c>
      <c r="I612" s="52">
        <v>2010</v>
      </c>
      <c r="J612" s="27">
        <f>0.1/7.392</f>
        <v>1.3528138528138528E-2</v>
      </c>
      <c r="K612" s="15"/>
      <c r="L612" s="62"/>
      <c r="M612" s="56">
        <f t="shared" si="183"/>
        <v>673.69533806136599</v>
      </c>
      <c r="N612" s="14">
        <v>578</v>
      </c>
      <c r="O612" s="18">
        <f t="shared" si="184"/>
        <v>578</v>
      </c>
      <c r="P612" s="16">
        <v>1</v>
      </c>
      <c r="Q612" s="16">
        <v>0</v>
      </c>
      <c r="R612" s="16">
        <v>0</v>
      </c>
      <c r="S612" s="14"/>
      <c r="T612" s="56" t="str">
        <f t="shared" si="175"/>
        <v/>
      </c>
      <c r="U612" s="56" t="str">
        <f t="shared" si="177"/>
        <v/>
      </c>
      <c r="V612" s="56" t="str">
        <f t="shared" si="178"/>
        <v/>
      </c>
      <c r="W612" s="14"/>
      <c r="X612" s="14"/>
      <c r="Y612" s="14"/>
      <c r="Z612" s="14"/>
      <c r="AA612" s="18">
        <f t="shared" si="182"/>
        <v>578</v>
      </c>
      <c r="AB612" s="14"/>
      <c r="AC612" s="14"/>
      <c r="AD612" s="14"/>
      <c r="AE612" s="14"/>
      <c r="AF612" s="16">
        <v>0</v>
      </c>
      <c r="AG612" s="16">
        <v>1</v>
      </c>
      <c r="AH612" s="16">
        <v>1</v>
      </c>
      <c r="AI612" s="16">
        <v>1</v>
      </c>
      <c r="AJ612" s="5">
        <v>1</v>
      </c>
      <c r="AK612" s="5">
        <v>0</v>
      </c>
      <c r="AL612" s="5">
        <v>0</v>
      </c>
      <c r="AM612" s="20"/>
      <c r="AN612" s="20">
        <v>0</v>
      </c>
      <c r="AO612" s="14"/>
      <c r="AP612" s="16"/>
      <c r="AQ612" s="16"/>
      <c r="AR612" s="16">
        <v>0</v>
      </c>
      <c r="AS612" s="16">
        <v>0</v>
      </c>
      <c r="AT612" s="16"/>
      <c r="AU612" s="16"/>
      <c r="AV612" s="16"/>
      <c r="AW612" s="16"/>
      <c r="AX612" s="16">
        <v>0</v>
      </c>
      <c r="AY612" s="16">
        <v>0</v>
      </c>
      <c r="AZ612" s="16">
        <v>1</v>
      </c>
      <c r="BA612" s="16">
        <v>0</v>
      </c>
    </row>
    <row r="613" spans="1:53" x14ac:dyDescent="0.2">
      <c r="A613" s="14"/>
      <c r="B613" s="14" t="str">
        <f t="shared" si="179"/>
        <v>Ceronsky et al. 2011</v>
      </c>
      <c r="C613" s="61">
        <f t="shared" si="180"/>
        <v>65</v>
      </c>
      <c r="D613" s="58">
        <v>2011</v>
      </c>
      <c r="E613" s="17"/>
      <c r="F613" s="58">
        <v>0</v>
      </c>
      <c r="G613" s="16">
        <v>2010</v>
      </c>
      <c r="H613" s="15">
        <f>LOOKUP(G613,CPI!A$69:A$100,CPI!O$69:O$100)</f>
        <v>1</v>
      </c>
      <c r="I613" s="52">
        <v>2010</v>
      </c>
      <c r="J613" s="27">
        <f>0.01/7.392</f>
        <v>1.3528138528138528E-3</v>
      </c>
      <c r="K613" s="15"/>
      <c r="L613" s="62"/>
      <c r="M613" s="56">
        <f t="shared" si="183"/>
        <v>828.71519958759723</v>
      </c>
      <c r="N613" s="14">
        <v>711</v>
      </c>
      <c r="O613" s="18">
        <f t="shared" si="184"/>
        <v>711</v>
      </c>
      <c r="P613" s="16">
        <v>1</v>
      </c>
      <c r="Q613" s="16">
        <v>0</v>
      </c>
      <c r="R613" s="16">
        <v>0</v>
      </c>
      <c r="S613" s="14"/>
      <c r="T613" s="56" t="str">
        <f t="shared" si="175"/>
        <v/>
      </c>
      <c r="U613" s="56" t="str">
        <f t="shared" si="177"/>
        <v/>
      </c>
      <c r="V613" s="56" t="str">
        <f t="shared" si="178"/>
        <v/>
      </c>
      <c r="W613" s="14"/>
      <c r="X613" s="14"/>
      <c r="Y613" s="14"/>
      <c r="Z613" s="14"/>
      <c r="AA613" s="18">
        <f t="shared" si="182"/>
        <v>711</v>
      </c>
      <c r="AB613" s="14"/>
      <c r="AC613" s="14"/>
      <c r="AD613" s="14"/>
      <c r="AE613" s="14"/>
      <c r="AF613" s="16">
        <v>0</v>
      </c>
      <c r="AG613" s="16">
        <v>1</v>
      </c>
      <c r="AH613" s="16">
        <v>1</v>
      </c>
      <c r="AI613" s="16">
        <v>1</v>
      </c>
      <c r="AJ613" s="5">
        <v>1</v>
      </c>
      <c r="AK613" s="5">
        <v>0</v>
      </c>
      <c r="AL613" s="5">
        <v>0</v>
      </c>
      <c r="AM613" s="20"/>
      <c r="AN613" s="20">
        <v>0</v>
      </c>
      <c r="AO613" s="14"/>
      <c r="AP613" s="16"/>
      <c r="AQ613" s="16"/>
      <c r="AR613" s="16">
        <v>0</v>
      </c>
      <c r="AS613" s="16">
        <v>0</v>
      </c>
      <c r="AT613" s="16"/>
      <c r="AU613" s="16"/>
      <c r="AV613" s="16"/>
      <c r="AW613" s="16"/>
      <c r="AX613" s="16">
        <v>0</v>
      </c>
      <c r="AY613" s="16">
        <v>0</v>
      </c>
      <c r="AZ613" s="16">
        <v>1</v>
      </c>
      <c r="BA613" s="16">
        <v>0</v>
      </c>
    </row>
    <row r="614" spans="1:53" x14ac:dyDescent="0.2">
      <c r="A614" s="14"/>
      <c r="B614" s="14" t="str">
        <f t="shared" si="179"/>
        <v>Ceronsky et al. 2011</v>
      </c>
      <c r="C614" s="61">
        <f t="shared" si="180"/>
        <v>65</v>
      </c>
      <c r="D614" s="58">
        <v>2011</v>
      </c>
      <c r="E614" s="17"/>
      <c r="F614" s="58">
        <v>0</v>
      </c>
      <c r="G614" s="16">
        <v>2010</v>
      </c>
      <c r="H614" s="15">
        <f>LOOKUP(G614,CPI!A$69:A$100,CPI!O$69:O$100)</f>
        <v>1</v>
      </c>
      <c r="I614" s="52">
        <v>2010</v>
      </c>
      <c r="J614" s="27">
        <f>0.001/7.392</f>
        <v>1.3528138528138528E-4</v>
      </c>
      <c r="K614" s="15"/>
      <c r="L614" s="62"/>
      <c r="M614" s="56">
        <f t="shared" si="183"/>
        <v>1190.0396888592641</v>
      </c>
      <c r="N614" s="14">
        <v>1021</v>
      </c>
      <c r="O614" s="18">
        <f t="shared" si="184"/>
        <v>1021</v>
      </c>
      <c r="P614" s="16">
        <v>1</v>
      </c>
      <c r="Q614" s="16">
        <v>0</v>
      </c>
      <c r="R614" s="16">
        <v>0</v>
      </c>
      <c r="S614" s="14"/>
      <c r="T614" s="56" t="str">
        <f t="shared" si="175"/>
        <v/>
      </c>
      <c r="U614" s="56" t="str">
        <f t="shared" si="177"/>
        <v/>
      </c>
      <c r="V614" s="56" t="str">
        <f t="shared" si="178"/>
        <v/>
      </c>
      <c r="W614" s="14"/>
      <c r="X614" s="14"/>
      <c r="Y614" s="14"/>
      <c r="Z614" s="14"/>
      <c r="AA614" s="18">
        <f t="shared" si="182"/>
        <v>1021</v>
      </c>
      <c r="AB614" s="14"/>
      <c r="AC614" s="14"/>
      <c r="AD614" s="14"/>
      <c r="AE614" s="14"/>
      <c r="AF614" s="16">
        <v>0</v>
      </c>
      <c r="AG614" s="16">
        <v>1</v>
      </c>
      <c r="AH614" s="16">
        <v>1</v>
      </c>
      <c r="AI614" s="16">
        <v>1</v>
      </c>
      <c r="AJ614" s="5">
        <v>1</v>
      </c>
      <c r="AK614" s="5">
        <v>0</v>
      </c>
      <c r="AL614" s="5">
        <v>0</v>
      </c>
      <c r="AM614" s="20"/>
      <c r="AN614" s="20">
        <v>0</v>
      </c>
      <c r="AO614" s="14"/>
      <c r="AP614" s="16"/>
      <c r="AQ614" s="16"/>
      <c r="AR614" s="16">
        <v>0</v>
      </c>
      <c r="AS614" s="16">
        <v>0</v>
      </c>
      <c r="AT614" s="16"/>
      <c r="AU614" s="16"/>
      <c r="AV614" s="16"/>
      <c r="AW614" s="16"/>
      <c r="AX614" s="16">
        <v>0</v>
      </c>
      <c r="AY614" s="16">
        <v>0</v>
      </c>
      <c r="AZ614" s="16">
        <v>1</v>
      </c>
      <c r="BA614" s="16">
        <v>0</v>
      </c>
    </row>
    <row r="615" spans="1:53" x14ac:dyDescent="0.2">
      <c r="A615" s="14"/>
      <c r="B615" s="14" t="str">
        <f t="shared" si="179"/>
        <v>Ceronsky et al. 2011</v>
      </c>
      <c r="C615" s="61">
        <f t="shared" si="180"/>
        <v>65</v>
      </c>
      <c r="D615" s="58">
        <v>2011</v>
      </c>
      <c r="E615" s="17"/>
      <c r="F615" s="58">
        <v>0</v>
      </c>
      <c r="G615" s="16">
        <v>2010</v>
      </c>
      <c r="H615" s="15">
        <f>LOOKUP(G615,CPI!A$69:A$100,CPI!O$69:O$100)</f>
        <v>1</v>
      </c>
      <c r="I615" s="52">
        <v>2010</v>
      </c>
      <c r="J615" s="27">
        <f>0.1/7.392</f>
        <v>1.3528138528138528E-2</v>
      </c>
      <c r="K615" s="15"/>
      <c r="L615" s="62"/>
      <c r="M615" s="56">
        <f t="shared" si="183"/>
        <v>968.58274382179081</v>
      </c>
      <c r="N615" s="14">
        <v>831</v>
      </c>
      <c r="O615" s="18">
        <f t="shared" si="184"/>
        <v>831</v>
      </c>
      <c r="P615" s="16">
        <v>1</v>
      </c>
      <c r="Q615" s="16">
        <v>0</v>
      </c>
      <c r="R615" s="16">
        <v>0</v>
      </c>
      <c r="S615" s="14"/>
      <c r="T615" s="56" t="str">
        <f t="shared" si="175"/>
        <v/>
      </c>
      <c r="U615" s="56" t="str">
        <f t="shared" si="177"/>
        <v/>
      </c>
      <c r="V615" s="56" t="str">
        <f t="shared" si="178"/>
        <v/>
      </c>
      <c r="W615" s="14"/>
      <c r="X615" s="14"/>
      <c r="Y615" s="14"/>
      <c r="Z615" s="14"/>
      <c r="AA615" s="18">
        <f t="shared" si="182"/>
        <v>831</v>
      </c>
      <c r="AB615" s="14"/>
      <c r="AC615" s="14"/>
      <c r="AD615" s="14"/>
      <c r="AE615" s="14"/>
      <c r="AF615" s="16">
        <v>0</v>
      </c>
      <c r="AG615" s="16">
        <v>1</v>
      </c>
      <c r="AH615" s="16">
        <v>1</v>
      </c>
      <c r="AI615" s="16">
        <v>1</v>
      </c>
      <c r="AJ615" s="5">
        <v>1</v>
      </c>
      <c r="AK615" s="5">
        <v>0</v>
      </c>
      <c r="AL615" s="5">
        <v>0</v>
      </c>
      <c r="AM615" s="20"/>
      <c r="AN615" s="20">
        <v>0</v>
      </c>
      <c r="AO615" s="14"/>
      <c r="AP615" s="16"/>
      <c r="AQ615" s="16"/>
      <c r="AR615" s="16">
        <v>0</v>
      </c>
      <c r="AS615" s="16">
        <v>0</v>
      </c>
      <c r="AT615" s="16"/>
      <c r="AU615" s="16"/>
      <c r="AV615" s="16"/>
      <c r="AW615" s="16"/>
      <c r="AX615" s="16">
        <v>0</v>
      </c>
      <c r="AY615" s="16">
        <v>0</v>
      </c>
      <c r="AZ615" s="16">
        <v>1</v>
      </c>
      <c r="BA615" s="16">
        <v>0</v>
      </c>
    </row>
    <row r="616" spans="1:53" x14ac:dyDescent="0.2">
      <c r="A616" s="14"/>
      <c r="B616" s="14" t="str">
        <f t="shared" si="179"/>
        <v>Ceronsky et al. 2011</v>
      </c>
      <c r="C616" s="61">
        <f t="shared" si="180"/>
        <v>65</v>
      </c>
      <c r="D616" s="58">
        <v>2011</v>
      </c>
      <c r="E616" s="17"/>
      <c r="F616" s="58">
        <v>0</v>
      </c>
      <c r="G616" s="16">
        <v>2010</v>
      </c>
      <c r="H616" s="15">
        <f>LOOKUP(G616,CPI!A$69:A$100,CPI!O$69:O$100)</f>
        <v>1</v>
      </c>
      <c r="I616" s="52">
        <v>2010</v>
      </c>
      <c r="J616" s="27">
        <f>0.01/7.392</f>
        <v>1.3528138528138528E-3</v>
      </c>
      <c r="K616" s="15"/>
      <c r="L616" s="62"/>
      <c r="M616" s="56">
        <f t="shared" si="183"/>
        <v>1874.2250927381945</v>
      </c>
      <c r="N616" s="14">
        <v>1608</v>
      </c>
      <c r="O616" s="18">
        <f t="shared" si="184"/>
        <v>1608</v>
      </c>
      <c r="P616" s="16">
        <v>1</v>
      </c>
      <c r="Q616" s="16">
        <v>0</v>
      </c>
      <c r="R616" s="16">
        <v>0</v>
      </c>
      <c r="S616" s="14"/>
      <c r="T616" s="56" t="str">
        <f t="shared" si="175"/>
        <v/>
      </c>
      <c r="U616" s="56" t="str">
        <f t="shared" si="177"/>
        <v/>
      </c>
      <c r="V616" s="56" t="str">
        <f t="shared" si="178"/>
        <v/>
      </c>
      <c r="W616" s="14"/>
      <c r="X616" s="14"/>
      <c r="Y616" s="14"/>
      <c r="Z616" s="14"/>
      <c r="AA616" s="18">
        <f t="shared" si="182"/>
        <v>1608</v>
      </c>
      <c r="AB616" s="14"/>
      <c r="AC616" s="14"/>
      <c r="AD616" s="14"/>
      <c r="AE616" s="14"/>
      <c r="AF616" s="16">
        <v>0</v>
      </c>
      <c r="AG616" s="16">
        <v>1</v>
      </c>
      <c r="AH616" s="16">
        <v>1</v>
      </c>
      <c r="AI616" s="16">
        <v>1</v>
      </c>
      <c r="AJ616" s="5">
        <v>1</v>
      </c>
      <c r="AK616" s="5">
        <v>0</v>
      </c>
      <c r="AL616" s="5">
        <v>0</v>
      </c>
      <c r="AM616" s="20"/>
      <c r="AN616" s="20">
        <v>0</v>
      </c>
      <c r="AO616" s="14"/>
      <c r="AP616" s="16"/>
      <c r="AQ616" s="16"/>
      <c r="AR616" s="16">
        <v>0</v>
      </c>
      <c r="AS616" s="16">
        <v>0</v>
      </c>
      <c r="AT616" s="16"/>
      <c r="AU616" s="16"/>
      <c r="AV616" s="16"/>
      <c r="AW616" s="16"/>
      <c r="AX616" s="16">
        <v>0</v>
      </c>
      <c r="AY616" s="16">
        <v>0</v>
      </c>
      <c r="AZ616" s="16">
        <v>1</v>
      </c>
      <c r="BA616" s="16">
        <v>0</v>
      </c>
    </row>
    <row r="617" spans="1:53" x14ac:dyDescent="0.2">
      <c r="A617" s="14"/>
      <c r="B617" s="14" t="str">
        <f t="shared" si="179"/>
        <v>Ceronsky et al. 2011</v>
      </c>
      <c r="C617" s="61">
        <f t="shared" si="180"/>
        <v>65</v>
      </c>
      <c r="D617" s="58">
        <v>2011</v>
      </c>
      <c r="E617" s="17"/>
      <c r="F617" s="58">
        <v>0</v>
      </c>
      <c r="G617" s="16">
        <v>2010</v>
      </c>
      <c r="H617" s="15">
        <f>LOOKUP(G617,CPI!A$69:A$100,CPI!O$69:O$100)</f>
        <v>1</v>
      </c>
      <c r="I617" s="52">
        <v>2010</v>
      </c>
      <c r="J617" s="27">
        <f>0.001/7.392</f>
        <v>1.3528138528138528E-4</v>
      </c>
      <c r="K617" s="15"/>
      <c r="L617" s="62"/>
      <c r="M617" s="56">
        <f t="shared" si="183"/>
        <v>2190.0926301337486</v>
      </c>
      <c r="N617" s="14">
        <v>1879</v>
      </c>
      <c r="O617" s="18">
        <f t="shared" si="184"/>
        <v>1879</v>
      </c>
      <c r="P617" s="16">
        <v>1</v>
      </c>
      <c r="Q617" s="16">
        <v>0</v>
      </c>
      <c r="R617" s="16">
        <v>0</v>
      </c>
      <c r="S617" s="14"/>
      <c r="T617" s="56" t="str">
        <f t="shared" si="175"/>
        <v/>
      </c>
      <c r="U617" s="56" t="str">
        <f t="shared" si="177"/>
        <v/>
      </c>
      <c r="V617" s="56" t="str">
        <f t="shared" si="178"/>
        <v/>
      </c>
      <c r="W617" s="14"/>
      <c r="X617" s="14"/>
      <c r="Y617" s="14"/>
      <c r="Z617" s="14"/>
      <c r="AA617" s="18">
        <f t="shared" si="182"/>
        <v>1879</v>
      </c>
      <c r="AB617" s="14"/>
      <c r="AC617" s="14"/>
      <c r="AD617" s="14"/>
      <c r="AE617" s="14"/>
      <c r="AF617" s="16">
        <v>0</v>
      </c>
      <c r="AG617" s="16">
        <v>1</v>
      </c>
      <c r="AH617" s="16">
        <v>1</v>
      </c>
      <c r="AI617" s="16">
        <v>1</v>
      </c>
      <c r="AJ617" s="5">
        <v>1</v>
      </c>
      <c r="AK617" s="5">
        <v>0</v>
      </c>
      <c r="AL617" s="5">
        <v>0</v>
      </c>
      <c r="AM617" s="20"/>
      <c r="AN617" s="20">
        <v>0</v>
      </c>
      <c r="AO617" s="14"/>
      <c r="AP617" s="16"/>
      <c r="AQ617" s="16"/>
      <c r="AR617" s="16">
        <v>0</v>
      </c>
      <c r="AS617" s="16">
        <v>0</v>
      </c>
      <c r="AT617" s="16"/>
      <c r="AU617" s="16"/>
      <c r="AV617" s="16"/>
      <c r="AW617" s="16"/>
      <c r="AX617" s="16">
        <v>0</v>
      </c>
      <c r="AY617" s="16">
        <v>0</v>
      </c>
      <c r="AZ617" s="16">
        <v>1</v>
      </c>
      <c r="BA617" s="16">
        <v>0</v>
      </c>
    </row>
    <row r="618" spans="1:53" x14ac:dyDescent="0.2">
      <c r="A618" s="14"/>
      <c r="B618" s="14" t="str">
        <f t="shared" si="179"/>
        <v>Ceronsky et al. 2011</v>
      </c>
      <c r="C618" s="61">
        <f t="shared" si="180"/>
        <v>65</v>
      </c>
      <c r="D618" s="58">
        <v>2011</v>
      </c>
      <c r="E618" s="17"/>
      <c r="F618" s="58">
        <v>0</v>
      </c>
      <c r="G618" s="16">
        <v>2010</v>
      </c>
      <c r="H618" s="15">
        <f>LOOKUP(G618,CPI!A$69:A$100,CPI!O$69:O$100)</f>
        <v>1</v>
      </c>
      <c r="I618" s="52">
        <v>2010</v>
      </c>
      <c r="J618" s="27">
        <f>1/7.392</f>
        <v>0.13528138528138528</v>
      </c>
      <c r="K618" s="15"/>
      <c r="L618" s="62"/>
      <c r="M618" s="56">
        <f t="shared" si="183"/>
        <v>418.4370698339626</v>
      </c>
      <c r="N618" s="14">
        <v>359</v>
      </c>
      <c r="O618" s="18">
        <f t="shared" si="184"/>
        <v>359</v>
      </c>
      <c r="P618" s="16">
        <v>0</v>
      </c>
      <c r="Q618" s="16">
        <v>1</v>
      </c>
      <c r="R618" s="16">
        <v>0</v>
      </c>
      <c r="S618" s="14"/>
      <c r="T618" s="56" t="str">
        <f t="shared" si="175"/>
        <v/>
      </c>
      <c r="U618" s="56" t="str">
        <f t="shared" si="177"/>
        <v/>
      </c>
      <c r="V618" s="56" t="str">
        <f t="shared" si="178"/>
        <v/>
      </c>
      <c r="W618" s="14"/>
      <c r="X618" s="14"/>
      <c r="Y618" s="14"/>
      <c r="Z618" s="14"/>
      <c r="AA618" s="18">
        <f t="shared" si="182"/>
        <v>359</v>
      </c>
      <c r="AB618" s="14"/>
      <c r="AC618" s="14"/>
      <c r="AD618" s="14"/>
      <c r="AE618" s="14"/>
      <c r="AF618" s="16">
        <v>0</v>
      </c>
      <c r="AG618" s="16">
        <v>1</v>
      </c>
      <c r="AH618" s="16">
        <v>1</v>
      </c>
      <c r="AI618" s="16">
        <v>1</v>
      </c>
      <c r="AJ618" s="5">
        <v>1</v>
      </c>
      <c r="AK618" s="5">
        <v>0</v>
      </c>
      <c r="AL618" s="5">
        <v>0</v>
      </c>
      <c r="AM618" s="20"/>
      <c r="AN618" s="20">
        <v>0</v>
      </c>
      <c r="AO618" s="14"/>
      <c r="AP618" s="16"/>
      <c r="AQ618" s="16"/>
      <c r="AR618" s="16">
        <v>0</v>
      </c>
      <c r="AS618" s="16">
        <v>0</v>
      </c>
      <c r="AT618" s="16"/>
      <c r="AU618" s="16"/>
      <c r="AV618" s="16"/>
      <c r="AW618" s="16"/>
      <c r="AX618" s="16">
        <v>0</v>
      </c>
      <c r="AY618" s="16">
        <v>0</v>
      </c>
      <c r="AZ618" s="16">
        <v>1</v>
      </c>
      <c r="BA618" s="16">
        <v>0</v>
      </c>
    </row>
    <row r="619" spans="1:53" x14ac:dyDescent="0.2">
      <c r="A619" s="14"/>
      <c r="B619" s="14" t="str">
        <f t="shared" si="179"/>
        <v>Ceronsky et al. 2011</v>
      </c>
      <c r="C619" s="61">
        <f t="shared" si="180"/>
        <v>65</v>
      </c>
      <c r="D619" s="58">
        <v>2011</v>
      </c>
      <c r="E619" s="17"/>
      <c r="F619" s="58">
        <v>0</v>
      </c>
      <c r="G619" s="16">
        <v>2010</v>
      </c>
      <c r="H619" s="15">
        <f>LOOKUP(G619,CPI!A$69:A$100,CPI!O$69:O$100)</f>
        <v>1</v>
      </c>
      <c r="I619" s="52">
        <v>2010</v>
      </c>
      <c r="J619" s="27">
        <f>0.01/7.392</f>
        <v>1.3528138528138528E-3</v>
      </c>
      <c r="K619" s="15"/>
      <c r="L619" s="62"/>
      <c r="M619" s="56">
        <f t="shared" si="183"/>
        <v>397.45693819883354</v>
      </c>
      <c r="N619" s="14">
        <v>341</v>
      </c>
      <c r="O619" s="18">
        <f t="shared" si="184"/>
        <v>341</v>
      </c>
      <c r="P619" s="16">
        <v>0</v>
      </c>
      <c r="Q619" s="16">
        <v>1</v>
      </c>
      <c r="R619" s="16">
        <v>0</v>
      </c>
      <c r="S619" s="14"/>
      <c r="T619" s="56" t="str">
        <f t="shared" si="175"/>
        <v/>
      </c>
      <c r="U619" s="56" t="str">
        <f t="shared" si="177"/>
        <v/>
      </c>
      <c r="V619" s="56" t="str">
        <f t="shared" si="178"/>
        <v/>
      </c>
      <c r="W619" s="14"/>
      <c r="X619" s="14"/>
      <c r="Y619" s="14"/>
      <c r="Z619" s="14"/>
      <c r="AA619" s="18">
        <f t="shared" si="182"/>
        <v>341</v>
      </c>
      <c r="AB619" s="14"/>
      <c r="AC619" s="14"/>
      <c r="AD619" s="14"/>
      <c r="AE619" s="14"/>
      <c r="AF619" s="16">
        <v>0</v>
      </c>
      <c r="AG619" s="16">
        <v>1</v>
      </c>
      <c r="AH619" s="16">
        <v>1</v>
      </c>
      <c r="AI619" s="16">
        <v>1</v>
      </c>
      <c r="AJ619" s="5">
        <v>1</v>
      </c>
      <c r="AK619" s="5">
        <v>0</v>
      </c>
      <c r="AL619" s="5">
        <v>0</v>
      </c>
      <c r="AM619" s="20"/>
      <c r="AN619" s="20">
        <v>0</v>
      </c>
      <c r="AO619" s="14"/>
      <c r="AP619" s="16"/>
      <c r="AQ619" s="16"/>
      <c r="AR619" s="16">
        <v>0</v>
      </c>
      <c r="AS619" s="16">
        <v>0</v>
      </c>
      <c r="AT619" s="16"/>
      <c r="AU619" s="16"/>
      <c r="AV619" s="16"/>
      <c r="AW619" s="16"/>
      <c r="AX619" s="16">
        <v>0</v>
      </c>
      <c r="AY619" s="16">
        <v>0</v>
      </c>
      <c r="AZ619" s="16">
        <v>1</v>
      </c>
      <c r="BA619" s="16">
        <v>0</v>
      </c>
    </row>
    <row r="620" spans="1:53" x14ac:dyDescent="0.2">
      <c r="A620" s="14"/>
      <c r="B620" s="14" t="str">
        <f t="shared" si="179"/>
        <v>Ceronsky et al. 2011</v>
      </c>
      <c r="C620" s="61">
        <f t="shared" si="180"/>
        <v>65</v>
      </c>
      <c r="D620" s="58">
        <v>2011</v>
      </c>
      <c r="E620" s="17"/>
      <c r="F620" s="58">
        <v>0</v>
      </c>
      <c r="G620" s="16">
        <v>2010</v>
      </c>
      <c r="H620" s="15">
        <f>LOOKUP(G620,CPI!A$69:A$100,CPI!O$69:O$100)</f>
        <v>1</v>
      </c>
      <c r="I620" s="52">
        <v>2010</v>
      </c>
      <c r="J620" s="27">
        <f>0.1/7.392</f>
        <v>1.3528138528138528E-2</v>
      </c>
      <c r="K620" s="15"/>
      <c r="L620" s="62"/>
      <c r="M620" s="56">
        <f t="shared" si="183"/>
        <v>427.76157278290884</v>
      </c>
      <c r="N620" s="14">
        <v>367</v>
      </c>
      <c r="O620" s="18">
        <f t="shared" si="184"/>
        <v>367</v>
      </c>
      <c r="P620" s="16">
        <v>0</v>
      </c>
      <c r="Q620" s="16">
        <v>1</v>
      </c>
      <c r="R620" s="16">
        <v>0</v>
      </c>
      <c r="S620" s="14"/>
      <c r="T620" s="56" t="str">
        <f t="shared" si="175"/>
        <v/>
      </c>
      <c r="U620" s="56" t="str">
        <f t="shared" si="177"/>
        <v/>
      </c>
      <c r="V620" s="56" t="str">
        <f t="shared" si="178"/>
        <v/>
      </c>
      <c r="W620" s="14"/>
      <c r="X620" s="14"/>
      <c r="Y620" s="14"/>
      <c r="Z620" s="14"/>
      <c r="AA620" s="18">
        <f t="shared" si="182"/>
        <v>367</v>
      </c>
      <c r="AB620" s="14"/>
      <c r="AC620" s="14"/>
      <c r="AD620" s="14"/>
      <c r="AE620" s="14"/>
      <c r="AF620" s="16">
        <v>0</v>
      </c>
      <c r="AG620" s="16">
        <v>1</v>
      </c>
      <c r="AH620" s="16">
        <v>1</v>
      </c>
      <c r="AI620" s="16">
        <v>1</v>
      </c>
      <c r="AJ620" s="5">
        <v>1</v>
      </c>
      <c r="AK620" s="5">
        <v>0</v>
      </c>
      <c r="AL620" s="5">
        <v>0</v>
      </c>
      <c r="AM620" s="20"/>
      <c r="AN620" s="20">
        <v>0</v>
      </c>
      <c r="AO620" s="14"/>
      <c r="AP620" s="16"/>
      <c r="AQ620" s="16"/>
      <c r="AR620" s="16">
        <v>0</v>
      </c>
      <c r="AS620" s="16">
        <v>0</v>
      </c>
      <c r="AT620" s="16"/>
      <c r="AU620" s="16"/>
      <c r="AV620" s="16"/>
      <c r="AW620" s="16"/>
      <c r="AX620" s="16">
        <v>0</v>
      </c>
      <c r="AY620" s="16">
        <v>0</v>
      </c>
      <c r="AZ620" s="16">
        <v>1</v>
      </c>
      <c r="BA620" s="16">
        <v>0</v>
      </c>
    </row>
    <row r="621" spans="1:53" x14ac:dyDescent="0.2">
      <c r="A621" s="14"/>
      <c r="B621" s="14" t="str">
        <f t="shared" si="179"/>
        <v>Ceronsky et al. 2011</v>
      </c>
      <c r="C621" s="61">
        <f t="shared" si="180"/>
        <v>65</v>
      </c>
      <c r="D621" s="58">
        <v>2011</v>
      </c>
      <c r="E621" s="17"/>
      <c r="F621" s="58">
        <v>0</v>
      </c>
      <c r="G621" s="16">
        <v>2010</v>
      </c>
      <c r="H621" s="15">
        <f>LOOKUP(G621,CPI!A$69:A$100,CPI!O$69:O$100)</f>
        <v>1</v>
      </c>
      <c r="I621" s="52">
        <v>2010</v>
      </c>
      <c r="J621" s="27">
        <f>0.01/7.392</f>
        <v>1.3528138528138528E-3</v>
      </c>
      <c r="K621" s="15"/>
      <c r="L621" s="62"/>
      <c r="M621" s="56">
        <f t="shared" si="183"/>
        <v>493.03309342553251</v>
      </c>
      <c r="N621" s="14">
        <v>423</v>
      </c>
      <c r="O621" s="18">
        <f t="shared" si="184"/>
        <v>423</v>
      </c>
      <c r="P621" s="16">
        <v>0</v>
      </c>
      <c r="Q621" s="16">
        <v>1</v>
      </c>
      <c r="R621" s="16">
        <v>0</v>
      </c>
      <c r="S621" s="14"/>
      <c r="T621" s="56" t="str">
        <f t="shared" si="175"/>
        <v/>
      </c>
      <c r="U621" s="56" t="str">
        <f t="shared" si="177"/>
        <v/>
      </c>
      <c r="V621" s="56" t="str">
        <f t="shared" si="178"/>
        <v/>
      </c>
      <c r="W621" s="14"/>
      <c r="X621" s="14"/>
      <c r="Y621" s="14"/>
      <c r="Z621" s="14"/>
      <c r="AA621" s="18">
        <f t="shared" si="182"/>
        <v>423</v>
      </c>
      <c r="AB621" s="14"/>
      <c r="AC621" s="14"/>
      <c r="AD621" s="14"/>
      <c r="AE621" s="14"/>
      <c r="AF621" s="16">
        <v>0</v>
      </c>
      <c r="AG621" s="16">
        <v>1</v>
      </c>
      <c r="AH621" s="16">
        <v>1</v>
      </c>
      <c r="AI621" s="16">
        <v>1</v>
      </c>
      <c r="AJ621" s="5">
        <v>1</v>
      </c>
      <c r="AK621" s="5">
        <v>0</v>
      </c>
      <c r="AL621" s="5">
        <v>0</v>
      </c>
      <c r="AM621" s="20"/>
      <c r="AN621" s="20">
        <v>0</v>
      </c>
      <c r="AO621" s="14"/>
      <c r="AP621" s="16"/>
      <c r="AQ621" s="16"/>
      <c r="AR621" s="16">
        <v>0</v>
      </c>
      <c r="AS621" s="16">
        <v>0</v>
      </c>
      <c r="AT621" s="16"/>
      <c r="AU621" s="16"/>
      <c r="AV621" s="16"/>
      <c r="AW621" s="16"/>
      <c r="AX621" s="16">
        <v>0</v>
      </c>
      <c r="AY621" s="16">
        <v>0</v>
      </c>
      <c r="AZ621" s="16">
        <v>1</v>
      </c>
      <c r="BA621" s="16">
        <v>0</v>
      </c>
    </row>
    <row r="622" spans="1:53" x14ac:dyDescent="0.2">
      <c r="A622" s="14"/>
      <c r="B622" s="14" t="str">
        <f t="shared" si="179"/>
        <v>Ceronsky et al. 2011</v>
      </c>
      <c r="C622" s="61">
        <f t="shared" si="180"/>
        <v>65</v>
      </c>
      <c r="D622" s="58">
        <v>2011</v>
      </c>
      <c r="E622" s="17"/>
      <c r="F622" s="58">
        <v>0</v>
      </c>
      <c r="G622" s="16">
        <v>2010</v>
      </c>
      <c r="H622" s="15">
        <f>LOOKUP(G622,CPI!A$69:A$100,CPI!O$69:O$100)</f>
        <v>1</v>
      </c>
      <c r="I622" s="52">
        <v>2010</v>
      </c>
      <c r="J622" s="27">
        <f>0.001/7.392</f>
        <v>1.3528138528138528E-4</v>
      </c>
      <c r="K622" s="15"/>
      <c r="L622" s="62"/>
      <c r="M622" s="56">
        <f t="shared" si="183"/>
        <v>679.52315240445739</v>
      </c>
      <c r="N622" s="14">
        <v>583</v>
      </c>
      <c r="O622" s="18">
        <f t="shared" si="184"/>
        <v>583</v>
      </c>
      <c r="P622" s="16">
        <v>0</v>
      </c>
      <c r="Q622" s="16">
        <v>1</v>
      </c>
      <c r="R622" s="16">
        <v>0</v>
      </c>
      <c r="S622" s="14"/>
      <c r="T622" s="56" t="str">
        <f t="shared" si="175"/>
        <v/>
      </c>
      <c r="U622" s="56" t="str">
        <f t="shared" si="177"/>
        <v/>
      </c>
      <c r="V622" s="56" t="str">
        <f t="shared" si="178"/>
        <v/>
      </c>
      <c r="W622" s="14"/>
      <c r="X622" s="14"/>
      <c r="Y622" s="14"/>
      <c r="Z622" s="14"/>
      <c r="AA622" s="18">
        <f t="shared" si="182"/>
        <v>583</v>
      </c>
      <c r="AB622" s="14"/>
      <c r="AC622" s="14"/>
      <c r="AD622" s="14"/>
      <c r="AE622" s="14"/>
      <c r="AF622" s="16">
        <v>0</v>
      </c>
      <c r="AG622" s="16">
        <v>1</v>
      </c>
      <c r="AH622" s="16">
        <v>1</v>
      </c>
      <c r="AI622" s="16">
        <v>1</v>
      </c>
      <c r="AJ622" s="5">
        <v>1</v>
      </c>
      <c r="AK622" s="5">
        <v>0</v>
      </c>
      <c r="AL622" s="5">
        <v>0</v>
      </c>
      <c r="AM622" s="20"/>
      <c r="AN622" s="20">
        <v>0</v>
      </c>
      <c r="AO622" s="14"/>
      <c r="AP622" s="16"/>
      <c r="AQ622" s="16"/>
      <c r="AR622" s="16">
        <v>0</v>
      </c>
      <c r="AS622" s="16">
        <v>0</v>
      </c>
      <c r="AT622" s="16"/>
      <c r="AU622" s="16"/>
      <c r="AV622" s="16"/>
      <c r="AW622" s="16"/>
      <c r="AX622" s="16">
        <v>0</v>
      </c>
      <c r="AY622" s="16">
        <v>0</v>
      </c>
      <c r="AZ622" s="16">
        <v>1</v>
      </c>
      <c r="BA622" s="16">
        <v>0</v>
      </c>
    </row>
    <row r="623" spans="1:53" x14ac:dyDescent="0.2">
      <c r="A623" s="14"/>
      <c r="B623" s="14" t="str">
        <f t="shared" si="179"/>
        <v>Ceronsky et al. 2011</v>
      </c>
      <c r="C623" s="61">
        <f t="shared" si="180"/>
        <v>65</v>
      </c>
      <c r="D623" s="58">
        <v>2011</v>
      </c>
      <c r="E623" s="17"/>
      <c r="F623" s="58">
        <v>0</v>
      </c>
      <c r="G623" s="16">
        <v>2010</v>
      </c>
      <c r="H623" s="15">
        <f>LOOKUP(G623,CPI!A$69:A$100,CPI!O$69:O$100)</f>
        <v>1</v>
      </c>
      <c r="I623" s="52">
        <v>2010</v>
      </c>
      <c r="J623" s="27">
        <f>0.1/7.392</f>
        <v>1.3528138528138528E-2</v>
      </c>
      <c r="K623" s="15"/>
      <c r="L623" s="62"/>
      <c r="M623" s="56">
        <f t="shared" si="183"/>
        <v>841.53639114239832</v>
      </c>
      <c r="N623" s="14">
        <v>722</v>
      </c>
      <c r="O623" s="18">
        <f t="shared" si="184"/>
        <v>722</v>
      </c>
      <c r="P623" s="16">
        <v>0</v>
      </c>
      <c r="Q623" s="16">
        <v>1</v>
      </c>
      <c r="R623" s="16">
        <v>0</v>
      </c>
      <c r="S623" s="14"/>
      <c r="T623" s="56" t="str">
        <f t="shared" si="175"/>
        <v/>
      </c>
      <c r="U623" s="56" t="str">
        <f t="shared" si="177"/>
        <v/>
      </c>
      <c r="V623" s="56" t="str">
        <f t="shared" si="178"/>
        <v/>
      </c>
      <c r="W623" s="14"/>
      <c r="X623" s="14"/>
      <c r="Y623" s="14"/>
      <c r="Z623" s="14"/>
      <c r="AA623" s="18">
        <f t="shared" si="182"/>
        <v>722</v>
      </c>
      <c r="AB623" s="14"/>
      <c r="AC623" s="14"/>
      <c r="AD623" s="14"/>
      <c r="AE623" s="14"/>
      <c r="AF623" s="16">
        <v>0</v>
      </c>
      <c r="AG623" s="16">
        <v>1</v>
      </c>
      <c r="AH623" s="16">
        <v>1</v>
      </c>
      <c r="AI623" s="16">
        <v>1</v>
      </c>
      <c r="AJ623" s="5">
        <v>1</v>
      </c>
      <c r="AK623" s="5">
        <v>0</v>
      </c>
      <c r="AL623" s="5">
        <v>0</v>
      </c>
      <c r="AM623" s="20"/>
      <c r="AN623" s="20">
        <v>0</v>
      </c>
      <c r="AO623" s="14"/>
      <c r="AP623" s="16"/>
      <c r="AQ623" s="16"/>
      <c r="AR623" s="16">
        <v>0</v>
      </c>
      <c r="AS623" s="16">
        <v>0</v>
      </c>
      <c r="AT623" s="16"/>
      <c r="AU623" s="16"/>
      <c r="AV623" s="16"/>
      <c r="AW623" s="16"/>
      <c r="AX623" s="16">
        <v>0</v>
      </c>
      <c r="AY623" s="16">
        <v>0</v>
      </c>
      <c r="AZ623" s="16">
        <v>1</v>
      </c>
      <c r="BA623" s="16">
        <v>0</v>
      </c>
    </row>
    <row r="624" spans="1:53" x14ac:dyDescent="0.2">
      <c r="A624" s="14"/>
      <c r="B624" s="14" t="str">
        <f t="shared" si="179"/>
        <v>Ceronsky et al. 2011</v>
      </c>
      <c r="C624" s="61">
        <f t="shared" si="180"/>
        <v>65</v>
      </c>
      <c r="D624" s="58">
        <v>2011</v>
      </c>
      <c r="E624" s="17"/>
      <c r="F624" s="58">
        <v>0</v>
      </c>
      <c r="G624" s="16">
        <v>2010</v>
      </c>
      <c r="H624" s="15">
        <f>LOOKUP(G624,CPI!A$69:A$100,CPI!O$69:O$100)</f>
        <v>1</v>
      </c>
      <c r="I624" s="52">
        <v>2010</v>
      </c>
      <c r="J624" s="27">
        <f>0.01/7.392</f>
        <v>1.3528138528138528E-3</v>
      </c>
      <c r="K624" s="15"/>
      <c r="L624" s="62"/>
      <c r="M624" s="56">
        <f t="shared" si="183"/>
        <v>1662.0926506496676</v>
      </c>
      <c r="N624" s="14">
        <v>1426</v>
      </c>
      <c r="O624" s="18">
        <f t="shared" si="184"/>
        <v>1426</v>
      </c>
      <c r="P624" s="16">
        <v>0</v>
      </c>
      <c r="Q624" s="16">
        <v>1</v>
      </c>
      <c r="R624" s="16">
        <v>0</v>
      </c>
      <c r="S624" s="14"/>
      <c r="T624" s="56" t="str">
        <f t="shared" si="175"/>
        <v/>
      </c>
      <c r="U624" s="56" t="str">
        <f t="shared" si="177"/>
        <v/>
      </c>
      <c r="V624" s="56" t="str">
        <f t="shared" si="178"/>
        <v/>
      </c>
      <c r="W624" s="14"/>
      <c r="X624" s="14"/>
      <c r="Y624" s="14"/>
      <c r="Z624" s="14"/>
      <c r="AA624" s="18">
        <f t="shared" si="182"/>
        <v>1426</v>
      </c>
      <c r="AB624" s="14"/>
      <c r="AC624" s="14"/>
      <c r="AD624" s="14"/>
      <c r="AE624" s="14"/>
      <c r="AF624" s="16">
        <v>0</v>
      </c>
      <c r="AG624" s="16">
        <v>1</v>
      </c>
      <c r="AH624" s="16">
        <v>1</v>
      </c>
      <c r="AI624" s="16">
        <v>1</v>
      </c>
      <c r="AJ624" s="5">
        <v>1</v>
      </c>
      <c r="AK624" s="5">
        <v>0</v>
      </c>
      <c r="AL624" s="5">
        <v>0</v>
      </c>
      <c r="AM624" s="20"/>
      <c r="AN624" s="20">
        <v>0</v>
      </c>
      <c r="AO624" s="14"/>
      <c r="AP624" s="16"/>
      <c r="AQ624" s="16"/>
      <c r="AR624" s="16">
        <v>0</v>
      </c>
      <c r="AS624" s="16">
        <v>0</v>
      </c>
      <c r="AT624" s="16"/>
      <c r="AU624" s="16"/>
      <c r="AV624" s="16"/>
      <c r="AW624" s="16"/>
      <c r="AX624" s="16">
        <v>0</v>
      </c>
      <c r="AY624" s="16">
        <v>0</v>
      </c>
      <c r="AZ624" s="16">
        <v>1</v>
      </c>
      <c r="BA624" s="16">
        <v>0</v>
      </c>
    </row>
    <row r="625" spans="1:53" x14ac:dyDescent="0.2">
      <c r="A625" s="14"/>
      <c r="B625" s="14" t="str">
        <f t="shared" si="179"/>
        <v>Ceronsky et al. 2011</v>
      </c>
      <c r="C625" s="61">
        <f t="shared" si="180"/>
        <v>65</v>
      </c>
      <c r="D625" s="58">
        <v>2011</v>
      </c>
      <c r="E625" s="17"/>
      <c r="F625" s="58">
        <v>0</v>
      </c>
      <c r="G625" s="16">
        <v>2010</v>
      </c>
      <c r="H625" s="15">
        <f>LOOKUP(G625,CPI!A$69:A$100,CPI!O$69:O$100)</f>
        <v>1</v>
      </c>
      <c r="I625" s="52">
        <v>2010</v>
      </c>
      <c r="J625" s="27">
        <f>0.001/7.392</f>
        <v>1.3528138528138528E-4</v>
      </c>
      <c r="K625" s="15"/>
      <c r="L625" s="62"/>
      <c r="M625" s="56">
        <f t="shared" si="183"/>
        <v>1946.4899905925279</v>
      </c>
      <c r="N625" s="14">
        <v>1670</v>
      </c>
      <c r="O625" s="18">
        <f t="shared" si="184"/>
        <v>1670</v>
      </c>
      <c r="P625" s="16">
        <v>0</v>
      </c>
      <c r="Q625" s="16">
        <v>1</v>
      </c>
      <c r="R625" s="16">
        <v>0</v>
      </c>
      <c r="S625" s="14"/>
      <c r="T625" s="56" t="str">
        <f t="shared" si="175"/>
        <v/>
      </c>
      <c r="U625" s="56" t="str">
        <f t="shared" si="177"/>
        <v/>
      </c>
      <c r="V625" s="56" t="str">
        <f t="shared" si="178"/>
        <v/>
      </c>
      <c r="W625" s="14"/>
      <c r="X625" s="14"/>
      <c r="Y625" s="14"/>
      <c r="Z625" s="14"/>
      <c r="AA625" s="18">
        <f t="shared" si="182"/>
        <v>1670</v>
      </c>
      <c r="AB625" s="14"/>
      <c r="AC625" s="14"/>
      <c r="AD625" s="14"/>
      <c r="AE625" s="14"/>
      <c r="AF625" s="16">
        <v>0</v>
      </c>
      <c r="AG625" s="16">
        <v>1</v>
      </c>
      <c r="AH625" s="16">
        <v>1</v>
      </c>
      <c r="AI625" s="16">
        <v>1</v>
      </c>
      <c r="AJ625" s="5">
        <v>1</v>
      </c>
      <c r="AK625" s="5">
        <v>0</v>
      </c>
      <c r="AL625" s="5">
        <v>0</v>
      </c>
      <c r="AM625" s="20"/>
      <c r="AN625" s="20">
        <v>0</v>
      </c>
      <c r="AO625" s="14"/>
      <c r="AP625" s="16"/>
      <c r="AQ625" s="16"/>
      <c r="AR625" s="16">
        <v>0</v>
      </c>
      <c r="AS625" s="16">
        <v>0</v>
      </c>
      <c r="AT625" s="16"/>
      <c r="AU625" s="16"/>
      <c r="AV625" s="16"/>
      <c r="AW625" s="16"/>
      <c r="AX625" s="16">
        <v>0</v>
      </c>
      <c r="AY625" s="16">
        <v>0</v>
      </c>
      <c r="AZ625" s="16">
        <v>1</v>
      </c>
      <c r="BA625" s="16">
        <v>0</v>
      </c>
    </row>
    <row r="626" spans="1:53" x14ac:dyDescent="0.2">
      <c r="A626" s="14"/>
      <c r="B626" s="14" t="str">
        <f t="shared" si="179"/>
        <v>Ceronsky et al. 2011</v>
      </c>
      <c r="C626" s="61">
        <f t="shared" si="180"/>
        <v>65</v>
      </c>
      <c r="D626" s="58">
        <v>2011</v>
      </c>
      <c r="E626" s="17"/>
      <c r="F626" s="58">
        <v>0</v>
      </c>
      <c r="G626" s="16">
        <v>2010</v>
      </c>
      <c r="H626" s="15">
        <f>LOOKUP(G626,CPI!A$69:A$100,CPI!O$69:O$100)</f>
        <v>1</v>
      </c>
      <c r="I626" s="52">
        <v>2010</v>
      </c>
      <c r="J626" s="27">
        <f>1/7.392</f>
        <v>0.13528138528138528</v>
      </c>
      <c r="K626" s="15"/>
      <c r="L626" s="62"/>
      <c r="M626" s="56">
        <f t="shared" si="183"/>
        <v>125.88078981077426</v>
      </c>
      <c r="N626" s="14">
        <v>108</v>
      </c>
      <c r="O626" s="18">
        <f t="shared" si="184"/>
        <v>108</v>
      </c>
      <c r="P626" s="16">
        <v>1</v>
      </c>
      <c r="Q626" s="16">
        <v>0</v>
      </c>
      <c r="R626" s="16">
        <v>0</v>
      </c>
      <c r="S626" s="14"/>
      <c r="T626" s="56" t="str">
        <f t="shared" si="175"/>
        <v/>
      </c>
      <c r="U626" s="56" t="str">
        <f t="shared" si="177"/>
        <v/>
      </c>
      <c r="V626" s="56" t="str">
        <f t="shared" si="178"/>
        <v/>
      </c>
      <c r="W626" s="14"/>
      <c r="X626" s="14"/>
      <c r="Y626" s="14"/>
      <c r="Z626" s="14"/>
      <c r="AA626" s="18">
        <f t="shared" si="182"/>
        <v>108</v>
      </c>
      <c r="AB626" s="14"/>
      <c r="AC626" s="14"/>
      <c r="AD626" s="14"/>
      <c r="AE626" s="14"/>
      <c r="AF626" s="16">
        <v>0</v>
      </c>
      <c r="AG626" s="16">
        <v>1</v>
      </c>
      <c r="AH626" s="16">
        <v>1</v>
      </c>
      <c r="AI626" s="16">
        <v>1</v>
      </c>
      <c r="AJ626" s="5">
        <v>1</v>
      </c>
      <c r="AK626" s="5">
        <v>0</v>
      </c>
      <c r="AL626" s="5">
        <v>0</v>
      </c>
      <c r="AM626" s="20"/>
      <c r="AN626" s="20">
        <v>1</v>
      </c>
      <c r="AO626" s="14"/>
      <c r="AP626" s="16"/>
      <c r="AQ626" s="16"/>
      <c r="AR626" s="16">
        <v>0</v>
      </c>
      <c r="AS626" s="16">
        <v>0</v>
      </c>
      <c r="AT626" s="16"/>
      <c r="AU626" s="16"/>
      <c r="AV626" s="16"/>
      <c r="AW626" s="16"/>
      <c r="AX626" s="16">
        <v>0</v>
      </c>
      <c r="AY626" s="16">
        <v>0</v>
      </c>
      <c r="AZ626" s="16">
        <v>1</v>
      </c>
      <c r="BA626" s="16">
        <v>0</v>
      </c>
    </row>
    <row r="627" spans="1:53" x14ac:dyDescent="0.2">
      <c r="A627" s="14"/>
      <c r="B627" s="14" t="str">
        <f t="shared" si="179"/>
        <v>Ceronsky et al. 2011</v>
      </c>
      <c r="C627" s="61">
        <f t="shared" si="180"/>
        <v>65</v>
      </c>
      <c r="D627" s="58">
        <v>2011</v>
      </c>
      <c r="E627" s="17"/>
      <c r="F627" s="58">
        <v>0</v>
      </c>
      <c r="G627" s="16">
        <v>2010</v>
      </c>
      <c r="H627" s="15">
        <f>LOOKUP(G627,CPI!A$69:A$100,CPI!O$69:O$100)</f>
        <v>1</v>
      </c>
      <c r="I627" s="52">
        <v>2010</v>
      </c>
      <c r="J627" s="27">
        <f>0.01/7.392</f>
        <v>1.3528138528138528E-3</v>
      </c>
      <c r="K627" s="15"/>
      <c r="L627" s="62"/>
      <c r="M627" s="56">
        <f t="shared" si="183"/>
        <v>122.38410120491942</v>
      </c>
      <c r="N627" s="14">
        <v>105</v>
      </c>
      <c r="O627" s="18">
        <f t="shared" si="184"/>
        <v>105</v>
      </c>
      <c r="P627" s="16">
        <v>1</v>
      </c>
      <c r="Q627" s="16">
        <v>0</v>
      </c>
      <c r="R627" s="16">
        <v>0</v>
      </c>
      <c r="S627" s="14"/>
      <c r="T627" s="56" t="str">
        <f t="shared" si="175"/>
        <v/>
      </c>
      <c r="U627" s="56" t="str">
        <f t="shared" si="177"/>
        <v/>
      </c>
      <c r="V627" s="56" t="str">
        <f t="shared" si="178"/>
        <v/>
      </c>
      <c r="W627" s="14"/>
      <c r="X627" s="14"/>
      <c r="Y627" s="14"/>
      <c r="Z627" s="14"/>
      <c r="AA627" s="18">
        <f t="shared" si="182"/>
        <v>105</v>
      </c>
      <c r="AB627" s="14"/>
      <c r="AC627" s="14"/>
      <c r="AD627" s="14"/>
      <c r="AE627" s="14"/>
      <c r="AF627" s="16">
        <v>0</v>
      </c>
      <c r="AG627" s="16">
        <v>1</v>
      </c>
      <c r="AH627" s="16">
        <v>1</v>
      </c>
      <c r="AI627" s="16">
        <v>1</v>
      </c>
      <c r="AJ627" s="5">
        <v>1</v>
      </c>
      <c r="AK627" s="5">
        <v>0</v>
      </c>
      <c r="AL627" s="5">
        <v>0</v>
      </c>
      <c r="AM627" s="20"/>
      <c r="AN627" s="20">
        <v>1</v>
      </c>
      <c r="AO627" s="14"/>
      <c r="AP627" s="16"/>
      <c r="AQ627" s="16"/>
      <c r="AR627" s="16">
        <v>0</v>
      </c>
      <c r="AS627" s="16">
        <v>0</v>
      </c>
      <c r="AT627" s="16"/>
      <c r="AU627" s="16"/>
      <c r="AV627" s="16"/>
      <c r="AW627" s="16"/>
      <c r="AX627" s="16">
        <v>0</v>
      </c>
      <c r="AY627" s="16">
        <v>0</v>
      </c>
      <c r="AZ627" s="16">
        <v>1</v>
      </c>
      <c r="BA627" s="16">
        <v>0</v>
      </c>
    </row>
    <row r="628" spans="1:53" x14ac:dyDescent="0.2">
      <c r="A628" s="14"/>
      <c r="B628" s="14" t="str">
        <f t="shared" si="179"/>
        <v>Ceronsky et al. 2011</v>
      </c>
      <c r="C628" s="61">
        <f t="shared" si="180"/>
        <v>65</v>
      </c>
      <c r="D628" s="58">
        <v>2011</v>
      </c>
      <c r="E628" s="17"/>
      <c r="F628" s="58">
        <v>0</v>
      </c>
      <c r="G628" s="16">
        <v>2010</v>
      </c>
      <c r="H628" s="15">
        <f>LOOKUP(G628,CPI!A$69:A$100,CPI!O$69:O$100)</f>
        <v>1</v>
      </c>
      <c r="I628" s="52">
        <v>2010</v>
      </c>
      <c r="J628" s="27">
        <f>0.1/7.392</f>
        <v>1.3528138528138528E-2</v>
      </c>
      <c r="K628" s="15"/>
      <c r="L628" s="62"/>
      <c r="M628" s="56">
        <f t="shared" si="183"/>
        <v>130.54304128524737</v>
      </c>
      <c r="N628" s="14">
        <v>112</v>
      </c>
      <c r="O628" s="18">
        <f t="shared" si="184"/>
        <v>112</v>
      </c>
      <c r="P628" s="16">
        <v>1</v>
      </c>
      <c r="Q628" s="16">
        <v>0</v>
      </c>
      <c r="R628" s="16">
        <v>0</v>
      </c>
      <c r="S628" s="14"/>
      <c r="T628" s="56" t="str">
        <f t="shared" si="175"/>
        <v/>
      </c>
      <c r="U628" s="56" t="str">
        <f t="shared" si="177"/>
        <v/>
      </c>
      <c r="V628" s="56" t="str">
        <f t="shared" si="178"/>
        <v/>
      </c>
      <c r="W628" s="14"/>
      <c r="X628" s="14"/>
      <c r="Y628" s="14"/>
      <c r="Z628" s="14"/>
      <c r="AA628" s="18">
        <f t="shared" si="182"/>
        <v>112</v>
      </c>
      <c r="AB628" s="14"/>
      <c r="AC628" s="14"/>
      <c r="AD628" s="14"/>
      <c r="AE628" s="14"/>
      <c r="AF628" s="16">
        <v>0</v>
      </c>
      <c r="AG628" s="16">
        <v>1</v>
      </c>
      <c r="AH628" s="16">
        <v>1</v>
      </c>
      <c r="AI628" s="16">
        <v>1</v>
      </c>
      <c r="AJ628" s="5">
        <v>1</v>
      </c>
      <c r="AK628" s="5">
        <v>0</v>
      </c>
      <c r="AL628" s="5">
        <v>0</v>
      </c>
      <c r="AM628" s="20"/>
      <c r="AN628" s="20">
        <v>1</v>
      </c>
      <c r="AO628" s="14"/>
      <c r="AP628" s="16"/>
      <c r="AQ628" s="16"/>
      <c r="AR628" s="16">
        <v>0</v>
      </c>
      <c r="AS628" s="16">
        <v>0</v>
      </c>
      <c r="AT628" s="16"/>
      <c r="AU628" s="16"/>
      <c r="AV628" s="16"/>
      <c r="AW628" s="16"/>
      <c r="AX628" s="16">
        <v>0</v>
      </c>
      <c r="AY628" s="16">
        <v>0</v>
      </c>
      <c r="AZ628" s="16">
        <v>1</v>
      </c>
      <c r="BA628" s="16">
        <v>0</v>
      </c>
    </row>
    <row r="629" spans="1:53" x14ac:dyDescent="0.2">
      <c r="A629" s="14"/>
      <c r="B629" s="14" t="str">
        <f t="shared" si="179"/>
        <v>Ceronsky et al. 2011</v>
      </c>
      <c r="C629" s="61">
        <f t="shared" si="180"/>
        <v>65</v>
      </c>
      <c r="D629" s="58">
        <v>2011</v>
      </c>
      <c r="E629" s="17"/>
      <c r="F629" s="58">
        <v>0</v>
      </c>
      <c r="G629" s="16">
        <v>2010</v>
      </c>
      <c r="H629" s="15">
        <f>LOOKUP(G629,CPI!A$69:A$100,CPI!O$69:O$100)</f>
        <v>1</v>
      </c>
      <c r="I629" s="52">
        <v>2010</v>
      </c>
      <c r="J629" s="27">
        <f>0.01/7.392</f>
        <v>1.3528138528138528E-3</v>
      </c>
      <c r="K629" s="15"/>
      <c r="L629" s="62"/>
      <c r="M629" s="56">
        <f t="shared" si="183"/>
        <v>157.35098726346783</v>
      </c>
      <c r="N629" s="14">
        <v>135</v>
      </c>
      <c r="O629" s="18">
        <f t="shared" si="184"/>
        <v>135</v>
      </c>
      <c r="P629" s="16">
        <v>1</v>
      </c>
      <c r="Q629" s="16">
        <v>0</v>
      </c>
      <c r="R629" s="16">
        <v>0</v>
      </c>
      <c r="S629" s="14"/>
      <c r="T629" s="56" t="str">
        <f t="shared" si="175"/>
        <v/>
      </c>
      <c r="U629" s="56" t="str">
        <f t="shared" si="177"/>
        <v/>
      </c>
      <c r="V629" s="56" t="str">
        <f t="shared" si="178"/>
        <v/>
      </c>
      <c r="W629" s="14"/>
      <c r="X629" s="14"/>
      <c r="Y629" s="14"/>
      <c r="Z629" s="14"/>
      <c r="AA629" s="18">
        <f t="shared" si="182"/>
        <v>135</v>
      </c>
      <c r="AB629" s="14"/>
      <c r="AC629" s="14"/>
      <c r="AD629" s="14"/>
      <c r="AE629" s="14"/>
      <c r="AF629" s="16">
        <v>0</v>
      </c>
      <c r="AG629" s="16">
        <v>1</v>
      </c>
      <c r="AH629" s="16">
        <v>1</v>
      </c>
      <c r="AI629" s="16">
        <v>1</v>
      </c>
      <c r="AJ629" s="5">
        <v>1</v>
      </c>
      <c r="AK629" s="5">
        <v>0</v>
      </c>
      <c r="AL629" s="5">
        <v>0</v>
      </c>
      <c r="AM629" s="20"/>
      <c r="AN629" s="20">
        <v>1</v>
      </c>
      <c r="AO629" s="14"/>
      <c r="AP629" s="16"/>
      <c r="AQ629" s="16"/>
      <c r="AR629" s="16">
        <v>0</v>
      </c>
      <c r="AS629" s="16">
        <v>0</v>
      </c>
      <c r="AT629" s="16"/>
      <c r="AU629" s="16"/>
      <c r="AV629" s="16"/>
      <c r="AW629" s="16"/>
      <c r="AX629" s="16">
        <v>0</v>
      </c>
      <c r="AY629" s="16">
        <v>0</v>
      </c>
      <c r="AZ629" s="16">
        <v>1</v>
      </c>
      <c r="BA629" s="16">
        <v>0</v>
      </c>
    </row>
    <row r="630" spans="1:53" x14ac:dyDescent="0.2">
      <c r="A630" s="14"/>
      <c r="B630" s="14" t="str">
        <f t="shared" si="179"/>
        <v>Ceronsky et al. 2011</v>
      </c>
      <c r="C630" s="61">
        <f t="shared" si="180"/>
        <v>65</v>
      </c>
      <c r="D630" s="58">
        <v>2011</v>
      </c>
      <c r="E630" s="17"/>
      <c r="F630" s="58">
        <v>0</v>
      </c>
      <c r="G630" s="16">
        <v>2010</v>
      </c>
      <c r="H630" s="15">
        <f>LOOKUP(G630,CPI!A$69:A$100,CPI!O$69:O$100)</f>
        <v>1</v>
      </c>
      <c r="I630" s="52">
        <v>2010</v>
      </c>
      <c r="J630" s="27">
        <f>0.001/7.392</f>
        <v>1.3528138528138528E-4</v>
      </c>
      <c r="K630" s="15"/>
      <c r="L630" s="62"/>
      <c r="M630" s="56">
        <f t="shared" si="183"/>
        <v>217.9602564316184</v>
      </c>
      <c r="N630" s="14">
        <v>187</v>
      </c>
      <c r="O630" s="18">
        <f t="shared" si="184"/>
        <v>187</v>
      </c>
      <c r="P630" s="16">
        <v>1</v>
      </c>
      <c r="Q630" s="16">
        <v>0</v>
      </c>
      <c r="R630" s="16">
        <v>0</v>
      </c>
      <c r="S630" s="14"/>
      <c r="T630" s="56" t="str">
        <f t="shared" si="175"/>
        <v/>
      </c>
      <c r="U630" s="56" t="str">
        <f t="shared" si="177"/>
        <v/>
      </c>
      <c r="V630" s="56" t="str">
        <f t="shared" si="178"/>
        <v/>
      </c>
      <c r="W630" s="14"/>
      <c r="X630" s="14"/>
      <c r="Y630" s="14"/>
      <c r="Z630" s="14"/>
      <c r="AA630" s="18">
        <f t="shared" si="182"/>
        <v>187</v>
      </c>
      <c r="AB630" s="14"/>
      <c r="AC630" s="14"/>
      <c r="AD630" s="14"/>
      <c r="AE630" s="14"/>
      <c r="AF630" s="16">
        <v>0</v>
      </c>
      <c r="AG630" s="16">
        <v>1</v>
      </c>
      <c r="AH630" s="16">
        <v>1</v>
      </c>
      <c r="AI630" s="16">
        <v>1</v>
      </c>
      <c r="AJ630" s="5">
        <v>1</v>
      </c>
      <c r="AK630" s="5">
        <v>0</v>
      </c>
      <c r="AL630" s="5">
        <v>0</v>
      </c>
      <c r="AM630" s="20"/>
      <c r="AN630" s="20">
        <v>1</v>
      </c>
      <c r="AO630" s="14"/>
      <c r="AP630" s="16"/>
      <c r="AQ630" s="16"/>
      <c r="AR630" s="16">
        <v>0</v>
      </c>
      <c r="AS630" s="16">
        <v>0</v>
      </c>
      <c r="AT630" s="16"/>
      <c r="AU630" s="16"/>
      <c r="AV630" s="16"/>
      <c r="AW630" s="16"/>
      <c r="AX630" s="16">
        <v>0</v>
      </c>
      <c r="AY630" s="16">
        <v>0</v>
      </c>
      <c r="AZ630" s="16">
        <v>1</v>
      </c>
      <c r="BA630" s="16">
        <v>0</v>
      </c>
    </row>
    <row r="631" spans="1:53" x14ac:dyDescent="0.2">
      <c r="A631" s="14"/>
      <c r="B631" s="14" t="str">
        <f t="shared" si="179"/>
        <v>Ceronsky et al. 2011</v>
      </c>
      <c r="C631" s="61">
        <f t="shared" si="180"/>
        <v>65</v>
      </c>
      <c r="D631" s="58">
        <v>2011</v>
      </c>
      <c r="E631" s="17"/>
      <c r="F631" s="58">
        <v>0</v>
      </c>
      <c r="G631" s="16">
        <v>2010</v>
      </c>
      <c r="H631" s="15">
        <f>LOOKUP(G631,CPI!A$69:A$100,CPI!O$69:O$100)</f>
        <v>1</v>
      </c>
      <c r="I631" s="52">
        <v>2010</v>
      </c>
      <c r="J631" s="27">
        <f>0.1/7.392</f>
        <v>1.3528138528138528E-2</v>
      </c>
      <c r="K631" s="15"/>
      <c r="L631" s="62"/>
      <c r="M631" s="56">
        <f t="shared" si="183"/>
        <v>180.66224463583342</v>
      </c>
      <c r="N631" s="14">
        <v>155</v>
      </c>
      <c r="O631" s="18">
        <f t="shared" si="184"/>
        <v>155</v>
      </c>
      <c r="P631" s="16">
        <v>1</v>
      </c>
      <c r="Q631" s="16">
        <v>0</v>
      </c>
      <c r="R631" s="16">
        <v>0</v>
      </c>
      <c r="S631" s="14"/>
      <c r="T631" s="56" t="str">
        <f t="shared" si="175"/>
        <v/>
      </c>
      <c r="U631" s="56" t="str">
        <f t="shared" si="177"/>
        <v/>
      </c>
      <c r="V631" s="56" t="str">
        <f t="shared" si="178"/>
        <v/>
      </c>
      <c r="W631" s="14"/>
      <c r="X631" s="14"/>
      <c r="Y631" s="14"/>
      <c r="Z631" s="14"/>
      <c r="AA631" s="18">
        <f t="shared" si="182"/>
        <v>155</v>
      </c>
      <c r="AB631" s="14"/>
      <c r="AC631" s="14"/>
      <c r="AD631" s="14"/>
      <c r="AE631" s="14"/>
      <c r="AF631" s="16">
        <v>0</v>
      </c>
      <c r="AG631" s="16">
        <v>1</v>
      </c>
      <c r="AH631" s="16">
        <v>1</v>
      </c>
      <c r="AI631" s="16">
        <v>1</v>
      </c>
      <c r="AJ631" s="5">
        <v>1</v>
      </c>
      <c r="AK631" s="5">
        <v>0</v>
      </c>
      <c r="AL631" s="5">
        <v>0</v>
      </c>
      <c r="AM631" s="20"/>
      <c r="AN631" s="20">
        <v>1</v>
      </c>
      <c r="AO631" s="14"/>
      <c r="AP631" s="16"/>
      <c r="AQ631" s="16"/>
      <c r="AR631" s="16">
        <v>0</v>
      </c>
      <c r="AS631" s="16">
        <v>0</v>
      </c>
      <c r="AT631" s="16"/>
      <c r="AU631" s="16"/>
      <c r="AV631" s="16"/>
      <c r="AW631" s="16"/>
      <c r="AX631" s="16">
        <v>0</v>
      </c>
      <c r="AY631" s="16">
        <v>0</v>
      </c>
      <c r="AZ631" s="16">
        <v>1</v>
      </c>
      <c r="BA631" s="16">
        <v>0</v>
      </c>
    </row>
    <row r="632" spans="1:53" x14ac:dyDescent="0.2">
      <c r="A632" s="14"/>
      <c r="B632" s="14" t="str">
        <f t="shared" si="179"/>
        <v>Ceronsky et al. 2011</v>
      </c>
      <c r="C632" s="61">
        <f t="shared" si="180"/>
        <v>65</v>
      </c>
      <c r="D632" s="58">
        <v>2011</v>
      </c>
      <c r="E632" s="17"/>
      <c r="F632" s="58">
        <v>0</v>
      </c>
      <c r="G632" s="16">
        <v>2010</v>
      </c>
      <c r="H632" s="15">
        <f>LOOKUP(G632,CPI!A$69:A$100,CPI!O$69:O$100)</f>
        <v>1</v>
      </c>
      <c r="I632" s="52">
        <v>2010</v>
      </c>
      <c r="J632" s="27">
        <f>0.01/7.392</f>
        <v>1.3528138528138528E-3</v>
      </c>
      <c r="K632" s="15"/>
      <c r="L632" s="62"/>
      <c r="M632" s="56">
        <f t="shared" si="183"/>
        <v>300.71522010351629</v>
      </c>
      <c r="N632" s="14">
        <v>258</v>
      </c>
      <c r="O632" s="18">
        <f t="shared" si="184"/>
        <v>258</v>
      </c>
      <c r="P632" s="16">
        <v>1</v>
      </c>
      <c r="Q632" s="16">
        <v>0</v>
      </c>
      <c r="R632" s="16">
        <v>0</v>
      </c>
      <c r="S632" s="14"/>
      <c r="T632" s="56" t="str">
        <f t="shared" si="175"/>
        <v/>
      </c>
      <c r="U632" s="56" t="str">
        <f t="shared" si="177"/>
        <v/>
      </c>
      <c r="V632" s="56" t="str">
        <f t="shared" si="178"/>
        <v/>
      </c>
      <c r="W632" s="14"/>
      <c r="X632" s="14"/>
      <c r="Y632" s="14"/>
      <c r="Z632" s="14"/>
      <c r="AA632" s="18">
        <f t="shared" si="182"/>
        <v>258</v>
      </c>
      <c r="AB632" s="14"/>
      <c r="AC632" s="14"/>
      <c r="AD632" s="14"/>
      <c r="AE632" s="14"/>
      <c r="AF632" s="16">
        <v>0</v>
      </c>
      <c r="AG632" s="16">
        <v>1</v>
      </c>
      <c r="AH632" s="16">
        <v>1</v>
      </c>
      <c r="AI632" s="16">
        <v>1</v>
      </c>
      <c r="AJ632" s="5">
        <v>1</v>
      </c>
      <c r="AK632" s="5">
        <v>0</v>
      </c>
      <c r="AL632" s="5">
        <v>0</v>
      </c>
      <c r="AM632" s="20"/>
      <c r="AN632" s="20">
        <v>1</v>
      </c>
      <c r="AO632" s="14"/>
      <c r="AP632" s="16"/>
      <c r="AQ632" s="16"/>
      <c r="AR632" s="16">
        <v>0</v>
      </c>
      <c r="AS632" s="16">
        <v>0</v>
      </c>
      <c r="AT632" s="16"/>
      <c r="AU632" s="16"/>
      <c r="AV632" s="16"/>
      <c r="AW632" s="16"/>
      <c r="AX632" s="16">
        <v>0</v>
      </c>
      <c r="AY632" s="16">
        <v>0</v>
      </c>
      <c r="AZ632" s="16">
        <v>1</v>
      </c>
      <c r="BA632" s="16">
        <v>0</v>
      </c>
    </row>
    <row r="633" spans="1:53" x14ac:dyDescent="0.2">
      <c r="A633" s="14"/>
      <c r="B633" s="14" t="str">
        <f t="shared" si="179"/>
        <v>Ceronsky et al. 2011</v>
      </c>
      <c r="C633" s="61">
        <f t="shared" si="180"/>
        <v>65</v>
      </c>
      <c r="D633" s="58">
        <v>2011</v>
      </c>
      <c r="E633" s="17"/>
      <c r="F633" s="58">
        <v>0</v>
      </c>
      <c r="G633" s="16">
        <v>2010</v>
      </c>
      <c r="H633" s="15">
        <f>LOOKUP(G633,CPI!A$69:A$100,CPI!O$69:O$100)</f>
        <v>1</v>
      </c>
      <c r="I633" s="52">
        <v>2010</v>
      </c>
      <c r="J633" s="27">
        <f>0.001/7.392</f>
        <v>1.3528138528138528E-4</v>
      </c>
      <c r="K633" s="15"/>
      <c r="L633" s="62"/>
      <c r="M633" s="56">
        <f t="shared" ref="M633:M667" si="185">AA633*H633*(1+$L$2)^(2015-I633)</f>
        <v>338.01323189930127</v>
      </c>
      <c r="N633" s="14">
        <v>290</v>
      </c>
      <c r="O633" s="18">
        <f t="shared" si="184"/>
        <v>290</v>
      </c>
      <c r="P633" s="16">
        <v>1</v>
      </c>
      <c r="Q633" s="16">
        <v>0</v>
      </c>
      <c r="R633" s="16">
        <v>0</v>
      </c>
      <c r="S633" s="14"/>
      <c r="T633" s="56" t="str">
        <f t="shared" si="175"/>
        <v/>
      </c>
      <c r="U633" s="56" t="str">
        <f t="shared" si="177"/>
        <v/>
      </c>
      <c r="V633" s="56" t="str">
        <f t="shared" si="178"/>
        <v/>
      </c>
      <c r="W633" s="14"/>
      <c r="X633" s="14"/>
      <c r="Y633" s="14"/>
      <c r="Z633" s="14"/>
      <c r="AA633" s="18">
        <f t="shared" si="182"/>
        <v>290</v>
      </c>
      <c r="AB633" s="14"/>
      <c r="AC633" s="14"/>
      <c r="AD633" s="14"/>
      <c r="AE633" s="14"/>
      <c r="AF633" s="16">
        <v>0</v>
      </c>
      <c r="AG633" s="16">
        <v>1</v>
      </c>
      <c r="AH633" s="16">
        <v>1</v>
      </c>
      <c r="AI633" s="16">
        <v>1</v>
      </c>
      <c r="AJ633" s="5">
        <v>1</v>
      </c>
      <c r="AK633" s="5">
        <v>0</v>
      </c>
      <c r="AL633" s="5">
        <v>0</v>
      </c>
      <c r="AM633" s="20"/>
      <c r="AN633" s="20">
        <v>1</v>
      </c>
      <c r="AO633" s="14"/>
      <c r="AP633" s="16"/>
      <c r="AQ633" s="16"/>
      <c r="AR633" s="16">
        <v>0</v>
      </c>
      <c r="AS633" s="16">
        <v>0</v>
      </c>
      <c r="AT633" s="16"/>
      <c r="AU633" s="16"/>
      <c r="AV633" s="16"/>
      <c r="AW633" s="16"/>
      <c r="AX633" s="16">
        <v>0</v>
      </c>
      <c r="AY633" s="16">
        <v>0</v>
      </c>
      <c r="AZ633" s="16">
        <v>1</v>
      </c>
      <c r="BA633" s="16">
        <v>0</v>
      </c>
    </row>
    <row r="634" spans="1:53" x14ac:dyDescent="0.2">
      <c r="A634" s="14"/>
      <c r="B634" s="14" t="str">
        <f t="shared" si="179"/>
        <v>Ceronsky et al. 2011</v>
      </c>
      <c r="C634" s="61">
        <f t="shared" si="180"/>
        <v>65</v>
      </c>
      <c r="D634" s="58">
        <v>2011</v>
      </c>
      <c r="E634" s="17"/>
      <c r="F634" s="58">
        <v>0</v>
      </c>
      <c r="G634" s="16">
        <v>2010</v>
      </c>
      <c r="H634" s="15">
        <f>LOOKUP(G634,CPI!A$69:A$100,CPI!O$69:O$100)</f>
        <v>1</v>
      </c>
      <c r="I634" s="52">
        <v>2010</v>
      </c>
      <c r="J634" s="27">
        <f>1/7.392</f>
        <v>0.13528138528138528</v>
      </c>
      <c r="K634" s="15"/>
      <c r="L634" s="62"/>
      <c r="M634" s="56">
        <f t="shared" si="185"/>
        <v>99.072843832553815</v>
      </c>
      <c r="N634" s="14">
        <v>85</v>
      </c>
      <c r="O634" s="18">
        <f t="shared" si="184"/>
        <v>85</v>
      </c>
      <c r="P634" s="16">
        <v>0</v>
      </c>
      <c r="Q634" s="16">
        <v>1</v>
      </c>
      <c r="R634" s="16">
        <v>0</v>
      </c>
      <c r="S634" s="14"/>
      <c r="T634" s="56" t="str">
        <f t="shared" ref="T634:T703" si="186">IF(OR(M634="",S634=""),"",S634*H634*(1+$L$2)^(2015-I634))</f>
        <v/>
      </c>
      <c r="U634" s="56" t="str">
        <f t="shared" si="177"/>
        <v/>
      </c>
      <c r="V634" s="56" t="str">
        <f t="shared" si="178"/>
        <v/>
      </c>
      <c r="W634" s="14"/>
      <c r="X634" s="14"/>
      <c r="Y634" s="14"/>
      <c r="Z634" s="14"/>
      <c r="AA634" s="18">
        <f t="shared" si="182"/>
        <v>85</v>
      </c>
      <c r="AB634" s="14"/>
      <c r="AC634" s="14"/>
      <c r="AD634" s="14"/>
      <c r="AE634" s="14"/>
      <c r="AF634" s="16">
        <v>0</v>
      </c>
      <c r="AG634" s="16">
        <v>1</v>
      </c>
      <c r="AH634" s="16">
        <v>1</v>
      </c>
      <c r="AI634" s="16">
        <v>1</v>
      </c>
      <c r="AJ634" s="5">
        <v>1</v>
      </c>
      <c r="AK634" s="5">
        <v>0</v>
      </c>
      <c r="AL634" s="5">
        <v>0</v>
      </c>
      <c r="AM634" s="20"/>
      <c r="AN634" s="20">
        <v>1</v>
      </c>
      <c r="AO634" s="14"/>
      <c r="AP634" s="16"/>
      <c r="AQ634" s="16"/>
      <c r="AR634" s="16">
        <v>0</v>
      </c>
      <c r="AS634" s="16">
        <v>0</v>
      </c>
      <c r="AT634" s="16"/>
      <c r="AU634" s="16"/>
      <c r="AV634" s="16"/>
      <c r="AW634" s="16"/>
      <c r="AX634" s="16">
        <v>0</v>
      </c>
      <c r="AY634" s="16">
        <v>0</v>
      </c>
      <c r="AZ634" s="16">
        <v>1</v>
      </c>
      <c r="BA634" s="16">
        <v>0</v>
      </c>
    </row>
    <row r="635" spans="1:53" x14ac:dyDescent="0.2">
      <c r="A635" s="14"/>
      <c r="B635" s="14" t="str">
        <f t="shared" si="179"/>
        <v>Ceronsky et al. 2011</v>
      </c>
      <c r="C635" s="61">
        <f t="shared" si="180"/>
        <v>65</v>
      </c>
      <c r="D635" s="58">
        <v>2011</v>
      </c>
      <c r="E635" s="17"/>
      <c r="F635" s="58">
        <v>0</v>
      </c>
      <c r="G635" s="16">
        <v>2010</v>
      </c>
      <c r="H635" s="15">
        <f>LOOKUP(G635,CPI!A$69:A$100,CPI!O$69:O$100)</f>
        <v>1</v>
      </c>
      <c r="I635" s="52">
        <v>2010</v>
      </c>
      <c r="J635" s="27">
        <f>0.01/7.392</f>
        <v>1.3528138528138528E-3</v>
      </c>
      <c r="K635" s="15"/>
      <c r="L635" s="62"/>
      <c r="M635" s="56">
        <f t="shared" si="185"/>
        <v>94.410592358080692</v>
      </c>
      <c r="N635" s="14">
        <v>81</v>
      </c>
      <c r="O635" s="18">
        <f t="shared" si="184"/>
        <v>81</v>
      </c>
      <c r="P635" s="16">
        <v>0</v>
      </c>
      <c r="Q635" s="16">
        <v>1</v>
      </c>
      <c r="R635" s="16">
        <v>0</v>
      </c>
      <c r="S635" s="14"/>
      <c r="T635" s="56" t="str">
        <f t="shared" si="186"/>
        <v/>
      </c>
      <c r="U635" s="56" t="str">
        <f t="shared" si="177"/>
        <v/>
      </c>
      <c r="V635" s="56" t="str">
        <f t="shared" si="178"/>
        <v/>
      </c>
      <c r="W635" s="14"/>
      <c r="X635" s="14"/>
      <c r="Y635" s="14"/>
      <c r="Z635" s="14"/>
      <c r="AA635" s="18">
        <f t="shared" si="182"/>
        <v>81</v>
      </c>
      <c r="AB635" s="14"/>
      <c r="AC635" s="14"/>
      <c r="AD635" s="14"/>
      <c r="AE635" s="14"/>
      <c r="AF635" s="16">
        <v>0</v>
      </c>
      <c r="AG635" s="16">
        <v>1</v>
      </c>
      <c r="AH635" s="16">
        <v>1</v>
      </c>
      <c r="AI635" s="16">
        <v>1</v>
      </c>
      <c r="AJ635" s="5">
        <v>1</v>
      </c>
      <c r="AK635" s="5">
        <v>0</v>
      </c>
      <c r="AL635" s="5">
        <v>0</v>
      </c>
      <c r="AM635" s="20"/>
      <c r="AN635" s="20">
        <v>1</v>
      </c>
      <c r="AO635" s="14"/>
      <c r="AP635" s="16"/>
      <c r="AQ635" s="16"/>
      <c r="AR635" s="16">
        <v>0</v>
      </c>
      <c r="AS635" s="16">
        <v>0</v>
      </c>
      <c r="AT635" s="16"/>
      <c r="AU635" s="16"/>
      <c r="AV635" s="16"/>
      <c r="AW635" s="16"/>
      <c r="AX635" s="16">
        <v>0</v>
      </c>
      <c r="AY635" s="16">
        <v>0</v>
      </c>
      <c r="AZ635" s="16">
        <v>1</v>
      </c>
      <c r="BA635" s="16">
        <v>0</v>
      </c>
    </row>
    <row r="636" spans="1:53" x14ac:dyDescent="0.2">
      <c r="A636" s="14"/>
      <c r="B636" s="14" t="str">
        <f t="shared" si="179"/>
        <v>Ceronsky et al. 2011</v>
      </c>
      <c r="C636" s="61">
        <f t="shared" si="180"/>
        <v>65</v>
      </c>
      <c r="D636" s="58">
        <v>2011</v>
      </c>
      <c r="E636" s="17"/>
      <c r="F636" s="58">
        <v>0</v>
      </c>
      <c r="G636" s="16">
        <v>2010</v>
      </c>
      <c r="H636" s="15">
        <f>LOOKUP(G636,CPI!A$69:A$100,CPI!O$69:O$100)</f>
        <v>1</v>
      </c>
      <c r="I636" s="52">
        <v>2010</v>
      </c>
      <c r="J636" s="27">
        <f>0.1/7.392</f>
        <v>1.3528138528138528E-2</v>
      </c>
      <c r="K636" s="15"/>
      <c r="L636" s="62"/>
      <c r="M636" s="56">
        <f t="shared" si="185"/>
        <v>101.40396956979038</v>
      </c>
      <c r="N636" s="14">
        <v>87</v>
      </c>
      <c r="O636" s="18">
        <f t="shared" si="184"/>
        <v>87</v>
      </c>
      <c r="P636" s="16">
        <v>0</v>
      </c>
      <c r="Q636" s="16">
        <v>1</v>
      </c>
      <c r="R636" s="16">
        <v>0</v>
      </c>
      <c r="S636" s="14"/>
      <c r="T636" s="56" t="str">
        <f t="shared" si="186"/>
        <v/>
      </c>
      <c r="U636" s="56" t="str">
        <f t="shared" ref="U636:U657" si="187">+V636</f>
        <v/>
      </c>
      <c r="V636" s="56" t="str">
        <f t="shared" ref="V636:V657" si="188">+T636</f>
        <v/>
      </c>
      <c r="W636" s="14"/>
      <c r="X636" s="14"/>
      <c r="Y636" s="14"/>
      <c r="Z636" s="14"/>
      <c r="AA636" s="18">
        <f t="shared" si="182"/>
        <v>87</v>
      </c>
      <c r="AB636" s="14"/>
      <c r="AC636" s="14"/>
      <c r="AD636" s="14"/>
      <c r="AE636" s="14"/>
      <c r="AF636" s="16">
        <v>0</v>
      </c>
      <c r="AG636" s="16">
        <v>1</v>
      </c>
      <c r="AH636" s="16">
        <v>1</v>
      </c>
      <c r="AI636" s="16">
        <v>1</v>
      </c>
      <c r="AJ636" s="5">
        <v>1</v>
      </c>
      <c r="AK636" s="5">
        <v>0</v>
      </c>
      <c r="AL636" s="5">
        <v>0</v>
      </c>
      <c r="AM636" s="20"/>
      <c r="AN636" s="20">
        <v>1</v>
      </c>
      <c r="AO636" s="14"/>
      <c r="AP636" s="16"/>
      <c r="AQ636" s="16"/>
      <c r="AR636" s="16">
        <v>0</v>
      </c>
      <c r="AS636" s="16">
        <v>0</v>
      </c>
      <c r="AT636" s="16"/>
      <c r="AU636" s="16"/>
      <c r="AV636" s="16"/>
      <c r="AW636" s="16"/>
      <c r="AX636" s="16">
        <v>0</v>
      </c>
      <c r="AY636" s="16">
        <v>0</v>
      </c>
      <c r="AZ636" s="16">
        <v>1</v>
      </c>
      <c r="BA636" s="16">
        <v>0</v>
      </c>
    </row>
    <row r="637" spans="1:53" x14ac:dyDescent="0.2">
      <c r="A637" s="14"/>
      <c r="B637" s="14" t="str">
        <f t="shared" si="179"/>
        <v>Ceronsky et al. 2011</v>
      </c>
      <c r="C637" s="61">
        <f t="shared" si="180"/>
        <v>65</v>
      </c>
      <c r="D637" s="58">
        <v>2011</v>
      </c>
      <c r="E637" s="17"/>
      <c r="F637" s="58">
        <v>0</v>
      </c>
      <c r="G637" s="16">
        <v>2010</v>
      </c>
      <c r="H637" s="15">
        <f>LOOKUP(G637,CPI!A$69:A$100,CPI!O$69:O$100)</f>
        <v>1</v>
      </c>
      <c r="I637" s="52">
        <v>2010</v>
      </c>
      <c r="J637" s="27">
        <f>0.01/7.392</f>
        <v>1.3528138528138528E-3</v>
      </c>
      <c r="K637" s="15"/>
      <c r="L637" s="62"/>
      <c r="M637" s="56">
        <f t="shared" si="185"/>
        <v>115.39072399320973</v>
      </c>
      <c r="N637" s="14">
        <v>99</v>
      </c>
      <c r="O637" s="18">
        <f t="shared" si="184"/>
        <v>99</v>
      </c>
      <c r="P637" s="16">
        <v>0</v>
      </c>
      <c r="Q637" s="16">
        <v>1</v>
      </c>
      <c r="R637" s="16">
        <v>0</v>
      </c>
      <c r="S637" s="14"/>
      <c r="T637" s="56" t="str">
        <f t="shared" si="186"/>
        <v/>
      </c>
      <c r="U637" s="56" t="str">
        <f t="shared" si="187"/>
        <v/>
      </c>
      <c r="V637" s="56" t="str">
        <f t="shared" si="188"/>
        <v/>
      </c>
      <c r="W637" s="14"/>
      <c r="X637" s="14"/>
      <c r="Y637" s="14"/>
      <c r="Z637" s="14"/>
      <c r="AA637" s="18">
        <f t="shared" si="182"/>
        <v>99</v>
      </c>
      <c r="AB637" s="14"/>
      <c r="AC637" s="14"/>
      <c r="AD637" s="14"/>
      <c r="AE637" s="14"/>
      <c r="AF637" s="16">
        <v>0</v>
      </c>
      <c r="AG637" s="16">
        <v>1</v>
      </c>
      <c r="AH637" s="16">
        <v>1</v>
      </c>
      <c r="AI637" s="16">
        <v>1</v>
      </c>
      <c r="AJ637" s="5">
        <v>1</v>
      </c>
      <c r="AK637" s="5">
        <v>0</v>
      </c>
      <c r="AL637" s="5">
        <v>0</v>
      </c>
      <c r="AM637" s="20"/>
      <c r="AN637" s="20">
        <v>1</v>
      </c>
      <c r="AO637" s="14"/>
      <c r="AP637" s="16"/>
      <c r="AQ637" s="16"/>
      <c r="AR637" s="16">
        <v>0</v>
      </c>
      <c r="AS637" s="16">
        <v>0</v>
      </c>
      <c r="AT637" s="16"/>
      <c r="AU637" s="16"/>
      <c r="AV637" s="16"/>
      <c r="AW637" s="16"/>
      <c r="AX637" s="16">
        <v>0</v>
      </c>
      <c r="AY637" s="16">
        <v>0</v>
      </c>
      <c r="AZ637" s="16">
        <v>1</v>
      </c>
      <c r="BA637" s="16">
        <v>0</v>
      </c>
    </row>
    <row r="638" spans="1:53" x14ac:dyDescent="0.2">
      <c r="A638" s="14"/>
      <c r="B638" s="14" t="str">
        <f t="shared" si="179"/>
        <v>Ceronsky et al. 2011</v>
      </c>
      <c r="C638" s="61">
        <f t="shared" si="180"/>
        <v>65</v>
      </c>
      <c r="D638" s="58">
        <v>2011</v>
      </c>
      <c r="E638" s="17"/>
      <c r="F638" s="58">
        <v>0</v>
      </c>
      <c r="G638" s="16">
        <v>2010</v>
      </c>
      <c r="H638" s="15">
        <f>LOOKUP(G638,CPI!A$69:A$100,CPI!O$69:O$100)</f>
        <v>1</v>
      </c>
      <c r="I638" s="52">
        <v>2010</v>
      </c>
      <c r="J638" s="27">
        <f>0.001/7.392</f>
        <v>1.3528138528138528E-4</v>
      </c>
      <c r="K638" s="15"/>
      <c r="L638" s="62"/>
      <c r="M638" s="56">
        <f t="shared" si="185"/>
        <v>152.68873578899471</v>
      </c>
      <c r="N638" s="14">
        <v>131</v>
      </c>
      <c r="O638" s="18">
        <f t="shared" si="184"/>
        <v>131</v>
      </c>
      <c r="P638" s="16">
        <v>0</v>
      </c>
      <c r="Q638" s="16">
        <v>1</v>
      </c>
      <c r="R638" s="16">
        <v>0</v>
      </c>
      <c r="S638" s="14"/>
      <c r="T638" s="56" t="str">
        <f t="shared" si="186"/>
        <v/>
      </c>
      <c r="U638" s="56" t="str">
        <f t="shared" si="187"/>
        <v/>
      </c>
      <c r="V638" s="56" t="str">
        <f t="shared" si="188"/>
        <v/>
      </c>
      <c r="W638" s="14"/>
      <c r="X638" s="14"/>
      <c r="Y638" s="14"/>
      <c r="Z638" s="14"/>
      <c r="AA638" s="18">
        <f t="shared" si="182"/>
        <v>131</v>
      </c>
      <c r="AB638" s="14"/>
      <c r="AC638" s="14"/>
      <c r="AD638" s="14"/>
      <c r="AE638" s="14"/>
      <c r="AF638" s="16">
        <v>0</v>
      </c>
      <c r="AG638" s="16">
        <v>1</v>
      </c>
      <c r="AH638" s="16">
        <v>1</v>
      </c>
      <c r="AI638" s="16">
        <v>1</v>
      </c>
      <c r="AJ638" s="5">
        <v>1</v>
      </c>
      <c r="AK638" s="5">
        <v>0</v>
      </c>
      <c r="AL638" s="5">
        <v>0</v>
      </c>
      <c r="AM638" s="20"/>
      <c r="AN638" s="20">
        <v>1</v>
      </c>
      <c r="AO638" s="14"/>
      <c r="AP638" s="16"/>
      <c r="AQ638" s="16"/>
      <c r="AR638" s="16">
        <v>0</v>
      </c>
      <c r="AS638" s="16">
        <v>0</v>
      </c>
      <c r="AT638" s="16"/>
      <c r="AU638" s="16"/>
      <c r="AV638" s="16"/>
      <c r="AW638" s="16"/>
      <c r="AX638" s="16">
        <v>0</v>
      </c>
      <c r="AY638" s="16">
        <v>0</v>
      </c>
      <c r="AZ638" s="16">
        <v>1</v>
      </c>
      <c r="BA638" s="16">
        <v>0</v>
      </c>
    </row>
    <row r="639" spans="1:53" x14ac:dyDescent="0.2">
      <c r="A639" s="14"/>
      <c r="B639" s="14" t="str">
        <f t="shared" si="179"/>
        <v>Ceronsky et al. 2011</v>
      </c>
      <c r="C639" s="61">
        <f t="shared" si="180"/>
        <v>65</v>
      </c>
      <c r="D639" s="58">
        <v>2011</v>
      </c>
      <c r="E639" s="17"/>
      <c r="F639" s="58">
        <v>0</v>
      </c>
      <c r="G639" s="16">
        <v>2010</v>
      </c>
      <c r="H639" s="15">
        <f>LOOKUP(G639,CPI!A$69:A$100,CPI!O$69:O$100)</f>
        <v>1</v>
      </c>
      <c r="I639" s="52">
        <v>2010</v>
      </c>
      <c r="J639" s="27">
        <f>0.1/7.392</f>
        <v>1.3528138528138528E-2</v>
      </c>
      <c r="K639" s="15"/>
      <c r="L639" s="62"/>
      <c r="M639" s="56">
        <f t="shared" si="185"/>
        <v>169.00661594965064</v>
      </c>
      <c r="N639" s="14">
        <v>145</v>
      </c>
      <c r="O639" s="18">
        <f t="shared" si="184"/>
        <v>145</v>
      </c>
      <c r="P639" s="16">
        <v>0</v>
      </c>
      <c r="Q639" s="16">
        <v>1</v>
      </c>
      <c r="R639" s="16">
        <v>0</v>
      </c>
      <c r="S639" s="14"/>
      <c r="T639" s="56" t="str">
        <f t="shared" si="186"/>
        <v/>
      </c>
      <c r="U639" s="56" t="str">
        <f t="shared" si="187"/>
        <v/>
      </c>
      <c r="V639" s="56" t="str">
        <f t="shared" si="188"/>
        <v/>
      </c>
      <c r="W639" s="14"/>
      <c r="X639" s="14"/>
      <c r="Y639" s="14"/>
      <c r="Z639" s="14"/>
      <c r="AA639" s="18">
        <f t="shared" si="182"/>
        <v>145</v>
      </c>
      <c r="AB639" s="14"/>
      <c r="AC639" s="14"/>
      <c r="AD639" s="14"/>
      <c r="AE639" s="14"/>
      <c r="AF639" s="16">
        <v>0</v>
      </c>
      <c r="AG639" s="16">
        <v>1</v>
      </c>
      <c r="AH639" s="16">
        <v>1</v>
      </c>
      <c r="AI639" s="16">
        <v>1</v>
      </c>
      <c r="AJ639" s="5">
        <v>1</v>
      </c>
      <c r="AK639" s="5">
        <v>0</v>
      </c>
      <c r="AL639" s="5">
        <v>0</v>
      </c>
      <c r="AM639" s="20"/>
      <c r="AN639" s="20">
        <v>1</v>
      </c>
      <c r="AO639" s="14"/>
      <c r="AP639" s="16"/>
      <c r="AQ639" s="16"/>
      <c r="AR639" s="16">
        <v>0</v>
      </c>
      <c r="AS639" s="16">
        <v>0</v>
      </c>
      <c r="AT639" s="16"/>
      <c r="AU639" s="16"/>
      <c r="AV639" s="16"/>
      <c r="AW639" s="16"/>
      <c r="AX639" s="16">
        <v>0</v>
      </c>
      <c r="AY639" s="16">
        <v>0</v>
      </c>
      <c r="AZ639" s="16">
        <v>1</v>
      </c>
      <c r="BA639" s="16">
        <v>0</v>
      </c>
    </row>
    <row r="640" spans="1:53" x14ac:dyDescent="0.2">
      <c r="A640" s="14"/>
      <c r="B640" s="14" t="str">
        <f t="shared" si="179"/>
        <v>Ceronsky et al. 2011</v>
      </c>
      <c r="C640" s="61">
        <f t="shared" si="180"/>
        <v>65</v>
      </c>
      <c r="D640" s="58">
        <v>2011</v>
      </c>
      <c r="E640" s="17"/>
      <c r="F640" s="58">
        <v>0</v>
      </c>
      <c r="G640" s="16">
        <v>2010</v>
      </c>
      <c r="H640" s="15">
        <f>LOOKUP(G640,CPI!A$69:A$100,CPI!O$69:O$100)</f>
        <v>1</v>
      </c>
      <c r="I640" s="52">
        <v>2010</v>
      </c>
      <c r="J640" s="27">
        <f>0.01/7.392</f>
        <v>1.3528138528138528E-3</v>
      </c>
      <c r="K640" s="15"/>
      <c r="L640" s="62"/>
      <c r="M640" s="56">
        <f t="shared" si="185"/>
        <v>275.07283699391411</v>
      </c>
      <c r="N640" s="14">
        <v>236</v>
      </c>
      <c r="O640" s="18">
        <f t="shared" si="184"/>
        <v>236</v>
      </c>
      <c r="P640" s="16">
        <v>0</v>
      </c>
      <c r="Q640" s="16">
        <v>1</v>
      </c>
      <c r="R640" s="16">
        <v>0</v>
      </c>
      <c r="S640" s="14"/>
      <c r="T640" s="56" t="str">
        <f t="shared" si="186"/>
        <v/>
      </c>
      <c r="U640" s="56" t="str">
        <f t="shared" si="187"/>
        <v/>
      </c>
      <c r="V640" s="56" t="str">
        <f t="shared" si="188"/>
        <v/>
      </c>
      <c r="W640" s="14"/>
      <c r="X640" s="14"/>
      <c r="Y640" s="14"/>
      <c r="Z640" s="14"/>
      <c r="AA640" s="18">
        <f t="shared" si="182"/>
        <v>236</v>
      </c>
      <c r="AB640" s="14"/>
      <c r="AC640" s="14"/>
      <c r="AD640" s="14"/>
      <c r="AE640" s="14"/>
      <c r="AF640" s="16">
        <v>0</v>
      </c>
      <c r="AG640" s="16">
        <v>1</v>
      </c>
      <c r="AH640" s="16">
        <v>1</v>
      </c>
      <c r="AI640" s="16">
        <v>1</v>
      </c>
      <c r="AJ640" s="5">
        <v>1</v>
      </c>
      <c r="AK640" s="5">
        <v>0</v>
      </c>
      <c r="AL640" s="5">
        <v>0</v>
      </c>
      <c r="AM640" s="20"/>
      <c r="AN640" s="20">
        <v>1</v>
      </c>
      <c r="AO640" s="14"/>
      <c r="AP640" s="16"/>
      <c r="AQ640" s="16"/>
      <c r="AR640" s="16">
        <v>0</v>
      </c>
      <c r="AS640" s="16">
        <v>0</v>
      </c>
      <c r="AT640" s="16"/>
      <c r="AU640" s="16"/>
      <c r="AV640" s="16"/>
      <c r="AW640" s="16"/>
      <c r="AX640" s="16">
        <v>0</v>
      </c>
      <c r="AY640" s="16">
        <v>0</v>
      </c>
      <c r="AZ640" s="16">
        <v>1</v>
      </c>
      <c r="BA640" s="16">
        <v>0</v>
      </c>
    </row>
    <row r="641" spans="1:53" x14ac:dyDescent="0.2">
      <c r="A641" s="14"/>
      <c r="B641" s="14" t="str">
        <f t="shared" si="179"/>
        <v>Ceronsky et al. 2011</v>
      </c>
      <c r="C641" s="61">
        <f t="shared" si="180"/>
        <v>65</v>
      </c>
      <c r="D641" s="58">
        <v>2011</v>
      </c>
      <c r="E641" s="17"/>
      <c r="F641" s="58">
        <v>0</v>
      </c>
      <c r="G641" s="16">
        <v>2010</v>
      </c>
      <c r="H641" s="15">
        <f>LOOKUP(G641,CPI!A$69:A$100,CPI!O$69:O$100)</f>
        <v>1</v>
      </c>
      <c r="I641" s="52">
        <v>2010</v>
      </c>
      <c r="J641" s="27">
        <f>0.001/7.392</f>
        <v>1.3528138528138528E-4</v>
      </c>
      <c r="K641" s="15"/>
      <c r="L641" s="62"/>
      <c r="M641" s="56">
        <f t="shared" si="185"/>
        <v>308.87416018384425</v>
      </c>
      <c r="N641" s="14">
        <v>265</v>
      </c>
      <c r="O641" s="18">
        <f t="shared" si="184"/>
        <v>265</v>
      </c>
      <c r="P641" s="16">
        <v>0</v>
      </c>
      <c r="Q641" s="16">
        <v>1</v>
      </c>
      <c r="R641" s="16">
        <v>0</v>
      </c>
      <c r="S641" s="14"/>
      <c r="T641" s="56" t="str">
        <f t="shared" si="186"/>
        <v/>
      </c>
      <c r="U641" s="56" t="str">
        <f t="shared" si="187"/>
        <v/>
      </c>
      <c r="V641" s="56" t="str">
        <f t="shared" si="188"/>
        <v/>
      </c>
      <c r="W641" s="14"/>
      <c r="X641" s="14"/>
      <c r="Y641" s="14"/>
      <c r="Z641" s="14"/>
      <c r="AA641" s="18">
        <f t="shared" si="182"/>
        <v>265</v>
      </c>
      <c r="AB641" s="14"/>
      <c r="AC641" s="14"/>
      <c r="AD641" s="14"/>
      <c r="AE641" s="14"/>
      <c r="AF641" s="16">
        <v>0</v>
      </c>
      <c r="AG641" s="16">
        <v>1</v>
      </c>
      <c r="AH641" s="16">
        <v>1</v>
      </c>
      <c r="AI641" s="16">
        <v>1</v>
      </c>
      <c r="AJ641" s="5">
        <v>1</v>
      </c>
      <c r="AK641" s="5">
        <v>0</v>
      </c>
      <c r="AL641" s="5">
        <v>0</v>
      </c>
      <c r="AM641" s="20"/>
      <c r="AN641" s="20">
        <v>1</v>
      </c>
      <c r="AO641" s="14"/>
      <c r="AP641" s="16"/>
      <c r="AQ641" s="16"/>
      <c r="AR641" s="16">
        <v>0</v>
      </c>
      <c r="AS641" s="16">
        <v>0</v>
      </c>
      <c r="AT641" s="16"/>
      <c r="AU641" s="16"/>
      <c r="AV641" s="16"/>
      <c r="AW641" s="16"/>
      <c r="AX641" s="16">
        <v>0</v>
      </c>
      <c r="AY641" s="16">
        <v>0</v>
      </c>
      <c r="AZ641" s="16">
        <v>1</v>
      </c>
      <c r="BA641" s="16">
        <v>0</v>
      </c>
    </row>
    <row r="642" spans="1:53" x14ac:dyDescent="0.2">
      <c r="A642" s="14"/>
      <c r="B642" s="14" t="str">
        <f t="shared" si="179"/>
        <v>Ceronsky et al. 2011</v>
      </c>
      <c r="C642" s="61">
        <f t="shared" si="180"/>
        <v>65</v>
      </c>
      <c r="D642" s="58">
        <v>2011</v>
      </c>
      <c r="E642" s="17"/>
      <c r="F642" s="58">
        <v>0</v>
      </c>
      <c r="G642" s="16">
        <v>2010</v>
      </c>
      <c r="H642" s="15">
        <f>LOOKUP(G642,CPI!A$69:A$100,CPI!O$69:O$100)</f>
        <v>1</v>
      </c>
      <c r="I642" s="52">
        <v>2010</v>
      </c>
      <c r="J642" s="27">
        <f>1/7.392</f>
        <v>0.13528138528138528</v>
      </c>
      <c r="K642" s="15"/>
      <c r="L642" s="62"/>
      <c r="M642" s="56">
        <f t="shared" si="185"/>
        <v>9.3245029489462414</v>
      </c>
      <c r="N642" s="14">
        <v>8</v>
      </c>
      <c r="O642" s="18">
        <f t="shared" si="184"/>
        <v>8</v>
      </c>
      <c r="P642" s="16">
        <v>1</v>
      </c>
      <c r="Q642" s="16">
        <v>0</v>
      </c>
      <c r="R642" s="16">
        <v>0</v>
      </c>
      <c r="S642" s="14"/>
      <c r="T642" s="56" t="str">
        <f t="shared" si="186"/>
        <v/>
      </c>
      <c r="U642" s="56" t="str">
        <f t="shared" si="187"/>
        <v/>
      </c>
      <c r="V642" s="56" t="str">
        <f t="shared" si="188"/>
        <v/>
      </c>
      <c r="W642" s="14"/>
      <c r="X642" s="14"/>
      <c r="Y642" s="14"/>
      <c r="Z642" s="14"/>
      <c r="AA642" s="18">
        <f t="shared" si="182"/>
        <v>8</v>
      </c>
      <c r="AB642" s="14"/>
      <c r="AC642" s="14"/>
      <c r="AD642" s="14"/>
      <c r="AE642" s="14"/>
      <c r="AF642" s="16">
        <v>0</v>
      </c>
      <c r="AG642" s="16">
        <v>1</v>
      </c>
      <c r="AH642" s="16">
        <v>1</v>
      </c>
      <c r="AI642" s="16">
        <v>1</v>
      </c>
      <c r="AJ642" s="5">
        <v>1</v>
      </c>
      <c r="AK642" s="5">
        <v>0</v>
      </c>
      <c r="AL642" s="5">
        <v>0</v>
      </c>
      <c r="AM642" s="20"/>
      <c r="AN642" s="20">
        <v>3</v>
      </c>
      <c r="AO642" s="14"/>
      <c r="AP642" s="16"/>
      <c r="AQ642" s="16"/>
      <c r="AR642" s="16">
        <v>0</v>
      </c>
      <c r="AS642" s="16">
        <v>0</v>
      </c>
      <c r="AT642" s="16"/>
      <c r="AU642" s="16"/>
      <c r="AV642" s="16"/>
      <c r="AW642" s="16"/>
      <c r="AX642" s="16">
        <v>0</v>
      </c>
      <c r="AY642" s="16">
        <v>0</v>
      </c>
      <c r="AZ642" s="16">
        <v>1</v>
      </c>
      <c r="BA642" s="16">
        <v>0</v>
      </c>
    </row>
    <row r="643" spans="1:53" x14ac:dyDescent="0.2">
      <c r="A643" s="14"/>
      <c r="B643" s="14" t="str">
        <f t="shared" si="179"/>
        <v>Ceronsky et al. 2011</v>
      </c>
      <c r="C643" s="61">
        <f t="shared" si="180"/>
        <v>65</v>
      </c>
      <c r="D643" s="58">
        <v>2011</v>
      </c>
      <c r="E643" s="17"/>
      <c r="F643" s="58">
        <v>0</v>
      </c>
      <c r="G643" s="16">
        <v>2010</v>
      </c>
      <c r="H643" s="15">
        <f>LOOKUP(G643,CPI!A$69:A$100,CPI!O$69:O$100)</f>
        <v>1</v>
      </c>
      <c r="I643" s="52">
        <v>2010</v>
      </c>
      <c r="J643" s="27">
        <f>0.01/7.392</f>
        <v>1.3528138528138528E-3</v>
      </c>
      <c r="K643" s="15"/>
      <c r="L643" s="62"/>
      <c r="M643" s="56">
        <f t="shared" si="185"/>
        <v>9.3245029489462414</v>
      </c>
      <c r="N643" s="14">
        <v>8</v>
      </c>
      <c r="O643" s="18">
        <f t="shared" si="184"/>
        <v>8</v>
      </c>
      <c r="P643" s="16">
        <v>1</v>
      </c>
      <c r="Q643" s="16">
        <v>0</v>
      </c>
      <c r="R643" s="16">
        <v>0</v>
      </c>
      <c r="S643" s="14"/>
      <c r="T643" s="56" t="str">
        <f t="shared" si="186"/>
        <v/>
      </c>
      <c r="U643" s="56" t="str">
        <f t="shared" si="187"/>
        <v/>
      </c>
      <c r="V643" s="56" t="str">
        <f t="shared" si="188"/>
        <v/>
      </c>
      <c r="W643" s="14"/>
      <c r="X643" s="14"/>
      <c r="Y643" s="14"/>
      <c r="Z643" s="14"/>
      <c r="AA643" s="18">
        <f t="shared" si="182"/>
        <v>8</v>
      </c>
      <c r="AB643" s="14"/>
      <c r="AC643" s="14"/>
      <c r="AD643" s="14"/>
      <c r="AE643" s="14"/>
      <c r="AF643" s="16">
        <v>0</v>
      </c>
      <c r="AG643" s="16">
        <v>1</v>
      </c>
      <c r="AH643" s="16">
        <v>1</v>
      </c>
      <c r="AI643" s="16">
        <v>1</v>
      </c>
      <c r="AJ643" s="5">
        <v>1</v>
      </c>
      <c r="AK643" s="5">
        <v>0</v>
      </c>
      <c r="AL643" s="5">
        <v>0</v>
      </c>
      <c r="AM643" s="20"/>
      <c r="AN643" s="20">
        <v>3</v>
      </c>
      <c r="AO643" s="14"/>
      <c r="AP643" s="16"/>
      <c r="AQ643" s="16"/>
      <c r="AR643" s="16">
        <v>0</v>
      </c>
      <c r="AS643" s="16">
        <v>0</v>
      </c>
      <c r="AT643" s="16"/>
      <c r="AU643" s="16"/>
      <c r="AV643" s="16"/>
      <c r="AW643" s="16"/>
      <c r="AX643" s="16">
        <v>0</v>
      </c>
      <c r="AY643" s="16">
        <v>0</v>
      </c>
      <c r="AZ643" s="16">
        <v>1</v>
      </c>
      <c r="BA643" s="16">
        <v>0</v>
      </c>
    </row>
    <row r="644" spans="1:53" x14ac:dyDescent="0.2">
      <c r="A644" s="14"/>
      <c r="B644" s="14" t="str">
        <f t="shared" si="179"/>
        <v>Ceronsky et al. 2011</v>
      </c>
      <c r="C644" s="61">
        <f t="shared" si="180"/>
        <v>65</v>
      </c>
      <c r="D644" s="58">
        <v>2011</v>
      </c>
      <c r="E644" s="17"/>
      <c r="F644" s="58">
        <v>0</v>
      </c>
      <c r="G644" s="16">
        <v>2010</v>
      </c>
      <c r="H644" s="15">
        <f>LOOKUP(G644,CPI!A$69:A$100,CPI!O$69:O$100)</f>
        <v>1</v>
      </c>
      <c r="I644" s="52">
        <v>2010</v>
      </c>
      <c r="J644" s="27">
        <f>0.1/7.392</f>
        <v>1.3528138528138528E-2</v>
      </c>
      <c r="K644" s="15"/>
      <c r="L644" s="62"/>
      <c r="M644" s="56">
        <f t="shared" si="185"/>
        <v>9.3245029489462414</v>
      </c>
      <c r="N644" s="14">
        <v>8</v>
      </c>
      <c r="O644" s="18">
        <f t="shared" si="184"/>
        <v>8</v>
      </c>
      <c r="P644" s="16">
        <v>1</v>
      </c>
      <c r="Q644" s="16">
        <v>0</v>
      </c>
      <c r="R644" s="16">
        <v>0</v>
      </c>
      <c r="S644" s="14"/>
      <c r="T644" s="56" t="str">
        <f t="shared" si="186"/>
        <v/>
      </c>
      <c r="U644" s="56" t="str">
        <f t="shared" si="187"/>
        <v/>
      </c>
      <c r="V644" s="56" t="str">
        <f t="shared" si="188"/>
        <v/>
      </c>
      <c r="W644" s="14"/>
      <c r="X644" s="14"/>
      <c r="Y644" s="14"/>
      <c r="Z644" s="14"/>
      <c r="AA644" s="18">
        <f t="shared" si="182"/>
        <v>8</v>
      </c>
      <c r="AB644" s="14"/>
      <c r="AC644" s="14"/>
      <c r="AD644" s="14"/>
      <c r="AE644" s="14"/>
      <c r="AF644" s="16">
        <v>0</v>
      </c>
      <c r="AG644" s="16">
        <v>1</v>
      </c>
      <c r="AH644" s="16">
        <v>1</v>
      </c>
      <c r="AI644" s="16">
        <v>1</v>
      </c>
      <c r="AJ644" s="5">
        <v>1</v>
      </c>
      <c r="AK644" s="5">
        <v>0</v>
      </c>
      <c r="AL644" s="5">
        <v>0</v>
      </c>
      <c r="AM644" s="20"/>
      <c r="AN644" s="20">
        <v>3</v>
      </c>
      <c r="AO644" s="14"/>
      <c r="AP644" s="16"/>
      <c r="AQ644" s="16"/>
      <c r="AR644" s="16">
        <v>0</v>
      </c>
      <c r="AS644" s="16">
        <v>0</v>
      </c>
      <c r="AT644" s="16"/>
      <c r="AU644" s="16"/>
      <c r="AV644" s="16"/>
      <c r="AW644" s="16"/>
      <c r="AX644" s="16">
        <v>0</v>
      </c>
      <c r="AY644" s="16">
        <v>0</v>
      </c>
      <c r="AZ644" s="16">
        <v>1</v>
      </c>
      <c r="BA644" s="16">
        <v>0</v>
      </c>
    </row>
    <row r="645" spans="1:53" x14ac:dyDescent="0.2">
      <c r="A645" s="14"/>
      <c r="B645" s="14" t="str">
        <f t="shared" si="179"/>
        <v>Ceronsky et al. 2011</v>
      </c>
      <c r="C645" s="61">
        <f t="shared" si="180"/>
        <v>65</v>
      </c>
      <c r="D645" s="58">
        <v>2011</v>
      </c>
      <c r="E645" s="17"/>
      <c r="F645" s="58">
        <v>0</v>
      </c>
      <c r="G645" s="16">
        <v>2010</v>
      </c>
      <c r="H645" s="15">
        <f>LOOKUP(G645,CPI!A$69:A$100,CPI!O$69:O$100)</f>
        <v>1</v>
      </c>
      <c r="I645" s="52">
        <v>2010</v>
      </c>
      <c r="J645" s="27">
        <f>0.01/7.392</f>
        <v>1.3528138528138528E-3</v>
      </c>
      <c r="K645" s="15"/>
      <c r="L645" s="62"/>
      <c r="M645" s="56">
        <f t="shared" si="185"/>
        <v>12.821191554801082</v>
      </c>
      <c r="N645" s="14">
        <v>11</v>
      </c>
      <c r="O645" s="18">
        <f t="shared" si="184"/>
        <v>11</v>
      </c>
      <c r="P645" s="16">
        <v>1</v>
      </c>
      <c r="Q645" s="16">
        <v>0</v>
      </c>
      <c r="R645" s="16">
        <v>0</v>
      </c>
      <c r="S645" s="14"/>
      <c r="T645" s="56" t="str">
        <f t="shared" si="186"/>
        <v/>
      </c>
      <c r="U645" s="56" t="str">
        <f t="shared" si="187"/>
        <v/>
      </c>
      <c r="V645" s="56" t="str">
        <f t="shared" si="188"/>
        <v/>
      </c>
      <c r="W645" s="14"/>
      <c r="X645" s="14"/>
      <c r="Y645" s="14"/>
      <c r="Z645" s="14"/>
      <c r="AA645" s="18">
        <f t="shared" si="182"/>
        <v>11</v>
      </c>
      <c r="AB645" s="14"/>
      <c r="AC645" s="14"/>
      <c r="AD645" s="14"/>
      <c r="AE645" s="14"/>
      <c r="AF645" s="16">
        <v>0</v>
      </c>
      <c r="AG645" s="16">
        <v>1</v>
      </c>
      <c r="AH645" s="16">
        <v>1</v>
      </c>
      <c r="AI645" s="16">
        <v>1</v>
      </c>
      <c r="AJ645" s="5">
        <v>1</v>
      </c>
      <c r="AK645" s="5">
        <v>0</v>
      </c>
      <c r="AL645" s="5">
        <v>0</v>
      </c>
      <c r="AM645" s="20"/>
      <c r="AN645" s="20">
        <v>3</v>
      </c>
      <c r="AO645" s="14"/>
      <c r="AP645" s="16"/>
      <c r="AQ645" s="16"/>
      <c r="AR645" s="16">
        <v>0</v>
      </c>
      <c r="AS645" s="16">
        <v>0</v>
      </c>
      <c r="AT645" s="16"/>
      <c r="AU645" s="16"/>
      <c r="AV645" s="16"/>
      <c r="AW645" s="16"/>
      <c r="AX645" s="16">
        <v>0</v>
      </c>
      <c r="AY645" s="16">
        <v>0</v>
      </c>
      <c r="AZ645" s="16">
        <v>1</v>
      </c>
      <c r="BA645" s="16">
        <v>0</v>
      </c>
    </row>
    <row r="646" spans="1:53" x14ac:dyDescent="0.2">
      <c r="A646" s="14"/>
      <c r="B646" s="14" t="str">
        <f t="shared" si="179"/>
        <v>Ceronsky et al. 2011</v>
      </c>
      <c r="C646" s="61">
        <f t="shared" si="180"/>
        <v>65</v>
      </c>
      <c r="D646" s="58">
        <v>2011</v>
      </c>
      <c r="E646" s="17"/>
      <c r="F646" s="58">
        <v>0</v>
      </c>
      <c r="G646" s="16">
        <v>2010</v>
      </c>
      <c r="H646" s="15">
        <f>LOOKUP(G646,CPI!A$69:A$100,CPI!O$69:O$100)</f>
        <v>1</v>
      </c>
      <c r="I646" s="52">
        <v>2010</v>
      </c>
      <c r="J646" s="27">
        <f>0.001/7.392</f>
        <v>1.3528138528138528E-4</v>
      </c>
      <c r="K646" s="15"/>
      <c r="L646" s="62"/>
      <c r="M646" s="56">
        <f t="shared" si="185"/>
        <v>17.483443029274202</v>
      </c>
      <c r="N646" s="14">
        <v>15</v>
      </c>
      <c r="O646" s="18">
        <f t="shared" si="184"/>
        <v>15</v>
      </c>
      <c r="P646" s="16">
        <v>1</v>
      </c>
      <c r="Q646" s="16">
        <v>0</v>
      </c>
      <c r="R646" s="16">
        <v>0</v>
      </c>
      <c r="S646" s="14"/>
      <c r="T646" s="56" t="str">
        <f t="shared" si="186"/>
        <v/>
      </c>
      <c r="U646" s="56" t="str">
        <f t="shared" si="187"/>
        <v/>
      </c>
      <c r="V646" s="56" t="str">
        <f t="shared" si="188"/>
        <v/>
      </c>
      <c r="W646" s="14"/>
      <c r="X646" s="14"/>
      <c r="Y646" s="14"/>
      <c r="Z646" s="14"/>
      <c r="AA646" s="18">
        <f t="shared" si="182"/>
        <v>15</v>
      </c>
      <c r="AB646" s="14"/>
      <c r="AC646" s="14"/>
      <c r="AD646" s="14"/>
      <c r="AE646" s="14"/>
      <c r="AF646" s="16">
        <v>0</v>
      </c>
      <c r="AG646" s="16">
        <v>1</v>
      </c>
      <c r="AH646" s="16">
        <v>1</v>
      </c>
      <c r="AI646" s="16">
        <v>1</v>
      </c>
      <c r="AJ646" s="5">
        <v>1</v>
      </c>
      <c r="AK646" s="5">
        <v>0</v>
      </c>
      <c r="AL646" s="5">
        <v>0</v>
      </c>
      <c r="AM646" s="20"/>
      <c r="AN646" s="20">
        <v>3</v>
      </c>
      <c r="AO646" s="14"/>
      <c r="AP646" s="16"/>
      <c r="AQ646" s="16"/>
      <c r="AR646" s="16">
        <v>0</v>
      </c>
      <c r="AS646" s="16">
        <v>0</v>
      </c>
      <c r="AT646" s="16"/>
      <c r="AU646" s="16"/>
      <c r="AV646" s="16"/>
      <c r="AW646" s="16"/>
      <c r="AX646" s="16">
        <v>0</v>
      </c>
      <c r="AY646" s="16">
        <v>0</v>
      </c>
      <c r="AZ646" s="16">
        <v>1</v>
      </c>
      <c r="BA646" s="16">
        <v>0</v>
      </c>
    </row>
    <row r="647" spans="1:53" x14ac:dyDescent="0.2">
      <c r="A647" s="14"/>
      <c r="B647" s="14" t="str">
        <f t="shared" si="179"/>
        <v>Ceronsky et al. 2011</v>
      </c>
      <c r="C647" s="61">
        <f t="shared" si="180"/>
        <v>65</v>
      </c>
      <c r="D647" s="58">
        <v>2011</v>
      </c>
      <c r="E647" s="17"/>
      <c r="F647" s="58">
        <v>0</v>
      </c>
      <c r="G647" s="16">
        <v>2010</v>
      </c>
      <c r="H647" s="15">
        <f>LOOKUP(G647,CPI!A$69:A$100,CPI!O$69:O$100)</f>
        <v>1</v>
      </c>
      <c r="I647" s="52">
        <v>2010</v>
      </c>
      <c r="J647" s="27">
        <f>0.1/7.392</f>
        <v>1.3528138528138528E-2</v>
      </c>
      <c r="K647" s="15"/>
      <c r="L647" s="62"/>
      <c r="M647" s="56">
        <f t="shared" si="185"/>
        <v>13.986754423419363</v>
      </c>
      <c r="N647" s="14">
        <v>12</v>
      </c>
      <c r="O647" s="18">
        <f t="shared" si="184"/>
        <v>12</v>
      </c>
      <c r="P647" s="16">
        <v>1</v>
      </c>
      <c r="Q647" s="16">
        <v>0</v>
      </c>
      <c r="R647" s="16">
        <v>0</v>
      </c>
      <c r="S647" s="14"/>
      <c r="T647" s="56" t="str">
        <f t="shared" si="186"/>
        <v/>
      </c>
      <c r="U647" s="56" t="str">
        <f t="shared" si="187"/>
        <v/>
      </c>
      <c r="V647" s="56" t="str">
        <f t="shared" si="188"/>
        <v/>
      </c>
      <c r="W647" s="14"/>
      <c r="X647" s="14"/>
      <c r="Y647" s="14"/>
      <c r="Z647" s="14"/>
      <c r="AA647" s="18">
        <f t="shared" si="182"/>
        <v>12</v>
      </c>
      <c r="AB647" s="14"/>
      <c r="AC647" s="14"/>
      <c r="AD647" s="14"/>
      <c r="AE647" s="14"/>
      <c r="AF647" s="16">
        <v>0</v>
      </c>
      <c r="AG647" s="16">
        <v>1</v>
      </c>
      <c r="AH647" s="16">
        <v>1</v>
      </c>
      <c r="AI647" s="16">
        <v>1</v>
      </c>
      <c r="AJ647" s="5">
        <v>1</v>
      </c>
      <c r="AK647" s="5">
        <v>0</v>
      </c>
      <c r="AL647" s="5">
        <v>0</v>
      </c>
      <c r="AM647" s="20"/>
      <c r="AN647" s="20">
        <v>3</v>
      </c>
      <c r="AO647" s="14"/>
      <c r="AP647" s="16"/>
      <c r="AQ647" s="16"/>
      <c r="AR647" s="16">
        <v>0</v>
      </c>
      <c r="AS647" s="16">
        <v>0</v>
      </c>
      <c r="AT647" s="16"/>
      <c r="AU647" s="16"/>
      <c r="AV647" s="16"/>
      <c r="AW647" s="16"/>
      <c r="AX647" s="16">
        <v>0</v>
      </c>
      <c r="AY647" s="16">
        <v>0</v>
      </c>
      <c r="AZ647" s="16">
        <v>1</v>
      </c>
      <c r="BA647" s="16">
        <v>0</v>
      </c>
    </row>
    <row r="648" spans="1:53" x14ac:dyDescent="0.2">
      <c r="A648" s="14"/>
      <c r="B648" s="14" t="str">
        <f t="shared" si="179"/>
        <v>Ceronsky et al. 2011</v>
      </c>
      <c r="C648" s="61">
        <f t="shared" si="180"/>
        <v>65</v>
      </c>
      <c r="D648" s="58">
        <v>2011</v>
      </c>
      <c r="E648" s="17"/>
      <c r="F648" s="58">
        <v>0</v>
      </c>
      <c r="G648" s="16">
        <v>2010</v>
      </c>
      <c r="H648" s="15">
        <f>LOOKUP(G648,CPI!A$69:A$100,CPI!O$69:O$100)</f>
        <v>1</v>
      </c>
      <c r="I648" s="52">
        <v>2010</v>
      </c>
      <c r="J648" s="27">
        <f>0.01/7.392</f>
        <v>1.3528138528138528E-3</v>
      </c>
      <c r="K648" s="15"/>
      <c r="L648" s="62"/>
      <c r="M648" s="56">
        <f t="shared" si="185"/>
        <v>20.980131635129045</v>
      </c>
      <c r="N648" s="14">
        <v>18</v>
      </c>
      <c r="O648" s="18">
        <f t="shared" si="184"/>
        <v>18</v>
      </c>
      <c r="P648" s="16">
        <v>1</v>
      </c>
      <c r="Q648" s="16">
        <v>0</v>
      </c>
      <c r="R648" s="16">
        <v>0</v>
      </c>
      <c r="S648" s="14"/>
      <c r="T648" s="56" t="str">
        <f t="shared" si="186"/>
        <v/>
      </c>
      <c r="U648" s="56" t="str">
        <f t="shared" si="187"/>
        <v/>
      </c>
      <c r="V648" s="56" t="str">
        <f t="shared" si="188"/>
        <v/>
      </c>
      <c r="W648" s="14"/>
      <c r="X648" s="14"/>
      <c r="Y648" s="14"/>
      <c r="Z648" s="14"/>
      <c r="AA648" s="18">
        <f t="shared" si="182"/>
        <v>18</v>
      </c>
      <c r="AB648" s="14"/>
      <c r="AC648" s="14"/>
      <c r="AD648" s="14"/>
      <c r="AE648" s="14"/>
      <c r="AF648" s="16">
        <v>0</v>
      </c>
      <c r="AG648" s="16">
        <v>1</v>
      </c>
      <c r="AH648" s="16">
        <v>1</v>
      </c>
      <c r="AI648" s="16">
        <v>1</v>
      </c>
      <c r="AJ648" s="5">
        <v>1</v>
      </c>
      <c r="AK648" s="5">
        <v>0</v>
      </c>
      <c r="AL648" s="5">
        <v>0</v>
      </c>
      <c r="AM648" s="20"/>
      <c r="AN648" s="20">
        <v>3</v>
      </c>
      <c r="AO648" s="14"/>
      <c r="AP648" s="16"/>
      <c r="AQ648" s="16"/>
      <c r="AR648" s="16">
        <v>0</v>
      </c>
      <c r="AS648" s="16">
        <v>0</v>
      </c>
      <c r="AT648" s="16"/>
      <c r="AU648" s="16"/>
      <c r="AV648" s="16"/>
      <c r="AW648" s="16"/>
      <c r="AX648" s="16">
        <v>0</v>
      </c>
      <c r="AY648" s="16">
        <v>0</v>
      </c>
      <c r="AZ648" s="16">
        <v>1</v>
      </c>
      <c r="BA648" s="16">
        <v>0</v>
      </c>
    </row>
    <row r="649" spans="1:53" x14ac:dyDescent="0.2">
      <c r="A649" s="14"/>
      <c r="B649" s="14" t="str">
        <f t="shared" si="179"/>
        <v>Ceronsky et al. 2011</v>
      </c>
      <c r="C649" s="61">
        <f t="shared" si="180"/>
        <v>65</v>
      </c>
      <c r="D649" s="58">
        <v>2011</v>
      </c>
      <c r="E649" s="17"/>
      <c r="F649" s="58">
        <v>0</v>
      </c>
      <c r="G649" s="16">
        <v>2010</v>
      </c>
      <c r="H649" s="15">
        <f>LOOKUP(G649,CPI!A$69:A$100,CPI!O$69:O$100)</f>
        <v>1</v>
      </c>
      <c r="I649" s="52">
        <v>2010</v>
      </c>
      <c r="J649" s="27">
        <f>0.001/7.392</f>
        <v>1.3528138528138528E-4</v>
      </c>
      <c r="K649" s="15"/>
      <c r="L649" s="62"/>
      <c r="M649" s="56">
        <f t="shared" si="185"/>
        <v>22.145694503747322</v>
      </c>
      <c r="N649" s="14">
        <v>19</v>
      </c>
      <c r="O649" s="18">
        <f t="shared" si="184"/>
        <v>19</v>
      </c>
      <c r="P649" s="16">
        <v>1</v>
      </c>
      <c r="Q649" s="16">
        <v>0</v>
      </c>
      <c r="R649" s="16">
        <v>0</v>
      </c>
      <c r="S649" s="14"/>
      <c r="T649" s="56" t="str">
        <f t="shared" si="186"/>
        <v/>
      </c>
      <c r="U649" s="56" t="str">
        <f t="shared" si="187"/>
        <v/>
      </c>
      <c r="V649" s="56" t="str">
        <f t="shared" si="188"/>
        <v/>
      </c>
      <c r="W649" s="14"/>
      <c r="X649" s="14"/>
      <c r="Y649" s="14"/>
      <c r="Z649" s="14"/>
      <c r="AA649" s="18">
        <f t="shared" si="182"/>
        <v>19</v>
      </c>
      <c r="AB649" s="14"/>
      <c r="AC649" s="14"/>
      <c r="AD649" s="14"/>
      <c r="AE649" s="14"/>
      <c r="AF649" s="16">
        <v>0</v>
      </c>
      <c r="AG649" s="16">
        <v>1</v>
      </c>
      <c r="AH649" s="16">
        <v>1</v>
      </c>
      <c r="AI649" s="16">
        <v>1</v>
      </c>
      <c r="AJ649" s="5">
        <v>1</v>
      </c>
      <c r="AK649" s="5">
        <v>0</v>
      </c>
      <c r="AL649" s="5">
        <v>0</v>
      </c>
      <c r="AM649" s="20"/>
      <c r="AN649" s="20">
        <v>3</v>
      </c>
      <c r="AO649" s="14"/>
      <c r="AP649" s="16"/>
      <c r="AQ649" s="16"/>
      <c r="AR649" s="16">
        <v>0</v>
      </c>
      <c r="AS649" s="16">
        <v>0</v>
      </c>
      <c r="AT649" s="16"/>
      <c r="AU649" s="16"/>
      <c r="AV649" s="16"/>
      <c r="AW649" s="16"/>
      <c r="AX649" s="16">
        <v>0</v>
      </c>
      <c r="AY649" s="16">
        <v>0</v>
      </c>
      <c r="AZ649" s="16">
        <v>1</v>
      </c>
      <c r="BA649" s="16">
        <v>0</v>
      </c>
    </row>
    <row r="650" spans="1:53" x14ac:dyDescent="0.2">
      <c r="A650" s="14"/>
      <c r="B650" s="14" t="str">
        <f t="shared" ref="B650:B713" si="189">+IF(A650="",B649,A650&amp;" "&amp;D650)</f>
        <v>Ceronsky et al. 2011</v>
      </c>
      <c r="C650" s="61">
        <f t="shared" ref="C650:C713" si="190">+IF(A650="",C649,C649+1)</f>
        <v>65</v>
      </c>
      <c r="D650" s="58">
        <v>2011</v>
      </c>
      <c r="E650" s="17"/>
      <c r="F650" s="58">
        <v>0</v>
      </c>
      <c r="G650" s="16">
        <v>2010</v>
      </c>
      <c r="H650" s="15">
        <f>LOOKUP(G650,CPI!A$69:A$100,CPI!O$69:O$100)</f>
        <v>1</v>
      </c>
      <c r="I650" s="52">
        <v>2010</v>
      </c>
      <c r="J650" s="27">
        <f>1/7.392</f>
        <v>0.13528138528138528</v>
      </c>
      <c r="K650" s="15"/>
      <c r="L650" s="62"/>
      <c r="M650" s="56">
        <f t="shared" si="185"/>
        <v>5.8278143430914007</v>
      </c>
      <c r="N650" s="14">
        <v>5</v>
      </c>
      <c r="O650" s="18">
        <f t="shared" si="184"/>
        <v>5</v>
      </c>
      <c r="P650" s="16">
        <v>0</v>
      </c>
      <c r="Q650" s="16">
        <v>1</v>
      </c>
      <c r="R650" s="16">
        <v>0</v>
      </c>
      <c r="S650" s="14"/>
      <c r="T650" s="56" t="str">
        <f t="shared" si="186"/>
        <v/>
      </c>
      <c r="U650" s="56" t="str">
        <f t="shared" si="187"/>
        <v/>
      </c>
      <c r="V650" s="56" t="str">
        <f t="shared" si="188"/>
        <v/>
      </c>
      <c r="W650" s="14"/>
      <c r="X650" s="14"/>
      <c r="Y650" s="14"/>
      <c r="Z650" s="14"/>
      <c r="AA650" s="18">
        <f t="shared" si="182"/>
        <v>5</v>
      </c>
      <c r="AB650" s="14"/>
      <c r="AC650" s="14"/>
      <c r="AD650" s="14"/>
      <c r="AE650" s="14"/>
      <c r="AF650" s="16">
        <v>0</v>
      </c>
      <c r="AG650" s="16">
        <v>1</v>
      </c>
      <c r="AH650" s="16">
        <v>1</v>
      </c>
      <c r="AI650" s="16">
        <v>1</v>
      </c>
      <c r="AJ650" s="5">
        <v>1</v>
      </c>
      <c r="AK650" s="5">
        <v>0</v>
      </c>
      <c r="AL650" s="5">
        <v>0</v>
      </c>
      <c r="AM650" s="20"/>
      <c r="AN650" s="20">
        <v>3</v>
      </c>
      <c r="AO650" s="14"/>
      <c r="AP650" s="16"/>
      <c r="AQ650" s="16"/>
      <c r="AR650" s="16">
        <v>0</v>
      </c>
      <c r="AS650" s="16">
        <v>0</v>
      </c>
      <c r="AT650" s="16"/>
      <c r="AU650" s="16"/>
      <c r="AV650" s="16"/>
      <c r="AW650" s="16"/>
      <c r="AX650" s="16">
        <v>0</v>
      </c>
      <c r="AY650" s="16">
        <v>0</v>
      </c>
      <c r="AZ650" s="16">
        <v>1</v>
      </c>
      <c r="BA650" s="16">
        <v>0</v>
      </c>
    </row>
    <row r="651" spans="1:53" x14ac:dyDescent="0.2">
      <c r="A651" s="14"/>
      <c r="B651" s="14" t="str">
        <f t="shared" si="189"/>
        <v>Ceronsky et al. 2011</v>
      </c>
      <c r="C651" s="61">
        <f t="shared" si="190"/>
        <v>65</v>
      </c>
      <c r="D651" s="58">
        <v>2011</v>
      </c>
      <c r="E651" s="17"/>
      <c r="F651" s="58">
        <v>0</v>
      </c>
      <c r="G651" s="16">
        <v>2010</v>
      </c>
      <c r="H651" s="15">
        <f>LOOKUP(G651,CPI!A$69:A$100,CPI!O$69:O$100)</f>
        <v>1</v>
      </c>
      <c r="I651" s="52">
        <v>2010</v>
      </c>
      <c r="J651" s="27">
        <f>0.01/7.392</f>
        <v>1.3528138528138528E-3</v>
      </c>
      <c r="K651" s="15"/>
      <c r="L651" s="62"/>
      <c r="M651" s="56">
        <f t="shared" si="185"/>
        <v>4.6622514744731207</v>
      </c>
      <c r="N651" s="14">
        <v>4</v>
      </c>
      <c r="O651" s="18">
        <f t="shared" si="184"/>
        <v>4</v>
      </c>
      <c r="P651" s="16">
        <v>0</v>
      </c>
      <c r="Q651" s="16">
        <v>1</v>
      </c>
      <c r="R651" s="16">
        <v>0</v>
      </c>
      <c r="S651" s="14"/>
      <c r="T651" s="56" t="str">
        <f t="shared" si="186"/>
        <v/>
      </c>
      <c r="U651" s="56" t="str">
        <f t="shared" si="187"/>
        <v/>
      </c>
      <c r="V651" s="56" t="str">
        <f t="shared" si="188"/>
        <v/>
      </c>
      <c r="W651" s="14"/>
      <c r="X651" s="14"/>
      <c r="Y651" s="14"/>
      <c r="Z651" s="14"/>
      <c r="AA651" s="18">
        <f t="shared" si="182"/>
        <v>4</v>
      </c>
      <c r="AB651" s="14"/>
      <c r="AC651" s="14"/>
      <c r="AD651" s="14"/>
      <c r="AE651" s="14"/>
      <c r="AF651" s="16">
        <v>0</v>
      </c>
      <c r="AG651" s="16">
        <v>1</v>
      </c>
      <c r="AH651" s="16">
        <v>1</v>
      </c>
      <c r="AI651" s="16">
        <v>1</v>
      </c>
      <c r="AJ651" s="5">
        <v>1</v>
      </c>
      <c r="AK651" s="5">
        <v>0</v>
      </c>
      <c r="AL651" s="5">
        <v>0</v>
      </c>
      <c r="AM651" s="20"/>
      <c r="AN651" s="20">
        <v>3</v>
      </c>
      <c r="AO651" s="14"/>
      <c r="AP651" s="16"/>
      <c r="AQ651" s="16"/>
      <c r="AR651" s="16">
        <v>0</v>
      </c>
      <c r="AS651" s="16">
        <v>0</v>
      </c>
      <c r="AT651" s="16"/>
      <c r="AU651" s="16"/>
      <c r="AV651" s="16"/>
      <c r="AW651" s="16"/>
      <c r="AX651" s="16">
        <v>0</v>
      </c>
      <c r="AY651" s="16">
        <v>0</v>
      </c>
      <c r="AZ651" s="16">
        <v>1</v>
      </c>
      <c r="BA651" s="16">
        <v>0</v>
      </c>
    </row>
    <row r="652" spans="1:53" x14ac:dyDescent="0.2">
      <c r="A652" s="14"/>
      <c r="B652" s="14" t="str">
        <f t="shared" si="189"/>
        <v>Ceronsky et al. 2011</v>
      </c>
      <c r="C652" s="61">
        <f t="shared" si="190"/>
        <v>65</v>
      </c>
      <c r="D652" s="58">
        <v>2011</v>
      </c>
      <c r="E652" s="17"/>
      <c r="F652" s="58">
        <v>0</v>
      </c>
      <c r="G652" s="16">
        <v>2010</v>
      </c>
      <c r="H652" s="15">
        <f>LOOKUP(G652,CPI!A$69:A$100,CPI!O$69:O$100)</f>
        <v>1</v>
      </c>
      <c r="I652" s="52">
        <v>2010</v>
      </c>
      <c r="J652" s="27">
        <f>0.1/7.392</f>
        <v>1.3528138528138528E-2</v>
      </c>
      <c r="K652" s="15"/>
      <c r="L652" s="62"/>
      <c r="M652" s="56">
        <f t="shared" si="185"/>
        <v>5.8278143430914007</v>
      </c>
      <c r="N652" s="14">
        <v>5</v>
      </c>
      <c r="O652" s="18">
        <f t="shared" si="184"/>
        <v>5</v>
      </c>
      <c r="P652" s="16">
        <v>0</v>
      </c>
      <c r="Q652" s="16">
        <v>1</v>
      </c>
      <c r="R652" s="16">
        <v>0</v>
      </c>
      <c r="S652" s="14"/>
      <c r="T652" s="56" t="str">
        <f t="shared" si="186"/>
        <v/>
      </c>
      <c r="U652" s="56" t="str">
        <f t="shared" si="187"/>
        <v/>
      </c>
      <c r="V652" s="56" t="str">
        <f t="shared" si="188"/>
        <v/>
      </c>
      <c r="W652" s="14"/>
      <c r="X652" s="14"/>
      <c r="Y652" s="14"/>
      <c r="Z652" s="14"/>
      <c r="AA652" s="18">
        <f t="shared" si="182"/>
        <v>5</v>
      </c>
      <c r="AB652" s="14"/>
      <c r="AC652" s="14"/>
      <c r="AD652" s="14"/>
      <c r="AE652" s="14"/>
      <c r="AF652" s="16">
        <v>0</v>
      </c>
      <c r="AG652" s="16">
        <v>1</v>
      </c>
      <c r="AH652" s="16">
        <v>1</v>
      </c>
      <c r="AI652" s="16">
        <v>1</v>
      </c>
      <c r="AJ652" s="5">
        <v>1</v>
      </c>
      <c r="AK652" s="5">
        <v>0</v>
      </c>
      <c r="AL652" s="5">
        <v>0</v>
      </c>
      <c r="AM652" s="20"/>
      <c r="AN652" s="20">
        <v>3</v>
      </c>
      <c r="AO652" s="14"/>
      <c r="AP652" s="16"/>
      <c r="AQ652" s="16"/>
      <c r="AR652" s="16">
        <v>0</v>
      </c>
      <c r="AS652" s="16">
        <v>0</v>
      </c>
      <c r="AT652" s="16"/>
      <c r="AU652" s="16"/>
      <c r="AV652" s="16"/>
      <c r="AW652" s="16"/>
      <c r="AX652" s="16">
        <v>0</v>
      </c>
      <c r="AY652" s="16">
        <v>0</v>
      </c>
      <c r="AZ652" s="16">
        <v>1</v>
      </c>
      <c r="BA652" s="16">
        <v>0</v>
      </c>
    </row>
    <row r="653" spans="1:53" x14ac:dyDescent="0.2">
      <c r="A653" s="14"/>
      <c r="B653" s="14" t="str">
        <f t="shared" si="189"/>
        <v>Ceronsky et al. 2011</v>
      </c>
      <c r="C653" s="61">
        <f t="shared" si="190"/>
        <v>65</v>
      </c>
      <c r="D653" s="58">
        <v>2011</v>
      </c>
      <c r="E653" s="17"/>
      <c r="F653" s="58">
        <v>0</v>
      </c>
      <c r="G653" s="16">
        <v>2010</v>
      </c>
      <c r="H653" s="15">
        <f>LOOKUP(G653,CPI!A$69:A$100,CPI!O$69:O$100)</f>
        <v>1</v>
      </c>
      <c r="I653" s="52">
        <v>2010</v>
      </c>
      <c r="J653" s="27">
        <f>0.01/7.392</f>
        <v>1.3528138528138528E-3</v>
      </c>
      <c r="K653" s="15"/>
      <c r="L653" s="62"/>
      <c r="M653" s="56">
        <f t="shared" si="185"/>
        <v>6.9933772117096815</v>
      </c>
      <c r="N653" s="14">
        <v>6</v>
      </c>
      <c r="O653" s="18">
        <f t="shared" si="184"/>
        <v>6</v>
      </c>
      <c r="P653" s="16">
        <v>0</v>
      </c>
      <c r="Q653" s="16">
        <v>1</v>
      </c>
      <c r="R653" s="16">
        <v>0</v>
      </c>
      <c r="S653" s="14"/>
      <c r="T653" s="56" t="str">
        <f t="shared" si="186"/>
        <v/>
      </c>
      <c r="U653" s="56" t="str">
        <f t="shared" si="187"/>
        <v/>
      </c>
      <c r="V653" s="56" t="str">
        <f t="shared" si="188"/>
        <v/>
      </c>
      <c r="W653" s="14"/>
      <c r="X653" s="14"/>
      <c r="Y653" s="14"/>
      <c r="Z653" s="14"/>
      <c r="AA653" s="18">
        <f t="shared" ref="AA653:AA661" si="191">N653</f>
        <v>6</v>
      </c>
      <c r="AB653" s="14"/>
      <c r="AC653" s="14"/>
      <c r="AD653" s="14"/>
      <c r="AE653" s="14"/>
      <c r="AF653" s="16">
        <v>0</v>
      </c>
      <c r="AG653" s="16">
        <v>1</v>
      </c>
      <c r="AH653" s="16">
        <v>1</v>
      </c>
      <c r="AI653" s="16">
        <v>1</v>
      </c>
      <c r="AJ653" s="5">
        <v>1</v>
      </c>
      <c r="AK653" s="5">
        <v>0</v>
      </c>
      <c r="AL653" s="5">
        <v>0</v>
      </c>
      <c r="AM653" s="20"/>
      <c r="AN653" s="20">
        <v>3</v>
      </c>
      <c r="AO653" s="14"/>
      <c r="AP653" s="16"/>
      <c r="AQ653" s="16"/>
      <c r="AR653" s="16">
        <v>0</v>
      </c>
      <c r="AS653" s="16">
        <v>0</v>
      </c>
      <c r="AT653" s="16"/>
      <c r="AU653" s="16"/>
      <c r="AV653" s="16"/>
      <c r="AW653" s="16"/>
      <c r="AX653" s="16">
        <v>0</v>
      </c>
      <c r="AY653" s="16">
        <v>0</v>
      </c>
      <c r="AZ653" s="16">
        <v>1</v>
      </c>
      <c r="BA653" s="16">
        <v>0</v>
      </c>
    </row>
    <row r="654" spans="1:53" x14ac:dyDescent="0.2">
      <c r="A654" s="14"/>
      <c r="B654" s="14" t="str">
        <f t="shared" si="189"/>
        <v>Ceronsky et al. 2011</v>
      </c>
      <c r="C654" s="61">
        <f t="shared" si="190"/>
        <v>65</v>
      </c>
      <c r="D654" s="58">
        <v>2011</v>
      </c>
      <c r="E654" s="17"/>
      <c r="F654" s="58">
        <v>0</v>
      </c>
      <c r="G654" s="16">
        <v>2010</v>
      </c>
      <c r="H654" s="15">
        <f>LOOKUP(G654,CPI!A$69:A$100,CPI!O$69:O$100)</f>
        <v>1</v>
      </c>
      <c r="I654" s="52">
        <v>2010</v>
      </c>
      <c r="J654" s="27">
        <f>0.001/7.392</f>
        <v>1.3528138528138528E-4</v>
      </c>
      <c r="K654" s="15"/>
      <c r="L654" s="62"/>
      <c r="M654" s="56">
        <f t="shared" si="185"/>
        <v>11.655628686182801</v>
      </c>
      <c r="N654" s="14">
        <v>10</v>
      </c>
      <c r="O654" s="18">
        <f t="shared" si="184"/>
        <v>10</v>
      </c>
      <c r="P654" s="16">
        <v>0</v>
      </c>
      <c r="Q654" s="16">
        <v>1</v>
      </c>
      <c r="R654" s="16">
        <v>0</v>
      </c>
      <c r="S654" s="14"/>
      <c r="T654" s="56" t="str">
        <f t="shared" si="186"/>
        <v/>
      </c>
      <c r="U654" s="56" t="str">
        <f t="shared" si="187"/>
        <v/>
      </c>
      <c r="V654" s="56" t="str">
        <f t="shared" si="188"/>
        <v/>
      </c>
      <c r="W654" s="14"/>
      <c r="X654" s="14"/>
      <c r="Y654" s="14"/>
      <c r="Z654" s="14"/>
      <c r="AA654" s="18">
        <f t="shared" si="191"/>
        <v>10</v>
      </c>
      <c r="AB654" s="14"/>
      <c r="AC654" s="14"/>
      <c r="AD654" s="14"/>
      <c r="AE654" s="14"/>
      <c r="AF654" s="16">
        <v>0</v>
      </c>
      <c r="AG654" s="16">
        <v>1</v>
      </c>
      <c r="AH654" s="16">
        <v>1</v>
      </c>
      <c r="AI654" s="16">
        <v>1</v>
      </c>
      <c r="AJ654" s="5">
        <v>1</v>
      </c>
      <c r="AK654" s="5">
        <v>0</v>
      </c>
      <c r="AL654" s="5">
        <v>0</v>
      </c>
      <c r="AM654" s="20"/>
      <c r="AN654" s="20">
        <v>3</v>
      </c>
      <c r="AO654" s="14"/>
      <c r="AP654" s="16"/>
      <c r="AQ654" s="16"/>
      <c r="AR654" s="16">
        <v>0</v>
      </c>
      <c r="AS654" s="16">
        <v>0</v>
      </c>
      <c r="AT654" s="16"/>
      <c r="AU654" s="16"/>
      <c r="AV654" s="16"/>
      <c r="AW654" s="16"/>
      <c r="AX654" s="16">
        <v>0</v>
      </c>
      <c r="AY654" s="16">
        <v>0</v>
      </c>
      <c r="AZ654" s="16">
        <v>1</v>
      </c>
      <c r="BA654" s="16">
        <v>0</v>
      </c>
    </row>
    <row r="655" spans="1:53" x14ac:dyDescent="0.2">
      <c r="A655" s="14"/>
      <c r="B655" s="14" t="str">
        <f t="shared" si="189"/>
        <v>Ceronsky et al. 2011</v>
      </c>
      <c r="C655" s="61">
        <f t="shared" si="190"/>
        <v>65</v>
      </c>
      <c r="D655" s="58">
        <v>2011</v>
      </c>
      <c r="E655" s="17"/>
      <c r="F655" s="58">
        <v>0</v>
      </c>
      <c r="G655" s="16">
        <v>2010</v>
      </c>
      <c r="H655" s="15">
        <f>LOOKUP(G655,CPI!A$69:A$100,CPI!O$69:O$100)</f>
        <v>1</v>
      </c>
      <c r="I655" s="52">
        <v>2010</v>
      </c>
      <c r="J655" s="27">
        <f>0.1/7.392</f>
        <v>1.3528138528138528E-2</v>
      </c>
      <c r="K655" s="15"/>
      <c r="L655" s="62"/>
      <c r="M655" s="56">
        <f t="shared" si="185"/>
        <v>10.490065817564522</v>
      </c>
      <c r="N655" s="14">
        <v>9</v>
      </c>
      <c r="O655" s="18">
        <f t="shared" si="184"/>
        <v>9</v>
      </c>
      <c r="P655" s="16">
        <v>0</v>
      </c>
      <c r="Q655" s="16">
        <v>1</v>
      </c>
      <c r="R655" s="16">
        <v>0</v>
      </c>
      <c r="S655" s="14"/>
      <c r="T655" s="56" t="str">
        <f t="shared" si="186"/>
        <v/>
      </c>
      <c r="U655" s="56" t="str">
        <f t="shared" si="187"/>
        <v/>
      </c>
      <c r="V655" s="56" t="str">
        <f t="shared" si="188"/>
        <v/>
      </c>
      <c r="W655" s="14"/>
      <c r="X655" s="14"/>
      <c r="Y655" s="14"/>
      <c r="Z655" s="14"/>
      <c r="AA655" s="18">
        <f t="shared" si="191"/>
        <v>9</v>
      </c>
      <c r="AB655" s="14"/>
      <c r="AC655" s="14"/>
      <c r="AD655" s="14"/>
      <c r="AE655" s="14"/>
      <c r="AF655" s="16">
        <v>0</v>
      </c>
      <c r="AG655" s="16">
        <v>1</v>
      </c>
      <c r="AH655" s="16">
        <v>1</v>
      </c>
      <c r="AI655" s="16">
        <v>1</v>
      </c>
      <c r="AJ655" s="5">
        <v>1</v>
      </c>
      <c r="AK655" s="5">
        <v>0</v>
      </c>
      <c r="AL655" s="5">
        <v>0</v>
      </c>
      <c r="AM655" s="20"/>
      <c r="AN655" s="20">
        <v>3</v>
      </c>
      <c r="AO655" s="14"/>
      <c r="AP655" s="16"/>
      <c r="AQ655" s="16"/>
      <c r="AR655" s="16">
        <v>0</v>
      </c>
      <c r="AS655" s="16">
        <v>0</v>
      </c>
      <c r="AT655" s="16"/>
      <c r="AU655" s="16"/>
      <c r="AV655" s="16"/>
      <c r="AW655" s="16"/>
      <c r="AX655" s="16">
        <v>0</v>
      </c>
      <c r="AY655" s="16">
        <v>0</v>
      </c>
      <c r="AZ655" s="16">
        <v>1</v>
      </c>
      <c r="BA655" s="16">
        <v>0</v>
      </c>
    </row>
    <row r="656" spans="1:53" x14ac:dyDescent="0.2">
      <c r="A656" s="14"/>
      <c r="B656" s="14" t="str">
        <f t="shared" si="189"/>
        <v>Ceronsky et al. 2011</v>
      </c>
      <c r="C656" s="61">
        <f t="shared" si="190"/>
        <v>65</v>
      </c>
      <c r="D656" s="58">
        <v>2011</v>
      </c>
      <c r="E656" s="17"/>
      <c r="F656" s="58">
        <v>0</v>
      </c>
      <c r="G656" s="16">
        <v>2010</v>
      </c>
      <c r="H656" s="15">
        <f>LOOKUP(G656,CPI!A$69:A$100,CPI!O$69:O$100)</f>
        <v>1</v>
      </c>
      <c r="I656" s="52">
        <v>2010</v>
      </c>
      <c r="J656" s="27">
        <f>0.01/7.392</f>
        <v>1.3528138528138528E-3</v>
      </c>
      <c r="K656" s="15"/>
      <c r="L656" s="62"/>
      <c r="M656" s="56">
        <f t="shared" si="185"/>
        <v>16.317880160655921</v>
      </c>
      <c r="N656" s="14">
        <v>14</v>
      </c>
      <c r="O656" s="18">
        <f t="shared" si="184"/>
        <v>14</v>
      </c>
      <c r="P656" s="16">
        <v>0</v>
      </c>
      <c r="Q656" s="16">
        <v>1</v>
      </c>
      <c r="R656" s="16">
        <v>0</v>
      </c>
      <c r="S656" s="14"/>
      <c r="T656" s="56" t="str">
        <f t="shared" si="186"/>
        <v/>
      </c>
      <c r="U656" s="56" t="str">
        <f t="shared" si="187"/>
        <v/>
      </c>
      <c r="V656" s="56" t="str">
        <f t="shared" si="188"/>
        <v/>
      </c>
      <c r="W656" s="14"/>
      <c r="X656" s="14"/>
      <c r="Y656" s="14"/>
      <c r="Z656" s="14"/>
      <c r="AA656" s="18">
        <f t="shared" si="191"/>
        <v>14</v>
      </c>
      <c r="AB656" s="14"/>
      <c r="AC656" s="14"/>
      <c r="AD656" s="14"/>
      <c r="AE656" s="14"/>
      <c r="AF656" s="16">
        <v>0</v>
      </c>
      <c r="AG656" s="16">
        <v>1</v>
      </c>
      <c r="AH656" s="16">
        <v>1</v>
      </c>
      <c r="AI656" s="16">
        <v>1</v>
      </c>
      <c r="AJ656" s="5">
        <v>1</v>
      </c>
      <c r="AK656" s="5">
        <v>0</v>
      </c>
      <c r="AL656" s="5">
        <v>0</v>
      </c>
      <c r="AM656" s="20"/>
      <c r="AN656" s="20">
        <v>3</v>
      </c>
      <c r="AO656" s="14"/>
      <c r="AP656" s="16"/>
      <c r="AQ656" s="16"/>
      <c r="AR656" s="16">
        <v>0</v>
      </c>
      <c r="AS656" s="16">
        <v>0</v>
      </c>
      <c r="AT656" s="16"/>
      <c r="AU656" s="16"/>
      <c r="AV656" s="16"/>
      <c r="AW656" s="16"/>
      <c r="AX656" s="16">
        <v>0</v>
      </c>
      <c r="AY656" s="16">
        <v>0</v>
      </c>
      <c r="AZ656" s="16">
        <v>1</v>
      </c>
      <c r="BA656" s="16">
        <v>0</v>
      </c>
    </row>
    <row r="657" spans="1:53" x14ac:dyDescent="0.2">
      <c r="A657" s="14"/>
      <c r="B657" s="14" t="str">
        <f t="shared" si="189"/>
        <v>Ceronsky et al. 2011</v>
      </c>
      <c r="C657" s="61">
        <f t="shared" si="190"/>
        <v>65</v>
      </c>
      <c r="D657" s="58">
        <v>2011</v>
      </c>
      <c r="E657" s="17"/>
      <c r="F657" s="58">
        <v>0</v>
      </c>
      <c r="G657" s="16">
        <v>2010</v>
      </c>
      <c r="H657" s="15">
        <f>LOOKUP(G657,CPI!A$69:A$100,CPI!O$69:O$100)</f>
        <v>1</v>
      </c>
      <c r="I657" s="52">
        <v>2010</v>
      </c>
      <c r="J657" s="27">
        <f>0.001/7.392</f>
        <v>1.3528138528138528E-4</v>
      </c>
      <c r="K657" s="15"/>
      <c r="L657" s="62"/>
      <c r="M657" s="56">
        <f t="shared" si="185"/>
        <v>17.483443029274202</v>
      </c>
      <c r="N657" s="14">
        <v>15</v>
      </c>
      <c r="O657" s="18">
        <f t="shared" si="184"/>
        <v>15</v>
      </c>
      <c r="P657" s="16">
        <v>0</v>
      </c>
      <c r="Q657" s="16">
        <v>1</v>
      </c>
      <c r="R657" s="16">
        <v>0</v>
      </c>
      <c r="S657" s="14"/>
      <c r="T657" s="56" t="str">
        <f t="shared" si="186"/>
        <v/>
      </c>
      <c r="U657" s="56" t="str">
        <f t="shared" si="187"/>
        <v/>
      </c>
      <c r="V657" s="56" t="str">
        <f t="shared" si="188"/>
        <v/>
      </c>
      <c r="W657" s="14"/>
      <c r="X657" s="14"/>
      <c r="Y657" s="14"/>
      <c r="Z657" s="14"/>
      <c r="AA657" s="18">
        <f t="shared" si="191"/>
        <v>15</v>
      </c>
      <c r="AB657" s="14"/>
      <c r="AC657" s="14"/>
      <c r="AD657" s="14"/>
      <c r="AE657" s="14"/>
      <c r="AF657" s="16">
        <v>0</v>
      </c>
      <c r="AG657" s="16">
        <v>1</v>
      </c>
      <c r="AH657" s="16">
        <v>1</v>
      </c>
      <c r="AI657" s="16">
        <v>1</v>
      </c>
      <c r="AJ657" s="5">
        <v>1</v>
      </c>
      <c r="AK657" s="5">
        <v>0</v>
      </c>
      <c r="AL657" s="5">
        <v>0</v>
      </c>
      <c r="AM657" s="20"/>
      <c r="AN657" s="20">
        <v>3</v>
      </c>
      <c r="AO657" s="14"/>
      <c r="AP657" s="16"/>
      <c r="AQ657" s="16"/>
      <c r="AR657" s="16">
        <v>0</v>
      </c>
      <c r="AS657" s="16">
        <v>0</v>
      </c>
      <c r="AT657" s="16"/>
      <c r="AU657" s="16"/>
      <c r="AV657" s="16"/>
      <c r="AW657" s="16"/>
      <c r="AX657" s="16">
        <v>0</v>
      </c>
      <c r="AY657" s="16">
        <v>0</v>
      </c>
      <c r="AZ657" s="16">
        <v>1</v>
      </c>
      <c r="BA657" s="16">
        <v>0</v>
      </c>
    </row>
    <row r="658" spans="1:53" s="3" customFormat="1" x14ac:dyDescent="0.2">
      <c r="A658" s="3" t="s">
        <v>194</v>
      </c>
      <c r="B658" s="14" t="str">
        <f t="shared" si="189"/>
        <v>Dietz 2011</v>
      </c>
      <c r="C658" s="61">
        <f t="shared" si="190"/>
        <v>66</v>
      </c>
      <c r="D658" s="58">
        <v>2011</v>
      </c>
      <c r="E658" s="38" t="s">
        <v>195</v>
      </c>
      <c r="F658" s="58">
        <v>1</v>
      </c>
      <c r="G658" s="5">
        <v>2008</v>
      </c>
      <c r="H658" s="15">
        <f>LOOKUP(G658,CPI!A$69:A$100,CPI!O$69:O$100)</f>
        <v>1.0127866309340789</v>
      </c>
      <c r="I658" s="69">
        <v>2000</v>
      </c>
      <c r="J658" s="80">
        <v>0.25</v>
      </c>
      <c r="K658" s="44"/>
      <c r="L658" s="65"/>
      <c r="M658" s="56">
        <f t="shared" si="185"/>
        <v>2614.6574412128552</v>
      </c>
      <c r="O658" s="3">
        <f>444.65*(44/12)</f>
        <v>1630.3833333333332</v>
      </c>
      <c r="P658" s="5">
        <v>1</v>
      </c>
      <c r="Q658" s="5">
        <v>0</v>
      </c>
      <c r="R658" s="5">
        <v>0</v>
      </c>
      <c r="T658" s="56" t="str">
        <f t="shared" si="186"/>
        <v/>
      </c>
      <c r="U658" s="56">
        <f t="shared" ref="U658:U659" si="192">+(AA658-X658)/1.96*H658*(1+$L$2)^(2015-I658)</f>
        <v>1270.6160996868305</v>
      </c>
      <c r="V658" s="56">
        <f t="shared" ref="V658:V659" si="193">+(AD658-AA658)/1.96*H658*(1+$L$2)^(2015-I658)</f>
        <v>4251.1576952569931</v>
      </c>
      <c r="X658" s="3">
        <f>21.13*(44/12)</f>
        <v>77.476666666666659</v>
      </c>
      <c r="AA658" s="37">
        <f>+O658</f>
        <v>1630.3833333333332</v>
      </c>
      <c r="AD658" s="3">
        <f>1861.64*(44/12)</f>
        <v>6826.0133333333333</v>
      </c>
      <c r="AF658" s="5">
        <v>0</v>
      </c>
      <c r="AG658" s="5">
        <v>1</v>
      </c>
      <c r="AH658" s="5">
        <v>0</v>
      </c>
      <c r="AI658" s="5">
        <v>1</v>
      </c>
      <c r="AJ658" s="5">
        <v>0</v>
      </c>
      <c r="AK658" s="5">
        <v>0</v>
      </c>
      <c r="AL658" s="5">
        <v>1</v>
      </c>
      <c r="AM658" s="13"/>
      <c r="AN658" s="13">
        <v>1</v>
      </c>
      <c r="AO658" s="3">
        <v>0.1</v>
      </c>
      <c r="AP658" s="5"/>
      <c r="AQ658" s="5"/>
      <c r="AR658" s="5">
        <v>0</v>
      </c>
      <c r="AS658" s="5">
        <v>0</v>
      </c>
      <c r="AT658" s="5"/>
      <c r="AU658" s="5"/>
      <c r="AV658" s="5"/>
      <c r="AW658" s="5"/>
      <c r="AX658" s="5">
        <v>0</v>
      </c>
      <c r="AY658" s="5">
        <v>0</v>
      </c>
      <c r="AZ658" s="5">
        <v>0</v>
      </c>
      <c r="BA658" s="5">
        <v>0</v>
      </c>
    </row>
    <row r="659" spans="1:53" s="3" customFormat="1" x14ac:dyDescent="0.2">
      <c r="B659" s="14" t="str">
        <f t="shared" si="189"/>
        <v>Dietz 2011</v>
      </c>
      <c r="C659" s="61">
        <f t="shared" si="190"/>
        <v>66</v>
      </c>
      <c r="D659" s="58">
        <v>2011</v>
      </c>
      <c r="E659" s="38"/>
      <c r="F659" s="58">
        <v>1</v>
      </c>
      <c r="G659" s="5">
        <v>2008</v>
      </c>
      <c r="H659" s="15">
        <f>LOOKUP(G659,CPI!A$69:A$100,CPI!O$69:O$100)</f>
        <v>1.0127866309340789</v>
      </c>
      <c r="I659" s="69">
        <v>2000</v>
      </c>
      <c r="J659" s="80">
        <v>0.25</v>
      </c>
      <c r="K659" s="44"/>
      <c r="L659" s="65"/>
      <c r="M659" s="56">
        <f t="shared" si="185"/>
        <v>2035.8046839588494</v>
      </c>
      <c r="O659" s="3">
        <f>346.21*(44/12)</f>
        <v>1269.4366666666665</v>
      </c>
      <c r="P659" s="5">
        <v>1</v>
      </c>
      <c r="Q659" s="5">
        <v>0</v>
      </c>
      <c r="R659" s="5">
        <v>0</v>
      </c>
      <c r="T659" s="56"/>
      <c r="U659" s="56">
        <f t="shared" si="192"/>
        <v>1024.6652405719685</v>
      </c>
      <c r="V659" s="56">
        <f t="shared" si="193"/>
        <v>3037.1240937758994</v>
      </c>
      <c r="X659" s="3">
        <f>4.67*(44/12)</f>
        <v>17.123333333333331</v>
      </c>
      <c r="AA659" s="37">
        <f>+O659</f>
        <v>1269.4366666666665</v>
      </c>
      <c r="AD659" s="3">
        <f>1358.54*(44/12)</f>
        <v>4981.3133333333326</v>
      </c>
      <c r="AF659" s="5">
        <v>0</v>
      </c>
      <c r="AG659" s="5">
        <v>1</v>
      </c>
      <c r="AH659" s="5">
        <v>0</v>
      </c>
      <c r="AI659" s="5">
        <v>1</v>
      </c>
      <c r="AJ659" s="5">
        <v>0</v>
      </c>
      <c r="AK659" s="5">
        <v>0</v>
      </c>
      <c r="AL659" s="5">
        <v>1</v>
      </c>
      <c r="AM659" s="13"/>
      <c r="AN659" s="13">
        <v>3</v>
      </c>
      <c r="AO659" s="3">
        <v>1.3</v>
      </c>
      <c r="AP659" s="5"/>
      <c r="AQ659" s="5"/>
      <c r="AR659" s="5">
        <v>0</v>
      </c>
      <c r="AS659" s="5">
        <v>0</v>
      </c>
      <c r="AT659" s="5"/>
      <c r="AU659" s="5"/>
      <c r="AV659" s="5"/>
      <c r="AW659" s="5"/>
      <c r="AX659" s="5">
        <v>0</v>
      </c>
      <c r="AY659" s="5">
        <v>0</v>
      </c>
      <c r="AZ659" s="5">
        <v>0</v>
      </c>
      <c r="BA659" s="5">
        <v>0</v>
      </c>
    </row>
    <row r="660" spans="1:53" x14ac:dyDescent="0.2">
      <c r="A660" s="14" t="s">
        <v>28</v>
      </c>
      <c r="B660" s="14" t="str">
        <f t="shared" si="189"/>
        <v>Hope 2011</v>
      </c>
      <c r="C660" s="61">
        <f t="shared" si="190"/>
        <v>67</v>
      </c>
      <c r="D660" s="58">
        <v>2011</v>
      </c>
      <c r="E660" s="17" t="s">
        <v>123</v>
      </c>
      <c r="F660" s="58">
        <v>1</v>
      </c>
      <c r="G660" s="16">
        <v>2005</v>
      </c>
      <c r="H660" s="15">
        <f>LOOKUP(G660,CPI!A$69:A$100,CPI!O$69:O$100)</f>
        <v>1.1165181771633383</v>
      </c>
      <c r="I660" s="52">
        <v>2009</v>
      </c>
      <c r="J660" s="15">
        <v>0.5</v>
      </c>
      <c r="K660" s="15"/>
      <c r="L660" s="62"/>
      <c r="M660" s="56">
        <f t="shared" si="185"/>
        <v>502.20171035306595</v>
      </c>
      <c r="N660" s="18">
        <f t="shared" ref="N660" si="194">O660</f>
        <v>374.2566666666666</v>
      </c>
      <c r="O660" s="14">
        <f>102.07*(44/12)</f>
        <v>374.2566666666666</v>
      </c>
      <c r="P660" s="16">
        <v>1</v>
      </c>
      <c r="Q660" s="16">
        <v>0</v>
      </c>
      <c r="R660" s="16">
        <v>0</v>
      </c>
      <c r="S660" s="14">
        <f>260*(44/12)</f>
        <v>953.33333333333326</v>
      </c>
      <c r="T660" s="56">
        <f t="shared" si="186"/>
        <v>1279.24409416868</v>
      </c>
      <c r="U660" s="56">
        <f t="shared" ref="U660" si="195">+(AA660-X660)/1.96*H660*(1+$L$2)^(2015-I660)</f>
        <v>231.12245633852109</v>
      </c>
      <c r="V660" s="56">
        <f t="shared" ref="V660" si="196">+(AD660-AA660)/1.96*H660*(1+$L$2)^(2015-I660)</f>
        <v>421.55310191080542</v>
      </c>
      <c r="W660" s="14"/>
      <c r="X660" s="14">
        <f>10*(44/12)</f>
        <v>36.666666666666664</v>
      </c>
      <c r="Y660" s="14"/>
      <c r="Z660" s="14"/>
      <c r="AA660" s="18">
        <f t="shared" si="191"/>
        <v>374.2566666666666</v>
      </c>
      <c r="AB660" s="14"/>
      <c r="AC660" s="14"/>
      <c r="AD660" s="14">
        <f>270*(44/12)</f>
        <v>990</v>
      </c>
      <c r="AE660" s="14"/>
      <c r="AF660" s="16">
        <v>0</v>
      </c>
      <c r="AG660" s="16">
        <v>1</v>
      </c>
      <c r="AH660" s="16">
        <v>0</v>
      </c>
      <c r="AI660" s="16">
        <v>1</v>
      </c>
      <c r="AJ660" s="5">
        <v>0</v>
      </c>
      <c r="AK660" s="5">
        <v>0</v>
      </c>
      <c r="AL660" s="5">
        <v>1</v>
      </c>
      <c r="AM660" s="20"/>
      <c r="AN660" s="20">
        <v>1</v>
      </c>
      <c r="AO660" s="16"/>
      <c r="AP660" s="16"/>
      <c r="AQ660" s="16"/>
      <c r="AR660" s="16">
        <v>1</v>
      </c>
      <c r="AS660" s="16">
        <v>0</v>
      </c>
      <c r="AT660" s="16"/>
      <c r="AU660" s="16"/>
      <c r="AV660" s="16"/>
      <c r="AW660" s="16"/>
      <c r="AX660" s="16">
        <v>1</v>
      </c>
      <c r="AY660" s="16">
        <v>0</v>
      </c>
      <c r="AZ660" s="16">
        <v>0</v>
      </c>
      <c r="BA660" s="16">
        <v>0</v>
      </c>
    </row>
    <row r="661" spans="1:53" x14ac:dyDescent="0.2">
      <c r="A661" s="14"/>
      <c r="B661" s="14" t="str">
        <f t="shared" si="189"/>
        <v>Hope 2011</v>
      </c>
      <c r="C661" s="61">
        <f t="shared" si="190"/>
        <v>67</v>
      </c>
      <c r="D661" s="58">
        <v>2011</v>
      </c>
      <c r="E661" s="17"/>
      <c r="F661" s="58">
        <v>1</v>
      </c>
      <c r="G661" s="16">
        <v>2005</v>
      </c>
      <c r="H661" s="15">
        <f>LOOKUP(G661,CPI!A$69:A$100,CPI!O$69:O$100)</f>
        <v>1.1165181771633383</v>
      </c>
      <c r="I661" s="52">
        <v>2009</v>
      </c>
      <c r="J661" s="15">
        <v>0.5</v>
      </c>
      <c r="K661" s="15"/>
      <c r="L661" s="62"/>
      <c r="M661" s="56">
        <f t="shared" si="185"/>
        <v>260.22776977146725</v>
      </c>
      <c r="N661" s="18">
        <f t="shared" ref="N661" si="197">O661</f>
        <v>193.93</v>
      </c>
      <c r="O661" s="14">
        <f>52.89*(44/12)</f>
        <v>193.93</v>
      </c>
      <c r="P661" s="16">
        <v>1</v>
      </c>
      <c r="Q661" s="16">
        <v>0</v>
      </c>
      <c r="R661" s="16">
        <v>0</v>
      </c>
      <c r="S661" s="14">
        <f>200*(44/12)</f>
        <v>733.33333333333326</v>
      </c>
      <c r="T661" s="56">
        <f t="shared" si="186"/>
        <v>984.03391859129226</v>
      </c>
      <c r="U661" s="56">
        <f t="shared" ref="U661:U673" si="198">+(AA661-X661)/1.96*H661*(1+$L$2)^(2015-I661)</f>
        <v>120.21781724830863</v>
      </c>
      <c r="V661" s="56">
        <f t="shared" ref="V661:V673" si="199">+(AD661-AA661)/1.96*H661*(1+$L$2)^(2015-I661)</f>
        <v>193.56850883309829</v>
      </c>
      <c r="W661" s="14"/>
      <c r="X661" s="14">
        <f>5*(44/12)</f>
        <v>18.333333333333332</v>
      </c>
      <c r="Y661" s="14"/>
      <c r="Z661" s="14"/>
      <c r="AA661" s="18">
        <f t="shared" si="191"/>
        <v>193.93</v>
      </c>
      <c r="AB661" s="14"/>
      <c r="AC661" s="14"/>
      <c r="AD661" s="14">
        <f>130*(44/12)</f>
        <v>476.66666666666663</v>
      </c>
      <c r="AE661" s="14"/>
      <c r="AF661" s="16">
        <v>0</v>
      </c>
      <c r="AG661" s="16">
        <v>1</v>
      </c>
      <c r="AH661" s="16">
        <v>0</v>
      </c>
      <c r="AI661" s="16">
        <v>1</v>
      </c>
      <c r="AJ661" s="5">
        <v>0</v>
      </c>
      <c r="AK661" s="5">
        <v>0</v>
      </c>
      <c r="AL661" s="5">
        <v>1</v>
      </c>
      <c r="AM661" s="20"/>
      <c r="AN661" s="20">
        <v>1</v>
      </c>
      <c r="AO661" s="16"/>
      <c r="AP661" s="16"/>
      <c r="AQ661" s="16"/>
      <c r="AR661" s="16">
        <v>1</v>
      </c>
      <c r="AS661" s="16">
        <v>0</v>
      </c>
      <c r="AT661" s="16"/>
      <c r="AU661" s="16"/>
      <c r="AV661" s="16"/>
      <c r="AW661" s="16"/>
      <c r="AX661" s="16">
        <v>1</v>
      </c>
      <c r="AY661" s="16">
        <v>0</v>
      </c>
      <c r="AZ661" s="16">
        <v>0</v>
      </c>
      <c r="BA661" s="16">
        <v>0</v>
      </c>
    </row>
    <row r="662" spans="1:53" s="3" customFormat="1" x14ac:dyDescent="0.2">
      <c r="A662" s="3" t="s">
        <v>9</v>
      </c>
      <c r="B662" s="14" t="str">
        <f t="shared" si="189"/>
        <v>Nordhaus 2011</v>
      </c>
      <c r="C662" s="61">
        <f t="shared" si="190"/>
        <v>68</v>
      </c>
      <c r="D662" s="58">
        <v>2011</v>
      </c>
      <c r="E662" s="38" t="s">
        <v>209</v>
      </c>
      <c r="F662" s="58">
        <v>0</v>
      </c>
      <c r="G662" s="5">
        <v>2005</v>
      </c>
      <c r="H662" s="15">
        <f>LOOKUP(G662,CPI!A$69:A$100,CPI!O$69:O$100)</f>
        <v>1.1165181771633383</v>
      </c>
      <c r="I662" s="52">
        <v>2015</v>
      </c>
      <c r="J662" s="80">
        <v>1</v>
      </c>
      <c r="K662" s="44"/>
      <c r="L662" s="65"/>
      <c r="M662" s="56">
        <f t="shared" si="185"/>
        <v>45.229849896978997</v>
      </c>
      <c r="O662" s="3">
        <v>43.576360000000001</v>
      </c>
      <c r="P662" s="5">
        <v>0</v>
      </c>
      <c r="Q662" s="5">
        <v>0</v>
      </c>
      <c r="R662" s="5">
        <v>1</v>
      </c>
      <c r="S662" s="3">
        <v>19.351859999999999</v>
      </c>
      <c r="T662" s="56">
        <f t="shared" si="186"/>
        <v>21.606703451920119</v>
      </c>
      <c r="U662" s="56"/>
      <c r="V662" s="56"/>
      <c r="AA662" s="3">
        <v>40.509729999999998</v>
      </c>
      <c r="AF662" s="5">
        <v>1</v>
      </c>
      <c r="AG662" s="5">
        <v>1</v>
      </c>
      <c r="AH662" s="5">
        <v>0</v>
      </c>
      <c r="AI662" s="5">
        <v>1</v>
      </c>
      <c r="AJ662" s="5">
        <v>0</v>
      </c>
      <c r="AK662" s="5">
        <v>1</v>
      </c>
      <c r="AL662" s="5">
        <v>0</v>
      </c>
      <c r="AM662" s="13"/>
      <c r="AN662" s="13">
        <v>1.5</v>
      </c>
      <c r="AO662" s="3">
        <v>0</v>
      </c>
      <c r="AP662" s="5"/>
      <c r="AQ662" s="5"/>
      <c r="AR662" s="5">
        <v>1</v>
      </c>
      <c r="AS662" s="5">
        <v>0</v>
      </c>
      <c r="AT662" s="5"/>
      <c r="AU662" s="5">
        <v>3</v>
      </c>
      <c r="AV662" s="5"/>
      <c r="AW662" s="5"/>
      <c r="AX662" s="5">
        <v>0</v>
      </c>
      <c r="AY662" s="5">
        <v>1</v>
      </c>
      <c r="AZ662" s="5">
        <v>0</v>
      </c>
      <c r="BA662" s="5">
        <v>0</v>
      </c>
    </row>
    <row r="663" spans="1:53" x14ac:dyDescent="0.2">
      <c r="A663" s="14" t="s">
        <v>155</v>
      </c>
      <c r="B663" s="14" t="str">
        <f t="shared" si="189"/>
        <v>Pycroft et al. 2011</v>
      </c>
      <c r="C663" s="61">
        <f t="shared" si="190"/>
        <v>69</v>
      </c>
      <c r="D663" s="58">
        <v>2011</v>
      </c>
      <c r="E663" s="17" t="s">
        <v>154</v>
      </c>
      <c r="F663" s="58">
        <v>1</v>
      </c>
      <c r="G663" s="22">
        <v>2005</v>
      </c>
      <c r="H663" s="15">
        <f>LOOKUP(G663,CPI!A$69:A$100,CPI!O$69:O$100)</f>
        <v>1.1165181771633383</v>
      </c>
      <c r="I663" s="69">
        <v>2009</v>
      </c>
      <c r="J663" s="14">
        <v>9.0909090909090912E-2</v>
      </c>
      <c r="K663" s="15"/>
      <c r="L663" s="62"/>
      <c r="M663" s="56">
        <f t="shared" si="185"/>
        <v>241.08831005486661</v>
      </c>
      <c r="N663" s="18">
        <f t="shared" ref="N663:N673" si="200">O663</f>
        <v>374</v>
      </c>
      <c r="O663" s="14">
        <f>102*44/12</f>
        <v>374</v>
      </c>
      <c r="P663" s="16">
        <v>0</v>
      </c>
      <c r="Q663" s="16">
        <v>0</v>
      </c>
      <c r="R663" s="16">
        <v>1</v>
      </c>
      <c r="S663" s="14"/>
      <c r="T663" s="56" t="str">
        <f t="shared" si="186"/>
        <v/>
      </c>
      <c r="U663" s="56">
        <f t="shared" si="198"/>
        <v>95.391043128747711</v>
      </c>
      <c r="V663" s="56">
        <f t="shared" si="199"/>
        <v>456.87289077452857</v>
      </c>
      <c r="W663" s="14"/>
      <c r="X663" s="14">
        <f>11*44/12</f>
        <v>40.333333333333336</v>
      </c>
      <c r="Y663" s="14"/>
      <c r="Z663" s="14"/>
      <c r="AA663" s="14">
        <f>49*44/12</f>
        <v>179.66666666666666</v>
      </c>
      <c r="AB663" s="14"/>
      <c r="AC663" s="14"/>
      <c r="AD663" s="14">
        <f>231*44/12</f>
        <v>847</v>
      </c>
      <c r="AE663" s="14">
        <f>447*44/12</f>
        <v>1639</v>
      </c>
      <c r="AF663" s="16">
        <v>0</v>
      </c>
      <c r="AG663" s="16">
        <v>1</v>
      </c>
      <c r="AH663" s="16">
        <v>0</v>
      </c>
      <c r="AI663" s="16">
        <v>1</v>
      </c>
      <c r="AJ663" s="5">
        <v>0</v>
      </c>
      <c r="AK663" s="5">
        <v>0</v>
      </c>
      <c r="AL663" s="5">
        <v>1</v>
      </c>
      <c r="AM663" s="20" t="s">
        <v>25</v>
      </c>
      <c r="AN663" s="20" t="s">
        <v>25</v>
      </c>
      <c r="AO663" s="16"/>
      <c r="AP663" s="16"/>
      <c r="AQ663" s="16"/>
      <c r="AR663" s="16">
        <v>1</v>
      </c>
      <c r="AS663" s="16">
        <v>0</v>
      </c>
      <c r="AT663" s="16"/>
      <c r="AU663" s="16"/>
      <c r="AV663" s="16"/>
      <c r="AW663" s="16"/>
      <c r="AX663" s="16">
        <v>1</v>
      </c>
      <c r="AY663" s="16">
        <v>0</v>
      </c>
      <c r="AZ663" s="16">
        <v>0</v>
      </c>
      <c r="BA663" s="16">
        <v>0</v>
      </c>
    </row>
    <row r="664" spans="1:53" x14ac:dyDescent="0.2">
      <c r="A664" s="14"/>
      <c r="B664" s="14" t="str">
        <f t="shared" si="189"/>
        <v>Pycroft et al. 2011</v>
      </c>
      <c r="C664" s="61">
        <f t="shared" si="190"/>
        <v>69</v>
      </c>
      <c r="D664" s="58">
        <v>2011</v>
      </c>
      <c r="E664" s="17"/>
      <c r="F664" s="58">
        <v>1</v>
      </c>
      <c r="G664" s="22">
        <v>2005</v>
      </c>
      <c r="H664" s="15">
        <f>LOOKUP(G664,CPI!A$69:A$100,CPI!O$69:O$100)</f>
        <v>1.1165181771633383</v>
      </c>
      <c r="I664" s="69">
        <v>2009</v>
      </c>
      <c r="J664" s="14">
        <v>9.0909090909090912E-2</v>
      </c>
      <c r="K664" s="15"/>
      <c r="L664" s="62"/>
      <c r="M664" s="56">
        <f t="shared" si="185"/>
        <v>280.44966679851831</v>
      </c>
      <c r="N664" s="18">
        <f t="shared" si="200"/>
        <v>480.33333333333331</v>
      </c>
      <c r="O664" s="14">
        <f>131*44/12</f>
        <v>480.33333333333331</v>
      </c>
      <c r="P664" s="16">
        <v>0</v>
      </c>
      <c r="Q664" s="16">
        <v>0</v>
      </c>
      <c r="R664" s="16">
        <v>1</v>
      </c>
      <c r="S664" s="14"/>
      <c r="T664" s="56" t="str">
        <f t="shared" si="186"/>
        <v/>
      </c>
      <c r="U664" s="56">
        <f t="shared" si="198"/>
        <v>112.96307738930652</v>
      </c>
      <c r="V664" s="56">
        <f t="shared" si="199"/>
        <v>795.76212294244817</v>
      </c>
      <c r="W664" s="14"/>
      <c r="X664" s="14">
        <f>12*44/12</f>
        <v>44</v>
      </c>
      <c r="Y664" s="14"/>
      <c r="Z664" s="14"/>
      <c r="AA664" s="14">
        <f>57*44/12</f>
        <v>209</v>
      </c>
      <c r="AB664" s="14"/>
      <c r="AC664" s="14"/>
      <c r="AD664" s="14">
        <f>374*44/12</f>
        <v>1371.3333333333333</v>
      </c>
      <c r="AE664" s="14">
        <f>841*44/12</f>
        <v>3083.6666666666665</v>
      </c>
      <c r="AF664" s="16">
        <v>0</v>
      </c>
      <c r="AG664" s="16">
        <v>1</v>
      </c>
      <c r="AH664" s="16">
        <v>0</v>
      </c>
      <c r="AI664" s="16">
        <v>1</v>
      </c>
      <c r="AJ664" s="5">
        <v>0</v>
      </c>
      <c r="AK664" s="5">
        <v>0</v>
      </c>
      <c r="AL664" s="5">
        <v>1</v>
      </c>
      <c r="AM664" s="20" t="s">
        <v>25</v>
      </c>
      <c r="AN664" s="20" t="s">
        <v>25</v>
      </c>
      <c r="AO664" s="16"/>
      <c r="AP664" s="16"/>
      <c r="AQ664" s="16"/>
      <c r="AR664" s="16">
        <v>1</v>
      </c>
      <c r="AS664" s="16">
        <v>0</v>
      </c>
      <c r="AT664" s="16"/>
      <c r="AU664" s="16"/>
      <c r="AV664" s="16"/>
      <c r="AW664" s="16"/>
      <c r="AX664" s="16">
        <v>1</v>
      </c>
      <c r="AY664" s="16">
        <v>0</v>
      </c>
      <c r="AZ664" s="16">
        <v>0</v>
      </c>
      <c r="BA664" s="16">
        <v>0</v>
      </c>
    </row>
    <row r="665" spans="1:53" x14ac:dyDescent="0.2">
      <c r="A665" s="14"/>
      <c r="B665" s="14" t="str">
        <f t="shared" si="189"/>
        <v>Pycroft et al. 2011</v>
      </c>
      <c r="C665" s="61">
        <f t="shared" si="190"/>
        <v>69</v>
      </c>
      <c r="D665" s="58">
        <v>2011</v>
      </c>
      <c r="E665" s="17"/>
      <c r="F665" s="58">
        <v>1</v>
      </c>
      <c r="G665" s="22">
        <v>2005</v>
      </c>
      <c r="H665" s="15">
        <f>LOOKUP(G665,CPI!A$69:A$100,CPI!O$69:O$100)</f>
        <v>1.1165181771633383</v>
      </c>
      <c r="I665" s="69">
        <v>2009</v>
      </c>
      <c r="J665" s="14">
        <v>9.0909090909090912E-2</v>
      </c>
      <c r="K665" s="15"/>
      <c r="L665" s="62"/>
      <c r="M665" s="56">
        <f t="shared" si="185"/>
        <v>280.44966679851831</v>
      </c>
      <c r="N665" s="18">
        <f t="shared" si="200"/>
        <v>535.33333333333337</v>
      </c>
      <c r="O665" s="14">
        <f>146*44/12</f>
        <v>535.33333333333337</v>
      </c>
      <c r="P665" s="16">
        <v>0</v>
      </c>
      <c r="Q665" s="16">
        <v>0</v>
      </c>
      <c r="R665" s="16">
        <v>1</v>
      </c>
      <c r="S665" s="14"/>
      <c r="T665" s="56" t="str">
        <f t="shared" si="186"/>
        <v/>
      </c>
      <c r="U665" s="56">
        <f t="shared" si="198"/>
        <v>115.47336799795778</v>
      </c>
      <c r="V665" s="56">
        <f t="shared" si="199"/>
        <v>883.62229424524207</v>
      </c>
      <c r="W665" s="14"/>
      <c r="X665" s="14">
        <f>11*44/12</f>
        <v>40.333333333333336</v>
      </c>
      <c r="Y665" s="14"/>
      <c r="Z665" s="14"/>
      <c r="AA665" s="14">
        <f>57*44/12</f>
        <v>209</v>
      </c>
      <c r="AB665" s="14"/>
      <c r="AC665" s="14"/>
      <c r="AD665" s="14">
        <f>409*44/12</f>
        <v>1499.6666666666667</v>
      </c>
      <c r="AE665" s="14">
        <f>1095*44/12</f>
        <v>4015</v>
      </c>
      <c r="AF665" s="16">
        <v>0</v>
      </c>
      <c r="AG665" s="16">
        <v>1</v>
      </c>
      <c r="AH665" s="16">
        <v>0</v>
      </c>
      <c r="AI665" s="16">
        <v>1</v>
      </c>
      <c r="AJ665" s="5">
        <v>0</v>
      </c>
      <c r="AK665" s="5">
        <v>0</v>
      </c>
      <c r="AL665" s="5">
        <v>1</v>
      </c>
      <c r="AM665" s="20" t="s">
        <v>25</v>
      </c>
      <c r="AN665" s="20" t="s">
        <v>25</v>
      </c>
      <c r="AO665" s="16"/>
      <c r="AP665" s="16"/>
      <c r="AQ665" s="16"/>
      <c r="AR665" s="16">
        <v>1</v>
      </c>
      <c r="AS665" s="16">
        <v>0</v>
      </c>
      <c r="AT665" s="16"/>
      <c r="AU665" s="16"/>
      <c r="AV665" s="16"/>
      <c r="AW665" s="16"/>
      <c r="AX665" s="16">
        <v>1</v>
      </c>
      <c r="AY665" s="16">
        <v>0</v>
      </c>
      <c r="AZ665" s="16">
        <v>0</v>
      </c>
      <c r="BA665" s="16">
        <v>0</v>
      </c>
    </row>
    <row r="666" spans="1:53" x14ac:dyDescent="0.2">
      <c r="A666" s="14"/>
      <c r="B666" s="14" t="str">
        <f t="shared" si="189"/>
        <v>Pycroft et al. 2011</v>
      </c>
      <c r="C666" s="61">
        <f t="shared" si="190"/>
        <v>69</v>
      </c>
      <c r="D666" s="58">
        <v>2011</v>
      </c>
      <c r="E666" s="17"/>
      <c r="F666" s="58">
        <v>1</v>
      </c>
      <c r="G666" s="22">
        <v>2005</v>
      </c>
      <c r="H666" s="15">
        <f>LOOKUP(G666,CPI!A$69:A$100,CPI!O$69:O$100)</f>
        <v>1.1165181771633383</v>
      </c>
      <c r="I666" s="69">
        <v>2009</v>
      </c>
      <c r="J666" s="14">
        <v>9.0909090909090912E-2</v>
      </c>
      <c r="K666" s="15"/>
      <c r="L666" s="62"/>
      <c r="M666" s="56">
        <f t="shared" si="185"/>
        <v>265.68915801964891</v>
      </c>
      <c r="N666" s="18">
        <f t="shared" si="200"/>
        <v>689.33333333333337</v>
      </c>
      <c r="O666" s="14">
        <f>188*44/12</f>
        <v>689.33333333333337</v>
      </c>
      <c r="P666" s="16">
        <v>0</v>
      </c>
      <c r="Q666" s="16">
        <v>0</v>
      </c>
      <c r="R666" s="16">
        <v>1</v>
      </c>
      <c r="S666" s="14"/>
      <c r="T666" s="56" t="str">
        <f t="shared" si="186"/>
        <v/>
      </c>
      <c r="U666" s="56">
        <f t="shared" si="198"/>
        <v>105.43220556335275</v>
      </c>
      <c r="V666" s="56">
        <f t="shared" si="199"/>
        <v>1280.2482104121405</v>
      </c>
      <c r="W666" s="14"/>
      <c r="X666" s="14">
        <f>12*44/12</f>
        <v>44</v>
      </c>
      <c r="Y666" s="14"/>
      <c r="Z666" s="14"/>
      <c r="AA666" s="14">
        <f>54*44/12</f>
        <v>198</v>
      </c>
      <c r="AB666" s="14"/>
      <c r="AC666" s="14"/>
      <c r="AD666" s="14">
        <f>564*44/12</f>
        <v>2068</v>
      </c>
      <c r="AE666" s="14">
        <f>2797*44/12</f>
        <v>10255.666666666666</v>
      </c>
      <c r="AF666" s="16">
        <v>0</v>
      </c>
      <c r="AG666" s="16">
        <v>1</v>
      </c>
      <c r="AH666" s="16">
        <v>0</v>
      </c>
      <c r="AI666" s="16">
        <v>1</v>
      </c>
      <c r="AJ666" s="5">
        <v>0</v>
      </c>
      <c r="AK666" s="5">
        <v>0</v>
      </c>
      <c r="AL666" s="5">
        <v>1</v>
      </c>
      <c r="AM666" s="20" t="s">
        <v>25</v>
      </c>
      <c r="AN666" s="20" t="s">
        <v>25</v>
      </c>
      <c r="AO666" s="16"/>
      <c r="AP666" s="16"/>
      <c r="AQ666" s="16"/>
      <c r="AR666" s="16">
        <v>1</v>
      </c>
      <c r="AS666" s="16">
        <v>0</v>
      </c>
      <c r="AT666" s="16"/>
      <c r="AU666" s="16"/>
      <c r="AV666" s="16"/>
      <c r="AW666" s="16"/>
      <c r="AX666" s="16">
        <v>1</v>
      </c>
      <c r="AY666" s="16">
        <v>0</v>
      </c>
      <c r="AZ666" s="16">
        <v>0</v>
      </c>
      <c r="BA666" s="16">
        <v>0</v>
      </c>
    </row>
    <row r="667" spans="1:53" x14ac:dyDescent="0.2">
      <c r="A667" s="14"/>
      <c r="B667" s="14" t="str">
        <f t="shared" si="189"/>
        <v>Pycroft et al. 2011</v>
      </c>
      <c r="C667" s="61">
        <f t="shared" si="190"/>
        <v>69</v>
      </c>
      <c r="D667" s="58">
        <v>2011</v>
      </c>
      <c r="E667" s="17"/>
      <c r="F667" s="58">
        <v>1</v>
      </c>
      <c r="G667" s="22">
        <v>2005</v>
      </c>
      <c r="H667" s="15">
        <f>LOOKUP(G667,CPI!A$69:A$100,CPI!O$69:O$100)</f>
        <v>1.1165181771633383</v>
      </c>
      <c r="I667" s="69">
        <v>2009</v>
      </c>
      <c r="J667" s="14">
        <v>9.0909090909090912E-2</v>
      </c>
      <c r="K667" s="15"/>
      <c r="L667" s="62"/>
      <c r="M667" s="56">
        <f t="shared" si="185"/>
        <v>236.16814046191016</v>
      </c>
      <c r="N667" s="18">
        <f t="shared" si="200"/>
        <v>278.66666666666669</v>
      </c>
      <c r="O667" s="14">
        <f>76*44/12</f>
        <v>278.66666666666669</v>
      </c>
      <c r="P667" s="16">
        <v>0</v>
      </c>
      <c r="Q667" s="16">
        <v>0</v>
      </c>
      <c r="R667" s="16">
        <v>1</v>
      </c>
      <c r="S667" s="14"/>
      <c r="T667" s="56" t="str">
        <f t="shared" si="186"/>
        <v/>
      </c>
      <c r="U667" s="56">
        <f t="shared" si="198"/>
        <v>92.880752520096451</v>
      </c>
      <c r="V667" s="56">
        <f t="shared" si="199"/>
        <v>446.83172833992353</v>
      </c>
      <c r="W667" s="14"/>
      <c r="X667" s="14">
        <f t="shared" ref="X667:X670" si="201">11*44/12</f>
        <v>40.333333333333336</v>
      </c>
      <c r="Y667" s="14"/>
      <c r="Z667" s="14"/>
      <c r="AA667" s="14">
        <f>48*44/12</f>
        <v>176</v>
      </c>
      <c r="AB667" s="14"/>
      <c r="AC667" s="14"/>
      <c r="AD667" s="14">
        <f>226*44/12</f>
        <v>828.66666666666663</v>
      </c>
      <c r="AE667" s="14">
        <f>418*44/12</f>
        <v>1532.6666666666667</v>
      </c>
      <c r="AF667" s="16">
        <v>0</v>
      </c>
      <c r="AG667" s="16">
        <v>1</v>
      </c>
      <c r="AH667" s="16">
        <v>0</v>
      </c>
      <c r="AI667" s="16">
        <v>1</v>
      </c>
      <c r="AJ667" s="5">
        <v>0</v>
      </c>
      <c r="AK667" s="5">
        <v>0</v>
      </c>
      <c r="AL667" s="5">
        <v>1</v>
      </c>
      <c r="AM667" s="20" t="s">
        <v>25</v>
      </c>
      <c r="AN667" s="20" t="s">
        <v>25</v>
      </c>
      <c r="AO667" s="16"/>
      <c r="AP667" s="16"/>
      <c r="AQ667" s="16"/>
      <c r="AR667" s="16">
        <v>1</v>
      </c>
      <c r="AS667" s="16">
        <v>0</v>
      </c>
      <c r="AT667" s="16"/>
      <c r="AU667" s="16"/>
      <c r="AV667" s="16"/>
      <c r="AW667" s="16"/>
      <c r="AX667" s="16">
        <v>1</v>
      </c>
      <c r="AY667" s="16">
        <v>0</v>
      </c>
      <c r="AZ667" s="16">
        <v>0</v>
      </c>
      <c r="BA667" s="16">
        <v>0</v>
      </c>
    </row>
    <row r="668" spans="1:53" x14ac:dyDescent="0.2">
      <c r="A668" s="14"/>
      <c r="B668" s="14" t="str">
        <f t="shared" si="189"/>
        <v>Pycroft et al. 2011</v>
      </c>
      <c r="C668" s="61">
        <f t="shared" si="190"/>
        <v>69</v>
      </c>
      <c r="D668" s="58">
        <v>2011</v>
      </c>
      <c r="E668" s="17"/>
      <c r="F668" s="58">
        <v>1</v>
      </c>
      <c r="G668" s="22">
        <v>2005</v>
      </c>
      <c r="H668" s="15">
        <f>LOOKUP(G668,CPI!A$69:A$100,CPI!O$69:O$100)</f>
        <v>1.1165181771633383</v>
      </c>
      <c r="I668" s="69">
        <v>2009</v>
      </c>
      <c r="J668" s="14">
        <v>9.0909090909090912E-2</v>
      </c>
      <c r="K668" s="15"/>
      <c r="L668" s="62"/>
      <c r="M668" s="56">
        <f t="shared" ref="M668:M686" si="202">AA668*H668*(1+$L$2)^(2015-I668)</f>
        <v>246.00847964782312</v>
      </c>
      <c r="N668" s="18">
        <f t="shared" si="200"/>
        <v>363</v>
      </c>
      <c r="O668" s="14">
        <f>99*44/12</f>
        <v>363</v>
      </c>
      <c r="P668" s="16">
        <v>0</v>
      </c>
      <c r="Q668" s="16">
        <v>0</v>
      </c>
      <c r="R668" s="16">
        <v>1</v>
      </c>
      <c r="S668" s="14"/>
      <c r="T668" s="56" t="str">
        <f t="shared" si="186"/>
        <v/>
      </c>
      <c r="U668" s="56">
        <f t="shared" si="198"/>
        <v>97.901333737398971</v>
      </c>
      <c r="V668" s="56">
        <f t="shared" si="199"/>
        <v>627.57265216281405</v>
      </c>
      <c r="W668" s="14"/>
      <c r="X668" s="14">
        <f t="shared" si="201"/>
        <v>40.333333333333336</v>
      </c>
      <c r="Y668" s="14"/>
      <c r="Z668" s="14"/>
      <c r="AA668" s="14">
        <f>50*44/12</f>
        <v>183.33333333333334</v>
      </c>
      <c r="AB668" s="14"/>
      <c r="AC668" s="14"/>
      <c r="AD668" s="14">
        <f>300*44/12</f>
        <v>1100</v>
      </c>
      <c r="AE668" s="14">
        <f>658*44/12</f>
        <v>2412.6666666666665</v>
      </c>
      <c r="AF668" s="16">
        <v>0</v>
      </c>
      <c r="AG668" s="16">
        <v>1</v>
      </c>
      <c r="AH668" s="16">
        <v>0</v>
      </c>
      <c r="AI668" s="16">
        <v>1</v>
      </c>
      <c r="AJ668" s="5">
        <v>0</v>
      </c>
      <c r="AK668" s="5">
        <v>0</v>
      </c>
      <c r="AL668" s="5">
        <v>1</v>
      </c>
      <c r="AM668" s="20" t="s">
        <v>25</v>
      </c>
      <c r="AN668" s="20" t="s">
        <v>25</v>
      </c>
      <c r="AO668" s="16"/>
      <c r="AP668" s="16"/>
      <c r="AQ668" s="16"/>
      <c r="AR668" s="16">
        <v>1</v>
      </c>
      <c r="AS668" s="16">
        <v>0</v>
      </c>
      <c r="AT668" s="16"/>
      <c r="AU668" s="16"/>
      <c r="AV668" s="16"/>
      <c r="AW668" s="16"/>
      <c r="AX668" s="16">
        <v>1</v>
      </c>
      <c r="AY668" s="16">
        <v>0</v>
      </c>
      <c r="AZ668" s="16">
        <v>0</v>
      </c>
      <c r="BA668" s="16">
        <v>0</v>
      </c>
    </row>
    <row r="669" spans="1:53" x14ac:dyDescent="0.2">
      <c r="A669" s="14"/>
      <c r="B669" s="14" t="str">
        <f t="shared" si="189"/>
        <v>Pycroft et al. 2011</v>
      </c>
      <c r="C669" s="61">
        <f t="shared" si="190"/>
        <v>69</v>
      </c>
      <c r="D669" s="58">
        <v>2011</v>
      </c>
      <c r="E669" s="17"/>
      <c r="F669" s="58">
        <v>1</v>
      </c>
      <c r="G669" s="22">
        <v>2005</v>
      </c>
      <c r="H669" s="15">
        <f>LOOKUP(G669,CPI!A$69:A$100,CPI!O$69:O$100)</f>
        <v>1.1165181771633383</v>
      </c>
      <c r="I669" s="69">
        <v>2009</v>
      </c>
      <c r="J669" s="14">
        <v>9.0909090909090912E-2</v>
      </c>
      <c r="K669" s="15"/>
      <c r="L669" s="62"/>
      <c r="M669" s="56">
        <f t="shared" si="202"/>
        <v>246.00847964782312</v>
      </c>
      <c r="N669" s="18">
        <f t="shared" si="200"/>
        <v>344.66666666666669</v>
      </c>
      <c r="O669" s="14">
        <f>94*44/12</f>
        <v>344.66666666666669</v>
      </c>
      <c r="P669" s="16">
        <v>0</v>
      </c>
      <c r="Q669" s="16">
        <v>0</v>
      </c>
      <c r="R669" s="16">
        <v>1</v>
      </c>
      <c r="S669" s="14"/>
      <c r="T669" s="56" t="str">
        <f t="shared" si="186"/>
        <v/>
      </c>
      <c r="U669" s="56">
        <f t="shared" si="198"/>
        <v>97.901333737398971</v>
      </c>
      <c r="V669" s="56">
        <f t="shared" si="199"/>
        <v>627.57265216281405</v>
      </c>
      <c r="W669" s="14"/>
      <c r="X669" s="14">
        <f t="shared" si="201"/>
        <v>40.333333333333336</v>
      </c>
      <c r="Y669" s="14"/>
      <c r="Z669" s="14"/>
      <c r="AA669" s="14">
        <f>50*44/12</f>
        <v>183.33333333333334</v>
      </c>
      <c r="AB669" s="14"/>
      <c r="AC669" s="14"/>
      <c r="AD669" s="14">
        <f>300*44/12</f>
        <v>1100</v>
      </c>
      <c r="AE669" s="14">
        <f>762*44/12</f>
        <v>2794</v>
      </c>
      <c r="AF669" s="16">
        <v>0</v>
      </c>
      <c r="AG669" s="16">
        <v>1</v>
      </c>
      <c r="AH669" s="16">
        <v>0</v>
      </c>
      <c r="AI669" s="16">
        <v>1</v>
      </c>
      <c r="AJ669" s="5">
        <v>0</v>
      </c>
      <c r="AK669" s="5">
        <v>0</v>
      </c>
      <c r="AL669" s="5">
        <v>1</v>
      </c>
      <c r="AM669" s="20" t="s">
        <v>25</v>
      </c>
      <c r="AN669" s="20" t="s">
        <v>25</v>
      </c>
      <c r="AO669" s="16"/>
      <c r="AP669" s="16"/>
      <c r="AQ669" s="16"/>
      <c r="AR669" s="16">
        <v>1</v>
      </c>
      <c r="AS669" s="16">
        <v>0</v>
      </c>
      <c r="AT669" s="16"/>
      <c r="AU669" s="16"/>
      <c r="AV669" s="16"/>
      <c r="AW669" s="16"/>
      <c r="AX669" s="16">
        <v>1</v>
      </c>
      <c r="AY669" s="16">
        <v>0</v>
      </c>
      <c r="AZ669" s="16">
        <v>0</v>
      </c>
      <c r="BA669" s="16">
        <v>0</v>
      </c>
    </row>
    <row r="670" spans="1:53" x14ac:dyDescent="0.2">
      <c r="A670" s="14"/>
      <c r="B670" s="14" t="str">
        <f t="shared" si="189"/>
        <v>Pycroft et al. 2011</v>
      </c>
      <c r="C670" s="61">
        <f t="shared" si="190"/>
        <v>69</v>
      </c>
      <c r="D670" s="58">
        <v>2011</v>
      </c>
      <c r="E670" s="17"/>
      <c r="F670" s="58">
        <v>1</v>
      </c>
      <c r="G670" s="22">
        <v>2005</v>
      </c>
      <c r="H670" s="15">
        <f>LOOKUP(G670,CPI!A$69:A$100,CPI!O$69:O$100)</f>
        <v>1.1165181771633383</v>
      </c>
      <c r="I670" s="69">
        <v>2009</v>
      </c>
      <c r="J670" s="14">
        <v>9.0909090909090912E-2</v>
      </c>
      <c r="K670" s="15"/>
      <c r="L670" s="62"/>
      <c r="M670" s="56">
        <f t="shared" si="202"/>
        <v>246.00847964782312</v>
      </c>
      <c r="N670" s="18">
        <f t="shared" si="200"/>
        <v>418</v>
      </c>
      <c r="O670" s="14">
        <f>114*44/12</f>
        <v>418</v>
      </c>
      <c r="P670" s="16">
        <v>0</v>
      </c>
      <c r="Q670" s="16">
        <v>0</v>
      </c>
      <c r="R670" s="16">
        <v>1</v>
      </c>
      <c r="S670" s="14"/>
      <c r="T670" s="56" t="str">
        <f t="shared" si="186"/>
        <v/>
      </c>
      <c r="U670" s="56">
        <f t="shared" si="198"/>
        <v>97.901333737398971</v>
      </c>
      <c r="V670" s="56">
        <f t="shared" si="199"/>
        <v>773.1695074645869</v>
      </c>
      <c r="W670" s="14"/>
      <c r="X670" s="14">
        <f t="shared" si="201"/>
        <v>40.333333333333336</v>
      </c>
      <c r="Y670" s="14"/>
      <c r="Z670" s="14"/>
      <c r="AA670" s="14">
        <f>50*44/12</f>
        <v>183.33333333333334</v>
      </c>
      <c r="AB670" s="14"/>
      <c r="AC670" s="14"/>
      <c r="AD670" s="14">
        <f>358*44/12</f>
        <v>1312.6666666666667</v>
      </c>
      <c r="AE670" s="14">
        <f>1421*44/12</f>
        <v>5210.333333333333</v>
      </c>
      <c r="AF670" s="16">
        <v>0</v>
      </c>
      <c r="AG670" s="16">
        <v>1</v>
      </c>
      <c r="AH670" s="16">
        <v>0</v>
      </c>
      <c r="AI670" s="16">
        <v>1</v>
      </c>
      <c r="AJ670" s="5">
        <v>0</v>
      </c>
      <c r="AK670" s="5">
        <v>0</v>
      </c>
      <c r="AL670" s="5">
        <v>1</v>
      </c>
      <c r="AM670" s="20" t="s">
        <v>25</v>
      </c>
      <c r="AN670" s="20" t="s">
        <v>25</v>
      </c>
      <c r="AO670" s="16"/>
      <c r="AP670" s="16"/>
      <c r="AQ670" s="16"/>
      <c r="AR670" s="16">
        <v>1</v>
      </c>
      <c r="AS670" s="16">
        <v>0</v>
      </c>
      <c r="AT670" s="16"/>
      <c r="AU670" s="16"/>
      <c r="AV670" s="16"/>
      <c r="AW670" s="16"/>
      <c r="AX670" s="16">
        <v>1</v>
      </c>
      <c r="AY670" s="16">
        <v>0</v>
      </c>
      <c r="AZ670" s="16">
        <v>0</v>
      </c>
      <c r="BA670" s="16">
        <v>0</v>
      </c>
    </row>
    <row r="671" spans="1:53" x14ac:dyDescent="0.2">
      <c r="A671" s="14"/>
      <c r="B671" s="14" t="str">
        <f t="shared" si="189"/>
        <v>Pycroft et al. 2011</v>
      </c>
      <c r="C671" s="61">
        <f t="shared" si="190"/>
        <v>69</v>
      </c>
      <c r="D671" s="58">
        <v>2011</v>
      </c>
      <c r="E671" s="17"/>
      <c r="F671" s="58">
        <v>1</v>
      </c>
      <c r="G671" s="22">
        <v>2005</v>
      </c>
      <c r="H671" s="15">
        <f>LOOKUP(G671,CPI!A$69:A$100,CPI!O$69:O$100)</f>
        <v>1.1165181771633383</v>
      </c>
      <c r="I671" s="69">
        <v>2009</v>
      </c>
      <c r="J671" s="14">
        <v>9.0909090909090912E-2</v>
      </c>
      <c r="K671" s="15"/>
      <c r="L671" s="62"/>
      <c r="M671" s="56">
        <f t="shared" si="202"/>
        <v>285.36983639147473</v>
      </c>
      <c r="N671" s="18">
        <f t="shared" si="200"/>
        <v>495</v>
      </c>
      <c r="O671" s="14">
        <f>135*44/12</f>
        <v>495</v>
      </c>
      <c r="P671" s="16">
        <v>0</v>
      </c>
      <c r="Q671" s="16">
        <v>0</v>
      </c>
      <c r="R671" s="16">
        <v>1</v>
      </c>
      <c r="S671" s="14"/>
      <c r="T671" s="56" t="str">
        <f t="shared" si="186"/>
        <v/>
      </c>
      <c r="U671" s="56">
        <f t="shared" si="198"/>
        <v>115.47336799795778</v>
      </c>
      <c r="V671" s="56">
        <f t="shared" si="199"/>
        <v>1081.9352523286911</v>
      </c>
      <c r="W671" s="14"/>
      <c r="X671" s="14">
        <f>12*44/12</f>
        <v>44</v>
      </c>
      <c r="Y671" s="14"/>
      <c r="Z671" s="14"/>
      <c r="AA671" s="14">
        <f>58*44/12</f>
        <v>212.66666666666666</v>
      </c>
      <c r="AB671" s="14"/>
      <c r="AC671" s="14"/>
      <c r="AD671" s="14">
        <f>489*44/12</f>
        <v>1793</v>
      </c>
      <c r="AE671" s="14">
        <f>1276*44/12</f>
        <v>4678.666666666667</v>
      </c>
      <c r="AF671" s="16">
        <v>0</v>
      </c>
      <c r="AG671" s="16">
        <v>1</v>
      </c>
      <c r="AH671" s="16">
        <v>0</v>
      </c>
      <c r="AI671" s="16">
        <v>1</v>
      </c>
      <c r="AJ671" s="5">
        <v>0</v>
      </c>
      <c r="AK671" s="5">
        <v>0</v>
      </c>
      <c r="AL671" s="5">
        <v>1</v>
      </c>
      <c r="AM671" s="20" t="s">
        <v>25</v>
      </c>
      <c r="AN671" s="20" t="s">
        <v>25</v>
      </c>
      <c r="AO671" s="16"/>
      <c r="AP671" s="16"/>
      <c r="AQ671" s="16"/>
      <c r="AR671" s="16">
        <v>1</v>
      </c>
      <c r="AS671" s="16">
        <v>0</v>
      </c>
      <c r="AT671" s="16"/>
      <c r="AU671" s="16"/>
      <c r="AV671" s="16"/>
      <c r="AW671" s="16"/>
      <c r="AX671" s="16">
        <v>1</v>
      </c>
      <c r="AY671" s="16">
        <v>0</v>
      </c>
      <c r="AZ671" s="16">
        <v>0</v>
      </c>
      <c r="BA671" s="16">
        <v>0</v>
      </c>
    </row>
    <row r="672" spans="1:53" x14ac:dyDescent="0.2">
      <c r="A672" s="14"/>
      <c r="B672" s="14" t="str">
        <f t="shared" si="189"/>
        <v>Pycroft et al. 2011</v>
      </c>
      <c r="C672" s="61">
        <f t="shared" si="190"/>
        <v>69</v>
      </c>
      <c r="D672" s="58">
        <v>2011</v>
      </c>
      <c r="E672" s="17"/>
      <c r="F672" s="58">
        <v>1</v>
      </c>
      <c r="G672" s="22">
        <v>2005</v>
      </c>
      <c r="H672" s="15">
        <f>LOOKUP(G672,CPI!A$69:A$100,CPI!O$69:O$100)</f>
        <v>1.1165181771633383</v>
      </c>
      <c r="I672" s="69">
        <v>2009</v>
      </c>
      <c r="J672" s="14">
        <v>9.0909090909090912E-2</v>
      </c>
      <c r="K672" s="15"/>
      <c r="L672" s="62"/>
      <c r="M672" s="56">
        <f t="shared" si="202"/>
        <v>280.44966679851831</v>
      </c>
      <c r="N672" s="18">
        <f t="shared" si="200"/>
        <v>539</v>
      </c>
      <c r="O672" s="14">
        <f>147*44/12</f>
        <v>539</v>
      </c>
      <c r="P672" s="16">
        <v>0</v>
      </c>
      <c r="Q672" s="16">
        <v>0</v>
      </c>
      <c r="R672" s="16">
        <v>1</v>
      </c>
      <c r="S672" s="14"/>
      <c r="T672" s="56" t="str">
        <f t="shared" si="186"/>
        <v/>
      </c>
      <c r="U672" s="56">
        <f t="shared" si="198"/>
        <v>112.96307738930652</v>
      </c>
      <c r="V672" s="56">
        <f t="shared" si="199"/>
        <v>1240.0835606737205</v>
      </c>
      <c r="W672" s="14"/>
      <c r="X672" s="14">
        <f>12*44/12</f>
        <v>44</v>
      </c>
      <c r="Y672" s="14"/>
      <c r="Z672" s="14"/>
      <c r="AA672" s="14">
        <f>57*44/12</f>
        <v>209</v>
      </c>
      <c r="AB672" s="14"/>
      <c r="AC672" s="14"/>
      <c r="AD672" s="14">
        <f>551*44/12</f>
        <v>2020.3333333333333</v>
      </c>
      <c r="AE672" s="14">
        <f>1660*44/12</f>
        <v>6086.666666666667</v>
      </c>
      <c r="AF672" s="16">
        <v>0</v>
      </c>
      <c r="AG672" s="16">
        <v>1</v>
      </c>
      <c r="AH672" s="16">
        <v>0</v>
      </c>
      <c r="AI672" s="16">
        <v>1</v>
      </c>
      <c r="AJ672" s="5">
        <v>0</v>
      </c>
      <c r="AK672" s="5">
        <v>0</v>
      </c>
      <c r="AL672" s="5">
        <v>1</v>
      </c>
      <c r="AM672" s="20" t="s">
        <v>25</v>
      </c>
      <c r="AN672" s="20" t="s">
        <v>25</v>
      </c>
      <c r="AO672" s="16"/>
      <c r="AP672" s="16"/>
      <c r="AQ672" s="16"/>
      <c r="AR672" s="16">
        <v>1</v>
      </c>
      <c r="AS672" s="16">
        <v>0</v>
      </c>
      <c r="AT672" s="16"/>
      <c r="AU672" s="16"/>
      <c r="AV672" s="16"/>
      <c r="AW672" s="16"/>
      <c r="AX672" s="16">
        <v>1</v>
      </c>
      <c r="AY672" s="16">
        <v>0</v>
      </c>
      <c r="AZ672" s="16">
        <v>0</v>
      </c>
      <c r="BA672" s="16">
        <v>0</v>
      </c>
    </row>
    <row r="673" spans="1:53" x14ac:dyDescent="0.2">
      <c r="A673" s="14"/>
      <c r="B673" s="14" t="str">
        <f t="shared" si="189"/>
        <v>Pycroft et al. 2011</v>
      </c>
      <c r="C673" s="61">
        <f t="shared" si="190"/>
        <v>69</v>
      </c>
      <c r="D673" s="58">
        <v>2011</v>
      </c>
      <c r="E673" s="17"/>
      <c r="F673" s="58">
        <v>1</v>
      </c>
      <c r="G673" s="22">
        <v>2005</v>
      </c>
      <c r="H673" s="15">
        <f>LOOKUP(G673,CPI!A$69:A$100,CPI!O$69:O$100)</f>
        <v>1.1165181771633383</v>
      </c>
      <c r="I673" s="69">
        <v>2009</v>
      </c>
      <c r="J673" s="14">
        <v>9.0909090909090912E-2</v>
      </c>
      <c r="K673" s="15"/>
      <c r="L673" s="62"/>
      <c r="M673" s="56">
        <f t="shared" si="202"/>
        <v>270.6093276126054</v>
      </c>
      <c r="N673" s="18">
        <f t="shared" si="200"/>
        <v>799.33333333333337</v>
      </c>
      <c r="O673" s="14">
        <f>218*44/12</f>
        <v>799.33333333333337</v>
      </c>
      <c r="P673" s="16">
        <v>0</v>
      </c>
      <c r="Q673" s="16">
        <v>0</v>
      </c>
      <c r="R673" s="16">
        <v>1</v>
      </c>
      <c r="S673" s="14"/>
      <c r="T673" s="56" t="str">
        <f t="shared" si="186"/>
        <v/>
      </c>
      <c r="U673" s="56">
        <f t="shared" si="198"/>
        <v>110.45278678065525</v>
      </c>
      <c r="V673" s="56">
        <f t="shared" si="199"/>
        <v>1968.067837182585</v>
      </c>
      <c r="W673" s="14"/>
      <c r="X673" s="14">
        <f>11*44/12</f>
        <v>40.333333333333336</v>
      </c>
      <c r="Y673" s="14"/>
      <c r="Z673" s="14"/>
      <c r="AA673" s="14">
        <f>55*44/12</f>
        <v>201.66666666666666</v>
      </c>
      <c r="AB673" s="14"/>
      <c r="AC673" s="14"/>
      <c r="AD673" s="14">
        <f>839*44/12</f>
        <v>3076.3333333333335</v>
      </c>
      <c r="AE673" s="14">
        <f>3082*44/12</f>
        <v>11300.666666666666</v>
      </c>
      <c r="AF673" s="16">
        <v>0</v>
      </c>
      <c r="AG673" s="16">
        <v>1</v>
      </c>
      <c r="AH673" s="16">
        <v>0</v>
      </c>
      <c r="AI673" s="16">
        <v>1</v>
      </c>
      <c r="AJ673" s="5">
        <v>0</v>
      </c>
      <c r="AK673" s="5">
        <v>0</v>
      </c>
      <c r="AL673" s="5">
        <v>1</v>
      </c>
      <c r="AM673" s="20" t="s">
        <v>25</v>
      </c>
      <c r="AN673" s="20" t="s">
        <v>25</v>
      </c>
      <c r="AO673" s="16"/>
      <c r="AP673" s="16"/>
      <c r="AQ673" s="16"/>
      <c r="AR673" s="16">
        <v>1</v>
      </c>
      <c r="AS673" s="16">
        <v>0</v>
      </c>
      <c r="AT673" s="16"/>
      <c r="AU673" s="16"/>
      <c r="AV673" s="16"/>
      <c r="AW673" s="16"/>
      <c r="AX673" s="16">
        <v>1</v>
      </c>
      <c r="AY673" s="16">
        <v>0</v>
      </c>
      <c r="AZ673" s="16">
        <v>0</v>
      </c>
      <c r="BA673" s="16">
        <v>0</v>
      </c>
    </row>
    <row r="674" spans="1:53" x14ac:dyDescent="0.2">
      <c r="A674" s="14" t="s">
        <v>54</v>
      </c>
      <c r="B674" s="14" t="str">
        <f t="shared" si="189"/>
        <v>Waldhoff et al. 2011</v>
      </c>
      <c r="C674" s="61">
        <f t="shared" si="190"/>
        <v>70</v>
      </c>
      <c r="D674" s="58">
        <v>2011</v>
      </c>
      <c r="E674" s="17" t="s">
        <v>137</v>
      </c>
      <c r="F674" s="58">
        <v>0</v>
      </c>
      <c r="G674" s="16">
        <v>1995</v>
      </c>
      <c r="H674" s="15">
        <f>LOOKUP(G674,CPI!A$69:A$100,CPI!O$69:O$100)</f>
        <v>1.4308136482939633</v>
      </c>
      <c r="I674" s="52">
        <v>2015</v>
      </c>
      <c r="J674" s="15">
        <f>2/20</f>
        <v>0.1</v>
      </c>
      <c r="K674" s="15"/>
      <c r="L674" s="62"/>
      <c r="M674" s="56">
        <f t="shared" si="202"/>
        <v>41.970533683289588</v>
      </c>
      <c r="N674" s="14">
        <f>44/12*8</f>
        <v>29.333333333333332</v>
      </c>
      <c r="O674" s="18">
        <f t="shared" ref="O674:O745" si="203">N674</f>
        <v>29.333333333333332</v>
      </c>
      <c r="P674" s="16">
        <v>0</v>
      </c>
      <c r="Q674" s="16">
        <v>1</v>
      </c>
      <c r="R674" s="16">
        <v>0</v>
      </c>
      <c r="S674" s="14"/>
      <c r="T674" s="56" t="str">
        <f t="shared" si="186"/>
        <v/>
      </c>
      <c r="U674" s="56" t="str">
        <f t="shared" ref="U674:U705" si="204">+V674</f>
        <v/>
      </c>
      <c r="V674" s="56" t="str">
        <f t="shared" ref="V674:V686" si="205">+T674</f>
        <v/>
      </c>
      <c r="W674" s="14"/>
      <c r="X674" s="14"/>
      <c r="Y674" s="14"/>
      <c r="Z674" s="14"/>
      <c r="AA674" s="18">
        <f t="shared" ref="AA674:AA705" si="206">N674</f>
        <v>29.333333333333332</v>
      </c>
      <c r="AB674" s="14"/>
      <c r="AC674" s="14"/>
      <c r="AD674" s="14"/>
      <c r="AE674" s="14"/>
      <c r="AF674" s="16">
        <v>0</v>
      </c>
      <c r="AG674" s="16">
        <v>1</v>
      </c>
      <c r="AH674" s="16">
        <v>1</v>
      </c>
      <c r="AI674" s="16">
        <v>1</v>
      </c>
      <c r="AJ674" s="5">
        <v>1</v>
      </c>
      <c r="AK674" s="5">
        <v>0</v>
      </c>
      <c r="AL674" s="5">
        <v>0</v>
      </c>
      <c r="AM674" s="20"/>
      <c r="AN674" s="20">
        <v>1</v>
      </c>
      <c r="AO674" s="16"/>
      <c r="AP674" s="16"/>
      <c r="AQ674" s="16"/>
      <c r="AR674" s="16">
        <v>0</v>
      </c>
      <c r="AS674" s="16">
        <v>1</v>
      </c>
      <c r="AT674" s="16"/>
      <c r="AU674" s="16"/>
      <c r="AV674" s="16"/>
      <c r="AW674" s="16"/>
      <c r="AX674" s="16">
        <v>0</v>
      </c>
      <c r="AY674" s="16">
        <v>0</v>
      </c>
      <c r="AZ674" s="16">
        <v>1</v>
      </c>
      <c r="BA674" s="16">
        <v>0</v>
      </c>
    </row>
    <row r="675" spans="1:53" x14ac:dyDescent="0.2">
      <c r="A675" s="14"/>
      <c r="B675" s="14" t="str">
        <f t="shared" si="189"/>
        <v>Waldhoff et al. 2011</v>
      </c>
      <c r="C675" s="61">
        <f t="shared" si="190"/>
        <v>70</v>
      </c>
      <c r="D675" s="58">
        <v>2011</v>
      </c>
      <c r="E675" s="17"/>
      <c r="F675" s="58">
        <v>0</v>
      </c>
      <c r="G675" s="16">
        <v>1995</v>
      </c>
      <c r="H675" s="15">
        <f>LOOKUP(G675,CPI!A$69:A$100,CPI!O$69:O$100)</f>
        <v>1.4308136482939633</v>
      </c>
      <c r="I675" s="52">
        <v>2015</v>
      </c>
      <c r="J675" s="15">
        <f>1/20</f>
        <v>0.05</v>
      </c>
      <c r="K675" s="15"/>
      <c r="L675" s="62"/>
      <c r="M675" s="56">
        <f t="shared" si="202"/>
        <v>73.448433945756776</v>
      </c>
      <c r="N675" s="14">
        <f>44/12*14</f>
        <v>51.333333333333329</v>
      </c>
      <c r="O675" s="18">
        <f t="shared" si="203"/>
        <v>51.333333333333329</v>
      </c>
      <c r="P675" s="16">
        <v>0</v>
      </c>
      <c r="Q675" s="16">
        <v>1</v>
      </c>
      <c r="R675" s="16">
        <v>0</v>
      </c>
      <c r="S675" s="14"/>
      <c r="T675" s="56" t="str">
        <f t="shared" si="186"/>
        <v/>
      </c>
      <c r="U675" s="56" t="str">
        <f t="shared" si="204"/>
        <v/>
      </c>
      <c r="V675" s="56" t="str">
        <f t="shared" si="205"/>
        <v/>
      </c>
      <c r="W675" s="14"/>
      <c r="X675" s="14"/>
      <c r="Y675" s="14"/>
      <c r="Z675" s="14"/>
      <c r="AA675" s="18">
        <f t="shared" si="206"/>
        <v>51.333333333333329</v>
      </c>
      <c r="AB675" s="14"/>
      <c r="AC675" s="14"/>
      <c r="AD675" s="14"/>
      <c r="AE675" s="14"/>
      <c r="AF675" s="16">
        <v>0</v>
      </c>
      <c r="AG675" s="16">
        <v>1</v>
      </c>
      <c r="AH675" s="16">
        <v>1</v>
      </c>
      <c r="AI675" s="16">
        <v>1</v>
      </c>
      <c r="AJ675" s="5">
        <v>1</v>
      </c>
      <c r="AK675" s="5">
        <v>0</v>
      </c>
      <c r="AL675" s="5">
        <v>0</v>
      </c>
      <c r="AM675" s="20"/>
      <c r="AN675" s="20">
        <v>1</v>
      </c>
      <c r="AO675" s="16"/>
      <c r="AP675" s="16"/>
      <c r="AQ675" s="16"/>
      <c r="AR675" s="16">
        <v>0</v>
      </c>
      <c r="AS675" s="16">
        <v>0</v>
      </c>
      <c r="AT675" s="16"/>
      <c r="AU675" s="16"/>
      <c r="AV675" s="16"/>
      <c r="AW675" s="16"/>
      <c r="AX675" s="16">
        <v>0</v>
      </c>
      <c r="AY675" s="16">
        <v>0</v>
      </c>
      <c r="AZ675" s="16">
        <v>1</v>
      </c>
      <c r="BA675" s="16">
        <v>0</v>
      </c>
    </row>
    <row r="676" spans="1:53" x14ac:dyDescent="0.2">
      <c r="A676" s="14"/>
      <c r="B676" s="14" t="str">
        <f t="shared" si="189"/>
        <v>Waldhoff et al. 2011</v>
      </c>
      <c r="C676" s="61">
        <f t="shared" si="190"/>
        <v>70</v>
      </c>
      <c r="D676" s="58">
        <v>2011</v>
      </c>
      <c r="E676" s="17"/>
      <c r="F676" s="58">
        <v>0</v>
      </c>
      <c r="G676" s="16">
        <v>1995</v>
      </c>
      <c r="H676" s="15">
        <f>LOOKUP(G676,CPI!A$69:A$100,CPI!O$69:O$100)</f>
        <v>1.4308136482939633</v>
      </c>
      <c r="I676" s="52">
        <v>2015</v>
      </c>
      <c r="J676" s="15">
        <f t="shared" ref="J676:J678" si="207">1/20</f>
        <v>0.05</v>
      </c>
      <c r="K676" s="15"/>
      <c r="L676" s="62"/>
      <c r="M676" s="56">
        <f t="shared" si="202"/>
        <v>36.724216972878388</v>
      </c>
      <c r="N676" s="14">
        <f>44/12*7</f>
        <v>25.666666666666664</v>
      </c>
      <c r="O676" s="18">
        <f t="shared" si="203"/>
        <v>25.666666666666664</v>
      </c>
      <c r="P676" s="16">
        <v>0</v>
      </c>
      <c r="Q676" s="16">
        <v>1</v>
      </c>
      <c r="R676" s="16">
        <v>0</v>
      </c>
      <c r="S676" s="14"/>
      <c r="T676" s="56" t="str">
        <f t="shared" si="186"/>
        <v/>
      </c>
      <c r="U676" s="56" t="str">
        <f t="shared" si="204"/>
        <v/>
      </c>
      <c r="V676" s="56" t="str">
        <f t="shared" si="205"/>
        <v/>
      </c>
      <c r="W676" s="14"/>
      <c r="X676" s="14"/>
      <c r="Y676" s="14"/>
      <c r="Z676" s="14"/>
      <c r="AA676" s="18">
        <f t="shared" si="206"/>
        <v>25.666666666666664</v>
      </c>
      <c r="AB676" s="14"/>
      <c r="AC676" s="14"/>
      <c r="AD676" s="14"/>
      <c r="AE676" s="14"/>
      <c r="AF676" s="16">
        <v>0</v>
      </c>
      <c r="AG676" s="16">
        <v>1</v>
      </c>
      <c r="AH676" s="16">
        <v>1</v>
      </c>
      <c r="AI676" s="16">
        <v>1</v>
      </c>
      <c r="AJ676" s="5">
        <v>1</v>
      </c>
      <c r="AK676" s="5">
        <v>0</v>
      </c>
      <c r="AL676" s="5">
        <v>0</v>
      </c>
      <c r="AM676" s="20"/>
      <c r="AN676" s="20">
        <v>1</v>
      </c>
      <c r="AO676" s="16"/>
      <c r="AP676" s="16"/>
      <c r="AQ676" s="16"/>
      <c r="AR676" s="16">
        <v>0</v>
      </c>
      <c r="AS676" s="16">
        <v>0</v>
      </c>
      <c r="AT676" s="16"/>
      <c r="AU676" s="16"/>
      <c r="AV676" s="16"/>
      <c r="AW676" s="16"/>
      <c r="AX676" s="16">
        <v>0</v>
      </c>
      <c r="AY676" s="16">
        <v>0</v>
      </c>
      <c r="AZ676" s="16">
        <v>1</v>
      </c>
      <c r="BA676" s="16">
        <v>0</v>
      </c>
    </row>
    <row r="677" spans="1:53" x14ac:dyDescent="0.2">
      <c r="A677" s="14"/>
      <c r="B677" s="14" t="str">
        <f t="shared" si="189"/>
        <v>Waldhoff et al. 2011</v>
      </c>
      <c r="C677" s="61">
        <f t="shared" si="190"/>
        <v>70</v>
      </c>
      <c r="D677" s="58">
        <v>2011</v>
      </c>
      <c r="E677" s="17"/>
      <c r="F677" s="58">
        <v>0</v>
      </c>
      <c r="G677" s="16">
        <v>1995</v>
      </c>
      <c r="H677" s="15">
        <f>LOOKUP(G677,CPI!A$69:A$100,CPI!O$69:O$100)</f>
        <v>1.4308136482939633</v>
      </c>
      <c r="I677" s="52">
        <v>2015</v>
      </c>
      <c r="J677" s="15">
        <f t="shared" si="207"/>
        <v>0.05</v>
      </c>
      <c r="K677" s="15"/>
      <c r="L677" s="62"/>
      <c r="M677" s="56">
        <f t="shared" si="202"/>
        <v>15.738950131233596</v>
      </c>
      <c r="N677" s="14">
        <f>44/12*3</f>
        <v>11</v>
      </c>
      <c r="O677" s="18">
        <f t="shared" si="203"/>
        <v>11</v>
      </c>
      <c r="P677" s="16">
        <v>0</v>
      </c>
      <c r="Q677" s="16">
        <v>1</v>
      </c>
      <c r="R677" s="16">
        <v>0</v>
      </c>
      <c r="S677" s="14"/>
      <c r="T677" s="56" t="str">
        <f t="shared" si="186"/>
        <v/>
      </c>
      <c r="U677" s="56" t="str">
        <f t="shared" si="204"/>
        <v/>
      </c>
      <c r="V677" s="56" t="str">
        <f t="shared" si="205"/>
        <v/>
      </c>
      <c r="W677" s="14"/>
      <c r="X677" s="14"/>
      <c r="Y677" s="14"/>
      <c r="Z677" s="14"/>
      <c r="AA677" s="18">
        <f t="shared" si="206"/>
        <v>11</v>
      </c>
      <c r="AB677" s="14"/>
      <c r="AC677" s="14"/>
      <c r="AD677" s="14"/>
      <c r="AE677" s="14"/>
      <c r="AF677" s="16">
        <v>0</v>
      </c>
      <c r="AG677" s="16">
        <v>1</v>
      </c>
      <c r="AH677" s="16">
        <v>1</v>
      </c>
      <c r="AI677" s="16">
        <v>1</v>
      </c>
      <c r="AJ677" s="5">
        <v>1</v>
      </c>
      <c r="AK677" s="5">
        <v>0</v>
      </c>
      <c r="AL677" s="5">
        <v>0</v>
      </c>
      <c r="AM677" s="20"/>
      <c r="AN677" s="20">
        <v>1</v>
      </c>
      <c r="AO677" s="16"/>
      <c r="AP677" s="16"/>
      <c r="AQ677" s="16"/>
      <c r="AR677" s="16">
        <v>0</v>
      </c>
      <c r="AS677" s="16">
        <v>0</v>
      </c>
      <c r="AT677" s="16"/>
      <c r="AU677" s="16"/>
      <c r="AV677" s="16"/>
      <c r="AW677" s="16"/>
      <c r="AX677" s="16">
        <v>0</v>
      </c>
      <c r="AY677" s="16">
        <v>0</v>
      </c>
      <c r="AZ677" s="16">
        <v>1</v>
      </c>
      <c r="BA677" s="16">
        <v>0</v>
      </c>
    </row>
    <row r="678" spans="1:53" x14ac:dyDescent="0.2">
      <c r="A678" s="14"/>
      <c r="B678" s="14" t="str">
        <f t="shared" si="189"/>
        <v>Waldhoff et al. 2011</v>
      </c>
      <c r="C678" s="61">
        <f t="shared" si="190"/>
        <v>70</v>
      </c>
      <c r="D678" s="58">
        <v>2011</v>
      </c>
      <c r="E678" s="17"/>
      <c r="F678" s="58">
        <v>0</v>
      </c>
      <c r="G678" s="16">
        <v>1995</v>
      </c>
      <c r="H678" s="15">
        <f>LOOKUP(G678,CPI!A$69:A$100,CPI!O$69:O$100)</f>
        <v>1.4308136482939633</v>
      </c>
      <c r="I678" s="52">
        <v>2015</v>
      </c>
      <c r="J678" s="15">
        <f t="shared" si="207"/>
        <v>0.05</v>
      </c>
      <c r="K678" s="15"/>
      <c r="L678" s="62"/>
      <c r="M678" s="56">
        <f t="shared" si="202"/>
        <v>94.433700787401577</v>
      </c>
      <c r="N678" s="14">
        <f>44/12*18</f>
        <v>66</v>
      </c>
      <c r="O678" s="18">
        <f t="shared" si="203"/>
        <v>66</v>
      </c>
      <c r="P678" s="16">
        <v>0</v>
      </c>
      <c r="Q678" s="16">
        <v>1</v>
      </c>
      <c r="R678" s="16">
        <v>0</v>
      </c>
      <c r="S678" s="14"/>
      <c r="T678" s="56" t="str">
        <f t="shared" si="186"/>
        <v/>
      </c>
      <c r="U678" s="56" t="str">
        <f t="shared" si="204"/>
        <v/>
      </c>
      <c r="V678" s="56" t="str">
        <f t="shared" si="205"/>
        <v/>
      </c>
      <c r="W678" s="14"/>
      <c r="X678" s="14"/>
      <c r="Y678" s="14"/>
      <c r="Z678" s="14"/>
      <c r="AA678" s="18">
        <f t="shared" si="206"/>
        <v>66</v>
      </c>
      <c r="AB678" s="14"/>
      <c r="AC678" s="14"/>
      <c r="AD678" s="14"/>
      <c r="AE678" s="14"/>
      <c r="AF678" s="16">
        <v>0</v>
      </c>
      <c r="AG678" s="16">
        <v>1</v>
      </c>
      <c r="AH678" s="16">
        <v>1</v>
      </c>
      <c r="AI678" s="16">
        <v>1</v>
      </c>
      <c r="AJ678" s="5">
        <v>1</v>
      </c>
      <c r="AK678" s="5">
        <v>0</v>
      </c>
      <c r="AL678" s="5">
        <v>0</v>
      </c>
      <c r="AM678" s="20"/>
      <c r="AN678" s="20">
        <v>1</v>
      </c>
      <c r="AO678" s="16"/>
      <c r="AP678" s="16"/>
      <c r="AQ678" s="16"/>
      <c r="AR678" s="16">
        <v>0</v>
      </c>
      <c r="AS678" s="16">
        <v>0</v>
      </c>
      <c r="AT678" s="16"/>
      <c r="AU678" s="16"/>
      <c r="AV678" s="16"/>
      <c r="AW678" s="16"/>
      <c r="AX678" s="16">
        <v>0</v>
      </c>
      <c r="AY678" s="16">
        <v>0</v>
      </c>
      <c r="AZ678" s="16">
        <v>1</v>
      </c>
      <c r="BA678" s="16">
        <v>0</v>
      </c>
    </row>
    <row r="679" spans="1:53" x14ac:dyDescent="0.2">
      <c r="A679" s="14"/>
      <c r="B679" s="14" t="str">
        <f t="shared" si="189"/>
        <v>Waldhoff et al. 2011</v>
      </c>
      <c r="C679" s="61">
        <f t="shared" si="190"/>
        <v>70</v>
      </c>
      <c r="D679" s="58">
        <v>2011</v>
      </c>
      <c r="E679" s="17"/>
      <c r="F679" s="58">
        <v>0</v>
      </c>
      <c r="G679" s="16">
        <v>1995</v>
      </c>
      <c r="H679" s="15">
        <f>LOOKUP(G679,CPI!A$69:A$100,CPI!O$69:O$100)</f>
        <v>1.4308136482939633</v>
      </c>
      <c r="I679" s="52">
        <v>2015</v>
      </c>
      <c r="J679" s="15">
        <f t="shared" ref="J679:J686" si="208">2/20</f>
        <v>0.1</v>
      </c>
      <c r="K679" s="15"/>
      <c r="L679" s="62"/>
      <c r="M679" s="56">
        <f t="shared" si="202"/>
        <v>267.56215223097115</v>
      </c>
      <c r="N679" s="14">
        <f>44/12*51</f>
        <v>187</v>
      </c>
      <c r="O679" s="18">
        <f t="shared" si="203"/>
        <v>187</v>
      </c>
      <c r="P679" s="16">
        <v>0</v>
      </c>
      <c r="Q679" s="16">
        <v>1</v>
      </c>
      <c r="R679" s="16">
        <v>0</v>
      </c>
      <c r="S679" s="14"/>
      <c r="T679" s="56" t="str">
        <f t="shared" si="186"/>
        <v/>
      </c>
      <c r="U679" s="56" t="str">
        <f t="shared" si="204"/>
        <v/>
      </c>
      <c r="V679" s="56" t="str">
        <f t="shared" si="205"/>
        <v/>
      </c>
      <c r="W679" s="14"/>
      <c r="X679" s="14"/>
      <c r="Y679" s="14"/>
      <c r="Z679" s="14"/>
      <c r="AA679" s="18">
        <f t="shared" si="206"/>
        <v>187</v>
      </c>
      <c r="AB679" s="14"/>
      <c r="AC679" s="14"/>
      <c r="AD679" s="14"/>
      <c r="AE679" s="14"/>
      <c r="AF679" s="16">
        <v>0</v>
      </c>
      <c r="AG679" s="16">
        <v>1</v>
      </c>
      <c r="AH679" s="16">
        <v>1</v>
      </c>
      <c r="AI679" s="16">
        <v>1</v>
      </c>
      <c r="AJ679" s="5">
        <v>1</v>
      </c>
      <c r="AK679" s="5">
        <v>0</v>
      </c>
      <c r="AL679" s="5">
        <v>0</v>
      </c>
      <c r="AM679" s="20"/>
      <c r="AN679" s="20">
        <v>1</v>
      </c>
      <c r="AO679" s="16"/>
      <c r="AP679" s="16"/>
      <c r="AQ679" s="16"/>
      <c r="AR679" s="16">
        <v>0</v>
      </c>
      <c r="AS679" s="16">
        <v>0</v>
      </c>
      <c r="AT679" s="16"/>
      <c r="AU679" s="16"/>
      <c r="AV679" s="16"/>
      <c r="AW679" s="16"/>
      <c r="AX679" s="16">
        <v>0</v>
      </c>
      <c r="AY679" s="16">
        <v>0</v>
      </c>
      <c r="AZ679" s="16">
        <v>1</v>
      </c>
      <c r="BA679" s="16">
        <v>0</v>
      </c>
    </row>
    <row r="680" spans="1:53" x14ac:dyDescent="0.2">
      <c r="A680" s="14"/>
      <c r="B680" s="14" t="str">
        <f t="shared" si="189"/>
        <v>Waldhoff et al. 2011</v>
      </c>
      <c r="C680" s="61">
        <f t="shared" si="190"/>
        <v>70</v>
      </c>
      <c r="D680" s="58">
        <v>2011</v>
      </c>
      <c r="E680" s="17"/>
      <c r="F680" s="58">
        <v>0</v>
      </c>
      <c r="G680" s="16">
        <v>1995</v>
      </c>
      <c r="H680" s="15">
        <f>LOOKUP(G680,CPI!A$69:A$100,CPI!O$69:O$100)</f>
        <v>1.4308136482939633</v>
      </c>
      <c r="I680" s="52">
        <v>2015</v>
      </c>
      <c r="J680" s="15">
        <f t="shared" si="208"/>
        <v>0.1</v>
      </c>
      <c r="K680" s="15"/>
      <c r="L680" s="62"/>
      <c r="M680" s="56">
        <f t="shared" si="202"/>
        <v>1.5738950131233593</v>
      </c>
      <c r="N680" s="14">
        <f>44/12*0.3</f>
        <v>1.0999999999999999</v>
      </c>
      <c r="O680" s="18">
        <f t="shared" si="203"/>
        <v>1.0999999999999999</v>
      </c>
      <c r="P680" s="16">
        <v>0</v>
      </c>
      <c r="Q680" s="16">
        <v>1</v>
      </c>
      <c r="R680" s="16">
        <v>0</v>
      </c>
      <c r="S680" s="14"/>
      <c r="T680" s="56" t="str">
        <f t="shared" si="186"/>
        <v/>
      </c>
      <c r="U680" s="56" t="str">
        <f t="shared" si="204"/>
        <v/>
      </c>
      <c r="V680" s="56" t="str">
        <f t="shared" si="205"/>
        <v/>
      </c>
      <c r="W680" s="14"/>
      <c r="X680" s="14"/>
      <c r="Y680" s="14"/>
      <c r="Z680" s="14"/>
      <c r="AA680" s="18">
        <f t="shared" si="206"/>
        <v>1.0999999999999999</v>
      </c>
      <c r="AB680" s="14"/>
      <c r="AC680" s="14"/>
      <c r="AD680" s="14"/>
      <c r="AE680" s="14"/>
      <c r="AF680" s="16">
        <v>0</v>
      </c>
      <c r="AG680" s="16">
        <v>1</v>
      </c>
      <c r="AH680" s="16">
        <v>1</v>
      </c>
      <c r="AI680" s="16">
        <v>1</v>
      </c>
      <c r="AJ680" s="5">
        <v>1</v>
      </c>
      <c r="AK680" s="5">
        <v>0</v>
      </c>
      <c r="AL680" s="5">
        <v>0</v>
      </c>
      <c r="AM680" s="20"/>
      <c r="AN680" s="20">
        <v>0.1</v>
      </c>
      <c r="AO680" s="16"/>
      <c r="AP680" s="16"/>
      <c r="AQ680" s="16"/>
      <c r="AR680" s="16">
        <v>0</v>
      </c>
      <c r="AS680" s="16">
        <v>0</v>
      </c>
      <c r="AT680" s="16"/>
      <c r="AU680" s="16"/>
      <c r="AV680" s="16"/>
      <c r="AW680" s="16"/>
      <c r="AX680" s="16">
        <v>0</v>
      </c>
      <c r="AY680" s="16">
        <v>0</v>
      </c>
      <c r="AZ680" s="16">
        <v>1</v>
      </c>
      <c r="BA680" s="16">
        <v>0</v>
      </c>
    </row>
    <row r="681" spans="1:53" x14ac:dyDescent="0.2">
      <c r="A681" s="14"/>
      <c r="B681" s="14" t="str">
        <f t="shared" si="189"/>
        <v>Waldhoff et al. 2011</v>
      </c>
      <c r="C681" s="61">
        <f t="shared" si="190"/>
        <v>70</v>
      </c>
      <c r="D681" s="58">
        <v>2011</v>
      </c>
      <c r="E681" s="17"/>
      <c r="F681" s="58">
        <v>0</v>
      </c>
      <c r="G681" s="16">
        <v>1995</v>
      </c>
      <c r="H681" s="15">
        <f>LOOKUP(G681,CPI!A$69:A$100,CPI!O$69:O$100)</f>
        <v>1.4308136482939633</v>
      </c>
      <c r="I681" s="52">
        <v>2015</v>
      </c>
      <c r="J681" s="15">
        <f t="shared" si="208"/>
        <v>0.1</v>
      </c>
      <c r="K681" s="15"/>
      <c r="L681" s="62"/>
      <c r="M681" s="56">
        <f t="shared" si="202"/>
        <v>131.15791776027996</v>
      </c>
      <c r="N681" s="14">
        <f>44/12*25</f>
        <v>91.666666666666657</v>
      </c>
      <c r="O681" s="18">
        <f t="shared" si="203"/>
        <v>91.666666666666657</v>
      </c>
      <c r="P681" s="16">
        <v>0</v>
      </c>
      <c r="Q681" s="16">
        <v>1</v>
      </c>
      <c r="R681" s="16">
        <v>0</v>
      </c>
      <c r="S681" s="14"/>
      <c r="T681" s="56" t="str">
        <f t="shared" si="186"/>
        <v/>
      </c>
      <c r="U681" s="56" t="str">
        <f t="shared" si="204"/>
        <v/>
      </c>
      <c r="V681" s="56" t="str">
        <f t="shared" si="205"/>
        <v/>
      </c>
      <c r="W681" s="14"/>
      <c r="X681" s="14"/>
      <c r="Y681" s="14"/>
      <c r="Z681" s="14"/>
      <c r="AA681" s="18">
        <f t="shared" si="206"/>
        <v>91.666666666666657</v>
      </c>
      <c r="AB681" s="14"/>
      <c r="AC681" s="14"/>
      <c r="AD681" s="14"/>
      <c r="AE681" s="14"/>
      <c r="AF681" s="16">
        <v>0</v>
      </c>
      <c r="AG681" s="16">
        <v>1</v>
      </c>
      <c r="AH681" s="16">
        <v>1</v>
      </c>
      <c r="AI681" s="16">
        <v>1</v>
      </c>
      <c r="AJ681" s="5">
        <v>1</v>
      </c>
      <c r="AK681" s="5">
        <v>0</v>
      </c>
      <c r="AL681" s="5">
        <v>0</v>
      </c>
      <c r="AM681" s="20"/>
      <c r="AN681" s="20">
        <v>3</v>
      </c>
      <c r="AO681" s="16"/>
      <c r="AP681" s="16"/>
      <c r="AQ681" s="16"/>
      <c r="AR681" s="16">
        <v>0</v>
      </c>
      <c r="AS681" s="16">
        <v>0</v>
      </c>
      <c r="AT681" s="16"/>
      <c r="AU681" s="16"/>
      <c r="AV681" s="16"/>
      <c r="AW681" s="16"/>
      <c r="AX681" s="16">
        <v>0</v>
      </c>
      <c r="AY681" s="16">
        <v>0</v>
      </c>
      <c r="AZ681" s="16">
        <v>1</v>
      </c>
      <c r="BA681" s="16">
        <v>0</v>
      </c>
    </row>
    <row r="682" spans="1:53" x14ac:dyDescent="0.2">
      <c r="A682" s="14"/>
      <c r="B682" s="14" t="str">
        <f t="shared" si="189"/>
        <v>Waldhoff et al. 2011</v>
      </c>
      <c r="C682" s="61">
        <f t="shared" si="190"/>
        <v>70</v>
      </c>
      <c r="D682" s="58">
        <v>2011</v>
      </c>
      <c r="E682" s="17"/>
      <c r="F682" s="58">
        <v>0</v>
      </c>
      <c r="G682" s="16">
        <v>1995</v>
      </c>
      <c r="H682" s="15">
        <f>LOOKUP(G682,CPI!A$69:A$100,CPI!O$69:O$100)</f>
        <v>1.4308136482939633</v>
      </c>
      <c r="I682" s="52">
        <v>2015</v>
      </c>
      <c r="J682" s="15">
        <f t="shared" si="208"/>
        <v>0.1</v>
      </c>
      <c r="K682" s="15"/>
      <c r="L682" s="62"/>
      <c r="M682" s="56">
        <f t="shared" si="202"/>
        <v>10.492633420822397</v>
      </c>
      <c r="N682" s="14">
        <f>44/12*2</f>
        <v>7.333333333333333</v>
      </c>
      <c r="O682" s="18">
        <f t="shared" si="203"/>
        <v>7.333333333333333</v>
      </c>
      <c r="P682" s="16">
        <v>0</v>
      </c>
      <c r="Q682" s="16">
        <v>1</v>
      </c>
      <c r="R682" s="16">
        <v>0</v>
      </c>
      <c r="S682" s="14"/>
      <c r="T682" s="56" t="str">
        <f t="shared" si="186"/>
        <v/>
      </c>
      <c r="U682" s="56" t="str">
        <f t="shared" si="204"/>
        <v/>
      </c>
      <c r="V682" s="56" t="str">
        <f t="shared" si="205"/>
        <v/>
      </c>
      <c r="W682" s="14"/>
      <c r="X682" s="14"/>
      <c r="Y682" s="14"/>
      <c r="Z682" s="14"/>
      <c r="AA682" s="18">
        <f t="shared" si="206"/>
        <v>7.333333333333333</v>
      </c>
      <c r="AB682" s="14"/>
      <c r="AC682" s="14"/>
      <c r="AD682" s="14"/>
      <c r="AE682" s="14"/>
      <c r="AF682" s="16">
        <v>0</v>
      </c>
      <c r="AG682" s="16">
        <v>1</v>
      </c>
      <c r="AH682" s="16">
        <v>1</v>
      </c>
      <c r="AI682" s="16">
        <v>1</v>
      </c>
      <c r="AJ682" s="5">
        <v>1</v>
      </c>
      <c r="AK682" s="5">
        <v>0</v>
      </c>
      <c r="AL682" s="5">
        <v>0</v>
      </c>
      <c r="AM682" s="20"/>
      <c r="AN682" s="20">
        <v>1</v>
      </c>
      <c r="AO682" s="16"/>
      <c r="AP682" s="16"/>
      <c r="AQ682" s="16"/>
      <c r="AR682" s="16">
        <v>1</v>
      </c>
      <c r="AS682" s="16">
        <v>1</v>
      </c>
      <c r="AT682" s="16"/>
      <c r="AU682" s="16"/>
      <c r="AV682" s="16"/>
      <c r="AW682" s="16"/>
      <c r="AX682" s="16">
        <v>0</v>
      </c>
      <c r="AY682" s="16">
        <v>0</v>
      </c>
      <c r="AZ682" s="16">
        <v>1</v>
      </c>
      <c r="BA682" s="16">
        <v>0</v>
      </c>
    </row>
    <row r="683" spans="1:53" x14ac:dyDescent="0.2">
      <c r="A683" s="14"/>
      <c r="B683" s="14" t="str">
        <f t="shared" si="189"/>
        <v>Waldhoff et al. 2011</v>
      </c>
      <c r="C683" s="61">
        <f t="shared" si="190"/>
        <v>70</v>
      </c>
      <c r="D683" s="58">
        <v>2011</v>
      </c>
      <c r="E683" s="17"/>
      <c r="F683" s="58">
        <v>0</v>
      </c>
      <c r="G683" s="16">
        <v>1995</v>
      </c>
      <c r="H683" s="15">
        <f>LOOKUP(G683,CPI!A$69:A$100,CPI!O$69:O$100)</f>
        <v>1.4308136482939633</v>
      </c>
      <c r="I683" s="52">
        <v>2015</v>
      </c>
      <c r="J683" s="15">
        <f t="shared" si="208"/>
        <v>0.1</v>
      </c>
      <c r="K683" s="15"/>
      <c r="L683" s="62"/>
      <c r="M683" s="56">
        <f t="shared" si="202"/>
        <v>15.738950131233596</v>
      </c>
      <c r="N683" s="14">
        <f>44/12*3</f>
        <v>11</v>
      </c>
      <c r="O683" s="18">
        <f t="shared" si="203"/>
        <v>11</v>
      </c>
      <c r="P683" s="16">
        <v>0</v>
      </c>
      <c r="Q683" s="16">
        <v>1</v>
      </c>
      <c r="R683" s="16">
        <v>0</v>
      </c>
      <c r="S683" s="14"/>
      <c r="T683" s="56" t="str">
        <f t="shared" si="186"/>
        <v/>
      </c>
      <c r="U683" s="56" t="str">
        <f t="shared" si="204"/>
        <v/>
      </c>
      <c r="V683" s="56" t="str">
        <f t="shared" si="205"/>
        <v/>
      </c>
      <c r="W683" s="14"/>
      <c r="X683" s="14"/>
      <c r="Y683" s="14"/>
      <c r="Z683" s="14"/>
      <c r="AA683" s="18">
        <f t="shared" si="206"/>
        <v>11</v>
      </c>
      <c r="AB683" s="14"/>
      <c r="AC683" s="14"/>
      <c r="AD683" s="14"/>
      <c r="AE683" s="14"/>
      <c r="AF683" s="16">
        <v>0</v>
      </c>
      <c r="AG683" s="16">
        <v>1</v>
      </c>
      <c r="AH683" s="16">
        <v>1</v>
      </c>
      <c r="AI683" s="16">
        <v>1</v>
      </c>
      <c r="AJ683" s="5">
        <v>1</v>
      </c>
      <c r="AK683" s="5">
        <v>0</v>
      </c>
      <c r="AL683" s="5">
        <v>0</v>
      </c>
      <c r="AM683" s="20"/>
      <c r="AN683" s="20">
        <v>1</v>
      </c>
      <c r="AO683" s="16"/>
      <c r="AP683" s="16"/>
      <c r="AQ683" s="16"/>
      <c r="AR683" s="16">
        <v>0</v>
      </c>
      <c r="AS683" s="16">
        <v>0</v>
      </c>
      <c r="AT683" s="16"/>
      <c r="AU683" s="16"/>
      <c r="AV683" s="16"/>
      <c r="AW683" s="16"/>
      <c r="AX683" s="16">
        <v>0</v>
      </c>
      <c r="AY683" s="16">
        <v>0</v>
      </c>
      <c r="AZ683" s="16">
        <v>1</v>
      </c>
      <c r="BA683" s="16">
        <v>0</v>
      </c>
    </row>
    <row r="684" spans="1:53" x14ac:dyDescent="0.2">
      <c r="A684" s="14"/>
      <c r="B684" s="14" t="str">
        <f t="shared" si="189"/>
        <v>Waldhoff et al. 2011</v>
      </c>
      <c r="C684" s="61">
        <f t="shared" si="190"/>
        <v>70</v>
      </c>
      <c r="D684" s="58">
        <v>2011</v>
      </c>
      <c r="E684" s="17"/>
      <c r="F684" s="58">
        <v>0</v>
      </c>
      <c r="G684" s="16">
        <v>1995</v>
      </c>
      <c r="H684" s="15">
        <f>LOOKUP(G684,CPI!A$69:A$100,CPI!O$69:O$100)</f>
        <v>1.4308136482939633</v>
      </c>
      <c r="I684" s="52">
        <v>2015</v>
      </c>
      <c r="J684" s="15">
        <f t="shared" si="208"/>
        <v>0.1</v>
      </c>
      <c r="K684" s="15"/>
      <c r="L684" s="62"/>
      <c r="M684" s="56">
        <f t="shared" si="202"/>
        <v>41.970533683289588</v>
      </c>
      <c r="N684" s="14">
        <f>44/12*8</f>
        <v>29.333333333333332</v>
      </c>
      <c r="O684" s="18">
        <f t="shared" si="203"/>
        <v>29.333333333333332</v>
      </c>
      <c r="P684" s="16">
        <v>0</v>
      </c>
      <c r="Q684" s="16">
        <v>1</v>
      </c>
      <c r="R684" s="16">
        <v>0</v>
      </c>
      <c r="S684" s="14"/>
      <c r="T684" s="56" t="str">
        <f t="shared" si="186"/>
        <v/>
      </c>
      <c r="U684" s="56" t="str">
        <f t="shared" si="204"/>
        <v/>
      </c>
      <c r="V684" s="56" t="str">
        <f t="shared" si="205"/>
        <v/>
      </c>
      <c r="W684" s="14"/>
      <c r="X684" s="14"/>
      <c r="Y684" s="14"/>
      <c r="Z684" s="14"/>
      <c r="AA684" s="18">
        <f t="shared" si="206"/>
        <v>29.333333333333332</v>
      </c>
      <c r="AB684" s="14"/>
      <c r="AC684" s="14"/>
      <c r="AD684" s="14"/>
      <c r="AE684" s="14"/>
      <c r="AF684" s="16">
        <v>0</v>
      </c>
      <c r="AG684" s="16">
        <v>1</v>
      </c>
      <c r="AH684" s="16">
        <v>1</v>
      </c>
      <c r="AI684" s="16">
        <v>1</v>
      </c>
      <c r="AJ684" s="5">
        <v>1</v>
      </c>
      <c r="AK684" s="5">
        <v>0</v>
      </c>
      <c r="AL684" s="5">
        <v>0</v>
      </c>
      <c r="AM684" s="20"/>
      <c r="AN684" s="20">
        <v>1</v>
      </c>
      <c r="AO684" s="16"/>
      <c r="AP684" s="16"/>
      <c r="AQ684" s="16"/>
      <c r="AR684" s="16">
        <v>0</v>
      </c>
      <c r="AS684" s="16">
        <v>0</v>
      </c>
      <c r="AT684" s="16"/>
      <c r="AU684" s="16"/>
      <c r="AV684" s="16"/>
      <c r="AW684" s="16"/>
      <c r="AX684" s="16">
        <v>0</v>
      </c>
      <c r="AY684" s="16">
        <v>0</v>
      </c>
      <c r="AZ684" s="16">
        <v>1</v>
      </c>
      <c r="BA684" s="16">
        <v>0</v>
      </c>
    </row>
    <row r="685" spans="1:53" x14ac:dyDescent="0.2">
      <c r="A685" s="14"/>
      <c r="B685" s="14" t="str">
        <f t="shared" si="189"/>
        <v>Waldhoff et al. 2011</v>
      </c>
      <c r="C685" s="61">
        <f t="shared" si="190"/>
        <v>70</v>
      </c>
      <c r="D685" s="58">
        <v>2011</v>
      </c>
      <c r="E685" s="17"/>
      <c r="F685" s="58">
        <v>0</v>
      </c>
      <c r="G685" s="16">
        <v>1995</v>
      </c>
      <c r="H685" s="15">
        <f>LOOKUP(G685,CPI!A$69:A$100,CPI!O$69:O$100)</f>
        <v>1.4308136482939633</v>
      </c>
      <c r="I685" s="52">
        <v>2015</v>
      </c>
      <c r="J685" s="15">
        <f t="shared" si="208"/>
        <v>0.1</v>
      </c>
      <c r="K685" s="15"/>
      <c r="L685" s="62"/>
      <c r="M685" s="56">
        <f t="shared" si="202"/>
        <v>62.955800524934382</v>
      </c>
      <c r="N685" s="14">
        <f>44/12*12</f>
        <v>44</v>
      </c>
      <c r="O685" s="18">
        <f t="shared" si="203"/>
        <v>44</v>
      </c>
      <c r="P685" s="16">
        <v>0</v>
      </c>
      <c r="Q685" s="16">
        <v>1</v>
      </c>
      <c r="R685" s="16">
        <v>0</v>
      </c>
      <c r="S685" s="14"/>
      <c r="T685" s="56" t="str">
        <f t="shared" si="186"/>
        <v/>
      </c>
      <c r="U685" s="56" t="str">
        <f t="shared" si="204"/>
        <v/>
      </c>
      <c r="V685" s="56" t="str">
        <f t="shared" si="205"/>
        <v/>
      </c>
      <c r="W685" s="14"/>
      <c r="X685" s="14"/>
      <c r="Y685" s="14"/>
      <c r="Z685" s="14"/>
      <c r="AA685" s="18">
        <f t="shared" si="206"/>
        <v>44</v>
      </c>
      <c r="AB685" s="14"/>
      <c r="AC685" s="14"/>
      <c r="AD685" s="14"/>
      <c r="AE685" s="14"/>
      <c r="AF685" s="16">
        <v>0</v>
      </c>
      <c r="AG685" s="16">
        <v>1</v>
      </c>
      <c r="AH685" s="16">
        <v>1</v>
      </c>
      <c r="AI685" s="16">
        <v>1</v>
      </c>
      <c r="AJ685" s="5">
        <v>1</v>
      </c>
      <c r="AK685" s="5">
        <v>0</v>
      </c>
      <c r="AL685" s="5">
        <v>0</v>
      </c>
      <c r="AM685" s="20"/>
      <c r="AN685" s="20">
        <v>1</v>
      </c>
      <c r="AO685" s="16"/>
      <c r="AP685" s="16"/>
      <c r="AQ685" s="16"/>
      <c r="AR685" s="16">
        <v>0</v>
      </c>
      <c r="AS685" s="16">
        <v>0</v>
      </c>
      <c r="AT685" s="16"/>
      <c r="AU685" s="16"/>
      <c r="AV685" s="16"/>
      <c r="AW685" s="16"/>
      <c r="AX685" s="16">
        <v>0</v>
      </c>
      <c r="AY685" s="16">
        <v>0</v>
      </c>
      <c r="AZ685" s="16">
        <v>1</v>
      </c>
      <c r="BA685" s="16">
        <v>0</v>
      </c>
    </row>
    <row r="686" spans="1:53" x14ac:dyDescent="0.2">
      <c r="A686" s="14"/>
      <c r="B686" s="14" t="str">
        <f t="shared" si="189"/>
        <v>Waldhoff et al. 2011</v>
      </c>
      <c r="C686" s="61">
        <f t="shared" si="190"/>
        <v>70</v>
      </c>
      <c r="D686" s="58">
        <v>2011</v>
      </c>
      <c r="E686" s="17"/>
      <c r="F686" s="58">
        <v>0</v>
      </c>
      <c r="G686" s="16">
        <v>1995</v>
      </c>
      <c r="H686" s="15">
        <f>LOOKUP(G686,CPI!A$69:A$100,CPI!O$69:O$100)</f>
        <v>1.4308136482939633</v>
      </c>
      <c r="I686" s="52">
        <v>2015</v>
      </c>
      <c r="J686" s="15">
        <f t="shared" si="208"/>
        <v>0.1</v>
      </c>
      <c r="K686" s="15"/>
      <c r="L686" s="62"/>
      <c r="M686" s="56">
        <f t="shared" si="202"/>
        <v>41.970533683289588</v>
      </c>
      <c r="N686" s="14">
        <f t="shared" ref="N686" si="209">44/12*8</f>
        <v>29.333333333333332</v>
      </c>
      <c r="O686" s="18">
        <f t="shared" si="203"/>
        <v>29.333333333333332</v>
      </c>
      <c r="P686" s="16">
        <v>0</v>
      </c>
      <c r="Q686" s="16">
        <v>1</v>
      </c>
      <c r="R686" s="16">
        <v>0</v>
      </c>
      <c r="S686" s="14"/>
      <c r="T686" s="56" t="str">
        <f t="shared" si="186"/>
        <v/>
      </c>
      <c r="U686" s="56" t="str">
        <f t="shared" si="204"/>
        <v/>
      </c>
      <c r="V686" s="56" t="str">
        <f t="shared" si="205"/>
        <v/>
      </c>
      <c r="W686" s="14"/>
      <c r="X686" s="14"/>
      <c r="Y686" s="14"/>
      <c r="Z686" s="14"/>
      <c r="AA686" s="18">
        <f t="shared" si="206"/>
        <v>29.333333333333332</v>
      </c>
      <c r="AB686" s="14"/>
      <c r="AC686" s="14"/>
      <c r="AD686" s="14"/>
      <c r="AE686" s="14"/>
      <c r="AF686" s="16">
        <v>0</v>
      </c>
      <c r="AG686" s="16">
        <v>1</v>
      </c>
      <c r="AH686" s="16">
        <v>1</v>
      </c>
      <c r="AI686" s="16">
        <v>1</v>
      </c>
      <c r="AJ686" s="5">
        <v>1</v>
      </c>
      <c r="AK686" s="5">
        <v>0</v>
      </c>
      <c r="AL686" s="5">
        <v>0</v>
      </c>
      <c r="AM686" s="20"/>
      <c r="AN686" s="20">
        <v>1</v>
      </c>
      <c r="AO686" s="16"/>
      <c r="AP686" s="16"/>
      <c r="AQ686" s="16"/>
      <c r="AR686" s="16">
        <v>0</v>
      </c>
      <c r="AS686" s="16">
        <v>0</v>
      </c>
      <c r="AT686" s="16"/>
      <c r="AU686" s="16"/>
      <c r="AV686" s="16"/>
      <c r="AW686" s="16"/>
      <c r="AX686" s="16">
        <v>0</v>
      </c>
      <c r="AY686" s="16">
        <v>0</v>
      </c>
      <c r="AZ686" s="16">
        <v>1</v>
      </c>
      <c r="BA686" s="16">
        <v>0</v>
      </c>
    </row>
    <row r="687" spans="1:53" x14ac:dyDescent="0.2">
      <c r="A687" s="14" t="s">
        <v>38</v>
      </c>
      <c r="B687" s="14" t="str">
        <f t="shared" si="189"/>
        <v>Ackerman &amp; Munitz 2012</v>
      </c>
      <c r="C687" s="61">
        <f t="shared" si="190"/>
        <v>71</v>
      </c>
      <c r="D687" s="58">
        <v>2012</v>
      </c>
      <c r="E687" s="17" t="s">
        <v>121</v>
      </c>
      <c r="F687" s="58">
        <v>1</v>
      </c>
      <c r="G687" s="16">
        <v>2005</v>
      </c>
      <c r="H687" s="15">
        <f>LOOKUP(G687,CPI!A$69:A$100,CPI!O$69:O$100)</f>
        <v>1.1165181771633383</v>
      </c>
      <c r="I687" s="52">
        <v>2010</v>
      </c>
      <c r="J687" s="15">
        <v>0.02</v>
      </c>
      <c r="K687" s="15"/>
      <c r="L687" s="62"/>
      <c r="M687" s="56">
        <f>AA687*H687*(1+$L$2)^(2015-I687)</f>
        <v>27.914432176465557</v>
      </c>
      <c r="N687" s="14">
        <f>5.85*(44/12)</f>
        <v>21.45</v>
      </c>
      <c r="O687" s="18">
        <f>N687</f>
        <v>21.45</v>
      </c>
      <c r="P687" s="16">
        <v>1</v>
      </c>
      <c r="Q687" s="16">
        <v>0</v>
      </c>
      <c r="R687" s="16">
        <v>0</v>
      </c>
      <c r="S687" s="14"/>
      <c r="T687" s="56" t="str">
        <f>IF(OR(M687="",S687=""),"",S687*H687*(1+$L$2)^(2015-I687))</f>
        <v/>
      </c>
      <c r="U687" s="56" t="str">
        <f>+V687</f>
        <v/>
      </c>
      <c r="V687" s="56" t="str">
        <f>+T687</f>
        <v/>
      </c>
      <c r="W687" s="14"/>
      <c r="X687" s="14"/>
      <c r="Y687" s="14"/>
      <c r="Z687" s="14"/>
      <c r="AA687" s="18">
        <f>N687</f>
        <v>21.45</v>
      </c>
      <c r="AB687" s="14"/>
      <c r="AC687" s="14"/>
      <c r="AD687" s="14"/>
      <c r="AE687" s="14"/>
      <c r="AF687" s="16">
        <v>0</v>
      </c>
      <c r="AG687" s="16">
        <v>1</v>
      </c>
      <c r="AH687" s="16">
        <v>0</v>
      </c>
      <c r="AI687" s="16">
        <v>1</v>
      </c>
      <c r="AJ687" s="5">
        <v>1</v>
      </c>
      <c r="AK687" s="5">
        <v>0</v>
      </c>
      <c r="AL687" s="5">
        <v>0</v>
      </c>
      <c r="AM687" s="20">
        <v>0</v>
      </c>
      <c r="AN687" s="20">
        <v>3</v>
      </c>
      <c r="AO687" s="16"/>
      <c r="AP687" s="16"/>
      <c r="AQ687" s="16"/>
      <c r="AR687" s="16">
        <v>0</v>
      </c>
      <c r="AS687" s="16">
        <v>0</v>
      </c>
      <c r="AT687" s="16"/>
      <c r="AU687" s="16"/>
      <c r="AV687" s="16"/>
      <c r="AW687" s="16"/>
      <c r="AX687" s="16">
        <v>0</v>
      </c>
      <c r="AY687" s="16">
        <v>0</v>
      </c>
      <c r="AZ687" s="16">
        <v>0</v>
      </c>
      <c r="BA687" s="16">
        <v>0</v>
      </c>
    </row>
    <row r="688" spans="1:53" x14ac:dyDescent="0.2">
      <c r="A688" s="14"/>
      <c r="B688" s="14" t="str">
        <f t="shared" si="189"/>
        <v>Ackerman &amp; Munitz 2012</v>
      </c>
      <c r="C688" s="61">
        <f t="shared" si="190"/>
        <v>71</v>
      </c>
      <c r="D688" s="58">
        <v>2012</v>
      </c>
      <c r="E688" s="17"/>
      <c r="F688" s="58">
        <v>1</v>
      </c>
      <c r="G688" s="16">
        <v>2005</v>
      </c>
      <c r="H688" s="15">
        <f>LOOKUP(G688,CPI!A$69:A$100,CPI!O$69:O$100)</f>
        <v>1.1165181771633383</v>
      </c>
      <c r="I688" s="52">
        <v>2010</v>
      </c>
      <c r="J688" s="15">
        <v>0.49</v>
      </c>
      <c r="K688" s="15"/>
      <c r="L688" s="62"/>
      <c r="M688" s="56">
        <f>AA688*H688*(1+$L$2)^(2015-I688)</f>
        <v>77.349221466753278</v>
      </c>
      <c r="N688" s="14">
        <f>16.21*(44/12)</f>
        <v>59.436666666666667</v>
      </c>
      <c r="O688" s="18">
        <f>N688</f>
        <v>59.436666666666667</v>
      </c>
      <c r="P688" s="16">
        <v>1</v>
      </c>
      <c r="Q688" s="16">
        <v>0</v>
      </c>
      <c r="R688" s="16">
        <v>0</v>
      </c>
      <c r="S688" s="14"/>
      <c r="T688" s="56" t="str">
        <f>IF(OR(M688="",S688=""),"",S688*H688*(1+$L$2)^(2015-I688))</f>
        <v/>
      </c>
      <c r="U688" s="56" t="str">
        <f>+V688</f>
        <v/>
      </c>
      <c r="V688" s="56" t="str">
        <f>+T688</f>
        <v/>
      </c>
      <c r="W688" s="14"/>
      <c r="X688" s="14"/>
      <c r="Y688" s="14"/>
      <c r="Z688" s="14"/>
      <c r="AA688" s="18">
        <f>N688</f>
        <v>59.436666666666667</v>
      </c>
      <c r="AB688" s="14"/>
      <c r="AC688" s="14"/>
      <c r="AD688" s="14"/>
      <c r="AE688" s="14"/>
      <c r="AF688" s="16">
        <v>0</v>
      </c>
      <c r="AG688" s="16">
        <v>1</v>
      </c>
      <c r="AH688" s="16">
        <v>0</v>
      </c>
      <c r="AI688" s="16">
        <v>1</v>
      </c>
      <c r="AJ688" s="5">
        <v>1</v>
      </c>
      <c r="AK688" s="5">
        <v>0</v>
      </c>
      <c r="AL688" s="5">
        <v>0</v>
      </c>
      <c r="AM688" s="20">
        <v>0</v>
      </c>
      <c r="AN688" s="20">
        <v>3</v>
      </c>
      <c r="AO688" s="16"/>
      <c r="AP688" s="16"/>
      <c r="AQ688" s="16"/>
      <c r="AR688" s="16">
        <v>0</v>
      </c>
      <c r="AS688" s="16">
        <v>0</v>
      </c>
      <c r="AT688" s="16"/>
      <c r="AU688" s="16"/>
      <c r="AV688" s="16"/>
      <c r="AW688" s="16"/>
      <c r="AX688" s="16">
        <v>0</v>
      </c>
      <c r="AY688" s="16">
        <v>0</v>
      </c>
      <c r="AZ688" s="16">
        <v>0</v>
      </c>
      <c r="BA688" s="16">
        <v>0</v>
      </c>
    </row>
    <row r="689" spans="1:53" x14ac:dyDescent="0.2">
      <c r="A689" s="14"/>
      <c r="B689" s="14" t="str">
        <f t="shared" si="189"/>
        <v>Ackerman &amp; Munitz 2012</v>
      </c>
      <c r="C689" s="61">
        <f t="shared" si="190"/>
        <v>71</v>
      </c>
      <c r="D689" s="58">
        <v>2012</v>
      </c>
      <c r="E689" s="17"/>
      <c r="F689" s="58">
        <v>1</v>
      </c>
      <c r="G689" s="16">
        <v>2005</v>
      </c>
      <c r="H689" s="15">
        <f>LOOKUP(G689,CPI!A$69:A$100,CPI!O$69:O$100)</f>
        <v>1.1165181771633383</v>
      </c>
      <c r="I689" s="52">
        <v>2010</v>
      </c>
      <c r="J689" s="15">
        <v>0.49</v>
      </c>
      <c r="K689" s="15"/>
      <c r="L689" s="62"/>
      <c r="M689" s="56">
        <f>AA689*H689*(1+$L$2)^(2015-I689)</f>
        <v>85.795126586812088</v>
      </c>
      <c r="N689" s="14">
        <f>17.98*(44/12)</f>
        <v>65.926666666666662</v>
      </c>
      <c r="O689" s="18">
        <f>N689</f>
        <v>65.926666666666662</v>
      </c>
      <c r="P689" s="16">
        <v>1</v>
      </c>
      <c r="Q689" s="16">
        <v>0</v>
      </c>
      <c r="R689" s="16">
        <v>0</v>
      </c>
      <c r="S689" s="14"/>
      <c r="T689" s="56" t="str">
        <f>IF(OR(M689="",S689=""),"",S689*H689*(1+$L$2)^(2015-I689))</f>
        <v/>
      </c>
      <c r="U689" s="56" t="str">
        <f>+V689</f>
        <v/>
      </c>
      <c r="V689" s="56" t="str">
        <f>+T689</f>
        <v/>
      </c>
      <c r="W689" s="14"/>
      <c r="X689" s="14"/>
      <c r="Y689" s="14"/>
      <c r="Z689" s="14"/>
      <c r="AA689" s="18">
        <f>N689</f>
        <v>65.926666666666662</v>
      </c>
      <c r="AB689" s="14"/>
      <c r="AC689" s="14"/>
      <c r="AD689" s="14"/>
      <c r="AE689" s="14"/>
      <c r="AF689" s="16">
        <v>0</v>
      </c>
      <c r="AG689" s="16">
        <v>1</v>
      </c>
      <c r="AH689" s="16">
        <v>0</v>
      </c>
      <c r="AI689" s="16">
        <v>1</v>
      </c>
      <c r="AJ689" s="5">
        <v>1</v>
      </c>
      <c r="AK689" s="5">
        <v>0</v>
      </c>
      <c r="AL689" s="5">
        <v>0</v>
      </c>
      <c r="AM689" s="20">
        <v>0</v>
      </c>
      <c r="AN689" s="20">
        <v>3</v>
      </c>
      <c r="AO689" s="16"/>
      <c r="AP689" s="16"/>
      <c r="AQ689" s="16"/>
      <c r="AR689" s="16">
        <v>0</v>
      </c>
      <c r="AS689" s="16">
        <v>0</v>
      </c>
      <c r="AT689" s="16"/>
      <c r="AU689" s="16"/>
      <c r="AV689" s="16"/>
      <c r="AW689" s="16"/>
      <c r="AX689" s="16">
        <v>0</v>
      </c>
      <c r="AY689" s="16">
        <v>0</v>
      </c>
      <c r="AZ689" s="16">
        <v>0</v>
      </c>
      <c r="BA689" s="16">
        <v>0</v>
      </c>
    </row>
    <row r="690" spans="1:53" x14ac:dyDescent="0.2">
      <c r="A690" s="14" t="s">
        <v>37</v>
      </c>
      <c r="B690" s="14" t="str">
        <f t="shared" si="189"/>
        <v>Ackerman &amp; Stanton 2012</v>
      </c>
      <c r="C690" s="61">
        <f t="shared" si="190"/>
        <v>72</v>
      </c>
      <c r="D690" s="58">
        <v>2012</v>
      </c>
      <c r="E690" s="17" t="s">
        <v>122</v>
      </c>
      <c r="F690" s="58">
        <v>1</v>
      </c>
      <c r="G690" s="16">
        <v>2007</v>
      </c>
      <c r="H690" s="15">
        <f>LOOKUP(G690,CPI!A$69:A$100,CPI!O$69:O$100)</f>
        <v>1.0516730811895323</v>
      </c>
      <c r="I690" s="5">
        <v>2050</v>
      </c>
      <c r="J690" s="44">
        <v>0</v>
      </c>
      <c r="N690" s="3">
        <f>198*(44/12)</f>
        <v>726</v>
      </c>
      <c r="O690" s="37">
        <f t="shared" si="203"/>
        <v>726</v>
      </c>
      <c r="P690" s="16">
        <v>1</v>
      </c>
      <c r="Q690" s="16">
        <v>0</v>
      </c>
      <c r="R690" s="16">
        <v>0</v>
      </c>
      <c r="S690" s="3"/>
      <c r="T690" s="56" t="str">
        <f t="shared" si="186"/>
        <v/>
      </c>
      <c r="U690" s="56">
        <f t="shared" si="204"/>
        <v>148.10471070487176</v>
      </c>
      <c r="V690" s="56">
        <f t="shared" ref="V690:V705" si="210">+(AD690-AA690)/1.96*H690*(1+$L$2)^(2015-I690)</f>
        <v>148.10471070487176</v>
      </c>
      <c r="W690" s="3"/>
      <c r="X690" s="3"/>
      <c r="Y690" s="3"/>
      <c r="Z690" s="3"/>
      <c r="AA690" s="37">
        <f t="shared" si="206"/>
        <v>726</v>
      </c>
      <c r="AB690" s="3"/>
      <c r="AC690" s="3"/>
      <c r="AD690" s="3">
        <f>418*(44/12)</f>
        <v>1532.6666666666665</v>
      </c>
      <c r="AE690" s="3"/>
      <c r="AF690" s="16">
        <v>0</v>
      </c>
      <c r="AG690" s="16">
        <v>1</v>
      </c>
      <c r="AH690" s="16">
        <v>0</v>
      </c>
      <c r="AI690" s="16">
        <v>1</v>
      </c>
      <c r="AJ690" s="5">
        <v>0</v>
      </c>
      <c r="AK690" s="5">
        <v>1</v>
      </c>
      <c r="AL690" s="5">
        <v>0</v>
      </c>
      <c r="AM690" s="20">
        <v>1.5</v>
      </c>
      <c r="AN690" s="20">
        <v>-0.5</v>
      </c>
      <c r="AO690" s="16"/>
      <c r="AP690" s="16"/>
      <c r="AQ690" s="16"/>
      <c r="AR690" s="16">
        <v>0</v>
      </c>
      <c r="AS690" s="16">
        <v>0</v>
      </c>
      <c r="AT690" s="16"/>
      <c r="AU690" s="16"/>
      <c r="AV690" s="16"/>
      <c r="AW690" s="16"/>
      <c r="AX690" s="16">
        <v>0</v>
      </c>
      <c r="AY690" s="16">
        <v>0</v>
      </c>
      <c r="AZ690" s="16">
        <v>0</v>
      </c>
      <c r="BA690" s="16">
        <v>0</v>
      </c>
    </row>
    <row r="691" spans="1:53" x14ac:dyDescent="0.2">
      <c r="A691" s="14"/>
      <c r="B691" s="14" t="str">
        <f t="shared" si="189"/>
        <v>Ackerman &amp; Stanton 2012</v>
      </c>
      <c r="C691" s="61">
        <f t="shared" si="190"/>
        <v>72</v>
      </c>
      <c r="D691" s="58">
        <v>2012</v>
      </c>
      <c r="E691" s="17"/>
      <c r="F691" s="58">
        <v>1</v>
      </c>
      <c r="G691" s="16">
        <v>2007</v>
      </c>
      <c r="H691" s="15">
        <f>LOOKUP(G691,CPI!A$69:A$100,CPI!O$69:O$100)</f>
        <v>1.0516730811895323</v>
      </c>
      <c r="I691" s="52">
        <v>2010</v>
      </c>
      <c r="J691" s="15">
        <f>0.95*2*1/27</f>
        <v>7.0370370370370361E-2</v>
      </c>
      <c r="K691" s="59">
        <v>0.125</v>
      </c>
      <c r="L691" s="57">
        <f>(AA690/AA691)^(1/(I690-I691))-1</f>
        <v>1.3023638518534719E-2</v>
      </c>
      <c r="M691" s="56">
        <f>AA691*H691*(1+$L$2)^(2015-I691)</f>
        <v>530.35894639371531</v>
      </c>
      <c r="N691" s="14">
        <f>118*(44/12)</f>
        <v>432.66666666666663</v>
      </c>
      <c r="O691" s="18">
        <f t="shared" si="203"/>
        <v>432.66666666666663</v>
      </c>
      <c r="P691" s="16">
        <v>1</v>
      </c>
      <c r="Q691" s="16">
        <v>0</v>
      </c>
      <c r="R691" s="16">
        <v>0</v>
      </c>
      <c r="S691" s="14"/>
      <c r="T691" s="56" t="str">
        <f t="shared" si="186"/>
        <v/>
      </c>
      <c r="U691" s="56">
        <f t="shared" si="204"/>
        <v>334.79940407074736</v>
      </c>
      <c r="V691" s="56">
        <f t="shared" si="210"/>
        <v>334.79940407074736</v>
      </c>
      <c r="W691" s="14"/>
      <c r="X691" s="14"/>
      <c r="Y691" s="14"/>
      <c r="Z691" s="14"/>
      <c r="AA691" s="18">
        <f t="shared" si="206"/>
        <v>432.66666666666663</v>
      </c>
      <c r="AB691" s="14"/>
      <c r="AC691" s="14"/>
      <c r="AD691" s="14">
        <f>264*(44/12)</f>
        <v>968</v>
      </c>
      <c r="AE691" s="14"/>
      <c r="AF691" s="16">
        <v>0</v>
      </c>
      <c r="AG691" s="16">
        <v>1</v>
      </c>
      <c r="AH691" s="16">
        <v>0</v>
      </c>
      <c r="AI691" s="16">
        <v>1</v>
      </c>
      <c r="AJ691" s="5">
        <v>0</v>
      </c>
      <c r="AK691" s="5">
        <v>1</v>
      </c>
      <c r="AL691" s="5">
        <v>0</v>
      </c>
      <c r="AM691" s="20">
        <v>1.5</v>
      </c>
      <c r="AN691" s="20">
        <v>-0.5</v>
      </c>
      <c r="AO691" s="16"/>
      <c r="AP691" s="16"/>
      <c r="AQ691" s="16"/>
      <c r="AR691" s="16">
        <v>0</v>
      </c>
      <c r="AS691" s="16">
        <v>0</v>
      </c>
      <c r="AT691" s="16"/>
      <c r="AU691" s="16"/>
      <c r="AV691" s="16"/>
      <c r="AW691" s="16"/>
      <c r="AX691" s="16">
        <v>0</v>
      </c>
      <c r="AY691" s="16">
        <v>0</v>
      </c>
      <c r="AZ691" s="16">
        <v>0</v>
      </c>
      <c r="BA691" s="16">
        <v>0</v>
      </c>
    </row>
    <row r="692" spans="1:53" x14ac:dyDescent="0.2">
      <c r="A692" s="14"/>
      <c r="B692" s="14" t="str">
        <f t="shared" si="189"/>
        <v>Ackerman &amp; Stanton 2012</v>
      </c>
      <c r="C692" s="61">
        <f t="shared" si="190"/>
        <v>72</v>
      </c>
      <c r="D692" s="58">
        <v>2012</v>
      </c>
      <c r="E692" s="17"/>
      <c r="F692" s="58">
        <v>1</v>
      </c>
      <c r="G692" s="16">
        <v>2007</v>
      </c>
      <c r="H692" s="15">
        <f>LOOKUP(G692,CPI!A$69:A$100,CPI!O$69:O$100)</f>
        <v>1.0516730811895323</v>
      </c>
      <c r="I692" s="5">
        <v>2050</v>
      </c>
      <c r="J692" s="44">
        <v>0</v>
      </c>
      <c r="N692" s="3">
        <f>64*(44/12)</f>
        <v>234.66666666666666</v>
      </c>
      <c r="O692" s="37">
        <f t="shared" si="203"/>
        <v>234.66666666666666</v>
      </c>
      <c r="P692" s="16">
        <v>1</v>
      </c>
      <c r="Q692" s="16">
        <v>0</v>
      </c>
      <c r="R692" s="16">
        <v>0</v>
      </c>
      <c r="S692" s="3"/>
      <c r="T692" s="56" t="str">
        <f t="shared" si="186"/>
        <v/>
      </c>
      <c r="U692" s="56">
        <f t="shared" si="204"/>
        <v>39.718990598124705</v>
      </c>
      <c r="V692" s="56">
        <f t="shared" si="210"/>
        <v>39.718990598124705</v>
      </c>
      <c r="W692" s="3"/>
      <c r="X692" s="3"/>
      <c r="Y692" s="3"/>
      <c r="Z692" s="3"/>
      <c r="AA692" s="37">
        <f t="shared" si="206"/>
        <v>234.66666666666666</v>
      </c>
      <c r="AB692" s="3"/>
      <c r="AC692" s="3"/>
      <c r="AD692" s="3">
        <f>123*(44/12)</f>
        <v>451</v>
      </c>
      <c r="AE692" s="3"/>
      <c r="AF692" s="16">
        <v>0</v>
      </c>
      <c r="AG692" s="16">
        <v>1</v>
      </c>
      <c r="AH692" s="16">
        <v>0</v>
      </c>
      <c r="AI692" s="16">
        <v>1</v>
      </c>
      <c r="AJ692" s="5">
        <v>0</v>
      </c>
      <c r="AK692" s="5">
        <v>1</v>
      </c>
      <c r="AL692" s="5">
        <v>0</v>
      </c>
      <c r="AM692" s="20">
        <v>3</v>
      </c>
      <c r="AN692" s="20">
        <v>1</v>
      </c>
      <c r="AO692" s="16"/>
      <c r="AP692" s="16"/>
      <c r="AQ692" s="16"/>
      <c r="AR692" s="16">
        <v>0</v>
      </c>
      <c r="AS692" s="16">
        <v>0</v>
      </c>
      <c r="AT692" s="16"/>
      <c r="AU692" s="16"/>
      <c r="AV692" s="16"/>
      <c r="AW692" s="16"/>
      <c r="AX692" s="16">
        <v>0</v>
      </c>
      <c r="AY692" s="16">
        <v>0</v>
      </c>
      <c r="AZ692" s="16">
        <v>0</v>
      </c>
      <c r="BA692" s="16">
        <v>0</v>
      </c>
    </row>
    <row r="693" spans="1:53" x14ac:dyDescent="0.2">
      <c r="A693" s="14"/>
      <c r="B693" s="14" t="str">
        <f t="shared" si="189"/>
        <v>Ackerman &amp; Stanton 2012</v>
      </c>
      <c r="C693" s="61">
        <f t="shared" si="190"/>
        <v>72</v>
      </c>
      <c r="D693" s="58">
        <v>2012</v>
      </c>
      <c r="E693" s="17"/>
      <c r="F693" s="58">
        <v>1</v>
      </c>
      <c r="G693" s="16">
        <v>2007</v>
      </c>
      <c r="H693" s="15">
        <f>LOOKUP(G693,CPI!A$69:A$100,CPI!O$69:O$100)</f>
        <v>1.0516730811895323</v>
      </c>
      <c r="I693" s="52">
        <v>2010</v>
      </c>
      <c r="J693" s="15">
        <f>0.95*1*1/27</f>
        <v>3.518518518518518E-2</v>
      </c>
      <c r="K693" s="59">
        <v>0.125</v>
      </c>
      <c r="L693" s="57">
        <f>(AA692/AA693)^(1/(I692-I693))-1</f>
        <v>2.0882004893936879E-2</v>
      </c>
      <c r="M693" s="56">
        <f>AA693*H693*(1+$L$2)^(2015-I693)</f>
        <v>125.8478855849494</v>
      </c>
      <c r="N693" s="14">
        <f>28*(44/12)</f>
        <v>102.66666666666666</v>
      </c>
      <c r="O693" s="18">
        <f t="shared" si="203"/>
        <v>102.66666666666666</v>
      </c>
      <c r="P693" s="16">
        <v>1</v>
      </c>
      <c r="Q693" s="16">
        <v>0</v>
      </c>
      <c r="R693" s="16">
        <v>0</v>
      </c>
      <c r="S693" s="14"/>
      <c r="T693" s="56" t="str">
        <f t="shared" si="186"/>
        <v/>
      </c>
      <c r="U693" s="56">
        <f t="shared" si="204"/>
        <v>64.208104890280296</v>
      </c>
      <c r="V693" s="56">
        <f t="shared" si="210"/>
        <v>64.208104890280296</v>
      </c>
      <c r="W693" s="14"/>
      <c r="X693" s="14"/>
      <c r="Y693" s="14"/>
      <c r="Z693" s="14"/>
      <c r="AA693" s="18">
        <f t="shared" si="206"/>
        <v>102.66666666666666</v>
      </c>
      <c r="AB693" s="14"/>
      <c r="AC693" s="14"/>
      <c r="AD693" s="14">
        <f>56*(44/12)</f>
        <v>205.33333333333331</v>
      </c>
      <c r="AE693" s="14"/>
      <c r="AF693" s="16">
        <v>0</v>
      </c>
      <c r="AG693" s="16">
        <v>1</v>
      </c>
      <c r="AH693" s="16">
        <v>0</v>
      </c>
      <c r="AI693" s="16">
        <v>1</v>
      </c>
      <c r="AJ693" s="5">
        <v>0</v>
      </c>
      <c r="AK693" s="5">
        <v>1</v>
      </c>
      <c r="AL693" s="5">
        <v>0</v>
      </c>
      <c r="AM693" s="20">
        <v>3</v>
      </c>
      <c r="AN693" s="20">
        <v>1</v>
      </c>
      <c r="AO693" s="16"/>
      <c r="AP693" s="16"/>
      <c r="AQ693" s="16"/>
      <c r="AR693" s="16">
        <v>0</v>
      </c>
      <c r="AS693" s="16">
        <v>0</v>
      </c>
      <c r="AT693" s="16"/>
      <c r="AU693" s="16"/>
      <c r="AV693" s="16"/>
      <c r="AW693" s="16"/>
      <c r="AX693" s="16">
        <v>0</v>
      </c>
      <c r="AY693" s="16">
        <v>0</v>
      </c>
      <c r="AZ693" s="16">
        <v>0</v>
      </c>
      <c r="BA693" s="16">
        <v>0</v>
      </c>
    </row>
    <row r="694" spans="1:53" x14ac:dyDescent="0.2">
      <c r="A694" s="14"/>
      <c r="B694" s="14" t="str">
        <f t="shared" si="189"/>
        <v>Ackerman &amp; Stanton 2012</v>
      </c>
      <c r="C694" s="61">
        <f t="shared" si="190"/>
        <v>72</v>
      </c>
      <c r="D694" s="58">
        <v>2012</v>
      </c>
      <c r="E694" s="17"/>
      <c r="F694" s="58">
        <v>1</v>
      </c>
      <c r="G694" s="16">
        <v>2007</v>
      </c>
      <c r="H694" s="15">
        <f>LOOKUP(G694,CPI!A$69:A$100,CPI!O$69:O$100)</f>
        <v>1.0516730811895323</v>
      </c>
      <c r="I694" s="5">
        <v>2050</v>
      </c>
      <c r="J694" s="44">
        <v>0</v>
      </c>
      <c r="N694" s="3">
        <f>396*(44/12)</f>
        <v>1452</v>
      </c>
      <c r="O694" s="37">
        <f t="shared" si="203"/>
        <v>1452</v>
      </c>
      <c r="P694" s="16">
        <v>1</v>
      </c>
      <c r="Q694" s="16">
        <v>0</v>
      </c>
      <c r="R694" s="16">
        <v>0</v>
      </c>
      <c r="S694" s="3"/>
      <c r="T694" s="56" t="str">
        <f t="shared" si="186"/>
        <v/>
      </c>
      <c r="U694" s="56">
        <f t="shared" si="204"/>
        <v>221.48386282683094</v>
      </c>
      <c r="V694" s="56">
        <f t="shared" si="210"/>
        <v>221.48386282683094</v>
      </c>
      <c r="W694" s="3"/>
      <c r="X694" s="3"/>
      <c r="Y694" s="3"/>
      <c r="Z694" s="3"/>
      <c r="AA694" s="37">
        <f t="shared" si="206"/>
        <v>1452</v>
      </c>
      <c r="AB694" s="3"/>
      <c r="AC694" s="3"/>
      <c r="AD694" s="3">
        <f>725*(44/12)</f>
        <v>2658.333333333333</v>
      </c>
      <c r="AE694" s="3"/>
      <c r="AF694" s="16">
        <v>0</v>
      </c>
      <c r="AG694" s="16">
        <v>1</v>
      </c>
      <c r="AH694" s="16">
        <v>0</v>
      </c>
      <c r="AI694" s="16">
        <v>1</v>
      </c>
      <c r="AJ694" s="5">
        <v>0</v>
      </c>
      <c r="AK694" s="5">
        <v>1</v>
      </c>
      <c r="AL694" s="5">
        <v>0</v>
      </c>
      <c r="AM694" s="20">
        <v>1.5</v>
      </c>
      <c r="AN694" s="20">
        <v>-0.5</v>
      </c>
      <c r="AO694" s="16"/>
      <c r="AP694" s="16"/>
      <c r="AQ694" s="16"/>
      <c r="AR694" s="16">
        <v>0</v>
      </c>
      <c r="AS694" s="16">
        <v>0</v>
      </c>
      <c r="AT694" s="16"/>
      <c r="AU694" s="16"/>
      <c r="AV694" s="16"/>
      <c r="AW694" s="16"/>
      <c r="AX694" s="16">
        <v>0</v>
      </c>
      <c r="AY694" s="16">
        <v>0</v>
      </c>
      <c r="AZ694" s="16">
        <v>0</v>
      </c>
      <c r="BA694" s="16">
        <v>0</v>
      </c>
    </row>
    <row r="695" spans="1:53" x14ac:dyDescent="0.2">
      <c r="A695" s="14"/>
      <c r="B695" s="14" t="str">
        <f t="shared" si="189"/>
        <v>Ackerman &amp; Stanton 2012</v>
      </c>
      <c r="C695" s="61">
        <f t="shared" si="190"/>
        <v>72</v>
      </c>
      <c r="D695" s="58">
        <v>2012</v>
      </c>
      <c r="E695" s="17"/>
      <c r="F695" s="58">
        <v>1</v>
      </c>
      <c r="G695" s="16">
        <v>2007</v>
      </c>
      <c r="H695" s="15">
        <f>LOOKUP(G695,CPI!A$69:A$100,CPI!O$69:O$100)</f>
        <v>1.0516730811895323</v>
      </c>
      <c r="I695" s="52">
        <v>2010</v>
      </c>
      <c r="J695" s="15">
        <f>0.95*2*2/27</f>
        <v>0.14074074074074072</v>
      </c>
      <c r="K695" s="59">
        <v>0.125</v>
      </c>
      <c r="L695" s="57">
        <f>(AA694/AA695)^(1/(I694-I695))-1</f>
        <v>1.2492823370291894E-2</v>
      </c>
      <c r="M695" s="56">
        <f>AA695*H695*(1+$L$2)^(2015-I695)</f>
        <v>1083.1907294990287</v>
      </c>
      <c r="N695" s="14">
        <f>241*(44/12)</f>
        <v>883.66666666666663</v>
      </c>
      <c r="O695" s="18">
        <f t="shared" si="203"/>
        <v>883.66666666666663</v>
      </c>
      <c r="P695" s="16">
        <v>1</v>
      </c>
      <c r="Q695" s="16">
        <v>0</v>
      </c>
      <c r="R695" s="16">
        <v>0</v>
      </c>
      <c r="S695" s="14"/>
      <c r="T695" s="56" t="str">
        <f t="shared" si="186"/>
        <v/>
      </c>
      <c r="U695" s="56">
        <f t="shared" si="204"/>
        <v>538.88945175770959</v>
      </c>
      <c r="V695" s="56">
        <f t="shared" si="210"/>
        <v>538.88945175770959</v>
      </c>
      <c r="W695" s="14"/>
      <c r="X695" s="14"/>
      <c r="Y695" s="14"/>
      <c r="Z695" s="14"/>
      <c r="AA695" s="18">
        <f t="shared" si="206"/>
        <v>883.66666666666663</v>
      </c>
      <c r="AB695" s="14"/>
      <c r="AC695" s="14"/>
      <c r="AD695" s="14">
        <f>476*(44/12)</f>
        <v>1745.3333333333333</v>
      </c>
      <c r="AE695" s="14"/>
      <c r="AF695" s="16">
        <v>0</v>
      </c>
      <c r="AG695" s="16">
        <v>1</v>
      </c>
      <c r="AH695" s="16">
        <v>0</v>
      </c>
      <c r="AI695" s="16">
        <v>1</v>
      </c>
      <c r="AJ695" s="5">
        <v>0</v>
      </c>
      <c r="AK695" s="5">
        <v>1</v>
      </c>
      <c r="AL695" s="5">
        <v>0</v>
      </c>
      <c r="AM695" s="20">
        <v>1.5</v>
      </c>
      <c r="AN695" s="20">
        <v>-0.5</v>
      </c>
      <c r="AO695" s="16"/>
      <c r="AP695" s="16"/>
      <c r="AQ695" s="16"/>
      <c r="AR695" s="16">
        <v>0</v>
      </c>
      <c r="AS695" s="16">
        <v>0</v>
      </c>
      <c r="AT695" s="16"/>
      <c r="AU695" s="16"/>
      <c r="AV695" s="16"/>
      <c r="AW695" s="16"/>
      <c r="AX695" s="16">
        <v>0</v>
      </c>
      <c r="AY695" s="16">
        <v>0</v>
      </c>
      <c r="AZ695" s="16">
        <v>0</v>
      </c>
      <c r="BA695" s="16">
        <v>0</v>
      </c>
    </row>
    <row r="696" spans="1:53" x14ac:dyDescent="0.2">
      <c r="A696" s="14"/>
      <c r="B696" s="14" t="str">
        <f t="shared" si="189"/>
        <v>Ackerman &amp; Stanton 2012</v>
      </c>
      <c r="C696" s="61">
        <f t="shared" si="190"/>
        <v>72</v>
      </c>
      <c r="D696" s="58">
        <v>2012</v>
      </c>
      <c r="E696" s="17"/>
      <c r="F696" s="58">
        <v>1</v>
      </c>
      <c r="G696" s="16">
        <v>2007</v>
      </c>
      <c r="H696" s="15">
        <f>LOOKUP(G696,CPI!A$69:A$100,CPI!O$69:O$100)</f>
        <v>1.0516730811895323</v>
      </c>
      <c r="I696" s="5">
        <v>2050</v>
      </c>
      <c r="J696" s="44">
        <v>0</v>
      </c>
      <c r="K696" s="44"/>
      <c r="L696" s="65"/>
      <c r="N696" s="3">
        <f>136*(44/12)</f>
        <v>498.66666666666663</v>
      </c>
      <c r="O696" s="37">
        <f t="shared" si="203"/>
        <v>498.66666666666663</v>
      </c>
      <c r="P696" s="16">
        <v>1</v>
      </c>
      <c r="Q696" s="16">
        <v>0</v>
      </c>
      <c r="R696" s="16">
        <v>0</v>
      </c>
      <c r="S696" s="3"/>
      <c r="T696" s="56" t="str">
        <f t="shared" si="186"/>
        <v/>
      </c>
      <c r="U696" s="56">
        <f t="shared" si="204"/>
        <v>65.973916586715617</v>
      </c>
      <c r="V696" s="56">
        <f t="shared" si="210"/>
        <v>65.973916586715617</v>
      </c>
      <c r="W696" s="3"/>
      <c r="X696" s="3"/>
      <c r="Y696" s="3"/>
      <c r="Z696" s="3"/>
      <c r="AA696" s="37">
        <f t="shared" si="206"/>
        <v>498.66666666666663</v>
      </c>
      <c r="AB696" s="3"/>
      <c r="AC696" s="3"/>
      <c r="AD696" s="3">
        <f>234*(44/12)</f>
        <v>858</v>
      </c>
      <c r="AE696" s="3"/>
      <c r="AF696" s="16">
        <v>0</v>
      </c>
      <c r="AG696" s="16">
        <v>1</v>
      </c>
      <c r="AH696" s="16">
        <v>0</v>
      </c>
      <c r="AI696" s="16">
        <v>1</v>
      </c>
      <c r="AJ696" s="5">
        <v>0</v>
      </c>
      <c r="AK696" s="5">
        <v>1</v>
      </c>
      <c r="AL696" s="5">
        <v>0</v>
      </c>
      <c r="AM696" s="20">
        <v>3</v>
      </c>
      <c r="AN696" s="20">
        <v>1</v>
      </c>
      <c r="AO696" s="16"/>
      <c r="AP696" s="16"/>
      <c r="AQ696" s="16"/>
      <c r="AR696" s="16">
        <v>0</v>
      </c>
      <c r="AS696" s="16">
        <v>0</v>
      </c>
      <c r="AT696" s="16"/>
      <c r="AU696" s="16"/>
      <c r="AV696" s="16"/>
      <c r="AW696" s="16"/>
      <c r="AX696" s="16">
        <v>0</v>
      </c>
      <c r="AY696" s="16">
        <v>0</v>
      </c>
      <c r="AZ696" s="16">
        <v>0</v>
      </c>
      <c r="BA696" s="16">
        <v>0</v>
      </c>
    </row>
    <row r="697" spans="1:53" x14ac:dyDescent="0.2">
      <c r="A697" s="14"/>
      <c r="B697" s="14" t="str">
        <f t="shared" si="189"/>
        <v>Ackerman &amp; Stanton 2012</v>
      </c>
      <c r="C697" s="61">
        <f t="shared" si="190"/>
        <v>72</v>
      </c>
      <c r="D697" s="58">
        <v>2012</v>
      </c>
      <c r="E697" s="17"/>
      <c r="F697" s="58">
        <v>1</v>
      </c>
      <c r="G697" s="16">
        <v>2007</v>
      </c>
      <c r="H697" s="15">
        <f>LOOKUP(G697,CPI!A$69:A$100,CPI!O$69:O$100)</f>
        <v>1.0516730811895323</v>
      </c>
      <c r="I697" s="52">
        <v>2010</v>
      </c>
      <c r="J697" s="15">
        <f>0.95*1*2/27</f>
        <v>7.0370370370370361E-2</v>
      </c>
      <c r="K697" s="59">
        <v>0.125</v>
      </c>
      <c r="L697" s="57">
        <f>(AA696/AA697)^(1/(I696-I697))-1</f>
        <v>1.9832106744750888E-2</v>
      </c>
      <c r="M697" s="56">
        <f>AA697*H697*(1+$L$2)^(2015-I697)</f>
        <v>278.66317522381649</v>
      </c>
      <c r="N697" s="14">
        <f>62*(44/12)</f>
        <v>227.33333333333331</v>
      </c>
      <c r="O697" s="18">
        <f t="shared" si="203"/>
        <v>227.33333333333331</v>
      </c>
      <c r="P697" s="16">
        <v>1</v>
      </c>
      <c r="Q697" s="16">
        <v>0</v>
      </c>
      <c r="R697" s="16">
        <v>0</v>
      </c>
      <c r="S697" s="14"/>
      <c r="T697" s="56" t="str">
        <f t="shared" si="186"/>
        <v/>
      </c>
      <c r="U697" s="56">
        <f t="shared" si="204"/>
        <v>121.5367699708877</v>
      </c>
      <c r="V697" s="56">
        <f t="shared" si="210"/>
        <v>121.5367699708877</v>
      </c>
      <c r="W697" s="14"/>
      <c r="X697" s="14"/>
      <c r="Y697" s="14"/>
      <c r="Z697" s="14"/>
      <c r="AA697" s="18">
        <f t="shared" si="206"/>
        <v>227.33333333333331</v>
      </c>
      <c r="AB697" s="14"/>
      <c r="AC697" s="14"/>
      <c r="AD697" s="14">
        <f>115*(44/12)</f>
        <v>421.66666666666663</v>
      </c>
      <c r="AE697" s="14"/>
      <c r="AF697" s="16">
        <v>0</v>
      </c>
      <c r="AG697" s="16">
        <v>1</v>
      </c>
      <c r="AH697" s="16">
        <v>0</v>
      </c>
      <c r="AI697" s="16">
        <v>1</v>
      </c>
      <c r="AJ697" s="5">
        <v>0</v>
      </c>
      <c r="AK697" s="5">
        <v>1</v>
      </c>
      <c r="AL697" s="5">
        <v>0</v>
      </c>
      <c r="AM697" s="20">
        <v>3</v>
      </c>
      <c r="AN697" s="20">
        <v>1</v>
      </c>
      <c r="AO697" s="16"/>
      <c r="AP697" s="16"/>
      <c r="AQ697" s="16"/>
      <c r="AR697" s="16">
        <v>0</v>
      </c>
      <c r="AS697" s="16">
        <v>0</v>
      </c>
      <c r="AT697" s="16"/>
      <c r="AU697" s="16"/>
      <c r="AV697" s="16"/>
      <c r="AW697" s="16"/>
      <c r="AX697" s="16">
        <v>0</v>
      </c>
      <c r="AY697" s="16">
        <v>0</v>
      </c>
      <c r="AZ697" s="16">
        <v>0</v>
      </c>
      <c r="BA697" s="16">
        <v>0</v>
      </c>
    </row>
    <row r="698" spans="1:53" x14ac:dyDescent="0.2">
      <c r="A698" s="14"/>
      <c r="B698" s="14" t="str">
        <f t="shared" si="189"/>
        <v>Ackerman &amp; Stanton 2012</v>
      </c>
      <c r="C698" s="61">
        <f t="shared" si="190"/>
        <v>72</v>
      </c>
      <c r="D698" s="58">
        <v>2012</v>
      </c>
      <c r="E698" s="17"/>
      <c r="F698" s="58">
        <v>1</v>
      </c>
      <c r="G698" s="16">
        <v>2007</v>
      </c>
      <c r="H698" s="15">
        <f>LOOKUP(G698,CPI!A$69:A$100,CPI!O$69:O$100)</f>
        <v>1.0516730811895323</v>
      </c>
      <c r="I698" s="5">
        <v>2050</v>
      </c>
      <c r="J698" s="44">
        <v>0</v>
      </c>
      <c r="K698" s="44"/>
      <c r="L698" s="65"/>
      <c r="N698" s="3">
        <f>761*(44/12)</f>
        <v>2790.333333333333</v>
      </c>
      <c r="O698" s="37">
        <f t="shared" si="203"/>
        <v>2790.333333333333</v>
      </c>
      <c r="P698" s="16">
        <v>1</v>
      </c>
      <c r="Q698" s="16">
        <v>0</v>
      </c>
      <c r="R698" s="16">
        <v>0</v>
      </c>
      <c r="S698" s="3"/>
      <c r="T698" s="56" t="str">
        <f t="shared" si="186"/>
        <v/>
      </c>
      <c r="U698" s="56">
        <f t="shared" si="204"/>
        <v>531.15734884610845</v>
      </c>
      <c r="V698" s="56">
        <f t="shared" si="210"/>
        <v>531.15734884610845</v>
      </c>
      <c r="W698" s="3"/>
      <c r="X698" s="3"/>
      <c r="Y698" s="3"/>
      <c r="Z698" s="3"/>
      <c r="AA698" s="37">
        <f t="shared" si="206"/>
        <v>2790.333333333333</v>
      </c>
      <c r="AB698" s="3"/>
      <c r="AC698" s="3"/>
      <c r="AD698" s="3">
        <f>1550*(44/12)</f>
        <v>5683.333333333333</v>
      </c>
      <c r="AE698" s="3"/>
      <c r="AF698" s="16">
        <v>0</v>
      </c>
      <c r="AG698" s="16">
        <v>1</v>
      </c>
      <c r="AH698" s="16">
        <v>0</v>
      </c>
      <c r="AI698" s="16">
        <v>1</v>
      </c>
      <c r="AJ698" s="5">
        <v>0</v>
      </c>
      <c r="AK698" s="5">
        <v>1</v>
      </c>
      <c r="AL698" s="5">
        <v>0</v>
      </c>
      <c r="AM698" s="20">
        <v>1.5</v>
      </c>
      <c r="AN698" s="20">
        <v>-0.5</v>
      </c>
      <c r="AO698" s="16"/>
      <c r="AP698" s="16"/>
      <c r="AQ698" s="16"/>
      <c r="AR698" s="16">
        <v>0</v>
      </c>
      <c r="AS698" s="16">
        <v>0</v>
      </c>
      <c r="AT698" s="16"/>
      <c r="AU698" s="16"/>
      <c r="AV698" s="16"/>
      <c r="AW698" s="16"/>
      <c r="AX698" s="16">
        <v>0</v>
      </c>
      <c r="AY698" s="16">
        <v>0</v>
      </c>
      <c r="AZ698" s="16">
        <v>0</v>
      </c>
      <c r="BA698" s="16">
        <v>0</v>
      </c>
    </row>
    <row r="699" spans="1:53" x14ac:dyDescent="0.2">
      <c r="A699" s="14"/>
      <c r="B699" s="14" t="str">
        <f t="shared" si="189"/>
        <v>Ackerman &amp; Stanton 2012</v>
      </c>
      <c r="C699" s="61">
        <f t="shared" si="190"/>
        <v>72</v>
      </c>
      <c r="D699" s="58">
        <v>2012</v>
      </c>
      <c r="E699" s="17"/>
      <c r="F699" s="58">
        <v>1</v>
      </c>
      <c r="G699" s="16">
        <v>2007</v>
      </c>
      <c r="H699" s="15">
        <f>LOOKUP(G699,CPI!A$69:A$100,CPI!O$69:O$100)</f>
        <v>1.0516730811895323</v>
      </c>
      <c r="I699" s="52">
        <v>2010</v>
      </c>
      <c r="J699" s="15">
        <f>0.95*2*2/27</f>
        <v>0.14074074074074072</v>
      </c>
      <c r="K699" s="59">
        <v>0.125</v>
      </c>
      <c r="L699" s="57">
        <f>(AA698/AA699)^(1/(I698-I699))-1</f>
        <v>1.5520210220901109E-2</v>
      </c>
      <c r="M699" s="56">
        <f>AA699*H699*(1+$L$2)^(2015-I699)</f>
        <v>1847.2671776933644</v>
      </c>
      <c r="N699" s="14">
        <f>411*(44/12)</f>
        <v>1507</v>
      </c>
      <c r="O699" s="18">
        <f t="shared" si="203"/>
        <v>1507</v>
      </c>
      <c r="P699" s="16">
        <v>1</v>
      </c>
      <c r="Q699" s="16">
        <v>0</v>
      </c>
      <c r="R699" s="16">
        <v>0</v>
      </c>
      <c r="S699" s="14"/>
      <c r="T699" s="56" t="str">
        <f t="shared" si="186"/>
        <v/>
      </c>
      <c r="U699" s="56">
        <f t="shared" si="204"/>
        <v>1093.8309297379894</v>
      </c>
      <c r="V699" s="56">
        <f t="shared" si="210"/>
        <v>1093.8309297379894</v>
      </c>
      <c r="W699" s="14"/>
      <c r="X699" s="14"/>
      <c r="Y699" s="14"/>
      <c r="Z699" s="14"/>
      <c r="AA699" s="18">
        <f t="shared" si="206"/>
        <v>1507</v>
      </c>
      <c r="AB699" s="14"/>
      <c r="AC699" s="14"/>
      <c r="AD699" s="14">
        <f>888*(44/12)</f>
        <v>3256</v>
      </c>
      <c r="AE699" s="14"/>
      <c r="AF699" s="16">
        <v>0</v>
      </c>
      <c r="AG699" s="16">
        <v>1</v>
      </c>
      <c r="AH699" s="16">
        <v>0</v>
      </c>
      <c r="AI699" s="16">
        <v>1</v>
      </c>
      <c r="AJ699" s="5">
        <v>0</v>
      </c>
      <c r="AK699" s="5">
        <v>1</v>
      </c>
      <c r="AL699" s="5">
        <v>0</v>
      </c>
      <c r="AM699" s="20">
        <v>1.5</v>
      </c>
      <c r="AN699" s="20">
        <v>-0.5</v>
      </c>
      <c r="AO699" s="16"/>
      <c r="AP699" s="16"/>
      <c r="AQ699" s="16"/>
      <c r="AR699" s="16">
        <v>0</v>
      </c>
      <c r="AS699" s="16">
        <v>0</v>
      </c>
      <c r="AT699" s="16"/>
      <c r="AU699" s="16"/>
      <c r="AV699" s="16"/>
      <c r="AW699" s="16"/>
      <c r="AX699" s="16">
        <v>0</v>
      </c>
      <c r="AY699" s="16">
        <v>0</v>
      </c>
      <c r="AZ699" s="16">
        <v>0</v>
      </c>
      <c r="BA699" s="16">
        <v>0</v>
      </c>
    </row>
    <row r="700" spans="1:53" x14ac:dyDescent="0.2">
      <c r="A700" s="14"/>
      <c r="B700" s="14" t="str">
        <f t="shared" si="189"/>
        <v>Ackerman &amp; Stanton 2012</v>
      </c>
      <c r="C700" s="61">
        <f t="shared" si="190"/>
        <v>72</v>
      </c>
      <c r="D700" s="58">
        <v>2012</v>
      </c>
      <c r="E700" s="17"/>
      <c r="F700" s="58">
        <v>1</v>
      </c>
      <c r="G700" s="16">
        <v>2007</v>
      </c>
      <c r="H700" s="15">
        <f>LOOKUP(G700,CPI!A$69:A$100,CPI!O$69:O$100)</f>
        <v>1.0516730811895323</v>
      </c>
      <c r="I700" s="5">
        <v>2050</v>
      </c>
      <c r="J700" s="44">
        <v>0</v>
      </c>
      <c r="K700" s="44"/>
      <c r="L700" s="65"/>
      <c r="N700" s="3">
        <f>225*(44/12)</f>
        <v>825</v>
      </c>
      <c r="O700" s="37">
        <f t="shared" si="203"/>
        <v>825</v>
      </c>
      <c r="P700" s="16">
        <v>1</v>
      </c>
      <c r="Q700" s="16">
        <v>0</v>
      </c>
      <c r="R700" s="16">
        <v>0</v>
      </c>
      <c r="S700" s="3"/>
      <c r="T700" s="56" t="str">
        <f t="shared" si="186"/>
        <v/>
      </c>
      <c r="U700" s="56">
        <f t="shared" si="204"/>
        <v>208.01979821729719</v>
      </c>
      <c r="V700" s="56">
        <f t="shared" si="210"/>
        <v>208.01979821729719</v>
      </c>
      <c r="W700" s="3"/>
      <c r="X700" s="3"/>
      <c r="Y700" s="3"/>
      <c r="Z700" s="3"/>
      <c r="AA700" s="37">
        <f t="shared" si="206"/>
        <v>825</v>
      </c>
      <c r="AB700" s="3"/>
      <c r="AC700" s="3"/>
      <c r="AD700" s="3">
        <f>534*(44/12)</f>
        <v>1958</v>
      </c>
      <c r="AE700" s="3"/>
      <c r="AF700" s="16">
        <v>0</v>
      </c>
      <c r="AG700" s="16">
        <v>1</v>
      </c>
      <c r="AH700" s="16">
        <v>0</v>
      </c>
      <c r="AI700" s="16">
        <v>1</v>
      </c>
      <c r="AJ700" s="5">
        <v>0</v>
      </c>
      <c r="AK700" s="5">
        <v>1</v>
      </c>
      <c r="AL700" s="5">
        <v>0</v>
      </c>
      <c r="AM700" s="20">
        <v>3</v>
      </c>
      <c r="AN700" s="20">
        <v>1</v>
      </c>
      <c r="AO700" s="16"/>
      <c r="AP700" s="16"/>
      <c r="AQ700" s="16"/>
      <c r="AR700" s="16">
        <v>0</v>
      </c>
      <c r="AS700" s="16">
        <v>0</v>
      </c>
      <c r="AT700" s="16"/>
      <c r="AU700" s="16"/>
      <c r="AV700" s="16"/>
      <c r="AW700" s="16"/>
      <c r="AX700" s="16">
        <v>0</v>
      </c>
      <c r="AY700" s="16">
        <v>0</v>
      </c>
      <c r="AZ700" s="16">
        <v>0</v>
      </c>
      <c r="BA700" s="16">
        <v>0</v>
      </c>
    </row>
    <row r="701" spans="1:53" x14ac:dyDescent="0.2">
      <c r="A701" s="14"/>
      <c r="B701" s="14" t="str">
        <f t="shared" si="189"/>
        <v>Ackerman &amp; Stanton 2012</v>
      </c>
      <c r="C701" s="61">
        <f t="shared" si="190"/>
        <v>72</v>
      </c>
      <c r="D701" s="58">
        <v>2012</v>
      </c>
      <c r="E701" s="17"/>
      <c r="F701" s="58">
        <v>1</v>
      </c>
      <c r="G701" s="16">
        <v>2007</v>
      </c>
      <c r="H701" s="15">
        <f>LOOKUP(G701,CPI!A$69:A$100,CPI!O$69:O$100)</f>
        <v>1.0516730811895323</v>
      </c>
      <c r="I701" s="52">
        <v>2010</v>
      </c>
      <c r="J701" s="15">
        <f>0.95*1*2/27</f>
        <v>7.0370370370370361E-2</v>
      </c>
      <c r="K701" s="59">
        <v>0.125</v>
      </c>
      <c r="L701" s="57">
        <f>(AA700/AA701)^(1/(I700-I701))-1</f>
        <v>2.7169924594608208E-2</v>
      </c>
      <c r="M701" s="56">
        <f>AA701*H701*(1+$L$2)^(2015-I701)</f>
        <v>346.08168535861086</v>
      </c>
      <c r="N701" s="14">
        <f>77*(44/12)</f>
        <v>282.33333333333331</v>
      </c>
      <c r="O701" s="18">
        <f t="shared" si="203"/>
        <v>282.33333333333331</v>
      </c>
      <c r="P701" s="16">
        <v>1</v>
      </c>
      <c r="Q701" s="16">
        <v>0</v>
      </c>
      <c r="R701" s="16">
        <v>0</v>
      </c>
      <c r="S701" s="14"/>
      <c r="T701" s="56" t="str">
        <f t="shared" si="186"/>
        <v/>
      </c>
      <c r="U701" s="56">
        <f t="shared" si="204"/>
        <v>282.05703219658847</v>
      </c>
      <c r="V701" s="56">
        <f t="shared" si="210"/>
        <v>282.05703219658847</v>
      </c>
      <c r="W701" s="14"/>
      <c r="X701" s="14"/>
      <c r="Y701" s="14"/>
      <c r="Z701" s="14"/>
      <c r="AA701" s="18">
        <f t="shared" si="206"/>
        <v>282.33333333333331</v>
      </c>
      <c r="AB701" s="14"/>
      <c r="AC701" s="14"/>
      <c r="AD701" s="14">
        <f>200*(44/12)</f>
        <v>733.33333333333326</v>
      </c>
      <c r="AE701" s="14"/>
      <c r="AF701" s="16">
        <v>0</v>
      </c>
      <c r="AG701" s="16">
        <v>1</v>
      </c>
      <c r="AH701" s="16">
        <v>0</v>
      </c>
      <c r="AI701" s="16">
        <v>1</v>
      </c>
      <c r="AJ701" s="5">
        <v>0</v>
      </c>
      <c r="AK701" s="5">
        <v>1</v>
      </c>
      <c r="AL701" s="5">
        <v>0</v>
      </c>
      <c r="AM701" s="20">
        <v>3</v>
      </c>
      <c r="AN701" s="20">
        <v>1</v>
      </c>
      <c r="AO701" s="16"/>
      <c r="AP701" s="16"/>
      <c r="AQ701" s="16"/>
      <c r="AR701" s="16">
        <v>0</v>
      </c>
      <c r="AS701" s="16">
        <v>0</v>
      </c>
      <c r="AT701" s="16"/>
      <c r="AU701" s="16"/>
      <c r="AV701" s="16"/>
      <c r="AW701" s="16"/>
      <c r="AX701" s="16">
        <v>0</v>
      </c>
      <c r="AY701" s="16">
        <v>0</v>
      </c>
      <c r="AZ701" s="16">
        <v>0</v>
      </c>
      <c r="BA701" s="16">
        <v>0</v>
      </c>
    </row>
    <row r="702" spans="1:53" x14ac:dyDescent="0.2">
      <c r="A702" s="14"/>
      <c r="B702" s="14" t="str">
        <f t="shared" si="189"/>
        <v>Ackerman &amp; Stanton 2012</v>
      </c>
      <c r="C702" s="61">
        <f t="shared" si="190"/>
        <v>72</v>
      </c>
      <c r="D702" s="58">
        <v>2012</v>
      </c>
      <c r="E702" s="17"/>
      <c r="F702" s="58">
        <v>1</v>
      </c>
      <c r="G702" s="16">
        <v>2007</v>
      </c>
      <c r="H702" s="15">
        <f>LOOKUP(G702,CPI!A$69:A$100,CPI!O$69:O$100)</f>
        <v>1.0516730811895323</v>
      </c>
      <c r="I702" s="5">
        <v>2050</v>
      </c>
      <c r="J702" s="44">
        <v>0</v>
      </c>
      <c r="K702" s="44"/>
      <c r="L702" s="65"/>
      <c r="N702" s="3">
        <f>790*(44/12)</f>
        <v>2896.6666666666665</v>
      </c>
      <c r="O702" s="37">
        <f t="shared" si="203"/>
        <v>2896.6666666666665</v>
      </c>
      <c r="P702" s="16">
        <v>1</v>
      </c>
      <c r="Q702" s="16">
        <v>0</v>
      </c>
      <c r="R702" s="16">
        <v>0</v>
      </c>
      <c r="S702" s="3"/>
      <c r="T702" s="56" t="str">
        <f t="shared" si="186"/>
        <v/>
      </c>
      <c r="U702" s="56">
        <f t="shared" si="204"/>
        <v>475.28148071654317</v>
      </c>
      <c r="V702" s="56">
        <f t="shared" si="210"/>
        <v>475.28148071654317</v>
      </c>
      <c r="W702" s="3"/>
      <c r="X702" s="3"/>
      <c r="Y702" s="3"/>
      <c r="Z702" s="3"/>
      <c r="AA702" s="37">
        <f t="shared" si="206"/>
        <v>2896.6666666666665</v>
      </c>
      <c r="AB702" s="3"/>
      <c r="AC702" s="3"/>
      <c r="AD702" s="3">
        <f>1496*(44/12)</f>
        <v>5485.333333333333</v>
      </c>
      <c r="AE702" s="3"/>
      <c r="AF702" s="16">
        <v>0</v>
      </c>
      <c r="AG702" s="16">
        <v>1</v>
      </c>
      <c r="AH702" s="16">
        <v>0</v>
      </c>
      <c r="AI702" s="16">
        <v>1</v>
      </c>
      <c r="AJ702" s="5">
        <v>0</v>
      </c>
      <c r="AK702" s="5">
        <v>1</v>
      </c>
      <c r="AL702" s="5">
        <v>0</v>
      </c>
      <c r="AM702" s="20">
        <v>1.5</v>
      </c>
      <c r="AN702" s="20">
        <v>-0.5</v>
      </c>
      <c r="AO702" s="16"/>
      <c r="AP702" s="16"/>
      <c r="AQ702" s="16"/>
      <c r="AR702" s="16">
        <v>0</v>
      </c>
      <c r="AS702" s="16">
        <v>0</v>
      </c>
      <c r="AT702" s="16"/>
      <c r="AU702" s="16"/>
      <c r="AV702" s="16"/>
      <c r="AW702" s="16"/>
      <c r="AX702" s="16">
        <v>0</v>
      </c>
      <c r="AY702" s="16">
        <v>0</v>
      </c>
      <c r="AZ702" s="16">
        <v>0</v>
      </c>
      <c r="BA702" s="16">
        <v>0</v>
      </c>
    </row>
    <row r="703" spans="1:53" x14ac:dyDescent="0.2">
      <c r="A703" s="14"/>
      <c r="B703" s="14" t="str">
        <f t="shared" si="189"/>
        <v>Ackerman &amp; Stanton 2012</v>
      </c>
      <c r="C703" s="61">
        <f t="shared" si="190"/>
        <v>72</v>
      </c>
      <c r="D703" s="58">
        <v>2012</v>
      </c>
      <c r="E703" s="17"/>
      <c r="F703" s="58">
        <v>1</v>
      </c>
      <c r="G703" s="16">
        <v>2007</v>
      </c>
      <c r="H703" s="15">
        <f>LOOKUP(G703,CPI!A$69:A$100,CPI!O$69:O$100)</f>
        <v>1.0516730811895323</v>
      </c>
      <c r="I703" s="52">
        <v>2010</v>
      </c>
      <c r="J703" s="15">
        <f>0.95*2*4/27</f>
        <v>0.28148148148148144</v>
      </c>
      <c r="K703" s="59">
        <v>0.125</v>
      </c>
      <c r="L703" s="57">
        <f>(AA702/AA703)^(1/(I702-I703))-1</f>
        <v>1.4452407166355208E-2</v>
      </c>
      <c r="M703" s="56">
        <f>AA703*H703*(1+$L$2)^(2015-I703)</f>
        <v>2000.0824673322313</v>
      </c>
      <c r="N703" s="14">
        <f>445*(44/12)</f>
        <v>1631.6666666666665</v>
      </c>
      <c r="O703" s="18">
        <f t="shared" si="203"/>
        <v>1631.6666666666665</v>
      </c>
      <c r="P703" s="16">
        <v>1</v>
      </c>
      <c r="Q703" s="16">
        <v>0</v>
      </c>
      <c r="R703" s="16">
        <v>0</v>
      </c>
      <c r="S703" s="14"/>
      <c r="T703" s="56" t="str">
        <f t="shared" si="186"/>
        <v/>
      </c>
      <c r="U703" s="56">
        <f t="shared" si="204"/>
        <v>1025.0365316412606</v>
      </c>
      <c r="V703" s="56">
        <f t="shared" si="210"/>
        <v>1025.0365316412606</v>
      </c>
      <c r="W703" s="14"/>
      <c r="X703" s="14"/>
      <c r="Y703" s="14"/>
      <c r="Z703" s="14"/>
      <c r="AA703" s="18">
        <f t="shared" si="206"/>
        <v>1631.6666666666665</v>
      </c>
      <c r="AB703" s="14"/>
      <c r="AC703" s="14"/>
      <c r="AD703" s="14">
        <f>892*(44/12)</f>
        <v>3270.6666666666665</v>
      </c>
      <c r="AE703" s="14"/>
      <c r="AF703" s="16">
        <v>0</v>
      </c>
      <c r="AG703" s="16">
        <v>1</v>
      </c>
      <c r="AH703" s="16">
        <v>0</v>
      </c>
      <c r="AI703" s="16">
        <v>1</v>
      </c>
      <c r="AJ703" s="5">
        <v>0</v>
      </c>
      <c r="AK703" s="5">
        <v>1</v>
      </c>
      <c r="AL703" s="5">
        <v>0</v>
      </c>
      <c r="AM703" s="20">
        <v>1.5</v>
      </c>
      <c r="AN703" s="20">
        <v>-0.5</v>
      </c>
      <c r="AO703" s="16"/>
      <c r="AP703" s="16"/>
      <c r="AQ703" s="16"/>
      <c r="AR703" s="16">
        <v>0</v>
      </c>
      <c r="AS703" s="16">
        <v>0</v>
      </c>
      <c r="AT703" s="16"/>
      <c r="AU703" s="16"/>
      <c r="AV703" s="16"/>
      <c r="AW703" s="16"/>
      <c r="AX703" s="16">
        <v>0</v>
      </c>
      <c r="AY703" s="16">
        <v>0</v>
      </c>
      <c r="AZ703" s="16">
        <v>0</v>
      </c>
      <c r="BA703" s="16">
        <v>0</v>
      </c>
    </row>
    <row r="704" spans="1:53" x14ac:dyDescent="0.2">
      <c r="A704" s="14"/>
      <c r="B704" s="14" t="str">
        <f t="shared" si="189"/>
        <v>Ackerman &amp; Stanton 2012</v>
      </c>
      <c r="C704" s="61">
        <f t="shared" si="190"/>
        <v>72</v>
      </c>
      <c r="D704" s="58">
        <v>2012</v>
      </c>
      <c r="E704" s="17"/>
      <c r="F704" s="58">
        <v>1</v>
      </c>
      <c r="G704" s="16">
        <v>2007</v>
      </c>
      <c r="H704" s="15">
        <f>LOOKUP(G704,CPI!A$69:A$100,CPI!O$69:O$100)</f>
        <v>1.0516730811895323</v>
      </c>
      <c r="I704" s="5">
        <v>2050</v>
      </c>
      <c r="J704" s="44">
        <v>0</v>
      </c>
      <c r="K704" s="44"/>
      <c r="L704" s="65"/>
      <c r="N704" s="3">
        <f>249*(44/12)</f>
        <v>913</v>
      </c>
      <c r="O704" s="37">
        <f t="shared" si="203"/>
        <v>913</v>
      </c>
      <c r="P704" s="16">
        <v>1</v>
      </c>
      <c r="Q704" s="16">
        <v>0</v>
      </c>
      <c r="R704" s="16">
        <v>0</v>
      </c>
      <c r="S704" s="3"/>
      <c r="T704" s="56" t="str">
        <f t="shared" ref="T704:T782" si="211">IF(OR(M704="",S704=""),"",S704*H704*(1+$L$2)^(2015-I704))</f>
        <v/>
      </c>
      <c r="U704" s="56">
        <f t="shared" si="204"/>
        <v>185.13088838108973</v>
      </c>
      <c r="V704" s="56">
        <f t="shared" si="210"/>
        <v>185.13088838108973</v>
      </c>
      <c r="W704" s="3"/>
      <c r="X704" s="3"/>
      <c r="Y704" s="3"/>
      <c r="Z704" s="3"/>
      <c r="AA704" s="37">
        <f t="shared" si="206"/>
        <v>913</v>
      </c>
      <c r="AB704" s="3"/>
      <c r="AC704" s="3"/>
      <c r="AD704" s="3">
        <f>524*(44/12)</f>
        <v>1921.3333333333333</v>
      </c>
      <c r="AE704" s="3"/>
      <c r="AF704" s="16">
        <v>0</v>
      </c>
      <c r="AG704" s="16">
        <v>1</v>
      </c>
      <c r="AH704" s="16">
        <v>0</v>
      </c>
      <c r="AI704" s="16">
        <v>1</v>
      </c>
      <c r="AJ704" s="5">
        <v>0</v>
      </c>
      <c r="AK704" s="5">
        <v>1</v>
      </c>
      <c r="AL704" s="5">
        <v>0</v>
      </c>
      <c r="AM704" s="20">
        <v>3</v>
      </c>
      <c r="AN704" s="20">
        <v>1</v>
      </c>
      <c r="AO704" s="16"/>
      <c r="AP704" s="16"/>
      <c r="AQ704" s="16"/>
      <c r="AR704" s="16">
        <v>0</v>
      </c>
      <c r="AS704" s="16">
        <v>0</v>
      </c>
      <c r="AT704" s="16"/>
      <c r="AU704" s="16"/>
      <c r="AV704" s="16"/>
      <c r="AW704" s="16"/>
      <c r="AX704" s="16">
        <v>0</v>
      </c>
      <c r="AY704" s="16">
        <v>0</v>
      </c>
      <c r="AZ704" s="16">
        <v>0</v>
      </c>
      <c r="BA704" s="16">
        <v>0</v>
      </c>
    </row>
    <row r="705" spans="1:53" x14ac:dyDescent="0.2">
      <c r="A705" s="14"/>
      <c r="B705" s="14" t="str">
        <f t="shared" si="189"/>
        <v>Ackerman &amp; Stanton 2012</v>
      </c>
      <c r="C705" s="61">
        <f t="shared" si="190"/>
        <v>72</v>
      </c>
      <c r="D705" s="58">
        <v>2012</v>
      </c>
      <c r="E705" s="17"/>
      <c r="F705" s="58">
        <v>1</v>
      </c>
      <c r="G705" s="16">
        <v>2007</v>
      </c>
      <c r="H705" s="15">
        <f>LOOKUP(G705,CPI!A$69:A$100,CPI!O$69:O$100)</f>
        <v>1.0516730811895323</v>
      </c>
      <c r="I705" s="52">
        <v>2010</v>
      </c>
      <c r="J705" s="15">
        <f>0.95*1*4/27</f>
        <v>0.14074074074074072</v>
      </c>
      <c r="K705" s="59">
        <v>0.125</v>
      </c>
      <c r="L705" s="57">
        <f>(AA704/AA705)^(1/(I704-I705))-1</f>
        <v>2.4113763510722697E-2</v>
      </c>
      <c r="M705" s="56">
        <f t="shared" ref="M705:M716" si="212">AA705*H705*(1+$L$2)^(2015-I705)</f>
        <v>431.47846486268367</v>
      </c>
      <c r="N705" s="14">
        <f>96*(44/12)</f>
        <v>352</v>
      </c>
      <c r="O705" s="18">
        <f t="shared" si="203"/>
        <v>352</v>
      </c>
      <c r="P705" s="16">
        <v>1</v>
      </c>
      <c r="Q705" s="16">
        <v>0</v>
      </c>
      <c r="R705" s="16">
        <v>0</v>
      </c>
      <c r="S705" s="14"/>
      <c r="T705" s="56" t="str">
        <f t="shared" si="211"/>
        <v/>
      </c>
      <c r="U705" s="56">
        <f t="shared" si="204"/>
        <v>275.17759238691559</v>
      </c>
      <c r="V705" s="56">
        <f t="shared" si="210"/>
        <v>275.17759238691559</v>
      </c>
      <c r="W705" s="14"/>
      <c r="X705" s="14"/>
      <c r="Y705" s="14"/>
      <c r="Z705" s="14"/>
      <c r="AA705" s="18">
        <f t="shared" si="206"/>
        <v>352</v>
      </c>
      <c r="AB705" s="14"/>
      <c r="AC705" s="14"/>
      <c r="AD705" s="14">
        <f>216*(44/12)</f>
        <v>792</v>
      </c>
      <c r="AE705" s="14"/>
      <c r="AF705" s="16">
        <v>0</v>
      </c>
      <c r="AG705" s="16">
        <v>1</v>
      </c>
      <c r="AH705" s="16">
        <v>0</v>
      </c>
      <c r="AI705" s="16">
        <v>1</v>
      </c>
      <c r="AJ705" s="5">
        <v>0</v>
      </c>
      <c r="AK705" s="5">
        <v>1</v>
      </c>
      <c r="AL705" s="5">
        <v>0</v>
      </c>
      <c r="AM705" s="20">
        <v>3</v>
      </c>
      <c r="AN705" s="20">
        <v>1</v>
      </c>
      <c r="AO705" s="16"/>
      <c r="AP705" s="16"/>
      <c r="AQ705" s="16"/>
      <c r="AR705" s="16">
        <v>0</v>
      </c>
      <c r="AS705" s="16">
        <v>0</v>
      </c>
      <c r="AT705" s="16"/>
      <c r="AU705" s="16"/>
      <c r="AV705" s="16"/>
      <c r="AW705" s="16"/>
      <c r="AX705" s="16">
        <v>0</v>
      </c>
      <c r="AY705" s="16">
        <v>0</v>
      </c>
      <c r="AZ705" s="16">
        <v>0</v>
      </c>
      <c r="BA705" s="16">
        <v>0</v>
      </c>
    </row>
    <row r="706" spans="1:53" x14ac:dyDescent="0.2">
      <c r="A706" s="14" t="s">
        <v>149</v>
      </c>
      <c r="B706" s="14" t="str">
        <f t="shared" si="189"/>
        <v>Botzen &amp; vd Bergh 2012</v>
      </c>
      <c r="C706" s="61">
        <f t="shared" si="190"/>
        <v>73</v>
      </c>
      <c r="D706" s="58">
        <v>2012</v>
      </c>
      <c r="E706" s="17" t="s">
        <v>152</v>
      </c>
      <c r="F706" s="58">
        <v>1</v>
      </c>
      <c r="G706" s="22">
        <v>2005</v>
      </c>
      <c r="H706" s="15">
        <f>LOOKUP(G706,CPI!A$69:A$100,CPI!O$69:O$100)</f>
        <v>1.1165181771633383</v>
      </c>
      <c r="I706" s="52">
        <v>2015</v>
      </c>
      <c r="J706" s="15">
        <v>0.1</v>
      </c>
      <c r="K706" s="15"/>
      <c r="L706" s="62"/>
      <c r="M706" s="56">
        <f t="shared" si="212"/>
        <v>46.782111623143876</v>
      </c>
      <c r="N706" s="14">
        <v>41.9</v>
      </c>
      <c r="O706" s="18">
        <f t="shared" si="203"/>
        <v>41.9</v>
      </c>
      <c r="P706" s="16">
        <v>0</v>
      </c>
      <c r="Q706" s="16">
        <v>1</v>
      </c>
      <c r="R706" s="16">
        <v>0</v>
      </c>
      <c r="S706" s="14"/>
      <c r="T706" s="56" t="str">
        <f t="shared" si="211"/>
        <v/>
      </c>
      <c r="U706" s="56" t="str">
        <f t="shared" ref="U706:U745" si="213">+V706</f>
        <v/>
      </c>
      <c r="V706" s="56" t="str">
        <f t="shared" ref="V706:V755" si="214">+T706</f>
        <v/>
      </c>
      <c r="W706" s="14"/>
      <c r="X706" s="14"/>
      <c r="Y706" s="14"/>
      <c r="Z706" s="14"/>
      <c r="AA706" s="18">
        <f t="shared" ref="AA706:AA745" si="215">N706</f>
        <v>41.9</v>
      </c>
      <c r="AB706" s="14"/>
      <c r="AC706" s="14"/>
      <c r="AD706" s="14"/>
      <c r="AE706" s="14"/>
      <c r="AF706" s="16">
        <v>0</v>
      </c>
      <c r="AG706" s="16">
        <v>1</v>
      </c>
      <c r="AH706" s="16">
        <v>0</v>
      </c>
      <c r="AI706" s="16">
        <v>1</v>
      </c>
      <c r="AJ706" s="5">
        <v>0</v>
      </c>
      <c r="AK706" s="5">
        <v>1</v>
      </c>
      <c r="AL706" s="5">
        <v>0</v>
      </c>
      <c r="AM706" s="20" t="s">
        <v>25</v>
      </c>
      <c r="AN706" s="20">
        <v>3</v>
      </c>
      <c r="AO706" s="16"/>
      <c r="AP706" s="16"/>
      <c r="AQ706" s="16"/>
      <c r="AR706" s="16">
        <v>0</v>
      </c>
      <c r="AS706" s="16">
        <v>0</v>
      </c>
      <c r="AT706" s="16"/>
      <c r="AU706" s="16"/>
      <c r="AV706" s="16"/>
      <c r="AW706" s="16"/>
      <c r="AX706" s="16">
        <v>0</v>
      </c>
      <c r="AY706" s="16">
        <v>0</v>
      </c>
      <c r="AZ706" s="16">
        <v>0</v>
      </c>
      <c r="BA706" s="16">
        <v>1</v>
      </c>
    </row>
    <row r="707" spans="1:53" x14ac:dyDescent="0.2">
      <c r="A707" s="14"/>
      <c r="B707" s="14" t="str">
        <f t="shared" si="189"/>
        <v>Botzen &amp; vd Bergh 2012</v>
      </c>
      <c r="C707" s="61">
        <f t="shared" si="190"/>
        <v>73</v>
      </c>
      <c r="D707" s="58">
        <v>2012</v>
      </c>
      <c r="E707" s="17"/>
      <c r="F707" s="58">
        <v>1</v>
      </c>
      <c r="G707" s="22">
        <v>2005</v>
      </c>
      <c r="H707" s="15">
        <f>LOOKUP(G707,CPI!A$69:A$100,CPI!O$69:O$100)</f>
        <v>1.1165181771633383</v>
      </c>
      <c r="I707" s="5">
        <v>2055</v>
      </c>
      <c r="J707" s="44">
        <v>0</v>
      </c>
      <c r="K707" s="44"/>
      <c r="L707" s="65"/>
      <c r="M707" s="56">
        <f t="shared" si="212"/>
        <v>32.12554898172715</v>
      </c>
      <c r="N707" s="3">
        <v>98.01</v>
      </c>
      <c r="O707" s="18">
        <f t="shared" si="203"/>
        <v>98.01</v>
      </c>
      <c r="P707" s="16">
        <v>0</v>
      </c>
      <c r="Q707" s="16">
        <v>1</v>
      </c>
      <c r="R707" s="16">
        <v>0</v>
      </c>
      <c r="S707" s="3"/>
      <c r="T707" s="56" t="str">
        <f t="shared" si="211"/>
        <v/>
      </c>
      <c r="U707" s="56" t="str">
        <f t="shared" si="213"/>
        <v/>
      </c>
      <c r="V707" s="56" t="str">
        <f t="shared" si="214"/>
        <v/>
      </c>
      <c r="W707" s="3"/>
      <c r="X707" s="3"/>
      <c r="Y707" s="3"/>
      <c r="Z707" s="3"/>
      <c r="AA707" s="37">
        <f t="shared" si="215"/>
        <v>98.01</v>
      </c>
      <c r="AB707" s="3"/>
      <c r="AC707" s="3"/>
      <c r="AD707" s="3"/>
      <c r="AE707" s="3"/>
      <c r="AF707" s="16">
        <v>0</v>
      </c>
      <c r="AG707" s="16">
        <v>1</v>
      </c>
      <c r="AH707" s="16">
        <v>0</v>
      </c>
      <c r="AI707" s="16">
        <v>1</v>
      </c>
      <c r="AJ707" s="5">
        <v>0</v>
      </c>
      <c r="AK707" s="5">
        <v>1</v>
      </c>
      <c r="AL707" s="5">
        <v>0</v>
      </c>
      <c r="AM707" s="20" t="s">
        <v>25</v>
      </c>
      <c r="AN707" s="20">
        <v>3</v>
      </c>
      <c r="AO707" s="16"/>
      <c r="AP707" s="16"/>
      <c r="AQ707" s="16"/>
      <c r="AR707" s="16">
        <v>0</v>
      </c>
      <c r="AS707" s="16">
        <v>0</v>
      </c>
      <c r="AT707" s="16"/>
      <c r="AU707" s="16"/>
      <c r="AV707" s="16"/>
      <c r="AW707" s="16"/>
      <c r="AX707" s="16">
        <v>0</v>
      </c>
      <c r="AY707" s="16">
        <v>0</v>
      </c>
      <c r="AZ707" s="16">
        <v>0</v>
      </c>
      <c r="BA707" s="16">
        <v>1</v>
      </c>
    </row>
    <row r="708" spans="1:53" x14ac:dyDescent="0.2">
      <c r="A708" s="14"/>
      <c r="B708" s="14" t="str">
        <f t="shared" si="189"/>
        <v>Botzen &amp; vd Bergh 2012</v>
      </c>
      <c r="C708" s="61">
        <f t="shared" si="190"/>
        <v>73</v>
      </c>
      <c r="D708" s="58">
        <v>2012</v>
      </c>
      <c r="E708" s="17"/>
      <c r="F708" s="58">
        <v>1</v>
      </c>
      <c r="G708" s="22">
        <v>2005</v>
      </c>
      <c r="H708" s="15">
        <f>LOOKUP(G708,CPI!A$69:A$100,CPI!O$69:O$100)</f>
        <v>1.1165181771633383</v>
      </c>
      <c r="I708" s="5">
        <v>2105</v>
      </c>
      <c r="J708" s="44">
        <v>0</v>
      </c>
      <c r="K708" s="44"/>
      <c r="L708" s="65"/>
      <c r="M708" s="56">
        <f t="shared" si="212"/>
        <v>15.370318470166634</v>
      </c>
      <c r="N708" s="3">
        <v>217</v>
      </c>
      <c r="O708" s="18">
        <f t="shared" si="203"/>
        <v>217</v>
      </c>
      <c r="P708" s="16">
        <v>0</v>
      </c>
      <c r="Q708" s="16">
        <v>1</v>
      </c>
      <c r="R708" s="16">
        <v>0</v>
      </c>
      <c r="S708" s="3"/>
      <c r="T708" s="56" t="str">
        <f t="shared" si="211"/>
        <v/>
      </c>
      <c r="U708" s="56" t="str">
        <f t="shared" si="213"/>
        <v/>
      </c>
      <c r="V708" s="56" t="str">
        <f t="shared" si="214"/>
        <v/>
      </c>
      <c r="W708" s="3"/>
      <c r="X708" s="3"/>
      <c r="Y708" s="3"/>
      <c r="Z708" s="3"/>
      <c r="AA708" s="37">
        <f t="shared" si="215"/>
        <v>217</v>
      </c>
      <c r="AB708" s="3"/>
      <c r="AC708" s="3"/>
      <c r="AD708" s="3"/>
      <c r="AE708" s="3"/>
      <c r="AF708" s="16">
        <v>0</v>
      </c>
      <c r="AG708" s="16">
        <v>1</v>
      </c>
      <c r="AH708" s="16">
        <v>0</v>
      </c>
      <c r="AI708" s="16">
        <v>1</v>
      </c>
      <c r="AJ708" s="5">
        <v>0</v>
      </c>
      <c r="AK708" s="5">
        <v>1</v>
      </c>
      <c r="AL708" s="5">
        <v>0</v>
      </c>
      <c r="AM708" s="20" t="s">
        <v>25</v>
      </c>
      <c r="AN708" s="20">
        <v>3</v>
      </c>
      <c r="AO708" s="16"/>
      <c r="AP708" s="16"/>
      <c r="AQ708" s="16"/>
      <c r="AR708" s="16">
        <v>0</v>
      </c>
      <c r="AS708" s="16">
        <v>0</v>
      </c>
      <c r="AT708" s="16"/>
      <c r="AU708" s="16"/>
      <c r="AV708" s="16"/>
      <c r="AW708" s="16"/>
      <c r="AX708" s="16">
        <v>0</v>
      </c>
      <c r="AY708" s="16">
        <v>0</v>
      </c>
      <c r="AZ708" s="16">
        <v>0</v>
      </c>
      <c r="BA708" s="16">
        <v>1</v>
      </c>
    </row>
    <row r="709" spans="1:53" x14ac:dyDescent="0.2">
      <c r="A709" s="14"/>
      <c r="B709" s="14" t="str">
        <f t="shared" si="189"/>
        <v>Botzen &amp; vd Bergh 2012</v>
      </c>
      <c r="C709" s="61">
        <f t="shared" si="190"/>
        <v>73</v>
      </c>
      <c r="D709" s="58">
        <v>2012</v>
      </c>
      <c r="E709" s="17"/>
      <c r="F709" s="58">
        <v>1</v>
      </c>
      <c r="G709" s="22">
        <v>2005</v>
      </c>
      <c r="H709" s="15">
        <f>LOOKUP(G709,CPI!A$69:A$100,CPI!O$69:O$100)</f>
        <v>1.1165181771633383</v>
      </c>
      <c r="I709" s="5">
        <v>2155</v>
      </c>
      <c r="J709" s="44">
        <v>0</v>
      </c>
      <c r="K709" s="44"/>
      <c r="L709" s="65"/>
      <c r="M709" s="56">
        <f t="shared" si="212"/>
        <v>6.5240953393040835</v>
      </c>
      <c r="N709" s="3">
        <v>426.24</v>
      </c>
      <c r="O709" s="18">
        <f t="shared" si="203"/>
        <v>426.24</v>
      </c>
      <c r="P709" s="16">
        <v>0</v>
      </c>
      <c r="Q709" s="16">
        <v>1</v>
      </c>
      <c r="R709" s="16">
        <v>0</v>
      </c>
      <c r="S709" s="3"/>
      <c r="T709" s="56" t="str">
        <f t="shared" si="211"/>
        <v/>
      </c>
      <c r="U709" s="56" t="str">
        <f t="shared" si="213"/>
        <v/>
      </c>
      <c r="V709" s="56" t="str">
        <f t="shared" si="214"/>
        <v/>
      </c>
      <c r="W709" s="3"/>
      <c r="X709" s="3"/>
      <c r="Y709" s="3"/>
      <c r="Z709" s="3"/>
      <c r="AA709" s="37">
        <f t="shared" si="215"/>
        <v>426.24</v>
      </c>
      <c r="AB709" s="3"/>
      <c r="AC709" s="3"/>
      <c r="AD709" s="3"/>
      <c r="AE709" s="3"/>
      <c r="AF709" s="16">
        <v>0</v>
      </c>
      <c r="AG709" s="16">
        <v>1</v>
      </c>
      <c r="AH709" s="16">
        <v>0</v>
      </c>
      <c r="AI709" s="16">
        <v>1</v>
      </c>
      <c r="AJ709" s="5">
        <v>0</v>
      </c>
      <c r="AK709" s="5">
        <v>1</v>
      </c>
      <c r="AL709" s="5">
        <v>0</v>
      </c>
      <c r="AM709" s="20" t="s">
        <v>25</v>
      </c>
      <c r="AN709" s="20">
        <v>3</v>
      </c>
      <c r="AO709" s="16"/>
      <c r="AP709" s="16"/>
      <c r="AQ709" s="16"/>
      <c r="AR709" s="16">
        <v>0</v>
      </c>
      <c r="AS709" s="16">
        <v>0</v>
      </c>
      <c r="AT709" s="16"/>
      <c r="AU709" s="16"/>
      <c r="AV709" s="16"/>
      <c r="AW709" s="16"/>
      <c r="AX709" s="16">
        <v>0</v>
      </c>
      <c r="AY709" s="16">
        <v>0</v>
      </c>
      <c r="AZ709" s="16">
        <v>0</v>
      </c>
      <c r="BA709" s="16">
        <v>1</v>
      </c>
    </row>
    <row r="710" spans="1:53" x14ac:dyDescent="0.2">
      <c r="A710" s="14"/>
      <c r="B710" s="14" t="str">
        <f t="shared" si="189"/>
        <v>Botzen &amp; vd Bergh 2012</v>
      </c>
      <c r="C710" s="61">
        <f t="shared" si="190"/>
        <v>73</v>
      </c>
      <c r="D710" s="58">
        <v>2012</v>
      </c>
      <c r="E710" s="17"/>
      <c r="F710" s="58">
        <v>1</v>
      </c>
      <c r="G710" s="22">
        <v>2005</v>
      </c>
      <c r="H710" s="15">
        <f>LOOKUP(G710,CPI!A$69:A$100,CPI!O$69:O$100)</f>
        <v>1.1165181771633383</v>
      </c>
      <c r="I710" s="5">
        <v>2205</v>
      </c>
      <c r="J710" s="44">
        <v>0</v>
      </c>
      <c r="K710" s="44"/>
      <c r="L710" s="65"/>
      <c r="M710" s="56">
        <f t="shared" si="212"/>
        <v>2.6467506819975317</v>
      </c>
      <c r="N710" s="3">
        <v>800.21</v>
      </c>
      <c r="O710" s="18">
        <f t="shared" si="203"/>
        <v>800.21</v>
      </c>
      <c r="P710" s="16">
        <v>0</v>
      </c>
      <c r="Q710" s="16">
        <v>1</v>
      </c>
      <c r="R710" s="16">
        <v>0</v>
      </c>
      <c r="S710" s="3"/>
      <c r="T710" s="56" t="str">
        <f t="shared" si="211"/>
        <v/>
      </c>
      <c r="U710" s="56" t="str">
        <f t="shared" si="213"/>
        <v/>
      </c>
      <c r="V710" s="56" t="str">
        <f t="shared" si="214"/>
        <v/>
      </c>
      <c r="W710" s="3"/>
      <c r="X710" s="3"/>
      <c r="Y710" s="3"/>
      <c r="Z710" s="3"/>
      <c r="AA710" s="37">
        <f t="shared" si="215"/>
        <v>800.21</v>
      </c>
      <c r="AB710" s="3"/>
      <c r="AC710" s="3"/>
      <c r="AD710" s="3"/>
      <c r="AE710" s="3"/>
      <c r="AF710" s="16">
        <v>0</v>
      </c>
      <c r="AG710" s="16">
        <v>1</v>
      </c>
      <c r="AH710" s="16">
        <v>0</v>
      </c>
      <c r="AI710" s="16">
        <v>1</v>
      </c>
      <c r="AJ710" s="5">
        <v>0</v>
      </c>
      <c r="AK710" s="5">
        <v>1</v>
      </c>
      <c r="AL710" s="5">
        <v>0</v>
      </c>
      <c r="AM710" s="20" t="s">
        <v>25</v>
      </c>
      <c r="AN710" s="20">
        <v>3</v>
      </c>
      <c r="AO710" s="16"/>
      <c r="AP710" s="16"/>
      <c r="AQ710" s="16"/>
      <c r="AR710" s="16">
        <v>0</v>
      </c>
      <c r="AS710" s="16">
        <v>0</v>
      </c>
      <c r="AT710" s="16"/>
      <c r="AU710" s="16"/>
      <c r="AV710" s="16"/>
      <c r="AW710" s="16"/>
      <c r="AX710" s="16">
        <v>0</v>
      </c>
      <c r="AY710" s="16">
        <v>0</v>
      </c>
      <c r="AZ710" s="16">
        <v>0</v>
      </c>
      <c r="BA710" s="16">
        <v>1</v>
      </c>
    </row>
    <row r="711" spans="1:53" x14ac:dyDescent="0.2">
      <c r="A711" s="14"/>
      <c r="B711" s="14" t="str">
        <f t="shared" si="189"/>
        <v>Botzen &amp; vd Bergh 2012</v>
      </c>
      <c r="C711" s="61">
        <f t="shared" si="190"/>
        <v>73</v>
      </c>
      <c r="D711" s="58">
        <v>2012</v>
      </c>
      <c r="E711" s="17"/>
      <c r="F711" s="58">
        <v>1</v>
      </c>
      <c r="G711" s="22">
        <v>2005</v>
      </c>
      <c r="H711" s="15">
        <f>LOOKUP(G711,CPI!A$69:A$100,CPI!O$69:O$100)</f>
        <v>1.1165181771633383</v>
      </c>
      <c r="I711" s="52">
        <v>2015</v>
      </c>
      <c r="J711" s="15">
        <v>0.9</v>
      </c>
      <c r="K711" s="15"/>
      <c r="L711" s="62"/>
      <c r="M711" s="56">
        <f t="shared" si="212"/>
        <v>47.318040348182279</v>
      </c>
      <c r="N711" s="14">
        <v>42.38</v>
      </c>
      <c r="O711" s="18">
        <f t="shared" si="203"/>
        <v>42.38</v>
      </c>
      <c r="P711" s="16">
        <v>0</v>
      </c>
      <c r="Q711" s="16">
        <v>1</v>
      </c>
      <c r="R711" s="16">
        <v>0</v>
      </c>
      <c r="S711" s="14"/>
      <c r="T711" s="56" t="str">
        <f t="shared" si="211"/>
        <v/>
      </c>
      <c r="U711" s="56" t="str">
        <f t="shared" si="213"/>
        <v/>
      </c>
      <c r="V711" s="56" t="str">
        <f t="shared" si="214"/>
        <v/>
      </c>
      <c r="W711" s="14"/>
      <c r="X711" s="14"/>
      <c r="Y711" s="14"/>
      <c r="Z711" s="14"/>
      <c r="AA711" s="18">
        <f t="shared" si="215"/>
        <v>42.38</v>
      </c>
      <c r="AB711" s="14"/>
      <c r="AC711" s="14"/>
      <c r="AD711" s="14"/>
      <c r="AE711" s="14"/>
      <c r="AF711" s="16">
        <v>0</v>
      </c>
      <c r="AG711" s="16">
        <v>1</v>
      </c>
      <c r="AH711" s="16">
        <v>0</v>
      </c>
      <c r="AI711" s="16">
        <v>1</v>
      </c>
      <c r="AJ711" s="5">
        <v>0</v>
      </c>
      <c r="AK711" s="5">
        <v>1</v>
      </c>
      <c r="AL711" s="5">
        <v>0</v>
      </c>
      <c r="AM711" s="20" t="s">
        <v>25</v>
      </c>
      <c r="AN711" s="20">
        <v>3</v>
      </c>
      <c r="AO711" s="16"/>
      <c r="AP711" s="16"/>
      <c r="AQ711" s="16"/>
      <c r="AR711" s="16">
        <v>0</v>
      </c>
      <c r="AS711" s="16">
        <v>0</v>
      </c>
      <c r="AT711" s="16"/>
      <c r="AU711" s="16"/>
      <c r="AV711" s="16"/>
      <c r="AW711" s="16"/>
      <c r="AX711" s="16">
        <v>0</v>
      </c>
      <c r="AY711" s="16">
        <v>0</v>
      </c>
      <c r="AZ711" s="16">
        <v>0</v>
      </c>
      <c r="BA711" s="16">
        <v>1</v>
      </c>
    </row>
    <row r="712" spans="1:53" x14ac:dyDescent="0.2">
      <c r="A712" s="14"/>
      <c r="B712" s="14" t="str">
        <f t="shared" si="189"/>
        <v>Botzen &amp; vd Bergh 2012</v>
      </c>
      <c r="C712" s="61">
        <f t="shared" si="190"/>
        <v>73</v>
      </c>
      <c r="D712" s="58">
        <v>2012</v>
      </c>
      <c r="E712" s="17"/>
      <c r="F712" s="58">
        <v>1</v>
      </c>
      <c r="G712" s="22">
        <v>2005</v>
      </c>
      <c r="H712" s="15">
        <f>LOOKUP(G712,CPI!A$69:A$100,CPI!O$69:O$100)</f>
        <v>1.1165181771633383</v>
      </c>
      <c r="I712" s="5">
        <v>2055</v>
      </c>
      <c r="J712" s="44">
        <v>0</v>
      </c>
      <c r="K712" s="44"/>
      <c r="L712" s="65"/>
      <c r="M712" s="56">
        <f t="shared" si="212"/>
        <v>39.73983836898887</v>
      </c>
      <c r="N712" s="3">
        <v>121.24</v>
      </c>
      <c r="O712" s="18">
        <f t="shared" si="203"/>
        <v>121.24</v>
      </c>
      <c r="P712" s="16">
        <v>0</v>
      </c>
      <c r="Q712" s="16">
        <v>1</v>
      </c>
      <c r="R712" s="16">
        <v>0</v>
      </c>
      <c r="S712" s="3"/>
      <c r="W712" s="3"/>
      <c r="X712" s="3"/>
      <c r="Y712" s="3"/>
      <c r="Z712" s="3"/>
      <c r="AA712" s="37">
        <f t="shared" si="215"/>
        <v>121.24</v>
      </c>
      <c r="AB712" s="3"/>
      <c r="AC712" s="3"/>
      <c r="AD712" s="3"/>
      <c r="AE712" s="3"/>
      <c r="AF712" s="16">
        <v>0</v>
      </c>
      <c r="AG712" s="16">
        <v>1</v>
      </c>
      <c r="AH712" s="16">
        <v>0</v>
      </c>
      <c r="AI712" s="16">
        <v>1</v>
      </c>
      <c r="AJ712" s="5">
        <v>0</v>
      </c>
      <c r="AK712" s="5">
        <v>1</v>
      </c>
      <c r="AL712" s="5">
        <v>0</v>
      </c>
      <c r="AM712" s="20" t="s">
        <v>25</v>
      </c>
      <c r="AN712" s="20">
        <v>3</v>
      </c>
      <c r="AO712" s="16"/>
      <c r="AP712" s="16"/>
      <c r="AQ712" s="16"/>
      <c r="AR712" s="16">
        <v>0</v>
      </c>
      <c r="AS712" s="16">
        <v>0</v>
      </c>
      <c r="AT712" s="16"/>
      <c r="AU712" s="16"/>
      <c r="AV712" s="16"/>
      <c r="AW712" s="16"/>
      <c r="AX712" s="16">
        <v>0</v>
      </c>
      <c r="AY712" s="16">
        <v>0</v>
      </c>
      <c r="AZ712" s="16">
        <v>0</v>
      </c>
      <c r="BA712" s="16">
        <v>1</v>
      </c>
    </row>
    <row r="713" spans="1:53" x14ac:dyDescent="0.2">
      <c r="A713" s="14"/>
      <c r="B713" s="14" t="str">
        <f t="shared" si="189"/>
        <v>Botzen &amp; vd Bergh 2012</v>
      </c>
      <c r="C713" s="61">
        <f t="shared" si="190"/>
        <v>73</v>
      </c>
      <c r="D713" s="58">
        <v>2012</v>
      </c>
      <c r="E713" s="17"/>
      <c r="F713" s="58">
        <v>1</v>
      </c>
      <c r="G713" s="22">
        <v>2005</v>
      </c>
      <c r="H713" s="15">
        <f>LOOKUP(G713,CPI!A$69:A$100,CPI!O$69:O$100)</f>
        <v>1.1165181771633383</v>
      </c>
      <c r="I713" s="5">
        <v>2105</v>
      </c>
      <c r="J713" s="44">
        <v>0</v>
      </c>
      <c r="K713" s="44"/>
      <c r="L713" s="65"/>
      <c r="M713" s="56">
        <f t="shared" si="212"/>
        <v>24.846792701150939</v>
      </c>
      <c r="N713" s="3">
        <v>350.79</v>
      </c>
      <c r="O713" s="18">
        <f t="shared" si="203"/>
        <v>350.79</v>
      </c>
      <c r="P713" s="16">
        <v>0</v>
      </c>
      <c r="Q713" s="16">
        <v>1</v>
      </c>
      <c r="R713" s="16">
        <v>0</v>
      </c>
      <c r="S713" s="3"/>
      <c r="W713" s="3"/>
      <c r="X713" s="3"/>
      <c r="Y713" s="3"/>
      <c r="Z713" s="3"/>
      <c r="AA713" s="37">
        <f t="shared" si="215"/>
        <v>350.79</v>
      </c>
      <c r="AB713" s="3"/>
      <c r="AC713" s="3"/>
      <c r="AD713" s="3"/>
      <c r="AE713" s="3"/>
      <c r="AF713" s="16">
        <v>0</v>
      </c>
      <c r="AG713" s="16">
        <v>1</v>
      </c>
      <c r="AH713" s="16">
        <v>0</v>
      </c>
      <c r="AI713" s="16">
        <v>1</v>
      </c>
      <c r="AJ713" s="5">
        <v>0</v>
      </c>
      <c r="AK713" s="5">
        <v>1</v>
      </c>
      <c r="AL713" s="5">
        <v>0</v>
      </c>
      <c r="AM713" s="20" t="s">
        <v>25</v>
      </c>
      <c r="AN713" s="20">
        <v>3</v>
      </c>
      <c r="AO713" s="16"/>
      <c r="AP713" s="16"/>
      <c r="AQ713" s="16"/>
      <c r="AR713" s="16">
        <v>0</v>
      </c>
      <c r="AS713" s="16">
        <v>0</v>
      </c>
      <c r="AT713" s="16"/>
      <c r="AU713" s="16"/>
      <c r="AV713" s="16"/>
      <c r="AW713" s="16"/>
      <c r="AX713" s="16">
        <v>0</v>
      </c>
      <c r="AY713" s="16">
        <v>0</v>
      </c>
      <c r="AZ713" s="16">
        <v>0</v>
      </c>
      <c r="BA713" s="16">
        <v>1</v>
      </c>
    </row>
    <row r="714" spans="1:53" x14ac:dyDescent="0.2">
      <c r="A714" s="14"/>
      <c r="B714" s="14" t="str">
        <f t="shared" ref="B714:B777" si="216">+IF(A714="",B713,A714&amp;" "&amp;D714)</f>
        <v>Botzen &amp; vd Bergh 2012</v>
      </c>
      <c r="C714" s="61">
        <f t="shared" ref="C714:C777" si="217">+IF(A714="",C713,C713+1)</f>
        <v>73</v>
      </c>
      <c r="D714" s="58">
        <v>2012</v>
      </c>
      <c r="E714" s="17"/>
      <c r="F714" s="58">
        <v>1</v>
      </c>
      <c r="G714" s="22">
        <v>2005</v>
      </c>
      <c r="H714" s="15">
        <f>LOOKUP(G714,CPI!A$69:A$100,CPI!O$69:O$100)</f>
        <v>1.1165181771633383</v>
      </c>
      <c r="I714" s="5">
        <v>2155</v>
      </c>
      <c r="J714" s="44">
        <v>0</v>
      </c>
      <c r="K714" s="44"/>
      <c r="L714" s="65"/>
      <c r="M714" s="56">
        <f t="shared" si="212"/>
        <v>10.46328728872999</v>
      </c>
      <c r="N714" s="3">
        <v>683.6</v>
      </c>
      <c r="O714" s="18">
        <f t="shared" si="203"/>
        <v>683.6</v>
      </c>
      <c r="P714" s="16">
        <v>0</v>
      </c>
      <c r="Q714" s="16">
        <v>1</v>
      </c>
      <c r="R714" s="16">
        <v>0</v>
      </c>
      <c r="S714" s="3"/>
      <c r="W714" s="3"/>
      <c r="X714" s="3"/>
      <c r="Y714" s="3"/>
      <c r="Z714" s="3"/>
      <c r="AA714" s="37">
        <f t="shared" si="215"/>
        <v>683.6</v>
      </c>
      <c r="AB714" s="3"/>
      <c r="AC714" s="3"/>
      <c r="AD714" s="3"/>
      <c r="AE714" s="3"/>
      <c r="AF714" s="16">
        <v>0</v>
      </c>
      <c r="AG714" s="16">
        <v>1</v>
      </c>
      <c r="AH714" s="16">
        <v>0</v>
      </c>
      <c r="AI714" s="16">
        <v>1</v>
      </c>
      <c r="AJ714" s="5">
        <v>0</v>
      </c>
      <c r="AK714" s="5">
        <v>1</v>
      </c>
      <c r="AL714" s="5">
        <v>0</v>
      </c>
      <c r="AM714" s="20" t="s">
        <v>25</v>
      </c>
      <c r="AN714" s="20">
        <v>3</v>
      </c>
      <c r="AO714" s="16"/>
      <c r="AP714" s="16"/>
      <c r="AQ714" s="16"/>
      <c r="AR714" s="16">
        <v>0</v>
      </c>
      <c r="AS714" s="16">
        <v>0</v>
      </c>
      <c r="AT714" s="16"/>
      <c r="AU714" s="16"/>
      <c r="AV714" s="16"/>
      <c r="AW714" s="16"/>
      <c r="AX714" s="16">
        <v>0</v>
      </c>
      <c r="AY714" s="16">
        <v>0</v>
      </c>
      <c r="AZ714" s="16">
        <v>0</v>
      </c>
      <c r="BA714" s="16">
        <v>1</v>
      </c>
    </row>
    <row r="715" spans="1:53" x14ac:dyDescent="0.2">
      <c r="A715" s="14"/>
      <c r="B715" s="14" t="str">
        <f t="shared" si="216"/>
        <v>Botzen &amp; vd Bergh 2012</v>
      </c>
      <c r="C715" s="61">
        <f t="shared" si="217"/>
        <v>73</v>
      </c>
      <c r="D715" s="58">
        <v>2012</v>
      </c>
      <c r="E715" s="17"/>
      <c r="F715" s="58">
        <v>1</v>
      </c>
      <c r="G715" s="22">
        <v>2005</v>
      </c>
      <c r="H715" s="15">
        <f>LOOKUP(G715,CPI!A$69:A$100,CPI!O$69:O$100)</f>
        <v>1.1165181771633383</v>
      </c>
      <c r="I715" s="5">
        <v>2205</v>
      </c>
      <c r="J715" s="44">
        <v>0</v>
      </c>
      <c r="K715" s="44"/>
      <c r="L715" s="65"/>
      <c r="M715" s="56">
        <f t="shared" si="212"/>
        <v>2.6467506819975317</v>
      </c>
      <c r="N715" s="3">
        <v>800.21</v>
      </c>
      <c r="O715" s="18">
        <f t="shared" si="203"/>
        <v>800.21</v>
      </c>
      <c r="P715" s="16">
        <v>0</v>
      </c>
      <c r="Q715" s="16">
        <v>1</v>
      </c>
      <c r="R715" s="16">
        <v>0</v>
      </c>
      <c r="S715" s="3"/>
      <c r="W715" s="3"/>
      <c r="X715" s="3"/>
      <c r="Y715" s="3"/>
      <c r="Z715" s="3"/>
      <c r="AA715" s="37">
        <f t="shared" si="215"/>
        <v>800.21</v>
      </c>
      <c r="AB715" s="3"/>
      <c r="AC715" s="3"/>
      <c r="AD715" s="3"/>
      <c r="AE715" s="3"/>
      <c r="AF715" s="16">
        <v>0</v>
      </c>
      <c r="AG715" s="16">
        <v>1</v>
      </c>
      <c r="AH715" s="16">
        <v>0</v>
      </c>
      <c r="AI715" s="16">
        <v>1</v>
      </c>
      <c r="AJ715" s="5">
        <v>0</v>
      </c>
      <c r="AK715" s="5">
        <v>1</v>
      </c>
      <c r="AL715" s="5">
        <v>0</v>
      </c>
      <c r="AM715" s="20" t="s">
        <v>25</v>
      </c>
      <c r="AN715" s="20">
        <v>3</v>
      </c>
      <c r="AO715" s="16"/>
      <c r="AP715" s="16"/>
      <c r="AQ715" s="16"/>
      <c r="AR715" s="16">
        <v>0</v>
      </c>
      <c r="AS715" s="16">
        <v>0</v>
      </c>
      <c r="AT715" s="16"/>
      <c r="AU715" s="16"/>
      <c r="AV715" s="16"/>
      <c r="AW715" s="16"/>
      <c r="AX715" s="16">
        <v>0</v>
      </c>
      <c r="AY715" s="16">
        <v>0</v>
      </c>
      <c r="AZ715" s="16">
        <v>0</v>
      </c>
      <c r="BA715" s="16">
        <v>1</v>
      </c>
    </row>
    <row r="716" spans="1:53" x14ac:dyDescent="0.2">
      <c r="A716" s="14" t="s">
        <v>171</v>
      </c>
      <c r="B716" s="14" t="str">
        <f t="shared" si="216"/>
        <v>Cai et al. 2012</v>
      </c>
      <c r="C716" s="61">
        <f t="shared" si="217"/>
        <v>74</v>
      </c>
      <c r="D716" s="58">
        <v>2012</v>
      </c>
      <c r="E716" s="17" t="s">
        <v>120</v>
      </c>
      <c r="F716" s="58">
        <v>1</v>
      </c>
      <c r="G716" s="22">
        <v>2005</v>
      </c>
      <c r="H716" s="15">
        <f>LOOKUP(G716,CPI!A$69:A$100,CPI!O$69:O$100)</f>
        <v>1.1165181771633383</v>
      </c>
      <c r="I716" s="52">
        <v>2015</v>
      </c>
      <c r="J716" s="15">
        <v>0.99</v>
      </c>
      <c r="K716" s="44">
        <v>0.2</v>
      </c>
      <c r="L716" s="57">
        <f>(AA716/AA717)^(1/(I716-I717))-1</f>
        <v>1.4624101940841294E-2</v>
      </c>
      <c r="M716" s="56">
        <f t="shared" si="212"/>
        <v>35.728581669226827</v>
      </c>
      <c r="N716" s="14">
        <v>32</v>
      </c>
      <c r="O716" s="18">
        <f t="shared" si="203"/>
        <v>32</v>
      </c>
      <c r="P716" s="16">
        <v>0</v>
      </c>
      <c r="Q716" s="16">
        <v>1</v>
      </c>
      <c r="R716" s="16">
        <v>0</v>
      </c>
      <c r="S716" s="14"/>
      <c r="T716" s="56" t="str">
        <f t="shared" si="211"/>
        <v/>
      </c>
      <c r="U716" s="56" t="str">
        <f t="shared" si="213"/>
        <v/>
      </c>
      <c r="V716" s="56" t="str">
        <f t="shared" si="214"/>
        <v/>
      </c>
      <c r="W716" s="14"/>
      <c r="X716" s="14"/>
      <c r="Y716" s="14"/>
      <c r="Z716" s="14"/>
      <c r="AA716" s="18">
        <f t="shared" si="215"/>
        <v>32</v>
      </c>
      <c r="AB716" s="14"/>
      <c r="AC716" s="14"/>
      <c r="AD716" s="14"/>
      <c r="AE716" s="14"/>
      <c r="AF716" s="16">
        <v>0</v>
      </c>
      <c r="AG716" s="16">
        <v>1</v>
      </c>
      <c r="AH716" s="16">
        <v>0</v>
      </c>
      <c r="AI716" s="16">
        <v>1</v>
      </c>
      <c r="AJ716" s="5">
        <v>0</v>
      </c>
      <c r="AK716" s="5">
        <v>1</v>
      </c>
      <c r="AL716" s="5">
        <v>0</v>
      </c>
      <c r="AM716" s="20"/>
      <c r="AN716" s="20">
        <v>3</v>
      </c>
      <c r="AO716" s="16"/>
      <c r="AP716" s="16"/>
      <c r="AQ716" s="16"/>
      <c r="AR716" s="16">
        <v>0</v>
      </c>
      <c r="AS716" s="16">
        <v>0</v>
      </c>
      <c r="AT716" s="16"/>
      <c r="AU716" s="16"/>
      <c r="AV716" s="16"/>
      <c r="AW716" s="16"/>
      <c r="AX716" s="16">
        <v>0</v>
      </c>
      <c r="AY716" s="16">
        <v>0</v>
      </c>
      <c r="AZ716" s="16">
        <v>0</v>
      </c>
      <c r="BA716" s="16">
        <v>1</v>
      </c>
    </row>
    <row r="717" spans="1:53" s="36" customFormat="1" x14ac:dyDescent="0.2">
      <c r="A717" s="29"/>
      <c r="B717" s="14" t="str">
        <f t="shared" si="216"/>
        <v>Cai et al. 2012</v>
      </c>
      <c r="C717" s="61">
        <f t="shared" si="217"/>
        <v>74</v>
      </c>
      <c r="D717" s="58">
        <v>2012</v>
      </c>
      <c r="E717" s="17"/>
      <c r="F717" s="58">
        <v>1</v>
      </c>
      <c r="G717" s="22">
        <v>2005</v>
      </c>
      <c r="H717" s="15">
        <f>LOOKUP(G717,CPI!A$69:A$100,CPI!O$69:O$100)</f>
        <v>1.1165181771633383</v>
      </c>
      <c r="I717" s="5">
        <v>2025</v>
      </c>
      <c r="J717" s="43">
        <v>0</v>
      </c>
      <c r="K717" s="43"/>
      <c r="L717" s="57"/>
      <c r="M717" s="56"/>
      <c r="N717" s="3">
        <v>37</v>
      </c>
      <c r="O717" s="50">
        <f t="shared" si="203"/>
        <v>37</v>
      </c>
      <c r="P717" s="16">
        <v>0</v>
      </c>
      <c r="Q717" s="16">
        <v>1</v>
      </c>
      <c r="R717" s="16">
        <v>0</v>
      </c>
      <c r="S717" s="42"/>
      <c r="T717" s="56" t="str">
        <f t="shared" si="211"/>
        <v/>
      </c>
      <c r="U717" s="56" t="str">
        <f t="shared" si="213"/>
        <v/>
      </c>
      <c r="V717" s="56" t="str">
        <f t="shared" si="214"/>
        <v/>
      </c>
      <c r="W717" s="42"/>
      <c r="X717" s="42"/>
      <c r="Y717" s="42"/>
      <c r="Z717" s="42"/>
      <c r="AA717" s="37">
        <f t="shared" si="215"/>
        <v>37</v>
      </c>
      <c r="AB717" s="42"/>
      <c r="AC717" s="42"/>
      <c r="AD717" s="42"/>
      <c r="AE717" s="42"/>
      <c r="AF717" s="16">
        <v>0</v>
      </c>
      <c r="AG717" s="16">
        <v>1</v>
      </c>
      <c r="AH717" s="16">
        <v>0</v>
      </c>
      <c r="AI717" s="16">
        <v>1</v>
      </c>
      <c r="AJ717" s="5">
        <v>0</v>
      </c>
      <c r="AK717" s="5">
        <v>1</v>
      </c>
      <c r="AL717" s="5">
        <v>0</v>
      </c>
      <c r="AM717" s="20"/>
      <c r="AN717" s="20">
        <v>3</v>
      </c>
      <c r="AO717" s="16"/>
      <c r="AP717" s="16"/>
      <c r="AQ717" s="16"/>
      <c r="AR717" s="16">
        <v>0</v>
      </c>
      <c r="AS717" s="16">
        <v>0</v>
      </c>
      <c r="AT717" s="16"/>
      <c r="AU717" s="16"/>
      <c r="AV717" s="16"/>
      <c r="AW717" s="16"/>
      <c r="AX717" s="16">
        <v>0</v>
      </c>
      <c r="AY717" s="16">
        <v>0</v>
      </c>
      <c r="AZ717" s="16">
        <v>0</v>
      </c>
      <c r="BA717" s="16">
        <v>1</v>
      </c>
    </row>
    <row r="718" spans="1:53" s="36" customFormat="1" x14ac:dyDescent="0.2">
      <c r="A718" s="29"/>
      <c r="B718" s="14" t="str">
        <f t="shared" si="216"/>
        <v>Cai et al. 2012</v>
      </c>
      <c r="C718" s="61">
        <f t="shared" si="217"/>
        <v>74</v>
      </c>
      <c r="D718" s="58">
        <v>2012</v>
      </c>
      <c r="E718" s="17"/>
      <c r="F718" s="58">
        <v>1</v>
      </c>
      <c r="G718" s="22">
        <v>2005</v>
      </c>
      <c r="H718" s="15">
        <f>LOOKUP(G718,CPI!A$69:A$100,CPI!O$69:O$100)</f>
        <v>1.1165181771633383</v>
      </c>
      <c r="I718" s="5">
        <v>2035</v>
      </c>
      <c r="J718" s="43">
        <v>0</v>
      </c>
      <c r="K718" s="43"/>
      <c r="L718" s="57"/>
      <c r="M718" s="56"/>
      <c r="N718" s="3">
        <v>45</v>
      </c>
      <c r="O718" s="50">
        <f t="shared" si="203"/>
        <v>45</v>
      </c>
      <c r="P718" s="16">
        <v>0</v>
      </c>
      <c r="Q718" s="16">
        <v>1</v>
      </c>
      <c r="R718" s="16">
        <v>0</v>
      </c>
      <c r="S718" s="42"/>
      <c r="T718" s="56" t="str">
        <f t="shared" si="211"/>
        <v/>
      </c>
      <c r="U718" s="56" t="str">
        <f t="shared" si="213"/>
        <v/>
      </c>
      <c r="V718" s="56" t="str">
        <f t="shared" si="214"/>
        <v/>
      </c>
      <c r="W718" s="42"/>
      <c r="X718" s="42"/>
      <c r="Y718" s="42"/>
      <c r="Z718" s="42"/>
      <c r="AA718" s="37">
        <f t="shared" si="215"/>
        <v>45</v>
      </c>
      <c r="AB718" s="42"/>
      <c r="AC718" s="42"/>
      <c r="AD718" s="42"/>
      <c r="AE718" s="42"/>
      <c r="AF718" s="16">
        <v>0</v>
      </c>
      <c r="AG718" s="16">
        <v>1</v>
      </c>
      <c r="AH718" s="16">
        <v>0</v>
      </c>
      <c r="AI718" s="16">
        <v>1</v>
      </c>
      <c r="AJ718" s="5">
        <v>0</v>
      </c>
      <c r="AK718" s="5">
        <v>1</v>
      </c>
      <c r="AL718" s="5">
        <v>0</v>
      </c>
      <c r="AM718" s="20"/>
      <c r="AN718" s="20">
        <v>3</v>
      </c>
      <c r="AO718" s="16"/>
      <c r="AP718" s="16"/>
      <c r="AQ718" s="16"/>
      <c r="AR718" s="16">
        <v>0</v>
      </c>
      <c r="AS718" s="16">
        <v>0</v>
      </c>
      <c r="AT718" s="16"/>
      <c r="AU718" s="16"/>
      <c r="AV718" s="16"/>
      <c r="AW718" s="16"/>
      <c r="AX718" s="16">
        <v>0</v>
      </c>
      <c r="AY718" s="16">
        <v>0</v>
      </c>
      <c r="AZ718" s="16">
        <v>0</v>
      </c>
      <c r="BA718" s="16">
        <v>1</v>
      </c>
    </row>
    <row r="719" spans="1:53" s="36" customFormat="1" x14ac:dyDescent="0.2">
      <c r="A719" s="29"/>
      <c r="B719" s="14" t="str">
        <f t="shared" si="216"/>
        <v>Cai et al. 2012</v>
      </c>
      <c r="C719" s="61">
        <f t="shared" si="217"/>
        <v>74</v>
      </c>
      <c r="D719" s="58">
        <v>2012</v>
      </c>
      <c r="E719" s="17"/>
      <c r="F719" s="58">
        <v>1</v>
      </c>
      <c r="G719" s="16">
        <v>2005</v>
      </c>
      <c r="H719" s="15">
        <f>LOOKUP(G719,CPI!A$69:A$100,CPI!O$69:O$100)</f>
        <v>1.1165181771633383</v>
      </c>
      <c r="I719" s="5">
        <v>2045</v>
      </c>
      <c r="J719" s="43">
        <v>0</v>
      </c>
      <c r="K719" s="43"/>
      <c r="L719" s="57"/>
      <c r="M719" s="56"/>
      <c r="N719" s="3">
        <v>54</v>
      </c>
      <c r="O719" s="50">
        <f t="shared" si="203"/>
        <v>54</v>
      </c>
      <c r="P719" s="16">
        <v>0</v>
      </c>
      <c r="Q719" s="16">
        <v>1</v>
      </c>
      <c r="R719" s="16">
        <v>0</v>
      </c>
      <c r="S719" s="42"/>
      <c r="T719" s="56" t="str">
        <f t="shared" si="211"/>
        <v/>
      </c>
      <c r="U719" s="56" t="str">
        <f t="shared" si="213"/>
        <v/>
      </c>
      <c r="V719" s="56" t="str">
        <f t="shared" si="214"/>
        <v/>
      </c>
      <c r="W719" s="42"/>
      <c r="X719" s="42"/>
      <c r="Y719" s="42"/>
      <c r="Z719" s="42"/>
      <c r="AA719" s="37">
        <f t="shared" si="215"/>
        <v>54</v>
      </c>
      <c r="AB719" s="42"/>
      <c r="AC719" s="42"/>
      <c r="AD719" s="42"/>
      <c r="AE719" s="42"/>
      <c r="AF719" s="16">
        <v>0</v>
      </c>
      <c r="AG719" s="16">
        <v>1</v>
      </c>
      <c r="AH719" s="16">
        <v>0</v>
      </c>
      <c r="AI719" s="16">
        <v>1</v>
      </c>
      <c r="AJ719" s="5">
        <v>0</v>
      </c>
      <c r="AK719" s="5">
        <v>1</v>
      </c>
      <c r="AL719" s="5">
        <v>0</v>
      </c>
      <c r="AM719" s="20"/>
      <c r="AN719" s="20">
        <v>3</v>
      </c>
      <c r="AO719" s="16"/>
      <c r="AP719" s="16"/>
      <c r="AQ719" s="16"/>
      <c r="AR719" s="16">
        <v>0</v>
      </c>
      <c r="AS719" s="16">
        <v>0</v>
      </c>
      <c r="AT719" s="16"/>
      <c r="AU719" s="16"/>
      <c r="AV719" s="16"/>
      <c r="AW719" s="16"/>
      <c r="AX719" s="16">
        <v>0</v>
      </c>
      <c r="AY719" s="16">
        <v>0</v>
      </c>
      <c r="AZ719" s="16">
        <v>0</v>
      </c>
      <c r="BA719" s="16">
        <v>1</v>
      </c>
    </row>
    <row r="720" spans="1:53" s="36" customFormat="1" x14ac:dyDescent="0.2">
      <c r="A720" s="29"/>
      <c r="B720" s="14" t="str">
        <f t="shared" si="216"/>
        <v>Cai et al. 2012</v>
      </c>
      <c r="C720" s="61">
        <f t="shared" si="217"/>
        <v>74</v>
      </c>
      <c r="D720" s="58">
        <v>2012</v>
      </c>
      <c r="E720" s="17"/>
      <c r="F720" s="58">
        <v>1</v>
      </c>
      <c r="G720" s="16">
        <v>2005</v>
      </c>
      <c r="H720" s="15">
        <f>LOOKUP(G720,CPI!A$69:A$100,CPI!O$69:O$100)</f>
        <v>1.1165181771633383</v>
      </c>
      <c r="I720" s="5">
        <v>2055</v>
      </c>
      <c r="J720" s="43">
        <v>0</v>
      </c>
      <c r="K720" s="43"/>
      <c r="L720" s="57"/>
      <c r="M720" s="56"/>
      <c r="N720" s="3">
        <v>64</v>
      </c>
      <c r="O720" s="50">
        <f t="shared" si="203"/>
        <v>64</v>
      </c>
      <c r="P720" s="16">
        <v>0</v>
      </c>
      <c r="Q720" s="16">
        <v>1</v>
      </c>
      <c r="R720" s="16">
        <v>0</v>
      </c>
      <c r="S720" s="42"/>
      <c r="T720" s="56" t="str">
        <f t="shared" si="211"/>
        <v/>
      </c>
      <c r="U720" s="56" t="str">
        <f t="shared" si="213"/>
        <v/>
      </c>
      <c r="V720" s="56" t="str">
        <f t="shared" si="214"/>
        <v/>
      </c>
      <c r="W720" s="42"/>
      <c r="X720" s="42"/>
      <c r="Y720" s="42"/>
      <c r="Z720" s="42"/>
      <c r="AA720" s="37">
        <f t="shared" si="215"/>
        <v>64</v>
      </c>
      <c r="AB720" s="42"/>
      <c r="AC720" s="42"/>
      <c r="AD720" s="42"/>
      <c r="AE720" s="42"/>
      <c r="AF720" s="16">
        <v>0</v>
      </c>
      <c r="AG720" s="16">
        <v>1</v>
      </c>
      <c r="AH720" s="16">
        <v>0</v>
      </c>
      <c r="AI720" s="16">
        <v>1</v>
      </c>
      <c r="AJ720" s="5">
        <v>0</v>
      </c>
      <c r="AK720" s="5">
        <v>1</v>
      </c>
      <c r="AL720" s="5">
        <v>0</v>
      </c>
      <c r="AM720" s="20"/>
      <c r="AN720" s="20">
        <v>3</v>
      </c>
      <c r="AO720" s="16"/>
      <c r="AP720" s="16"/>
      <c r="AQ720" s="16"/>
      <c r="AR720" s="16">
        <v>0</v>
      </c>
      <c r="AS720" s="16">
        <v>0</v>
      </c>
      <c r="AT720" s="16"/>
      <c r="AU720" s="16"/>
      <c r="AV720" s="16"/>
      <c r="AW720" s="16"/>
      <c r="AX720" s="16">
        <v>0</v>
      </c>
      <c r="AY720" s="16">
        <v>0</v>
      </c>
      <c r="AZ720" s="16">
        <v>0</v>
      </c>
      <c r="BA720" s="16">
        <v>1</v>
      </c>
    </row>
    <row r="721" spans="1:53" s="36" customFormat="1" x14ac:dyDescent="0.2">
      <c r="A721" s="29"/>
      <c r="B721" s="14" t="str">
        <f t="shared" si="216"/>
        <v>Cai et al. 2012</v>
      </c>
      <c r="C721" s="61">
        <f t="shared" si="217"/>
        <v>74</v>
      </c>
      <c r="D721" s="58">
        <v>2012</v>
      </c>
      <c r="E721" s="17"/>
      <c r="F721" s="58">
        <v>1</v>
      </c>
      <c r="G721" s="16">
        <v>2005</v>
      </c>
      <c r="H721" s="15">
        <f>LOOKUP(G721,CPI!A$69:A$100,CPI!O$69:O$100)</f>
        <v>1.1165181771633383</v>
      </c>
      <c r="I721" s="5">
        <v>2065</v>
      </c>
      <c r="J721" s="43">
        <v>0</v>
      </c>
      <c r="K721" s="43"/>
      <c r="L721" s="57"/>
      <c r="M721" s="56"/>
      <c r="N721" s="3">
        <v>76</v>
      </c>
      <c r="O721" s="50">
        <f t="shared" si="203"/>
        <v>76</v>
      </c>
      <c r="P721" s="16">
        <v>0</v>
      </c>
      <c r="Q721" s="16">
        <v>1</v>
      </c>
      <c r="R721" s="16">
        <v>0</v>
      </c>
      <c r="S721" s="42"/>
      <c r="T721" s="56" t="str">
        <f t="shared" si="211"/>
        <v/>
      </c>
      <c r="U721" s="56" t="str">
        <f t="shared" si="213"/>
        <v/>
      </c>
      <c r="V721" s="56" t="str">
        <f t="shared" si="214"/>
        <v/>
      </c>
      <c r="W721" s="42"/>
      <c r="X721" s="42"/>
      <c r="Y721" s="42"/>
      <c r="Z721" s="42"/>
      <c r="AA721" s="37">
        <f t="shared" si="215"/>
        <v>76</v>
      </c>
      <c r="AB721" s="42"/>
      <c r="AC721" s="42"/>
      <c r="AD721" s="42"/>
      <c r="AE721" s="42"/>
      <c r="AF721" s="16">
        <v>0</v>
      </c>
      <c r="AG721" s="16">
        <v>1</v>
      </c>
      <c r="AH721" s="16">
        <v>0</v>
      </c>
      <c r="AI721" s="16">
        <v>1</v>
      </c>
      <c r="AJ721" s="5">
        <v>0</v>
      </c>
      <c r="AK721" s="5">
        <v>1</v>
      </c>
      <c r="AL721" s="5">
        <v>0</v>
      </c>
      <c r="AM721" s="20"/>
      <c r="AN721" s="20">
        <v>3</v>
      </c>
      <c r="AO721" s="16"/>
      <c r="AP721" s="16"/>
      <c r="AQ721" s="16"/>
      <c r="AR721" s="16">
        <v>0</v>
      </c>
      <c r="AS721" s="16">
        <v>0</v>
      </c>
      <c r="AT721" s="16"/>
      <c r="AU721" s="16"/>
      <c r="AV721" s="16"/>
      <c r="AW721" s="16"/>
      <c r="AX721" s="16">
        <v>0</v>
      </c>
      <c r="AY721" s="16">
        <v>0</v>
      </c>
      <c r="AZ721" s="16">
        <v>0</v>
      </c>
      <c r="BA721" s="16">
        <v>1</v>
      </c>
    </row>
    <row r="722" spans="1:53" s="36" customFormat="1" x14ac:dyDescent="0.2">
      <c r="A722" s="29"/>
      <c r="B722" s="14" t="str">
        <f t="shared" si="216"/>
        <v>Cai et al. 2012</v>
      </c>
      <c r="C722" s="61">
        <f t="shared" si="217"/>
        <v>74</v>
      </c>
      <c r="D722" s="58">
        <v>2012</v>
      </c>
      <c r="E722" s="17"/>
      <c r="F722" s="58">
        <v>1</v>
      </c>
      <c r="G722" s="16">
        <v>2005</v>
      </c>
      <c r="H722" s="15">
        <f>LOOKUP(G722,CPI!A$69:A$100,CPI!O$69:O$100)</f>
        <v>1.1165181771633383</v>
      </c>
      <c r="I722" s="5">
        <v>2075</v>
      </c>
      <c r="J722" s="43">
        <v>0</v>
      </c>
      <c r="K722" s="43"/>
      <c r="L722" s="57"/>
      <c r="M722" s="56"/>
      <c r="N722" s="3">
        <v>90</v>
      </c>
      <c r="O722" s="50">
        <f t="shared" si="203"/>
        <v>90</v>
      </c>
      <c r="P722" s="16">
        <v>0</v>
      </c>
      <c r="Q722" s="16">
        <v>1</v>
      </c>
      <c r="R722" s="16">
        <v>0</v>
      </c>
      <c r="S722" s="42"/>
      <c r="T722" s="56" t="str">
        <f t="shared" si="211"/>
        <v/>
      </c>
      <c r="U722" s="56" t="str">
        <f t="shared" si="213"/>
        <v/>
      </c>
      <c r="V722" s="56" t="str">
        <f t="shared" si="214"/>
        <v/>
      </c>
      <c r="W722" s="42"/>
      <c r="X722" s="42"/>
      <c r="Y722" s="42"/>
      <c r="Z722" s="42"/>
      <c r="AA722" s="37">
        <f t="shared" si="215"/>
        <v>90</v>
      </c>
      <c r="AB722" s="42"/>
      <c r="AC722" s="42"/>
      <c r="AD722" s="42"/>
      <c r="AE722" s="42"/>
      <c r="AF722" s="16">
        <v>0</v>
      </c>
      <c r="AG722" s="16">
        <v>1</v>
      </c>
      <c r="AH722" s="16">
        <v>0</v>
      </c>
      <c r="AI722" s="16">
        <v>1</v>
      </c>
      <c r="AJ722" s="5">
        <v>0</v>
      </c>
      <c r="AK722" s="5">
        <v>1</v>
      </c>
      <c r="AL722" s="5">
        <v>0</v>
      </c>
      <c r="AM722" s="20"/>
      <c r="AN722" s="20">
        <v>3</v>
      </c>
      <c r="AO722" s="16"/>
      <c r="AP722" s="16"/>
      <c r="AQ722" s="16"/>
      <c r="AR722" s="16">
        <v>0</v>
      </c>
      <c r="AS722" s="16">
        <v>0</v>
      </c>
      <c r="AT722" s="16"/>
      <c r="AU722" s="16"/>
      <c r="AV722" s="16"/>
      <c r="AW722" s="16"/>
      <c r="AX722" s="16">
        <v>0</v>
      </c>
      <c r="AY722" s="16">
        <v>0</v>
      </c>
      <c r="AZ722" s="16">
        <v>0</v>
      </c>
      <c r="BA722" s="16">
        <v>1</v>
      </c>
    </row>
    <row r="723" spans="1:53" s="36" customFormat="1" x14ac:dyDescent="0.2">
      <c r="A723" s="29"/>
      <c r="B723" s="14" t="str">
        <f t="shared" si="216"/>
        <v>Cai et al. 2012</v>
      </c>
      <c r="C723" s="61">
        <f t="shared" si="217"/>
        <v>74</v>
      </c>
      <c r="D723" s="58">
        <v>2012</v>
      </c>
      <c r="E723" s="17"/>
      <c r="F723" s="58">
        <v>1</v>
      </c>
      <c r="G723" s="16">
        <v>2005</v>
      </c>
      <c r="H723" s="15">
        <f>LOOKUP(G723,CPI!A$69:A$100,CPI!O$69:O$100)</f>
        <v>1.1165181771633383</v>
      </c>
      <c r="I723" s="5">
        <v>2085</v>
      </c>
      <c r="J723" s="43">
        <v>0</v>
      </c>
      <c r="K723" s="43"/>
      <c r="L723" s="57"/>
      <c r="M723" s="56"/>
      <c r="N723" s="3">
        <v>105</v>
      </c>
      <c r="O723" s="50">
        <f t="shared" si="203"/>
        <v>105</v>
      </c>
      <c r="P723" s="16">
        <v>0</v>
      </c>
      <c r="Q723" s="16">
        <v>1</v>
      </c>
      <c r="R723" s="16">
        <v>0</v>
      </c>
      <c r="S723" s="42"/>
      <c r="T723" s="56" t="str">
        <f t="shared" si="211"/>
        <v/>
      </c>
      <c r="U723" s="56" t="str">
        <f t="shared" si="213"/>
        <v/>
      </c>
      <c r="V723" s="56" t="str">
        <f t="shared" si="214"/>
        <v/>
      </c>
      <c r="W723" s="42"/>
      <c r="X723" s="42"/>
      <c r="Y723" s="42"/>
      <c r="Z723" s="42"/>
      <c r="AA723" s="37">
        <f t="shared" si="215"/>
        <v>105</v>
      </c>
      <c r="AB723" s="42"/>
      <c r="AC723" s="42"/>
      <c r="AD723" s="42"/>
      <c r="AE723" s="42"/>
      <c r="AF723" s="16">
        <v>0</v>
      </c>
      <c r="AG723" s="16">
        <v>1</v>
      </c>
      <c r="AH723" s="16">
        <v>0</v>
      </c>
      <c r="AI723" s="16">
        <v>1</v>
      </c>
      <c r="AJ723" s="5">
        <v>0</v>
      </c>
      <c r="AK723" s="5">
        <v>1</v>
      </c>
      <c r="AL723" s="5">
        <v>0</v>
      </c>
      <c r="AM723" s="20"/>
      <c r="AN723" s="20">
        <v>3</v>
      </c>
      <c r="AO723" s="16"/>
      <c r="AP723" s="16"/>
      <c r="AQ723" s="16"/>
      <c r="AR723" s="16">
        <v>0</v>
      </c>
      <c r="AS723" s="16">
        <v>0</v>
      </c>
      <c r="AT723" s="16"/>
      <c r="AU723" s="16"/>
      <c r="AV723" s="16"/>
      <c r="AW723" s="16"/>
      <c r="AX723" s="16">
        <v>0</v>
      </c>
      <c r="AY723" s="16">
        <v>0</v>
      </c>
      <c r="AZ723" s="16">
        <v>0</v>
      </c>
      <c r="BA723" s="16">
        <v>1</v>
      </c>
    </row>
    <row r="724" spans="1:53" s="36" customFormat="1" x14ac:dyDescent="0.2">
      <c r="A724" s="29"/>
      <c r="B724" s="14" t="str">
        <f t="shared" si="216"/>
        <v>Cai et al. 2012</v>
      </c>
      <c r="C724" s="61">
        <f t="shared" si="217"/>
        <v>74</v>
      </c>
      <c r="D724" s="58">
        <v>2012</v>
      </c>
      <c r="E724" s="17"/>
      <c r="F724" s="58">
        <v>1</v>
      </c>
      <c r="G724" s="16">
        <v>2005</v>
      </c>
      <c r="H724" s="15">
        <f>LOOKUP(G724,CPI!A$69:A$100,CPI!O$69:O$100)</f>
        <v>1.1165181771633383</v>
      </c>
      <c r="I724" s="5">
        <v>2095</v>
      </c>
      <c r="J724" s="43">
        <v>0</v>
      </c>
      <c r="K724" s="43"/>
      <c r="L724" s="57"/>
      <c r="M724" s="56"/>
      <c r="N724" s="3">
        <v>122</v>
      </c>
      <c r="O724" s="50">
        <f t="shared" si="203"/>
        <v>122</v>
      </c>
      <c r="P724" s="16">
        <v>0</v>
      </c>
      <c r="Q724" s="16">
        <v>1</v>
      </c>
      <c r="R724" s="16">
        <v>0</v>
      </c>
      <c r="S724" s="42"/>
      <c r="T724" s="56" t="str">
        <f t="shared" si="211"/>
        <v/>
      </c>
      <c r="U724" s="56" t="str">
        <f t="shared" si="213"/>
        <v/>
      </c>
      <c r="V724" s="56" t="str">
        <f t="shared" si="214"/>
        <v/>
      </c>
      <c r="W724" s="42"/>
      <c r="X724" s="42"/>
      <c r="Y724" s="42"/>
      <c r="Z724" s="42"/>
      <c r="AA724" s="37">
        <f t="shared" si="215"/>
        <v>122</v>
      </c>
      <c r="AB724" s="42"/>
      <c r="AC724" s="42"/>
      <c r="AD724" s="42"/>
      <c r="AE724" s="42"/>
      <c r="AF724" s="16">
        <v>0</v>
      </c>
      <c r="AG724" s="16">
        <v>1</v>
      </c>
      <c r="AH724" s="16">
        <v>0</v>
      </c>
      <c r="AI724" s="16">
        <v>1</v>
      </c>
      <c r="AJ724" s="5">
        <v>0</v>
      </c>
      <c r="AK724" s="5">
        <v>1</v>
      </c>
      <c r="AL724" s="5">
        <v>0</v>
      </c>
      <c r="AM724" s="20"/>
      <c r="AN724" s="20">
        <v>3</v>
      </c>
      <c r="AO724" s="16"/>
      <c r="AP724" s="16"/>
      <c r="AQ724" s="16"/>
      <c r="AR724" s="16">
        <v>0</v>
      </c>
      <c r="AS724" s="16">
        <v>0</v>
      </c>
      <c r="AT724" s="16"/>
      <c r="AU724" s="16"/>
      <c r="AV724" s="16"/>
      <c r="AW724" s="16"/>
      <c r="AX724" s="16">
        <v>0</v>
      </c>
      <c r="AY724" s="16">
        <v>0</v>
      </c>
      <c r="AZ724" s="16">
        <v>0</v>
      </c>
      <c r="BA724" s="16">
        <v>1</v>
      </c>
    </row>
    <row r="725" spans="1:53" s="36" customFormat="1" x14ac:dyDescent="0.2">
      <c r="A725" s="29"/>
      <c r="B725" s="14" t="str">
        <f t="shared" si="216"/>
        <v>Cai et al. 2012</v>
      </c>
      <c r="C725" s="61">
        <f t="shared" si="217"/>
        <v>74</v>
      </c>
      <c r="D725" s="58">
        <v>2012</v>
      </c>
      <c r="E725" s="17"/>
      <c r="F725" s="58">
        <v>1</v>
      </c>
      <c r="G725" s="16">
        <v>2005</v>
      </c>
      <c r="H725" s="15">
        <f>LOOKUP(G725,CPI!A$69:A$100,CPI!O$69:O$100)</f>
        <v>1.1165181771633383</v>
      </c>
      <c r="I725" s="5">
        <v>2105</v>
      </c>
      <c r="J725" s="43">
        <v>0</v>
      </c>
      <c r="K725" s="43"/>
      <c r="L725" s="57"/>
      <c r="M725" s="56"/>
      <c r="N725" s="3">
        <v>141</v>
      </c>
      <c r="O725" s="50">
        <f t="shared" si="203"/>
        <v>141</v>
      </c>
      <c r="P725" s="16">
        <v>0</v>
      </c>
      <c r="Q725" s="16">
        <v>1</v>
      </c>
      <c r="R725" s="16">
        <v>0</v>
      </c>
      <c r="S725" s="42"/>
      <c r="T725" s="56" t="str">
        <f t="shared" si="211"/>
        <v/>
      </c>
      <c r="U725" s="56" t="str">
        <f t="shared" si="213"/>
        <v/>
      </c>
      <c r="V725" s="56" t="str">
        <f t="shared" si="214"/>
        <v/>
      </c>
      <c r="W725" s="42"/>
      <c r="X725" s="42"/>
      <c r="Y725" s="42"/>
      <c r="Z725" s="42"/>
      <c r="AA725" s="37">
        <f t="shared" si="215"/>
        <v>141</v>
      </c>
      <c r="AB725" s="42"/>
      <c r="AC725" s="42"/>
      <c r="AD725" s="42"/>
      <c r="AE725" s="42"/>
      <c r="AF725" s="16">
        <v>0</v>
      </c>
      <c r="AG725" s="16">
        <v>1</v>
      </c>
      <c r="AH725" s="16">
        <v>0</v>
      </c>
      <c r="AI725" s="16">
        <v>1</v>
      </c>
      <c r="AJ725" s="5">
        <v>0</v>
      </c>
      <c r="AK725" s="5">
        <v>1</v>
      </c>
      <c r="AL725" s="5">
        <v>0</v>
      </c>
      <c r="AM725" s="20"/>
      <c r="AN725" s="20">
        <v>3</v>
      </c>
      <c r="AO725" s="16"/>
      <c r="AP725" s="16"/>
      <c r="AQ725" s="16"/>
      <c r="AR725" s="16">
        <v>0</v>
      </c>
      <c r="AS725" s="16">
        <v>0</v>
      </c>
      <c r="AT725" s="16"/>
      <c r="AU725" s="16"/>
      <c r="AV725" s="16"/>
      <c r="AW725" s="16"/>
      <c r="AX725" s="16">
        <v>0</v>
      </c>
      <c r="AY725" s="16">
        <v>0</v>
      </c>
      <c r="AZ725" s="16">
        <v>0</v>
      </c>
      <c r="BA725" s="16">
        <v>1</v>
      </c>
    </row>
    <row r="726" spans="1:53" s="36" customFormat="1" x14ac:dyDescent="0.2">
      <c r="A726" s="29"/>
      <c r="B726" s="14" t="str">
        <f t="shared" si="216"/>
        <v>Cai et al. 2012</v>
      </c>
      <c r="C726" s="61">
        <f t="shared" si="217"/>
        <v>74</v>
      </c>
      <c r="D726" s="58">
        <v>2012</v>
      </c>
      <c r="E726" s="17"/>
      <c r="F726" s="58">
        <v>1</v>
      </c>
      <c r="G726" s="16">
        <v>2005</v>
      </c>
      <c r="H726" s="15">
        <f>LOOKUP(G726,CPI!A$69:A$100,CPI!O$69:O$100)</f>
        <v>1.1165181771633383</v>
      </c>
      <c r="I726" s="5">
        <v>2115</v>
      </c>
      <c r="J726" s="43">
        <v>0</v>
      </c>
      <c r="K726" s="43"/>
      <c r="L726" s="57"/>
      <c r="M726" s="56"/>
      <c r="N726" s="3">
        <v>162</v>
      </c>
      <c r="O726" s="50">
        <f t="shared" si="203"/>
        <v>162</v>
      </c>
      <c r="P726" s="16">
        <v>0</v>
      </c>
      <c r="Q726" s="16">
        <v>1</v>
      </c>
      <c r="R726" s="16">
        <v>0</v>
      </c>
      <c r="S726" s="42"/>
      <c r="T726" s="56" t="str">
        <f t="shared" si="211"/>
        <v/>
      </c>
      <c r="U726" s="56" t="str">
        <f t="shared" si="213"/>
        <v/>
      </c>
      <c r="V726" s="56" t="str">
        <f t="shared" si="214"/>
        <v/>
      </c>
      <c r="W726" s="42"/>
      <c r="X726" s="42"/>
      <c r="Y726" s="42"/>
      <c r="Z726" s="42"/>
      <c r="AA726" s="37">
        <f t="shared" si="215"/>
        <v>162</v>
      </c>
      <c r="AB726" s="42"/>
      <c r="AC726" s="42"/>
      <c r="AD726" s="42"/>
      <c r="AE726" s="42"/>
      <c r="AF726" s="16">
        <v>0</v>
      </c>
      <c r="AG726" s="16">
        <v>1</v>
      </c>
      <c r="AH726" s="16">
        <v>0</v>
      </c>
      <c r="AI726" s="16">
        <v>1</v>
      </c>
      <c r="AJ726" s="5">
        <v>0</v>
      </c>
      <c r="AK726" s="5">
        <v>1</v>
      </c>
      <c r="AL726" s="5">
        <v>0</v>
      </c>
      <c r="AM726" s="20"/>
      <c r="AN726" s="20">
        <v>3</v>
      </c>
      <c r="AO726" s="16"/>
      <c r="AP726" s="16"/>
      <c r="AQ726" s="16"/>
      <c r="AR726" s="16">
        <v>0</v>
      </c>
      <c r="AS726" s="16">
        <v>0</v>
      </c>
      <c r="AT726" s="16"/>
      <c r="AU726" s="16"/>
      <c r="AV726" s="16"/>
      <c r="AW726" s="16"/>
      <c r="AX726" s="16">
        <v>0</v>
      </c>
      <c r="AY726" s="16">
        <v>0</v>
      </c>
      <c r="AZ726" s="16">
        <v>0</v>
      </c>
      <c r="BA726" s="16">
        <v>1</v>
      </c>
    </row>
    <row r="727" spans="1:53" s="36" customFormat="1" x14ac:dyDescent="0.2">
      <c r="A727" s="29"/>
      <c r="B727" s="14" t="str">
        <f t="shared" si="216"/>
        <v>Cai et al. 2012</v>
      </c>
      <c r="C727" s="61">
        <f t="shared" si="217"/>
        <v>74</v>
      </c>
      <c r="D727" s="58">
        <v>2012</v>
      </c>
      <c r="E727" s="17"/>
      <c r="F727" s="58">
        <v>1</v>
      </c>
      <c r="G727" s="16">
        <v>2005</v>
      </c>
      <c r="H727" s="15">
        <f>LOOKUP(G727,CPI!A$69:A$100,CPI!O$69:O$100)</f>
        <v>1.1165181771633383</v>
      </c>
      <c r="I727" s="5">
        <v>2125</v>
      </c>
      <c r="J727" s="43">
        <v>0</v>
      </c>
      <c r="K727" s="43"/>
      <c r="L727" s="57"/>
      <c r="M727" s="56"/>
      <c r="N727" s="3">
        <v>185</v>
      </c>
      <c r="O727" s="50">
        <f t="shared" si="203"/>
        <v>185</v>
      </c>
      <c r="P727" s="16">
        <v>0</v>
      </c>
      <c r="Q727" s="16">
        <v>1</v>
      </c>
      <c r="R727" s="16">
        <v>0</v>
      </c>
      <c r="S727" s="42"/>
      <c r="T727" s="56" t="str">
        <f t="shared" si="211"/>
        <v/>
      </c>
      <c r="U727" s="56" t="str">
        <f t="shared" si="213"/>
        <v/>
      </c>
      <c r="V727" s="56" t="str">
        <f t="shared" si="214"/>
        <v/>
      </c>
      <c r="W727" s="42"/>
      <c r="X727" s="42"/>
      <c r="Y727" s="42"/>
      <c r="Z727" s="42"/>
      <c r="AA727" s="37">
        <f t="shared" si="215"/>
        <v>185</v>
      </c>
      <c r="AB727" s="42"/>
      <c r="AC727" s="42"/>
      <c r="AD727" s="42"/>
      <c r="AE727" s="42"/>
      <c r="AF727" s="16">
        <v>0</v>
      </c>
      <c r="AG727" s="16">
        <v>1</v>
      </c>
      <c r="AH727" s="16">
        <v>0</v>
      </c>
      <c r="AI727" s="16">
        <v>1</v>
      </c>
      <c r="AJ727" s="5">
        <v>0</v>
      </c>
      <c r="AK727" s="5">
        <v>1</v>
      </c>
      <c r="AL727" s="5">
        <v>0</v>
      </c>
      <c r="AM727" s="20"/>
      <c r="AN727" s="20">
        <v>3</v>
      </c>
      <c r="AO727" s="16"/>
      <c r="AP727" s="16"/>
      <c r="AQ727" s="16"/>
      <c r="AR727" s="16">
        <v>0</v>
      </c>
      <c r="AS727" s="16">
        <v>0</v>
      </c>
      <c r="AT727" s="16"/>
      <c r="AU727" s="16"/>
      <c r="AV727" s="16"/>
      <c r="AW727" s="16"/>
      <c r="AX727" s="16">
        <v>0</v>
      </c>
      <c r="AY727" s="16">
        <v>0</v>
      </c>
      <c r="AZ727" s="16">
        <v>0</v>
      </c>
      <c r="BA727" s="16">
        <v>1</v>
      </c>
    </row>
    <row r="728" spans="1:53" s="36" customFormat="1" x14ac:dyDescent="0.2">
      <c r="A728" s="29"/>
      <c r="B728" s="14" t="str">
        <f t="shared" si="216"/>
        <v>Cai et al. 2012</v>
      </c>
      <c r="C728" s="61">
        <f t="shared" si="217"/>
        <v>74</v>
      </c>
      <c r="D728" s="58">
        <v>2012</v>
      </c>
      <c r="E728" s="17"/>
      <c r="F728" s="58">
        <v>1</v>
      </c>
      <c r="G728" s="16">
        <v>2005</v>
      </c>
      <c r="H728" s="15">
        <f>LOOKUP(G728,CPI!A$69:A$100,CPI!O$69:O$100)</f>
        <v>1.1165181771633383</v>
      </c>
      <c r="I728" s="5">
        <v>2135</v>
      </c>
      <c r="J728" s="43">
        <v>0</v>
      </c>
      <c r="K728" s="43"/>
      <c r="L728" s="57"/>
      <c r="M728" s="56"/>
      <c r="N728" s="3">
        <v>211</v>
      </c>
      <c r="O728" s="50">
        <f t="shared" si="203"/>
        <v>211</v>
      </c>
      <c r="P728" s="16">
        <v>0</v>
      </c>
      <c r="Q728" s="16">
        <v>1</v>
      </c>
      <c r="R728" s="16">
        <v>0</v>
      </c>
      <c r="S728" s="42"/>
      <c r="T728" s="56" t="str">
        <f t="shared" si="211"/>
        <v/>
      </c>
      <c r="U728" s="56" t="str">
        <f t="shared" si="213"/>
        <v/>
      </c>
      <c r="V728" s="56" t="str">
        <f t="shared" si="214"/>
        <v/>
      </c>
      <c r="W728" s="42"/>
      <c r="X728" s="42"/>
      <c r="Y728" s="42"/>
      <c r="Z728" s="42"/>
      <c r="AA728" s="37">
        <f t="shared" si="215"/>
        <v>211</v>
      </c>
      <c r="AB728" s="42"/>
      <c r="AC728" s="42"/>
      <c r="AD728" s="42"/>
      <c r="AE728" s="42"/>
      <c r="AF728" s="16">
        <v>0</v>
      </c>
      <c r="AG728" s="16">
        <v>1</v>
      </c>
      <c r="AH728" s="16">
        <v>0</v>
      </c>
      <c r="AI728" s="16">
        <v>1</v>
      </c>
      <c r="AJ728" s="5">
        <v>0</v>
      </c>
      <c r="AK728" s="5">
        <v>1</v>
      </c>
      <c r="AL728" s="5">
        <v>0</v>
      </c>
      <c r="AM728" s="20"/>
      <c r="AN728" s="20">
        <v>3</v>
      </c>
      <c r="AO728" s="16"/>
      <c r="AP728" s="16"/>
      <c r="AQ728" s="16"/>
      <c r="AR728" s="16">
        <v>0</v>
      </c>
      <c r="AS728" s="16">
        <v>0</v>
      </c>
      <c r="AT728" s="16"/>
      <c r="AU728" s="16"/>
      <c r="AV728" s="16"/>
      <c r="AW728" s="16"/>
      <c r="AX728" s="16">
        <v>0</v>
      </c>
      <c r="AY728" s="16">
        <v>0</v>
      </c>
      <c r="AZ728" s="16">
        <v>0</v>
      </c>
      <c r="BA728" s="16">
        <v>1</v>
      </c>
    </row>
    <row r="729" spans="1:53" s="36" customFormat="1" x14ac:dyDescent="0.2">
      <c r="A729" s="29"/>
      <c r="B729" s="14" t="str">
        <f t="shared" si="216"/>
        <v>Cai et al. 2012</v>
      </c>
      <c r="C729" s="61">
        <f t="shared" si="217"/>
        <v>74</v>
      </c>
      <c r="D729" s="58">
        <v>2012</v>
      </c>
      <c r="E729" s="17"/>
      <c r="F729" s="58">
        <v>1</v>
      </c>
      <c r="G729" s="16">
        <v>2005</v>
      </c>
      <c r="H729" s="15">
        <f>LOOKUP(G729,CPI!A$69:A$100,CPI!O$69:O$100)</f>
        <v>1.1165181771633383</v>
      </c>
      <c r="I729" s="5">
        <v>2145</v>
      </c>
      <c r="J729" s="43">
        <v>0</v>
      </c>
      <c r="K729" s="43"/>
      <c r="L729" s="57"/>
      <c r="M729" s="56"/>
      <c r="N729" s="3">
        <v>239</v>
      </c>
      <c r="O729" s="50">
        <f t="shared" si="203"/>
        <v>239</v>
      </c>
      <c r="P729" s="16">
        <v>0</v>
      </c>
      <c r="Q729" s="16">
        <v>1</v>
      </c>
      <c r="R729" s="16">
        <v>0</v>
      </c>
      <c r="S729" s="42"/>
      <c r="T729" s="56" t="str">
        <f t="shared" si="211"/>
        <v/>
      </c>
      <c r="U729" s="56" t="str">
        <f t="shared" si="213"/>
        <v/>
      </c>
      <c r="V729" s="56" t="str">
        <f t="shared" si="214"/>
        <v/>
      </c>
      <c r="W729" s="42"/>
      <c r="X729" s="42"/>
      <c r="Y729" s="42"/>
      <c r="Z729" s="42"/>
      <c r="AA729" s="37">
        <f t="shared" si="215"/>
        <v>239</v>
      </c>
      <c r="AB729" s="42"/>
      <c r="AC729" s="42"/>
      <c r="AD729" s="42"/>
      <c r="AE729" s="42"/>
      <c r="AF729" s="16">
        <v>0</v>
      </c>
      <c r="AG729" s="16">
        <v>1</v>
      </c>
      <c r="AH729" s="16">
        <v>0</v>
      </c>
      <c r="AI729" s="16">
        <v>1</v>
      </c>
      <c r="AJ729" s="5">
        <v>0</v>
      </c>
      <c r="AK729" s="5">
        <v>1</v>
      </c>
      <c r="AL729" s="5">
        <v>0</v>
      </c>
      <c r="AM729" s="20"/>
      <c r="AN729" s="20">
        <v>3</v>
      </c>
      <c r="AO729" s="16"/>
      <c r="AP729" s="16"/>
      <c r="AQ729" s="16"/>
      <c r="AR729" s="16">
        <v>0</v>
      </c>
      <c r="AS729" s="16">
        <v>0</v>
      </c>
      <c r="AT729" s="16"/>
      <c r="AU729" s="16"/>
      <c r="AV729" s="16"/>
      <c r="AW729" s="16"/>
      <c r="AX729" s="16">
        <v>0</v>
      </c>
      <c r="AY729" s="16">
        <v>0</v>
      </c>
      <c r="AZ729" s="16">
        <v>0</v>
      </c>
      <c r="BA729" s="16">
        <v>1</v>
      </c>
    </row>
    <row r="730" spans="1:53" s="36" customFormat="1" x14ac:dyDescent="0.2">
      <c r="A730" s="29"/>
      <c r="B730" s="14" t="str">
        <f t="shared" si="216"/>
        <v>Cai et al. 2012</v>
      </c>
      <c r="C730" s="61">
        <f t="shared" si="217"/>
        <v>74</v>
      </c>
      <c r="D730" s="58">
        <v>2012</v>
      </c>
      <c r="E730" s="17"/>
      <c r="F730" s="58">
        <v>1</v>
      </c>
      <c r="G730" s="16">
        <v>2005</v>
      </c>
      <c r="H730" s="15">
        <f>LOOKUP(G730,CPI!A$69:A$100,CPI!O$69:O$100)</f>
        <v>1.1165181771633383</v>
      </c>
      <c r="I730" s="5">
        <v>2155</v>
      </c>
      <c r="J730" s="43">
        <v>0</v>
      </c>
      <c r="K730" s="43"/>
      <c r="L730" s="57"/>
      <c r="M730" s="56"/>
      <c r="N730" s="3">
        <v>271</v>
      </c>
      <c r="O730" s="50">
        <f t="shared" si="203"/>
        <v>271</v>
      </c>
      <c r="P730" s="16">
        <v>0</v>
      </c>
      <c r="Q730" s="16">
        <v>1</v>
      </c>
      <c r="R730" s="16">
        <v>0</v>
      </c>
      <c r="S730" s="42"/>
      <c r="T730" s="56" t="str">
        <f t="shared" si="211"/>
        <v/>
      </c>
      <c r="U730" s="56" t="str">
        <f t="shared" si="213"/>
        <v/>
      </c>
      <c r="V730" s="56" t="str">
        <f t="shared" si="214"/>
        <v/>
      </c>
      <c r="W730" s="42"/>
      <c r="X730" s="42"/>
      <c r="Y730" s="42"/>
      <c r="Z730" s="42"/>
      <c r="AA730" s="37">
        <f t="shared" si="215"/>
        <v>271</v>
      </c>
      <c r="AB730" s="42"/>
      <c r="AC730" s="42"/>
      <c r="AD730" s="42"/>
      <c r="AE730" s="42"/>
      <c r="AF730" s="16">
        <v>0</v>
      </c>
      <c r="AG730" s="16">
        <v>1</v>
      </c>
      <c r="AH730" s="16">
        <v>0</v>
      </c>
      <c r="AI730" s="16">
        <v>1</v>
      </c>
      <c r="AJ730" s="5">
        <v>0</v>
      </c>
      <c r="AK730" s="5">
        <v>1</v>
      </c>
      <c r="AL730" s="5">
        <v>0</v>
      </c>
      <c r="AM730" s="20"/>
      <c r="AN730" s="20">
        <v>3</v>
      </c>
      <c r="AO730" s="16"/>
      <c r="AP730" s="16"/>
      <c r="AQ730" s="16"/>
      <c r="AR730" s="16">
        <v>0</v>
      </c>
      <c r="AS730" s="16">
        <v>0</v>
      </c>
      <c r="AT730" s="16"/>
      <c r="AU730" s="16"/>
      <c r="AV730" s="16"/>
      <c r="AW730" s="16"/>
      <c r="AX730" s="16">
        <v>0</v>
      </c>
      <c r="AY730" s="16">
        <v>0</v>
      </c>
      <c r="AZ730" s="16">
        <v>0</v>
      </c>
      <c r="BA730" s="16">
        <v>1</v>
      </c>
    </row>
    <row r="731" spans="1:53" s="36" customFormat="1" x14ac:dyDescent="0.2">
      <c r="A731" s="29"/>
      <c r="B731" s="14" t="str">
        <f t="shared" si="216"/>
        <v>Cai et al. 2012</v>
      </c>
      <c r="C731" s="61">
        <f t="shared" si="217"/>
        <v>74</v>
      </c>
      <c r="D731" s="58">
        <v>2012</v>
      </c>
      <c r="E731" s="17"/>
      <c r="F731" s="58">
        <v>1</v>
      </c>
      <c r="G731" s="16">
        <v>2005</v>
      </c>
      <c r="H731" s="15">
        <f>LOOKUP(G731,CPI!A$69:A$100,CPI!O$69:O$100)</f>
        <v>1.1165181771633383</v>
      </c>
      <c r="I731" s="5">
        <v>2165</v>
      </c>
      <c r="J731" s="43">
        <v>0</v>
      </c>
      <c r="K731" s="43"/>
      <c r="L731" s="57"/>
      <c r="M731" s="56"/>
      <c r="N731" s="3">
        <v>307</v>
      </c>
      <c r="O731" s="50">
        <f t="shared" si="203"/>
        <v>307</v>
      </c>
      <c r="P731" s="16">
        <v>0</v>
      </c>
      <c r="Q731" s="16">
        <v>1</v>
      </c>
      <c r="R731" s="16">
        <v>0</v>
      </c>
      <c r="S731" s="42"/>
      <c r="T731" s="56" t="str">
        <f t="shared" si="211"/>
        <v/>
      </c>
      <c r="U731" s="56" t="str">
        <f t="shared" si="213"/>
        <v/>
      </c>
      <c r="V731" s="56" t="str">
        <f t="shared" si="214"/>
        <v/>
      </c>
      <c r="W731" s="42"/>
      <c r="X731" s="42"/>
      <c r="Y731" s="42"/>
      <c r="Z731" s="42"/>
      <c r="AA731" s="37">
        <f t="shared" si="215"/>
        <v>307</v>
      </c>
      <c r="AB731" s="42"/>
      <c r="AC731" s="42"/>
      <c r="AD731" s="42"/>
      <c r="AE731" s="42"/>
      <c r="AF731" s="16">
        <v>0</v>
      </c>
      <c r="AG731" s="16">
        <v>1</v>
      </c>
      <c r="AH731" s="16">
        <v>0</v>
      </c>
      <c r="AI731" s="16">
        <v>1</v>
      </c>
      <c r="AJ731" s="5">
        <v>0</v>
      </c>
      <c r="AK731" s="5">
        <v>1</v>
      </c>
      <c r="AL731" s="5">
        <v>0</v>
      </c>
      <c r="AM731" s="20"/>
      <c r="AN731" s="20">
        <v>3</v>
      </c>
      <c r="AO731" s="16"/>
      <c r="AP731" s="16"/>
      <c r="AQ731" s="16"/>
      <c r="AR731" s="16">
        <v>0</v>
      </c>
      <c r="AS731" s="16">
        <v>0</v>
      </c>
      <c r="AT731" s="16"/>
      <c r="AU731" s="16"/>
      <c r="AV731" s="16"/>
      <c r="AW731" s="16"/>
      <c r="AX731" s="16">
        <v>0</v>
      </c>
      <c r="AY731" s="16">
        <v>0</v>
      </c>
      <c r="AZ731" s="16">
        <v>0</v>
      </c>
      <c r="BA731" s="16">
        <v>1</v>
      </c>
    </row>
    <row r="732" spans="1:53" s="36" customFormat="1" x14ac:dyDescent="0.2">
      <c r="A732" s="29"/>
      <c r="B732" s="14" t="str">
        <f t="shared" si="216"/>
        <v>Cai et al. 2012</v>
      </c>
      <c r="C732" s="61">
        <f t="shared" si="217"/>
        <v>74</v>
      </c>
      <c r="D732" s="58">
        <v>2012</v>
      </c>
      <c r="E732" s="17"/>
      <c r="F732" s="58">
        <v>1</v>
      </c>
      <c r="G732" s="16">
        <v>2005</v>
      </c>
      <c r="H732" s="15">
        <f>LOOKUP(G732,CPI!A$69:A$100,CPI!O$69:O$100)</f>
        <v>1.1165181771633383</v>
      </c>
      <c r="I732" s="5">
        <v>2175</v>
      </c>
      <c r="J732" s="43">
        <v>0</v>
      </c>
      <c r="K732" s="43"/>
      <c r="L732" s="57"/>
      <c r="M732" s="56"/>
      <c r="N732" s="3">
        <v>348</v>
      </c>
      <c r="O732" s="50">
        <f t="shared" si="203"/>
        <v>348</v>
      </c>
      <c r="P732" s="16">
        <v>0</v>
      </c>
      <c r="Q732" s="16">
        <v>1</v>
      </c>
      <c r="R732" s="16">
        <v>0</v>
      </c>
      <c r="S732" s="42"/>
      <c r="T732" s="56" t="str">
        <f t="shared" si="211"/>
        <v/>
      </c>
      <c r="U732" s="56" t="str">
        <f t="shared" si="213"/>
        <v/>
      </c>
      <c r="V732" s="56" t="str">
        <f t="shared" si="214"/>
        <v/>
      </c>
      <c r="W732" s="42"/>
      <c r="X732" s="42"/>
      <c r="Y732" s="42"/>
      <c r="Z732" s="42"/>
      <c r="AA732" s="37">
        <f t="shared" si="215"/>
        <v>348</v>
      </c>
      <c r="AB732" s="42"/>
      <c r="AC732" s="42"/>
      <c r="AD732" s="42"/>
      <c r="AE732" s="42"/>
      <c r="AF732" s="16">
        <v>0</v>
      </c>
      <c r="AG732" s="16">
        <v>1</v>
      </c>
      <c r="AH732" s="16">
        <v>0</v>
      </c>
      <c r="AI732" s="16">
        <v>1</v>
      </c>
      <c r="AJ732" s="5">
        <v>0</v>
      </c>
      <c r="AK732" s="5">
        <v>1</v>
      </c>
      <c r="AL732" s="5">
        <v>0</v>
      </c>
      <c r="AM732" s="20"/>
      <c r="AN732" s="20">
        <v>3</v>
      </c>
      <c r="AO732" s="16"/>
      <c r="AP732" s="16"/>
      <c r="AQ732" s="16"/>
      <c r="AR732" s="16">
        <v>0</v>
      </c>
      <c r="AS732" s="16">
        <v>0</v>
      </c>
      <c r="AT732" s="16"/>
      <c r="AU732" s="16"/>
      <c r="AV732" s="16"/>
      <c r="AW732" s="16"/>
      <c r="AX732" s="16">
        <v>0</v>
      </c>
      <c r="AY732" s="16">
        <v>0</v>
      </c>
      <c r="AZ732" s="16">
        <v>0</v>
      </c>
      <c r="BA732" s="16">
        <v>1</v>
      </c>
    </row>
    <row r="733" spans="1:53" s="36" customFormat="1" x14ac:dyDescent="0.2">
      <c r="A733" s="29"/>
      <c r="B733" s="14" t="str">
        <f t="shared" si="216"/>
        <v>Cai et al. 2012</v>
      </c>
      <c r="C733" s="61">
        <f t="shared" si="217"/>
        <v>74</v>
      </c>
      <c r="D733" s="58">
        <v>2012</v>
      </c>
      <c r="E733" s="17"/>
      <c r="F733" s="58">
        <v>1</v>
      </c>
      <c r="G733" s="16">
        <v>2005</v>
      </c>
      <c r="H733" s="15">
        <f>LOOKUP(G733,CPI!A$69:A$100,CPI!O$69:O$100)</f>
        <v>1.1165181771633383</v>
      </c>
      <c r="I733" s="5">
        <v>2185</v>
      </c>
      <c r="J733" s="43">
        <v>0</v>
      </c>
      <c r="K733" s="43"/>
      <c r="L733" s="57"/>
      <c r="M733" s="56"/>
      <c r="N733" s="3">
        <v>393</v>
      </c>
      <c r="O733" s="50">
        <f t="shared" si="203"/>
        <v>393</v>
      </c>
      <c r="P733" s="16">
        <v>0</v>
      </c>
      <c r="Q733" s="16">
        <v>1</v>
      </c>
      <c r="R733" s="16">
        <v>0</v>
      </c>
      <c r="S733" s="42"/>
      <c r="T733" s="56" t="str">
        <f t="shared" si="211"/>
        <v/>
      </c>
      <c r="U733" s="56" t="str">
        <f t="shared" si="213"/>
        <v/>
      </c>
      <c r="V733" s="56" t="str">
        <f t="shared" si="214"/>
        <v/>
      </c>
      <c r="W733" s="42"/>
      <c r="X733" s="42"/>
      <c r="Y733" s="42"/>
      <c r="Z733" s="42"/>
      <c r="AA733" s="37">
        <f t="shared" si="215"/>
        <v>393</v>
      </c>
      <c r="AB733" s="42"/>
      <c r="AC733" s="42"/>
      <c r="AD733" s="42"/>
      <c r="AE733" s="42"/>
      <c r="AF733" s="16">
        <v>0</v>
      </c>
      <c r="AG733" s="16">
        <v>1</v>
      </c>
      <c r="AH733" s="16">
        <v>0</v>
      </c>
      <c r="AI733" s="16">
        <v>1</v>
      </c>
      <c r="AJ733" s="5">
        <v>0</v>
      </c>
      <c r="AK733" s="5">
        <v>1</v>
      </c>
      <c r="AL733" s="5">
        <v>0</v>
      </c>
      <c r="AM733" s="20"/>
      <c r="AN733" s="20">
        <v>3</v>
      </c>
      <c r="AO733" s="16"/>
      <c r="AP733" s="16"/>
      <c r="AQ733" s="16"/>
      <c r="AR733" s="16">
        <v>0</v>
      </c>
      <c r="AS733" s="16">
        <v>0</v>
      </c>
      <c r="AT733" s="16"/>
      <c r="AU733" s="16"/>
      <c r="AV733" s="16"/>
      <c r="AW733" s="16"/>
      <c r="AX733" s="16">
        <v>0</v>
      </c>
      <c r="AY733" s="16">
        <v>0</v>
      </c>
      <c r="AZ733" s="16">
        <v>0</v>
      </c>
      <c r="BA733" s="16">
        <v>1</v>
      </c>
    </row>
    <row r="734" spans="1:53" s="36" customFormat="1" x14ac:dyDescent="0.2">
      <c r="A734" s="29"/>
      <c r="B734" s="14" t="str">
        <f t="shared" si="216"/>
        <v>Cai et al. 2012</v>
      </c>
      <c r="C734" s="61">
        <f t="shared" si="217"/>
        <v>74</v>
      </c>
      <c r="D734" s="58">
        <v>2012</v>
      </c>
      <c r="E734" s="17"/>
      <c r="F734" s="58">
        <v>1</v>
      </c>
      <c r="G734" s="16">
        <v>2005</v>
      </c>
      <c r="H734" s="15">
        <f>LOOKUP(G734,CPI!A$69:A$100,CPI!O$69:O$100)</f>
        <v>1.1165181771633383</v>
      </c>
      <c r="I734" s="5">
        <v>2195</v>
      </c>
      <c r="J734" s="43">
        <v>0</v>
      </c>
      <c r="K734" s="43"/>
      <c r="L734" s="57"/>
      <c r="M734" s="56"/>
      <c r="N734" s="3">
        <v>443</v>
      </c>
      <c r="O734" s="50">
        <f t="shared" si="203"/>
        <v>443</v>
      </c>
      <c r="P734" s="16">
        <v>0</v>
      </c>
      <c r="Q734" s="16">
        <v>1</v>
      </c>
      <c r="R734" s="16">
        <v>0</v>
      </c>
      <c r="S734" s="42"/>
      <c r="T734" s="56" t="str">
        <f t="shared" si="211"/>
        <v/>
      </c>
      <c r="U734" s="56" t="str">
        <f t="shared" si="213"/>
        <v/>
      </c>
      <c r="V734" s="56" t="str">
        <f t="shared" si="214"/>
        <v/>
      </c>
      <c r="W734" s="42"/>
      <c r="X734" s="42"/>
      <c r="Y734" s="42"/>
      <c r="Z734" s="42"/>
      <c r="AA734" s="37">
        <f t="shared" si="215"/>
        <v>443</v>
      </c>
      <c r="AB734" s="42"/>
      <c r="AC734" s="42"/>
      <c r="AD734" s="42"/>
      <c r="AE734" s="42"/>
      <c r="AF734" s="16">
        <v>0</v>
      </c>
      <c r="AG734" s="16">
        <v>1</v>
      </c>
      <c r="AH734" s="16">
        <v>0</v>
      </c>
      <c r="AI734" s="16">
        <v>1</v>
      </c>
      <c r="AJ734" s="5">
        <v>0</v>
      </c>
      <c r="AK734" s="5">
        <v>1</v>
      </c>
      <c r="AL734" s="5">
        <v>0</v>
      </c>
      <c r="AM734" s="20"/>
      <c r="AN734" s="20">
        <v>3</v>
      </c>
      <c r="AO734" s="16"/>
      <c r="AP734" s="16"/>
      <c r="AQ734" s="16"/>
      <c r="AR734" s="16">
        <v>0</v>
      </c>
      <c r="AS734" s="16">
        <v>0</v>
      </c>
      <c r="AT734" s="16"/>
      <c r="AU734" s="16"/>
      <c r="AV734" s="16"/>
      <c r="AW734" s="16"/>
      <c r="AX734" s="16">
        <v>0</v>
      </c>
      <c r="AY734" s="16">
        <v>0</v>
      </c>
      <c r="AZ734" s="16">
        <v>0</v>
      </c>
      <c r="BA734" s="16">
        <v>1</v>
      </c>
    </row>
    <row r="735" spans="1:53" s="36" customFormat="1" x14ac:dyDescent="0.2">
      <c r="A735" s="29"/>
      <c r="B735" s="14" t="str">
        <f t="shared" si="216"/>
        <v>Cai et al. 2012</v>
      </c>
      <c r="C735" s="61">
        <f t="shared" si="217"/>
        <v>74</v>
      </c>
      <c r="D735" s="58">
        <v>2012</v>
      </c>
      <c r="E735" s="17"/>
      <c r="F735" s="58">
        <v>1</v>
      </c>
      <c r="G735" s="16">
        <v>2005</v>
      </c>
      <c r="H735" s="15">
        <f>LOOKUP(G735,CPI!A$69:A$100,CPI!O$69:O$100)</f>
        <v>1.1165181771633383</v>
      </c>
      <c r="I735" s="5">
        <v>2205</v>
      </c>
      <c r="J735" s="43">
        <v>0</v>
      </c>
      <c r="K735" s="43"/>
      <c r="L735" s="57"/>
      <c r="M735" s="56"/>
      <c r="N735" s="3">
        <v>500</v>
      </c>
      <c r="O735" s="50">
        <f t="shared" si="203"/>
        <v>500</v>
      </c>
      <c r="P735" s="16">
        <v>0</v>
      </c>
      <c r="Q735" s="16">
        <v>1</v>
      </c>
      <c r="R735" s="16">
        <v>0</v>
      </c>
      <c r="S735" s="42"/>
      <c r="T735" s="56" t="str">
        <f t="shared" si="211"/>
        <v/>
      </c>
      <c r="U735" s="56" t="str">
        <f t="shared" si="213"/>
        <v/>
      </c>
      <c r="V735" s="56" t="str">
        <f t="shared" si="214"/>
        <v/>
      </c>
      <c r="W735" s="42"/>
      <c r="X735" s="42"/>
      <c r="Y735" s="42"/>
      <c r="Z735" s="42"/>
      <c r="AA735" s="37">
        <f t="shared" si="215"/>
        <v>500</v>
      </c>
      <c r="AB735" s="42"/>
      <c r="AC735" s="42"/>
      <c r="AD735" s="42"/>
      <c r="AE735" s="42"/>
      <c r="AF735" s="16">
        <v>0</v>
      </c>
      <c r="AG735" s="16">
        <v>1</v>
      </c>
      <c r="AH735" s="16">
        <v>0</v>
      </c>
      <c r="AI735" s="16">
        <v>1</v>
      </c>
      <c r="AJ735" s="5">
        <v>0</v>
      </c>
      <c r="AK735" s="5">
        <v>1</v>
      </c>
      <c r="AL735" s="5">
        <v>0</v>
      </c>
      <c r="AM735" s="20"/>
      <c r="AN735" s="20">
        <v>3</v>
      </c>
      <c r="AO735" s="16"/>
      <c r="AP735" s="16"/>
      <c r="AQ735" s="16"/>
      <c r="AR735" s="16">
        <v>0</v>
      </c>
      <c r="AS735" s="16">
        <v>0</v>
      </c>
      <c r="AT735" s="16"/>
      <c r="AU735" s="16"/>
      <c r="AV735" s="16"/>
      <c r="AW735" s="16"/>
      <c r="AX735" s="16">
        <v>0</v>
      </c>
      <c r="AY735" s="16">
        <v>0</v>
      </c>
      <c r="AZ735" s="16">
        <v>0</v>
      </c>
      <c r="BA735" s="16">
        <v>1</v>
      </c>
    </row>
    <row r="736" spans="1:53" x14ac:dyDescent="0.2">
      <c r="A736" s="14"/>
      <c r="B736" s="14" t="str">
        <f t="shared" si="216"/>
        <v>Cai et al. 2012</v>
      </c>
      <c r="C736" s="61">
        <f t="shared" si="217"/>
        <v>74</v>
      </c>
      <c r="D736" s="58">
        <v>2012</v>
      </c>
      <c r="E736" s="17"/>
      <c r="F736" s="58">
        <v>1</v>
      </c>
      <c r="G736" s="16">
        <v>2005</v>
      </c>
      <c r="H736" s="15">
        <f>LOOKUP(G736,CPI!A$69:A$100,CPI!O$69:O$100)</f>
        <v>1.1165181771633383</v>
      </c>
      <c r="I736" s="52">
        <v>2015</v>
      </c>
      <c r="J736" s="15">
        <v>0.01</v>
      </c>
      <c r="K736" s="44">
        <v>0.2</v>
      </c>
      <c r="L736" s="57">
        <f>(AA736/AA737)^(1/(I736-I737))-1</f>
        <v>2.6004348131758448E-2</v>
      </c>
      <c r="M736" s="56">
        <f>AA736*H736*(1+$L$2)^(2015-I736)</f>
        <v>45.777245263696869</v>
      </c>
      <c r="N736" s="14">
        <v>41</v>
      </c>
      <c r="O736" s="18">
        <f t="shared" si="203"/>
        <v>41</v>
      </c>
      <c r="P736" s="16">
        <v>0</v>
      </c>
      <c r="Q736" s="16">
        <v>1</v>
      </c>
      <c r="R736" s="16">
        <v>0</v>
      </c>
      <c r="S736" s="14"/>
      <c r="T736" s="56" t="str">
        <f t="shared" si="211"/>
        <v/>
      </c>
      <c r="U736" s="56" t="str">
        <f t="shared" si="213"/>
        <v/>
      </c>
      <c r="V736" s="56" t="str">
        <f t="shared" si="214"/>
        <v/>
      </c>
      <c r="W736" s="14"/>
      <c r="X736" s="14"/>
      <c r="Y736" s="14"/>
      <c r="Z736" s="14"/>
      <c r="AA736" s="18">
        <f t="shared" si="215"/>
        <v>41</v>
      </c>
      <c r="AB736" s="14"/>
      <c r="AC736" s="14"/>
      <c r="AD736" s="14"/>
      <c r="AE736" s="14"/>
      <c r="AF736" s="16">
        <v>0</v>
      </c>
      <c r="AG736" s="16">
        <v>1</v>
      </c>
      <c r="AH736" s="16">
        <v>0</v>
      </c>
      <c r="AI736" s="16">
        <v>1</v>
      </c>
      <c r="AJ736" s="5">
        <v>0</v>
      </c>
      <c r="AK736" s="5">
        <v>1</v>
      </c>
      <c r="AL736" s="5">
        <v>0</v>
      </c>
      <c r="AM736" s="20"/>
      <c r="AN736" s="20">
        <v>3</v>
      </c>
      <c r="AO736" s="16"/>
      <c r="AP736" s="16"/>
      <c r="AQ736" s="16"/>
      <c r="AR736" s="16">
        <v>0</v>
      </c>
      <c r="AS736" s="16">
        <v>0</v>
      </c>
      <c r="AT736" s="16"/>
      <c r="AU736" s="16"/>
      <c r="AV736" s="16"/>
      <c r="AW736" s="16"/>
      <c r="AX736" s="16">
        <v>0</v>
      </c>
      <c r="AY736" s="16">
        <v>0</v>
      </c>
      <c r="AZ736" s="16">
        <v>0</v>
      </c>
      <c r="BA736" s="16">
        <v>1</v>
      </c>
    </row>
    <row r="737" spans="1:53" s="36" customFormat="1" x14ac:dyDescent="0.2">
      <c r="A737" s="29"/>
      <c r="B737" s="14" t="str">
        <f t="shared" si="216"/>
        <v>Cai et al. 2012</v>
      </c>
      <c r="C737" s="61">
        <f t="shared" si="217"/>
        <v>74</v>
      </c>
      <c r="D737" s="58">
        <v>2012</v>
      </c>
      <c r="E737" s="17"/>
      <c r="F737" s="58">
        <v>1</v>
      </c>
      <c r="G737" s="16">
        <v>2005</v>
      </c>
      <c r="H737" s="15">
        <f>LOOKUP(G737,CPI!A$69:A$100,CPI!O$69:O$100)</f>
        <v>1.1165181771633383</v>
      </c>
      <c r="I737" s="5">
        <v>2025</v>
      </c>
      <c r="J737" s="43">
        <v>0</v>
      </c>
      <c r="K737" s="43"/>
      <c r="L737" s="57"/>
      <c r="M737" s="56"/>
      <c r="N737" s="3">
        <v>53</v>
      </c>
      <c r="O737" s="50">
        <f t="shared" si="203"/>
        <v>53</v>
      </c>
      <c r="P737" s="16">
        <v>0</v>
      </c>
      <c r="Q737" s="16">
        <v>1</v>
      </c>
      <c r="R737" s="16">
        <v>0</v>
      </c>
      <c r="S737" s="42"/>
      <c r="T737" s="56" t="str">
        <f t="shared" si="211"/>
        <v/>
      </c>
      <c r="U737" s="56" t="str">
        <f t="shared" si="213"/>
        <v/>
      </c>
      <c r="V737" s="56" t="str">
        <f t="shared" si="214"/>
        <v/>
      </c>
      <c r="W737" s="42"/>
      <c r="X737" s="42"/>
      <c r="Y737" s="42"/>
      <c r="Z737" s="42"/>
      <c r="AA737" s="37">
        <f t="shared" si="215"/>
        <v>53</v>
      </c>
      <c r="AB737" s="42"/>
      <c r="AC737" s="42"/>
      <c r="AD737" s="42"/>
      <c r="AE737" s="42"/>
      <c r="AF737" s="16">
        <v>0</v>
      </c>
      <c r="AG737" s="16">
        <v>1</v>
      </c>
      <c r="AH737" s="16">
        <v>0</v>
      </c>
      <c r="AI737" s="16">
        <v>1</v>
      </c>
      <c r="AJ737" s="5">
        <v>0</v>
      </c>
      <c r="AK737" s="5">
        <v>1</v>
      </c>
      <c r="AL737" s="5">
        <v>0</v>
      </c>
      <c r="AM737" s="20"/>
      <c r="AN737" s="20">
        <v>3</v>
      </c>
      <c r="AO737" s="16"/>
      <c r="AP737" s="16"/>
      <c r="AQ737" s="16"/>
      <c r="AR737" s="16">
        <v>0</v>
      </c>
      <c r="AS737" s="16">
        <v>0</v>
      </c>
      <c r="AT737" s="16"/>
      <c r="AU737" s="16"/>
      <c r="AV737" s="16"/>
      <c r="AW737" s="16"/>
      <c r="AX737" s="16">
        <v>0</v>
      </c>
      <c r="AY737" s="16">
        <v>0</v>
      </c>
      <c r="AZ737" s="16">
        <v>0</v>
      </c>
      <c r="BA737" s="16">
        <v>1</v>
      </c>
    </row>
    <row r="738" spans="1:53" s="36" customFormat="1" x14ac:dyDescent="0.2">
      <c r="A738" s="29"/>
      <c r="B738" s="14" t="str">
        <f t="shared" si="216"/>
        <v>Cai et al. 2012</v>
      </c>
      <c r="C738" s="61">
        <f t="shared" si="217"/>
        <v>74</v>
      </c>
      <c r="D738" s="58">
        <v>2012</v>
      </c>
      <c r="E738" s="17"/>
      <c r="F738" s="58">
        <v>1</v>
      </c>
      <c r="G738" s="16">
        <v>2005</v>
      </c>
      <c r="H738" s="15">
        <f>LOOKUP(G738,CPI!A$69:A$100,CPI!O$69:O$100)</f>
        <v>1.1165181771633383</v>
      </c>
      <c r="I738" s="5">
        <v>2035</v>
      </c>
      <c r="J738" s="43">
        <v>0</v>
      </c>
      <c r="K738" s="43"/>
      <c r="L738" s="57"/>
      <c r="M738" s="56"/>
      <c r="N738" s="3">
        <v>66</v>
      </c>
      <c r="O738" s="50">
        <f t="shared" si="203"/>
        <v>66</v>
      </c>
      <c r="P738" s="16">
        <v>0</v>
      </c>
      <c r="Q738" s="16">
        <v>1</v>
      </c>
      <c r="R738" s="16">
        <v>0</v>
      </c>
      <c r="S738" s="42"/>
      <c r="T738" s="56" t="str">
        <f t="shared" si="211"/>
        <v/>
      </c>
      <c r="U738" s="56" t="str">
        <f t="shared" si="213"/>
        <v/>
      </c>
      <c r="V738" s="56" t="str">
        <f t="shared" si="214"/>
        <v/>
      </c>
      <c r="W738" s="42"/>
      <c r="X738" s="42"/>
      <c r="Y738" s="42"/>
      <c r="Z738" s="42"/>
      <c r="AA738" s="37">
        <f t="shared" si="215"/>
        <v>66</v>
      </c>
      <c r="AB738" s="42"/>
      <c r="AC738" s="42"/>
      <c r="AD738" s="42"/>
      <c r="AE738" s="42"/>
      <c r="AF738" s="16">
        <v>0</v>
      </c>
      <c r="AG738" s="16">
        <v>1</v>
      </c>
      <c r="AH738" s="16">
        <v>0</v>
      </c>
      <c r="AI738" s="16">
        <v>1</v>
      </c>
      <c r="AJ738" s="5">
        <v>0</v>
      </c>
      <c r="AK738" s="5">
        <v>1</v>
      </c>
      <c r="AL738" s="5">
        <v>0</v>
      </c>
      <c r="AM738" s="20"/>
      <c r="AN738" s="20">
        <v>3</v>
      </c>
      <c r="AO738" s="16"/>
      <c r="AP738" s="16"/>
      <c r="AQ738" s="16"/>
      <c r="AR738" s="16">
        <v>0</v>
      </c>
      <c r="AS738" s="16">
        <v>0</v>
      </c>
      <c r="AT738" s="16"/>
      <c r="AU738" s="16"/>
      <c r="AV738" s="16"/>
      <c r="AW738" s="16"/>
      <c r="AX738" s="16">
        <v>0</v>
      </c>
      <c r="AY738" s="16">
        <v>0</v>
      </c>
      <c r="AZ738" s="16">
        <v>0</v>
      </c>
      <c r="BA738" s="16">
        <v>1</v>
      </c>
    </row>
    <row r="739" spans="1:53" s="36" customFormat="1" x14ac:dyDescent="0.2">
      <c r="A739" s="29"/>
      <c r="B739" s="14" t="str">
        <f t="shared" si="216"/>
        <v>Cai et al. 2012</v>
      </c>
      <c r="C739" s="61">
        <f t="shared" si="217"/>
        <v>74</v>
      </c>
      <c r="D739" s="58">
        <v>2012</v>
      </c>
      <c r="E739" s="17"/>
      <c r="F739" s="58">
        <v>1</v>
      </c>
      <c r="G739" s="16">
        <v>2005</v>
      </c>
      <c r="H739" s="15">
        <f>LOOKUP(G739,CPI!A$69:A$100,CPI!O$69:O$100)</f>
        <v>1.1165181771633383</v>
      </c>
      <c r="I739" s="5">
        <v>2045</v>
      </c>
      <c r="J739" s="43">
        <v>0</v>
      </c>
      <c r="K739" s="43"/>
      <c r="L739" s="57"/>
      <c r="M739" s="56"/>
      <c r="N739" s="3">
        <v>82</v>
      </c>
      <c r="O739" s="50">
        <f t="shared" si="203"/>
        <v>82</v>
      </c>
      <c r="P739" s="16">
        <v>0</v>
      </c>
      <c r="Q739" s="16">
        <v>1</v>
      </c>
      <c r="R739" s="16">
        <v>0</v>
      </c>
      <c r="S739" s="42"/>
      <c r="T739" s="56" t="str">
        <f t="shared" si="211"/>
        <v/>
      </c>
      <c r="U739" s="56" t="str">
        <f t="shared" si="213"/>
        <v/>
      </c>
      <c r="V739" s="56" t="str">
        <f t="shared" si="214"/>
        <v/>
      </c>
      <c r="W739" s="42"/>
      <c r="X739" s="42"/>
      <c r="Y739" s="42"/>
      <c r="Z739" s="42"/>
      <c r="AA739" s="37">
        <f t="shared" si="215"/>
        <v>82</v>
      </c>
      <c r="AB739" s="42"/>
      <c r="AC739" s="42"/>
      <c r="AD739" s="42"/>
      <c r="AE739" s="42"/>
      <c r="AF739" s="16">
        <v>0</v>
      </c>
      <c r="AG739" s="16">
        <v>1</v>
      </c>
      <c r="AH739" s="16">
        <v>0</v>
      </c>
      <c r="AI739" s="16">
        <v>1</v>
      </c>
      <c r="AJ739" s="5">
        <v>0</v>
      </c>
      <c r="AK739" s="5">
        <v>1</v>
      </c>
      <c r="AL739" s="5">
        <v>0</v>
      </c>
      <c r="AM739" s="20"/>
      <c r="AN739" s="20">
        <v>3</v>
      </c>
      <c r="AO739" s="16"/>
      <c r="AP739" s="16"/>
      <c r="AQ739" s="16"/>
      <c r="AR739" s="16">
        <v>0</v>
      </c>
      <c r="AS739" s="16">
        <v>0</v>
      </c>
      <c r="AT739" s="16"/>
      <c r="AU739" s="16"/>
      <c r="AV739" s="16"/>
      <c r="AW739" s="16"/>
      <c r="AX739" s="16">
        <v>0</v>
      </c>
      <c r="AY739" s="16">
        <v>0</v>
      </c>
      <c r="AZ739" s="16">
        <v>0</v>
      </c>
      <c r="BA739" s="16">
        <v>1</v>
      </c>
    </row>
    <row r="740" spans="1:53" s="36" customFormat="1" x14ac:dyDescent="0.2">
      <c r="A740" s="29"/>
      <c r="B740" s="14" t="str">
        <f t="shared" si="216"/>
        <v>Cai et al. 2012</v>
      </c>
      <c r="C740" s="61">
        <f t="shared" si="217"/>
        <v>74</v>
      </c>
      <c r="D740" s="58">
        <v>2012</v>
      </c>
      <c r="E740" s="17"/>
      <c r="F740" s="58">
        <v>1</v>
      </c>
      <c r="G740" s="16">
        <v>2005</v>
      </c>
      <c r="H740" s="15">
        <f>LOOKUP(G740,CPI!A$69:A$100,CPI!O$69:O$100)</f>
        <v>1.1165181771633383</v>
      </c>
      <c r="I740" s="5">
        <v>2055</v>
      </c>
      <c r="J740" s="43">
        <v>0</v>
      </c>
      <c r="K740" s="43"/>
      <c r="L740" s="57"/>
      <c r="M740" s="56"/>
      <c r="N740" s="3">
        <v>99</v>
      </c>
      <c r="O740" s="50">
        <f t="shared" si="203"/>
        <v>99</v>
      </c>
      <c r="P740" s="16">
        <v>0</v>
      </c>
      <c r="Q740" s="16">
        <v>1</v>
      </c>
      <c r="R740" s="16">
        <v>0</v>
      </c>
      <c r="S740" s="42"/>
      <c r="T740" s="56" t="str">
        <f t="shared" si="211"/>
        <v/>
      </c>
      <c r="U740" s="56" t="str">
        <f t="shared" si="213"/>
        <v/>
      </c>
      <c r="V740" s="56" t="str">
        <f t="shared" si="214"/>
        <v/>
      </c>
      <c r="W740" s="42"/>
      <c r="X740" s="42"/>
      <c r="Y740" s="42"/>
      <c r="Z740" s="42"/>
      <c r="AA740" s="37">
        <f t="shared" si="215"/>
        <v>99</v>
      </c>
      <c r="AB740" s="42"/>
      <c r="AC740" s="42"/>
      <c r="AD740" s="42"/>
      <c r="AE740" s="42"/>
      <c r="AF740" s="16">
        <v>0</v>
      </c>
      <c r="AG740" s="16">
        <v>1</v>
      </c>
      <c r="AH740" s="16">
        <v>0</v>
      </c>
      <c r="AI740" s="16">
        <v>1</v>
      </c>
      <c r="AJ740" s="5">
        <v>0</v>
      </c>
      <c r="AK740" s="5">
        <v>1</v>
      </c>
      <c r="AL740" s="5">
        <v>0</v>
      </c>
      <c r="AM740" s="20"/>
      <c r="AN740" s="20">
        <v>3</v>
      </c>
      <c r="AO740" s="16"/>
      <c r="AP740" s="16"/>
      <c r="AQ740" s="16"/>
      <c r="AR740" s="16">
        <v>0</v>
      </c>
      <c r="AS740" s="16">
        <v>0</v>
      </c>
      <c r="AT740" s="16"/>
      <c r="AU740" s="16"/>
      <c r="AV740" s="16"/>
      <c r="AW740" s="16"/>
      <c r="AX740" s="16">
        <v>0</v>
      </c>
      <c r="AY740" s="16">
        <v>0</v>
      </c>
      <c r="AZ740" s="16">
        <v>0</v>
      </c>
      <c r="BA740" s="16">
        <v>1</v>
      </c>
    </row>
    <row r="741" spans="1:53" s="36" customFormat="1" x14ac:dyDescent="0.2">
      <c r="A741" s="29"/>
      <c r="B741" s="14" t="str">
        <f t="shared" si="216"/>
        <v>Cai et al. 2012</v>
      </c>
      <c r="C741" s="61">
        <f t="shared" si="217"/>
        <v>74</v>
      </c>
      <c r="D741" s="58">
        <v>2012</v>
      </c>
      <c r="E741" s="17"/>
      <c r="F741" s="58">
        <v>1</v>
      </c>
      <c r="G741" s="16">
        <v>2005</v>
      </c>
      <c r="H741" s="15">
        <f>LOOKUP(G741,CPI!A$69:A$100,CPI!O$69:O$100)</f>
        <v>1.1165181771633383</v>
      </c>
      <c r="I741" s="5">
        <v>2065</v>
      </c>
      <c r="J741" s="43">
        <v>0</v>
      </c>
      <c r="K741" s="43"/>
      <c r="L741" s="57"/>
      <c r="M741" s="56"/>
      <c r="N741" s="3">
        <v>119</v>
      </c>
      <c r="O741" s="50">
        <f t="shared" si="203"/>
        <v>119</v>
      </c>
      <c r="P741" s="16">
        <v>0</v>
      </c>
      <c r="Q741" s="16">
        <v>1</v>
      </c>
      <c r="R741" s="16">
        <v>0</v>
      </c>
      <c r="S741" s="42"/>
      <c r="T741" s="56" t="str">
        <f t="shared" si="211"/>
        <v/>
      </c>
      <c r="U741" s="56" t="str">
        <f t="shared" si="213"/>
        <v/>
      </c>
      <c r="V741" s="56" t="str">
        <f t="shared" si="214"/>
        <v/>
      </c>
      <c r="W741" s="42"/>
      <c r="X741" s="42"/>
      <c r="Y741" s="42"/>
      <c r="Z741" s="42"/>
      <c r="AA741" s="37">
        <f t="shared" si="215"/>
        <v>119</v>
      </c>
      <c r="AB741" s="42"/>
      <c r="AC741" s="42"/>
      <c r="AD741" s="42"/>
      <c r="AE741" s="42"/>
      <c r="AF741" s="16">
        <v>0</v>
      </c>
      <c r="AG741" s="16">
        <v>1</v>
      </c>
      <c r="AH741" s="16">
        <v>0</v>
      </c>
      <c r="AI741" s="16">
        <v>1</v>
      </c>
      <c r="AJ741" s="5">
        <v>0</v>
      </c>
      <c r="AK741" s="5">
        <v>1</v>
      </c>
      <c r="AL741" s="5">
        <v>0</v>
      </c>
      <c r="AM741" s="20"/>
      <c r="AN741" s="20">
        <v>3</v>
      </c>
      <c r="AO741" s="16"/>
      <c r="AP741" s="16"/>
      <c r="AQ741" s="16"/>
      <c r="AR741" s="16">
        <v>0</v>
      </c>
      <c r="AS741" s="16">
        <v>0</v>
      </c>
      <c r="AT741" s="16"/>
      <c r="AU741" s="16"/>
      <c r="AV741" s="16"/>
      <c r="AW741" s="16"/>
      <c r="AX741" s="16">
        <v>0</v>
      </c>
      <c r="AY741" s="16">
        <v>0</v>
      </c>
      <c r="AZ741" s="16">
        <v>0</v>
      </c>
      <c r="BA741" s="16">
        <v>1</v>
      </c>
    </row>
    <row r="742" spans="1:53" s="36" customFormat="1" x14ac:dyDescent="0.2">
      <c r="A742" s="29"/>
      <c r="B742" s="14" t="str">
        <f t="shared" si="216"/>
        <v>Cai et al. 2012</v>
      </c>
      <c r="C742" s="61">
        <f t="shared" si="217"/>
        <v>74</v>
      </c>
      <c r="D742" s="58">
        <v>2012</v>
      </c>
      <c r="E742" s="17"/>
      <c r="F742" s="58">
        <v>1</v>
      </c>
      <c r="G742" s="16">
        <v>2005</v>
      </c>
      <c r="H742" s="15">
        <f>LOOKUP(G742,CPI!A$69:A$100,CPI!O$69:O$100)</f>
        <v>1.1165181771633383</v>
      </c>
      <c r="I742" s="5">
        <v>2075</v>
      </c>
      <c r="J742" s="43">
        <v>0</v>
      </c>
      <c r="K742" s="43"/>
      <c r="L742" s="57"/>
      <c r="M742" s="56"/>
      <c r="N742" s="3">
        <v>141</v>
      </c>
      <c r="O742" s="50">
        <f t="shared" si="203"/>
        <v>141</v>
      </c>
      <c r="P742" s="16">
        <v>0</v>
      </c>
      <c r="Q742" s="16">
        <v>1</v>
      </c>
      <c r="R742" s="16">
        <v>0</v>
      </c>
      <c r="S742" s="42"/>
      <c r="T742" s="56" t="str">
        <f t="shared" si="211"/>
        <v/>
      </c>
      <c r="U742" s="56" t="str">
        <f t="shared" si="213"/>
        <v/>
      </c>
      <c r="V742" s="56" t="str">
        <f t="shared" si="214"/>
        <v/>
      </c>
      <c r="W742" s="42"/>
      <c r="X742" s="42"/>
      <c r="Y742" s="42"/>
      <c r="Z742" s="42"/>
      <c r="AA742" s="37">
        <f t="shared" si="215"/>
        <v>141</v>
      </c>
      <c r="AB742" s="42"/>
      <c r="AC742" s="42"/>
      <c r="AD742" s="42"/>
      <c r="AE742" s="42"/>
      <c r="AF742" s="16">
        <v>0</v>
      </c>
      <c r="AG742" s="16">
        <v>1</v>
      </c>
      <c r="AH742" s="16">
        <v>0</v>
      </c>
      <c r="AI742" s="16">
        <v>1</v>
      </c>
      <c r="AJ742" s="5">
        <v>0</v>
      </c>
      <c r="AK742" s="5">
        <v>1</v>
      </c>
      <c r="AL742" s="5">
        <v>0</v>
      </c>
      <c r="AM742" s="20"/>
      <c r="AN742" s="20">
        <v>3</v>
      </c>
      <c r="AO742" s="16"/>
      <c r="AP742" s="16"/>
      <c r="AQ742" s="16"/>
      <c r="AR742" s="16">
        <v>0</v>
      </c>
      <c r="AS742" s="16">
        <v>0</v>
      </c>
      <c r="AT742" s="16"/>
      <c r="AU742" s="16"/>
      <c r="AV742" s="16"/>
      <c r="AW742" s="16"/>
      <c r="AX742" s="16">
        <v>0</v>
      </c>
      <c r="AY742" s="16">
        <v>0</v>
      </c>
      <c r="AZ742" s="16">
        <v>0</v>
      </c>
      <c r="BA742" s="16">
        <v>1</v>
      </c>
    </row>
    <row r="743" spans="1:53" s="36" customFormat="1" x14ac:dyDescent="0.2">
      <c r="A743" s="29"/>
      <c r="B743" s="14" t="str">
        <f t="shared" si="216"/>
        <v>Cai et al. 2012</v>
      </c>
      <c r="C743" s="61">
        <f t="shared" si="217"/>
        <v>74</v>
      </c>
      <c r="D743" s="58">
        <v>2012</v>
      </c>
      <c r="E743" s="17"/>
      <c r="F743" s="58">
        <v>1</v>
      </c>
      <c r="G743" s="16">
        <v>2005</v>
      </c>
      <c r="H743" s="15">
        <f>LOOKUP(G743,CPI!A$69:A$100,CPI!O$69:O$100)</f>
        <v>1.1165181771633383</v>
      </c>
      <c r="I743" s="5">
        <v>2085</v>
      </c>
      <c r="J743" s="43">
        <v>0</v>
      </c>
      <c r="K743" s="43"/>
      <c r="L743" s="57"/>
      <c r="M743" s="56"/>
      <c r="N743" s="3">
        <v>165</v>
      </c>
      <c r="O743" s="50">
        <f t="shared" si="203"/>
        <v>165</v>
      </c>
      <c r="P743" s="16">
        <v>0</v>
      </c>
      <c r="Q743" s="16">
        <v>1</v>
      </c>
      <c r="R743" s="16">
        <v>0</v>
      </c>
      <c r="S743" s="42"/>
      <c r="T743" s="56" t="str">
        <f t="shared" si="211"/>
        <v/>
      </c>
      <c r="U743" s="56" t="str">
        <f t="shared" si="213"/>
        <v/>
      </c>
      <c r="V743" s="56" t="str">
        <f t="shared" si="214"/>
        <v/>
      </c>
      <c r="W743" s="42"/>
      <c r="X743" s="42"/>
      <c r="Y743" s="42"/>
      <c r="Z743" s="42"/>
      <c r="AA743" s="37">
        <f t="shared" si="215"/>
        <v>165</v>
      </c>
      <c r="AB743" s="42"/>
      <c r="AC743" s="42"/>
      <c r="AD743" s="42"/>
      <c r="AE743" s="42"/>
      <c r="AF743" s="16">
        <v>0</v>
      </c>
      <c r="AG743" s="16">
        <v>1</v>
      </c>
      <c r="AH743" s="16">
        <v>0</v>
      </c>
      <c r="AI743" s="16">
        <v>1</v>
      </c>
      <c r="AJ743" s="5">
        <v>0</v>
      </c>
      <c r="AK743" s="5">
        <v>1</v>
      </c>
      <c r="AL743" s="5">
        <v>0</v>
      </c>
      <c r="AM743" s="20"/>
      <c r="AN743" s="20">
        <v>3</v>
      </c>
      <c r="AO743" s="16"/>
      <c r="AP743" s="16"/>
      <c r="AQ743" s="16"/>
      <c r="AR743" s="16">
        <v>0</v>
      </c>
      <c r="AS743" s="16">
        <v>0</v>
      </c>
      <c r="AT743" s="16"/>
      <c r="AU743" s="16"/>
      <c r="AV743" s="16"/>
      <c r="AW743" s="16"/>
      <c r="AX743" s="16">
        <v>0</v>
      </c>
      <c r="AY743" s="16">
        <v>0</v>
      </c>
      <c r="AZ743" s="16">
        <v>0</v>
      </c>
      <c r="BA743" s="16">
        <v>1</v>
      </c>
    </row>
    <row r="744" spans="1:53" s="36" customFormat="1" x14ac:dyDescent="0.2">
      <c r="A744" s="29"/>
      <c r="B744" s="14" t="str">
        <f t="shared" si="216"/>
        <v>Cai et al. 2012</v>
      </c>
      <c r="C744" s="61">
        <f t="shared" si="217"/>
        <v>74</v>
      </c>
      <c r="D744" s="58">
        <v>2012</v>
      </c>
      <c r="E744" s="17"/>
      <c r="F744" s="58">
        <v>1</v>
      </c>
      <c r="G744" s="16">
        <v>2005</v>
      </c>
      <c r="H744" s="15">
        <f>LOOKUP(G744,CPI!A$69:A$100,CPI!O$69:O$100)</f>
        <v>1.1165181771633383</v>
      </c>
      <c r="I744" s="5">
        <v>2095</v>
      </c>
      <c r="J744" s="43">
        <v>0</v>
      </c>
      <c r="K744" s="43"/>
      <c r="L744" s="57"/>
      <c r="M744" s="56"/>
      <c r="N744" s="3">
        <v>193</v>
      </c>
      <c r="O744" s="50">
        <f t="shared" si="203"/>
        <v>193</v>
      </c>
      <c r="P744" s="16">
        <v>0</v>
      </c>
      <c r="Q744" s="16">
        <v>1</v>
      </c>
      <c r="R744" s="16">
        <v>0</v>
      </c>
      <c r="S744" s="42"/>
      <c r="T744" s="56" t="str">
        <f t="shared" si="211"/>
        <v/>
      </c>
      <c r="U744" s="56" t="str">
        <f t="shared" si="213"/>
        <v/>
      </c>
      <c r="V744" s="56" t="str">
        <f t="shared" si="214"/>
        <v/>
      </c>
      <c r="W744" s="42"/>
      <c r="X744" s="42"/>
      <c r="Y744" s="42"/>
      <c r="Z744" s="42"/>
      <c r="AA744" s="37">
        <f t="shared" si="215"/>
        <v>193</v>
      </c>
      <c r="AB744" s="42"/>
      <c r="AC744" s="42"/>
      <c r="AD744" s="42"/>
      <c r="AE744" s="42"/>
      <c r="AF744" s="16">
        <v>0</v>
      </c>
      <c r="AG744" s="16">
        <v>1</v>
      </c>
      <c r="AH744" s="16">
        <v>0</v>
      </c>
      <c r="AI744" s="16">
        <v>1</v>
      </c>
      <c r="AJ744" s="5">
        <v>0</v>
      </c>
      <c r="AK744" s="5">
        <v>1</v>
      </c>
      <c r="AL744" s="5">
        <v>0</v>
      </c>
      <c r="AM744" s="20"/>
      <c r="AN744" s="20">
        <v>3</v>
      </c>
      <c r="AO744" s="16"/>
      <c r="AP744" s="16"/>
      <c r="AQ744" s="16"/>
      <c r="AR744" s="16">
        <v>0</v>
      </c>
      <c r="AS744" s="16">
        <v>0</v>
      </c>
      <c r="AT744" s="16"/>
      <c r="AU744" s="16"/>
      <c r="AV744" s="16"/>
      <c r="AW744" s="16"/>
      <c r="AX744" s="16">
        <v>0</v>
      </c>
      <c r="AY744" s="16">
        <v>0</v>
      </c>
      <c r="AZ744" s="16">
        <v>0</v>
      </c>
      <c r="BA744" s="16">
        <v>1</v>
      </c>
    </row>
    <row r="745" spans="1:53" s="36" customFormat="1" x14ac:dyDescent="0.2">
      <c r="A745" s="29"/>
      <c r="B745" s="14" t="str">
        <f t="shared" si="216"/>
        <v>Cai et al. 2012</v>
      </c>
      <c r="C745" s="61">
        <f t="shared" si="217"/>
        <v>74</v>
      </c>
      <c r="D745" s="58">
        <v>2012</v>
      </c>
      <c r="E745" s="17"/>
      <c r="F745" s="58">
        <v>1</v>
      </c>
      <c r="G745" s="16">
        <v>2005</v>
      </c>
      <c r="H745" s="15">
        <f>LOOKUP(G745,CPI!A$69:A$100,CPI!O$69:O$100)</f>
        <v>1.1165181771633383</v>
      </c>
      <c r="I745" s="5">
        <v>2105</v>
      </c>
      <c r="J745" s="43">
        <v>0</v>
      </c>
      <c r="K745" s="43"/>
      <c r="L745" s="57"/>
      <c r="M745" s="56"/>
      <c r="N745" s="3">
        <v>223</v>
      </c>
      <c r="O745" s="50">
        <f t="shared" si="203"/>
        <v>223</v>
      </c>
      <c r="P745" s="16">
        <v>0</v>
      </c>
      <c r="Q745" s="16">
        <v>1</v>
      </c>
      <c r="R745" s="16">
        <v>0</v>
      </c>
      <c r="S745" s="42"/>
      <c r="T745" s="56" t="str">
        <f t="shared" si="211"/>
        <v/>
      </c>
      <c r="U745" s="56" t="str">
        <f t="shared" si="213"/>
        <v/>
      </c>
      <c r="V745" s="56" t="str">
        <f t="shared" si="214"/>
        <v/>
      </c>
      <c r="W745" s="42"/>
      <c r="X745" s="42"/>
      <c r="Y745" s="42"/>
      <c r="Z745" s="42"/>
      <c r="AA745" s="37">
        <f t="shared" si="215"/>
        <v>223</v>
      </c>
      <c r="AB745" s="42"/>
      <c r="AC745" s="42"/>
      <c r="AD745" s="42"/>
      <c r="AE745" s="42"/>
      <c r="AF745" s="16">
        <v>0</v>
      </c>
      <c r="AG745" s="16">
        <v>1</v>
      </c>
      <c r="AH745" s="16">
        <v>0</v>
      </c>
      <c r="AI745" s="16">
        <v>1</v>
      </c>
      <c r="AJ745" s="5">
        <v>0</v>
      </c>
      <c r="AK745" s="5">
        <v>1</v>
      </c>
      <c r="AL745" s="5">
        <v>0</v>
      </c>
      <c r="AM745" s="20"/>
      <c r="AN745" s="20">
        <v>3</v>
      </c>
      <c r="AO745" s="16"/>
      <c r="AP745" s="16"/>
      <c r="AQ745" s="16"/>
      <c r="AR745" s="16">
        <v>0</v>
      </c>
      <c r="AS745" s="16">
        <v>0</v>
      </c>
      <c r="AT745" s="16"/>
      <c r="AU745" s="16"/>
      <c r="AV745" s="16"/>
      <c r="AW745" s="16"/>
      <c r="AX745" s="16">
        <v>0</v>
      </c>
      <c r="AY745" s="16">
        <v>0</v>
      </c>
      <c r="AZ745" s="16">
        <v>0</v>
      </c>
      <c r="BA745" s="16">
        <v>1</v>
      </c>
    </row>
    <row r="746" spans="1:53" s="36" customFormat="1" x14ac:dyDescent="0.2">
      <c r="A746" s="29"/>
      <c r="B746" s="14" t="str">
        <f t="shared" si="216"/>
        <v>Cai et al. 2012</v>
      </c>
      <c r="C746" s="61">
        <f t="shared" si="217"/>
        <v>74</v>
      </c>
      <c r="D746" s="58">
        <v>2012</v>
      </c>
      <c r="E746" s="17"/>
      <c r="F746" s="58">
        <v>1</v>
      </c>
      <c r="G746" s="16">
        <v>2005</v>
      </c>
      <c r="H746" s="15">
        <f>LOOKUP(G746,CPI!A$69:A$100,CPI!O$69:O$100)</f>
        <v>1.1165181771633383</v>
      </c>
      <c r="I746" s="5">
        <v>2115</v>
      </c>
      <c r="J746" s="43">
        <v>0</v>
      </c>
      <c r="K746" s="43"/>
      <c r="L746" s="57"/>
      <c r="M746" s="56"/>
      <c r="N746" s="3">
        <v>257</v>
      </c>
      <c r="O746" s="50">
        <f t="shared" ref="O746:O819" si="218">N746</f>
        <v>257</v>
      </c>
      <c r="P746" s="16">
        <v>0</v>
      </c>
      <c r="Q746" s="16">
        <v>1</v>
      </c>
      <c r="R746" s="16">
        <v>0</v>
      </c>
      <c r="S746" s="42"/>
      <c r="T746" s="56" t="str">
        <f t="shared" si="211"/>
        <v/>
      </c>
      <c r="U746" s="56" t="str">
        <f t="shared" ref="U746:U779" si="219">+V746</f>
        <v/>
      </c>
      <c r="V746" s="56" t="str">
        <f t="shared" si="214"/>
        <v/>
      </c>
      <c r="W746" s="42"/>
      <c r="X746" s="42"/>
      <c r="Y746" s="42"/>
      <c r="Z746" s="42"/>
      <c r="AA746" s="37">
        <f t="shared" ref="AA746:AA779" si="220">N746</f>
        <v>257</v>
      </c>
      <c r="AB746" s="42"/>
      <c r="AC746" s="42"/>
      <c r="AD746" s="42"/>
      <c r="AE746" s="42"/>
      <c r="AF746" s="16">
        <v>0</v>
      </c>
      <c r="AG746" s="16">
        <v>1</v>
      </c>
      <c r="AH746" s="16">
        <v>0</v>
      </c>
      <c r="AI746" s="16">
        <v>1</v>
      </c>
      <c r="AJ746" s="5">
        <v>0</v>
      </c>
      <c r="AK746" s="5">
        <v>1</v>
      </c>
      <c r="AL746" s="5">
        <v>0</v>
      </c>
      <c r="AM746" s="20"/>
      <c r="AN746" s="20">
        <v>3</v>
      </c>
      <c r="AO746" s="16"/>
      <c r="AP746" s="16"/>
      <c r="AQ746" s="16"/>
      <c r="AR746" s="16">
        <v>0</v>
      </c>
      <c r="AS746" s="16">
        <v>0</v>
      </c>
      <c r="AT746" s="16"/>
      <c r="AU746" s="16"/>
      <c r="AV746" s="16"/>
      <c r="AW746" s="16"/>
      <c r="AX746" s="16">
        <v>0</v>
      </c>
      <c r="AY746" s="16">
        <v>0</v>
      </c>
      <c r="AZ746" s="16">
        <v>0</v>
      </c>
      <c r="BA746" s="16">
        <v>1</v>
      </c>
    </row>
    <row r="747" spans="1:53" s="36" customFormat="1" x14ac:dyDescent="0.2">
      <c r="A747" s="29"/>
      <c r="B747" s="14" t="str">
        <f t="shared" si="216"/>
        <v>Cai et al. 2012</v>
      </c>
      <c r="C747" s="61">
        <f t="shared" si="217"/>
        <v>74</v>
      </c>
      <c r="D747" s="58">
        <v>2012</v>
      </c>
      <c r="E747" s="17"/>
      <c r="F747" s="58">
        <v>1</v>
      </c>
      <c r="G747" s="16">
        <v>2005</v>
      </c>
      <c r="H747" s="15">
        <f>LOOKUP(G747,CPI!A$69:A$100,CPI!O$69:O$100)</f>
        <v>1.1165181771633383</v>
      </c>
      <c r="I747" s="5">
        <v>2125</v>
      </c>
      <c r="J747" s="43">
        <v>0</v>
      </c>
      <c r="K747" s="43"/>
      <c r="L747" s="57"/>
      <c r="M747" s="56"/>
      <c r="N747" s="3">
        <v>295</v>
      </c>
      <c r="O747" s="50">
        <f t="shared" si="218"/>
        <v>295</v>
      </c>
      <c r="P747" s="16">
        <v>0</v>
      </c>
      <c r="Q747" s="16">
        <v>1</v>
      </c>
      <c r="R747" s="16">
        <v>0</v>
      </c>
      <c r="S747" s="42"/>
      <c r="T747" s="56" t="str">
        <f t="shared" si="211"/>
        <v/>
      </c>
      <c r="U747" s="56" t="str">
        <f t="shared" si="219"/>
        <v/>
      </c>
      <c r="V747" s="56" t="str">
        <f t="shared" si="214"/>
        <v/>
      </c>
      <c r="W747" s="42"/>
      <c r="X747" s="42"/>
      <c r="Y747" s="42"/>
      <c r="Z747" s="42"/>
      <c r="AA747" s="37">
        <f t="shared" si="220"/>
        <v>295</v>
      </c>
      <c r="AB747" s="42"/>
      <c r="AC747" s="42"/>
      <c r="AD747" s="42"/>
      <c r="AE747" s="42"/>
      <c r="AF747" s="16">
        <v>0</v>
      </c>
      <c r="AG747" s="16">
        <v>1</v>
      </c>
      <c r="AH747" s="16">
        <v>0</v>
      </c>
      <c r="AI747" s="16">
        <v>1</v>
      </c>
      <c r="AJ747" s="5">
        <v>0</v>
      </c>
      <c r="AK747" s="5">
        <v>1</v>
      </c>
      <c r="AL747" s="5">
        <v>0</v>
      </c>
      <c r="AM747" s="20"/>
      <c r="AN747" s="20">
        <v>3</v>
      </c>
      <c r="AO747" s="16"/>
      <c r="AP747" s="16"/>
      <c r="AQ747" s="16"/>
      <c r="AR747" s="16">
        <v>0</v>
      </c>
      <c r="AS747" s="16">
        <v>0</v>
      </c>
      <c r="AT747" s="16"/>
      <c r="AU747" s="16"/>
      <c r="AV747" s="16"/>
      <c r="AW747" s="16"/>
      <c r="AX747" s="16">
        <v>0</v>
      </c>
      <c r="AY747" s="16">
        <v>0</v>
      </c>
      <c r="AZ747" s="16">
        <v>0</v>
      </c>
      <c r="BA747" s="16">
        <v>1</v>
      </c>
    </row>
    <row r="748" spans="1:53" s="36" customFormat="1" x14ac:dyDescent="0.2">
      <c r="A748" s="29"/>
      <c r="B748" s="14" t="str">
        <f t="shared" si="216"/>
        <v>Cai et al. 2012</v>
      </c>
      <c r="C748" s="61">
        <f t="shared" si="217"/>
        <v>74</v>
      </c>
      <c r="D748" s="58">
        <v>2012</v>
      </c>
      <c r="E748" s="17"/>
      <c r="F748" s="58">
        <v>1</v>
      </c>
      <c r="G748" s="16">
        <v>2005</v>
      </c>
      <c r="H748" s="15">
        <f>LOOKUP(G748,CPI!A$69:A$100,CPI!O$69:O$100)</f>
        <v>1.1165181771633383</v>
      </c>
      <c r="I748" s="5">
        <v>2135</v>
      </c>
      <c r="J748" s="43">
        <v>0</v>
      </c>
      <c r="K748" s="43"/>
      <c r="L748" s="57"/>
      <c r="M748" s="56"/>
      <c r="N748" s="3">
        <v>337</v>
      </c>
      <c r="O748" s="50">
        <f t="shared" si="218"/>
        <v>337</v>
      </c>
      <c r="P748" s="16">
        <v>0</v>
      </c>
      <c r="Q748" s="16">
        <v>1</v>
      </c>
      <c r="R748" s="16">
        <v>0</v>
      </c>
      <c r="S748" s="42"/>
      <c r="T748" s="56" t="str">
        <f t="shared" si="211"/>
        <v/>
      </c>
      <c r="U748" s="56" t="str">
        <f t="shared" si="219"/>
        <v/>
      </c>
      <c r="V748" s="56" t="str">
        <f t="shared" si="214"/>
        <v/>
      </c>
      <c r="W748" s="42"/>
      <c r="X748" s="42"/>
      <c r="Y748" s="42"/>
      <c r="Z748" s="42"/>
      <c r="AA748" s="37">
        <f t="shared" si="220"/>
        <v>337</v>
      </c>
      <c r="AB748" s="42"/>
      <c r="AC748" s="42"/>
      <c r="AD748" s="42"/>
      <c r="AE748" s="42"/>
      <c r="AF748" s="16">
        <v>0</v>
      </c>
      <c r="AG748" s="16">
        <v>1</v>
      </c>
      <c r="AH748" s="16">
        <v>0</v>
      </c>
      <c r="AI748" s="16">
        <v>1</v>
      </c>
      <c r="AJ748" s="5">
        <v>0</v>
      </c>
      <c r="AK748" s="5">
        <v>1</v>
      </c>
      <c r="AL748" s="5">
        <v>0</v>
      </c>
      <c r="AM748" s="20"/>
      <c r="AN748" s="20">
        <v>3</v>
      </c>
      <c r="AO748" s="16"/>
      <c r="AP748" s="16"/>
      <c r="AQ748" s="16"/>
      <c r="AR748" s="16">
        <v>0</v>
      </c>
      <c r="AS748" s="16">
        <v>0</v>
      </c>
      <c r="AT748" s="16"/>
      <c r="AU748" s="16"/>
      <c r="AV748" s="16"/>
      <c r="AW748" s="16"/>
      <c r="AX748" s="16">
        <v>0</v>
      </c>
      <c r="AY748" s="16">
        <v>0</v>
      </c>
      <c r="AZ748" s="16">
        <v>0</v>
      </c>
      <c r="BA748" s="16">
        <v>1</v>
      </c>
    </row>
    <row r="749" spans="1:53" s="36" customFormat="1" x14ac:dyDescent="0.2">
      <c r="A749" s="29"/>
      <c r="B749" s="14" t="str">
        <f t="shared" si="216"/>
        <v>Cai et al. 2012</v>
      </c>
      <c r="C749" s="61">
        <f t="shared" si="217"/>
        <v>74</v>
      </c>
      <c r="D749" s="58">
        <v>2012</v>
      </c>
      <c r="E749" s="17"/>
      <c r="F749" s="58">
        <v>1</v>
      </c>
      <c r="G749" s="16">
        <v>2005</v>
      </c>
      <c r="H749" s="15">
        <f>LOOKUP(G749,CPI!A$69:A$100,CPI!O$69:O$100)</f>
        <v>1.1165181771633383</v>
      </c>
      <c r="I749" s="5">
        <v>2145</v>
      </c>
      <c r="J749" s="43">
        <v>0</v>
      </c>
      <c r="K749" s="43"/>
      <c r="L749" s="57"/>
      <c r="M749" s="56"/>
      <c r="N749" s="3">
        <v>384</v>
      </c>
      <c r="O749" s="50">
        <f t="shared" si="218"/>
        <v>384</v>
      </c>
      <c r="P749" s="16">
        <v>0</v>
      </c>
      <c r="Q749" s="16">
        <v>1</v>
      </c>
      <c r="R749" s="16">
        <v>0</v>
      </c>
      <c r="S749" s="42"/>
      <c r="T749" s="56" t="str">
        <f t="shared" si="211"/>
        <v/>
      </c>
      <c r="U749" s="56" t="str">
        <f t="shared" si="219"/>
        <v/>
      </c>
      <c r="V749" s="56" t="str">
        <f t="shared" si="214"/>
        <v/>
      </c>
      <c r="W749" s="42"/>
      <c r="X749" s="42"/>
      <c r="Y749" s="42"/>
      <c r="Z749" s="42"/>
      <c r="AA749" s="37">
        <f t="shared" si="220"/>
        <v>384</v>
      </c>
      <c r="AB749" s="42"/>
      <c r="AC749" s="42"/>
      <c r="AD749" s="42"/>
      <c r="AE749" s="42"/>
      <c r="AF749" s="16">
        <v>0</v>
      </c>
      <c r="AG749" s="16">
        <v>1</v>
      </c>
      <c r="AH749" s="16">
        <v>0</v>
      </c>
      <c r="AI749" s="16">
        <v>1</v>
      </c>
      <c r="AJ749" s="5">
        <v>0</v>
      </c>
      <c r="AK749" s="5">
        <v>1</v>
      </c>
      <c r="AL749" s="5">
        <v>0</v>
      </c>
      <c r="AM749" s="20"/>
      <c r="AN749" s="20">
        <v>3</v>
      </c>
      <c r="AO749" s="16"/>
      <c r="AP749" s="16"/>
      <c r="AQ749" s="16"/>
      <c r="AR749" s="16">
        <v>0</v>
      </c>
      <c r="AS749" s="16">
        <v>0</v>
      </c>
      <c r="AT749" s="16"/>
      <c r="AU749" s="16"/>
      <c r="AV749" s="16"/>
      <c r="AW749" s="16"/>
      <c r="AX749" s="16">
        <v>0</v>
      </c>
      <c r="AY749" s="16">
        <v>0</v>
      </c>
      <c r="AZ749" s="16">
        <v>0</v>
      </c>
      <c r="BA749" s="16">
        <v>1</v>
      </c>
    </row>
    <row r="750" spans="1:53" s="36" customFormat="1" x14ac:dyDescent="0.2">
      <c r="A750" s="29"/>
      <c r="B750" s="14" t="str">
        <f t="shared" si="216"/>
        <v>Cai et al. 2012</v>
      </c>
      <c r="C750" s="61">
        <f t="shared" si="217"/>
        <v>74</v>
      </c>
      <c r="D750" s="58">
        <v>2012</v>
      </c>
      <c r="E750" s="17"/>
      <c r="F750" s="58">
        <v>1</v>
      </c>
      <c r="G750" s="16">
        <v>2005</v>
      </c>
      <c r="H750" s="15">
        <f>LOOKUP(G750,CPI!A$69:A$100,CPI!O$69:O$100)</f>
        <v>1.1165181771633383</v>
      </c>
      <c r="I750" s="5">
        <v>2155</v>
      </c>
      <c r="J750" s="43">
        <v>0</v>
      </c>
      <c r="K750" s="43"/>
      <c r="L750" s="57"/>
      <c r="M750" s="56"/>
      <c r="N750" s="3">
        <v>438</v>
      </c>
      <c r="O750" s="50">
        <f t="shared" si="218"/>
        <v>438</v>
      </c>
      <c r="P750" s="16">
        <v>0</v>
      </c>
      <c r="Q750" s="16">
        <v>1</v>
      </c>
      <c r="R750" s="16">
        <v>0</v>
      </c>
      <c r="S750" s="42"/>
      <c r="T750" s="56" t="str">
        <f t="shared" si="211"/>
        <v/>
      </c>
      <c r="U750" s="56" t="str">
        <f t="shared" si="219"/>
        <v/>
      </c>
      <c r="V750" s="56" t="str">
        <f t="shared" si="214"/>
        <v/>
      </c>
      <c r="W750" s="42"/>
      <c r="X750" s="42"/>
      <c r="Y750" s="42"/>
      <c r="Z750" s="42"/>
      <c r="AA750" s="37">
        <f t="shared" si="220"/>
        <v>438</v>
      </c>
      <c r="AB750" s="42"/>
      <c r="AC750" s="42"/>
      <c r="AD750" s="42"/>
      <c r="AE750" s="42"/>
      <c r="AF750" s="16">
        <v>0</v>
      </c>
      <c r="AG750" s="16">
        <v>1</v>
      </c>
      <c r="AH750" s="16">
        <v>0</v>
      </c>
      <c r="AI750" s="16">
        <v>1</v>
      </c>
      <c r="AJ750" s="5">
        <v>0</v>
      </c>
      <c r="AK750" s="5">
        <v>1</v>
      </c>
      <c r="AL750" s="5">
        <v>0</v>
      </c>
      <c r="AM750" s="20"/>
      <c r="AN750" s="20">
        <v>3</v>
      </c>
      <c r="AO750" s="16"/>
      <c r="AP750" s="16"/>
      <c r="AQ750" s="16"/>
      <c r="AR750" s="16">
        <v>0</v>
      </c>
      <c r="AS750" s="16">
        <v>0</v>
      </c>
      <c r="AT750" s="16"/>
      <c r="AU750" s="16"/>
      <c r="AV750" s="16"/>
      <c r="AW750" s="16"/>
      <c r="AX750" s="16">
        <v>0</v>
      </c>
      <c r="AY750" s="16">
        <v>0</v>
      </c>
      <c r="AZ750" s="16">
        <v>0</v>
      </c>
      <c r="BA750" s="16">
        <v>1</v>
      </c>
    </row>
    <row r="751" spans="1:53" s="36" customFormat="1" x14ac:dyDescent="0.2">
      <c r="A751" s="29"/>
      <c r="B751" s="14" t="str">
        <f t="shared" si="216"/>
        <v>Cai et al. 2012</v>
      </c>
      <c r="C751" s="61">
        <f t="shared" si="217"/>
        <v>74</v>
      </c>
      <c r="D751" s="58">
        <v>2012</v>
      </c>
      <c r="E751" s="17"/>
      <c r="F751" s="58">
        <v>1</v>
      </c>
      <c r="G751" s="16">
        <v>2005</v>
      </c>
      <c r="H751" s="15">
        <f>LOOKUP(G751,CPI!A$69:A$100,CPI!O$69:O$100)</f>
        <v>1.1165181771633383</v>
      </c>
      <c r="I751" s="5">
        <v>2165</v>
      </c>
      <c r="J751" s="43">
        <v>0</v>
      </c>
      <c r="K751" s="43"/>
      <c r="L751" s="57"/>
      <c r="M751" s="56"/>
      <c r="N751" s="3">
        <v>498</v>
      </c>
      <c r="O751" s="50">
        <f t="shared" si="218"/>
        <v>498</v>
      </c>
      <c r="P751" s="16">
        <v>0</v>
      </c>
      <c r="Q751" s="16">
        <v>1</v>
      </c>
      <c r="R751" s="16">
        <v>0</v>
      </c>
      <c r="S751" s="42"/>
      <c r="T751" s="56" t="str">
        <f t="shared" si="211"/>
        <v/>
      </c>
      <c r="U751" s="56" t="str">
        <f t="shared" si="219"/>
        <v/>
      </c>
      <c r="V751" s="56" t="str">
        <f t="shared" si="214"/>
        <v/>
      </c>
      <c r="W751" s="42"/>
      <c r="X751" s="42"/>
      <c r="Y751" s="42"/>
      <c r="Z751" s="42"/>
      <c r="AA751" s="37">
        <f t="shared" si="220"/>
        <v>498</v>
      </c>
      <c r="AB751" s="42"/>
      <c r="AC751" s="42"/>
      <c r="AD751" s="42"/>
      <c r="AE751" s="42"/>
      <c r="AF751" s="16">
        <v>0</v>
      </c>
      <c r="AG751" s="16">
        <v>1</v>
      </c>
      <c r="AH751" s="16">
        <v>0</v>
      </c>
      <c r="AI751" s="16">
        <v>1</v>
      </c>
      <c r="AJ751" s="5">
        <v>0</v>
      </c>
      <c r="AK751" s="5">
        <v>1</v>
      </c>
      <c r="AL751" s="5">
        <v>0</v>
      </c>
      <c r="AM751" s="20"/>
      <c r="AN751" s="20">
        <v>3</v>
      </c>
      <c r="AO751" s="16"/>
      <c r="AP751" s="16"/>
      <c r="AQ751" s="16"/>
      <c r="AR751" s="16">
        <v>0</v>
      </c>
      <c r="AS751" s="16">
        <v>0</v>
      </c>
      <c r="AT751" s="16"/>
      <c r="AU751" s="16"/>
      <c r="AV751" s="16"/>
      <c r="AW751" s="16"/>
      <c r="AX751" s="16">
        <v>0</v>
      </c>
      <c r="AY751" s="16">
        <v>0</v>
      </c>
      <c r="AZ751" s="16">
        <v>0</v>
      </c>
      <c r="BA751" s="16">
        <v>1</v>
      </c>
    </row>
    <row r="752" spans="1:53" s="36" customFormat="1" x14ac:dyDescent="0.2">
      <c r="A752" s="29"/>
      <c r="B752" s="14" t="str">
        <f t="shared" si="216"/>
        <v>Cai et al. 2012</v>
      </c>
      <c r="C752" s="61">
        <f t="shared" si="217"/>
        <v>74</v>
      </c>
      <c r="D752" s="58">
        <v>2012</v>
      </c>
      <c r="E752" s="17"/>
      <c r="F752" s="58">
        <v>1</v>
      </c>
      <c r="G752" s="16">
        <v>2005</v>
      </c>
      <c r="H752" s="15">
        <f>LOOKUP(G752,CPI!A$69:A$100,CPI!O$69:O$100)</f>
        <v>1.1165181771633383</v>
      </c>
      <c r="I752" s="5">
        <v>2175</v>
      </c>
      <c r="J752" s="43">
        <v>0</v>
      </c>
      <c r="K752" s="43"/>
      <c r="L752" s="57"/>
      <c r="M752" s="56"/>
      <c r="N752" s="3">
        <v>567</v>
      </c>
      <c r="O752" s="50">
        <f t="shared" si="218"/>
        <v>567</v>
      </c>
      <c r="P752" s="16">
        <v>0</v>
      </c>
      <c r="Q752" s="16">
        <v>1</v>
      </c>
      <c r="R752" s="16">
        <v>0</v>
      </c>
      <c r="S752" s="42"/>
      <c r="T752" s="56" t="str">
        <f t="shared" si="211"/>
        <v/>
      </c>
      <c r="U752" s="56" t="str">
        <f t="shared" si="219"/>
        <v/>
      </c>
      <c r="V752" s="56" t="str">
        <f t="shared" si="214"/>
        <v/>
      </c>
      <c r="W752" s="42"/>
      <c r="X752" s="42"/>
      <c r="Y752" s="42"/>
      <c r="Z752" s="42"/>
      <c r="AA752" s="37">
        <f t="shared" si="220"/>
        <v>567</v>
      </c>
      <c r="AB752" s="42"/>
      <c r="AC752" s="42"/>
      <c r="AD752" s="42"/>
      <c r="AE752" s="42"/>
      <c r="AF752" s="16">
        <v>0</v>
      </c>
      <c r="AG752" s="16">
        <v>1</v>
      </c>
      <c r="AH752" s="16">
        <v>0</v>
      </c>
      <c r="AI752" s="16">
        <v>1</v>
      </c>
      <c r="AJ752" s="5">
        <v>0</v>
      </c>
      <c r="AK752" s="5">
        <v>1</v>
      </c>
      <c r="AL752" s="5">
        <v>0</v>
      </c>
      <c r="AM752" s="20"/>
      <c r="AN752" s="20">
        <v>3</v>
      </c>
      <c r="AO752" s="16"/>
      <c r="AP752" s="16"/>
      <c r="AQ752" s="16"/>
      <c r="AR752" s="16">
        <v>0</v>
      </c>
      <c r="AS752" s="16">
        <v>0</v>
      </c>
      <c r="AT752" s="16"/>
      <c r="AU752" s="16"/>
      <c r="AV752" s="16"/>
      <c r="AW752" s="16"/>
      <c r="AX752" s="16">
        <v>0</v>
      </c>
      <c r="AY752" s="16">
        <v>0</v>
      </c>
      <c r="AZ752" s="16">
        <v>0</v>
      </c>
      <c r="BA752" s="16">
        <v>1</v>
      </c>
    </row>
    <row r="753" spans="1:53" s="36" customFormat="1" x14ac:dyDescent="0.2">
      <c r="A753" s="29"/>
      <c r="B753" s="14" t="str">
        <f t="shared" si="216"/>
        <v>Cai et al. 2012</v>
      </c>
      <c r="C753" s="61">
        <f t="shared" si="217"/>
        <v>74</v>
      </c>
      <c r="D753" s="58">
        <v>2012</v>
      </c>
      <c r="E753" s="17"/>
      <c r="F753" s="58">
        <v>1</v>
      </c>
      <c r="G753" s="16">
        <v>2005</v>
      </c>
      <c r="H753" s="15">
        <f>LOOKUP(G753,CPI!A$69:A$100,CPI!O$69:O$100)</f>
        <v>1.1165181771633383</v>
      </c>
      <c r="I753" s="5">
        <v>2185</v>
      </c>
      <c r="J753" s="43">
        <v>0</v>
      </c>
      <c r="K753" s="43"/>
      <c r="L753" s="57"/>
      <c r="M753" s="56"/>
      <c r="N753" s="3">
        <v>644</v>
      </c>
      <c r="O753" s="50">
        <f t="shared" si="218"/>
        <v>644</v>
      </c>
      <c r="P753" s="16">
        <v>0</v>
      </c>
      <c r="Q753" s="16">
        <v>1</v>
      </c>
      <c r="R753" s="16">
        <v>0</v>
      </c>
      <c r="S753" s="42"/>
      <c r="T753" s="56" t="str">
        <f t="shared" si="211"/>
        <v/>
      </c>
      <c r="U753" s="56" t="str">
        <f t="shared" si="219"/>
        <v/>
      </c>
      <c r="V753" s="56" t="str">
        <f t="shared" si="214"/>
        <v/>
      </c>
      <c r="W753" s="42"/>
      <c r="X753" s="42"/>
      <c r="Y753" s="42"/>
      <c r="Z753" s="42"/>
      <c r="AA753" s="37">
        <f t="shared" si="220"/>
        <v>644</v>
      </c>
      <c r="AB753" s="42"/>
      <c r="AC753" s="42"/>
      <c r="AD753" s="42"/>
      <c r="AE753" s="42"/>
      <c r="AF753" s="16">
        <v>0</v>
      </c>
      <c r="AG753" s="16">
        <v>1</v>
      </c>
      <c r="AH753" s="16">
        <v>0</v>
      </c>
      <c r="AI753" s="16">
        <v>1</v>
      </c>
      <c r="AJ753" s="5">
        <v>0</v>
      </c>
      <c r="AK753" s="5">
        <v>1</v>
      </c>
      <c r="AL753" s="5">
        <v>0</v>
      </c>
      <c r="AM753" s="20"/>
      <c r="AN753" s="20">
        <v>3</v>
      </c>
      <c r="AO753" s="16"/>
      <c r="AP753" s="16"/>
      <c r="AQ753" s="16"/>
      <c r="AR753" s="16">
        <v>0</v>
      </c>
      <c r="AS753" s="16">
        <v>0</v>
      </c>
      <c r="AT753" s="16"/>
      <c r="AU753" s="16"/>
      <c r="AV753" s="16"/>
      <c r="AW753" s="16"/>
      <c r="AX753" s="16">
        <v>0</v>
      </c>
      <c r="AY753" s="16">
        <v>0</v>
      </c>
      <c r="AZ753" s="16">
        <v>0</v>
      </c>
      <c r="BA753" s="16">
        <v>1</v>
      </c>
    </row>
    <row r="754" spans="1:53" s="36" customFormat="1" x14ac:dyDescent="0.2">
      <c r="A754" s="29"/>
      <c r="B754" s="14" t="str">
        <f t="shared" si="216"/>
        <v>Cai et al. 2012</v>
      </c>
      <c r="C754" s="61">
        <f t="shared" si="217"/>
        <v>74</v>
      </c>
      <c r="D754" s="58">
        <v>2012</v>
      </c>
      <c r="E754" s="17"/>
      <c r="F754" s="58">
        <v>1</v>
      </c>
      <c r="G754" s="16">
        <v>2005</v>
      </c>
      <c r="H754" s="15">
        <f>LOOKUP(G754,CPI!A$69:A$100,CPI!O$69:O$100)</f>
        <v>1.1165181771633383</v>
      </c>
      <c r="I754" s="5">
        <v>2195</v>
      </c>
      <c r="J754" s="43">
        <v>0</v>
      </c>
      <c r="K754" s="43"/>
      <c r="L754" s="57"/>
      <c r="M754" s="56"/>
      <c r="N754" s="3">
        <v>730</v>
      </c>
      <c r="O754" s="50">
        <f t="shared" si="218"/>
        <v>730</v>
      </c>
      <c r="P754" s="16">
        <v>0</v>
      </c>
      <c r="Q754" s="16">
        <v>1</v>
      </c>
      <c r="R754" s="16">
        <v>0</v>
      </c>
      <c r="S754" s="42"/>
      <c r="T754" s="56" t="str">
        <f t="shared" si="211"/>
        <v/>
      </c>
      <c r="U754" s="56" t="str">
        <f t="shared" si="219"/>
        <v/>
      </c>
      <c r="V754" s="56" t="str">
        <f t="shared" si="214"/>
        <v/>
      </c>
      <c r="W754" s="42"/>
      <c r="X754" s="42"/>
      <c r="Y754" s="42"/>
      <c r="Z754" s="42"/>
      <c r="AA754" s="37">
        <f t="shared" si="220"/>
        <v>730</v>
      </c>
      <c r="AB754" s="42"/>
      <c r="AC754" s="42"/>
      <c r="AD754" s="42"/>
      <c r="AE754" s="42"/>
      <c r="AF754" s="16">
        <v>0</v>
      </c>
      <c r="AG754" s="16">
        <v>1</v>
      </c>
      <c r="AH754" s="16">
        <v>0</v>
      </c>
      <c r="AI754" s="16">
        <v>1</v>
      </c>
      <c r="AJ754" s="5">
        <v>0</v>
      </c>
      <c r="AK754" s="5">
        <v>1</v>
      </c>
      <c r="AL754" s="5">
        <v>0</v>
      </c>
      <c r="AM754" s="20"/>
      <c r="AN754" s="20">
        <v>3</v>
      </c>
      <c r="AO754" s="16"/>
      <c r="AP754" s="16"/>
      <c r="AQ754" s="16"/>
      <c r="AR754" s="16">
        <v>0</v>
      </c>
      <c r="AS754" s="16">
        <v>0</v>
      </c>
      <c r="AT754" s="16"/>
      <c r="AU754" s="16"/>
      <c r="AV754" s="16"/>
      <c r="AW754" s="16"/>
      <c r="AX754" s="16">
        <v>0</v>
      </c>
      <c r="AY754" s="16">
        <v>0</v>
      </c>
      <c r="AZ754" s="16">
        <v>0</v>
      </c>
      <c r="BA754" s="16">
        <v>1</v>
      </c>
    </row>
    <row r="755" spans="1:53" s="36" customFormat="1" x14ac:dyDescent="0.2">
      <c r="A755" s="29"/>
      <c r="B755" s="14" t="str">
        <f t="shared" si="216"/>
        <v>Cai et al. 2012</v>
      </c>
      <c r="C755" s="61">
        <f t="shared" si="217"/>
        <v>74</v>
      </c>
      <c r="D755" s="58">
        <v>2012</v>
      </c>
      <c r="E755" s="17"/>
      <c r="F755" s="58">
        <v>1</v>
      </c>
      <c r="G755" s="16">
        <v>2005</v>
      </c>
      <c r="H755" s="15">
        <f>LOOKUP(G755,CPI!A$69:A$100,CPI!O$69:O$100)</f>
        <v>1.1165181771633383</v>
      </c>
      <c r="I755" s="5">
        <v>2205</v>
      </c>
      <c r="J755" s="43">
        <v>0</v>
      </c>
      <c r="K755" s="43"/>
      <c r="L755" s="57"/>
      <c r="M755" s="56"/>
      <c r="N755" s="3">
        <v>800</v>
      </c>
      <c r="O755" s="50">
        <f t="shared" si="218"/>
        <v>800</v>
      </c>
      <c r="P755" s="16">
        <v>0</v>
      </c>
      <c r="Q755" s="16">
        <v>1</v>
      </c>
      <c r="R755" s="16">
        <v>0</v>
      </c>
      <c r="S755" s="42"/>
      <c r="T755" s="56" t="str">
        <f t="shared" si="211"/>
        <v/>
      </c>
      <c r="U755" s="56" t="str">
        <f t="shared" si="219"/>
        <v/>
      </c>
      <c r="V755" s="56" t="str">
        <f t="shared" si="214"/>
        <v/>
      </c>
      <c r="W755" s="42"/>
      <c r="X755" s="42"/>
      <c r="Y755" s="42"/>
      <c r="Z755" s="42"/>
      <c r="AA755" s="37">
        <f t="shared" si="220"/>
        <v>800</v>
      </c>
      <c r="AB755" s="42"/>
      <c r="AC755" s="42"/>
      <c r="AD755" s="42"/>
      <c r="AE755" s="42"/>
      <c r="AF755" s="16">
        <v>0</v>
      </c>
      <c r="AG755" s="16">
        <v>1</v>
      </c>
      <c r="AH755" s="16">
        <v>0</v>
      </c>
      <c r="AI755" s="16">
        <v>1</v>
      </c>
      <c r="AJ755" s="5">
        <v>0</v>
      </c>
      <c r="AK755" s="5">
        <v>1</v>
      </c>
      <c r="AL755" s="5">
        <v>0</v>
      </c>
      <c r="AM755" s="20"/>
      <c r="AN755" s="20">
        <v>3</v>
      </c>
      <c r="AO755" s="16"/>
      <c r="AP755" s="16"/>
      <c r="AQ755" s="16"/>
      <c r="AR755" s="16">
        <v>0</v>
      </c>
      <c r="AS755" s="16">
        <v>0</v>
      </c>
      <c r="AT755" s="16"/>
      <c r="AU755" s="16"/>
      <c r="AV755" s="16"/>
      <c r="AW755" s="16"/>
      <c r="AX755" s="16">
        <v>0</v>
      </c>
      <c r="AY755" s="16">
        <v>0</v>
      </c>
      <c r="AZ755" s="16">
        <v>0</v>
      </c>
      <c r="BA755" s="16">
        <v>1</v>
      </c>
    </row>
    <row r="756" spans="1:53" s="41" customFormat="1" x14ac:dyDescent="0.2">
      <c r="A756" s="41" t="s">
        <v>222</v>
      </c>
      <c r="B756" s="14" t="str">
        <f t="shared" si="216"/>
        <v>Espagne 2012</v>
      </c>
      <c r="C756" s="61">
        <f t="shared" si="217"/>
        <v>75</v>
      </c>
      <c r="D756" s="58">
        <v>2012</v>
      </c>
      <c r="E756" s="38" t="s">
        <v>223</v>
      </c>
      <c r="F756" s="58">
        <v>0</v>
      </c>
      <c r="G756" s="5">
        <v>2005</v>
      </c>
      <c r="H756" s="44">
        <f>LOOKUP(G756,CPI!A$69:A$100,CPI!O$69:O$100)</f>
        <v>1.1165181771633383</v>
      </c>
      <c r="I756" s="52">
        <v>2010</v>
      </c>
      <c r="J756" s="43"/>
      <c r="K756" s="43"/>
      <c r="L756" s="57"/>
      <c r="M756" s="56">
        <f>AA756*H756*(1+$L$2)^(2015-I756)</f>
        <v>87.481126478951879</v>
      </c>
      <c r="N756" s="3"/>
      <c r="O756" s="41">
        <f>(5*(44/12))*(44/12)</f>
        <v>67.222222222222214</v>
      </c>
      <c r="P756" s="5">
        <v>1</v>
      </c>
      <c r="Q756" s="5">
        <v>0</v>
      </c>
      <c r="R756" s="5">
        <v>0</v>
      </c>
      <c r="T756" s="56"/>
      <c r="U756" s="77"/>
      <c r="V756" s="77"/>
      <c r="AA756" s="49">
        <f t="shared" ref="AA756:AA765" si="221">+O756</f>
        <v>67.222222222222214</v>
      </c>
      <c r="AF756" s="5">
        <v>1</v>
      </c>
      <c r="AG756" s="5">
        <v>1</v>
      </c>
      <c r="AH756" s="5">
        <v>1</v>
      </c>
      <c r="AI756" s="5">
        <v>0</v>
      </c>
      <c r="AJ756" s="5">
        <v>0</v>
      </c>
      <c r="AK756" s="5">
        <v>0</v>
      </c>
      <c r="AL756" s="5">
        <v>0</v>
      </c>
      <c r="AM756" s="13">
        <v>4.0999999999999996</v>
      </c>
      <c r="AN756" s="13">
        <v>1.5</v>
      </c>
      <c r="AO756" s="5">
        <v>2</v>
      </c>
      <c r="AP756" s="3">
        <v>1.3</v>
      </c>
      <c r="AQ756" s="5">
        <v>0.5</v>
      </c>
      <c r="AR756" s="5">
        <v>0</v>
      </c>
      <c r="AS756" s="5">
        <v>0</v>
      </c>
      <c r="AT756" s="5"/>
      <c r="AU756" s="5">
        <v>3</v>
      </c>
      <c r="AV756" s="5"/>
      <c r="AW756" s="5"/>
      <c r="AX756" s="5">
        <v>0</v>
      </c>
      <c r="AY756" s="5">
        <v>0</v>
      </c>
      <c r="AZ756" s="5">
        <v>0</v>
      </c>
      <c r="BA756" s="5">
        <v>1</v>
      </c>
    </row>
    <row r="757" spans="1:53" s="41" customFormat="1" x14ac:dyDescent="0.2">
      <c r="B757" s="14" t="str">
        <f t="shared" si="216"/>
        <v>Espagne 2012</v>
      </c>
      <c r="C757" s="61">
        <f t="shared" si="217"/>
        <v>75</v>
      </c>
      <c r="D757" s="58">
        <v>2012</v>
      </c>
      <c r="E757" s="38"/>
      <c r="F757" s="58">
        <v>0</v>
      </c>
      <c r="G757" s="5">
        <v>2005</v>
      </c>
      <c r="H757" s="44">
        <f>LOOKUP(G757,CPI!A$69:A$100,CPI!O$69:O$100)</f>
        <v>1.1165181771633383</v>
      </c>
      <c r="I757" s="5">
        <v>2130</v>
      </c>
      <c r="J757" s="43"/>
      <c r="K757" s="43"/>
      <c r="L757" s="57"/>
      <c r="M757" s="56"/>
      <c r="N757" s="3"/>
      <c r="O757" s="41">
        <f>(14.5*(44/12))*(44/12)</f>
        <v>194.94444444444443</v>
      </c>
      <c r="P757" s="5">
        <v>1</v>
      </c>
      <c r="Q757" s="5">
        <v>0</v>
      </c>
      <c r="R757" s="5">
        <v>0</v>
      </c>
      <c r="T757" s="56"/>
      <c r="U757" s="77"/>
      <c r="V757" s="77"/>
      <c r="AA757" s="49">
        <f t="shared" si="221"/>
        <v>194.94444444444443</v>
      </c>
      <c r="AF757" s="5">
        <v>1</v>
      </c>
      <c r="AG757" s="5">
        <v>1</v>
      </c>
      <c r="AH757" s="5">
        <v>1</v>
      </c>
      <c r="AI757" s="5">
        <v>0</v>
      </c>
      <c r="AJ757" s="5">
        <v>0</v>
      </c>
      <c r="AK757" s="5">
        <v>0</v>
      </c>
      <c r="AL757" s="5">
        <v>0</v>
      </c>
      <c r="AM757" s="13">
        <v>4.0999999999999996</v>
      </c>
      <c r="AN757" s="13">
        <v>1.5</v>
      </c>
      <c r="AO757" s="5">
        <v>2</v>
      </c>
      <c r="AP757" s="3">
        <v>1.3</v>
      </c>
      <c r="AQ757" s="5">
        <v>0.5</v>
      </c>
      <c r="AR757" s="5">
        <v>0</v>
      </c>
      <c r="AS757" s="5">
        <v>0</v>
      </c>
      <c r="AT757" s="5"/>
      <c r="AU757" s="5">
        <v>3</v>
      </c>
      <c r="AV757" s="5"/>
      <c r="AW757" s="5"/>
      <c r="AX757" s="5">
        <v>0</v>
      </c>
      <c r="AY757" s="5">
        <v>0</v>
      </c>
      <c r="AZ757" s="5">
        <v>0</v>
      </c>
      <c r="BA757" s="5">
        <v>1</v>
      </c>
    </row>
    <row r="758" spans="1:53" s="41" customFormat="1" x14ac:dyDescent="0.2">
      <c r="B758" s="14" t="str">
        <f t="shared" si="216"/>
        <v>Espagne 2012</v>
      </c>
      <c r="C758" s="61">
        <f t="shared" si="217"/>
        <v>75</v>
      </c>
      <c r="D758" s="58">
        <v>2012</v>
      </c>
      <c r="E758" s="38"/>
      <c r="F758" s="58">
        <v>0</v>
      </c>
      <c r="G758" s="5">
        <v>2005</v>
      </c>
      <c r="H758" s="44">
        <f>LOOKUP(G758,CPI!A$69:A$100,CPI!O$69:O$100)</f>
        <v>1.1165181771633383</v>
      </c>
      <c r="I758" s="52">
        <v>2010</v>
      </c>
      <c r="J758" s="43"/>
      <c r="K758" s="43"/>
      <c r="L758" s="57"/>
      <c r="M758" s="56">
        <f>AA758*H758*(1+$L$2)^(2015-I758)</f>
        <v>787.33013831056712</v>
      </c>
      <c r="N758" s="3"/>
      <c r="O758" s="41">
        <f>(45*(44/12))*(44/12)</f>
        <v>605</v>
      </c>
      <c r="P758" s="5">
        <v>1</v>
      </c>
      <c r="Q758" s="5">
        <v>0</v>
      </c>
      <c r="R758" s="5">
        <v>0</v>
      </c>
      <c r="T758" s="56"/>
      <c r="U758" s="77"/>
      <c r="V758" s="77"/>
      <c r="AA758" s="49">
        <f t="shared" si="221"/>
        <v>605</v>
      </c>
      <c r="AF758" s="5">
        <v>1</v>
      </c>
      <c r="AG758" s="5">
        <v>1</v>
      </c>
      <c r="AH758" s="5">
        <v>1</v>
      </c>
      <c r="AI758" s="5">
        <v>0</v>
      </c>
      <c r="AJ758" s="5">
        <v>0</v>
      </c>
      <c r="AK758" s="5">
        <v>0</v>
      </c>
      <c r="AL758" s="5">
        <v>0</v>
      </c>
      <c r="AM758" s="13">
        <v>1.4</v>
      </c>
      <c r="AN758" s="13">
        <v>0.1</v>
      </c>
      <c r="AO758" s="5">
        <v>1</v>
      </c>
      <c r="AP758" s="3">
        <v>1.3</v>
      </c>
      <c r="AQ758" s="5"/>
      <c r="AR758" s="5">
        <v>0</v>
      </c>
      <c r="AS758" s="5">
        <v>0</v>
      </c>
      <c r="AT758" s="5"/>
      <c r="AU758" s="5">
        <v>4</v>
      </c>
      <c r="AV758" s="5"/>
      <c r="AW758" s="5"/>
      <c r="AX758" s="5">
        <v>0</v>
      </c>
      <c r="AY758" s="5">
        <v>0</v>
      </c>
      <c r="AZ758" s="5">
        <v>0</v>
      </c>
      <c r="BA758" s="5">
        <v>1</v>
      </c>
    </row>
    <row r="759" spans="1:53" s="41" customFormat="1" x14ac:dyDescent="0.2">
      <c r="B759" s="14" t="str">
        <f t="shared" si="216"/>
        <v>Espagne 2012</v>
      </c>
      <c r="C759" s="61">
        <f t="shared" si="217"/>
        <v>75</v>
      </c>
      <c r="D759" s="58">
        <v>2012</v>
      </c>
      <c r="E759" s="38"/>
      <c r="F759" s="58">
        <v>0</v>
      </c>
      <c r="G759" s="5">
        <v>2005</v>
      </c>
      <c r="H759" s="44">
        <f>LOOKUP(G759,CPI!A$69:A$100,CPI!O$69:O$100)</f>
        <v>1.1165181771633383</v>
      </c>
      <c r="I759" s="5">
        <v>2130</v>
      </c>
      <c r="J759" s="43"/>
      <c r="K759" s="43"/>
      <c r="L759" s="57"/>
      <c r="M759" s="56"/>
      <c r="N759" s="3"/>
      <c r="O759" s="41">
        <f>(103*(44/12))*(44/12)</f>
        <v>1384.7777777777776</v>
      </c>
      <c r="P759" s="5">
        <v>1</v>
      </c>
      <c r="Q759" s="5">
        <v>0</v>
      </c>
      <c r="R759" s="5">
        <v>0</v>
      </c>
      <c r="T759" s="56"/>
      <c r="U759" s="77"/>
      <c r="V759" s="77"/>
      <c r="AA759" s="49">
        <f t="shared" si="221"/>
        <v>1384.7777777777776</v>
      </c>
      <c r="AF759" s="5">
        <v>1</v>
      </c>
      <c r="AG759" s="5">
        <v>1</v>
      </c>
      <c r="AH759" s="5">
        <v>1</v>
      </c>
      <c r="AI759" s="5">
        <v>0</v>
      </c>
      <c r="AJ759" s="5">
        <v>0</v>
      </c>
      <c r="AK759" s="5">
        <v>0</v>
      </c>
      <c r="AL759" s="5">
        <v>0</v>
      </c>
      <c r="AM759" s="13">
        <v>1.4</v>
      </c>
      <c r="AN759" s="13">
        <v>0.1</v>
      </c>
      <c r="AO759" s="5">
        <v>1</v>
      </c>
      <c r="AP759" s="3">
        <v>1.3</v>
      </c>
      <c r="AQ759" s="5"/>
      <c r="AR759" s="5">
        <v>0</v>
      </c>
      <c r="AS759" s="5">
        <v>0</v>
      </c>
      <c r="AT759" s="5"/>
      <c r="AU759" s="5">
        <v>4</v>
      </c>
      <c r="AV759" s="5"/>
      <c r="AW759" s="5"/>
      <c r="AX759" s="5">
        <v>0</v>
      </c>
      <c r="AY759" s="5">
        <v>0</v>
      </c>
      <c r="AZ759" s="5">
        <v>0</v>
      </c>
      <c r="BA759" s="5">
        <v>1</v>
      </c>
    </row>
    <row r="760" spans="1:53" s="41" customFormat="1" x14ac:dyDescent="0.2">
      <c r="A760" s="41" t="s">
        <v>226</v>
      </c>
      <c r="B760" s="14" t="str">
        <f t="shared" si="216"/>
        <v>Gerlagh &amp; Liski 2012</v>
      </c>
      <c r="C760" s="61">
        <f t="shared" si="217"/>
        <v>76</v>
      </c>
      <c r="D760" s="58">
        <v>2012</v>
      </c>
      <c r="E760" s="38" t="s">
        <v>227</v>
      </c>
      <c r="F760" s="58">
        <v>0</v>
      </c>
      <c r="G760" s="5">
        <v>2010</v>
      </c>
      <c r="H760" s="44">
        <f>LOOKUP(G760,CPI!A$69:A$100,CPI!O$69:O$100)</f>
        <v>1</v>
      </c>
      <c r="I760" s="52">
        <v>2010</v>
      </c>
      <c r="J760" s="43"/>
      <c r="K760" s="43"/>
      <c r="L760" s="57"/>
      <c r="M760" s="56">
        <f>AA760*H760*(1+$L$2)^(2015-I760)</f>
        <v>46.669137259475939</v>
      </c>
      <c r="N760" s="3"/>
      <c r="O760" s="41">
        <f>8.4*(44/12)*1.3</f>
        <v>40.04</v>
      </c>
      <c r="P760" s="5">
        <v>1</v>
      </c>
      <c r="Q760" s="5">
        <v>0</v>
      </c>
      <c r="R760" s="5">
        <v>0</v>
      </c>
      <c r="T760" s="56"/>
      <c r="U760" s="77"/>
      <c r="V760" s="77"/>
      <c r="AA760" s="49">
        <f t="shared" si="221"/>
        <v>40.04</v>
      </c>
      <c r="AF760" s="5">
        <v>0</v>
      </c>
      <c r="AG760" s="5">
        <v>1</v>
      </c>
      <c r="AH760" s="5">
        <v>1</v>
      </c>
      <c r="AI760" s="5">
        <v>0</v>
      </c>
      <c r="AJ760" s="5">
        <v>0</v>
      </c>
      <c r="AK760" s="5">
        <v>0</v>
      </c>
      <c r="AL760" s="5">
        <v>0</v>
      </c>
      <c r="AM760" s="13"/>
      <c r="AN760" s="13">
        <v>2</v>
      </c>
      <c r="AO760" s="5"/>
      <c r="AP760" s="5"/>
      <c r="AQ760" s="5"/>
      <c r="AR760" s="5">
        <v>0</v>
      </c>
      <c r="AS760" s="5">
        <v>0</v>
      </c>
      <c r="AT760" s="5"/>
      <c r="AU760" s="5">
        <v>3</v>
      </c>
      <c r="AV760" s="5"/>
      <c r="AW760" s="5"/>
      <c r="AX760" s="5">
        <v>0</v>
      </c>
      <c r="AY760" s="5">
        <v>0</v>
      </c>
      <c r="AZ760" s="5">
        <v>0</v>
      </c>
      <c r="BA760" s="5">
        <v>1</v>
      </c>
    </row>
    <row r="761" spans="1:53" s="41" customFormat="1" x14ac:dyDescent="0.2">
      <c r="B761" s="14" t="str">
        <f t="shared" si="216"/>
        <v>Gerlagh &amp; Liski 2012</v>
      </c>
      <c r="C761" s="61">
        <f t="shared" si="217"/>
        <v>76</v>
      </c>
      <c r="D761" s="58">
        <v>2012</v>
      </c>
      <c r="E761" s="38"/>
      <c r="F761" s="58">
        <v>0</v>
      </c>
      <c r="G761" s="5">
        <v>2010</v>
      </c>
      <c r="H761" s="44">
        <f>LOOKUP(G761,CPI!A$69:A$100,CPI!O$69:O$100)</f>
        <v>1</v>
      </c>
      <c r="I761" s="5">
        <v>2100</v>
      </c>
      <c r="J761" s="43"/>
      <c r="K761" s="43"/>
      <c r="L761" s="57"/>
      <c r="M761" s="56"/>
      <c r="N761" s="3"/>
      <c r="O761" s="41">
        <f>43*((44/12)*1.3)</f>
        <v>204.96666666666667</v>
      </c>
      <c r="P761" s="5">
        <v>1</v>
      </c>
      <c r="Q761" s="5">
        <v>0</v>
      </c>
      <c r="R761" s="5">
        <v>0</v>
      </c>
      <c r="T761" s="56"/>
      <c r="U761" s="77"/>
      <c r="V761" s="77"/>
      <c r="AA761" s="49">
        <f t="shared" si="221"/>
        <v>204.96666666666667</v>
      </c>
      <c r="AF761" s="5">
        <v>0</v>
      </c>
      <c r="AG761" s="5">
        <v>1</v>
      </c>
      <c r="AH761" s="5">
        <v>1</v>
      </c>
      <c r="AI761" s="5">
        <v>0</v>
      </c>
      <c r="AJ761" s="5">
        <v>0</v>
      </c>
      <c r="AK761" s="5">
        <v>0</v>
      </c>
      <c r="AL761" s="5">
        <v>0</v>
      </c>
      <c r="AM761" s="13"/>
      <c r="AN761" s="13">
        <v>2</v>
      </c>
      <c r="AO761" s="5"/>
      <c r="AP761" s="5"/>
      <c r="AQ761" s="5"/>
      <c r="AR761" s="5">
        <v>0</v>
      </c>
      <c r="AS761" s="5">
        <v>0</v>
      </c>
      <c r="AT761" s="5"/>
      <c r="AU761" s="5">
        <v>3</v>
      </c>
      <c r="AV761" s="5"/>
      <c r="AW761" s="5"/>
      <c r="AX761" s="5">
        <v>0</v>
      </c>
      <c r="AY761" s="5">
        <v>0</v>
      </c>
      <c r="AZ761" s="5">
        <v>0</v>
      </c>
      <c r="BA761" s="5">
        <v>1</v>
      </c>
    </row>
    <row r="762" spans="1:53" s="41" customFormat="1" x14ac:dyDescent="0.2">
      <c r="B762" s="14" t="str">
        <f t="shared" si="216"/>
        <v>Gerlagh &amp; Liski 2012</v>
      </c>
      <c r="C762" s="61">
        <f t="shared" si="217"/>
        <v>76</v>
      </c>
      <c r="D762" s="58">
        <v>2012</v>
      </c>
      <c r="E762" s="38"/>
      <c r="F762" s="58">
        <v>0</v>
      </c>
      <c r="G762" s="5">
        <v>2010</v>
      </c>
      <c r="H762" s="44">
        <f>LOOKUP(G762,CPI!A$69:A$100,CPI!O$69:O$100)</f>
        <v>1</v>
      </c>
      <c r="I762" s="52">
        <v>2010</v>
      </c>
      <c r="J762" s="43"/>
      <c r="K762" s="43"/>
      <c r="L762" s="57"/>
      <c r="M762" s="56">
        <f>AA762*H762*(1+$L$2)^(2015-I762)</f>
        <v>163.34198040816577</v>
      </c>
      <c r="N762" s="3"/>
      <c r="O762" s="41">
        <f>29.4*((44/12)*1.3)</f>
        <v>140.13999999999999</v>
      </c>
      <c r="P762" s="5">
        <v>1</v>
      </c>
      <c r="Q762" s="5">
        <v>0</v>
      </c>
      <c r="R762" s="5">
        <v>0</v>
      </c>
      <c r="T762" s="56"/>
      <c r="U762" s="77"/>
      <c r="V762" s="77"/>
      <c r="AA762" s="49">
        <f t="shared" si="221"/>
        <v>140.13999999999999</v>
      </c>
      <c r="AF762" s="5">
        <v>0</v>
      </c>
      <c r="AG762" s="5">
        <v>1</v>
      </c>
      <c r="AH762" s="5">
        <v>1</v>
      </c>
      <c r="AI762" s="5">
        <v>0</v>
      </c>
      <c r="AJ762" s="5">
        <v>0</v>
      </c>
      <c r="AK762" s="5">
        <v>0</v>
      </c>
      <c r="AL762" s="5">
        <v>0</v>
      </c>
      <c r="AM762" s="13"/>
      <c r="AN762" s="13">
        <v>2</v>
      </c>
      <c r="AO762" s="5"/>
      <c r="AP762" s="5"/>
      <c r="AQ762" s="5"/>
      <c r="AR762" s="5">
        <v>0</v>
      </c>
      <c r="AS762" s="5">
        <v>0</v>
      </c>
      <c r="AT762" s="5"/>
      <c r="AU762" s="5">
        <v>3</v>
      </c>
      <c r="AV762" s="5"/>
      <c r="AW762" s="5"/>
      <c r="AX762" s="5">
        <v>0</v>
      </c>
      <c r="AY762" s="5">
        <v>0</v>
      </c>
      <c r="AZ762" s="5">
        <v>0</v>
      </c>
      <c r="BA762" s="5">
        <v>0</v>
      </c>
    </row>
    <row r="763" spans="1:53" s="41" customFormat="1" x14ac:dyDescent="0.2">
      <c r="B763" s="14" t="str">
        <f t="shared" si="216"/>
        <v>Gerlagh &amp; Liski 2012</v>
      </c>
      <c r="C763" s="61">
        <f t="shared" si="217"/>
        <v>76</v>
      </c>
      <c r="D763" s="58">
        <v>2012</v>
      </c>
      <c r="E763" s="38"/>
      <c r="F763" s="58">
        <v>0</v>
      </c>
      <c r="G763" s="5">
        <v>2010</v>
      </c>
      <c r="H763" s="44">
        <f>LOOKUP(G763,CPI!A$69:A$100,CPI!O$69:O$100)</f>
        <v>1</v>
      </c>
      <c r="I763" s="5">
        <v>2100</v>
      </c>
      <c r="J763" s="43"/>
      <c r="K763" s="43"/>
      <c r="L763" s="57"/>
      <c r="M763" s="56"/>
      <c r="N763" s="3"/>
      <c r="O763" s="41">
        <f>105*((44/12)*1.3)</f>
        <v>500.5</v>
      </c>
      <c r="P763" s="5">
        <v>1</v>
      </c>
      <c r="Q763" s="5">
        <v>0</v>
      </c>
      <c r="R763" s="5">
        <v>0</v>
      </c>
      <c r="T763" s="56"/>
      <c r="U763" s="77"/>
      <c r="V763" s="77"/>
      <c r="AA763" s="49">
        <f t="shared" si="221"/>
        <v>500.5</v>
      </c>
      <c r="AF763" s="5">
        <v>0</v>
      </c>
      <c r="AG763" s="5">
        <v>1</v>
      </c>
      <c r="AH763" s="5">
        <v>1</v>
      </c>
      <c r="AI763" s="5">
        <v>0</v>
      </c>
      <c r="AJ763" s="5">
        <v>0</v>
      </c>
      <c r="AK763" s="5">
        <v>0</v>
      </c>
      <c r="AL763" s="5">
        <v>0</v>
      </c>
      <c r="AM763" s="13"/>
      <c r="AN763" s="13">
        <v>2</v>
      </c>
      <c r="AO763" s="5"/>
      <c r="AP763" s="5"/>
      <c r="AQ763" s="5"/>
      <c r="AR763" s="5">
        <v>0</v>
      </c>
      <c r="AS763" s="5">
        <v>0</v>
      </c>
      <c r="AT763" s="5"/>
      <c r="AU763" s="5">
        <v>3</v>
      </c>
      <c r="AV763" s="5"/>
      <c r="AW763" s="5"/>
      <c r="AX763" s="5">
        <v>0</v>
      </c>
      <c r="AY763" s="5">
        <v>0</v>
      </c>
      <c r="AZ763" s="5">
        <v>0</v>
      </c>
      <c r="BA763" s="5">
        <v>0</v>
      </c>
    </row>
    <row r="764" spans="1:53" s="41" customFormat="1" x14ac:dyDescent="0.2">
      <c r="B764" s="14" t="str">
        <f t="shared" si="216"/>
        <v>Gerlagh &amp; Liski 2012</v>
      </c>
      <c r="C764" s="61">
        <f t="shared" si="217"/>
        <v>76</v>
      </c>
      <c r="D764" s="58">
        <v>2012</v>
      </c>
      <c r="E764" s="38"/>
      <c r="F764" s="58">
        <v>0</v>
      </c>
      <c r="G764" s="5">
        <v>2010</v>
      </c>
      <c r="H764" s="44">
        <f>LOOKUP(G764,CPI!A$69:A$100,CPI!O$69:O$100)</f>
        <v>1</v>
      </c>
      <c r="I764" s="52">
        <v>2010</v>
      </c>
      <c r="J764" s="43"/>
      <c r="K764" s="43"/>
      <c r="L764" s="57"/>
      <c r="M764" s="56">
        <f>AA764*H764*(1+$L$2)^(2015-I764)</f>
        <v>183.34303923365547</v>
      </c>
      <c r="N764" s="3"/>
      <c r="O764" s="41">
        <f>33*((44/12)*1.3)</f>
        <v>157.30000000000001</v>
      </c>
      <c r="P764" s="5">
        <v>1</v>
      </c>
      <c r="Q764" s="5">
        <v>0</v>
      </c>
      <c r="R764" s="5">
        <v>0</v>
      </c>
      <c r="T764" s="56"/>
      <c r="U764" s="77"/>
      <c r="V764" s="77"/>
      <c r="AA764" s="49">
        <f t="shared" si="221"/>
        <v>157.30000000000001</v>
      </c>
      <c r="AF764" s="5">
        <v>0</v>
      </c>
      <c r="AG764" s="5">
        <v>1</v>
      </c>
      <c r="AH764" s="5">
        <v>1</v>
      </c>
      <c r="AI764" s="5">
        <v>0</v>
      </c>
      <c r="AJ764" s="5">
        <v>0</v>
      </c>
      <c r="AK764" s="5">
        <v>0</v>
      </c>
      <c r="AL764" s="5">
        <v>0</v>
      </c>
      <c r="AM764" s="13"/>
      <c r="AN764" s="13">
        <v>2</v>
      </c>
      <c r="AO764" s="5"/>
      <c r="AP764" s="5"/>
      <c r="AQ764" s="5"/>
      <c r="AR764" s="5">
        <v>0</v>
      </c>
      <c r="AS764" s="5">
        <v>0</v>
      </c>
      <c r="AT764" s="5"/>
      <c r="AU764" s="5">
        <v>3</v>
      </c>
      <c r="AV764" s="5"/>
      <c r="AW764" s="5"/>
      <c r="AX764" s="5">
        <v>0</v>
      </c>
      <c r="AY764" s="5">
        <v>0</v>
      </c>
      <c r="AZ764" s="5">
        <v>0</v>
      </c>
      <c r="BA764" s="5">
        <v>0</v>
      </c>
    </row>
    <row r="765" spans="1:53" s="41" customFormat="1" x14ac:dyDescent="0.2">
      <c r="B765" s="14" t="str">
        <f t="shared" si="216"/>
        <v>Gerlagh &amp; Liski 2012</v>
      </c>
      <c r="C765" s="61">
        <f t="shared" si="217"/>
        <v>76</v>
      </c>
      <c r="D765" s="58">
        <v>2012</v>
      </c>
      <c r="E765" s="38"/>
      <c r="F765" s="58">
        <v>0</v>
      </c>
      <c r="G765" s="5">
        <v>2010</v>
      </c>
      <c r="H765" s="44">
        <f>LOOKUP(G765,CPI!A$69:A$100,CPI!O$69:O$100)</f>
        <v>1</v>
      </c>
      <c r="I765" s="5">
        <v>2100</v>
      </c>
      <c r="J765" s="43"/>
      <c r="K765" s="43"/>
      <c r="L765" s="57"/>
      <c r="M765" s="56"/>
      <c r="N765" s="3"/>
      <c r="O765" s="41">
        <f>106*((44/12)*1.3)</f>
        <v>505.26666666666665</v>
      </c>
      <c r="P765" s="5">
        <v>1</v>
      </c>
      <c r="Q765" s="5">
        <v>0</v>
      </c>
      <c r="R765" s="5">
        <v>0</v>
      </c>
      <c r="T765" s="56"/>
      <c r="U765" s="77"/>
      <c r="V765" s="77"/>
      <c r="AA765" s="49">
        <f t="shared" si="221"/>
        <v>505.26666666666665</v>
      </c>
      <c r="AF765" s="5">
        <v>0</v>
      </c>
      <c r="AG765" s="5">
        <v>1</v>
      </c>
      <c r="AH765" s="5">
        <v>1</v>
      </c>
      <c r="AI765" s="5">
        <v>0</v>
      </c>
      <c r="AJ765" s="5">
        <v>0</v>
      </c>
      <c r="AK765" s="5">
        <v>0</v>
      </c>
      <c r="AL765" s="5">
        <v>0</v>
      </c>
      <c r="AM765" s="13"/>
      <c r="AN765" s="13">
        <v>2</v>
      </c>
      <c r="AO765" s="5"/>
      <c r="AP765" s="5"/>
      <c r="AQ765" s="5"/>
      <c r="AR765" s="5">
        <v>0</v>
      </c>
      <c r="AS765" s="5">
        <v>0</v>
      </c>
      <c r="AT765" s="5"/>
      <c r="AU765" s="5">
        <v>3</v>
      </c>
      <c r="AV765" s="5"/>
      <c r="AW765" s="5"/>
      <c r="AX765" s="5">
        <v>0</v>
      </c>
      <c r="AY765" s="5">
        <v>0</v>
      </c>
      <c r="AZ765" s="5">
        <v>0</v>
      </c>
      <c r="BA765" s="5">
        <v>0</v>
      </c>
    </row>
    <row r="766" spans="1:53" x14ac:dyDescent="0.2">
      <c r="A766" s="14" t="s">
        <v>148</v>
      </c>
      <c r="B766" s="14" t="str">
        <f t="shared" si="216"/>
        <v>Johnson &amp; Hope 2012</v>
      </c>
      <c r="C766" s="61">
        <f t="shared" si="217"/>
        <v>77</v>
      </c>
      <c r="D766" s="58">
        <v>2012</v>
      </c>
      <c r="E766" s="17" t="s">
        <v>151</v>
      </c>
      <c r="F766" s="58">
        <v>1</v>
      </c>
      <c r="G766" s="16">
        <v>2007</v>
      </c>
      <c r="H766" s="15">
        <f>LOOKUP(G766,CPI!A$69:A$100,CPI!O$69:O$100)</f>
        <v>1.0516730811895323</v>
      </c>
      <c r="I766" s="52">
        <v>2010</v>
      </c>
      <c r="J766" s="15">
        <f>10/86</f>
        <v>0.11627906976744186</v>
      </c>
      <c r="K766" s="15"/>
      <c r="L766" s="62"/>
      <c r="M766" s="56">
        <f t="shared" ref="M766:M829" si="222">AA766*H766*(1+$L$2)^(2015-I766)</f>
        <v>1195.5549130570193</v>
      </c>
      <c r="N766" s="14">
        <f>266*(44/12)</f>
        <v>975.33333333333326</v>
      </c>
      <c r="O766" s="18">
        <f t="shared" si="218"/>
        <v>975.33333333333326</v>
      </c>
      <c r="P766" s="16">
        <v>0</v>
      </c>
      <c r="Q766" s="16">
        <v>1</v>
      </c>
      <c r="R766" s="16">
        <v>0</v>
      </c>
      <c r="S766" s="14"/>
      <c r="T766" s="56" t="str">
        <f t="shared" si="211"/>
        <v/>
      </c>
      <c r="U766" s="56">
        <f t="shared" si="219"/>
        <v>1128.2281287863539</v>
      </c>
      <c r="V766" s="56">
        <f t="shared" ref="V766:V773" si="223">+(AD766-AA766)/1.96*H766*(1+$L$2)^(2015-I766)</f>
        <v>1128.2281287863539</v>
      </c>
      <c r="W766" s="14"/>
      <c r="X766" s="14"/>
      <c r="Y766" s="14"/>
      <c r="Z766" s="14"/>
      <c r="AA766" s="26">
        <f t="shared" si="220"/>
        <v>975.33333333333326</v>
      </c>
      <c r="AB766" s="14"/>
      <c r="AC766" s="14"/>
      <c r="AD766" s="14">
        <f>758*(44/12)</f>
        <v>2779.333333333333</v>
      </c>
      <c r="AE766" s="14">
        <f>1774*(44/12)</f>
        <v>6504.6666666666661</v>
      </c>
      <c r="AF766" s="16">
        <v>0</v>
      </c>
      <c r="AG766" s="16">
        <v>1</v>
      </c>
      <c r="AH766" s="16">
        <v>0</v>
      </c>
      <c r="AI766" s="16">
        <v>1</v>
      </c>
      <c r="AJ766" s="5">
        <v>1</v>
      </c>
      <c r="AK766" s="5">
        <v>1</v>
      </c>
      <c r="AL766" s="5">
        <v>1</v>
      </c>
      <c r="AM766" s="20">
        <v>1</v>
      </c>
      <c r="AN766" s="20" t="s">
        <v>25</v>
      </c>
      <c r="AO766" s="16"/>
      <c r="AP766" s="16"/>
      <c r="AQ766" s="16"/>
      <c r="AR766" s="16">
        <v>0</v>
      </c>
      <c r="AS766" s="16">
        <v>0</v>
      </c>
      <c r="AT766" s="16"/>
      <c r="AU766" s="16"/>
      <c r="AV766" s="16"/>
      <c r="AW766" s="16"/>
      <c r="AX766" s="16">
        <v>0</v>
      </c>
      <c r="AY766" s="16">
        <v>0</v>
      </c>
      <c r="AZ766" s="16">
        <v>0</v>
      </c>
      <c r="BA766" s="16">
        <v>0</v>
      </c>
    </row>
    <row r="767" spans="1:53" x14ac:dyDescent="0.2">
      <c r="A767" s="14"/>
      <c r="B767" s="14" t="str">
        <f t="shared" si="216"/>
        <v>Johnson &amp; Hope 2012</v>
      </c>
      <c r="C767" s="61">
        <f t="shared" si="217"/>
        <v>77</v>
      </c>
      <c r="D767" s="58">
        <v>2012</v>
      </c>
      <c r="E767" s="17"/>
      <c r="F767" s="58">
        <v>1</v>
      </c>
      <c r="G767" s="16">
        <v>2007</v>
      </c>
      <c r="H767" s="15">
        <f>LOOKUP(G767,CPI!A$69:A$100,CPI!O$69:O$100)</f>
        <v>1.0516730811895323</v>
      </c>
      <c r="I767" s="52">
        <v>2010</v>
      </c>
      <c r="J767" s="15">
        <f>10/86</f>
        <v>0.11627906976744186</v>
      </c>
      <c r="K767" s="15"/>
      <c r="L767" s="62"/>
      <c r="M767" s="56">
        <f t="shared" si="222"/>
        <v>548.33721576299376</v>
      </c>
      <c r="N767" s="14">
        <f>122*(44/12)</f>
        <v>447.33333333333331</v>
      </c>
      <c r="O767" s="18">
        <f t="shared" si="218"/>
        <v>447.33333333333331</v>
      </c>
      <c r="P767" s="16">
        <v>0</v>
      </c>
      <c r="Q767" s="16">
        <v>1</v>
      </c>
      <c r="R767" s="16">
        <v>0</v>
      </c>
      <c r="S767" s="14"/>
      <c r="T767" s="56" t="str">
        <f t="shared" si="211"/>
        <v/>
      </c>
      <c r="U767" s="56">
        <f t="shared" si="219"/>
        <v>538.88945175770971</v>
      </c>
      <c r="V767" s="56">
        <f t="shared" si="223"/>
        <v>538.88945175770971</v>
      </c>
      <c r="W767" s="14"/>
      <c r="X767" s="14"/>
      <c r="Y767" s="14"/>
      <c r="Z767" s="14"/>
      <c r="AA767" s="26">
        <f t="shared" si="220"/>
        <v>447.33333333333331</v>
      </c>
      <c r="AB767" s="14"/>
      <c r="AC767" s="14"/>
      <c r="AD767" s="14">
        <f>357*(44/12)</f>
        <v>1309</v>
      </c>
      <c r="AE767" s="14">
        <f>810*(44/12)</f>
        <v>2970</v>
      </c>
      <c r="AF767" s="16">
        <v>0</v>
      </c>
      <c r="AG767" s="16">
        <v>1</v>
      </c>
      <c r="AH767" s="16">
        <v>0</v>
      </c>
      <c r="AI767" s="16">
        <v>1</v>
      </c>
      <c r="AJ767" s="5">
        <v>1</v>
      </c>
      <c r="AK767" s="5">
        <v>1</v>
      </c>
      <c r="AL767" s="5">
        <v>1</v>
      </c>
      <c r="AM767" s="20">
        <v>1.5</v>
      </c>
      <c r="AN767" s="20" t="s">
        <v>25</v>
      </c>
      <c r="AO767" s="16"/>
      <c r="AP767" s="16"/>
      <c r="AQ767" s="16"/>
      <c r="AR767" s="16">
        <v>0</v>
      </c>
      <c r="AS767" s="16">
        <v>0</v>
      </c>
      <c r="AT767" s="16"/>
      <c r="AU767" s="16"/>
      <c r="AV767" s="16"/>
      <c r="AW767" s="16"/>
      <c r="AX767" s="16">
        <v>0</v>
      </c>
      <c r="AY767" s="16">
        <v>0</v>
      </c>
      <c r="AZ767" s="16">
        <v>0</v>
      </c>
      <c r="BA767" s="16">
        <v>0</v>
      </c>
    </row>
    <row r="768" spans="1:53" x14ac:dyDescent="0.2">
      <c r="A768" s="14"/>
      <c r="B768" s="14" t="str">
        <f t="shared" si="216"/>
        <v>Johnson &amp; Hope 2012</v>
      </c>
      <c r="C768" s="61">
        <f t="shared" si="217"/>
        <v>77</v>
      </c>
      <c r="D768" s="58">
        <v>2012</v>
      </c>
      <c r="E768" s="17"/>
      <c r="F768" s="58">
        <v>1</v>
      </c>
      <c r="G768" s="16">
        <v>2007</v>
      </c>
      <c r="H768" s="15">
        <f>LOOKUP(G768,CPI!A$69:A$100,CPI!O$69:O$100)</f>
        <v>1.0516730811895323</v>
      </c>
      <c r="I768" s="52">
        <v>2010</v>
      </c>
      <c r="J768" s="15">
        <f>10/86</f>
        <v>0.11627906976744186</v>
      </c>
      <c r="K768" s="15"/>
      <c r="L768" s="62"/>
      <c r="M768" s="56">
        <f t="shared" si="222"/>
        <v>278.66317522381649</v>
      </c>
      <c r="N768" s="14">
        <f>62*(44/12)</f>
        <v>227.33333333333331</v>
      </c>
      <c r="O768" s="18">
        <f t="shared" si="218"/>
        <v>227.33333333333331</v>
      </c>
      <c r="P768" s="16">
        <v>0</v>
      </c>
      <c r="Q768" s="16">
        <v>1</v>
      </c>
      <c r="R768" s="16">
        <v>0</v>
      </c>
      <c r="S768" s="14"/>
      <c r="T768" s="56" t="str">
        <f t="shared" si="211"/>
        <v/>
      </c>
      <c r="U768" s="56">
        <f t="shared" si="219"/>
        <v>286.64332540303707</v>
      </c>
      <c r="V768" s="56">
        <f t="shared" si="223"/>
        <v>286.64332540303707</v>
      </c>
      <c r="W768" s="14"/>
      <c r="X768" s="14"/>
      <c r="Y768" s="14"/>
      <c r="Z768" s="14"/>
      <c r="AA768" s="26">
        <f t="shared" si="220"/>
        <v>227.33333333333331</v>
      </c>
      <c r="AB768" s="14"/>
      <c r="AC768" s="14"/>
      <c r="AD768" s="14">
        <f>187*(44/12)</f>
        <v>685.66666666666663</v>
      </c>
      <c r="AE768" s="14">
        <f>386*(44/12)</f>
        <v>1415.3333333333333</v>
      </c>
      <c r="AF768" s="16">
        <v>0</v>
      </c>
      <c r="AG768" s="16">
        <v>1</v>
      </c>
      <c r="AH768" s="16">
        <v>0</v>
      </c>
      <c r="AI768" s="16">
        <v>1</v>
      </c>
      <c r="AJ768" s="5">
        <v>1</v>
      </c>
      <c r="AK768" s="5">
        <v>1</v>
      </c>
      <c r="AL768" s="5">
        <v>1</v>
      </c>
      <c r="AM768" s="20">
        <v>2</v>
      </c>
      <c r="AN768" s="20" t="s">
        <v>25</v>
      </c>
      <c r="AO768" s="16"/>
      <c r="AP768" s="16"/>
      <c r="AQ768" s="16"/>
      <c r="AR768" s="16">
        <v>0</v>
      </c>
      <c r="AS768" s="16">
        <v>0</v>
      </c>
      <c r="AT768" s="16"/>
      <c r="AU768" s="16"/>
      <c r="AV768" s="16"/>
      <c r="AW768" s="16"/>
      <c r="AX768" s="16">
        <v>0</v>
      </c>
      <c r="AY768" s="16">
        <v>0</v>
      </c>
      <c r="AZ768" s="16">
        <v>0</v>
      </c>
      <c r="BA768" s="16">
        <v>0</v>
      </c>
    </row>
    <row r="769" spans="1:53" x14ac:dyDescent="0.2">
      <c r="A769" s="14"/>
      <c r="B769" s="14" t="str">
        <f t="shared" si="216"/>
        <v>Johnson &amp; Hope 2012</v>
      </c>
      <c r="C769" s="61">
        <f t="shared" si="217"/>
        <v>77</v>
      </c>
      <c r="D769" s="58">
        <v>2012</v>
      </c>
      <c r="E769" s="17"/>
      <c r="F769" s="58">
        <v>1</v>
      </c>
      <c r="G769" s="16">
        <v>2007</v>
      </c>
      <c r="H769" s="15">
        <f>LOOKUP(G769,CPI!A$69:A$100,CPI!O$69:O$100)</f>
        <v>1.0516730811895323</v>
      </c>
      <c r="I769" s="52">
        <v>2010</v>
      </c>
      <c r="J769" s="15">
        <f>1/86</f>
        <v>1.1627906976744186E-2</v>
      </c>
      <c r="K769" s="15"/>
      <c r="L769" s="62"/>
      <c r="M769" s="56">
        <f t="shared" si="222"/>
        <v>157.30985698118673</v>
      </c>
      <c r="N769" s="14">
        <f>35*(44/12)</f>
        <v>128.33333333333331</v>
      </c>
      <c r="O769" s="18">
        <f t="shared" si="218"/>
        <v>128.33333333333331</v>
      </c>
      <c r="P769" s="16">
        <v>0</v>
      </c>
      <c r="Q769" s="16">
        <v>1</v>
      </c>
      <c r="R769" s="16">
        <v>0</v>
      </c>
      <c r="S769" s="14"/>
      <c r="T769" s="56" t="str">
        <f t="shared" si="211"/>
        <v/>
      </c>
      <c r="U769" s="56">
        <f t="shared" si="219"/>
        <v>165.10655543214938</v>
      </c>
      <c r="V769" s="56">
        <f t="shared" si="223"/>
        <v>165.10655543214938</v>
      </c>
      <c r="W769" s="14"/>
      <c r="X769" s="14"/>
      <c r="Y769" s="14"/>
      <c r="Z769" s="14"/>
      <c r="AA769" s="26">
        <f t="shared" si="220"/>
        <v>128.33333333333331</v>
      </c>
      <c r="AB769" s="14"/>
      <c r="AC769" s="14"/>
      <c r="AD769" s="14">
        <f>107*(44/12)</f>
        <v>392.33333333333331</v>
      </c>
      <c r="AE769" s="14">
        <f>221*(44/12)</f>
        <v>810.33333333333326</v>
      </c>
      <c r="AF769" s="16">
        <v>0</v>
      </c>
      <c r="AG769" s="16">
        <v>1</v>
      </c>
      <c r="AH769" s="16">
        <v>0</v>
      </c>
      <c r="AI769" s="16">
        <v>1</v>
      </c>
      <c r="AJ769" s="5">
        <v>1</v>
      </c>
      <c r="AK769" s="5">
        <v>1</v>
      </c>
      <c r="AL769" s="5">
        <v>1</v>
      </c>
      <c r="AM769" s="20">
        <v>2.5</v>
      </c>
      <c r="AN769" s="20" t="s">
        <v>25</v>
      </c>
      <c r="AO769" s="16"/>
      <c r="AP769" s="16"/>
      <c r="AQ769" s="16"/>
      <c r="AR769" s="16">
        <v>0</v>
      </c>
      <c r="AS769" s="16">
        <v>0</v>
      </c>
      <c r="AT769" s="16"/>
      <c r="AU769" s="16"/>
      <c r="AV769" s="16"/>
      <c r="AW769" s="16"/>
      <c r="AX769" s="16">
        <v>0</v>
      </c>
      <c r="AY769" s="16">
        <v>0</v>
      </c>
      <c r="AZ769" s="16">
        <v>0</v>
      </c>
      <c r="BA769" s="16">
        <v>0</v>
      </c>
    </row>
    <row r="770" spans="1:53" x14ac:dyDescent="0.2">
      <c r="A770" s="14"/>
      <c r="B770" s="14" t="str">
        <f t="shared" si="216"/>
        <v>Johnson &amp; Hope 2012</v>
      </c>
      <c r="C770" s="61">
        <f t="shared" si="217"/>
        <v>77</v>
      </c>
      <c r="D770" s="58">
        <v>2012</v>
      </c>
      <c r="E770" s="17"/>
      <c r="F770" s="58">
        <v>1</v>
      </c>
      <c r="G770" s="16">
        <v>2007</v>
      </c>
      <c r="H770" s="15">
        <f>LOOKUP(G770,CPI!A$69:A$100,CPI!O$69:O$100)</f>
        <v>1.0516730811895323</v>
      </c>
      <c r="I770" s="52">
        <v>2010</v>
      </c>
      <c r="J770" s="15">
        <f>1/86</f>
        <v>1.1627906976744186E-2</v>
      </c>
      <c r="K770" s="15"/>
      <c r="L770" s="62"/>
      <c r="M770" s="56">
        <f t="shared" si="222"/>
        <v>94.38591418871205</v>
      </c>
      <c r="N770" s="14">
        <f>21*(44/12)</f>
        <v>77</v>
      </c>
      <c r="O770" s="18">
        <f t="shared" si="218"/>
        <v>77</v>
      </c>
      <c r="P770" s="16">
        <v>0</v>
      </c>
      <c r="Q770" s="16">
        <v>1</v>
      </c>
      <c r="R770" s="16">
        <v>0</v>
      </c>
      <c r="S770" s="14"/>
      <c r="T770" s="56" t="str">
        <f t="shared" si="211"/>
        <v/>
      </c>
      <c r="U770" s="56">
        <f t="shared" si="219"/>
        <v>100.89845054186904</v>
      </c>
      <c r="V770" s="56">
        <f t="shared" si="223"/>
        <v>100.89845054186904</v>
      </c>
      <c r="W770" s="14"/>
      <c r="X770" s="14"/>
      <c r="Y770" s="14"/>
      <c r="Z770" s="14"/>
      <c r="AA770" s="26">
        <f t="shared" si="220"/>
        <v>77</v>
      </c>
      <c r="AB770" s="14"/>
      <c r="AC770" s="14"/>
      <c r="AD770" s="14">
        <f>65*(44/12)</f>
        <v>238.33333333333331</v>
      </c>
      <c r="AE770" s="14">
        <f>134*(44/12)</f>
        <v>491.33333333333331</v>
      </c>
      <c r="AF770" s="16">
        <v>0</v>
      </c>
      <c r="AG770" s="16">
        <v>1</v>
      </c>
      <c r="AH770" s="16">
        <v>0</v>
      </c>
      <c r="AI770" s="16">
        <v>1</v>
      </c>
      <c r="AJ770" s="5">
        <v>1</v>
      </c>
      <c r="AK770" s="5">
        <v>1</v>
      </c>
      <c r="AL770" s="5">
        <v>1</v>
      </c>
      <c r="AM770" s="20">
        <v>3</v>
      </c>
      <c r="AN770" s="20" t="s">
        <v>25</v>
      </c>
      <c r="AO770" s="16"/>
      <c r="AP770" s="16"/>
      <c r="AQ770" s="16"/>
      <c r="AR770" s="16">
        <v>0</v>
      </c>
      <c r="AS770" s="16">
        <v>0</v>
      </c>
      <c r="AT770" s="16"/>
      <c r="AU770" s="16"/>
      <c r="AV770" s="16"/>
      <c r="AW770" s="16"/>
      <c r="AX770" s="16">
        <v>0</v>
      </c>
      <c r="AY770" s="16">
        <v>0</v>
      </c>
      <c r="AZ770" s="16">
        <v>0</v>
      </c>
      <c r="BA770" s="16">
        <v>0</v>
      </c>
    </row>
    <row r="771" spans="1:53" x14ac:dyDescent="0.2">
      <c r="A771" s="14"/>
      <c r="B771" s="14" t="str">
        <f t="shared" si="216"/>
        <v>Johnson &amp; Hope 2012</v>
      </c>
      <c r="C771" s="61">
        <f t="shared" si="217"/>
        <v>77</v>
      </c>
      <c r="D771" s="58">
        <v>2012</v>
      </c>
      <c r="E771" s="17"/>
      <c r="F771" s="58">
        <v>1</v>
      </c>
      <c r="G771" s="16">
        <v>2007</v>
      </c>
      <c r="H771" s="15">
        <f>LOOKUP(G771,CPI!A$69:A$100,CPI!O$69:O$100)</f>
        <v>1.0516730811895323</v>
      </c>
      <c r="I771" s="52">
        <v>2010</v>
      </c>
      <c r="J771" s="15">
        <f>1/86</f>
        <v>1.1627906976744186E-2</v>
      </c>
      <c r="K771" s="15"/>
      <c r="L771" s="62"/>
      <c r="M771" s="56">
        <f t="shared" si="222"/>
        <v>22.472836711598106</v>
      </c>
      <c r="N771" s="14">
        <f>5*(44/12)</f>
        <v>18.333333333333332</v>
      </c>
      <c r="O771" s="18">
        <f t="shared" si="218"/>
        <v>18.333333333333332</v>
      </c>
      <c r="P771" s="16">
        <v>0</v>
      </c>
      <c r="Q771" s="16">
        <v>1</v>
      </c>
      <c r="R771" s="16">
        <v>0</v>
      </c>
      <c r="S771" s="14"/>
      <c r="T771" s="56" t="str">
        <f t="shared" si="211"/>
        <v/>
      </c>
      <c r="U771" s="56">
        <f t="shared" si="219"/>
        <v>25.22461263546726</v>
      </c>
      <c r="V771" s="56">
        <f t="shared" si="223"/>
        <v>25.22461263546726</v>
      </c>
      <c r="W771" s="14"/>
      <c r="X771" s="14"/>
      <c r="Y771" s="14"/>
      <c r="Z771" s="14"/>
      <c r="AA771" s="26">
        <f t="shared" si="220"/>
        <v>18.333333333333332</v>
      </c>
      <c r="AB771" s="14"/>
      <c r="AC771" s="14"/>
      <c r="AD771" s="14">
        <f>16*(44/12)</f>
        <v>58.666666666666664</v>
      </c>
      <c r="AE771" s="14">
        <f>29*(44/12)</f>
        <v>106.33333333333333</v>
      </c>
      <c r="AF771" s="16">
        <v>0</v>
      </c>
      <c r="AG771" s="16">
        <v>1</v>
      </c>
      <c r="AH771" s="16">
        <v>0</v>
      </c>
      <c r="AI771" s="16">
        <v>1</v>
      </c>
      <c r="AJ771" s="5">
        <v>1</v>
      </c>
      <c r="AK771" s="5">
        <v>1</v>
      </c>
      <c r="AL771" s="5">
        <v>1</v>
      </c>
      <c r="AM771" s="20">
        <v>5</v>
      </c>
      <c r="AN771" s="20" t="s">
        <v>25</v>
      </c>
      <c r="AO771" s="16"/>
      <c r="AP771" s="16"/>
      <c r="AQ771" s="16"/>
      <c r="AR771" s="16">
        <v>0</v>
      </c>
      <c r="AS771" s="16">
        <v>0</v>
      </c>
      <c r="AT771" s="16"/>
      <c r="AU771" s="16"/>
      <c r="AV771" s="16"/>
      <c r="AW771" s="16"/>
      <c r="AX771" s="16">
        <v>0</v>
      </c>
      <c r="AY771" s="16">
        <v>0</v>
      </c>
      <c r="AZ771" s="16">
        <v>0</v>
      </c>
      <c r="BA771" s="16">
        <v>0</v>
      </c>
    </row>
    <row r="772" spans="1:53" x14ac:dyDescent="0.2">
      <c r="A772" s="14"/>
      <c r="B772" s="14" t="str">
        <f t="shared" si="216"/>
        <v>Johnson &amp; Hope 2012</v>
      </c>
      <c r="C772" s="61">
        <f t="shared" si="217"/>
        <v>77</v>
      </c>
      <c r="D772" s="58">
        <v>2012</v>
      </c>
      <c r="E772" s="17"/>
      <c r="F772" s="58">
        <v>1</v>
      </c>
      <c r="G772" s="16">
        <v>2007</v>
      </c>
      <c r="H772" s="15">
        <f>LOOKUP(G772,CPI!A$69:A$100,CPI!O$69:O$100)</f>
        <v>1.0516730811895323</v>
      </c>
      <c r="I772" s="52">
        <v>2010</v>
      </c>
      <c r="J772" s="15">
        <f>10/86</f>
        <v>0.11627906976744186</v>
      </c>
      <c r="K772" s="15"/>
      <c r="L772" s="62"/>
      <c r="M772" s="56">
        <f t="shared" si="222"/>
        <v>247.20120382757918</v>
      </c>
      <c r="N772" s="14">
        <f>55*(44/12)</f>
        <v>201.66666666666666</v>
      </c>
      <c r="O772" s="18">
        <f t="shared" si="218"/>
        <v>201.66666666666666</v>
      </c>
      <c r="P772" s="16">
        <v>0</v>
      </c>
      <c r="Q772" s="16">
        <v>1</v>
      </c>
      <c r="R772" s="16">
        <v>0</v>
      </c>
      <c r="S772" s="14"/>
      <c r="T772" s="56" t="str">
        <f t="shared" si="211"/>
        <v/>
      </c>
      <c r="U772" s="56">
        <f t="shared" si="219"/>
        <v>231.60780692565396</v>
      </c>
      <c r="V772" s="56">
        <f t="shared" si="223"/>
        <v>231.60780692565396</v>
      </c>
      <c r="W772" s="14"/>
      <c r="X772" s="14"/>
      <c r="Y772" s="14"/>
      <c r="Z772" s="14"/>
      <c r="AA772" s="26">
        <f t="shared" si="220"/>
        <v>201.66666666666666</v>
      </c>
      <c r="AB772" s="14"/>
      <c r="AC772" s="14"/>
      <c r="AD772" s="14">
        <f>156*(44/12)</f>
        <v>572</v>
      </c>
      <c r="AE772" s="14">
        <f>304*(44/12)</f>
        <v>1114.6666666666665</v>
      </c>
      <c r="AF772" s="16">
        <v>0</v>
      </c>
      <c r="AG772" s="16">
        <v>1</v>
      </c>
      <c r="AH772" s="16">
        <v>0</v>
      </c>
      <c r="AI772" s="16">
        <v>1</v>
      </c>
      <c r="AJ772" s="5">
        <v>1</v>
      </c>
      <c r="AK772" s="5">
        <v>1</v>
      </c>
      <c r="AL772" s="5">
        <v>1</v>
      </c>
      <c r="AM772" s="20" t="s">
        <v>25</v>
      </c>
      <c r="AN772" s="20" t="s">
        <v>25</v>
      </c>
      <c r="AO772" s="16"/>
      <c r="AP772" s="16"/>
      <c r="AQ772" s="16"/>
      <c r="AR772" s="16">
        <v>0</v>
      </c>
      <c r="AS772" s="16">
        <v>0</v>
      </c>
      <c r="AT772" s="16"/>
      <c r="AU772" s="16"/>
      <c r="AV772" s="16"/>
      <c r="AW772" s="16"/>
      <c r="AX772" s="16">
        <v>0</v>
      </c>
      <c r="AY772" s="16">
        <v>0</v>
      </c>
      <c r="AZ772" s="16">
        <v>0</v>
      </c>
      <c r="BA772" s="16">
        <v>0</v>
      </c>
    </row>
    <row r="773" spans="1:53" x14ac:dyDescent="0.2">
      <c r="A773" s="14"/>
      <c r="B773" s="14" t="str">
        <f t="shared" si="216"/>
        <v>Johnson &amp; Hope 2012</v>
      </c>
      <c r="C773" s="61">
        <f t="shared" si="217"/>
        <v>77</v>
      </c>
      <c r="D773" s="58">
        <v>2012</v>
      </c>
      <c r="E773" s="17"/>
      <c r="F773" s="58">
        <v>1</v>
      </c>
      <c r="G773" s="16">
        <v>2007</v>
      </c>
      <c r="H773" s="15">
        <f>LOOKUP(G773,CPI!A$69:A$100,CPI!O$69:O$100)</f>
        <v>1.0516730811895323</v>
      </c>
      <c r="I773" s="52">
        <v>2010</v>
      </c>
      <c r="J773" s="15">
        <f>10/86</f>
        <v>0.11627906976744186</v>
      </c>
      <c r="K773" s="15"/>
      <c r="L773" s="62"/>
      <c r="M773" s="56">
        <f t="shared" si="222"/>
        <v>786.54928490593363</v>
      </c>
      <c r="N773" s="14">
        <f>175*(44/12)</f>
        <v>641.66666666666663</v>
      </c>
      <c r="O773" s="18">
        <f t="shared" si="218"/>
        <v>641.66666666666663</v>
      </c>
      <c r="P773" s="16">
        <v>0</v>
      </c>
      <c r="Q773" s="16">
        <v>1</v>
      </c>
      <c r="R773" s="16">
        <v>0</v>
      </c>
      <c r="S773" s="14"/>
      <c r="T773" s="56" t="str">
        <f t="shared" si="211"/>
        <v/>
      </c>
      <c r="U773" s="56">
        <f t="shared" si="219"/>
        <v>470.0950536609808</v>
      </c>
      <c r="V773" s="56">
        <f t="shared" si="223"/>
        <v>470.0950536609808</v>
      </c>
      <c r="W773" s="14"/>
      <c r="X773" s="14"/>
      <c r="Y773" s="14"/>
      <c r="Z773" s="14"/>
      <c r="AA773" s="26">
        <f t="shared" si="220"/>
        <v>641.66666666666663</v>
      </c>
      <c r="AB773" s="14"/>
      <c r="AC773" s="14"/>
      <c r="AD773" s="14">
        <f>380*(44/12)</f>
        <v>1393.3333333333333</v>
      </c>
      <c r="AE773" s="14">
        <f>702*(44/12)</f>
        <v>2574</v>
      </c>
      <c r="AF773" s="16">
        <v>0</v>
      </c>
      <c r="AG773" s="16">
        <v>1</v>
      </c>
      <c r="AH773" s="16">
        <v>0</v>
      </c>
      <c r="AI773" s="16">
        <v>1</v>
      </c>
      <c r="AJ773" s="5">
        <v>1</v>
      </c>
      <c r="AK773" s="5">
        <v>1</v>
      </c>
      <c r="AL773" s="5">
        <v>1</v>
      </c>
      <c r="AM773" s="20" t="s">
        <v>25</v>
      </c>
      <c r="AN773" s="20" t="s">
        <v>25</v>
      </c>
      <c r="AO773" s="16"/>
      <c r="AP773" s="16"/>
      <c r="AQ773" s="16"/>
      <c r="AR773" s="16">
        <v>0</v>
      </c>
      <c r="AS773" s="16">
        <v>0</v>
      </c>
      <c r="AT773" s="16"/>
      <c r="AU773" s="16"/>
      <c r="AV773" s="16"/>
      <c r="AW773" s="16"/>
      <c r="AX773" s="16">
        <v>0</v>
      </c>
      <c r="AY773" s="16">
        <v>0</v>
      </c>
      <c r="AZ773" s="16">
        <v>0</v>
      </c>
      <c r="BA773" s="16">
        <v>0</v>
      </c>
    </row>
    <row r="774" spans="1:53" x14ac:dyDescent="0.2">
      <c r="A774" s="14"/>
      <c r="B774" s="14" t="str">
        <f t="shared" si="216"/>
        <v>Johnson &amp; Hope 2012</v>
      </c>
      <c r="C774" s="61">
        <f t="shared" si="217"/>
        <v>77</v>
      </c>
      <c r="D774" s="58">
        <v>2012</v>
      </c>
      <c r="E774" s="17"/>
      <c r="F774" s="58">
        <v>1</v>
      </c>
      <c r="G774" s="16">
        <v>2007</v>
      </c>
      <c r="H774" s="15">
        <f>LOOKUP(G774,CPI!A$69:A$100,CPI!O$69:O$100)</f>
        <v>1.0516730811895323</v>
      </c>
      <c r="I774" s="52">
        <v>2010</v>
      </c>
      <c r="J774" s="15">
        <f>1/86</f>
        <v>1.1627906976744186E-2</v>
      </c>
      <c r="K774" s="15"/>
      <c r="L774" s="62"/>
      <c r="M774" s="56">
        <f t="shared" si="222"/>
        <v>62.923942792474698</v>
      </c>
      <c r="N774" s="14">
        <f>14*(44/12)</f>
        <v>51.333333333333329</v>
      </c>
      <c r="O774" s="18">
        <f t="shared" si="218"/>
        <v>51.333333333333329</v>
      </c>
      <c r="P774" s="16">
        <v>0</v>
      </c>
      <c r="Q774" s="16">
        <v>1</v>
      </c>
      <c r="R774" s="16">
        <v>0</v>
      </c>
      <c r="S774" s="14"/>
      <c r="T774" s="56" t="str">
        <f t="shared" si="211"/>
        <v/>
      </c>
      <c r="U774" s="56" t="str">
        <f t="shared" si="219"/>
        <v/>
      </c>
      <c r="V774" s="56" t="str">
        <f t="shared" ref="V774:V779" si="224">+T774</f>
        <v/>
      </c>
      <c r="W774" s="14"/>
      <c r="X774" s="14"/>
      <c r="Y774" s="14"/>
      <c r="Z774" s="14"/>
      <c r="AA774" s="26">
        <f t="shared" si="220"/>
        <v>51.333333333333329</v>
      </c>
      <c r="AB774" s="14"/>
      <c r="AC774" s="14"/>
      <c r="AD774" s="14"/>
      <c r="AE774" s="14"/>
      <c r="AF774" s="16">
        <v>0</v>
      </c>
      <c r="AG774" s="16">
        <v>1</v>
      </c>
      <c r="AH774" s="16">
        <v>0</v>
      </c>
      <c r="AI774" s="16">
        <v>1</v>
      </c>
      <c r="AJ774" s="5">
        <v>1</v>
      </c>
      <c r="AK774" s="5">
        <v>1</v>
      </c>
      <c r="AL774" s="5">
        <v>1</v>
      </c>
      <c r="AM774" s="20">
        <v>2.5</v>
      </c>
      <c r="AN774" s="20" t="s">
        <v>25</v>
      </c>
      <c r="AO774" s="16"/>
      <c r="AP774" s="16"/>
      <c r="AQ774" s="16"/>
      <c r="AR774" s="16">
        <v>0</v>
      </c>
      <c r="AS774" s="16">
        <v>1</v>
      </c>
      <c r="AT774" s="16"/>
      <c r="AU774" s="16"/>
      <c r="AV774" s="16"/>
      <c r="AW774" s="16"/>
      <c r="AX774" s="16">
        <v>0</v>
      </c>
      <c r="AY774" s="16">
        <v>0</v>
      </c>
      <c r="AZ774" s="16">
        <v>0</v>
      </c>
      <c r="BA774" s="16">
        <v>0</v>
      </c>
    </row>
    <row r="775" spans="1:53" x14ac:dyDescent="0.2">
      <c r="A775" s="14"/>
      <c r="B775" s="14" t="str">
        <f t="shared" si="216"/>
        <v>Johnson &amp; Hope 2012</v>
      </c>
      <c r="C775" s="61">
        <f t="shared" si="217"/>
        <v>77</v>
      </c>
      <c r="D775" s="58">
        <v>2012</v>
      </c>
      <c r="E775" s="17"/>
      <c r="F775" s="58">
        <v>1</v>
      </c>
      <c r="G775" s="16">
        <v>2007</v>
      </c>
      <c r="H775" s="15">
        <f>LOOKUP(G775,CPI!A$69:A$100,CPI!O$69:O$100)</f>
        <v>1.0516730811895323</v>
      </c>
      <c r="I775" s="52">
        <v>2010</v>
      </c>
      <c r="J775" s="15">
        <f>1/86</f>
        <v>1.1627906976744186E-2</v>
      </c>
      <c r="K775" s="15"/>
      <c r="L775" s="62"/>
      <c r="M775" s="56">
        <f t="shared" si="222"/>
        <v>26.967404053917729</v>
      </c>
      <c r="N775" s="14">
        <f>6*(44/12)</f>
        <v>22</v>
      </c>
      <c r="O775" s="18">
        <f t="shared" si="218"/>
        <v>22</v>
      </c>
      <c r="P775" s="16">
        <v>0</v>
      </c>
      <c r="Q775" s="16">
        <v>1</v>
      </c>
      <c r="R775" s="16">
        <v>0</v>
      </c>
      <c r="S775" s="14"/>
      <c r="T775" s="56" t="str">
        <f t="shared" si="211"/>
        <v/>
      </c>
      <c r="U775" s="56" t="str">
        <f t="shared" si="219"/>
        <v/>
      </c>
      <c r="V775" s="56" t="str">
        <f t="shared" si="224"/>
        <v/>
      </c>
      <c r="W775" s="14"/>
      <c r="X775" s="14"/>
      <c r="Y775" s="14"/>
      <c r="Z775" s="14"/>
      <c r="AA775" s="26">
        <f t="shared" si="220"/>
        <v>22</v>
      </c>
      <c r="AB775" s="14"/>
      <c r="AC775" s="14"/>
      <c r="AD775" s="14"/>
      <c r="AE775" s="14"/>
      <c r="AF775" s="16">
        <v>0</v>
      </c>
      <c r="AG775" s="16">
        <v>1</v>
      </c>
      <c r="AH775" s="16">
        <v>0</v>
      </c>
      <c r="AI775" s="16">
        <v>1</v>
      </c>
      <c r="AJ775" s="5">
        <v>1</v>
      </c>
      <c r="AK775" s="5">
        <v>1</v>
      </c>
      <c r="AL775" s="5">
        <v>1</v>
      </c>
      <c r="AM775" s="20">
        <v>3</v>
      </c>
      <c r="AN775" s="20" t="s">
        <v>25</v>
      </c>
      <c r="AO775" s="16"/>
      <c r="AP775" s="16"/>
      <c r="AQ775" s="16"/>
      <c r="AR775" s="16">
        <v>0</v>
      </c>
      <c r="AS775" s="16">
        <v>1</v>
      </c>
      <c r="AT775" s="16"/>
      <c r="AU775" s="16"/>
      <c r="AV775" s="16"/>
      <c r="AW775" s="16"/>
      <c r="AX775" s="16">
        <v>0</v>
      </c>
      <c r="AY775" s="16">
        <v>0</v>
      </c>
      <c r="AZ775" s="16">
        <v>0</v>
      </c>
      <c r="BA775" s="16">
        <v>0</v>
      </c>
    </row>
    <row r="776" spans="1:53" x14ac:dyDescent="0.2">
      <c r="A776" s="14"/>
      <c r="B776" s="14" t="str">
        <f t="shared" si="216"/>
        <v>Johnson &amp; Hope 2012</v>
      </c>
      <c r="C776" s="61">
        <f t="shared" si="217"/>
        <v>77</v>
      </c>
      <c r="D776" s="58">
        <v>2012</v>
      </c>
      <c r="E776" s="17"/>
      <c r="F776" s="58">
        <v>1</v>
      </c>
      <c r="G776" s="16">
        <v>2007</v>
      </c>
      <c r="H776" s="15">
        <f>LOOKUP(G776,CPI!A$69:A$100,CPI!O$69:O$100)</f>
        <v>1.0516730811895323</v>
      </c>
      <c r="I776" s="52">
        <v>2010</v>
      </c>
      <c r="J776" s="15">
        <f>1/86</f>
        <v>1.1627906976744186E-2</v>
      </c>
      <c r="K776" s="15"/>
      <c r="L776" s="62"/>
      <c r="M776" s="56">
        <f t="shared" si="222"/>
        <v>-6.2923942792474694</v>
      </c>
      <c r="N776" s="14">
        <f>-1.4*(44/12)</f>
        <v>-5.1333333333333329</v>
      </c>
      <c r="O776" s="18">
        <f t="shared" si="218"/>
        <v>-5.1333333333333329</v>
      </c>
      <c r="P776" s="16">
        <v>0</v>
      </c>
      <c r="Q776" s="16">
        <v>1</v>
      </c>
      <c r="R776" s="16">
        <v>0</v>
      </c>
      <c r="S776" s="14"/>
      <c r="T776" s="56" t="str">
        <f t="shared" si="211"/>
        <v/>
      </c>
      <c r="U776" s="56" t="str">
        <f t="shared" si="219"/>
        <v/>
      </c>
      <c r="V776" s="56" t="str">
        <f t="shared" si="224"/>
        <v/>
      </c>
      <c r="W776" s="14"/>
      <c r="X776" s="14"/>
      <c r="Y776" s="14"/>
      <c r="Z776" s="14"/>
      <c r="AA776" s="26">
        <f t="shared" si="220"/>
        <v>-5.1333333333333329</v>
      </c>
      <c r="AB776" s="14"/>
      <c r="AC776" s="14"/>
      <c r="AD776" s="14"/>
      <c r="AE776" s="14"/>
      <c r="AF776" s="16">
        <v>0</v>
      </c>
      <c r="AG776" s="16">
        <v>1</v>
      </c>
      <c r="AH776" s="16">
        <v>0</v>
      </c>
      <c r="AI776" s="16">
        <v>1</v>
      </c>
      <c r="AJ776" s="5">
        <v>1</v>
      </c>
      <c r="AK776" s="5">
        <v>1</v>
      </c>
      <c r="AL776" s="5">
        <v>1</v>
      </c>
      <c r="AM776" s="20">
        <v>5</v>
      </c>
      <c r="AN776" s="20" t="s">
        <v>25</v>
      </c>
      <c r="AO776" s="16"/>
      <c r="AP776" s="16"/>
      <c r="AQ776" s="16"/>
      <c r="AR776" s="16">
        <v>0</v>
      </c>
      <c r="AS776" s="16">
        <v>1</v>
      </c>
      <c r="AT776" s="16"/>
      <c r="AU776" s="16"/>
      <c r="AV776" s="16"/>
      <c r="AW776" s="16"/>
      <c r="AX776" s="16">
        <v>0</v>
      </c>
      <c r="AY776" s="16">
        <v>0</v>
      </c>
      <c r="AZ776" s="16">
        <v>0</v>
      </c>
      <c r="BA776" s="16">
        <v>0</v>
      </c>
    </row>
    <row r="777" spans="1:53" x14ac:dyDescent="0.2">
      <c r="A777" s="14"/>
      <c r="B777" s="14" t="str">
        <f t="shared" si="216"/>
        <v>Johnson &amp; Hope 2012</v>
      </c>
      <c r="C777" s="61">
        <f t="shared" si="217"/>
        <v>77</v>
      </c>
      <c r="D777" s="58">
        <v>2012</v>
      </c>
      <c r="E777" s="17"/>
      <c r="F777" s="58">
        <v>1</v>
      </c>
      <c r="G777" s="16">
        <v>2007</v>
      </c>
      <c r="H777" s="15">
        <f>LOOKUP(G777,CPI!A$69:A$100,CPI!O$69:O$100)</f>
        <v>1.0516730811895323</v>
      </c>
      <c r="I777" s="52">
        <v>2010</v>
      </c>
      <c r="J777" s="15">
        <f>10/86</f>
        <v>0.11627906976744186</v>
      </c>
      <c r="K777" s="15"/>
      <c r="L777" s="62"/>
      <c r="M777" s="56">
        <f t="shared" si="222"/>
        <v>651.71226463634503</v>
      </c>
      <c r="N777" s="14">
        <f>145*(44/12)</f>
        <v>531.66666666666663</v>
      </c>
      <c r="O777" s="18">
        <f t="shared" si="218"/>
        <v>531.66666666666663</v>
      </c>
      <c r="P777" s="16">
        <v>0</v>
      </c>
      <c r="Q777" s="16">
        <v>1</v>
      </c>
      <c r="R777" s="16">
        <v>0</v>
      </c>
      <c r="S777" s="14"/>
      <c r="T777" s="56" t="str">
        <f t="shared" si="211"/>
        <v/>
      </c>
      <c r="U777" s="56" t="str">
        <f t="shared" si="219"/>
        <v/>
      </c>
      <c r="V777" s="56" t="str">
        <f t="shared" si="224"/>
        <v/>
      </c>
      <c r="W777" s="14"/>
      <c r="X777" s="14"/>
      <c r="Y777" s="14"/>
      <c r="Z777" s="14"/>
      <c r="AA777" s="26">
        <f t="shared" si="220"/>
        <v>531.66666666666663</v>
      </c>
      <c r="AB777" s="14"/>
      <c r="AC777" s="14"/>
      <c r="AD777" s="14"/>
      <c r="AE777" s="14"/>
      <c r="AF777" s="16">
        <v>0</v>
      </c>
      <c r="AG777" s="16">
        <v>1</v>
      </c>
      <c r="AH777" s="16">
        <v>0</v>
      </c>
      <c r="AI777" s="16">
        <v>1</v>
      </c>
      <c r="AJ777" s="5">
        <v>1</v>
      </c>
      <c r="AK777" s="5">
        <v>1</v>
      </c>
      <c r="AL777" s="5">
        <v>1</v>
      </c>
      <c r="AM777" s="20">
        <v>2.5</v>
      </c>
      <c r="AN777" s="20" t="s">
        <v>25</v>
      </c>
      <c r="AO777" s="16"/>
      <c r="AP777" s="16"/>
      <c r="AQ777" s="16"/>
      <c r="AR777" s="16">
        <v>1</v>
      </c>
      <c r="AS777" s="16">
        <v>1</v>
      </c>
      <c r="AT777" s="16"/>
      <c r="AU777" s="16"/>
      <c r="AV777" s="16"/>
      <c r="AW777" s="16"/>
      <c r="AX777" s="16">
        <v>0</v>
      </c>
      <c r="AY777" s="16">
        <v>0</v>
      </c>
      <c r="AZ777" s="16">
        <v>0</v>
      </c>
      <c r="BA777" s="16">
        <v>0</v>
      </c>
    </row>
    <row r="778" spans="1:53" x14ac:dyDescent="0.2">
      <c r="A778" s="14"/>
      <c r="B778" s="14" t="str">
        <f t="shared" ref="B778:B841" si="225">+IF(A778="",B777,A778&amp;" "&amp;D778)</f>
        <v>Johnson &amp; Hope 2012</v>
      </c>
      <c r="C778" s="61">
        <f t="shared" ref="C778:C841" si="226">+IF(A778="",C777,C777+1)</f>
        <v>77</v>
      </c>
      <c r="D778" s="58">
        <v>2012</v>
      </c>
      <c r="E778" s="17"/>
      <c r="F778" s="58">
        <v>1</v>
      </c>
      <c r="G778" s="16">
        <v>2007</v>
      </c>
      <c r="H778" s="15">
        <f>LOOKUP(G778,CPI!A$69:A$100,CPI!O$69:O$100)</f>
        <v>1.0516730811895323</v>
      </c>
      <c r="I778" s="52">
        <v>2010</v>
      </c>
      <c r="J778" s="15">
        <f>10/86</f>
        <v>0.11627906976744186</v>
      </c>
      <c r="K778" s="15"/>
      <c r="L778" s="62"/>
      <c r="M778" s="56">
        <f t="shared" si="222"/>
        <v>314.61971396237345</v>
      </c>
      <c r="N778" s="14">
        <f>70*(44/12)</f>
        <v>256.66666666666663</v>
      </c>
      <c r="O778" s="18">
        <f t="shared" si="218"/>
        <v>256.66666666666663</v>
      </c>
      <c r="P778" s="16">
        <v>0</v>
      </c>
      <c r="Q778" s="16">
        <v>1</v>
      </c>
      <c r="R778" s="16">
        <v>0</v>
      </c>
      <c r="S778" s="14"/>
      <c r="T778" s="56" t="str">
        <f t="shared" si="211"/>
        <v/>
      </c>
      <c r="U778" s="56" t="str">
        <f t="shared" si="219"/>
        <v/>
      </c>
      <c r="V778" s="56" t="str">
        <f t="shared" si="224"/>
        <v/>
      </c>
      <c r="W778" s="14"/>
      <c r="X778" s="14"/>
      <c r="Y778" s="14"/>
      <c r="Z778" s="14"/>
      <c r="AA778" s="26">
        <f t="shared" si="220"/>
        <v>256.66666666666663</v>
      </c>
      <c r="AB778" s="14"/>
      <c r="AC778" s="14"/>
      <c r="AD778" s="14"/>
      <c r="AE778" s="14"/>
      <c r="AF778" s="16">
        <v>0</v>
      </c>
      <c r="AG778" s="16">
        <v>1</v>
      </c>
      <c r="AH778" s="16">
        <v>0</v>
      </c>
      <c r="AI778" s="16">
        <v>1</v>
      </c>
      <c r="AJ778" s="5">
        <v>1</v>
      </c>
      <c r="AK778" s="5">
        <v>1</v>
      </c>
      <c r="AL778" s="5">
        <v>1</v>
      </c>
      <c r="AM778" s="20">
        <v>3</v>
      </c>
      <c r="AN778" s="20" t="s">
        <v>25</v>
      </c>
      <c r="AO778" s="16"/>
      <c r="AP778" s="16"/>
      <c r="AQ778" s="16"/>
      <c r="AR778" s="16">
        <v>1</v>
      </c>
      <c r="AS778" s="16">
        <v>1</v>
      </c>
      <c r="AT778" s="16"/>
      <c r="AU778" s="16"/>
      <c r="AV778" s="16"/>
      <c r="AW778" s="16"/>
      <c r="AX778" s="16">
        <v>0</v>
      </c>
      <c r="AY778" s="16">
        <v>0</v>
      </c>
      <c r="AZ778" s="16">
        <v>0</v>
      </c>
      <c r="BA778" s="16">
        <v>0</v>
      </c>
    </row>
    <row r="779" spans="1:53" x14ac:dyDescent="0.2">
      <c r="A779" s="14"/>
      <c r="B779" s="14" t="str">
        <f t="shared" si="225"/>
        <v>Johnson &amp; Hope 2012</v>
      </c>
      <c r="C779" s="61">
        <f t="shared" si="226"/>
        <v>77</v>
      </c>
      <c r="D779" s="58">
        <v>2012</v>
      </c>
      <c r="E779" s="17"/>
      <c r="F779" s="58">
        <v>1</v>
      </c>
      <c r="G779" s="16">
        <v>2007</v>
      </c>
      <c r="H779" s="15">
        <f>LOOKUP(G779,CPI!A$69:A$100,CPI!O$69:O$100)</f>
        <v>1.0516730811895323</v>
      </c>
      <c r="I779" s="52">
        <v>2010</v>
      </c>
      <c r="J779" s="15">
        <f>10/86</f>
        <v>0.11627906976744186</v>
      </c>
      <c r="K779" s="15"/>
      <c r="L779" s="62"/>
      <c r="M779" s="56">
        <f t="shared" si="222"/>
        <v>4.4945673423196206</v>
      </c>
      <c r="N779" s="14">
        <f>1*(44/12)</f>
        <v>3.6666666666666665</v>
      </c>
      <c r="O779" s="18">
        <f t="shared" si="218"/>
        <v>3.6666666666666665</v>
      </c>
      <c r="P779" s="16">
        <v>0</v>
      </c>
      <c r="Q779" s="16">
        <v>1</v>
      </c>
      <c r="R779" s="16">
        <v>0</v>
      </c>
      <c r="S779" s="14"/>
      <c r="T779" s="56" t="str">
        <f t="shared" si="211"/>
        <v/>
      </c>
      <c r="U779" s="56" t="str">
        <f t="shared" si="219"/>
        <v/>
      </c>
      <c r="V779" s="56" t="str">
        <f t="shared" si="224"/>
        <v/>
      </c>
      <c r="W779" s="14"/>
      <c r="X779" s="14"/>
      <c r="Y779" s="14"/>
      <c r="Z779" s="14"/>
      <c r="AA779" s="26">
        <f t="shared" si="220"/>
        <v>3.6666666666666665</v>
      </c>
      <c r="AB779" s="14"/>
      <c r="AC779" s="14"/>
      <c r="AD779" s="14"/>
      <c r="AE779" s="14"/>
      <c r="AF779" s="16">
        <v>0</v>
      </c>
      <c r="AG779" s="16">
        <v>1</v>
      </c>
      <c r="AH779" s="16">
        <v>0</v>
      </c>
      <c r="AI779" s="16">
        <v>1</v>
      </c>
      <c r="AJ779" s="5">
        <v>1</v>
      </c>
      <c r="AK779" s="5">
        <v>1</v>
      </c>
      <c r="AL779" s="5">
        <v>1</v>
      </c>
      <c r="AM779" s="20">
        <v>5</v>
      </c>
      <c r="AN779" s="20" t="s">
        <v>25</v>
      </c>
      <c r="AO779" s="16"/>
      <c r="AP779" s="16"/>
      <c r="AQ779" s="16"/>
      <c r="AR779" s="16">
        <v>1</v>
      </c>
      <c r="AS779" s="16">
        <v>1</v>
      </c>
      <c r="AT779" s="16"/>
      <c r="AU779" s="16"/>
      <c r="AV779" s="16"/>
      <c r="AW779" s="16"/>
      <c r="AX779" s="16">
        <v>0</v>
      </c>
      <c r="AY779" s="16">
        <v>0</v>
      </c>
      <c r="AZ779" s="16">
        <v>0</v>
      </c>
      <c r="BA779" s="16">
        <v>0</v>
      </c>
    </row>
    <row r="780" spans="1:53" x14ac:dyDescent="0.2">
      <c r="A780" s="14" t="s">
        <v>150</v>
      </c>
      <c r="B780" s="14" t="str">
        <f t="shared" si="225"/>
        <v>Kopp et al. 2012</v>
      </c>
      <c r="C780" s="61">
        <f t="shared" si="226"/>
        <v>78</v>
      </c>
      <c r="D780" s="58">
        <v>2012</v>
      </c>
      <c r="E780" s="17" t="s">
        <v>153</v>
      </c>
      <c r="F780" s="58">
        <v>1</v>
      </c>
      <c r="G780" s="22">
        <v>2005</v>
      </c>
      <c r="H780" s="15">
        <f>LOOKUP(G780,CPI!A$69:A$100,CPI!O$69:O$100)</f>
        <v>1.1165181771633383</v>
      </c>
      <c r="I780" s="52">
        <v>2015</v>
      </c>
      <c r="J780" s="15">
        <f>1/144</f>
        <v>6.9444444444444441E-3</v>
      </c>
      <c r="K780" s="15"/>
      <c r="L780" s="62"/>
      <c r="M780" s="56">
        <f t="shared" si="222"/>
        <v>495.36189793480105</v>
      </c>
      <c r="N780" s="14">
        <f>37*(44/12)</f>
        <v>135.66666666666666</v>
      </c>
      <c r="O780" s="18">
        <f t="shared" si="218"/>
        <v>135.66666666666666</v>
      </c>
      <c r="P780" s="16">
        <v>0</v>
      </c>
      <c r="Q780" s="16">
        <v>0</v>
      </c>
      <c r="R780" s="16">
        <v>1</v>
      </c>
      <c r="S780" s="14"/>
      <c r="T780" s="56" t="str">
        <f t="shared" si="211"/>
        <v/>
      </c>
      <c r="U780" s="56">
        <f t="shared" ref="U780" si="227">+(AA780-X780)/1.96*H780*(1+$L$2)^(2015-I780)</f>
        <v>219.31607051422716</v>
      </c>
      <c r="V780" s="56">
        <f t="shared" ref="V780" si="228">+(AD780-AA780)/1.96*H780*(1+$L$2)^(2015-I780)</f>
        <v>268.05297507294432</v>
      </c>
      <c r="W780" s="14"/>
      <c r="X780" s="3">
        <f>16*(44/12)</f>
        <v>58.666666666666664</v>
      </c>
      <c r="Y780" s="14"/>
      <c r="Z780" s="14"/>
      <c r="AA780" s="3">
        <f>33*((44/12)*(44/12))</f>
        <v>443.66666666666663</v>
      </c>
      <c r="AB780" s="14"/>
      <c r="AC780" s="14"/>
      <c r="AD780" s="3">
        <f>68*((44/12)*(44/12))</f>
        <v>914.22222222222217</v>
      </c>
      <c r="AE780" s="14"/>
      <c r="AF780" s="16">
        <v>0</v>
      </c>
      <c r="AG780" s="16">
        <v>1</v>
      </c>
      <c r="AH780" s="16">
        <v>0</v>
      </c>
      <c r="AI780" s="16">
        <v>1</v>
      </c>
      <c r="AJ780" s="5">
        <v>0</v>
      </c>
      <c r="AK780" s="5">
        <v>1</v>
      </c>
      <c r="AL780" s="5">
        <v>0</v>
      </c>
      <c r="AM780" s="20">
        <v>3</v>
      </c>
      <c r="AN780" s="20">
        <v>3</v>
      </c>
      <c r="AO780" s="16"/>
      <c r="AP780" s="16"/>
      <c r="AQ780" s="16"/>
      <c r="AR780" s="16">
        <v>0</v>
      </c>
      <c r="AS780" s="16">
        <v>0</v>
      </c>
      <c r="AT780" s="16"/>
      <c r="AU780" s="16"/>
      <c r="AV780" s="16"/>
      <c r="AW780" s="16"/>
      <c r="AX780" s="16">
        <v>0</v>
      </c>
      <c r="AY780" s="16">
        <v>0</v>
      </c>
      <c r="AZ780" s="16">
        <v>0</v>
      </c>
      <c r="BA780" s="16">
        <v>1</v>
      </c>
    </row>
    <row r="781" spans="1:53" x14ac:dyDescent="0.2">
      <c r="A781" s="14"/>
      <c r="B781" s="14" t="str">
        <f t="shared" si="225"/>
        <v>Kopp et al. 2012</v>
      </c>
      <c r="C781" s="61">
        <f t="shared" si="226"/>
        <v>78</v>
      </c>
      <c r="D781" s="58">
        <v>2012</v>
      </c>
      <c r="E781" s="17"/>
      <c r="F781" s="58">
        <v>1</v>
      </c>
      <c r="G781" s="22">
        <v>2005</v>
      </c>
      <c r="H781" s="15">
        <f>LOOKUP(G781,CPI!A$69:A$100,CPI!O$69:O$100)</f>
        <v>1.1165181771633383</v>
      </c>
      <c r="I781" s="52">
        <v>2015</v>
      </c>
      <c r="J781" s="15">
        <f t="shared" ref="J781:J844" si="229">1/144</f>
        <v>6.9444444444444441E-3</v>
      </c>
      <c r="K781" s="15"/>
      <c r="L781" s="62"/>
      <c r="M781" s="56">
        <f t="shared" si="222"/>
        <v>525.38383114297085</v>
      </c>
      <c r="N781" s="14">
        <f>39*(44/12)</f>
        <v>143</v>
      </c>
      <c r="O781" s="18">
        <f t="shared" si="218"/>
        <v>143</v>
      </c>
      <c r="P781" s="16">
        <v>0</v>
      </c>
      <c r="Q781" s="16">
        <v>0</v>
      </c>
      <c r="R781" s="16">
        <v>1</v>
      </c>
      <c r="S781" s="14"/>
      <c r="T781" s="56" t="str">
        <f t="shared" si="211"/>
        <v/>
      </c>
      <c r="U781" s="56">
        <f t="shared" ref="U781:U844" si="230">+(AA781-X781)/1.96*H781*(1+$L$2)^(2015-I781)</f>
        <v>145.51447218245548</v>
      </c>
      <c r="V781" s="56">
        <f t="shared" ref="V781:V844" si="231">+(AD781-AA781)/1.96*H781*(1+$L$2)^(2015-I781)</f>
        <v>306.34625722622212</v>
      </c>
      <c r="W781" s="14"/>
      <c r="X781" s="3">
        <f>16*((44/12)*(44/12))</f>
        <v>215.11111111111109</v>
      </c>
      <c r="Y781" s="14"/>
      <c r="Z781" s="14"/>
      <c r="AA781" s="3">
        <f>35*((44/12)*(44/12))</f>
        <v>470.55555555555549</v>
      </c>
      <c r="AB781" s="14"/>
      <c r="AC781" s="14"/>
      <c r="AD781" s="3">
        <f>75*((44/12)*(44/12))</f>
        <v>1008.3333333333333</v>
      </c>
      <c r="AE781" s="14"/>
      <c r="AF781" s="16">
        <v>0</v>
      </c>
      <c r="AG781" s="16">
        <v>1</v>
      </c>
      <c r="AH781" s="16">
        <v>0</v>
      </c>
      <c r="AI781" s="16">
        <v>1</v>
      </c>
      <c r="AJ781" s="5">
        <v>0</v>
      </c>
      <c r="AK781" s="5">
        <v>1</v>
      </c>
      <c r="AL781" s="5">
        <v>0</v>
      </c>
      <c r="AM781" s="20">
        <v>3</v>
      </c>
      <c r="AN781" s="20">
        <v>3</v>
      </c>
      <c r="AO781" s="16"/>
      <c r="AP781" s="16"/>
      <c r="AQ781" s="16"/>
      <c r="AR781" s="16">
        <v>0</v>
      </c>
      <c r="AS781" s="16">
        <v>0</v>
      </c>
      <c r="AT781" s="16"/>
      <c r="AU781" s="16"/>
      <c r="AV781" s="16"/>
      <c r="AW781" s="16"/>
      <c r="AX781" s="16">
        <v>0</v>
      </c>
      <c r="AY781" s="16">
        <v>0</v>
      </c>
      <c r="AZ781" s="16">
        <v>0</v>
      </c>
      <c r="BA781" s="16">
        <v>1</v>
      </c>
    </row>
    <row r="782" spans="1:53" x14ac:dyDescent="0.2">
      <c r="A782" s="14"/>
      <c r="B782" s="14" t="str">
        <f t="shared" si="225"/>
        <v>Kopp et al. 2012</v>
      </c>
      <c r="C782" s="61">
        <f t="shared" si="226"/>
        <v>78</v>
      </c>
      <c r="D782" s="58">
        <v>2012</v>
      </c>
      <c r="E782" s="17"/>
      <c r="F782" s="58">
        <v>1</v>
      </c>
      <c r="G782" s="22">
        <v>2005</v>
      </c>
      <c r="H782" s="15">
        <f>LOOKUP(G782,CPI!A$69:A$100,CPI!O$69:O$100)</f>
        <v>1.1165181771633383</v>
      </c>
      <c r="I782" s="52">
        <v>2015</v>
      </c>
      <c r="J782" s="15">
        <f t="shared" si="229"/>
        <v>6.9444444444444441E-3</v>
      </c>
      <c r="K782" s="15"/>
      <c r="L782" s="62"/>
      <c r="M782" s="56">
        <f t="shared" si="222"/>
        <v>480.35093133071615</v>
      </c>
      <c r="N782" s="14">
        <f>36*(44/12)</f>
        <v>132</v>
      </c>
      <c r="O782" s="18">
        <f t="shared" si="218"/>
        <v>132</v>
      </c>
      <c r="P782" s="16">
        <v>0</v>
      </c>
      <c r="Q782" s="16">
        <v>0</v>
      </c>
      <c r="R782" s="16">
        <v>1</v>
      </c>
      <c r="S782" s="14"/>
      <c r="T782" s="56" t="str">
        <f t="shared" si="211"/>
        <v/>
      </c>
      <c r="U782" s="56">
        <f t="shared" si="230"/>
        <v>137.85581575179992</v>
      </c>
      <c r="V782" s="56">
        <f t="shared" si="231"/>
        <v>314.00491365687765</v>
      </c>
      <c r="W782" s="14"/>
      <c r="X782" s="3">
        <f>14*((44/12)*(44/12))</f>
        <v>188.2222222222222</v>
      </c>
      <c r="Y782" s="14"/>
      <c r="Z782" s="14"/>
      <c r="AA782" s="3">
        <f>32*((44/12)*(44/12))</f>
        <v>430.22222222222217</v>
      </c>
      <c r="AB782" s="14"/>
      <c r="AC782" s="14"/>
      <c r="AD782" s="3">
        <f>73*((44/12)*(44/12))</f>
        <v>981.44444444444434</v>
      </c>
      <c r="AE782" s="14"/>
      <c r="AF782" s="16">
        <v>0</v>
      </c>
      <c r="AG782" s="16">
        <v>1</v>
      </c>
      <c r="AH782" s="16">
        <v>0</v>
      </c>
      <c r="AI782" s="16">
        <v>1</v>
      </c>
      <c r="AJ782" s="5">
        <v>0</v>
      </c>
      <c r="AK782" s="5">
        <v>1</v>
      </c>
      <c r="AL782" s="5">
        <v>0</v>
      </c>
      <c r="AM782" s="20">
        <v>3</v>
      </c>
      <c r="AN782" s="20">
        <v>3</v>
      </c>
      <c r="AO782" s="16"/>
      <c r="AP782" s="16"/>
      <c r="AQ782" s="16"/>
      <c r="AR782" s="16">
        <v>0</v>
      </c>
      <c r="AS782" s="16">
        <v>0</v>
      </c>
      <c r="AT782" s="16"/>
      <c r="AU782" s="16"/>
      <c r="AV782" s="16"/>
      <c r="AW782" s="16"/>
      <c r="AX782" s="16">
        <v>0</v>
      </c>
      <c r="AY782" s="16">
        <v>0</v>
      </c>
      <c r="AZ782" s="16">
        <v>0</v>
      </c>
      <c r="BA782" s="16">
        <v>1</v>
      </c>
    </row>
    <row r="783" spans="1:53" x14ac:dyDescent="0.2">
      <c r="A783" s="14"/>
      <c r="B783" s="14" t="str">
        <f t="shared" si="225"/>
        <v>Kopp et al. 2012</v>
      </c>
      <c r="C783" s="61">
        <f t="shared" si="226"/>
        <v>78</v>
      </c>
      <c r="D783" s="58">
        <v>2012</v>
      </c>
      <c r="E783" s="17"/>
      <c r="F783" s="58">
        <v>1</v>
      </c>
      <c r="G783" s="22">
        <v>2005</v>
      </c>
      <c r="H783" s="15">
        <f>LOOKUP(G783,CPI!A$69:A$100,CPI!O$69:O$100)</f>
        <v>1.1165181771633383</v>
      </c>
      <c r="I783" s="52">
        <v>2015</v>
      </c>
      <c r="J783" s="15">
        <f t="shared" si="229"/>
        <v>6.9444444444444441E-3</v>
      </c>
      <c r="K783" s="15"/>
      <c r="L783" s="62"/>
      <c r="M783" s="56">
        <f t="shared" si="222"/>
        <v>690.50446378790446</v>
      </c>
      <c r="N783" s="14">
        <f>49*(44/12)</f>
        <v>179.66666666666666</v>
      </c>
      <c r="O783" s="18">
        <f t="shared" si="218"/>
        <v>179.66666666666666</v>
      </c>
      <c r="P783" s="16">
        <v>0</v>
      </c>
      <c r="Q783" s="16">
        <v>0</v>
      </c>
      <c r="R783" s="16">
        <v>1</v>
      </c>
      <c r="S783" s="14"/>
      <c r="T783" s="56" t="str">
        <f t="shared" ref="T783:T846" si="232">IF(OR(M783="",S783=""),"",S783*H783*(1+$L$2)^(2015-I783))</f>
        <v/>
      </c>
      <c r="U783" s="56">
        <f t="shared" si="230"/>
        <v>176.14909790507767</v>
      </c>
      <c r="V783" s="56">
        <f t="shared" si="231"/>
        <v>306.34625722622212</v>
      </c>
      <c r="W783" s="14"/>
      <c r="X783" s="3">
        <f>23*((44/12)*(44/12))</f>
        <v>309.22222222222217</v>
      </c>
      <c r="Y783" s="14"/>
      <c r="Z783" s="14"/>
      <c r="AA783" s="3">
        <f>46*((44/12)*(44/12))</f>
        <v>618.44444444444434</v>
      </c>
      <c r="AB783" s="14"/>
      <c r="AC783" s="14"/>
      <c r="AD783" s="3">
        <f>86*((44/12)*(44/12))</f>
        <v>1156.2222222222222</v>
      </c>
      <c r="AE783" s="14"/>
      <c r="AF783" s="16">
        <v>0</v>
      </c>
      <c r="AG783" s="16">
        <v>1</v>
      </c>
      <c r="AH783" s="16">
        <v>0</v>
      </c>
      <c r="AI783" s="16">
        <v>1</v>
      </c>
      <c r="AJ783" s="5">
        <v>0</v>
      </c>
      <c r="AK783" s="5">
        <v>1</v>
      </c>
      <c r="AL783" s="5">
        <v>0</v>
      </c>
      <c r="AM783" s="20">
        <v>3</v>
      </c>
      <c r="AN783" s="20">
        <v>3</v>
      </c>
      <c r="AO783" s="16"/>
      <c r="AP783" s="16"/>
      <c r="AQ783" s="16"/>
      <c r="AR783" s="16">
        <v>0</v>
      </c>
      <c r="AS783" s="16">
        <v>0</v>
      </c>
      <c r="AT783" s="16"/>
      <c r="AU783" s="16"/>
      <c r="AV783" s="16"/>
      <c r="AW783" s="16"/>
      <c r="AX783" s="16">
        <v>0</v>
      </c>
      <c r="AY783" s="16">
        <v>0</v>
      </c>
      <c r="AZ783" s="16">
        <v>0</v>
      </c>
      <c r="BA783" s="16">
        <v>1</v>
      </c>
    </row>
    <row r="784" spans="1:53" x14ac:dyDescent="0.2">
      <c r="A784" s="14"/>
      <c r="B784" s="14" t="str">
        <f t="shared" si="225"/>
        <v>Kopp et al. 2012</v>
      </c>
      <c r="C784" s="61">
        <f t="shared" si="226"/>
        <v>78</v>
      </c>
      <c r="D784" s="58">
        <v>2012</v>
      </c>
      <c r="E784" s="17"/>
      <c r="F784" s="58">
        <v>1</v>
      </c>
      <c r="G784" s="22">
        <v>2005</v>
      </c>
      <c r="H784" s="15">
        <f>LOOKUP(G784,CPI!A$69:A$100,CPI!O$69:O$100)</f>
        <v>1.1165181771633383</v>
      </c>
      <c r="I784" s="52">
        <v>2015</v>
      </c>
      <c r="J784" s="15">
        <f t="shared" si="229"/>
        <v>6.9444444444444441E-3</v>
      </c>
      <c r="K784" s="15"/>
      <c r="L784" s="62"/>
      <c r="M784" s="56">
        <f t="shared" si="222"/>
        <v>360.26319849803713</v>
      </c>
      <c r="N784" s="14">
        <f>26*(44/12)</f>
        <v>95.333333333333329</v>
      </c>
      <c r="O784" s="18">
        <f t="shared" si="218"/>
        <v>95.333333333333329</v>
      </c>
      <c r="P784" s="16">
        <v>0</v>
      </c>
      <c r="Q784" s="16">
        <v>0</v>
      </c>
      <c r="R784" s="16">
        <v>1</v>
      </c>
      <c r="S784" s="14"/>
      <c r="T784" s="56" t="str">
        <f t="shared" si="232"/>
        <v/>
      </c>
      <c r="U784" s="56">
        <f t="shared" si="230"/>
        <v>91.903877167866611</v>
      </c>
      <c r="V784" s="56">
        <f t="shared" si="231"/>
        <v>168.49044147442211</v>
      </c>
      <c r="W784" s="14"/>
      <c r="X784" s="3">
        <f>12*((44/12)*(44/12))</f>
        <v>161.33333333333331</v>
      </c>
      <c r="Y784" s="14"/>
      <c r="Z784" s="14"/>
      <c r="AA784" s="3">
        <f>24*((44/12)*(44/12))</f>
        <v>322.66666666666663</v>
      </c>
      <c r="AB784" s="14"/>
      <c r="AC784" s="14"/>
      <c r="AD784" s="3">
        <f>46*((44/12)*(44/12))</f>
        <v>618.44444444444434</v>
      </c>
      <c r="AE784" s="14"/>
      <c r="AF784" s="16">
        <v>0</v>
      </c>
      <c r="AG784" s="16">
        <v>1</v>
      </c>
      <c r="AH784" s="16">
        <v>0</v>
      </c>
      <c r="AI784" s="16">
        <v>1</v>
      </c>
      <c r="AJ784" s="5">
        <v>0</v>
      </c>
      <c r="AK784" s="5">
        <v>1</v>
      </c>
      <c r="AL784" s="5">
        <v>0</v>
      </c>
      <c r="AM784" s="20">
        <v>3</v>
      </c>
      <c r="AN784" s="20">
        <v>3</v>
      </c>
      <c r="AO784" s="16"/>
      <c r="AP784" s="16"/>
      <c r="AQ784" s="16"/>
      <c r="AR784" s="16">
        <v>0</v>
      </c>
      <c r="AS784" s="16">
        <v>0</v>
      </c>
      <c r="AT784" s="16"/>
      <c r="AU784" s="16"/>
      <c r="AV784" s="16"/>
      <c r="AW784" s="16"/>
      <c r="AX784" s="16">
        <v>0</v>
      </c>
      <c r="AY784" s="16">
        <v>0</v>
      </c>
      <c r="AZ784" s="16">
        <v>0</v>
      </c>
      <c r="BA784" s="16">
        <v>1</v>
      </c>
    </row>
    <row r="785" spans="1:53" x14ac:dyDescent="0.2">
      <c r="A785" s="14"/>
      <c r="B785" s="14" t="str">
        <f t="shared" si="225"/>
        <v>Kopp et al. 2012</v>
      </c>
      <c r="C785" s="61">
        <f t="shared" si="226"/>
        <v>78</v>
      </c>
      <c r="D785" s="58">
        <v>2012</v>
      </c>
      <c r="E785" s="17"/>
      <c r="F785" s="58">
        <v>1</v>
      </c>
      <c r="G785" s="22">
        <v>2005</v>
      </c>
      <c r="H785" s="15">
        <f>LOOKUP(G785,CPI!A$69:A$100,CPI!O$69:O$100)</f>
        <v>1.1165181771633383</v>
      </c>
      <c r="I785" s="52">
        <v>2015</v>
      </c>
      <c r="J785" s="15">
        <f t="shared" si="229"/>
        <v>6.9444444444444441E-3</v>
      </c>
      <c r="K785" s="15"/>
      <c r="L785" s="62"/>
      <c r="M785" s="56">
        <f t="shared" si="222"/>
        <v>705.51543039198941</v>
      </c>
      <c r="N785" s="14">
        <f>49*(44/12)</f>
        <v>179.66666666666666</v>
      </c>
      <c r="O785" s="18">
        <f t="shared" si="218"/>
        <v>179.66666666666666</v>
      </c>
      <c r="P785" s="16">
        <v>0</v>
      </c>
      <c r="Q785" s="16">
        <v>0</v>
      </c>
      <c r="R785" s="16">
        <v>1</v>
      </c>
      <c r="S785" s="14"/>
      <c r="T785" s="56" t="str">
        <f t="shared" si="232"/>
        <v/>
      </c>
      <c r="U785" s="56">
        <f t="shared" si="230"/>
        <v>176.14909790507767</v>
      </c>
      <c r="V785" s="56">
        <f t="shared" si="231"/>
        <v>260.39431864228868</v>
      </c>
      <c r="W785" s="14"/>
      <c r="X785" s="3">
        <f>24*((44/12)*(44/12))</f>
        <v>322.66666666666663</v>
      </c>
      <c r="Y785" s="14"/>
      <c r="Z785" s="14"/>
      <c r="AA785" s="3">
        <f>47*((44/12)*(44/12))</f>
        <v>631.8888888888888</v>
      </c>
      <c r="AB785" s="14"/>
      <c r="AC785" s="14"/>
      <c r="AD785" s="3">
        <f>81*((44/12)*(44/12))</f>
        <v>1088.9999999999998</v>
      </c>
      <c r="AE785" s="14"/>
      <c r="AF785" s="16">
        <v>0</v>
      </c>
      <c r="AG785" s="16">
        <v>1</v>
      </c>
      <c r="AH785" s="16">
        <v>0</v>
      </c>
      <c r="AI785" s="16">
        <v>1</v>
      </c>
      <c r="AJ785" s="5">
        <v>0</v>
      </c>
      <c r="AK785" s="5">
        <v>1</v>
      </c>
      <c r="AL785" s="5">
        <v>0</v>
      </c>
      <c r="AM785" s="20">
        <v>3</v>
      </c>
      <c r="AN785" s="20">
        <v>3</v>
      </c>
      <c r="AO785" s="16"/>
      <c r="AP785" s="16"/>
      <c r="AQ785" s="16"/>
      <c r="AR785" s="16">
        <v>0</v>
      </c>
      <c r="AS785" s="16">
        <v>0</v>
      </c>
      <c r="AT785" s="16"/>
      <c r="AU785" s="16"/>
      <c r="AV785" s="16"/>
      <c r="AW785" s="16"/>
      <c r="AX785" s="16">
        <v>0</v>
      </c>
      <c r="AY785" s="16">
        <v>0</v>
      </c>
      <c r="AZ785" s="16">
        <v>0</v>
      </c>
      <c r="BA785" s="16">
        <v>1</v>
      </c>
    </row>
    <row r="786" spans="1:53" x14ac:dyDescent="0.2">
      <c r="A786" s="14"/>
      <c r="B786" s="14" t="str">
        <f t="shared" si="225"/>
        <v>Kopp et al. 2012</v>
      </c>
      <c r="C786" s="61">
        <f t="shared" si="226"/>
        <v>78</v>
      </c>
      <c r="D786" s="58">
        <v>2012</v>
      </c>
      <c r="E786" s="17"/>
      <c r="F786" s="58">
        <v>1</v>
      </c>
      <c r="G786" s="22">
        <v>2005</v>
      </c>
      <c r="H786" s="15">
        <f>LOOKUP(G786,CPI!A$69:A$100,CPI!O$69:O$100)</f>
        <v>1.1165181771633383</v>
      </c>
      <c r="I786" s="52">
        <v>2015</v>
      </c>
      <c r="J786" s="15">
        <f t="shared" si="229"/>
        <v>6.9444444444444441E-3</v>
      </c>
      <c r="K786" s="15"/>
      <c r="L786" s="62"/>
      <c r="M786" s="56">
        <f t="shared" si="222"/>
        <v>405.29609831029177</v>
      </c>
      <c r="N786" s="14">
        <f>30*(44/12)</f>
        <v>110</v>
      </c>
      <c r="O786" s="18">
        <f t="shared" si="218"/>
        <v>110</v>
      </c>
      <c r="P786" s="16">
        <v>0</v>
      </c>
      <c r="Q786" s="16">
        <v>0</v>
      </c>
      <c r="R786" s="16">
        <v>1</v>
      </c>
      <c r="S786" s="14"/>
      <c r="T786" s="56" t="str">
        <f t="shared" si="232"/>
        <v/>
      </c>
      <c r="U786" s="56">
        <f t="shared" si="230"/>
        <v>99.562533598522165</v>
      </c>
      <c r="V786" s="56">
        <f t="shared" si="231"/>
        <v>214.44238005835544</v>
      </c>
      <c r="W786" s="14"/>
      <c r="X786" s="3">
        <f>14*((44/12)*(44/12))</f>
        <v>188.2222222222222</v>
      </c>
      <c r="Y786" s="14"/>
      <c r="Z786" s="14"/>
      <c r="AA786" s="3">
        <f>27*((44/12)*(44/12))</f>
        <v>362.99999999999994</v>
      </c>
      <c r="AB786" s="14"/>
      <c r="AC786" s="14"/>
      <c r="AD786" s="3">
        <f>55*((44/12)*(44/12))</f>
        <v>739.44444444444434</v>
      </c>
      <c r="AE786" s="14"/>
      <c r="AF786" s="16">
        <v>0</v>
      </c>
      <c r="AG786" s="16">
        <v>1</v>
      </c>
      <c r="AH786" s="16">
        <v>0</v>
      </c>
      <c r="AI786" s="16">
        <v>1</v>
      </c>
      <c r="AJ786" s="5">
        <v>0</v>
      </c>
      <c r="AK786" s="5">
        <v>1</v>
      </c>
      <c r="AL786" s="5">
        <v>0</v>
      </c>
      <c r="AM786" s="20">
        <v>3</v>
      </c>
      <c r="AN786" s="20">
        <v>3</v>
      </c>
      <c r="AO786" s="16"/>
      <c r="AP786" s="16"/>
      <c r="AQ786" s="16"/>
      <c r="AR786" s="16">
        <v>0</v>
      </c>
      <c r="AS786" s="16">
        <v>0</v>
      </c>
      <c r="AT786" s="16"/>
      <c r="AU786" s="16"/>
      <c r="AV786" s="16"/>
      <c r="AW786" s="16"/>
      <c r="AX786" s="16">
        <v>0</v>
      </c>
      <c r="AY786" s="16">
        <v>0</v>
      </c>
      <c r="AZ786" s="16">
        <v>0</v>
      </c>
      <c r="BA786" s="16">
        <v>1</v>
      </c>
    </row>
    <row r="787" spans="1:53" x14ac:dyDescent="0.2">
      <c r="A787" s="14"/>
      <c r="B787" s="14" t="str">
        <f t="shared" si="225"/>
        <v>Kopp et al. 2012</v>
      </c>
      <c r="C787" s="61">
        <f t="shared" si="226"/>
        <v>78</v>
      </c>
      <c r="D787" s="58">
        <v>2012</v>
      </c>
      <c r="E787" s="17"/>
      <c r="F787" s="58">
        <v>1</v>
      </c>
      <c r="G787" s="22">
        <v>2005</v>
      </c>
      <c r="H787" s="15">
        <f>LOOKUP(G787,CPI!A$69:A$100,CPI!O$69:O$100)</f>
        <v>1.1165181771633383</v>
      </c>
      <c r="I787" s="52">
        <v>2015</v>
      </c>
      <c r="J787" s="15">
        <f t="shared" si="229"/>
        <v>6.9444444444444441E-3</v>
      </c>
      <c r="K787" s="15"/>
      <c r="L787" s="62"/>
      <c r="M787" s="56">
        <f t="shared" si="222"/>
        <v>525.38383114297085</v>
      </c>
      <c r="N787" s="14">
        <f>39*(44/12)</f>
        <v>143</v>
      </c>
      <c r="O787" s="18">
        <f t="shared" si="218"/>
        <v>143</v>
      </c>
      <c r="P787" s="16">
        <v>0</v>
      </c>
      <c r="Q787" s="16">
        <v>0</v>
      </c>
      <c r="R787" s="16">
        <v>1</v>
      </c>
      <c r="S787" s="14"/>
      <c r="T787" s="56" t="str">
        <f t="shared" si="232"/>
        <v/>
      </c>
      <c r="U787" s="56">
        <f t="shared" si="230"/>
        <v>145.51447218245548</v>
      </c>
      <c r="V787" s="56">
        <f t="shared" si="231"/>
        <v>283.37028793425543</v>
      </c>
      <c r="W787" s="14"/>
      <c r="X787" s="3">
        <f>16*((44/12)*(44/12))</f>
        <v>215.11111111111109</v>
      </c>
      <c r="Y787" s="14"/>
      <c r="Z787" s="14"/>
      <c r="AA787" s="3">
        <f>35*((44/12)*(44/12))</f>
        <v>470.55555555555549</v>
      </c>
      <c r="AB787" s="14"/>
      <c r="AC787" s="14"/>
      <c r="AD787" s="3">
        <f>72*((44/12)*(44/12))</f>
        <v>967.99999999999989</v>
      </c>
      <c r="AE787" s="14"/>
      <c r="AF787" s="16">
        <v>0</v>
      </c>
      <c r="AG787" s="16">
        <v>1</v>
      </c>
      <c r="AH787" s="16">
        <v>0</v>
      </c>
      <c r="AI787" s="16">
        <v>1</v>
      </c>
      <c r="AJ787" s="5">
        <v>0</v>
      </c>
      <c r="AK787" s="5">
        <v>1</v>
      </c>
      <c r="AL787" s="5">
        <v>0</v>
      </c>
      <c r="AM787" s="20">
        <v>3</v>
      </c>
      <c r="AN787" s="20">
        <v>3</v>
      </c>
      <c r="AO787" s="16"/>
      <c r="AP787" s="16"/>
      <c r="AQ787" s="16"/>
      <c r="AR787" s="16">
        <v>0</v>
      </c>
      <c r="AS787" s="16">
        <v>0</v>
      </c>
      <c r="AT787" s="16"/>
      <c r="AU787" s="16"/>
      <c r="AV787" s="16"/>
      <c r="AW787" s="16"/>
      <c r="AX787" s="16">
        <v>0</v>
      </c>
      <c r="AY787" s="16">
        <v>0</v>
      </c>
      <c r="AZ787" s="16">
        <v>0</v>
      </c>
      <c r="BA787" s="16">
        <v>1</v>
      </c>
    </row>
    <row r="788" spans="1:53" x14ac:dyDescent="0.2">
      <c r="A788" s="14"/>
      <c r="B788" s="14" t="str">
        <f t="shared" si="225"/>
        <v>Kopp et al. 2012</v>
      </c>
      <c r="C788" s="61">
        <f t="shared" si="226"/>
        <v>78</v>
      </c>
      <c r="D788" s="58">
        <v>2012</v>
      </c>
      <c r="E788" s="17"/>
      <c r="F788" s="58">
        <v>1</v>
      </c>
      <c r="G788" s="22">
        <v>2005</v>
      </c>
      <c r="H788" s="15">
        <f>LOOKUP(G788,CPI!A$69:A$100,CPI!O$69:O$100)</f>
        <v>1.1165181771633383</v>
      </c>
      <c r="I788" s="52">
        <v>2015</v>
      </c>
      <c r="J788" s="15">
        <f t="shared" si="229"/>
        <v>6.9444444444444441E-3</v>
      </c>
      <c r="K788" s="15"/>
      <c r="L788" s="62"/>
      <c r="M788" s="56">
        <f t="shared" si="222"/>
        <v>495.36189793480105</v>
      </c>
      <c r="N788" s="14">
        <f>42*(44/12)</f>
        <v>154</v>
      </c>
      <c r="O788" s="18">
        <f t="shared" si="218"/>
        <v>154</v>
      </c>
      <c r="P788" s="16">
        <v>0</v>
      </c>
      <c r="Q788" s="16">
        <v>0</v>
      </c>
      <c r="R788" s="16">
        <v>1</v>
      </c>
      <c r="S788" s="14"/>
      <c r="T788" s="56" t="str">
        <f t="shared" si="232"/>
        <v/>
      </c>
      <c r="U788" s="56">
        <f t="shared" si="230"/>
        <v>130.19715932114437</v>
      </c>
      <c r="V788" s="56">
        <f t="shared" si="231"/>
        <v>268.05297507294432</v>
      </c>
      <c r="W788" s="14"/>
      <c r="X788" s="3">
        <f>16*((44/12)*(44/12))</f>
        <v>215.11111111111109</v>
      </c>
      <c r="Y788" s="14"/>
      <c r="Z788" s="14"/>
      <c r="AA788" s="3">
        <f>33*((44/12)*(44/12))</f>
        <v>443.66666666666663</v>
      </c>
      <c r="AB788" s="14"/>
      <c r="AC788" s="14"/>
      <c r="AD788" s="3">
        <f>68*((44/12)*(44/12))</f>
        <v>914.22222222222217</v>
      </c>
      <c r="AE788" s="14"/>
      <c r="AF788" s="16">
        <v>0</v>
      </c>
      <c r="AG788" s="16">
        <v>1</v>
      </c>
      <c r="AH788" s="16">
        <v>0</v>
      </c>
      <c r="AI788" s="16">
        <v>1</v>
      </c>
      <c r="AJ788" s="5">
        <v>0</v>
      </c>
      <c r="AK788" s="5">
        <v>1</v>
      </c>
      <c r="AL788" s="5">
        <v>0</v>
      </c>
      <c r="AM788" s="20">
        <v>3</v>
      </c>
      <c r="AN788" s="20">
        <v>3</v>
      </c>
      <c r="AO788" s="16"/>
      <c r="AP788" s="16"/>
      <c r="AQ788" s="16"/>
      <c r="AR788" s="16">
        <v>0</v>
      </c>
      <c r="AS788" s="16">
        <v>0</v>
      </c>
      <c r="AT788" s="16"/>
      <c r="AU788" s="16"/>
      <c r="AV788" s="16"/>
      <c r="AW788" s="16"/>
      <c r="AX788" s="16">
        <v>0</v>
      </c>
      <c r="AY788" s="16">
        <v>0</v>
      </c>
      <c r="AZ788" s="16">
        <v>0</v>
      </c>
      <c r="BA788" s="16">
        <v>1</v>
      </c>
    </row>
    <row r="789" spans="1:53" x14ac:dyDescent="0.2">
      <c r="A789" s="14"/>
      <c r="B789" s="14" t="str">
        <f t="shared" si="225"/>
        <v>Kopp et al. 2012</v>
      </c>
      <c r="C789" s="61">
        <f t="shared" si="226"/>
        <v>78</v>
      </c>
      <c r="D789" s="58">
        <v>2012</v>
      </c>
      <c r="E789" s="17"/>
      <c r="F789" s="58">
        <v>1</v>
      </c>
      <c r="G789" s="22">
        <v>2005</v>
      </c>
      <c r="H789" s="15">
        <f>LOOKUP(G789,CPI!A$69:A$100,CPI!O$69:O$100)</f>
        <v>1.1165181771633383</v>
      </c>
      <c r="I789" s="52">
        <v>2015</v>
      </c>
      <c r="J789" s="15">
        <f t="shared" si="229"/>
        <v>6.9444444444444441E-3</v>
      </c>
      <c r="K789" s="15"/>
      <c r="L789" s="62"/>
      <c r="M789" s="56">
        <f t="shared" si="222"/>
        <v>675.49349718381961</v>
      </c>
      <c r="N789" s="14">
        <f>63*(44/12)</f>
        <v>231</v>
      </c>
      <c r="O789" s="18">
        <f t="shared" si="218"/>
        <v>231</v>
      </c>
      <c r="P789" s="16">
        <v>0</v>
      </c>
      <c r="Q789" s="16">
        <v>0</v>
      </c>
      <c r="R789" s="16">
        <v>1</v>
      </c>
      <c r="S789" s="14"/>
      <c r="T789" s="56" t="str">
        <f t="shared" si="232"/>
        <v/>
      </c>
      <c r="U789" s="56">
        <f t="shared" si="230"/>
        <v>222.10103648901097</v>
      </c>
      <c r="V789" s="56">
        <f t="shared" si="231"/>
        <v>1072.2119002917771</v>
      </c>
      <c r="W789" s="14"/>
      <c r="X789" s="3">
        <f>16*((44/12)*(44/12))</f>
        <v>215.11111111111109</v>
      </c>
      <c r="Y789" s="14"/>
      <c r="Z789" s="14"/>
      <c r="AA789" s="3">
        <f>45*((44/12)*(44/12))</f>
        <v>604.99999999999989</v>
      </c>
      <c r="AB789" s="14"/>
      <c r="AC789" s="14"/>
      <c r="AD789" s="3">
        <f>185*((44/12)*(44/12))</f>
        <v>2487.2222222222217</v>
      </c>
      <c r="AE789" s="14"/>
      <c r="AF789" s="16">
        <v>0</v>
      </c>
      <c r="AG789" s="16">
        <v>1</v>
      </c>
      <c r="AH789" s="16">
        <v>0</v>
      </c>
      <c r="AI789" s="16">
        <v>1</v>
      </c>
      <c r="AJ789" s="5">
        <v>0</v>
      </c>
      <c r="AK789" s="5">
        <v>1</v>
      </c>
      <c r="AL789" s="5">
        <v>0</v>
      </c>
      <c r="AM789" s="20">
        <v>3</v>
      </c>
      <c r="AN789" s="20">
        <v>3</v>
      </c>
      <c r="AO789" s="16"/>
      <c r="AP789" s="16"/>
      <c r="AQ789" s="16"/>
      <c r="AR789" s="16">
        <v>0</v>
      </c>
      <c r="AS789" s="16">
        <v>0</v>
      </c>
      <c r="AT789" s="16"/>
      <c r="AU789" s="16"/>
      <c r="AV789" s="16"/>
      <c r="AW789" s="16"/>
      <c r="AX789" s="16">
        <v>0</v>
      </c>
      <c r="AY789" s="16">
        <v>0</v>
      </c>
      <c r="AZ789" s="16">
        <v>0</v>
      </c>
      <c r="BA789" s="16">
        <v>1</v>
      </c>
    </row>
    <row r="790" spans="1:53" x14ac:dyDescent="0.2">
      <c r="A790" s="14"/>
      <c r="B790" s="14" t="str">
        <f t="shared" si="225"/>
        <v>Kopp et al. 2012</v>
      </c>
      <c r="C790" s="61">
        <f t="shared" si="226"/>
        <v>78</v>
      </c>
      <c r="D790" s="58">
        <v>2012</v>
      </c>
      <c r="E790" s="17"/>
      <c r="F790" s="58">
        <v>1</v>
      </c>
      <c r="G790" s="22">
        <v>2005</v>
      </c>
      <c r="H790" s="15">
        <f>LOOKUP(G790,CPI!A$69:A$100,CPI!O$69:O$100)</f>
        <v>1.1165181771633383</v>
      </c>
      <c r="I790" s="52">
        <v>2015</v>
      </c>
      <c r="J790" s="15">
        <f t="shared" si="229"/>
        <v>6.9444444444444441E-3</v>
      </c>
      <c r="K790" s="15"/>
      <c r="L790" s="62"/>
      <c r="M790" s="56">
        <f t="shared" si="222"/>
        <v>225.1644990612732</v>
      </c>
      <c r="N790" s="14">
        <f>35*(44/12)</f>
        <v>128.33333333333331</v>
      </c>
      <c r="O790" s="18">
        <f t="shared" si="218"/>
        <v>128.33333333333331</v>
      </c>
      <c r="P790" s="16">
        <v>0</v>
      </c>
      <c r="Q790" s="16">
        <v>0</v>
      </c>
      <c r="R790" s="16">
        <v>1</v>
      </c>
      <c r="S790" s="14"/>
      <c r="T790" s="56" t="str">
        <f t="shared" si="232"/>
        <v/>
      </c>
      <c r="U790" s="56">
        <f t="shared" si="230"/>
        <v>68.927907875899962</v>
      </c>
      <c r="V790" s="56">
        <f t="shared" si="231"/>
        <v>1026.2599617078438</v>
      </c>
      <c r="W790" s="14"/>
      <c r="X790" s="3">
        <f>6*((44/12)*(44/12))</f>
        <v>80.666666666666657</v>
      </c>
      <c r="Y790" s="14"/>
      <c r="Z790" s="14"/>
      <c r="AA790" s="3">
        <f>15*((44/12)*(44/12))</f>
        <v>201.66666666666663</v>
      </c>
      <c r="AB790" s="14"/>
      <c r="AC790" s="14"/>
      <c r="AD790" s="3">
        <f>149*((44/12)*(44/12))</f>
        <v>2003.2222222222219</v>
      </c>
      <c r="AE790" s="14"/>
      <c r="AF790" s="16">
        <v>0</v>
      </c>
      <c r="AG790" s="16">
        <v>1</v>
      </c>
      <c r="AH790" s="16">
        <v>0</v>
      </c>
      <c r="AI790" s="16">
        <v>1</v>
      </c>
      <c r="AJ790" s="5">
        <v>0</v>
      </c>
      <c r="AK790" s="5">
        <v>1</v>
      </c>
      <c r="AL790" s="5">
        <v>0</v>
      </c>
      <c r="AM790" s="20">
        <v>3</v>
      </c>
      <c r="AN790" s="20">
        <v>3</v>
      </c>
      <c r="AO790" s="16"/>
      <c r="AP790" s="16"/>
      <c r="AQ790" s="16"/>
      <c r="AR790" s="16">
        <v>0</v>
      </c>
      <c r="AS790" s="16">
        <v>0</v>
      </c>
      <c r="AT790" s="16"/>
      <c r="AU790" s="16"/>
      <c r="AV790" s="16"/>
      <c r="AW790" s="16"/>
      <c r="AX790" s="16">
        <v>0</v>
      </c>
      <c r="AY790" s="16">
        <v>0</v>
      </c>
      <c r="AZ790" s="16">
        <v>0</v>
      </c>
      <c r="BA790" s="16">
        <v>1</v>
      </c>
    </row>
    <row r="791" spans="1:53" x14ac:dyDescent="0.2">
      <c r="A791" s="14"/>
      <c r="B791" s="14" t="str">
        <f t="shared" si="225"/>
        <v>Kopp et al. 2012</v>
      </c>
      <c r="C791" s="61">
        <f t="shared" si="226"/>
        <v>78</v>
      </c>
      <c r="D791" s="58">
        <v>2012</v>
      </c>
      <c r="E791" s="17"/>
      <c r="F791" s="58">
        <v>1</v>
      </c>
      <c r="G791" s="22">
        <v>2005</v>
      </c>
      <c r="H791" s="15">
        <f>LOOKUP(G791,CPI!A$69:A$100,CPI!O$69:O$100)</f>
        <v>1.1165181771633383</v>
      </c>
      <c r="I791" s="52">
        <v>2015</v>
      </c>
      <c r="J791" s="15">
        <f t="shared" si="229"/>
        <v>6.9444444444444441E-3</v>
      </c>
      <c r="K791" s="15"/>
      <c r="L791" s="62"/>
      <c r="M791" s="56">
        <f t="shared" si="222"/>
        <v>165.12063264493366</v>
      </c>
      <c r="N791" s="14">
        <f>33*(44/12)</f>
        <v>121</v>
      </c>
      <c r="O791" s="18">
        <f t="shared" si="218"/>
        <v>121</v>
      </c>
      <c r="P791" s="16">
        <v>0</v>
      </c>
      <c r="Q791" s="16">
        <v>0</v>
      </c>
      <c r="R791" s="16">
        <v>1</v>
      </c>
      <c r="S791" s="14"/>
      <c r="T791" s="56" t="str">
        <f t="shared" si="232"/>
        <v/>
      </c>
      <c r="U791" s="56">
        <f t="shared" si="230"/>
        <v>45.951938583933298</v>
      </c>
      <c r="V791" s="56">
        <f t="shared" si="231"/>
        <v>1049.2359309998105</v>
      </c>
      <c r="W791" s="14"/>
      <c r="X791" s="3">
        <f>5*((44/12)*(44/12))</f>
        <v>67.222222222222214</v>
      </c>
      <c r="Y791" s="14"/>
      <c r="Z791" s="14"/>
      <c r="AA791" s="3">
        <f>11*((44/12)*(44/12))</f>
        <v>147.88888888888886</v>
      </c>
      <c r="AB791" s="14"/>
      <c r="AC791" s="14"/>
      <c r="AD791" s="3">
        <f>148*((44/12)*(44/12))</f>
        <v>1989.7777777777776</v>
      </c>
      <c r="AE791" s="14"/>
      <c r="AF791" s="16">
        <v>0</v>
      </c>
      <c r="AG791" s="16">
        <v>1</v>
      </c>
      <c r="AH791" s="16">
        <v>0</v>
      </c>
      <c r="AI791" s="16">
        <v>1</v>
      </c>
      <c r="AJ791" s="5">
        <v>0</v>
      </c>
      <c r="AK791" s="5">
        <v>1</v>
      </c>
      <c r="AL791" s="5">
        <v>0</v>
      </c>
      <c r="AM791" s="20">
        <v>3</v>
      </c>
      <c r="AN791" s="20">
        <v>3</v>
      </c>
      <c r="AO791" s="16"/>
      <c r="AP791" s="16"/>
      <c r="AQ791" s="16"/>
      <c r="AR791" s="16">
        <v>0</v>
      </c>
      <c r="AS791" s="16">
        <v>0</v>
      </c>
      <c r="AT791" s="16"/>
      <c r="AU791" s="16"/>
      <c r="AV791" s="16"/>
      <c r="AW791" s="16"/>
      <c r="AX791" s="16">
        <v>0</v>
      </c>
      <c r="AY791" s="16">
        <v>0</v>
      </c>
      <c r="AZ791" s="16">
        <v>0</v>
      </c>
      <c r="BA791" s="16">
        <v>1</v>
      </c>
    </row>
    <row r="792" spans="1:53" x14ac:dyDescent="0.2">
      <c r="A792" s="14"/>
      <c r="B792" s="14" t="str">
        <f t="shared" si="225"/>
        <v>Kopp et al. 2012</v>
      </c>
      <c r="C792" s="61">
        <f t="shared" si="226"/>
        <v>78</v>
      </c>
      <c r="D792" s="58">
        <v>2012</v>
      </c>
      <c r="E792" s="17"/>
      <c r="F792" s="58">
        <v>1</v>
      </c>
      <c r="G792" s="22">
        <v>2005</v>
      </c>
      <c r="H792" s="15">
        <f>LOOKUP(G792,CPI!A$69:A$100,CPI!O$69:O$100)</f>
        <v>1.1165181771633383</v>
      </c>
      <c r="I792" s="52">
        <v>2015</v>
      </c>
      <c r="J792" s="15">
        <f t="shared" si="229"/>
        <v>6.9444444444444441E-3</v>
      </c>
      <c r="K792" s="15"/>
      <c r="L792" s="62"/>
      <c r="M792" s="56">
        <f t="shared" si="222"/>
        <v>300.21933208169759</v>
      </c>
      <c r="N792" s="14">
        <f>47*(44/12)</f>
        <v>172.33333333333331</v>
      </c>
      <c r="O792" s="18">
        <f t="shared" si="218"/>
        <v>172.33333333333331</v>
      </c>
      <c r="P792" s="16">
        <v>0</v>
      </c>
      <c r="Q792" s="16">
        <v>0</v>
      </c>
      <c r="R792" s="16">
        <v>1</v>
      </c>
      <c r="S792" s="14"/>
      <c r="T792" s="56" t="str">
        <f t="shared" si="232"/>
        <v/>
      </c>
      <c r="U792" s="56">
        <f t="shared" si="230"/>
        <v>91.903877167866611</v>
      </c>
      <c r="V792" s="56">
        <f t="shared" si="231"/>
        <v>1256.0196546275106</v>
      </c>
      <c r="W792" s="14"/>
      <c r="X792" s="3">
        <f>8*((44/12)*(44/12))</f>
        <v>107.55555555555554</v>
      </c>
      <c r="Y792" s="14"/>
      <c r="Z792" s="14"/>
      <c r="AA792" s="3">
        <f>20*((44/12)*(44/12))</f>
        <v>268.88888888888886</v>
      </c>
      <c r="AB792" s="14"/>
      <c r="AC792" s="14"/>
      <c r="AD792" s="3">
        <f>184*((44/12)*(44/12))</f>
        <v>2473.7777777777774</v>
      </c>
      <c r="AE792" s="14"/>
      <c r="AF792" s="16">
        <v>0</v>
      </c>
      <c r="AG792" s="16">
        <v>1</v>
      </c>
      <c r="AH792" s="16">
        <v>0</v>
      </c>
      <c r="AI792" s="16">
        <v>1</v>
      </c>
      <c r="AJ792" s="5">
        <v>0</v>
      </c>
      <c r="AK792" s="5">
        <v>1</v>
      </c>
      <c r="AL792" s="5">
        <v>0</v>
      </c>
      <c r="AM792" s="20">
        <v>3</v>
      </c>
      <c r="AN792" s="20">
        <v>3</v>
      </c>
      <c r="AO792" s="16"/>
      <c r="AP792" s="16"/>
      <c r="AQ792" s="16"/>
      <c r="AR792" s="16">
        <v>0</v>
      </c>
      <c r="AS792" s="16">
        <v>0</v>
      </c>
      <c r="AT792" s="16"/>
      <c r="AU792" s="16"/>
      <c r="AV792" s="16"/>
      <c r="AW792" s="16"/>
      <c r="AX792" s="16">
        <v>0</v>
      </c>
      <c r="AY792" s="16">
        <v>0</v>
      </c>
      <c r="AZ792" s="16">
        <v>0</v>
      </c>
      <c r="BA792" s="16">
        <v>1</v>
      </c>
    </row>
    <row r="793" spans="1:53" x14ac:dyDescent="0.2">
      <c r="A793" s="14"/>
      <c r="B793" s="14" t="str">
        <f t="shared" si="225"/>
        <v>Kopp et al. 2012</v>
      </c>
      <c r="C793" s="61">
        <f t="shared" si="226"/>
        <v>78</v>
      </c>
      <c r="D793" s="58">
        <v>2012</v>
      </c>
      <c r="E793" s="17"/>
      <c r="F793" s="58">
        <v>1</v>
      </c>
      <c r="G793" s="22">
        <v>2005</v>
      </c>
      <c r="H793" s="15">
        <f>LOOKUP(G793,CPI!A$69:A$100,CPI!O$69:O$100)</f>
        <v>1.1165181771633383</v>
      </c>
      <c r="I793" s="52">
        <v>2015</v>
      </c>
      <c r="J793" s="15">
        <f t="shared" si="229"/>
        <v>6.9444444444444441E-3</v>
      </c>
      <c r="K793" s="15"/>
      <c r="L793" s="62"/>
      <c r="M793" s="56">
        <f t="shared" si="222"/>
        <v>120.08773283267904</v>
      </c>
      <c r="N793" s="14">
        <f>23*(44/12)</f>
        <v>84.333333333333329</v>
      </c>
      <c r="O793" s="18">
        <f t="shared" si="218"/>
        <v>84.333333333333329</v>
      </c>
      <c r="P793" s="16">
        <v>0</v>
      </c>
      <c r="Q793" s="16">
        <v>0</v>
      </c>
      <c r="R793" s="16">
        <v>1</v>
      </c>
      <c r="S793" s="14"/>
      <c r="T793" s="56" t="str">
        <f t="shared" si="232"/>
        <v/>
      </c>
      <c r="U793" s="56">
        <f t="shared" si="230"/>
        <v>30.634625722622204</v>
      </c>
      <c r="V793" s="56">
        <f t="shared" si="231"/>
        <v>850.11086380276618</v>
      </c>
      <c r="W793" s="14"/>
      <c r="X793" s="3">
        <f>4*((44/12)*(44/12))</f>
        <v>53.777777777777771</v>
      </c>
      <c r="Y793" s="14"/>
      <c r="Z793" s="14"/>
      <c r="AA793" s="3">
        <f>8*((44/12)*(44/12))</f>
        <v>107.55555555555554</v>
      </c>
      <c r="AB793" s="14"/>
      <c r="AC793" s="14"/>
      <c r="AD793" s="3">
        <f>119*((44/12)*(44/12))</f>
        <v>1599.8888888888887</v>
      </c>
      <c r="AE793" s="14"/>
      <c r="AF793" s="16">
        <v>0</v>
      </c>
      <c r="AG793" s="16">
        <v>1</v>
      </c>
      <c r="AH793" s="16">
        <v>0</v>
      </c>
      <c r="AI793" s="16">
        <v>1</v>
      </c>
      <c r="AJ793" s="5">
        <v>0</v>
      </c>
      <c r="AK793" s="5">
        <v>1</v>
      </c>
      <c r="AL793" s="5">
        <v>0</v>
      </c>
      <c r="AM793" s="20">
        <v>3</v>
      </c>
      <c r="AN793" s="20">
        <v>3</v>
      </c>
      <c r="AO793" s="16"/>
      <c r="AP793" s="16"/>
      <c r="AQ793" s="16"/>
      <c r="AR793" s="16">
        <v>0</v>
      </c>
      <c r="AS793" s="16">
        <v>0</v>
      </c>
      <c r="AT793" s="16"/>
      <c r="AU793" s="16"/>
      <c r="AV793" s="16"/>
      <c r="AW793" s="16"/>
      <c r="AX793" s="16">
        <v>0</v>
      </c>
      <c r="AY793" s="16">
        <v>0</v>
      </c>
      <c r="AZ793" s="16">
        <v>0</v>
      </c>
      <c r="BA793" s="16">
        <v>1</v>
      </c>
    </row>
    <row r="794" spans="1:53" x14ac:dyDescent="0.2">
      <c r="A794" s="14"/>
      <c r="B794" s="14" t="str">
        <f t="shared" si="225"/>
        <v>Kopp et al. 2012</v>
      </c>
      <c r="C794" s="61">
        <f t="shared" si="226"/>
        <v>78</v>
      </c>
      <c r="D794" s="58">
        <v>2012</v>
      </c>
      <c r="E794" s="17"/>
      <c r="F794" s="58">
        <v>1</v>
      </c>
      <c r="G794" s="22">
        <v>2005</v>
      </c>
      <c r="H794" s="15">
        <f>LOOKUP(G794,CPI!A$69:A$100,CPI!O$69:O$100)</f>
        <v>1.1165181771633383</v>
      </c>
      <c r="I794" s="52">
        <v>2015</v>
      </c>
      <c r="J794" s="15">
        <f t="shared" si="229"/>
        <v>6.9444444444444441E-3</v>
      </c>
      <c r="K794" s="15"/>
      <c r="L794" s="62"/>
      <c r="M794" s="56">
        <f t="shared" si="222"/>
        <v>120.08773283267904</v>
      </c>
      <c r="N794" s="14">
        <f>44*(44/12)</f>
        <v>161.33333333333331</v>
      </c>
      <c r="O794" s="18">
        <f t="shared" si="218"/>
        <v>161.33333333333331</v>
      </c>
      <c r="P794" s="16">
        <v>0</v>
      </c>
      <c r="Q794" s="16">
        <v>0</v>
      </c>
      <c r="R794" s="16">
        <v>1</v>
      </c>
      <c r="S794" s="14"/>
      <c r="T794" s="56" t="str">
        <f t="shared" si="232"/>
        <v/>
      </c>
      <c r="U794" s="56">
        <f t="shared" si="230"/>
        <v>53.61059501458886</v>
      </c>
      <c r="V794" s="56">
        <f t="shared" si="231"/>
        <v>1547.0485989924214</v>
      </c>
      <c r="W794" s="14"/>
      <c r="X794" s="3">
        <f>1*((44/12)*(44/12))</f>
        <v>13.444444444444443</v>
      </c>
      <c r="Y794" s="14"/>
      <c r="Z794" s="14"/>
      <c r="AA794" s="3">
        <f>8*((44/12)*(44/12))</f>
        <v>107.55555555555554</v>
      </c>
      <c r="AB794" s="14"/>
      <c r="AC794" s="14"/>
      <c r="AD794" s="3">
        <f>210*((44/12)*(44/12))</f>
        <v>2823.333333333333</v>
      </c>
      <c r="AE794" s="14"/>
      <c r="AF794" s="16">
        <v>0</v>
      </c>
      <c r="AG794" s="16">
        <v>1</v>
      </c>
      <c r="AH794" s="16">
        <v>0</v>
      </c>
      <c r="AI794" s="16">
        <v>1</v>
      </c>
      <c r="AJ794" s="5">
        <v>0</v>
      </c>
      <c r="AK794" s="5">
        <v>1</v>
      </c>
      <c r="AL794" s="5">
        <v>0</v>
      </c>
      <c r="AM794" s="20">
        <v>3</v>
      </c>
      <c r="AN794" s="20">
        <v>3</v>
      </c>
      <c r="AO794" s="16"/>
      <c r="AP794" s="16"/>
      <c r="AQ794" s="16"/>
      <c r="AR794" s="16">
        <v>0</v>
      </c>
      <c r="AS794" s="16">
        <v>0</v>
      </c>
      <c r="AT794" s="16"/>
      <c r="AU794" s="16"/>
      <c r="AV794" s="16"/>
      <c r="AW794" s="16"/>
      <c r="AX794" s="16">
        <v>0</v>
      </c>
      <c r="AY794" s="16">
        <v>0</v>
      </c>
      <c r="AZ794" s="16">
        <v>0</v>
      </c>
      <c r="BA794" s="16">
        <v>1</v>
      </c>
    </row>
    <row r="795" spans="1:53" x14ac:dyDescent="0.2">
      <c r="A795" s="14"/>
      <c r="B795" s="14" t="str">
        <f t="shared" si="225"/>
        <v>Kopp et al. 2012</v>
      </c>
      <c r="C795" s="61">
        <f t="shared" si="226"/>
        <v>78</v>
      </c>
      <c r="D795" s="58">
        <v>2012</v>
      </c>
      <c r="E795" s="17"/>
      <c r="F795" s="58">
        <v>1</v>
      </c>
      <c r="G795" s="22">
        <v>2005</v>
      </c>
      <c r="H795" s="15">
        <f>LOOKUP(G795,CPI!A$69:A$100,CPI!O$69:O$100)</f>
        <v>1.1165181771633383</v>
      </c>
      <c r="I795" s="52">
        <v>2015</v>
      </c>
      <c r="J795" s="15">
        <f t="shared" si="229"/>
        <v>6.9444444444444441E-3</v>
      </c>
      <c r="K795" s="15"/>
      <c r="L795" s="62"/>
      <c r="M795" s="56">
        <f t="shared" si="222"/>
        <v>105.07676622859417</v>
      </c>
      <c r="N795" s="14">
        <f>42*(44/12)</f>
        <v>154</v>
      </c>
      <c r="O795" s="18">
        <f t="shared" si="218"/>
        <v>154</v>
      </c>
      <c r="P795" s="16">
        <v>0</v>
      </c>
      <c r="Q795" s="16">
        <v>0</v>
      </c>
      <c r="R795" s="16">
        <v>1</v>
      </c>
      <c r="S795" s="14"/>
      <c r="T795" s="56" t="str">
        <f t="shared" si="232"/>
        <v/>
      </c>
      <c r="U795" s="56">
        <f t="shared" si="230"/>
        <v>45.951938583933305</v>
      </c>
      <c r="V795" s="56">
        <f t="shared" si="231"/>
        <v>1531.7312861311102</v>
      </c>
      <c r="W795" s="14"/>
      <c r="X795" s="3">
        <f>1*((44/12)*(44/12))</f>
        <v>13.444444444444443</v>
      </c>
      <c r="Y795" s="14"/>
      <c r="Z795" s="14"/>
      <c r="AA795" s="3">
        <f>7*((44/12)*(44/12))</f>
        <v>94.1111111111111</v>
      </c>
      <c r="AB795" s="14"/>
      <c r="AC795" s="14"/>
      <c r="AD795" s="3">
        <f>207*((44/12)*(44/12))</f>
        <v>2782.9999999999995</v>
      </c>
      <c r="AE795" s="14"/>
      <c r="AF795" s="16">
        <v>0</v>
      </c>
      <c r="AG795" s="16">
        <v>1</v>
      </c>
      <c r="AH795" s="16">
        <v>0</v>
      </c>
      <c r="AI795" s="16">
        <v>1</v>
      </c>
      <c r="AJ795" s="5">
        <v>0</v>
      </c>
      <c r="AK795" s="5">
        <v>1</v>
      </c>
      <c r="AL795" s="5">
        <v>0</v>
      </c>
      <c r="AM795" s="20">
        <v>3</v>
      </c>
      <c r="AN795" s="20">
        <v>3</v>
      </c>
      <c r="AO795" s="16"/>
      <c r="AP795" s="16"/>
      <c r="AQ795" s="16"/>
      <c r="AR795" s="16">
        <v>0</v>
      </c>
      <c r="AS795" s="16">
        <v>0</v>
      </c>
      <c r="AT795" s="16"/>
      <c r="AU795" s="16"/>
      <c r="AV795" s="16"/>
      <c r="AW795" s="16"/>
      <c r="AX795" s="16">
        <v>0</v>
      </c>
      <c r="AY795" s="16">
        <v>0</v>
      </c>
      <c r="AZ795" s="16">
        <v>0</v>
      </c>
      <c r="BA795" s="16">
        <v>1</v>
      </c>
    </row>
    <row r="796" spans="1:53" x14ac:dyDescent="0.2">
      <c r="A796" s="14"/>
      <c r="B796" s="14" t="str">
        <f t="shared" si="225"/>
        <v>Kopp et al. 2012</v>
      </c>
      <c r="C796" s="61">
        <f t="shared" si="226"/>
        <v>78</v>
      </c>
      <c r="D796" s="58">
        <v>2012</v>
      </c>
      <c r="E796" s="17"/>
      <c r="F796" s="58">
        <v>1</v>
      </c>
      <c r="G796" s="22">
        <v>2005</v>
      </c>
      <c r="H796" s="15">
        <f>LOOKUP(G796,CPI!A$69:A$100,CPI!O$69:O$100)</f>
        <v>1.1165181771633383</v>
      </c>
      <c r="I796" s="52">
        <v>2015</v>
      </c>
      <c r="J796" s="15">
        <f t="shared" si="229"/>
        <v>6.9444444444444441E-3</v>
      </c>
      <c r="K796" s="15"/>
      <c r="L796" s="62"/>
      <c r="M796" s="56">
        <f t="shared" si="222"/>
        <v>135.09869943676392</v>
      </c>
      <c r="N796" s="14">
        <f>48*(44/12)</f>
        <v>176</v>
      </c>
      <c r="O796" s="18">
        <f t="shared" si="218"/>
        <v>176</v>
      </c>
      <c r="P796" s="16">
        <v>0</v>
      </c>
      <c r="Q796" s="16">
        <v>0</v>
      </c>
      <c r="R796" s="16">
        <v>1</v>
      </c>
      <c r="S796" s="14"/>
      <c r="T796" s="56" t="str">
        <f t="shared" si="232"/>
        <v/>
      </c>
      <c r="U796" s="56">
        <f t="shared" si="230"/>
        <v>61.269251445244407</v>
      </c>
      <c r="V796" s="56">
        <f t="shared" si="231"/>
        <v>1700.2217276055326</v>
      </c>
      <c r="W796" s="14"/>
      <c r="X796" s="3">
        <f>1*((44/12)*(44/12))</f>
        <v>13.444444444444443</v>
      </c>
      <c r="Y796" s="14"/>
      <c r="Z796" s="14"/>
      <c r="AA796" s="3">
        <f>9*((44/12)*(44/12))</f>
        <v>120.99999999999999</v>
      </c>
      <c r="AB796" s="14"/>
      <c r="AC796" s="14"/>
      <c r="AD796" s="3">
        <f>231*((44/12)*(44/12))</f>
        <v>3105.6666666666665</v>
      </c>
      <c r="AE796" s="14"/>
      <c r="AF796" s="16">
        <v>0</v>
      </c>
      <c r="AG796" s="16">
        <v>1</v>
      </c>
      <c r="AH796" s="16">
        <v>0</v>
      </c>
      <c r="AI796" s="16">
        <v>1</v>
      </c>
      <c r="AJ796" s="5">
        <v>0</v>
      </c>
      <c r="AK796" s="5">
        <v>1</v>
      </c>
      <c r="AL796" s="5">
        <v>0</v>
      </c>
      <c r="AM796" s="20">
        <v>3</v>
      </c>
      <c r="AN796" s="20">
        <v>3</v>
      </c>
      <c r="AO796" s="16"/>
      <c r="AP796" s="16"/>
      <c r="AQ796" s="16"/>
      <c r="AR796" s="16">
        <v>0</v>
      </c>
      <c r="AS796" s="16">
        <v>0</v>
      </c>
      <c r="AT796" s="16"/>
      <c r="AU796" s="16"/>
      <c r="AV796" s="16"/>
      <c r="AW796" s="16"/>
      <c r="AX796" s="16">
        <v>0</v>
      </c>
      <c r="AY796" s="16">
        <v>0</v>
      </c>
      <c r="AZ796" s="16">
        <v>0</v>
      </c>
      <c r="BA796" s="16">
        <v>1</v>
      </c>
    </row>
    <row r="797" spans="1:53" x14ac:dyDescent="0.2">
      <c r="A797" s="14"/>
      <c r="B797" s="14" t="str">
        <f t="shared" si="225"/>
        <v>Kopp et al. 2012</v>
      </c>
      <c r="C797" s="61">
        <f t="shared" si="226"/>
        <v>78</v>
      </c>
      <c r="D797" s="58">
        <v>2012</v>
      </c>
      <c r="E797" s="17"/>
      <c r="F797" s="58">
        <v>1</v>
      </c>
      <c r="G797" s="22">
        <v>2005</v>
      </c>
      <c r="H797" s="15">
        <f>LOOKUP(G797,CPI!A$69:A$100,CPI!O$69:O$100)</f>
        <v>1.1165181771633383</v>
      </c>
      <c r="I797" s="52">
        <v>2015</v>
      </c>
      <c r="J797" s="15">
        <f t="shared" si="229"/>
        <v>6.9444444444444441E-3</v>
      </c>
      <c r="K797" s="15"/>
      <c r="L797" s="62"/>
      <c r="M797" s="56">
        <f t="shared" si="222"/>
        <v>90.065799624509282</v>
      </c>
      <c r="N797" s="14">
        <f>37*(44/12)</f>
        <v>135.66666666666666</v>
      </c>
      <c r="O797" s="18">
        <f t="shared" si="218"/>
        <v>135.66666666666666</v>
      </c>
      <c r="P797" s="16">
        <v>0</v>
      </c>
      <c r="Q797" s="16">
        <v>0</v>
      </c>
      <c r="R797" s="16">
        <v>1</v>
      </c>
      <c r="S797" s="14"/>
      <c r="T797" s="56" t="str">
        <f t="shared" si="232"/>
        <v/>
      </c>
      <c r="U797" s="56">
        <f t="shared" si="230"/>
        <v>38.293282153277758</v>
      </c>
      <c r="V797" s="56">
        <f t="shared" si="231"/>
        <v>1439.8274089632437</v>
      </c>
      <c r="W797" s="14"/>
      <c r="X797" s="3">
        <f>1*((44/12)*(44/12))</f>
        <v>13.444444444444443</v>
      </c>
      <c r="Y797" s="14"/>
      <c r="Z797" s="14"/>
      <c r="AA797" s="3">
        <f>6*((44/12)*(44/12))</f>
        <v>80.666666666666657</v>
      </c>
      <c r="AB797" s="14"/>
      <c r="AC797" s="14"/>
      <c r="AD797" s="3">
        <f>194*((44/12)*(44/12))</f>
        <v>2608.2222222222217</v>
      </c>
      <c r="AE797" s="14"/>
      <c r="AF797" s="16">
        <v>0</v>
      </c>
      <c r="AG797" s="16">
        <v>1</v>
      </c>
      <c r="AH797" s="16">
        <v>0</v>
      </c>
      <c r="AI797" s="16">
        <v>1</v>
      </c>
      <c r="AJ797" s="5">
        <v>0</v>
      </c>
      <c r="AK797" s="5">
        <v>1</v>
      </c>
      <c r="AL797" s="5">
        <v>0</v>
      </c>
      <c r="AM797" s="20">
        <v>3</v>
      </c>
      <c r="AN797" s="20">
        <v>3</v>
      </c>
      <c r="AO797" s="16"/>
      <c r="AP797" s="16"/>
      <c r="AQ797" s="16"/>
      <c r="AR797" s="16">
        <v>0</v>
      </c>
      <c r="AS797" s="16">
        <v>0</v>
      </c>
      <c r="AT797" s="16"/>
      <c r="AU797" s="16"/>
      <c r="AV797" s="16"/>
      <c r="AW797" s="16"/>
      <c r="AX797" s="16">
        <v>0</v>
      </c>
      <c r="AY797" s="16">
        <v>0</v>
      </c>
      <c r="AZ797" s="16">
        <v>0</v>
      </c>
      <c r="BA797" s="16">
        <v>1</v>
      </c>
    </row>
    <row r="798" spans="1:53" x14ac:dyDescent="0.2">
      <c r="A798" s="14"/>
      <c r="B798" s="14" t="str">
        <f t="shared" si="225"/>
        <v>Kopp et al. 2012</v>
      </c>
      <c r="C798" s="61">
        <f t="shared" si="226"/>
        <v>78</v>
      </c>
      <c r="D798" s="58">
        <v>2012</v>
      </c>
      <c r="E798" s="17"/>
      <c r="F798" s="58">
        <v>1</v>
      </c>
      <c r="G798" s="22">
        <v>2005</v>
      </c>
      <c r="H798" s="15">
        <f>LOOKUP(G798,CPI!A$69:A$100,CPI!O$69:O$100)</f>
        <v>1.1165181771633383</v>
      </c>
      <c r="I798" s="52">
        <v>2015</v>
      </c>
      <c r="J798" s="15">
        <f t="shared" si="229"/>
        <v>6.9444444444444441E-3</v>
      </c>
      <c r="K798" s="15"/>
      <c r="L798" s="62"/>
      <c r="M798" s="56">
        <f t="shared" si="222"/>
        <v>585.42769755931033</v>
      </c>
      <c r="N798" s="14">
        <f>45*(44/12)</f>
        <v>165</v>
      </c>
      <c r="O798" s="18">
        <f t="shared" si="218"/>
        <v>165</v>
      </c>
      <c r="P798" s="16">
        <v>0</v>
      </c>
      <c r="Q798" s="16">
        <v>0</v>
      </c>
      <c r="R798" s="16">
        <v>1</v>
      </c>
      <c r="S798" s="14"/>
      <c r="T798" s="56" t="str">
        <f t="shared" si="232"/>
        <v/>
      </c>
      <c r="U798" s="56">
        <f t="shared" si="230"/>
        <v>160.83178504376656</v>
      </c>
      <c r="V798" s="56">
        <f t="shared" si="231"/>
        <v>413.56744725539983</v>
      </c>
      <c r="W798" s="14"/>
      <c r="X798" s="3">
        <f>18*((44/12)*(44/12))</f>
        <v>241.99999999999997</v>
      </c>
      <c r="Y798" s="14"/>
      <c r="Z798" s="14"/>
      <c r="AA798" s="3">
        <f>39*((44/12)*(44/12))</f>
        <v>524.33333333333326</v>
      </c>
      <c r="AB798" s="14"/>
      <c r="AC798" s="14"/>
      <c r="AD798" s="3">
        <f>93*((44/12)*(44/12))</f>
        <v>1250.3333333333333</v>
      </c>
      <c r="AE798" s="14"/>
      <c r="AF798" s="16">
        <v>0</v>
      </c>
      <c r="AG798" s="16">
        <v>1</v>
      </c>
      <c r="AH798" s="16">
        <v>0</v>
      </c>
      <c r="AI798" s="16">
        <v>1</v>
      </c>
      <c r="AJ798" s="5">
        <v>0</v>
      </c>
      <c r="AK798" s="5">
        <v>1</v>
      </c>
      <c r="AL798" s="5">
        <v>0</v>
      </c>
      <c r="AM798" s="20">
        <v>3</v>
      </c>
      <c r="AN798" s="20">
        <v>0.95</v>
      </c>
      <c r="AO798" s="16"/>
      <c r="AP798" s="16"/>
      <c r="AQ798" s="16"/>
      <c r="AR798" s="16">
        <v>0</v>
      </c>
      <c r="AS798" s="16">
        <v>0</v>
      </c>
      <c r="AT798" s="16"/>
      <c r="AU798" s="16"/>
      <c r="AV798" s="16"/>
      <c r="AW798" s="16"/>
      <c r="AX798" s="16">
        <v>0</v>
      </c>
      <c r="AY798" s="16">
        <v>0</v>
      </c>
      <c r="AZ798" s="16">
        <v>0</v>
      </c>
      <c r="BA798" s="16">
        <v>1</v>
      </c>
    </row>
    <row r="799" spans="1:53" x14ac:dyDescent="0.2">
      <c r="A799" s="14"/>
      <c r="B799" s="14" t="str">
        <f t="shared" si="225"/>
        <v>Kopp et al. 2012</v>
      </c>
      <c r="C799" s="61">
        <f t="shared" si="226"/>
        <v>78</v>
      </c>
      <c r="D799" s="58">
        <v>2012</v>
      </c>
      <c r="E799" s="17"/>
      <c r="F799" s="58">
        <v>1</v>
      </c>
      <c r="G799" s="22">
        <v>2005</v>
      </c>
      <c r="H799" s="15">
        <f>LOOKUP(G799,CPI!A$69:A$100,CPI!O$69:O$100)</f>
        <v>1.1165181771633383</v>
      </c>
      <c r="I799" s="52">
        <v>2015</v>
      </c>
      <c r="J799" s="15">
        <f t="shared" si="229"/>
        <v>6.9444444444444441E-3</v>
      </c>
      <c r="K799" s="15"/>
      <c r="L799" s="62"/>
      <c r="M799" s="56">
        <f t="shared" si="222"/>
        <v>615.44963076748013</v>
      </c>
      <c r="N799" s="14">
        <f>49*(44/12)</f>
        <v>179.66666666666666</v>
      </c>
      <c r="O799" s="18">
        <f t="shared" si="218"/>
        <v>179.66666666666666</v>
      </c>
      <c r="P799" s="16">
        <v>0</v>
      </c>
      <c r="Q799" s="16">
        <v>0</v>
      </c>
      <c r="R799" s="16">
        <v>1</v>
      </c>
      <c r="S799" s="14"/>
      <c r="T799" s="56" t="str">
        <f t="shared" si="232"/>
        <v/>
      </c>
      <c r="U799" s="56">
        <f t="shared" si="230"/>
        <v>176.14909790507767</v>
      </c>
      <c r="V799" s="56">
        <f t="shared" si="231"/>
        <v>513.12998085392189</v>
      </c>
      <c r="W799" s="14"/>
      <c r="X799" s="3">
        <f>18*((44/12)*(44/12))</f>
        <v>241.99999999999997</v>
      </c>
      <c r="Y799" s="14"/>
      <c r="Z799" s="14"/>
      <c r="AA799" s="3">
        <f>41*((44/12)*(44/12))</f>
        <v>551.22222222222217</v>
      </c>
      <c r="AB799" s="14"/>
      <c r="AC799" s="14"/>
      <c r="AD799" s="3">
        <f>108*((44/12)*(44/12))</f>
        <v>1451.9999999999998</v>
      </c>
      <c r="AE799" s="14"/>
      <c r="AF799" s="16">
        <v>0</v>
      </c>
      <c r="AG799" s="16">
        <v>1</v>
      </c>
      <c r="AH799" s="16">
        <v>0</v>
      </c>
      <c r="AI799" s="16">
        <v>1</v>
      </c>
      <c r="AJ799" s="5">
        <v>0</v>
      </c>
      <c r="AK799" s="5">
        <v>1</v>
      </c>
      <c r="AL799" s="5">
        <v>0</v>
      </c>
      <c r="AM799" s="20">
        <v>3</v>
      </c>
      <c r="AN799" s="20">
        <v>0.95</v>
      </c>
      <c r="AO799" s="16"/>
      <c r="AP799" s="16"/>
      <c r="AQ799" s="16"/>
      <c r="AR799" s="16">
        <v>0</v>
      </c>
      <c r="AS799" s="16">
        <v>0</v>
      </c>
      <c r="AT799" s="16"/>
      <c r="AU799" s="16"/>
      <c r="AV799" s="16"/>
      <c r="AW799" s="16"/>
      <c r="AX799" s="16">
        <v>0</v>
      </c>
      <c r="AY799" s="16">
        <v>0</v>
      </c>
      <c r="AZ799" s="16">
        <v>0</v>
      </c>
      <c r="BA799" s="16">
        <v>1</v>
      </c>
    </row>
    <row r="800" spans="1:53" x14ac:dyDescent="0.2">
      <c r="A800" s="14"/>
      <c r="B800" s="14" t="str">
        <f t="shared" si="225"/>
        <v>Kopp et al. 2012</v>
      </c>
      <c r="C800" s="61">
        <f t="shared" si="226"/>
        <v>78</v>
      </c>
      <c r="D800" s="58">
        <v>2012</v>
      </c>
      <c r="E800" s="17"/>
      <c r="F800" s="58">
        <v>1</v>
      </c>
      <c r="G800" s="22">
        <v>2005</v>
      </c>
      <c r="H800" s="15">
        <f>LOOKUP(G800,CPI!A$69:A$100,CPI!O$69:O$100)</f>
        <v>1.1165181771633383</v>
      </c>
      <c r="I800" s="52">
        <v>2015</v>
      </c>
      <c r="J800" s="15">
        <f t="shared" si="229"/>
        <v>6.9444444444444441E-3</v>
      </c>
      <c r="K800" s="15"/>
      <c r="L800" s="62"/>
      <c r="M800" s="56">
        <f t="shared" si="222"/>
        <v>555.40576435114065</v>
      </c>
      <c r="N800" s="14">
        <f>43*(44/12)</f>
        <v>157.66666666666666</v>
      </c>
      <c r="O800" s="18">
        <f t="shared" si="218"/>
        <v>157.66666666666666</v>
      </c>
      <c r="P800" s="16">
        <v>0</v>
      </c>
      <c r="Q800" s="16">
        <v>0</v>
      </c>
      <c r="R800" s="16">
        <v>1</v>
      </c>
      <c r="S800" s="14"/>
      <c r="T800" s="56" t="str">
        <f t="shared" si="232"/>
        <v/>
      </c>
      <c r="U800" s="56">
        <f t="shared" si="230"/>
        <v>168.49044147442214</v>
      </c>
      <c r="V800" s="56">
        <f t="shared" si="231"/>
        <v>428.88476011671094</v>
      </c>
      <c r="W800" s="14"/>
      <c r="X800" s="3">
        <f>15*((44/12)*(44/12))</f>
        <v>201.66666666666663</v>
      </c>
      <c r="Y800" s="14"/>
      <c r="Z800" s="14"/>
      <c r="AA800" s="3">
        <f>37*((44/12)*(44/12))</f>
        <v>497.4444444444444</v>
      </c>
      <c r="AB800" s="14"/>
      <c r="AC800" s="14"/>
      <c r="AD800" s="3">
        <f>93*((44/12)*(44/12))</f>
        <v>1250.3333333333333</v>
      </c>
      <c r="AE800" s="14"/>
      <c r="AF800" s="16">
        <v>0</v>
      </c>
      <c r="AG800" s="16">
        <v>1</v>
      </c>
      <c r="AH800" s="16">
        <v>0</v>
      </c>
      <c r="AI800" s="16">
        <v>1</v>
      </c>
      <c r="AJ800" s="5">
        <v>0</v>
      </c>
      <c r="AK800" s="5">
        <v>1</v>
      </c>
      <c r="AL800" s="5">
        <v>0</v>
      </c>
      <c r="AM800" s="20">
        <v>3</v>
      </c>
      <c r="AN800" s="20">
        <v>0.95</v>
      </c>
      <c r="AO800" s="16"/>
      <c r="AP800" s="16"/>
      <c r="AQ800" s="16"/>
      <c r="AR800" s="16">
        <v>0</v>
      </c>
      <c r="AS800" s="16">
        <v>0</v>
      </c>
      <c r="AT800" s="16"/>
      <c r="AU800" s="16"/>
      <c r="AV800" s="16"/>
      <c r="AW800" s="16"/>
      <c r="AX800" s="16">
        <v>0</v>
      </c>
      <c r="AY800" s="16">
        <v>0</v>
      </c>
      <c r="AZ800" s="16">
        <v>0</v>
      </c>
      <c r="BA800" s="16">
        <v>1</v>
      </c>
    </row>
    <row r="801" spans="1:53" x14ac:dyDescent="0.2">
      <c r="A801" s="14"/>
      <c r="B801" s="14" t="str">
        <f t="shared" si="225"/>
        <v>Kopp et al. 2012</v>
      </c>
      <c r="C801" s="61">
        <f t="shared" si="226"/>
        <v>78</v>
      </c>
      <c r="D801" s="58">
        <v>2012</v>
      </c>
      <c r="E801" s="17"/>
      <c r="F801" s="58">
        <v>1</v>
      </c>
      <c r="G801" s="22">
        <v>2005</v>
      </c>
      <c r="H801" s="15">
        <f>LOOKUP(G801,CPI!A$69:A$100,CPI!O$69:O$100)</f>
        <v>1.1165181771633383</v>
      </c>
      <c r="I801" s="52">
        <v>2015</v>
      </c>
      <c r="J801" s="15">
        <f t="shared" si="229"/>
        <v>6.9444444444444441E-3</v>
      </c>
      <c r="K801" s="15"/>
      <c r="L801" s="62"/>
      <c r="M801" s="56">
        <f t="shared" si="222"/>
        <v>930.6799294532625</v>
      </c>
      <c r="N801" s="14">
        <f>70*(44/12)</f>
        <v>256.66666666666663</v>
      </c>
      <c r="O801" s="18">
        <f t="shared" si="218"/>
        <v>256.66666666666663</v>
      </c>
      <c r="P801" s="16">
        <v>0</v>
      </c>
      <c r="Q801" s="16">
        <v>0</v>
      </c>
      <c r="R801" s="16">
        <v>1</v>
      </c>
      <c r="S801" s="14"/>
      <c r="T801" s="56" t="str">
        <f t="shared" si="232"/>
        <v/>
      </c>
      <c r="U801" s="56">
        <f t="shared" si="230"/>
        <v>252.73566221163316</v>
      </c>
      <c r="V801" s="56">
        <f t="shared" si="231"/>
        <v>574.39923229916644</v>
      </c>
      <c r="W801" s="14"/>
      <c r="X801" s="3">
        <f>29*((44/12)*(44/12))</f>
        <v>389.88888888888886</v>
      </c>
      <c r="Y801" s="14"/>
      <c r="Z801" s="14"/>
      <c r="AA801" s="3">
        <f>62*((44/12)*(44/12))</f>
        <v>833.55555555555543</v>
      </c>
      <c r="AB801" s="14"/>
      <c r="AC801" s="14"/>
      <c r="AD801" s="3">
        <f>137*((44/12)*(44/12))</f>
        <v>1841.8888888888887</v>
      </c>
      <c r="AE801" s="14"/>
      <c r="AF801" s="16">
        <v>0</v>
      </c>
      <c r="AG801" s="16">
        <v>1</v>
      </c>
      <c r="AH801" s="16">
        <v>0</v>
      </c>
      <c r="AI801" s="16">
        <v>1</v>
      </c>
      <c r="AJ801" s="5">
        <v>0</v>
      </c>
      <c r="AK801" s="5">
        <v>1</v>
      </c>
      <c r="AL801" s="5">
        <v>0</v>
      </c>
      <c r="AM801" s="20">
        <v>3</v>
      </c>
      <c r="AN801" s="20">
        <v>0.95</v>
      </c>
      <c r="AO801" s="16"/>
      <c r="AP801" s="16"/>
      <c r="AQ801" s="16"/>
      <c r="AR801" s="16">
        <v>0</v>
      </c>
      <c r="AS801" s="16">
        <v>0</v>
      </c>
      <c r="AT801" s="16"/>
      <c r="AU801" s="16"/>
      <c r="AV801" s="16"/>
      <c r="AW801" s="16"/>
      <c r="AX801" s="16">
        <v>0</v>
      </c>
      <c r="AY801" s="16">
        <v>0</v>
      </c>
      <c r="AZ801" s="16">
        <v>0</v>
      </c>
      <c r="BA801" s="16">
        <v>1</v>
      </c>
    </row>
    <row r="802" spans="1:53" x14ac:dyDescent="0.2">
      <c r="A802" s="14"/>
      <c r="B802" s="14" t="str">
        <f t="shared" si="225"/>
        <v>Kopp et al. 2012</v>
      </c>
      <c r="C802" s="61">
        <f t="shared" si="226"/>
        <v>78</v>
      </c>
      <c r="D802" s="58">
        <v>2012</v>
      </c>
      <c r="E802" s="17"/>
      <c r="F802" s="58">
        <v>1</v>
      </c>
      <c r="G802" s="22">
        <v>2005</v>
      </c>
      <c r="H802" s="15">
        <f>LOOKUP(G802,CPI!A$69:A$100,CPI!O$69:O$100)</f>
        <v>1.1165181771633383</v>
      </c>
      <c r="I802" s="52">
        <v>2015</v>
      </c>
      <c r="J802" s="15">
        <f t="shared" si="229"/>
        <v>6.9444444444444441E-3</v>
      </c>
      <c r="K802" s="15"/>
      <c r="L802" s="62"/>
      <c r="M802" s="56">
        <f t="shared" si="222"/>
        <v>585.42769755931033</v>
      </c>
      <c r="N802" s="14">
        <f>45*(44/12)</f>
        <v>165</v>
      </c>
      <c r="O802" s="18">
        <f t="shared" si="218"/>
        <v>165</v>
      </c>
      <c r="P802" s="16">
        <v>0</v>
      </c>
      <c r="Q802" s="16">
        <v>0</v>
      </c>
      <c r="R802" s="16">
        <v>1</v>
      </c>
      <c r="S802" s="14"/>
      <c r="T802" s="56" t="str">
        <f t="shared" si="232"/>
        <v/>
      </c>
      <c r="U802" s="56">
        <f t="shared" si="230"/>
        <v>160.83178504376656</v>
      </c>
      <c r="V802" s="56">
        <f t="shared" si="231"/>
        <v>398.25013439408872</v>
      </c>
      <c r="W802" s="14"/>
      <c r="X802" s="3">
        <f>18*((44/12)*(44/12))</f>
        <v>241.99999999999997</v>
      </c>
      <c r="Y802" s="14"/>
      <c r="Z802" s="14"/>
      <c r="AA802" s="3">
        <f>39*((44/12)*(44/12))</f>
        <v>524.33333333333326</v>
      </c>
      <c r="AB802" s="14"/>
      <c r="AC802" s="14"/>
      <c r="AD802" s="3">
        <f>91*((44/12)*(44/12))</f>
        <v>1223.4444444444443</v>
      </c>
      <c r="AE802" s="14"/>
      <c r="AF802" s="16">
        <v>0</v>
      </c>
      <c r="AG802" s="16">
        <v>1</v>
      </c>
      <c r="AH802" s="16">
        <v>0</v>
      </c>
      <c r="AI802" s="16">
        <v>1</v>
      </c>
      <c r="AJ802" s="5">
        <v>0</v>
      </c>
      <c r="AK802" s="5">
        <v>1</v>
      </c>
      <c r="AL802" s="5">
        <v>0</v>
      </c>
      <c r="AM802" s="20">
        <v>3</v>
      </c>
      <c r="AN802" s="20">
        <v>0.95</v>
      </c>
      <c r="AO802" s="16"/>
      <c r="AP802" s="16"/>
      <c r="AQ802" s="16"/>
      <c r="AR802" s="16">
        <v>0</v>
      </c>
      <c r="AS802" s="16">
        <v>0</v>
      </c>
      <c r="AT802" s="16"/>
      <c r="AU802" s="16"/>
      <c r="AV802" s="16"/>
      <c r="AW802" s="16"/>
      <c r="AX802" s="16">
        <v>0</v>
      </c>
      <c r="AY802" s="16">
        <v>0</v>
      </c>
      <c r="AZ802" s="16">
        <v>0</v>
      </c>
      <c r="BA802" s="16">
        <v>1</v>
      </c>
    </row>
    <row r="803" spans="1:53" x14ac:dyDescent="0.2">
      <c r="A803" s="14"/>
      <c r="B803" s="14" t="str">
        <f t="shared" si="225"/>
        <v>Kopp et al. 2012</v>
      </c>
      <c r="C803" s="61">
        <f t="shared" si="226"/>
        <v>78</v>
      </c>
      <c r="D803" s="58">
        <v>2012</v>
      </c>
      <c r="E803" s="17"/>
      <c r="F803" s="58">
        <v>1</v>
      </c>
      <c r="G803" s="22">
        <v>2005</v>
      </c>
      <c r="H803" s="15">
        <f>LOOKUP(G803,CPI!A$69:A$100,CPI!O$69:O$100)</f>
        <v>1.1165181771633383</v>
      </c>
      <c r="I803" s="52">
        <v>2015</v>
      </c>
      <c r="J803" s="15">
        <f t="shared" si="229"/>
        <v>6.9444444444444441E-3</v>
      </c>
      <c r="K803" s="15"/>
      <c r="L803" s="62"/>
      <c r="M803" s="56">
        <f t="shared" si="222"/>
        <v>1155.8444285145358</v>
      </c>
      <c r="N803" s="14">
        <f>85*(44/12)</f>
        <v>311.66666666666663</v>
      </c>
      <c r="O803" s="18">
        <f t="shared" si="218"/>
        <v>311.66666666666663</v>
      </c>
      <c r="P803" s="16">
        <v>0</v>
      </c>
      <c r="Q803" s="16">
        <v>0</v>
      </c>
      <c r="R803" s="16">
        <v>1</v>
      </c>
      <c r="S803" s="14"/>
      <c r="T803" s="56" t="str">
        <f t="shared" si="232"/>
        <v/>
      </c>
      <c r="U803" s="56">
        <f t="shared" si="230"/>
        <v>314.00491365687765</v>
      </c>
      <c r="V803" s="56">
        <f t="shared" si="231"/>
        <v>643.32714017506623</v>
      </c>
      <c r="W803" s="14"/>
      <c r="X803" s="3">
        <f>36*((44/12)*(44/12))</f>
        <v>483.99999999999994</v>
      </c>
      <c r="Y803" s="14"/>
      <c r="Z803" s="14"/>
      <c r="AA803" s="3">
        <f>77*((44/12)*(44/12))</f>
        <v>1035.2222222222222</v>
      </c>
      <c r="AB803" s="14"/>
      <c r="AC803" s="14"/>
      <c r="AD803" s="3">
        <f>161*((44/12)*(44/12))</f>
        <v>2164.5555555555552</v>
      </c>
      <c r="AE803" s="14"/>
      <c r="AF803" s="16">
        <v>0</v>
      </c>
      <c r="AG803" s="16">
        <v>1</v>
      </c>
      <c r="AH803" s="16">
        <v>0</v>
      </c>
      <c r="AI803" s="16">
        <v>1</v>
      </c>
      <c r="AJ803" s="5">
        <v>0</v>
      </c>
      <c r="AK803" s="5">
        <v>1</v>
      </c>
      <c r="AL803" s="5">
        <v>0</v>
      </c>
      <c r="AM803" s="20">
        <v>3</v>
      </c>
      <c r="AN803" s="20">
        <v>0.95</v>
      </c>
      <c r="AO803" s="16"/>
      <c r="AP803" s="16"/>
      <c r="AQ803" s="16"/>
      <c r="AR803" s="16">
        <v>0</v>
      </c>
      <c r="AS803" s="16">
        <v>0</v>
      </c>
      <c r="AT803" s="16"/>
      <c r="AU803" s="16"/>
      <c r="AV803" s="16"/>
      <c r="AW803" s="16"/>
      <c r="AX803" s="16">
        <v>0</v>
      </c>
      <c r="AY803" s="16">
        <v>0</v>
      </c>
      <c r="AZ803" s="16">
        <v>0</v>
      </c>
      <c r="BA803" s="16">
        <v>1</v>
      </c>
    </row>
    <row r="804" spans="1:53" x14ac:dyDescent="0.2">
      <c r="A804" s="14"/>
      <c r="B804" s="14" t="str">
        <f t="shared" si="225"/>
        <v>Kopp et al. 2012</v>
      </c>
      <c r="C804" s="61">
        <f t="shared" si="226"/>
        <v>78</v>
      </c>
      <c r="D804" s="58">
        <v>2012</v>
      </c>
      <c r="E804" s="17"/>
      <c r="F804" s="58">
        <v>1</v>
      </c>
      <c r="G804" s="22">
        <v>2005</v>
      </c>
      <c r="H804" s="15">
        <f>LOOKUP(G804,CPI!A$69:A$100,CPI!O$69:O$100)</f>
        <v>1.1165181771633383</v>
      </c>
      <c r="I804" s="52">
        <v>2015</v>
      </c>
      <c r="J804" s="15">
        <f t="shared" si="229"/>
        <v>6.9444444444444441E-3</v>
      </c>
      <c r="K804" s="15"/>
      <c r="L804" s="62"/>
      <c r="M804" s="56">
        <f t="shared" si="222"/>
        <v>450.32899812254641</v>
      </c>
      <c r="N804" s="14">
        <f>34*(44/12)</f>
        <v>124.66666666666666</v>
      </c>
      <c r="O804" s="18">
        <f t="shared" si="218"/>
        <v>124.66666666666666</v>
      </c>
      <c r="P804" s="16">
        <v>0</v>
      </c>
      <c r="Q804" s="16">
        <v>0</v>
      </c>
      <c r="R804" s="16">
        <v>1</v>
      </c>
      <c r="S804" s="14"/>
      <c r="T804" s="56" t="str">
        <f t="shared" si="232"/>
        <v/>
      </c>
      <c r="U804" s="56">
        <f t="shared" si="230"/>
        <v>114.87984645983326</v>
      </c>
      <c r="V804" s="56">
        <f t="shared" si="231"/>
        <v>283.37028793425543</v>
      </c>
      <c r="W804" s="14"/>
      <c r="X804" s="3">
        <f>15*((44/12)*(44/12))</f>
        <v>201.66666666666663</v>
      </c>
      <c r="Y804" s="14"/>
      <c r="Z804" s="14"/>
      <c r="AA804" s="3">
        <f>30*((44/12)*(44/12))</f>
        <v>403.33333333333326</v>
      </c>
      <c r="AB804" s="14"/>
      <c r="AC804" s="14"/>
      <c r="AD804" s="3">
        <f>67*((44/12)*(44/12))</f>
        <v>900.77777777777771</v>
      </c>
      <c r="AE804" s="14"/>
      <c r="AF804" s="16">
        <v>0</v>
      </c>
      <c r="AG804" s="16">
        <v>1</v>
      </c>
      <c r="AH804" s="16">
        <v>0</v>
      </c>
      <c r="AI804" s="16">
        <v>1</v>
      </c>
      <c r="AJ804" s="5">
        <v>0</v>
      </c>
      <c r="AK804" s="5">
        <v>1</v>
      </c>
      <c r="AL804" s="5">
        <v>0</v>
      </c>
      <c r="AM804" s="20">
        <v>3</v>
      </c>
      <c r="AN804" s="20">
        <v>0.95</v>
      </c>
      <c r="AO804" s="16"/>
      <c r="AP804" s="16"/>
      <c r="AQ804" s="16"/>
      <c r="AR804" s="16">
        <v>0</v>
      </c>
      <c r="AS804" s="16">
        <v>0</v>
      </c>
      <c r="AT804" s="16"/>
      <c r="AU804" s="16"/>
      <c r="AV804" s="16"/>
      <c r="AW804" s="16"/>
      <c r="AX804" s="16">
        <v>0</v>
      </c>
      <c r="AY804" s="16">
        <v>0</v>
      </c>
      <c r="AZ804" s="16">
        <v>0</v>
      </c>
      <c r="BA804" s="16">
        <v>1</v>
      </c>
    </row>
    <row r="805" spans="1:53" x14ac:dyDescent="0.2">
      <c r="A805" s="14"/>
      <c r="B805" s="14" t="str">
        <f t="shared" si="225"/>
        <v>Kopp et al. 2012</v>
      </c>
      <c r="C805" s="61">
        <f t="shared" si="226"/>
        <v>78</v>
      </c>
      <c r="D805" s="58">
        <v>2012</v>
      </c>
      <c r="E805" s="17"/>
      <c r="F805" s="58">
        <v>1</v>
      </c>
      <c r="G805" s="22">
        <v>2005</v>
      </c>
      <c r="H805" s="15">
        <f>LOOKUP(G805,CPI!A$69:A$100,CPI!O$69:O$100)</f>
        <v>1.1165181771633383</v>
      </c>
      <c r="I805" s="52">
        <v>2015</v>
      </c>
      <c r="J805" s="15">
        <f t="shared" si="229"/>
        <v>6.9444444444444441E-3</v>
      </c>
      <c r="K805" s="15"/>
      <c r="L805" s="62"/>
      <c r="M805" s="56">
        <f t="shared" si="222"/>
        <v>615.44963076748013</v>
      </c>
      <c r="N805" s="14">
        <f>48*(44/12)</f>
        <v>176</v>
      </c>
      <c r="O805" s="18">
        <f t="shared" si="218"/>
        <v>176</v>
      </c>
      <c r="P805" s="16">
        <v>0</v>
      </c>
      <c r="Q805" s="16">
        <v>0</v>
      </c>
      <c r="R805" s="16">
        <v>1</v>
      </c>
      <c r="S805" s="14"/>
      <c r="T805" s="56" t="str">
        <f t="shared" si="232"/>
        <v/>
      </c>
      <c r="U805" s="56">
        <f t="shared" si="230"/>
        <v>176.14909790507767</v>
      </c>
      <c r="V805" s="56">
        <f t="shared" si="231"/>
        <v>451.86072940867751</v>
      </c>
      <c r="W805" s="14"/>
      <c r="X805" s="3">
        <f>18*((44/12)*(44/12))</f>
        <v>241.99999999999997</v>
      </c>
      <c r="Y805" s="14"/>
      <c r="Z805" s="14"/>
      <c r="AA805" s="3">
        <f>41*((44/12)*(44/12))</f>
        <v>551.22222222222217</v>
      </c>
      <c r="AB805" s="14"/>
      <c r="AC805" s="14"/>
      <c r="AD805" s="3">
        <f>100*((44/12)*(44/12))</f>
        <v>1344.4444444444443</v>
      </c>
      <c r="AE805" s="14"/>
      <c r="AF805" s="16">
        <v>0</v>
      </c>
      <c r="AG805" s="16">
        <v>1</v>
      </c>
      <c r="AH805" s="16">
        <v>0</v>
      </c>
      <c r="AI805" s="16">
        <v>1</v>
      </c>
      <c r="AJ805" s="5">
        <v>0</v>
      </c>
      <c r="AK805" s="5">
        <v>1</v>
      </c>
      <c r="AL805" s="5">
        <v>0</v>
      </c>
      <c r="AM805" s="20">
        <v>3</v>
      </c>
      <c r="AN805" s="20">
        <v>0.95</v>
      </c>
      <c r="AO805" s="16"/>
      <c r="AP805" s="16"/>
      <c r="AQ805" s="16"/>
      <c r="AR805" s="16">
        <v>0</v>
      </c>
      <c r="AS805" s="16">
        <v>0</v>
      </c>
      <c r="AT805" s="16"/>
      <c r="AU805" s="16"/>
      <c r="AV805" s="16"/>
      <c r="AW805" s="16"/>
      <c r="AX805" s="16">
        <v>0</v>
      </c>
      <c r="AY805" s="16">
        <v>0</v>
      </c>
      <c r="AZ805" s="16">
        <v>0</v>
      </c>
      <c r="BA805" s="16">
        <v>1</v>
      </c>
    </row>
    <row r="806" spans="1:53" x14ac:dyDescent="0.2">
      <c r="A806" s="14"/>
      <c r="B806" s="14" t="str">
        <f t="shared" si="225"/>
        <v>Kopp et al. 2012</v>
      </c>
      <c r="C806" s="61">
        <f t="shared" si="226"/>
        <v>78</v>
      </c>
      <c r="D806" s="58">
        <v>2012</v>
      </c>
      <c r="E806" s="17"/>
      <c r="F806" s="58">
        <v>1</v>
      </c>
      <c r="G806" s="22">
        <v>2005</v>
      </c>
      <c r="H806" s="15">
        <f>LOOKUP(G806,CPI!A$69:A$100,CPI!O$69:O$100)</f>
        <v>1.1165181771633383</v>
      </c>
      <c r="I806" s="52">
        <v>2015</v>
      </c>
      <c r="J806" s="15">
        <f t="shared" si="229"/>
        <v>6.9444444444444441E-3</v>
      </c>
      <c r="K806" s="15"/>
      <c r="L806" s="62"/>
      <c r="M806" s="56">
        <f t="shared" si="222"/>
        <v>585.42769755931033</v>
      </c>
      <c r="N806" s="14">
        <f>61*(44/12)</f>
        <v>223.66666666666666</v>
      </c>
      <c r="O806" s="18">
        <f t="shared" si="218"/>
        <v>223.66666666666666</v>
      </c>
      <c r="P806" s="16">
        <v>0</v>
      </c>
      <c r="Q806" s="16">
        <v>0</v>
      </c>
      <c r="R806" s="16">
        <v>1</v>
      </c>
      <c r="S806" s="14"/>
      <c r="T806" s="56" t="str">
        <f t="shared" si="232"/>
        <v/>
      </c>
      <c r="U806" s="56">
        <f t="shared" si="230"/>
        <v>160.83178504376656</v>
      </c>
      <c r="V806" s="56">
        <f t="shared" si="231"/>
        <v>413.56744725539983</v>
      </c>
      <c r="W806" s="14"/>
      <c r="X806" s="3">
        <f>18*((44/12)*(44/12))</f>
        <v>241.99999999999997</v>
      </c>
      <c r="Y806" s="14"/>
      <c r="Z806" s="14"/>
      <c r="AA806" s="3">
        <f>39*((44/12)*(44/12))</f>
        <v>524.33333333333326</v>
      </c>
      <c r="AB806" s="14"/>
      <c r="AC806" s="14"/>
      <c r="AD806" s="3">
        <f>93*((44/12)*(44/12))</f>
        <v>1250.3333333333333</v>
      </c>
      <c r="AE806" s="14"/>
      <c r="AF806" s="16">
        <v>0</v>
      </c>
      <c r="AG806" s="16">
        <v>1</v>
      </c>
      <c r="AH806" s="16">
        <v>0</v>
      </c>
      <c r="AI806" s="16">
        <v>1</v>
      </c>
      <c r="AJ806" s="5">
        <v>0</v>
      </c>
      <c r="AK806" s="5">
        <v>1</v>
      </c>
      <c r="AL806" s="5">
        <v>0</v>
      </c>
      <c r="AM806" s="20">
        <v>3</v>
      </c>
      <c r="AN806" s="20">
        <v>0.95</v>
      </c>
      <c r="AO806" s="16"/>
      <c r="AP806" s="16"/>
      <c r="AQ806" s="16"/>
      <c r="AR806" s="16">
        <v>0</v>
      </c>
      <c r="AS806" s="16">
        <v>0</v>
      </c>
      <c r="AT806" s="16"/>
      <c r="AU806" s="16"/>
      <c r="AV806" s="16"/>
      <c r="AW806" s="16"/>
      <c r="AX806" s="16">
        <v>0</v>
      </c>
      <c r="AY806" s="16">
        <v>0</v>
      </c>
      <c r="AZ806" s="16">
        <v>0</v>
      </c>
      <c r="BA806" s="16">
        <v>1</v>
      </c>
    </row>
    <row r="807" spans="1:53" x14ac:dyDescent="0.2">
      <c r="A807" s="14"/>
      <c r="B807" s="14" t="str">
        <f t="shared" si="225"/>
        <v>Kopp et al. 2012</v>
      </c>
      <c r="C807" s="61">
        <f t="shared" si="226"/>
        <v>78</v>
      </c>
      <c r="D807" s="58">
        <v>2012</v>
      </c>
      <c r="E807" s="17"/>
      <c r="F807" s="58">
        <v>1</v>
      </c>
      <c r="G807" s="22">
        <v>2005</v>
      </c>
      <c r="H807" s="15">
        <f>LOOKUP(G807,CPI!A$69:A$100,CPI!O$69:O$100)</f>
        <v>1.1165181771633383</v>
      </c>
      <c r="I807" s="52">
        <v>2015</v>
      </c>
      <c r="J807" s="15">
        <f t="shared" si="229"/>
        <v>6.9444444444444441E-3</v>
      </c>
      <c r="K807" s="15"/>
      <c r="L807" s="62"/>
      <c r="M807" s="56">
        <f t="shared" si="222"/>
        <v>855.62509643283818</v>
      </c>
      <c r="N807" s="14">
        <f>98*(44/12)</f>
        <v>359.33333333333331</v>
      </c>
      <c r="O807" s="18">
        <f t="shared" si="218"/>
        <v>359.33333333333331</v>
      </c>
      <c r="P807" s="16">
        <v>0</v>
      </c>
      <c r="Q807" s="16">
        <v>0</v>
      </c>
      <c r="R807" s="16">
        <v>1</v>
      </c>
      <c r="S807" s="14"/>
      <c r="T807" s="56" t="str">
        <f t="shared" si="232"/>
        <v/>
      </c>
      <c r="U807" s="56">
        <f t="shared" si="230"/>
        <v>298.68760079556648</v>
      </c>
      <c r="V807" s="56">
        <f t="shared" si="231"/>
        <v>2297.5969291966658</v>
      </c>
      <c r="W807" s="14"/>
      <c r="X807" s="3">
        <f>18*((44/12)*(44/12))</f>
        <v>241.99999999999997</v>
      </c>
      <c r="Y807" s="14"/>
      <c r="Z807" s="14"/>
      <c r="AA807" s="3">
        <f>57*((44/12)*(44/12))</f>
        <v>766.33333333333326</v>
      </c>
      <c r="AB807" s="14"/>
      <c r="AC807" s="14"/>
      <c r="AD807" s="3">
        <f>357*((44/12)*(44/12))</f>
        <v>4799.6666666666661</v>
      </c>
      <c r="AE807" s="14"/>
      <c r="AF807" s="16">
        <v>0</v>
      </c>
      <c r="AG807" s="16">
        <v>1</v>
      </c>
      <c r="AH807" s="16">
        <v>0</v>
      </c>
      <c r="AI807" s="16">
        <v>1</v>
      </c>
      <c r="AJ807" s="5">
        <v>0</v>
      </c>
      <c r="AK807" s="5">
        <v>1</v>
      </c>
      <c r="AL807" s="5">
        <v>0</v>
      </c>
      <c r="AM807" s="20">
        <v>3</v>
      </c>
      <c r="AN807" s="20">
        <v>0.95</v>
      </c>
      <c r="AO807" s="16"/>
      <c r="AP807" s="16"/>
      <c r="AQ807" s="16"/>
      <c r="AR807" s="16">
        <v>0</v>
      </c>
      <c r="AS807" s="16">
        <v>0</v>
      </c>
      <c r="AT807" s="16"/>
      <c r="AU807" s="16"/>
      <c r="AV807" s="16"/>
      <c r="AW807" s="16"/>
      <c r="AX807" s="16">
        <v>0</v>
      </c>
      <c r="AY807" s="16">
        <v>0</v>
      </c>
      <c r="AZ807" s="16">
        <v>0</v>
      </c>
      <c r="BA807" s="16">
        <v>1</v>
      </c>
    </row>
    <row r="808" spans="1:53" x14ac:dyDescent="0.2">
      <c r="A808" s="14"/>
      <c r="B808" s="14" t="str">
        <f t="shared" si="225"/>
        <v>Kopp et al. 2012</v>
      </c>
      <c r="C808" s="61">
        <f t="shared" si="226"/>
        <v>78</v>
      </c>
      <c r="D808" s="58">
        <v>2012</v>
      </c>
      <c r="E808" s="17"/>
      <c r="F808" s="58">
        <v>1</v>
      </c>
      <c r="G808" s="22">
        <v>2005</v>
      </c>
      <c r="H808" s="15">
        <f>LOOKUP(G808,CPI!A$69:A$100,CPI!O$69:O$100)</f>
        <v>1.1165181771633383</v>
      </c>
      <c r="I808" s="52">
        <v>2015</v>
      </c>
      <c r="J808" s="15">
        <f t="shared" si="229"/>
        <v>6.9444444444444441E-3</v>
      </c>
      <c r="K808" s="15"/>
      <c r="L808" s="62"/>
      <c r="M808" s="56">
        <f t="shared" si="222"/>
        <v>270.19739887352785</v>
      </c>
      <c r="N808" s="14">
        <f>48*(44/12)</f>
        <v>176</v>
      </c>
      <c r="O808" s="18">
        <f t="shared" si="218"/>
        <v>176</v>
      </c>
      <c r="P808" s="16">
        <v>0</v>
      </c>
      <c r="Q808" s="16">
        <v>0</v>
      </c>
      <c r="R808" s="16">
        <v>1</v>
      </c>
      <c r="S808" s="14"/>
      <c r="T808" s="56" t="str">
        <f t="shared" si="232"/>
        <v/>
      </c>
      <c r="U808" s="56">
        <f t="shared" si="230"/>
        <v>84.245220737211056</v>
      </c>
      <c r="V808" s="56">
        <f t="shared" si="231"/>
        <v>1332.606218934066</v>
      </c>
      <c r="W808" s="14"/>
      <c r="X808" s="3">
        <f>7*((44/12)*(44/12))</f>
        <v>94.1111111111111</v>
      </c>
      <c r="Y808" s="14"/>
      <c r="Z808" s="14"/>
      <c r="AA808" s="3">
        <f>18*((44/12)*(44/12))</f>
        <v>241.99999999999997</v>
      </c>
      <c r="AB808" s="14"/>
      <c r="AC808" s="14"/>
      <c r="AD808" s="3">
        <f>192*((44/12)*(44/12))</f>
        <v>2581.333333333333</v>
      </c>
      <c r="AE808" s="14"/>
      <c r="AF808" s="16">
        <v>0</v>
      </c>
      <c r="AG808" s="16">
        <v>1</v>
      </c>
      <c r="AH808" s="16">
        <v>0</v>
      </c>
      <c r="AI808" s="16">
        <v>1</v>
      </c>
      <c r="AJ808" s="5">
        <v>0</v>
      </c>
      <c r="AK808" s="5">
        <v>1</v>
      </c>
      <c r="AL808" s="5">
        <v>0</v>
      </c>
      <c r="AM808" s="20">
        <v>3</v>
      </c>
      <c r="AN808" s="20">
        <v>0.95</v>
      </c>
      <c r="AO808" s="16"/>
      <c r="AP808" s="16"/>
      <c r="AQ808" s="16"/>
      <c r="AR808" s="16">
        <v>0</v>
      </c>
      <c r="AS808" s="16">
        <v>0</v>
      </c>
      <c r="AT808" s="16"/>
      <c r="AU808" s="16"/>
      <c r="AV808" s="16"/>
      <c r="AW808" s="16"/>
      <c r="AX808" s="16">
        <v>0</v>
      </c>
      <c r="AY808" s="16">
        <v>0</v>
      </c>
      <c r="AZ808" s="16">
        <v>0</v>
      </c>
      <c r="BA808" s="16">
        <v>1</v>
      </c>
    </row>
    <row r="809" spans="1:53" x14ac:dyDescent="0.2">
      <c r="A809" s="14"/>
      <c r="B809" s="14" t="str">
        <f t="shared" si="225"/>
        <v>Kopp et al. 2012</v>
      </c>
      <c r="C809" s="61">
        <f t="shared" si="226"/>
        <v>78</v>
      </c>
      <c r="D809" s="58">
        <v>2012</v>
      </c>
      <c r="E809" s="17"/>
      <c r="F809" s="58">
        <v>1</v>
      </c>
      <c r="G809" s="22">
        <v>2005</v>
      </c>
      <c r="H809" s="15">
        <f>LOOKUP(G809,CPI!A$69:A$100,CPI!O$69:O$100)</f>
        <v>1.1165181771633383</v>
      </c>
      <c r="I809" s="52">
        <v>2015</v>
      </c>
      <c r="J809" s="15">
        <f t="shared" si="229"/>
        <v>6.9444444444444441E-3</v>
      </c>
      <c r="K809" s="15"/>
      <c r="L809" s="62"/>
      <c r="M809" s="56">
        <f t="shared" si="222"/>
        <v>195.14256585310346</v>
      </c>
      <c r="N809" s="14">
        <f>44*(44/12)</f>
        <v>161.33333333333331</v>
      </c>
      <c r="O809" s="18">
        <f t="shared" si="218"/>
        <v>161.33333333333331</v>
      </c>
      <c r="P809" s="16">
        <v>0</v>
      </c>
      <c r="Q809" s="16">
        <v>0</v>
      </c>
      <c r="R809" s="16">
        <v>1</v>
      </c>
      <c r="S809" s="14"/>
      <c r="T809" s="56" t="str">
        <f t="shared" si="232"/>
        <v/>
      </c>
      <c r="U809" s="56">
        <f t="shared" si="230"/>
        <v>61.269251445244414</v>
      </c>
      <c r="V809" s="56">
        <f t="shared" si="231"/>
        <v>1332.606218934066</v>
      </c>
      <c r="W809" s="14"/>
      <c r="X809" s="3">
        <f>5*((44/12)*(44/12))</f>
        <v>67.222222222222214</v>
      </c>
      <c r="Y809" s="14"/>
      <c r="Z809" s="14"/>
      <c r="AA809" s="3">
        <f>13*((44/12)*(44/12))</f>
        <v>174.77777777777777</v>
      </c>
      <c r="AB809" s="14"/>
      <c r="AC809" s="14"/>
      <c r="AD809" s="3">
        <f>187*((44/12)*(44/12))</f>
        <v>2514.1111111111109</v>
      </c>
      <c r="AE809" s="14"/>
      <c r="AF809" s="16">
        <v>0</v>
      </c>
      <c r="AG809" s="16">
        <v>1</v>
      </c>
      <c r="AH809" s="16">
        <v>0</v>
      </c>
      <c r="AI809" s="16">
        <v>1</v>
      </c>
      <c r="AJ809" s="5">
        <v>0</v>
      </c>
      <c r="AK809" s="5">
        <v>1</v>
      </c>
      <c r="AL809" s="5">
        <v>0</v>
      </c>
      <c r="AM809" s="20">
        <v>3</v>
      </c>
      <c r="AN809" s="20">
        <v>0.95</v>
      </c>
      <c r="AO809" s="16"/>
      <c r="AP809" s="16"/>
      <c r="AQ809" s="16"/>
      <c r="AR809" s="16">
        <v>0</v>
      </c>
      <c r="AS809" s="16">
        <v>0</v>
      </c>
      <c r="AT809" s="16"/>
      <c r="AU809" s="16"/>
      <c r="AV809" s="16"/>
      <c r="AW809" s="16"/>
      <c r="AX809" s="16">
        <v>0</v>
      </c>
      <c r="AY809" s="16">
        <v>0</v>
      </c>
      <c r="AZ809" s="16">
        <v>0</v>
      </c>
      <c r="BA809" s="16">
        <v>1</v>
      </c>
    </row>
    <row r="810" spans="1:53" x14ac:dyDescent="0.2">
      <c r="A810" s="14"/>
      <c r="B810" s="14" t="str">
        <f t="shared" si="225"/>
        <v>Kopp et al. 2012</v>
      </c>
      <c r="C810" s="61">
        <f t="shared" si="226"/>
        <v>78</v>
      </c>
      <c r="D810" s="58">
        <v>2012</v>
      </c>
      <c r="E810" s="17"/>
      <c r="F810" s="58">
        <v>1</v>
      </c>
      <c r="G810" s="22">
        <v>2005</v>
      </c>
      <c r="H810" s="15">
        <f>LOOKUP(G810,CPI!A$69:A$100,CPI!O$69:O$100)</f>
        <v>1.1165181771633383</v>
      </c>
      <c r="I810" s="52">
        <v>2015</v>
      </c>
      <c r="J810" s="15">
        <f t="shared" si="229"/>
        <v>6.9444444444444441E-3</v>
      </c>
      <c r="K810" s="15"/>
      <c r="L810" s="62"/>
      <c r="M810" s="56">
        <f t="shared" si="222"/>
        <v>390.28513170620693</v>
      </c>
      <c r="N810" s="14">
        <f>76*(44/12)</f>
        <v>278.66666666666663</v>
      </c>
      <c r="O810" s="18">
        <f t="shared" si="218"/>
        <v>278.66666666666663</v>
      </c>
      <c r="P810" s="16">
        <v>0</v>
      </c>
      <c r="Q810" s="16">
        <v>0</v>
      </c>
      <c r="R810" s="16">
        <v>1</v>
      </c>
      <c r="S810" s="14"/>
      <c r="T810" s="56" t="str">
        <f t="shared" si="232"/>
        <v/>
      </c>
      <c r="U810" s="56">
        <f t="shared" si="230"/>
        <v>130.19715932114437</v>
      </c>
      <c r="V810" s="56">
        <f t="shared" si="231"/>
        <v>1799.7842612040545</v>
      </c>
      <c r="W810" s="14"/>
      <c r="X810" s="3">
        <f>9*((44/12)*(44/12))</f>
        <v>120.99999999999999</v>
      </c>
      <c r="Y810" s="14"/>
      <c r="Z810" s="14"/>
      <c r="AA810" s="3">
        <f>26*((44/12)*(44/12))</f>
        <v>349.55555555555554</v>
      </c>
      <c r="AB810" s="14"/>
      <c r="AC810" s="14"/>
      <c r="AD810" s="3">
        <f>261*((44/12)*(44/12))</f>
        <v>3508.9999999999995</v>
      </c>
      <c r="AE810" s="14"/>
      <c r="AF810" s="16">
        <v>0</v>
      </c>
      <c r="AG810" s="16">
        <v>1</v>
      </c>
      <c r="AH810" s="16">
        <v>0</v>
      </c>
      <c r="AI810" s="16">
        <v>1</v>
      </c>
      <c r="AJ810" s="5">
        <v>0</v>
      </c>
      <c r="AK810" s="5">
        <v>1</v>
      </c>
      <c r="AL810" s="5">
        <v>0</v>
      </c>
      <c r="AM810" s="20">
        <v>3</v>
      </c>
      <c r="AN810" s="20">
        <v>0.95</v>
      </c>
      <c r="AO810" s="16"/>
      <c r="AP810" s="16"/>
      <c r="AQ810" s="16"/>
      <c r="AR810" s="16">
        <v>0</v>
      </c>
      <c r="AS810" s="16">
        <v>0</v>
      </c>
      <c r="AT810" s="16"/>
      <c r="AU810" s="16"/>
      <c r="AV810" s="16"/>
      <c r="AW810" s="16"/>
      <c r="AX810" s="16">
        <v>0</v>
      </c>
      <c r="AY810" s="16">
        <v>0</v>
      </c>
      <c r="AZ810" s="16">
        <v>0</v>
      </c>
      <c r="BA810" s="16">
        <v>1</v>
      </c>
    </row>
    <row r="811" spans="1:53" x14ac:dyDescent="0.2">
      <c r="A811" s="14"/>
      <c r="B811" s="14" t="str">
        <f t="shared" si="225"/>
        <v>Kopp et al. 2012</v>
      </c>
      <c r="C811" s="61">
        <f t="shared" si="226"/>
        <v>78</v>
      </c>
      <c r="D811" s="58">
        <v>2012</v>
      </c>
      <c r="E811" s="17"/>
      <c r="F811" s="58">
        <v>1</v>
      </c>
      <c r="G811" s="22">
        <v>2005</v>
      </c>
      <c r="H811" s="15">
        <f>LOOKUP(G811,CPI!A$69:A$100,CPI!O$69:O$100)</f>
        <v>1.1165181771633383</v>
      </c>
      <c r="I811" s="52">
        <v>2015</v>
      </c>
      <c r="J811" s="15">
        <f t="shared" si="229"/>
        <v>6.9444444444444441E-3</v>
      </c>
      <c r="K811" s="15"/>
      <c r="L811" s="62"/>
      <c r="M811" s="56">
        <f t="shared" si="222"/>
        <v>210.15353245718833</v>
      </c>
      <c r="N811" s="14">
        <f>47*(44/12)</f>
        <v>172.33333333333331</v>
      </c>
      <c r="O811" s="18">
        <f t="shared" si="218"/>
        <v>172.33333333333331</v>
      </c>
      <c r="P811" s="16">
        <v>0</v>
      </c>
      <c r="Q811" s="16">
        <v>0</v>
      </c>
      <c r="R811" s="16">
        <v>1</v>
      </c>
      <c r="S811" s="14"/>
      <c r="T811" s="56" t="str">
        <f t="shared" si="232"/>
        <v/>
      </c>
      <c r="U811" s="56">
        <f t="shared" si="230"/>
        <v>61.269251445244407</v>
      </c>
      <c r="V811" s="56">
        <f t="shared" si="231"/>
        <v>1462.8033782552104</v>
      </c>
      <c r="W811" s="14"/>
      <c r="X811" s="3">
        <f>6*((44/12)*(44/12))</f>
        <v>80.666666666666657</v>
      </c>
      <c r="Y811" s="14"/>
      <c r="Z811" s="14"/>
      <c r="AA811" s="3">
        <f>14*((44/12)*(44/12))</f>
        <v>188.2222222222222</v>
      </c>
      <c r="AB811" s="14"/>
      <c r="AC811" s="14"/>
      <c r="AD811" s="3">
        <f>205*((44/12)*(44/12))</f>
        <v>2756.1111111111109</v>
      </c>
      <c r="AE811" s="14"/>
      <c r="AF811" s="16">
        <v>0</v>
      </c>
      <c r="AG811" s="16">
        <v>1</v>
      </c>
      <c r="AH811" s="16">
        <v>0</v>
      </c>
      <c r="AI811" s="16">
        <v>1</v>
      </c>
      <c r="AJ811" s="5">
        <v>0</v>
      </c>
      <c r="AK811" s="5">
        <v>1</v>
      </c>
      <c r="AL811" s="5">
        <v>0</v>
      </c>
      <c r="AM811" s="20">
        <v>3</v>
      </c>
      <c r="AN811" s="20">
        <v>0.95</v>
      </c>
      <c r="AO811" s="16"/>
      <c r="AP811" s="16"/>
      <c r="AQ811" s="16"/>
      <c r="AR811" s="16">
        <v>0</v>
      </c>
      <c r="AS811" s="16">
        <v>0</v>
      </c>
      <c r="AT811" s="16"/>
      <c r="AU811" s="16"/>
      <c r="AV811" s="16"/>
      <c r="AW811" s="16"/>
      <c r="AX811" s="16">
        <v>0</v>
      </c>
      <c r="AY811" s="16">
        <v>0</v>
      </c>
      <c r="AZ811" s="16">
        <v>0</v>
      </c>
      <c r="BA811" s="16">
        <v>1</v>
      </c>
    </row>
    <row r="812" spans="1:53" x14ac:dyDescent="0.2">
      <c r="A812" s="14"/>
      <c r="B812" s="14" t="str">
        <f t="shared" si="225"/>
        <v>Kopp et al. 2012</v>
      </c>
      <c r="C812" s="61">
        <f t="shared" si="226"/>
        <v>78</v>
      </c>
      <c r="D812" s="58">
        <v>2012</v>
      </c>
      <c r="E812" s="17"/>
      <c r="F812" s="58">
        <v>1</v>
      </c>
      <c r="G812" s="22">
        <v>2005</v>
      </c>
      <c r="H812" s="15">
        <f>LOOKUP(G812,CPI!A$69:A$100,CPI!O$69:O$100)</f>
        <v>1.1165181771633383</v>
      </c>
      <c r="I812" s="52">
        <v>2015</v>
      </c>
      <c r="J812" s="15">
        <f t="shared" si="229"/>
        <v>6.9444444444444441E-3</v>
      </c>
      <c r="K812" s="15"/>
      <c r="L812" s="62"/>
      <c r="M812" s="56">
        <f t="shared" si="222"/>
        <v>135.09869943676392</v>
      </c>
      <c r="N812" s="14">
        <f>82*(44/12)</f>
        <v>300.66666666666663</v>
      </c>
      <c r="O812" s="18">
        <f t="shared" si="218"/>
        <v>300.66666666666663</v>
      </c>
      <c r="P812" s="16">
        <v>0</v>
      </c>
      <c r="Q812" s="16">
        <v>0</v>
      </c>
      <c r="R812" s="16">
        <v>1</v>
      </c>
      <c r="S812" s="14"/>
      <c r="T812" s="56" t="str">
        <f t="shared" si="232"/>
        <v/>
      </c>
      <c r="U812" s="56">
        <f t="shared" si="230"/>
        <v>61.269251445244407</v>
      </c>
      <c r="V812" s="56">
        <f t="shared" si="231"/>
        <v>2672.8710942987873</v>
      </c>
      <c r="W812" s="14"/>
      <c r="X812" s="3">
        <f>1*((44/12)*(44/12))</f>
        <v>13.444444444444443</v>
      </c>
      <c r="Y812" s="14"/>
      <c r="Z812" s="14"/>
      <c r="AA812" s="3">
        <f>9*((44/12)*(44/12))</f>
        <v>120.99999999999999</v>
      </c>
      <c r="AB812" s="14"/>
      <c r="AC812" s="14"/>
      <c r="AD812" s="3">
        <f>358*((44/12)*(44/12))</f>
        <v>4813.1111111111104</v>
      </c>
      <c r="AE812" s="14"/>
      <c r="AF812" s="16">
        <v>0</v>
      </c>
      <c r="AG812" s="16">
        <v>1</v>
      </c>
      <c r="AH812" s="16">
        <v>0</v>
      </c>
      <c r="AI812" s="16">
        <v>1</v>
      </c>
      <c r="AJ812" s="5">
        <v>0</v>
      </c>
      <c r="AK812" s="5">
        <v>1</v>
      </c>
      <c r="AL812" s="5">
        <v>0</v>
      </c>
      <c r="AM812" s="20">
        <v>3</v>
      </c>
      <c r="AN812" s="20">
        <v>0.95</v>
      </c>
      <c r="AO812" s="16"/>
      <c r="AP812" s="16"/>
      <c r="AQ812" s="16"/>
      <c r="AR812" s="16">
        <v>0</v>
      </c>
      <c r="AS812" s="16">
        <v>0</v>
      </c>
      <c r="AT812" s="16"/>
      <c r="AU812" s="16"/>
      <c r="AV812" s="16"/>
      <c r="AW812" s="16"/>
      <c r="AX812" s="16">
        <v>0</v>
      </c>
      <c r="AY812" s="16">
        <v>0</v>
      </c>
      <c r="AZ812" s="16">
        <v>0</v>
      </c>
      <c r="BA812" s="16">
        <v>1</v>
      </c>
    </row>
    <row r="813" spans="1:53" x14ac:dyDescent="0.2">
      <c r="A813" s="14"/>
      <c r="B813" s="14" t="str">
        <f t="shared" si="225"/>
        <v>Kopp et al. 2012</v>
      </c>
      <c r="C813" s="61">
        <f t="shared" si="226"/>
        <v>78</v>
      </c>
      <c r="D813" s="58">
        <v>2012</v>
      </c>
      <c r="E813" s="17"/>
      <c r="F813" s="58">
        <v>1</v>
      </c>
      <c r="G813" s="22">
        <v>2005</v>
      </c>
      <c r="H813" s="15">
        <f>LOOKUP(G813,CPI!A$69:A$100,CPI!O$69:O$100)</f>
        <v>1.1165181771633383</v>
      </c>
      <c r="I813" s="52">
        <v>2015</v>
      </c>
      <c r="J813" s="15">
        <f t="shared" si="229"/>
        <v>6.9444444444444441E-3</v>
      </c>
      <c r="K813" s="15"/>
      <c r="L813" s="62"/>
      <c r="M813" s="56">
        <f t="shared" si="222"/>
        <v>105.07676622859417</v>
      </c>
      <c r="N813" s="14">
        <f>76*(44/12)</f>
        <v>278.66666666666663</v>
      </c>
      <c r="O813" s="18">
        <f t="shared" si="218"/>
        <v>278.66666666666663</v>
      </c>
      <c r="P813" s="16">
        <v>0</v>
      </c>
      <c r="Q813" s="16">
        <v>0</v>
      </c>
      <c r="R813" s="16">
        <v>1</v>
      </c>
      <c r="S813" s="14"/>
      <c r="T813" s="56" t="str">
        <f t="shared" si="232"/>
        <v/>
      </c>
      <c r="U813" s="56">
        <f t="shared" si="230"/>
        <v>45.951938583933305</v>
      </c>
      <c r="V813" s="56">
        <f t="shared" si="231"/>
        <v>2374.1834935032211</v>
      </c>
      <c r="W813" s="14"/>
      <c r="X813" s="3">
        <f>1*((44/12)*(44/12))</f>
        <v>13.444444444444443</v>
      </c>
      <c r="Y813" s="14"/>
      <c r="Z813" s="14"/>
      <c r="AA813" s="3">
        <f>7*((44/12)*(44/12))</f>
        <v>94.1111111111111</v>
      </c>
      <c r="AB813" s="14"/>
      <c r="AC813" s="14"/>
      <c r="AD813" s="3">
        <f>317*((44/12)*(44/12))</f>
        <v>4261.8888888888887</v>
      </c>
      <c r="AE813" s="14"/>
      <c r="AF813" s="16">
        <v>0</v>
      </c>
      <c r="AG813" s="16">
        <v>1</v>
      </c>
      <c r="AH813" s="16">
        <v>0</v>
      </c>
      <c r="AI813" s="16">
        <v>1</v>
      </c>
      <c r="AJ813" s="5">
        <v>0</v>
      </c>
      <c r="AK813" s="5">
        <v>1</v>
      </c>
      <c r="AL813" s="5">
        <v>0</v>
      </c>
      <c r="AM813" s="20">
        <v>3</v>
      </c>
      <c r="AN813" s="20">
        <v>0.95</v>
      </c>
      <c r="AO813" s="16"/>
      <c r="AP813" s="16"/>
      <c r="AQ813" s="16"/>
      <c r="AR813" s="16">
        <v>0</v>
      </c>
      <c r="AS813" s="16">
        <v>0</v>
      </c>
      <c r="AT813" s="16"/>
      <c r="AU813" s="16"/>
      <c r="AV813" s="16"/>
      <c r="AW813" s="16"/>
      <c r="AX813" s="16">
        <v>0</v>
      </c>
      <c r="AY813" s="16">
        <v>0</v>
      </c>
      <c r="AZ813" s="16">
        <v>0</v>
      </c>
      <c r="BA813" s="16">
        <v>1</v>
      </c>
    </row>
    <row r="814" spans="1:53" x14ac:dyDescent="0.2">
      <c r="A814" s="14"/>
      <c r="B814" s="14" t="str">
        <f t="shared" si="225"/>
        <v>Kopp et al. 2012</v>
      </c>
      <c r="C814" s="61">
        <f t="shared" si="226"/>
        <v>78</v>
      </c>
      <c r="D814" s="58">
        <v>2012</v>
      </c>
      <c r="E814" s="17"/>
      <c r="F814" s="58">
        <v>1</v>
      </c>
      <c r="G814" s="22">
        <v>2005</v>
      </c>
      <c r="H814" s="15">
        <f>LOOKUP(G814,CPI!A$69:A$100,CPI!O$69:O$100)</f>
        <v>1.1165181771633383</v>
      </c>
      <c r="I814" s="52">
        <v>2015</v>
      </c>
      <c r="J814" s="15">
        <f t="shared" si="229"/>
        <v>6.9444444444444441E-3</v>
      </c>
      <c r="K814" s="15"/>
      <c r="L814" s="62"/>
      <c r="M814" s="56">
        <f t="shared" si="222"/>
        <v>150.10966604084879</v>
      </c>
      <c r="N814" s="14">
        <f>90*(44/12)</f>
        <v>330</v>
      </c>
      <c r="O814" s="18">
        <f t="shared" si="218"/>
        <v>330</v>
      </c>
      <c r="P814" s="16">
        <v>0</v>
      </c>
      <c r="Q814" s="16">
        <v>0</v>
      </c>
      <c r="R814" s="16">
        <v>1</v>
      </c>
      <c r="S814" s="14"/>
      <c r="T814" s="56" t="str">
        <f t="shared" si="232"/>
        <v/>
      </c>
      <c r="U814" s="56">
        <f t="shared" si="230"/>
        <v>68.927907875899962</v>
      </c>
      <c r="V814" s="56">
        <f t="shared" si="231"/>
        <v>2887.3134743571427</v>
      </c>
      <c r="W814" s="14"/>
      <c r="X814" s="3">
        <f>1*((44/12)*(44/12))</f>
        <v>13.444444444444443</v>
      </c>
      <c r="Y814" s="14"/>
      <c r="Z814" s="14"/>
      <c r="AA814" s="3">
        <f>10*((44/12)*(44/12))</f>
        <v>134.44444444444443</v>
      </c>
      <c r="AB814" s="14"/>
      <c r="AC814" s="14"/>
      <c r="AD814" s="3">
        <f>387*((44/12)*(44/12))</f>
        <v>5202.9999999999991</v>
      </c>
      <c r="AE814" s="14"/>
      <c r="AF814" s="16">
        <v>0</v>
      </c>
      <c r="AG814" s="16">
        <v>1</v>
      </c>
      <c r="AH814" s="16">
        <v>0</v>
      </c>
      <c r="AI814" s="16">
        <v>1</v>
      </c>
      <c r="AJ814" s="5">
        <v>0</v>
      </c>
      <c r="AK814" s="5">
        <v>1</v>
      </c>
      <c r="AL814" s="5">
        <v>0</v>
      </c>
      <c r="AM814" s="20">
        <v>3</v>
      </c>
      <c r="AN814" s="20">
        <v>0.95</v>
      </c>
      <c r="AO814" s="16"/>
      <c r="AP814" s="16"/>
      <c r="AQ814" s="16"/>
      <c r="AR814" s="16">
        <v>0</v>
      </c>
      <c r="AS814" s="16">
        <v>0</v>
      </c>
      <c r="AT814" s="16"/>
      <c r="AU814" s="16"/>
      <c r="AV814" s="16"/>
      <c r="AW814" s="16"/>
      <c r="AX814" s="16">
        <v>0</v>
      </c>
      <c r="AY814" s="16">
        <v>0</v>
      </c>
      <c r="AZ814" s="16">
        <v>0</v>
      </c>
      <c r="BA814" s="16">
        <v>1</v>
      </c>
    </row>
    <row r="815" spans="1:53" x14ac:dyDescent="0.2">
      <c r="A815" s="14"/>
      <c r="B815" s="14" t="str">
        <f t="shared" si="225"/>
        <v>Kopp et al. 2012</v>
      </c>
      <c r="C815" s="61">
        <f t="shared" si="226"/>
        <v>78</v>
      </c>
      <c r="D815" s="58">
        <v>2012</v>
      </c>
      <c r="E815" s="17"/>
      <c r="F815" s="58">
        <v>1</v>
      </c>
      <c r="G815" s="22">
        <v>2005</v>
      </c>
      <c r="H815" s="15">
        <f>LOOKUP(G815,CPI!A$69:A$100,CPI!O$69:O$100)</f>
        <v>1.1165181771633383</v>
      </c>
      <c r="I815" s="52">
        <v>2015</v>
      </c>
      <c r="J815" s="15">
        <f t="shared" si="229"/>
        <v>6.9444444444444441E-3</v>
      </c>
      <c r="K815" s="15"/>
      <c r="L815" s="62"/>
      <c r="M815" s="56">
        <f t="shared" si="222"/>
        <v>120.08773283267904</v>
      </c>
      <c r="N815" s="14">
        <f>84*(44/12)</f>
        <v>308</v>
      </c>
      <c r="O815" s="18">
        <f t="shared" si="218"/>
        <v>308</v>
      </c>
      <c r="P815" s="16">
        <v>0</v>
      </c>
      <c r="Q815" s="16">
        <v>0</v>
      </c>
      <c r="R815" s="16">
        <v>1</v>
      </c>
      <c r="S815" s="14"/>
      <c r="T815" s="56" t="str">
        <f t="shared" si="232"/>
        <v/>
      </c>
      <c r="U815" s="56">
        <f t="shared" si="230"/>
        <v>53.61059501458886</v>
      </c>
      <c r="V815" s="56">
        <f t="shared" si="231"/>
        <v>2711.1643764520654</v>
      </c>
      <c r="W815" s="14"/>
      <c r="X815" s="3">
        <f>1*((44/12)*(44/12))</f>
        <v>13.444444444444443</v>
      </c>
      <c r="Y815" s="14"/>
      <c r="Z815" s="14"/>
      <c r="AA815" s="3">
        <f>8*((44/12)*(44/12))</f>
        <v>107.55555555555554</v>
      </c>
      <c r="AB815" s="14"/>
      <c r="AC815" s="14"/>
      <c r="AD815" s="3">
        <f>362*((44/12)*(44/12))</f>
        <v>4866.8888888888887</v>
      </c>
      <c r="AE815" s="14"/>
      <c r="AF815" s="16">
        <v>0</v>
      </c>
      <c r="AG815" s="16">
        <v>1</v>
      </c>
      <c r="AH815" s="16">
        <v>0</v>
      </c>
      <c r="AI815" s="16">
        <v>1</v>
      </c>
      <c r="AJ815" s="5">
        <v>0</v>
      </c>
      <c r="AK815" s="5">
        <v>1</v>
      </c>
      <c r="AL815" s="5">
        <v>0</v>
      </c>
      <c r="AM815" s="20">
        <v>3</v>
      </c>
      <c r="AN815" s="20">
        <v>0.95</v>
      </c>
      <c r="AO815" s="16"/>
      <c r="AP815" s="16"/>
      <c r="AQ815" s="16"/>
      <c r="AR815" s="16">
        <v>0</v>
      </c>
      <c r="AS815" s="16">
        <v>0</v>
      </c>
      <c r="AT815" s="16"/>
      <c r="AU815" s="16"/>
      <c r="AV815" s="16"/>
      <c r="AW815" s="16"/>
      <c r="AX815" s="16">
        <v>0</v>
      </c>
      <c r="AY815" s="16">
        <v>0</v>
      </c>
      <c r="AZ815" s="16">
        <v>0</v>
      </c>
      <c r="BA815" s="16">
        <v>1</v>
      </c>
    </row>
    <row r="816" spans="1:53" x14ac:dyDescent="0.2">
      <c r="A816" s="14"/>
      <c r="B816" s="14" t="str">
        <f t="shared" si="225"/>
        <v>Kopp et al. 2012</v>
      </c>
      <c r="C816" s="61">
        <f t="shared" si="226"/>
        <v>78</v>
      </c>
      <c r="D816" s="58">
        <v>2012</v>
      </c>
      <c r="E816" s="17"/>
      <c r="F816" s="58">
        <v>1</v>
      </c>
      <c r="G816" s="22">
        <v>2005</v>
      </c>
      <c r="H816" s="15">
        <f>LOOKUP(G816,CPI!A$69:A$100,CPI!O$69:O$100)</f>
        <v>1.1165181771633383</v>
      </c>
      <c r="I816" s="52">
        <v>2015</v>
      </c>
      <c r="J816" s="15">
        <f t="shared" si="229"/>
        <v>6.9444444444444441E-3</v>
      </c>
      <c r="K816" s="15"/>
      <c r="L816" s="62"/>
      <c r="M816" s="56">
        <f t="shared" si="222"/>
        <v>660.48253057973466</v>
      </c>
      <c r="N816" s="14">
        <f>52*(44/12)</f>
        <v>190.66666666666666</v>
      </c>
      <c r="O816" s="18">
        <f t="shared" si="218"/>
        <v>190.66666666666666</v>
      </c>
      <c r="P816" s="16">
        <v>0</v>
      </c>
      <c r="Q816" s="16">
        <v>0</v>
      </c>
      <c r="R816" s="16">
        <v>1</v>
      </c>
      <c r="S816" s="14"/>
      <c r="T816" s="56" t="str">
        <f t="shared" si="232"/>
        <v/>
      </c>
      <c r="U816" s="56">
        <f t="shared" si="230"/>
        <v>183.80775433573319</v>
      </c>
      <c r="V816" s="56">
        <f t="shared" si="231"/>
        <v>536.10595014588864</v>
      </c>
      <c r="W816" s="14"/>
      <c r="X816" s="3">
        <f>20*((44/12)*(44/12))</f>
        <v>268.88888888888886</v>
      </c>
      <c r="Y816" s="14"/>
      <c r="Z816" s="14"/>
      <c r="AA816" s="3">
        <f>44*((44/12)*(44/12))</f>
        <v>591.55555555555543</v>
      </c>
      <c r="AB816" s="14"/>
      <c r="AC816" s="14"/>
      <c r="AD816" s="3">
        <f>114*((44/12)*(44/12))</f>
        <v>1532.6666666666665</v>
      </c>
      <c r="AE816" s="14"/>
      <c r="AF816" s="16">
        <v>0</v>
      </c>
      <c r="AG816" s="16">
        <v>1</v>
      </c>
      <c r="AH816" s="16">
        <v>0</v>
      </c>
      <c r="AI816" s="16">
        <v>1</v>
      </c>
      <c r="AJ816" s="5">
        <v>0</v>
      </c>
      <c r="AK816" s="5">
        <v>1</v>
      </c>
      <c r="AL816" s="5">
        <v>0</v>
      </c>
      <c r="AM816" s="20">
        <v>3</v>
      </c>
      <c r="AN816" s="20">
        <v>0.14000000000000001</v>
      </c>
      <c r="AO816" s="16"/>
      <c r="AP816" s="16"/>
      <c r="AQ816" s="16"/>
      <c r="AR816" s="16">
        <v>0</v>
      </c>
      <c r="AS816" s="16">
        <v>0</v>
      </c>
      <c r="AT816" s="16"/>
      <c r="AU816" s="16"/>
      <c r="AV816" s="16"/>
      <c r="AW816" s="16"/>
      <c r="AX816" s="16">
        <v>0</v>
      </c>
      <c r="AY816" s="16">
        <v>0</v>
      </c>
      <c r="AZ816" s="16">
        <v>0</v>
      </c>
      <c r="BA816" s="16">
        <v>1</v>
      </c>
    </row>
    <row r="817" spans="1:53" x14ac:dyDescent="0.2">
      <c r="A817" s="14"/>
      <c r="B817" s="14" t="str">
        <f t="shared" si="225"/>
        <v>Kopp et al. 2012</v>
      </c>
      <c r="C817" s="61">
        <f t="shared" si="226"/>
        <v>78</v>
      </c>
      <c r="D817" s="58">
        <v>2012</v>
      </c>
      <c r="E817" s="17"/>
      <c r="F817" s="58">
        <v>1</v>
      </c>
      <c r="G817" s="22">
        <v>2005</v>
      </c>
      <c r="H817" s="15">
        <f>LOOKUP(G817,CPI!A$69:A$100,CPI!O$69:O$100)</f>
        <v>1.1165181771633383</v>
      </c>
      <c r="I817" s="52">
        <v>2015</v>
      </c>
      <c r="J817" s="15">
        <f t="shared" si="229"/>
        <v>6.9444444444444441E-3</v>
      </c>
      <c r="K817" s="15"/>
      <c r="L817" s="62"/>
      <c r="M817" s="56">
        <f t="shared" si="222"/>
        <v>690.50446378790446</v>
      </c>
      <c r="N817" s="14">
        <f>58*(44/12)</f>
        <v>212.66666666666666</v>
      </c>
      <c r="O817" s="18">
        <f t="shared" si="218"/>
        <v>212.66666666666666</v>
      </c>
      <c r="P817" s="16">
        <v>0</v>
      </c>
      <c r="Q817" s="16">
        <v>0</v>
      </c>
      <c r="R817" s="16">
        <v>1</v>
      </c>
      <c r="S817" s="14"/>
      <c r="T817" s="56" t="str">
        <f t="shared" si="232"/>
        <v/>
      </c>
      <c r="U817" s="56">
        <f t="shared" si="230"/>
        <v>199.12506719704433</v>
      </c>
      <c r="V817" s="56">
        <f t="shared" si="231"/>
        <v>704.59639162031067</v>
      </c>
      <c r="W817" s="14"/>
      <c r="X817" s="3">
        <f>20*((44/12)*(44/12))</f>
        <v>268.88888888888886</v>
      </c>
      <c r="Y817" s="14"/>
      <c r="Z817" s="14"/>
      <c r="AA817" s="3">
        <f>46*((44/12)*(44/12))</f>
        <v>618.44444444444434</v>
      </c>
      <c r="AB817" s="14"/>
      <c r="AC817" s="14"/>
      <c r="AD817" s="3">
        <f>138*((44/12)*(44/12))</f>
        <v>1855.333333333333</v>
      </c>
      <c r="AE817" s="14"/>
      <c r="AF817" s="16">
        <v>0</v>
      </c>
      <c r="AG817" s="16">
        <v>1</v>
      </c>
      <c r="AH817" s="16">
        <v>0</v>
      </c>
      <c r="AI817" s="16">
        <v>1</v>
      </c>
      <c r="AJ817" s="5">
        <v>0</v>
      </c>
      <c r="AK817" s="5">
        <v>1</v>
      </c>
      <c r="AL817" s="5">
        <v>0</v>
      </c>
      <c r="AM817" s="20">
        <v>3</v>
      </c>
      <c r="AN817" s="20">
        <v>0.14000000000000001</v>
      </c>
      <c r="AO817" s="16"/>
      <c r="AP817" s="16"/>
      <c r="AQ817" s="16"/>
      <c r="AR817" s="16">
        <v>0</v>
      </c>
      <c r="AS817" s="16">
        <v>0</v>
      </c>
      <c r="AT817" s="16"/>
      <c r="AU817" s="16"/>
      <c r="AV817" s="16"/>
      <c r="AW817" s="16"/>
      <c r="AX817" s="16">
        <v>0</v>
      </c>
      <c r="AY817" s="16">
        <v>0</v>
      </c>
      <c r="AZ817" s="16">
        <v>0</v>
      </c>
      <c r="BA817" s="16">
        <v>1</v>
      </c>
    </row>
    <row r="818" spans="1:53" x14ac:dyDescent="0.2">
      <c r="A818" s="14"/>
      <c r="B818" s="14" t="str">
        <f t="shared" si="225"/>
        <v>Kopp et al. 2012</v>
      </c>
      <c r="C818" s="61">
        <f t="shared" si="226"/>
        <v>78</v>
      </c>
      <c r="D818" s="58">
        <v>2012</v>
      </c>
      <c r="E818" s="17"/>
      <c r="F818" s="58">
        <v>1</v>
      </c>
      <c r="G818" s="22">
        <v>2005</v>
      </c>
      <c r="H818" s="15">
        <f>LOOKUP(G818,CPI!A$69:A$100,CPI!O$69:O$100)</f>
        <v>1.1165181771633383</v>
      </c>
      <c r="I818" s="52">
        <v>2015</v>
      </c>
      <c r="J818" s="15">
        <f t="shared" si="229"/>
        <v>6.9444444444444441E-3</v>
      </c>
      <c r="K818" s="15"/>
      <c r="L818" s="62"/>
      <c r="M818" s="56">
        <f t="shared" si="222"/>
        <v>600.43866416339517</v>
      </c>
      <c r="N818" s="14">
        <f>48*(44/12)</f>
        <v>176</v>
      </c>
      <c r="O818" s="18">
        <f t="shared" si="218"/>
        <v>176</v>
      </c>
      <c r="P818" s="16">
        <v>0</v>
      </c>
      <c r="Q818" s="16">
        <v>0</v>
      </c>
      <c r="R818" s="16">
        <v>1</v>
      </c>
      <c r="S818" s="14"/>
      <c r="T818" s="56" t="str">
        <f t="shared" si="232"/>
        <v/>
      </c>
      <c r="U818" s="56">
        <f t="shared" si="230"/>
        <v>176.14909790507767</v>
      </c>
      <c r="V818" s="56">
        <f t="shared" si="231"/>
        <v>528.44729371523306</v>
      </c>
      <c r="W818" s="14"/>
      <c r="X818" s="3">
        <f>17*((44/12)*(44/12))</f>
        <v>228.55555555555554</v>
      </c>
      <c r="Y818" s="14"/>
      <c r="Z818" s="14"/>
      <c r="AA818" s="3">
        <f>40*((44/12)*(44/12))</f>
        <v>537.77777777777771</v>
      </c>
      <c r="AB818" s="14"/>
      <c r="AC818" s="14"/>
      <c r="AD818" s="3">
        <f>109*((44/12)*(44/12))</f>
        <v>1465.4444444444443</v>
      </c>
      <c r="AE818" s="14"/>
      <c r="AF818" s="16">
        <v>0</v>
      </c>
      <c r="AG818" s="16">
        <v>1</v>
      </c>
      <c r="AH818" s="16">
        <v>0</v>
      </c>
      <c r="AI818" s="16">
        <v>1</v>
      </c>
      <c r="AJ818" s="5">
        <v>0</v>
      </c>
      <c r="AK818" s="5">
        <v>1</v>
      </c>
      <c r="AL818" s="5">
        <v>0</v>
      </c>
      <c r="AM818" s="20">
        <v>3</v>
      </c>
      <c r="AN818" s="20">
        <v>0.14000000000000001</v>
      </c>
      <c r="AO818" s="16"/>
      <c r="AP818" s="16"/>
      <c r="AQ818" s="16"/>
      <c r="AR818" s="16">
        <v>0</v>
      </c>
      <c r="AS818" s="16">
        <v>0</v>
      </c>
      <c r="AT818" s="16"/>
      <c r="AU818" s="16"/>
      <c r="AV818" s="16"/>
      <c r="AW818" s="16"/>
      <c r="AX818" s="16">
        <v>0</v>
      </c>
      <c r="AY818" s="16">
        <v>0</v>
      </c>
      <c r="AZ818" s="16">
        <v>0</v>
      </c>
      <c r="BA818" s="16">
        <v>1</v>
      </c>
    </row>
    <row r="819" spans="1:53" x14ac:dyDescent="0.2">
      <c r="A819" s="14"/>
      <c r="B819" s="14" t="str">
        <f t="shared" si="225"/>
        <v>Kopp et al. 2012</v>
      </c>
      <c r="C819" s="61">
        <f t="shared" si="226"/>
        <v>78</v>
      </c>
      <c r="D819" s="58">
        <v>2012</v>
      </c>
      <c r="E819" s="17"/>
      <c r="F819" s="58">
        <v>1</v>
      </c>
      <c r="G819" s="22">
        <v>2005</v>
      </c>
      <c r="H819" s="15">
        <f>LOOKUP(G819,CPI!A$69:A$100,CPI!O$69:O$100)</f>
        <v>1.1165181771633383</v>
      </c>
      <c r="I819" s="52">
        <v>2015</v>
      </c>
      <c r="J819" s="15">
        <f t="shared" si="229"/>
        <v>6.9444444444444441E-3</v>
      </c>
      <c r="K819" s="15"/>
      <c r="L819" s="62"/>
      <c r="M819" s="56">
        <f t="shared" si="222"/>
        <v>1140.8334619104508</v>
      </c>
      <c r="N819" s="14">
        <f>89*(44/12)</f>
        <v>326.33333333333331</v>
      </c>
      <c r="O819" s="18">
        <f t="shared" si="218"/>
        <v>326.33333333333331</v>
      </c>
      <c r="P819" s="16">
        <v>0</v>
      </c>
      <c r="Q819" s="16">
        <v>0</v>
      </c>
      <c r="R819" s="16">
        <v>1</v>
      </c>
      <c r="S819" s="14"/>
      <c r="T819" s="56" t="str">
        <f t="shared" si="232"/>
        <v/>
      </c>
      <c r="U819" s="56">
        <f t="shared" si="230"/>
        <v>329.3222265181887</v>
      </c>
      <c r="V819" s="56">
        <f t="shared" si="231"/>
        <v>903.72145881735491</v>
      </c>
      <c r="W819" s="14"/>
      <c r="X819" s="3">
        <f>33*((44/12)*(44/12))</f>
        <v>443.66666666666663</v>
      </c>
      <c r="Y819" s="14"/>
      <c r="Z819" s="14"/>
      <c r="AA819" s="3">
        <f>76*((44/12)*(44/12))</f>
        <v>1021.7777777777776</v>
      </c>
      <c r="AB819" s="14"/>
      <c r="AC819" s="14"/>
      <c r="AD819" s="3">
        <f>194*((44/12)*(44/12))</f>
        <v>2608.2222222222217</v>
      </c>
      <c r="AE819" s="14"/>
      <c r="AF819" s="16">
        <v>0</v>
      </c>
      <c r="AG819" s="16">
        <v>1</v>
      </c>
      <c r="AH819" s="16">
        <v>0</v>
      </c>
      <c r="AI819" s="16">
        <v>1</v>
      </c>
      <c r="AJ819" s="5">
        <v>0</v>
      </c>
      <c r="AK819" s="5">
        <v>1</v>
      </c>
      <c r="AL819" s="5">
        <v>0</v>
      </c>
      <c r="AM819" s="20">
        <v>3</v>
      </c>
      <c r="AN819" s="20">
        <v>0.14000000000000001</v>
      </c>
      <c r="AO819" s="16"/>
      <c r="AP819" s="16"/>
      <c r="AQ819" s="16"/>
      <c r="AR819" s="16">
        <v>0</v>
      </c>
      <c r="AS819" s="16">
        <v>0</v>
      </c>
      <c r="AT819" s="16"/>
      <c r="AU819" s="16"/>
      <c r="AV819" s="16"/>
      <c r="AW819" s="16"/>
      <c r="AX819" s="16">
        <v>0</v>
      </c>
      <c r="AY819" s="16">
        <v>0</v>
      </c>
      <c r="AZ819" s="16">
        <v>0</v>
      </c>
      <c r="BA819" s="16">
        <v>1</v>
      </c>
    </row>
    <row r="820" spans="1:53" x14ac:dyDescent="0.2">
      <c r="A820" s="14"/>
      <c r="B820" s="14" t="str">
        <f t="shared" si="225"/>
        <v>Kopp et al. 2012</v>
      </c>
      <c r="C820" s="61">
        <f t="shared" si="226"/>
        <v>78</v>
      </c>
      <c r="D820" s="58">
        <v>2012</v>
      </c>
      <c r="E820" s="17"/>
      <c r="F820" s="58">
        <v>1</v>
      </c>
      <c r="G820" s="22">
        <v>2005</v>
      </c>
      <c r="H820" s="15">
        <f>LOOKUP(G820,CPI!A$69:A$100,CPI!O$69:O$100)</f>
        <v>1.1165181771633383</v>
      </c>
      <c r="I820" s="52">
        <v>2015</v>
      </c>
      <c r="J820" s="15">
        <f t="shared" si="229"/>
        <v>6.9444444444444441E-3</v>
      </c>
      <c r="K820" s="15"/>
      <c r="L820" s="62"/>
      <c r="M820" s="56">
        <f t="shared" si="222"/>
        <v>810.59219662058354</v>
      </c>
      <c r="N820" s="14">
        <f>65*(44/12)</f>
        <v>238.33333333333331</v>
      </c>
      <c r="O820" s="18">
        <f t="shared" ref="O820:O883" si="233">N820</f>
        <v>238.33333333333331</v>
      </c>
      <c r="P820" s="16">
        <v>0</v>
      </c>
      <c r="Q820" s="16">
        <v>0</v>
      </c>
      <c r="R820" s="16">
        <v>1</v>
      </c>
      <c r="S820" s="14"/>
      <c r="T820" s="56" t="str">
        <f t="shared" si="232"/>
        <v/>
      </c>
      <c r="U820" s="56">
        <f t="shared" si="230"/>
        <v>229.75969291966652</v>
      </c>
      <c r="V820" s="56">
        <f t="shared" si="231"/>
        <v>704.59639162031067</v>
      </c>
      <c r="W820" s="14"/>
      <c r="X820" s="3">
        <f>24*((44/12)*(44/12))</f>
        <v>322.66666666666663</v>
      </c>
      <c r="Y820" s="14"/>
      <c r="Z820" s="14"/>
      <c r="AA820" s="3">
        <f>54*((44/12)*(44/12))</f>
        <v>725.99999999999989</v>
      </c>
      <c r="AB820" s="14"/>
      <c r="AC820" s="14"/>
      <c r="AD820" s="3">
        <f>146*((44/12)*(44/12))</f>
        <v>1962.8888888888887</v>
      </c>
      <c r="AE820" s="14"/>
      <c r="AF820" s="16">
        <v>0</v>
      </c>
      <c r="AG820" s="16">
        <v>1</v>
      </c>
      <c r="AH820" s="16">
        <v>0</v>
      </c>
      <c r="AI820" s="16">
        <v>1</v>
      </c>
      <c r="AJ820" s="5">
        <v>0</v>
      </c>
      <c r="AK820" s="5">
        <v>1</v>
      </c>
      <c r="AL820" s="5">
        <v>0</v>
      </c>
      <c r="AM820" s="20">
        <v>3</v>
      </c>
      <c r="AN820" s="20">
        <v>0.14000000000000001</v>
      </c>
      <c r="AO820" s="16"/>
      <c r="AP820" s="16"/>
      <c r="AQ820" s="16"/>
      <c r="AR820" s="16">
        <v>0</v>
      </c>
      <c r="AS820" s="16">
        <v>0</v>
      </c>
      <c r="AT820" s="16"/>
      <c r="AU820" s="16"/>
      <c r="AV820" s="16"/>
      <c r="AW820" s="16"/>
      <c r="AX820" s="16">
        <v>0</v>
      </c>
      <c r="AY820" s="16">
        <v>0</v>
      </c>
      <c r="AZ820" s="16">
        <v>0</v>
      </c>
      <c r="BA820" s="16">
        <v>1</v>
      </c>
    </row>
    <row r="821" spans="1:53" x14ac:dyDescent="0.2">
      <c r="A821" s="14"/>
      <c r="B821" s="14" t="str">
        <f t="shared" si="225"/>
        <v>Kopp et al. 2012</v>
      </c>
      <c r="C821" s="61">
        <f t="shared" si="226"/>
        <v>78</v>
      </c>
      <c r="D821" s="58">
        <v>2012</v>
      </c>
      <c r="E821" s="17"/>
      <c r="F821" s="58">
        <v>1</v>
      </c>
      <c r="G821" s="22">
        <v>2005</v>
      </c>
      <c r="H821" s="15">
        <f>LOOKUP(G821,CPI!A$69:A$100,CPI!O$69:O$100)</f>
        <v>1.1165181771633383</v>
      </c>
      <c r="I821" s="52">
        <v>2015</v>
      </c>
      <c r="J821" s="15">
        <f t="shared" si="229"/>
        <v>6.9444444444444441E-3</v>
      </c>
      <c r="K821" s="15"/>
      <c r="L821" s="62"/>
      <c r="M821" s="56">
        <f t="shared" si="222"/>
        <v>1666.2172930534218</v>
      </c>
      <c r="N821" s="14">
        <f>130*(44/12)</f>
        <v>476.66666666666663</v>
      </c>
      <c r="O821" s="18">
        <f t="shared" si="233"/>
        <v>476.66666666666663</v>
      </c>
      <c r="P821" s="16">
        <v>0</v>
      </c>
      <c r="Q821" s="16">
        <v>0</v>
      </c>
      <c r="R821" s="16">
        <v>1</v>
      </c>
      <c r="S821" s="14"/>
      <c r="T821" s="56" t="str">
        <f t="shared" si="232"/>
        <v/>
      </c>
      <c r="U821" s="56">
        <f t="shared" si="230"/>
        <v>474.83669870064421</v>
      </c>
      <c r="V821" s="56">
        <f t="shared" si="231"/>
        <v>1286.6542803501325</v>
      </c>
      <c r="W821" s="14"/>
      <c r="X821" s="3">
        <f>49*((44/12)*(44/12))</f>
        <v>658.77777777777771</v>
      </c>
      <c r="Y821" s="14"/>
      <c r="Z821" s="14"/>
      <c r="AA821" s="3">
        <f>111*((44/12)*(44/12))</f>
        <v>1492.3333333333333</v>
      </c>
      <c r="AB821" s="14"/>
      <c r="AC821" s="14"/>
      <c r="AD821" s="3">
        <f>279*((44/12)*(44/12))</f>
        <v>3750.9999999999995</v>
      </c>
      <c r="AE821" s="14"/>
      <c r="AF821" s="16">
        <v>0</v>
      </c>
      <c r="AG821" s="16">
        <v>1</v>
      </c>
      <c r="AH821" s="16">
        <v>0</v>
      </c>
      <c r="AI821" s="16">
        <v>1</v>
      </c>
      <c r="AJ821" s="5">
        <v>0</v>
      </c>
      <c r="AK821" s="5">
        <v>1</v>
      </c>
      <c r="AL821" s="5">
        <v>0</v>
      </c>
      <c r="AM821" s="20">
        <v>3</v>
      </c>
      <c r="AN821" s="20">
        <v>0.14000000000000001</v>
      </c>
      <c r="AO821" s="16"/>
      <c r="AP821" s="16"/>
      <c r="AQ821" s="16"/>
      <c r="AR821" s="16">
        <v>0</v>
      </c>
      <c r="AS821" s="16">
        <v>0</v>
      </c>
      <c r="AT821" s="16"/>
      <c r="AU821" s="16"/>
      <c r="AV821" s="16"/>
      <c r="AW821" s="16"/>
      <c r="AX821" s="16">
        <v>0</v>
      </c>
      <c r="AY821" s="16">
        <v>0</v>
      </c>
      <c r="AZ821" s="16">
        <v>0</v>
      </c>
      <c r="BA821" s="16">
        <v>1</v>
      </c>
    </row>
    <row r="822" spans="1:53" x14ac:dyDescent="0.2">
      <c r="A822" s="14"/>
      <c r="B822" s="14" t="str">
        <f t="shared" si="225"/>
        <v>Kopp et al. 2012</v>
      </c>
      <c r="C822" s="61">
        <f t="shared" si="226"/>
        <v>78</v>
      </c>
      <c r="D822" s="58">
        <v>2012</v>
      </c>
      <c r="E822" s="17"/>
      <c r="F822" s="58">
        <v>1</v>
      </c>
      <c r="G822" s="22">
        <v>2005</v>
      </c>
      <c r="H822" s="15">
        <f>LOOKUP(G822,CPI!A$69:A$100,CPI!O$69:O$100)</f>
        <v>1.1165181771633383</v>
      </c>
      <c r="I822" s="52">
        <v>2015</v>
      </c>
      <c r="J822" s="15">
        <f t="shared" si="229"/>
        <v>6.9444444444444441E-3</v>
      </c>
      <c r="K822" s="15"/>
      <c r="L822" s="62"/>
      <c r="M822" s="56">
        <f t="shared" si="222"/>
        <v>480.35093133071615</v>
      </c>
      <c r="N822" s="14">
        <f>36*(44/12)</f>
        <v>132</v>
      </c>
      <c r="O822" s="18">
        <f t="shared" si="233"/>
        <v>132</v>
      </c>
      <c r="P822" s="16">
        <v>0</v>
      </c>
      <c r="Q822" s="16">
        <v>0</v>
      </c>
      <c r="R822" s="16">
        <v>1</v>
      </c>
      <c r="S822" s="14"/>
      <c r="T822" s="56" t="str">
        <f t="shared" si="232"/>
        <v/>
      </c>
      <c r="U822" s="56">
        <f t="shared" si="230"/>
        <v>130.19715932114437</v>
      </c>
      <c r="V822" s="56">
        <f t="shared" si="231"/>
        <v>329.32222651818876</v>
      </c>
      <c r="W822" s="14"/>
      <c r="X822" s="3">
        <f>15*((44/12)*(44/12))</f>
        <v>201.66666666666663</v>
      </c>
      <c r="Y822" s="14"/>
      <c r="Z822" s="14"/>
      <c r="AA822" s="3">
        <f>32*((44/12)*(44/12))</f>
        <v>430.22222222222217</v>
      </c>
      <c r="AB822" s="14"/>
      <c r="AC822" s="14"/>
      <c r="AD822" s="3">
        <f>75*((44/12)*(44/12))</f>
        <v>1008.3333333333333</v>
      </c>
      <c r="AE822" s="14"/>
      <c r="AF822" s="16">
        <v>0</v>
      </c>
      <c r="AG822" s="16">
        <v>1</v>
      </c>
      <c r="AH822" s="16">
        <v>0</v>
      </c>
      <c r="AI822" s="16">
        <v>1</v>
      </c>
      <c r="AJ822" s="5">
        <v>0</v>
      </c>
      <c r="AK822" s="5">
        <v>1</v>
      </c>
      <c r="AL822" s="5">
        <v>0</v>
      </c>
      <c r="AM822" s="20">
        <v>3</v>
      </c>
      <c r="AN822" s="20">
        <v>0.14000000000000001</v>
      </c>
      <c r="AO822" s="16"/>
      <c r="AP822" s="16"/>
      <c r="AQ822" s="16"/>
      <c r="AR822" s="16">
        <v>0</v>
      </c>
      <c r="AS822" s="16">
        <v>0</v>
      </c>
      <c r="AT822" s="16"/>
      <c r="AU822" s="16"/>
      <c r="AV822" s="16"/>
      <c r="AW822" s="16"/>
      <c r="AX822" s="16">
        <v>0</v>
      </c>
      <c r="AY822" s="16">
        <v>0</v>
      </c>
      <c r="AZ822" s="16">
        <v>0</v>
      </c>
      <c r="BA822" s="16">
        <v>1</v>
      </c>
    </row>
    <row r="823" spans="1:53" x14ac:dyDescent="0.2">
      <c r="A823" s="14"/>
      <c r="B823" s="14" t="str">
        <f t="shared" si="225"/>
        <v>Kopp et al. 2012</v>
      </c>
      <c r="C823" s="61">
        <f t="shared" si="226"/>
        <v>78</v>
      </c>
      <c r="D823" s="58">
        <v>2012</v>
      </c>
      <c r="E823" s="17"/>
      <c r="F823" s="58">
        <v>1</v>
      </c>
      <c r="G823" s="22">
        <v>2005</v>
      </c>
      <c r="H823" s="15">
        <f>LOOKUP(G823,CPI!A$69:A$100,CPI!O$69:O$100)</f>
        <v>1.1165181771633383</v>
      </c>
      <c r="I823" s="52">
        <v>2015</v>
      </c>
      <c r="J823" s="15">
        <f t="shared" si="229"/>
        <v>6.9444444444444441E-3</v>
      </c>
      <c r="K823" s="15"/>
      <c r="L823" s="62"/>
      <c r="M823" s="56">
        <f t="shared" si="222"/>
        <v>690.50446378790446</v>
      </c>
      <c r="N823" s="14">
        <f>55*(44/12)</f>
        <v>201.66666666666666</v>
      </c>
      <c r="O823" s="18">
        <f t="shared" si="233"/>
        <v>201.66666666666666</v>
      </c>
      <c r="P823" s="16">
        <v>0</v>
      </c>
      <c r="Q823" s="16">
        <v>0</v>
      </c>
      <c r="R823" s="16">
        <v>1</v>
      </c>
      <c r="S823" s="14"/>
      <c r="T823" s="56" t="str">
        <f t="shared" si="232"/>
        <v/>
      </c>
      <c r="U823" s="56">
        <f t="shared" si="230"/>
        <v>199.12506719704433</v>
      </c>
      <c r="V823" s="56">
        <f t="shared" si="231"/>
        <v>589.71654516047749</v>
      </c>
      <c r="W823" s="14"/>
      <c r="X823" s="3">
        <f>20*((44/12)*(44/12))</f>
        <v>268.88888888888886</v>
      </c>
      <c r="Y823" s="14"/>
      <c r="Z823" s="14"/>
      <c r="AA823" s="3">
        <f>46*((44/12)*(44/12))</f>
        <v>618.44444444444434</v>
      </c>
      <c r="AB823" s="14"/>
      <c r="AC823" s="14"/>
      <c r="AD823" s="3">
        <f>123*((44/12)*(44/12))</f>
        <v>1653.6666666666665</v>
      </c>
      <c r="AE823" s="14"/>
      <c r="AF823" s="16">
        <v>0</v>
      </c>
      <c r="AG823" s="16">
        <v>1</v>
      </c>
      <c r="AH823" s="16">
        <v>0</v>
      </c>
      <c r="AI823" s="16">
        <v>1</v>
      </c>
      <c r="AJ823" s="5">
        <v>0</v>
      </c>
      <c r="AK823" s="5">
        <v>1</v>
      </c>
      <c r="AL823" s="5">
        <v>0</v>
      </c>
      <c r="AM823" s="20">
        <v>3</v>
      </c>
      <c r="AN823" s="20">
        <v>0.14000000000000001</v>
      </c>
      <c r="AO823" s="16"/>
      <c r="AP823" s="16"/>
      <c r="AQ823" s="16"/>
      <c r="AR823" s="16">
        <v>0</v>
      </c>
      <c r="AS823" s="16">
        <v>0</v>
      </c>
      <c r="AT823" s="16"/>
      <c r="AU823" s="16"/>
      <c r="AV823" s="16"/>
      <c r="AW823" s="16"/>
      <c r="AX823" s="16">
        <v>0</v>
      </c>
      <c r="AY823" s="16">
        <v>0</v>
      </c>
      <c r="AZ823" s="16">
        <v>0</v>
      </c>
      <c r="BA823" s="16">
        <v>1</v>
      </c>
    </row>
    <row r="824" spans="1:53" x14ac:dyDescent="0.2">
      <c r="A824" s="14"/>
      <c r="B824" s="14" t="str">
        <f t="shared" si="225"/>
        <v>Kopp et al. 2012</v>
      </c>
      <c r="C824" s="61">
        <f t="shared" si="226"/>
        <v>78</v>
      </c>
      <c r="D824" s="58">
        <v>2012</v>
      </c>
      <c r="E824" s="17"/>
      <c r="F824" s="58">
        <v>1</v>
      </c>
      <c r="G824" s="22">
        <v>2005</v>
      </c>
      <c r="H824" s="15">
        <f>LOOKUP(G824,CPI!A$69:A$100,CPI!O$69:O$100)</f>
        <v>1.1165181771633383</v>
      </c>
      <c r="I824" s="52">
        <v>2015</v>
      </c>
      <c r="J824" s="15">
        <f t="shared" si="229"/>
        <v>6.9444444444444441E-3</v>
      </c>
      <c r="K824" s="15"/>
      <c r="L824" s="62"/>
      <c r="M824" s="56">
        <f t="shared" si="222"/>
        <v>660.48253057973466</v>
      </c>
      <c r="N824" s="14">
        <f>90*(44/12)</f>
        <v>330</v>
      </c>
      <c r="O824" s="18">
        <f t="shared" si="233"/>
        <v>330</v>
      </c>
      <c r="P824" s="16">
        <v>0</v>
      </c>
      <c r="Q824" s="16">
        <v>0</v>
      </c>
      <c r="R824" s="16">
        <v>1</v>
      </c>
      <c r="S824" s="14"/>
      <c r="T824" s="56" t="str">
        <f t="shared" si="232"/>
        <v/>
      </c>
      <c r="U824" s="56">
        <f t="shared" si="230"/>
        <v>183.80775433573319</v>
      </c>
      <c r="V824" s="56">
        <f t="shared" si="231"/>
        <v>536.10595014588864</v>
      </c>
      <c r="W824" s="14"/>
      <c r="X824" s="3">
        <f>20*((44/12)*(44/12))</f>
        <v>268.88888888888886</v>
      </c>
      <c r="Y824" s="14"/>
      <c r="Z824" s="14"/>
      <c r="AA824" s="3">
        <f>44*((44/12)*(44/12))</f>
        <v>591.55555555555543</v>
      </c>
      <c r="AB824" s="14"/>
      <c r="AC824" s="14"/>
      <c r="AD824" s="3">
        <f>114*((44/12)*(44/12))</f>
        <v>1532.6666666666665</v>
      </c>
      <c r="AE824" s="14"/>
      <c r="AF824" s="16">
        <v>0</v>
      </c>
      <c r="AG824" s="16">
        <v>1</v>
      </c>
      <c r="AH824" s="16">
        <v>0</v>
      </c>
      <c r="AI824" s="16">
        <v>1</v>
      </c>
      <c r="AJ824" s="5">
        <v>0</v>
      </c>
      <c r="AK824" s="5">
        <v>1</v>
      </c>
      <c r="AL824" s="5">
        <v>0</v>
      </c>
      <c r="AM824" s="20">
        <v>3</v>
      </c>
      <c r="AN824" s="20">
        <v>0.14000000000000001</v>
      </c>
      <c r="AO824" s="16"/>
      <c r="AP824" s="16"/>
      <c r="AQ824" s="16"/>
      <c r="AR824" s="16">
        <v>0</v>
      </c>
      <c r="AS824" s="16">
        <v>0</v>
      </c>
      <c r="AT824" s="16"/>
      <c r="AU824" s="16"/>
      <c r="AV824" s="16"/>
      <c r="AW824" s="16"/>
      <c r="AX824" s="16">
        <v>0</v>
      </c>
      <c r="AY824" s="16">
        <v>0</v>
      </c>
      <c r="AZ824" s="16">
        <v>0</v>
      </c>
      <c r="BA824" s="16">
        <v>1</v>
      </c>
    </row>
    <row r="825" spans="1:53" x14ac:dyDescent="0.2">
      <c r="A825" s="14"/>
      <c r="B825" s="14" t="str">
        <f t="shared" si="225"/>
        <v>Kopp et al. 2012</v>
      </c>
      <c r="C825" s="61">
        <f t="shared" si="226"/>
        <v>78</v>
      </c>
      <c r="D825" s="58">
        <v>2012</v>
      </c>
      <c r="E825" s="17"/>
      <c r="F825" s="58">
        <v>1</v>
      </c>
      <c r="G825" s="22">
        <v>2005</v>
      </c>
      <c r="H825" s="15">
        <f>LOOKUP(G825,CPI!A$69:A$100,CPI!O$69:O$100)</f>
        <v>1.1165181771633383</v>
      </c>
      <c r="I825" s="52">
        <v>2015</v>
      </c>
      <c r="J825" s="15">
        <f t="shared" si="229"/>
        <v>6.9444444444444441E-3</v>
      </c>
      <c r="K825" s="15"/>
      <c r="L825" s="62"/>
      <c r="M825" s="56">
        <f t="shared" si="222"/>
        <v>1005.7347624736871</v>
      </c>
      <c r="N825" s="14">
        <f>139*(44/12)</f>
        <v>509.66666666666663</v>
      </c>
      <c r="O825" s="18">
        <f t="shared" si="233"/>
        <v>509.66666666666663</v>
      </c>
      <c r="P825" s="16">
        <v>0</v>
      </c>
      <c r="Q825" s="16">
        <v>0</v>
      </c>
      <c r="R825" s="16">
        <v>1</v>
      </c>
      <c r="S825" s="14"/>
      <c r="T825" s="56" t="str">
        <f t="shared" si="232"/>
        <v/>
      </c>
      <c r="U825" s="56">
        <f t="shared" si="230"/>
        <v>367.61550867146644</v>
      </c>
      <c r="V825" s="56">
        <f t="shared" si="231"/>
        <v>3882.9388103423648</v>
      </c>
      <c r="W825" s="14"/>
      <c r="X825" s="3">
        <f>19*((44/12)*(44/12))</f>
        <v>255.4444444444444</v>
      </c>
      <c r="Y825" s="14"/>
      <c r="Z825" s="14"/>
      <c r="AA825" s="3">
        <f>67*((44/12)*(44/12))</f>
        <v>900.77777777777771</v>
      </c>
      <c r="AB825" s="14"/>
      <c r="AC825" s="14"/>
      <c r="AD825" s="3">
        <f>574*((44/12)*(44/12))</f>
        <v>7717.1111111111104</v>
      </c>
      <c r="AE825" s="14"/>
      <c r="AF825" s="16">
        <v>0</v>
      </c>
      <c r="AG825" s="16">
        <v>1</v>
      </c>
      <c r="AH825" s="16">
        <v>0</v>
      </c>
      <c r="AI825" s="16">
        <v>1</v>
      </c>
      <c r="AJ825" s="5">
        <v>0</v>
      </c>
      <c r="AK825" s="5">
        <v>1</v>
      </c>
      <c r="AL825" s="5">
        <v>0</v>
      </c>
      <c r="AM825" s="20">
        <v>3</v>
      </c>
      <c r="AN825" s="20">
        <v>0.14000000000000001</v>
      </c>
      <c r="AO825" s="16"/>
      <c r="AP825" s="16"/>
      <c r="AQ825" s="16"/>
      <c r="AR825" s="16">
        <v>0</v>
      </c>
      <c r="AS825" s="16">
        <v>0</v>
      </c>
      <c r="AT825" s="16"/>
      <c r="AU825" s="16"/>
      <c r="AV825" s="16"/>
      <c r="AW825" s="16"/>
      <c r="AX825" s="16">
        <v>0</v>
      </c>
      <c r="AY825" s="16">
        <v>0</v>
      </c>
      <c r="AZ825" s="16">
        <v>0</v>
      </c>
      <c r="BA825" s="16">
        <v>1</v>
      </c>
    </row>
    <row r="826" spans="1:53" x14ac:dyDescent="0.2">
      <c r="A826" s="14"/>
      <c r="B826" s="14" t="str">
        <f t="shared" si="225"/>
        <v>Kopp et al. 2012</v>
      </c>
      <c r="C826" s="61">
        <f t="shared" si="226"/>
        <v>78</v>
      </c>
      <c r="D826" s="58">
        <v>2012</v>
      </c>
      <c r="E826" s="17"/>
      <c r="F826" s="58">
        <v>1</v>
      </c>
      <c r="G826" s="22">
        <v>2005</v>
      </c>
      <c r="H826" s="15">
        <f>LOOKUP(G826,CPI!A$69:A$100,CPI!O$69:O$100)</f>
        <v>1.1165181771633383</v>
      </c>
      <c r="I826" s="52">
        <v>2015</v>
      </c>
      <c r="J826" s="15">
        <f t="shared" si="229"/>
        <v>6.9444444444444441E-3</v>
      </c>
      <c r="K826" s="15"/>
      <c r="L826" s="62"/>
      <c r="M826" s="56">
        <f t="shared" si="222"/>
        <v>300.21933208169759</v>
      </c>
      <c r="N826" s="14">
        <f>57*(44/12)</f>
        <v>209</v>
      </c>
      <c r="O826" s="18">
        <f t="shared" si="233"/>
        <v>209</v>
      </c>
      <c r="P826" s="16">
        <v>0</v>
      </c>
      <c r="Q826" s="16">
        <v>0</v>
      </c>
      <c r="R826" s="16">
        <v>1</v>
      </c>
      <c r="S826" s="14"/>
      <c r="T826" s="56" t="str">
        <f t="shared" si="232"/>
        <v/>
      </c>
      <c r="U826" s="56">
        <f t="shared" si="230"/>
        <v>99.56253359852218</v>
      </c>
      <c r="V826" s="56">
        <f t="shared" si="231"/>
        <v>1516.4139732697993</v>
      </c>
      <c r="W826" s="14"/>
      <c r="X826" s="3">
        <f>7*((44/12)*(44/12))</f>
        <v>94.1111111111111</v>
      </c>
      <c r="Y826" s="14"/>
      <c r="Z826" s="14"/>
      <c r="AA826" s="3">
        <f>20*((44/12)*(44/12))</f>
        <v>268.88888888888886</v>
      </c>
      <c r="AB826" s="14"/>
      <c r="AC826" s="14"/>
      <c r="AD826" s="3">
        <f>218*((44/12)*(44/12))</f>
        <v>2930.8888888888887</v>
      </c>
      <c r="AE826" s="14"/>
      <c r="AF826" s="16">
        <v>0</v>
      </c>
      <c r="AG826" s="16">
        <v>1</v>
      </c>
      <c r="AH826" s="16">
        <v>0</v>
      </c>
      <c r="AI826" s="16">
        <v>1</v>
      </c>
      <c r="AJ826" s="5">
        <v>0</v>
      </c>
      <c r="AK826" s="5">
        <v>1</v>
      </c>
      <c r="AL826" s="5">
        <v>0</v>
      </c>
      <c r="AM826" s="20">
        <v>3</v>
      </c>
      <c r="AN826" s="20">
        <v>0.14000000000000001</v>
      </c>
      <c r="AO826" s="16"/>
      <c r="AP826" s="16"/>
      <c r="AQ826" s="16"/>
      <c r="AR826" s="16">
        <v>0</v>
      </c>
      <c r="AS826" s="16">
        <v>0</v>
      </c>
      <c r="AT826" s="16"/>
      <c r="AU826" s="16"/>
      <c r="AV826" s="16"/>
      <c r="AW826" s="16"/>
      <c r="AX826" s="16">
        <v>0</v>
      </c>
      <c r="AY826" s="16">
        <v>0</v>
      </c>
      <c r="AZ826" s="16">
        <v>0</v>
      </c>
      <c r="BA826" s="16">
        <v>1</v>
      </c>
    </row>
    <row r="827" spans="1:53" x14ac:dyDescent="0.2">
      <c r="A827" s="14"/>
      <c r="B827" s="14" t="str">
        <f t="shared" si="225"/>
        <v>Kopp et al. 2012</v>
      </c>
      <c r="C827" s="61">
        <f t="shared" si="226"/>
        <v>78</v>
      </c>
      <c r="D827" s="58">
        <v>2012</v>
      </c>
      <c r="E827" s="17"/>
      <c r="F827" s="58">
        <v>1</v>
      </c>
      <c r="G827" s="22">
        <v>2005</v>
      </c>
      <c r="H827" s="15">
        <f>LOOKUP(G827,CPI!A$69:A$100,CPI!O$69:O$100)</f>
        <v>1.1165181771633383</v>
      </c>
      <c r="I827" s="52">
        <v>2015</v>
      </c>
      <c r="J827" s="15">
        <f t="shared" si="229"/>
        <v>6.9444444444444441E-3</v>
      </c>
      <c r="K827" s="15"/>
      <c r="L827" s="62"/>
      <c r="M827" s="56">
        <f t="shared" si="222"/>
        <v>210.15353245718833</v>
      </c>
      <c r="N827" s="14">
        <f>52*(44/12)</f>
        <v>190.66666666666666</v>
      </c>
      <c r="O827" s="18">
        <f t="shared" si="233"/>
        <v>190.66666666666666</v>
      </c>
      <c r="P827" s="16">
        <v>0</v>
      </c>
      <c r="Q827" s="16">
        <v>0</v>
      </c>
      <c r="R827" s="16">
        <v>1</v>
      </c>
      <c r="S827" s="14"/>
      <c r="T827" s="56" t="str">
        <f t="shared" si="232"/>
        <v/>
      </c>
      <c r="U827" s="56">
        <f t="shared" si="230"/>
        <v>68.927907875899962</v>
      </c>
      <c r="V827" s="56">
        <f t="shared" si="231"/>
        <v>1501.0966604084881</v>
      </c>
      <c r="W827" s="14"/>
      <c r="X827" s="3">
        <f>5*((44/12)*(44/12))</f>
        <v>67.222222222222214</v>
      </c>
      <c r="Y827" s="14"/>
      <c r="Z827" s="14"/>
      <c r="AA827" s="3">
        <f>14*((44/12)*(44/12))</f>
        <v>188.2222222222222</v>
      </c>
      <c r="AB827" s="14"/>
      <c r="AC827" s="14"/>
      <c r="AD827" s="3">
        <f>210*((44/12)*(44/12))</f>
        <v>2823.333333333333</v>
      </c>
      <c r="AE827" s="14"/>
      <c r="AF827" s="16">
        <v>0</v>
      </c>
      <c r="AG827" s="16">
        <v>1</v>
      </c>
      <c r="AH827" s="16">
        <v>0</v>
      </c>
      <c r="AI827" s="16">
        <v>1</v>
      </c>
      <c r="AJ827" s="5">
        <v>0</v>
      </c>
      <c r="AK827" s="5">
        <v>1</v>
      </c>
      <c r="AL827" s="5">
        <v>0</v>
      </c>
      <c r="AM827" s="20">
        <v>3</v>
      </c>
      <c r="AN827" s="20">
        <v>0.14000000000000001</v>
      </c>
      <c r="AO827" s="16"/>
      <c r="AP827" s="16"/>
      <c r="AQ827" s="16"/>
      <c r="AR827" s="16">
        <v>0</v>
      </c>
      <c r="AS827" s="16">
        <v>0</v>
      </c>
      <c r="AT827" s="16"/>
      <c r="AU827" s="16"/>
      <c r="AV827" s="16"/>
      <c r="AW827" s="16"/>
      <c r="AX827" s="16">
        <v>0</v>
      </c>
      <c r="AY827" s="16">
        <v>0</v>
      </c>
      <c r="AZ827" s="16">
        <v>0</v>
      </c>
      <c r="BA827" s="16">
        <v>1</v>
      </c>
    </row>
    <row r="828" spans="1:53" x14ac:dyDescent="0.2">
      <c r="A828" s="14"/>
      <c r="B828" s="14" t="str">
        <f t="shared" si="225"/>
        <v>Kopp et al. 2012</v>
      </c>
      <c r="C828" s="61">
        <f t="shared" si="226"/>
        <v>78</v>
      </c>
      <c r="D828" s="58">
        <v>2012</v>
      </c>
      <c r="E828" s="17"/>
      <c r="F828" s="58">
        <v>1</v>
      </c>
      <c r="G828" s="22">
        <v>2005</v>
      </c>
      <c r="H828" s="15">
        <f>LOOKUP(G828,CPI!A$69:A$100,CPI!O$69:O$100)</f>
        <v>1.1165181771633383</v>
      </c>
      <c r="I828" s="52">
        <v>2015</v>
      </c>
      <c r="J828" s="15">
        <f t="shared" si="229"/>
        <v>6.9444444444444441E-3</v>
      </c>
      <c r="K828" s="15"/>
      <c r="L828" s="62"/>
      <c r="M828" s="56">
        <f t="shared" si="222"/>
        <v>450.32899812254641</v>
      </c>
      <c r="N828" s="14">
        <f>104*(44/12)</f>
        <v>381.33333333333331</v>
      </c>
      <c r="O828" s="18">
        <f t="shared" si="233"/>
        <v>381.33333333333331</v>
      </c>
      <c r="P828" s="16">
        <v>0</v>
      </c>
      <c r="Q828" s="16">
        <v>0</v>
      </c>
      <c r="R828" s="16">
        <v>1</v>
      </c>
      <c r="S828" s="14"/>
      <c r="T828" s="56" t="str">
        <f t="shared" si="232"/>
        <v/>
      </c>
      <c r="U828" s="56">
        <f t="shared" si="230"/>
        <v>153.173128613111</v>
      </c>
      <c r="V828" s="56">
        <f t="shared" si="231"/>
        <v>2129.1064877222434</v>
      </c>
      <c r="W828" s="14"/>
      <c r="X828" s="3">
        <f>10*((44/12)*(44/12))</f>
        <v>134.44444444444443</v>
      </c>
      <c r="Y828" s="14"/>
      <c r="Z828" s="14"/>
      <c r="AA828" s="3">
        <f>30*((44/12)*(44/12))</f>
        <v>403.33333333333326</v>
      </c>
      <c r="AB828" s="14"/>
      <c r="AC828" s="14"/>
      <c r="AD828" s="3">
        <f>308*((44/12)*(44/12))</f>
        <v>4140.8888888888887</v>
      </c>
      <c r="AE828" s="14"/>
      <c r="AF828" s="16">
        <v>0</v>
      </c>
      <c r="AG828" s="16">
        <v>1</v>
      </c>
      <c r="AH828" s="16">
        <v>0</v>
      </c>
      <c r="AI828" s="16">
        <v>1</v>
      </c>
      <c r="AJ828" s="5">
        <v>0</v>
      </c>
      <c r="AK828" s="5">
        <v>1</v>
      </c>
      <c r="AL828" s="5">
        <v>0</v>
      </c>
      <c r="AM828" s="20">
        <v>3</v>
      </c>
      <c r="AN828" s="20">
        <v>0.14000000000000001</v>
      </c>
      <c r="AO828" s="16"/>
      <c r="AP828" s="16"/>
      <c r="AQ828" s="16"/>
      <c r="AR828" s="16">
        <v>0</v>
      </c>
      <c r="AS828" s="16">
        <v>0</v>
      </c>
      <c r="AT828" s="16"/>
      <c r="AU828" s="16"/>
      <c r="AV828" s="16"/>
      <c r="AW828" s="16"/>
      <c r="AX828" s="16">
        <v>0</v>
      </c>
      <c r="AY828" s="16">
        <v>0</v>
      </c>
      <c r="AZ828" s="16">
        <v>0</v>
      </c>
      <c r="BA828" s="16">
        <v>1</v>
      </c>
    </row>
    <row r="829" spans="1:53" x14ac:dyDescent="0.2">
      <c r="A829" s="14"/>
      <c r="B829" s="14" t="str">
        <f t="shared" si="225"/>
        <v>Kopp et al. 2012</v>
      </c>
      <c r="C829" s="61">
        <f t="shared" si="226"/>
        <v>78</v>
      </c>
      <c r="D829" s="58">
        <v>2012</v>
      </c>
      <c r="E829" s="17"/>
      <c r="F829" s="58">
        <v>1</v>
      </c>
      <c r="G829" s="22">
        <v>2005</v>
      </c>
      <c r="H829" s="15">
        <f>LOOKUP(G829,CPI!A$69:A$100,CPI!O$69:O$100)</f>
        <v>1.1165181771633383</v>
      </c>
      <c r="I829" s="52">
        <v>2015</v>
      </c>
      <c r="J829" s="15">
        <f t="shared" si="229"/>
        <v>6.9444444444444441E-3</v>
      </c>
      <c r="K829" s="15"/>
      <c r="L829" s="62"/>
      <c r="M829" s="56">
        <f t="shared" si="222"/>
        <v>285.20836547761269</v>
      </c>
      <c r="N829" s="14">
        <f>73*(44/12)</f>
        <v>267.66666666666663</v>
      </c>
      <c r="O829" s="18">
        <f t="shared" si="233"/>
        <v>267.66666666666663</v>
      </c>
      <c r="P829" s="16">
        <v>0</v>
      </c>
      <c r="Q829" s="16">
        <v>0</v>
      </c>
      <c r="R829" s="16">
        <v>1</v>
      </c>
      <c r="S829" s="14"/>
      <c r="T829" s="56" t="str">
        <f t="shared" si="232"/>
        <v/>
      </c>
      <c r="U829" s="56">
        <f t="shared" si="230"/>
        <v>91.903877167866611</v>
      </c>
      <c r="V829" s="56">
        <f t="shared" si="231"/>
        <v>1884.0294819412657</v>
      </c>
      <c r="W829" s="14"/>
      <c r="X829" s="3">
        <f>7*((44/12)*(44/12))</f>
        <v>94.1111111111111</v>
      </c>
      <c r="Y829" s="14"/>
      <c r="Z829" s="14"/>
      <c r="AA829" s="3">
        <f>19*((44/12)*(44/12))</f>
        <v>255.4444444444444</v>
      </c>
      <c r="AB829" s="14"/>
      <c r="AC829" s="14"/>
      <c r="AD829" s="3">
        <f>265*((44/12)*(44/12))</f>
        <v>3562.7777777777774</v>
      </c>
      <c r="AE829" s="14"/>
      <c r="AF829" s="16">
        <v>0</v>
      </c>
      <c r="AG829" s="16">
        <v>1</v>
      </c>
      <c r="AH829" s="16">
        <v>0</v>
      </c>
      <c r="AI829" s="16">
        <v>1</v>
      </c>
      <c r="AJ829" s="5">
        <v>0</v>
      </c>
      <c r="AK829" s="5">
        <v>1</v>
      </c>
      <c r="AL829" s="5">
        <v>0</v>
      </c>
      <c r="AM829" s="20">
        <v>3</v>
      </c>
      <c r="AN829" s="20">
        <v>0.14000000000000001</v>
      </c>
      <c r="AO829" s="16"/>
      <c r="AP829" s="16"/>
      <c r="AQ829" s="16"/>
      <c r="AR829" s="16">
        <v>0</v>
      </c>
      <c r="AS829" s="16">
        <v>0</v>
      </c>
      <c r="AT829" s="16"/>
      <c r="AU829" s="16"/>
      <c r="AV829" s="16"/>
      <c r="AW829" s="16"/>
      <c r="AX829" s="16">
        <v>0</v>
      </c>
      <c r="AY829" s="16">
        <v>0</v>
      </c>
      <c r="AZ829" s="16">
        <v>0</v>
      </c>
      <c r="BA829" s="16">
        <v>1</v>
      </c>
    </row>
    <row r="830" spans="1:53" x14ac:dyDescent="0.2">
      <c r="A830" s="14"/>
      <c r="B830" s="14" t="str">
        <f t="shared" si="225"/>
        <v>Kopp et al. 2012</v>
      </c>
      <c r="C830" s="61">
        <f t="shared" si="226"/>
        <v>78</v>
      </c>
      <c r="D830" s="58">
        <v>2012</v>
      </c>
      <c r="E830" s="17"/>
      <c r="F830" s="58">
        <v>1</v>
      </c>
      <c r="G830" s="22">
        <v>2005</v>
      </c>
      <c r="H830" s="15">
        <f>LOOKUP(G830,CPI!A$69:A$100,CPI!O$69:O$100)</f>
        <v>1.1165181771633383</v>
      </c>
      <c r="I830" s="52">
        <v>2015</v>
      </c>
      <c r="J830" s="15">
        <f t="shared" si="229"/>
        <v>6.9444444444444441E-3</v>
      </c>
      <c r="K830" s="15"/>
      <c r="L830" s="62"/>
      <c r="M830" s="56">
        <f t="shared" ref="M830:M893" si="234">AA830*H830*(1+$L$2)^(2015-I830)</f>
        <v>150.10966604084879</v>
      </c>
      <c r="N830" s="14">
        <f>147*(44/12)</f>
        <v>539</v>
      </c>
      <c r="O830" s="18">
        <f t="shared" si="233"/>
        <v>539</v>
      </c>
      <c r="P830" s="16">
        <v>0</v>
      </c>
      <c r="Q830" s="16">
        <v>0</v>
      </c>
      <c r="R830" s="16">
        <v>1</v>
      </c>
      <c r="S830" s="14"/>
      <c r="T830" s="56" t="str">
        <f t="shared" si="232"/>
        <v/>
      </c>
      <c r="U830" s="56">
        <f t="shared" si="230"/>
        <v>68.927907875899962</v>
      </c>
      <c r="V830" s="56">
        <f t="shared" si="231"/>
        <v>4143.3331289846528</v>
      </c>
      <c r="W830" s="14"/>
      <c r="X830" s="3">
        <f>1*((44/12)*(44/12))</f>
        <v>13.444444444444443</v>
      </c>
      <c r="Y830" s="14"/>
      <c r="Z830" s="14"/>
      <c r="AA830" s="3">
        <f>10*((44/12)*(44/12))</f>
        <v>134.44444444444443</v>
      </c>
      <c r="AB830" s="14"/>
      <c r="AC830" s="14"/>
      <c r="AD830" s="3">
        <f>551*((44/12)*(44/12))</f>
        <v>7407.8888888888878</v>
      </c>
      <c r="AE830" s="14"/>
      <c r="AF830" s="16">
        <v>0</v>
      </c>
      <c r="AG830" s="16">
        <v>1</v>
      </c>
      <c r="AH830" s="16">
        <v>0</v>
      </c>
      <c r="AI830" s="16">
        <v>1</v>
      </c>
      <c r="AJ830" s="5">
        <v>0</v>
      </c>
      <c r="AK830" s="5">
        <v>1</v>
      </c>
      <c r="AL830" s="5">
        <v>0</v>
      </c>
      <c r="AM830" s="20">
        <v>3</v>
      </c>
      <c r="AN830" s="20">
        <v>0.14000000000000001</v>
      </c>
      <c r="AO830" s="16"/>
      <c r="AP830" s="16"/>
      <c r="AQ830" s="16"/>
      <c r="AR830" s="16">
        <v>0</v>
      </c>
      <c r="AS830" s="16">
        <v>0</v>
      </c>
      <c r="AT830" s="16"/>
      <c r="AU830" s="16"/>
      <c r="AV830" s="16"/>
      <c r="AW830" s="16"/>
      <c r="AX830" s="16">
        <v>0</v>
      </c>
      <c r="AY830" s="16">
        <v>0</v>
      </c>
      <c r="AZ830" s="16">
        <v>0</v>
      </c>
      <c r="BA830" s="16">
        <v>1</v>
      </c>
    </row>
    <row r="831" spans="1:53" x14ac:dyDescent="0.2">
      <c r="A831" s="14"/>
      <c r="B831" s="14" t="str">
        <f t="shared" si="225"/>
        <v>Kopp et al. 2012</v>
      </c>
      <c r="C831" s="61">
        <f t="shared" si="226"/>
        <v>78</v>
      </c>
      <c r="D831" s="58">
        <v>2012</v>
      </c>
      <c r="E831" s="17"/>
      <c r="F831" s="58">
        <v>1</v>
      </c>
      <c r="G831" s="22">
        <v>2005</v>
      </c>
      <c r="H831" s="15">
        <f>LOOKUP(G831,CPI!A$69:A$100,CPI!O$69:O$100)</f>
        <v>1.1165181771633383</v>
      </c>
      <c r="I831" s="52">
        <v>2015</v>
      </c>
      <c r="J831" s="15">
        <f t="shared" si="229"/>
        <v>6.9444444444444441E-3</v>
      </c>
      <c r="K831" s="15"/>
      <c r="L831" s="62"/>
      <c r="M831" s="56">
        <f t="shared" si="234"/>
        <v>120.08773283267904</v>
      </c>
      <c r="N831" s="14">
        <f>130*(44/12)</f>
        <v>476.66666666666663</v>
      </c>
      <c r="O831" s="18">
        <f t="shared" si="233"/>
        <v>476.66666666666663</v>
      </c>
      <c r="P831" s="16">
        <v>0</v>
      </c>
      <c r="Q831" s="16">
        <v>0</v>
      </c>
      <c r="R831" s="16">
        <v>1</v>
      </c>
      <c r="S831" s="14"/>
      <c r="T831" s="56" t="str">
        <f t="shared" si="232"/>
        <v/>
      </c>
      <c r="U831" s="56">
        <f t="shared" si="230"/>
        <v>53.61059501458886</v>
      </c>
      <c r="V831" s="56">
        <f t="shared" si="231"/>
        <v>3163.0251058607423</v>
      </c>
      <c r="W831" s="14"/>
      <c r="X831" s="3">
        <f>1*((44/12)*(44/12))</f>
        <v>13.444444444444443</v>
      </c>
      <c r="Y831" s="14"/>
      <c r="Z831" s="14"/>
      <c r="AA831" s="3">
        <f>8*((44/12)*(44/12))</f>
        <v>107.55555555555554</v>
      </c>
      <c r="AB831" s="14"/>
      <c r="AC831" s="14"/>
      <c r="AD831" s="3">
        <f>421*((44/12)*(44/12))</f>
        <v>5660.1111111111104</v>
      </c>
      <c r="AE831" s="14"/>
      <c r="AF831" s="16">
        <v>0</v>
      </c>
      <c r="AG831" s="16">
        <v>1</v>
      </c>
      <c r="AH831" s="16">
        <v>0</v>
      </c>
      <c r="AI831" s="16">
        <v>1</v>
      </c>
      <c r="AJ831" s="5">
        <v>0</v>
      </c>
      <c r="AK831" s="5">
        <v>1</v>
      </c>
      <c r="AL831" s="5">
        <v>0</v>
      </c>
      <c r="AM831" s="20">
        <v>3</v>
      </c>
      <c r="AN831" s="20">
        <v>0.14000000000000001</v>
      </c>
      <c r="AO831" s="16"/>
      <c r="AP831" s="16"/>
      <c r="AQ831" s="16"/>
      <c r="AR831" s="16">
        <v>0</v>
      </c>
      <c r="AS831" s="16">
        <v>0</v>
      </c>
      <c r="AT831" s="16"/>
      <c r="AU831" s="16"/>
      <c r="AV831" s="16"/>
      <c r="AW831" s="16"/>
      <c r="AX831" s="16">
        <v>0</v>
      </c>
      <c r="AY831" s="16">
        <v>0</v>
      </c>
      <c r="AZ831" s="16">
        <v>0</v>
      </c>
      <c r="BA831" s="16">
        <v>1</v>
      </c>
    </row>
    <row r="832" spans="1:53" x14ac:dyDescent="0.2">
      <c r="A832" s="14"/>
      <c r="B832" s="14" t="str">
        <f t="shared" si="225"/>
        <v>Kopp et al. 2012</v>
      </c>
      <c r="C832" s="61">
        <f t="shared" si="226"/>
        <v>78</v>
      </c>
      <c r="D832" s="58">
        <v>2012</v>
      </c>
      <c r="E832" s="17"/>
      <c r="F832" s="58">
        <v>1</v>
      </c>
      <c r="G832" s="22">
        <v>2005</v>
      </c>
      <c r="H832" s="15">
        <f>LOOKUP(G832,CPI!A$69:A$100,CPI!O$69:O$100)</f>
        <v>1.1165181771633383</v>
      </c>
      <c r="I832" s="52">
        <v>2015</v>
      </c>
      <c r="J832" s="15">
        <f t="shared" si="229"/>
        <v>6.9444444444444441E-3</v>
      </c>
      <c r="K832" s="15"/>
      <c r="L832" s="62"/>
      <c r="M832" s="56">
        <f t="shared" si="234"/>
        <v>150.10966604084879</v>
      </c>
      <c r="N832" s="14">
        <f>151*(44/12)</f>
        <v>553.66666666666663</v>
      </c>
      <c r="O832" s="18">
        <f t="shared" si="233"/>
        <v>553.66666666666663</v>
      </c>
      <c r="P832" s="16">
        <v>0</v>
      </c>
      <c r="Q832" s="16">
        <v>0</v>
      </c>
      <c r="R832" s="16">
        <v>1</v>
      </c>
      <c r="S832" s="14"/>
      <c r="T832" s="56" t="str">
        <f t="shared" si="232"/>
        <v/>
      </c>
      <c r="U832" s="56">
        <f t="shared" si="230"/>
        <v>68.927907875899962</v>
      </c>
      <c r="V832" s="56">
        <f t="shared" si="231"/>
        <v>4066.7465646780979</v>
      </c>
      <c r="W832" s="14"/>
      <c r="X832" s="3">
        <f>1*((44/12)*(44/12))</f>
        <v>13.444444444444443</v>
      </c>
      <c r="Y832" s="14"/>
      <c r="Z832" s="14"/>
      <c r="AA832" s="3">
        <f>10*((44/12)*(44/12))</f>
        <v>134.44444444444443</v>
      </c>
      <c r="AB832" s="14"/>
      <c r="AC832" s="14"/>
      <c r="AD832" s="3">
        <f>541*((44/12)*(44/12))</f>
        <v>7273.4444444444434</v>
      </c>
      <c r="AE832" s="14"/>
      <c r="AF832" s="16">
        <v>0</v>
      </c>
      <c r="AG832" s="16">
        <v>1</v>
      </c>
      <c r="AH832" s="16">
        <v>0</v>
      </c>
      <c r="AI832" s="16">
        <v>1</v>
      </c>
      <c r="AJ832" s="5">
        <v>0</v>
      </c>
      <c r="AK832" s="5">
        <v>1</v>
      </c>
      <c r="AL832" s="5">
        <v>0</v>
      </c>
      <c r="AM832" s="20">
        <v>3</v>
      </c>
      <c r="AN832" s="20">
        <v>0.14000000000000001</v>
      </c>
      <c r="AO832" s="16"/>
      <c r="AP832" s="16"/>
      <c r="AQ832" s="16"/>
      <c r="AR832" s="16">
        <v>0</v>
      </c>
      <c r="AS832" s="16">
        <v>0</v>
      </c>
      <c r="AT832" s="16"/>
      <c r="AU832" s="16"/>
      <c r="AV832" s="16"/>
      <c r="AW832" s="16"/>
      <c r="AX832" s="16">
        <v>0</v>
      </c>
      <c r="AY832" s="16">
        <v>0</v>
      </c>
      <c r="AZ832" s="16">
        <v>0</v>
      </c>
      <c r="BA832" s="16">
        <v>1</v>
      </c>
    </row>
    <row r="833" spans="1:53" x14ac:dyDescent="0.2">
      <c r="A833" s="14"/>
      <c r="B833" s="14" t="str">
        <f t="shared" si="225"/>
        <v>Kopp et al. 2012</v>
      </c>
      <c r="C833" s="61">
        <f t="shared" si="226"/>
        <v>78</v>
      </c>
      <c r="D833" s="58">
        <v>2012</v>
      </c>
      <c r="E833" s="17"/>
      <c r="F833" s="58">
        <v>1</v>
      </c>
      <c r="G833" s="22">
        <v>2005</v>
      </c>
      <c r="H833" s="15">
        <f>LOOKUP(G833,CPI!A$69:A$100,CPI!O$69:O$100)</f>
        <v>1.1165181771633383</v>
      </c>
      <c r="I833" s="52">
        <v>2015</v>
      </c>
      <c r="J833" s="15">
        <f t="shared" si="229"/>
        <v>6.9444444444444441E-3</v>
      </c>
      <c r="K833" s="15"/>
      <c r="L833" s="62"/>
      <c r="M833" s="56">
        <f t="shared" si="234"/>
        <v>150.10966604084879</v>
      </c>
      <c r="N833" s="14">
        <f>155*(44/12)</f>
        <v>568.33333333333326</v>
      </c>
      <c r="O833" s="18">
        <f t="shared" si="233"/>
        <v>568.33333333333326</v>
      </c>
      <c r="P833" s="16">
        <v>0</v>
      </c>
      <c r="Q833" s="16">
        <v>0</v>
      </c>
      <c r="R833" s="16">
        <v>1</v>
      </c>
      <c r="S833" s="14"/>
      <c r="T833" s="56" t="str">
        <f t="shared" si="232"/>
        <v/>
      </c>
      <c r="U833" s="56">
        <f t="shared" si="230"/>
        <v>68.927907875899962</v>
      </c>
      <c r="V833" s="56">
        <f t="shared" si="231"/>
        <v>4074.4052211087533</v>
      </c>
      <c r="W833" s="14"/>
      <c r="X833" s="3">
        <f>1*((44/12)*(44/12))</f>
        <v>13.444444444444443</v>
      </c>
      <c r="Y833" s="14"/>
      <c r="Z833" s="14"/>
      <c r="AA833" s="3">
        <f>10*((44/12)*(44/12))</f>
        <v>134.44444444444443</v>
      </c>
      <c r="AB833" s="14"/>
      <c r="AC833" s="14"/>
      <c r="AD833" s="3">
        <f>542*((44/12)*(44/12))</f>
        <v>7286.8888888888878</v>
      </c>
      <c r="AE833" s="14"/>
      <c r="AF833" s="16">
        <v>0</v>
      </c>
      <c r="AG833" s="16">
        <v>1</v>
      </c>
      <c r="AH833" s="16">
        <v>0</v>
      </c>
      <c r="AI833" s="16">
        <v>1</v>
      </c>
      <c r="AJ833" s="5">
        <v>0</v>
      </c>
      <c r="AK833" s="5">
        <v>1</v>
      </c>
      <c r="AL833" s="5">
        <v>0</v>
      </c>
      <c r="AM833" s="20">
        <v>3</v>
      </c>
      <c r="AN833" s="20">
        <v>0.14000000000000001</v>
      </c>
      <c r="AO833" s="16"/>
      <c r="AP833" s="16"/>
      <c r="AQ833" s="16"/>
      <c r="AR833" s="16">
        <v>0</v>
      </c>
      <c r="AS833" s="16">
        <v>0</v>
      </c>
      <c r="AT833" s="16"/>
      <c r="AU833" s="16"/>
      <c r="AV833" s="16"/>
      <c r="AW833" s="16"/>
      <c r="AX833" s="16">
        <v>0</v>
      </c>
      <c r="AY833" s="16">
        <v>0</v>
      </c>
      <c r="AZ833" s="16">
        <v>0</v>
      </c>
      <c r="BA833" s="16">
        <v>1</v>
      </c>
    </row>
    <row r="834" spans="1:53" x14ac:dyDescent="0.2">
      <c r="A834" s="14"/>
      <c r="B834" s="14" t="str">
        <f t="shared" si="225"/>
        <v>Kopp et al. 2012</v>
      </c>
      <c r="C834" s="61">
        <f t="shared" si="226"/>
        <v>78</v>
      </c>
      <c r="D834" s="58">
        <v>2012</v>
      </c>
      <c r="E834" s="17"/>
      <c r="F834" s="58">
        <v>1</v>
      </c>
      <c r="G834" s="22">
        <v>2005</v>
      </c>
      <c r="H834" s="15">
        <f>LOOKUP(G834,CPI!A$69:A$100,CPI!O$69:O$100)</f>
        <v>1.1165181771633383</v>
      </c>
      <c r="I834" s="52">
        <v>2015</v>
      </c>
      <c r="J834" s="15">
        <f t="shared" si="229"/>
        <v>6.9444444444444441E-3</v>
      </c>
      <c r="K834" s="15"/>
      <c r="L834" s="62"/>
      <c r="M834" s="56">
        <f t="shared" si="234"/>
        <v>855.62509643283818</v>
      </c>
      <c r="N834" s="14">
        <f>73*(44/12)</f>
        <v>267.66666666666663</v>
      </c>
      <c r="O834" s="18">
        <f t="shared" si="233"/>
        <v>267.66666666666663</v>
      </c>
      <c r="P834" s="16">
        <v>0</v>
      </c>
      <c r="Q834" s="16">
        <v>0</v>
      </c>
      <c r="R834" s="16">
        <v>1</v>
      </c>
      <c r="S834" s="14"/>
      <c r="T834" s="56" t="str">
        <f t="shared" si="232"/>
        <v/>
      </c>
      <c r="U834" s="56">
        <f t="shared" si="230"/>
        <v>252.73566221163318</v>
      </c>
      <c r="V834" s="56">
        <f t="shared" si="231"/>
        <v>964.99071026259946</v>
      </c>
      <c r="W834" s="14"/>
      <c r="X834" s="3">
        <f>24*((44/12)*(44/12))</f>
        <v>322.66666666666663</v>
      </c>
      <c r="Y834" s="14"/>
      <c r="Z834" s="14"/>
      <c r="AA834" s="3">
        <f>57*((44/12)*(44/12))</f>
        <v>766.33333333333326</v>
      </c>
      <c r="AB834" s="14"/>
      <c r="AC834" s="14"/>
      <c r="AD834" s="3">
        <f>183*((44/12)*(44/12))</f>
        <v>2460.333333333333</v>
      </c>
      <c r="AE834" s="14"/>
      <c r="AF834" s="16">
        <v>0</v>
      </c>
      <c r="AG834" s="16">
        <v>1</v>
      </c>
      <c r="AH834" s="16">
        <v>0</v>
      </c>
      <c r="AI834" s="16">
        <v>1</v>
      </c>
      <c r="AJ834" s="5">
        <v>0</v>
      </c>
      <c r="AK834" s="5">
        <v>1</v>
      </c>
      <c r="AL834" s="5">
        <v>0</v>
      </c>
      <c r="AM834" s="20">
        <v>3</v>
      </c>
      <c r="AN834" s="20">
        <v>-1.1000000000000001</v>
      </c>
      <c r="AO834" s="16"/>
      <c r="AP834" s="16"/>
      <c r="AQ834" s="16"/>
      <c r="AR834" s="16">
        <v>0</v>
      </c>
      <c r="AS834" s="16">
        <v>0</v>
      </c>
      <c r="AT834" s="16"/>
      <c r="AU834" s="16"/>
      <c r="AV834" s="16"/>
      <c r="AW834" s="16"/>
      <c r="AX834" s="16">
        <v>0</v>
      </c>
      <c r="AY834" s="16">
        <v>0</v>
      </c>
      <c r="AZ834" s="16">
        <v>0</v>
      </c>
      <c r="BA834" s="16">
        <v>1</v>
      </c>
    </row>
    <row r="835" spans="1:53" x14ac:dyDescent="0.2">
      <c r="A835" s="14"/>
      <c r="B835" s="14" t="str">
        <f t="shared" si="225"/>
        <v>Kopp et al. 2012</v>
      </c>
      <c r="C835" s="61">
        <f t="shared" si="226"/>
        <v>78</v>
      </c>
      <c r="D835" s="58">
        <v>2012</v>
      </c>
      <c r="E835" s="17"/>
      <c r="F835" s="58">
        <v>1</v>
      </c>
      <c r="G835" s="22">
        <v>2005</v>
      </c>
      <c r="H835" s="15">
        <f>LOOKUP(G835,CPI!A$69:A$100,CPI!O$69:O$100)</f>
        <v>1.1165181771633383</v>
      </c>
      <c r="I835" s="52">
        <v>2015</v>
      </c>
      <c r="J835" s="15">
        <f t="shared" si="229"/>
        <v>6.9444444444444441E-3</v>
      </c>
      <c r="K835" s="15"/>
      <c r="L835" s="62"/>
      <c r="M835" s="56">
        <f t="shared" si="234"/>
        <v>915.66896284917766</v>
      </c>
      <c r="N835" s="14">
        <f>86*(44/12)</f>
        <v>315.33333333333331</v>
      </c>
      <c r="O835" s="18">
        <f t="shared" si="233"/>
        <v>315.33333333333331</v>
      </c>
      <c r="P835" s="16">
        <v>0</v>
      </c>
      <c r="Q835" s="16">
        <v>0</v>
      </c>
      <c r="R835" s="16">
        <v>1</v>
      </c>
      <c r="S835" s="14"/>
      <c r="T835" s="56" t="str">
        <f t="shared" si="232"/>
        <v/>
      </c>
      <c r="U835" s="56">
        <f t="shared" si="230"/>
        <v>283.37028793425537</v>
      </c>
      <c r="V835" s="56">
        <f t="shared" si="231"/>
        <v>1424.5100961019327</v>
      </c>
      <c r="W835" s="14"/>
      <c r="X835" s="3">
        <f>24*((44/12)*(44/12))</f>
        <v>322.66666666666663</v>
      </c>
      <c r="Y835" s="14"/>
      <c r="Z835" s="14"/>
      <c r="AA835" s="3">
        <f>61*((44/12)*(44/12))</f>
        <v>820.11111111111097</v>
      </c>
      <c r="AB835" s="14"/>
      <c r="AC835" s="14"/>
      <c r="AD835" s="3">
        <f>247*((44/12)*(44/12))</f>
        <v>3320.7777777777774</v>
      </c>
      <c r="AE835" s="14"/>
      <c r="AF835" s="16">
        <v>0</v>
      </c>
      <c r="AG835" s="16">
        <v>1</v>
      </c>
      <c r="AH835" s="16">
        <v>0</v>
      </c>
      <c r="AI835" s="16">
        <v>1</v>
      </c>
      <c r="AJ835" s="5">
        <v>0</v>
      </c>
      <c r="AK835" s="5">
        <v>1</v>
      </c>
      <c r="AL835" s="5">
        <v>0</v>
      </c>
      <c r="AM835" s="20">
        <v>3</v>
      </c>
      <c r="AN835" s="20">
        <v>-1.1000000000000001</v>
      </c>
      <c r="AO835" s="16"/>
      <c r="AP835" s="16"/>
      <c r="AQ835" s="16"/>
      <c r="AR835" s="16">
        <v>0</v>
      </c>
      <c r="AS835" s="16">
        <v>0</v>
      </c>
      <c r="AT835" s="16"/>
      <c r="AU835" s="16"/>
      <c r="AV835" s="16"/>
      <c r="AW835" s="16"/>
      <c r="AX835" s="16">
        <v>0</v>
      </c>
      <c r="AY835" s="16">
        <v>0</v>
      </c>
      <c r="AZ835" s="16">
        <v>0</v>
      </c>
      <c r="BA835" s="16">
        <v>1</v>
      </c>
    </row>
    <row r="836" spans="1:53" x14ac:dyDescent="0.2">
      <c r="A836" s="14"/>
      <c r="B836" s="14" t="str">
        <f t="shared" si="225"/>
        <v>Kopp et al. 2012</v>
      </c>
      <c r="C836" s="61">
        <f t="shared" si="226"/>
        <v>78</v>
      </c>
      <c r="D836" s="58">
        <v>2012</v>
      </c>
      <c r="E836" s="17"/>
      <c r="F836" s="58">
        <v>1</v>
      </c>
      <c r="G836" s="22">
        <v>2005</v>
      </c>
      <c r="H836" s="15">
        <f>LOOKUP(G836,CPI!A$69:A$100,CPI!O$69:O$100)</f>
        <v>1.1165181771633383</v>
      </c>
      <c r="I836" s="52">
        <v>2015</v>
      </c>
      <c r="J836" s="15">
        <f t="shared" si="229"/>
        <v>6.9444444444444441E-3</v>
      </c>
      <c r="K836" s="15"/>
      <c r="L836" s="62"/>
      <c r="M836" s="56">
        <f t="shared" si="234"/>
        <v>750.54833020424405</v>
      </c>
      <c r="N836" s="14">
        <f>63*(44/12)</f>
        <v>231</v>
      </c>
      <c r="O836" s="18">
        <f t="shared" si="233"/>
        <v>231</v>
      </c>
      <c r="P836" s="16">
        <v>0</v>
      </c>
      <c r="Q836" s="16">
        <v>0</v>
      </c>
      <c r="R836" s="16">
        <v>1</v>
      </c>
      <c r="S836" s="14"/>
      <c r="T836" s="56" t="str">
        <f t="shared" si="232"/>
        <v/>
      </c>
      <c r="U836" s="56">
        <f t="shared" si="230"/>
        <v>229.75969291966655</v>
      </c>
      <c r="V836" s="56">
        <f t="shared" si="231"/>
        <v>834.79355094145512</v>
      </c>
      <c r="W836" s="14"/>
      <c r="X836" s="3">
        <f>20*((44/12)*(44/12))</f>
        <v>268.88888888888886</v>
      </c>
      <c r="Y836" s="14"/>
      <c r="Z836" s="14"/>
      <c r="AA836" s="3">
        <f>50*((44/12)*(44/12))</f>
        <v>672.22222222222217</v>
      </c>
      <c r="AB836" s="14"/>
      <c r="AC836" s="14"/>
      <c r="AD836" s="3">
        <f>159*((44/12)*(44/12))</f>
        <v>2137.6666666666665</v>
      </c>
      <c r="AE836" s="14"/>
      <c r="AF836" s="16">
        <v>0</v>
      </c>
      <c r="AG836" s="16">
        <v>1</v>
      </c>
      <c r="AH836" s="16">
        <v>0</v>
      </c>
      <c r="AI836" s="16">
        <v>1</v>
      </c>
      <c r="AJ836" s="5">
        <v>0</v>
      </c>
      <c r="AK836" s="5">
        <v>1</v>
      </c>
      <c r="AL836" s="5">
        <v>0</v>
      </c>
      <c r="AM836" s="20">
        <v>3</v>
      </c>
      <c r="AN836" s="20">
        <v>-1.1000000000000001</v>
      </c>
      <c r="AO836" s="16"/>
      <c r="AP836" s="16"/>
      <c r="AQ836" s="16"/>
      <c r="AR836" s="16">
        <v>0</v>
      </c>
      <c r="AS836" s="16">
        <v>0</v>
      </c>
      <c r="AT836" s="16"/>
      <c r="AU836" s="16"/>
      <c r="AV836" s="16"/>
      <c r="AW836" s="16"/>
      <c r="AX836" s="16">
        <v>0</v>
      </c>
      <c r="AY836" s="16">
        <v>0</v>
      </c>
      <c r="AZ836" s="16">
        <v>0</v>
      </c>
      <c r="BA836" s="16">
        <v>1</v>
      </c>
    </row>
    <row r="837" spans="1:53" x14ac:dyDescent="0.2">
      <c r="A837" s="14"/>
      <c r="B837" s="14" t="str">
        <f t="shared" si="225"/>
        <v>Kopp et al. 2012</v>
      </c>
      <c r="C837" s="61">
        <f t="shared" si="226"/>
        <v>78</v>
      </c>
      <c r="D837" s="58">
        <v>2012</v>
      </c>
      <c r="E837" s="17"/>
      <c r="F837" s="58">
        <v>1</v>
      </c>
      <c r="G837" s="22">
        <v>2005</v>
      </c>
      <c r="H837" s="15">
        <f>LOOKUP(G837,CPI!A$69:A$100,CPI!O$69:O$100)</f>
        <v>1.1165181771633383</v>
      </c>
      <c r="I837" s="52">
        <v>2015</v>
      </c>
      <c r="J837" s="15">
        <f t="shared" si="229"/>
        <v>6.9444444444444441E-3</v>
      </c>
      <c r="K837" s="15"/>
      <c r="L837" s="62"/>
      <c r="M837" s="56">
        <f t="shared" si="234"/>
        <v>1921.4037253228646</v>
      </c>
      <c r="N837" s="14">
        <f>172*(44/12)</f>
        <v>630.66666666666663</v>
      </c>
      <c r="O837" s="18">
        <f t="shared" si="233"/>
        <v>630.66666666666663</v>
      </c>
      <c r="P837" s="16">
        <v>0</v>
      </c>
      <c r="Q837" s="16">
        <v>0</v>
      </c>
      <c r="R837" s="16">
        <v>1</v>
      </c>
      <c r="S837" s="14"/>
      <c r="T837" s="56" t="str">
        <f t="shared" si="232"/>
        <v/>
      </c>
      <c r="U837" s="56">
        <f t="shared" si="230"/>
        <v>605.03385802178855</v>
      </c>
      <c r="V837" s="56">
        <f t="shared" si="231"/>
        <v>2596.2845299922319</v>
      </c>
      <c r="W837" s="14"/>
      <c r="X837" s="3">
        <f>49*((44/12)*(44/12))</f>
        <v>658.77777777777771</v>
      </c>
      <c r="Y837" s="14"/>
      <c r="Z837" s="14"/>
      <c r="AA837" s="3">
        <f>128*((44/12)*(44/12))</f>
        <v>1720.8888888888887</v>
      </c>
      <c r="AB837" s="14"/>
      <c r="AC837" s="14"/>
      <c r="AD837" s="3">
        <f>467*((44/12)*(44/12))</f>
        <v>6278.5555555555547</v>
      </c>
      <c r="AE837" s="14"/>
      <c r="AF837" s="16">
        <v>0</v>
      </c>
      <c r="AG837" s="16">
        <v>1</v>
      </c>
      <c r="AH837" s="16">
        <v>0</v>
      </c>
      <c r="AI837" s="16">
        <v>1</v>
      </c>
      <c r="AJ837" s="5">
        <v>0</v>
      </c>
      <c r="AK837" s="5">
        <v>1</v>
      </c>
      <c r="AL837" s="5">
        <v>0</v>
      </c>
      <c r="AM837" s="20">
        <v>3</v>
      </c>
      <c r="AN837" s="20">
        <v>-1.1000000000000001</v>
      </c>
      <c r="AO837" s="16"/>
      <c r="AP837" s="16"/>
      <c r="AQ837" s="16"/>
      <c r="AR837" s="16">
        <v>0</v>
      </c>
      <c r="AS837" s="16">
        <v>0</v>
      </c>
      <c r="AT837" s="16"/>
      <c r="AU837" s="16"/>
      <c r="AV837" s="16"/>
      <c r="AW837" s="16"/>
      <c r="AX837" s="16">
        <v>0</v>
      </c>
      <c r="AY837" s="16">
        <v>0</v>
      </c>
      <c r="AZ837" s="16">
        <v>0</v>
      </c>
      <c r="BA837" s="16">
        <v>1</v>
      </c>
    </row>
    <row r="838" spans="1:53" x14ac:dyDescent="0.2">
      <c r="A838" s="14"/>
      <c r="B838" s="14" t="str">
        <f t="shared" si="225"/>
        <v>Kopp et al. 2012</v>
      </c>
      <c r="C838" s="61">
        <f t="shared" si="226"/>
        <v>78</v>
      </c>
      <c r="D838" s="58">
        <v>2012</v>
      </c>
      <c r="E838" s="17"/>
      <c r="F838" s="58">
        <v>1</v>
      </c>
      <c r="G838" s="22">
        <v>2005</v>
      </c>
      <c r="H838" s="15">
        <f>LOOKUP(G838,CPI!A$69:A$100,CPI!O$69:O$100)</f>
        <v>1.1165181771633383</v>
      </c>
      <c r="I838" s="52">
        <v>2015</v>
      </c>
      <c r="J838" s="15">
        <f t="shared" si="229"/>
        <v>6.9444444444444441E-3</v>
      </c>
      <c r="K838" s="15"/>
      <c r="L838" s="62"/>
      <c r="M838" s="56">
        <f t="shared" si="234"/>
        <v>1921.4037253228646</v>
      </c>
      <c r="N838" s="14">
        <f>172*(44/12)</f>
        <v>630.66666666666663</v>
      </c>
      <c r="O838" s="18">
        <f t="shared" si="233"/>
        <v>630.66666666666663</v>
      </c>
      <c r="P838" s="16">
        <v>0</v>
      </c>
      <c r="Q838" s="16">
        <v>0</v>
      </c>
      <c r="R838" s="16">
        <v>1</v>
      </c>
      <c r="S838" s="14"/>
      <c r="T838" s="56" t="str">
        <f t="shared" si="232"/>
        <v/>
      </c>
      <c r="U838" s="56">
        <f t="shared" si="230"/>
        <v>605.03385802178855</v>
      </c>
      <c r="V838" s="56">
        <f t="shared" si="231"/>
        <v>2596.2845299922319</v>
      </c>
      <c r="W838" s="14"/>
      <c r="X838" s="3">
        <f>49*((44/12)*(44/12))</f>
        <v>658.77777777777771</v>
      </c>
      <c r="Y838" s="14"/>
      <c r="Z838" s="14"/>
      <c r="AA838" s="3">
        <f>128*((44/12)*(44/12))</f>
        <v>1720.8888888888887</v>
      </c>
      <c r="AB838" s="14"/>
      <c r="AC838" s="14"/>
      <c r="AD838" s="3">
        <f>467*((44/12)*(44/12))</f>
        <v>6278.5555555555547</v>
      </c>
      <c r="AE838" s="14"/>
      <c r="AF838" s="16">
        <v>0</v>
      </c>
      <c r="AG838" s="16">
        <v>1</v>
      </c>
      <c r="AH838" s="16">
        <v>0</v>
      </c>
      <c r="AI838" s="16">
        <v>1</v>
      </c>
      <c r="AJ838" s="5">
        <v>0</v>
      </c>
      <c r="AK838" s="5">
        <v>1</v>
      </c>
      <c r="AL838" s="5">
        <v>0</v>
      </c>
      <c r="AM838" s="20">
        <v>3</v>
      </c>
      <c r="AN838" s="20">
        <v>-1.1000000000000001</v>
      </c>
      <c r="AO838" s="16"/>
      <c r="AP838" s="16"/>
      <c r="AQ838" s="16"/>
      <c r="AR838" s="16">
        <v>0</v>
      </c>
      <c r="AS838" s="16">
        <v>0</v>
      </c>
      <c r="AT838" s="16"/>
      <c r="AU838" s="16"/>
      <c r="AV838" s="16"/>
      <c r="AW838" s="16"/>
      <c r="AX838" s="16">
        <v>0</v>
      </c>
      <c r="AY838" s="16">
        <v>0</v>
      </c>
      <c r="AZ838" s="16">
        <v>0</v>
      </c>
      <c r="BA838" s="16">
        <v>1</v>
      </c>
    </row>
    <row r="839" spans="1:53" x14ac:dyDescent="0.2">
      <c r="A839" s="14"/>
      <c r="B839" s="14" t="str">
        <f t="shared" si="225"/>
        <v>Kopp et al. 2012</v>
      </c>
      <c r="C839" s="61">
        <f t="shared" si="226"/>
        <v>78</v>
      </c>
      <c r="D839" s="58">
        <v>2012</v>
      </c>
      <c r="E839" s="17"/>
      <c r="F839" s="58">
        <v>1</v>
      </c>
      <c r="G839" s="22">
        <v>2005</v>
      </c>
      <c r="H839" s="15">
        <f>LOOKUP(G839,CPI!A$69:A$100,CPI!O$69:O$100)</f>
        <v>1.1165181771633383</v>
      </c>
      <c r="I839" s="52">
        <v>2015</v>
      </c>
      <c r="J839" s="15">
        <f t="shared" si="229"/>
        <v>6.9444444444444441E-3</v>
      </c>
      <c r="K839" s="15"/>
      <c r="L839" s="62"/>
      <c r="M839" s="56">
        <f t="shared" si="234"/>
        <v>4143.0267827274265</v>
      </c>
      <c r="N839" s="14">
        <f>394*(44/12)</f>
        <v>1444.6666666666665</v>
      </c>
      <c r="O839" s="18">
        <f t="shared" si="233"/>
        <v>1444.6666666666665</v>
      </c>
      <c r="P839" s="16">
        <v>0</v>
      </c>
      <c r="Q839" s="16">
        <v>0</v>
      </c>
      <c r="R839" s="16">
        <v>1</v>
      </c>
      <c r="S839" s="14"/>
      <c r="T839" s="56" t="str">
        <f t="shared" si="232"/>
        <v/>
      </c>
      <c r="U839" s="56">
        <f t="shared" si="230"/>
        <v>1370.8995010873437</v>
      </c>
      <c r="V839" s="56">
        <f t="shared" si="231"/>
        <v>6708.9830332542633</v>
      </c>
      <c r="W839" s="14"/>
      <c r="X839" s="3">
        <f>97*((44/12)*(44/12))</f>
        <v>1304.1111111111109</v>
      </c>
      <c r="Y839" s="14"/>
      <c r="Z839" s="14"/>
      <c r="AA839" s="3">
        <f>276*((44/12)*(44/12))</f>
        <v>3710.6666666666661</v>
      </c>
      <c r="AB839" s="14"/>
      <c r="AC839" s="14"/>
      <c r="AD839" s="3">
        <f>1152*((44/12)*(44/12))</f>
        <v>15487.999999999998</v>
      </c>
      <c r="AE839" s="14"/>
      <c r="AF839" s="16">
        <v>0</v>
      </c>
      <c r="AG839" s="16">
        <v>1</v>
      </c>
      <c r="AH839" s="16">
        <v>0</v>
      </c>
      <c r="AI839" s="16">
        <v>1</v>
      </c>
      <c r="AJ839" s="5">
        <v>0</v>
      </c>
      <c r="AK839" s="5">
        <v>1</v>
      </c>
      <c r="AL839" s="5">
        <v>0</v>
      </c>
      <c r="AM839" s="20">
        <v>3</v>
      </c>
      <c r="AN839" s="20">
        <v>-1.1000000000000001</v>
      </c>
      <c r="AO839" s="16"/>
      <c r="AP839" s="16"/>
      <c r="AQ839" s="16"/>
      <c r="AR839" s="16">
        <v>0</v>
      </c>
      <c r="AS839" s="16">
        <v>0</v>
      </c>
      <c r="AT839" s="16"/>
      <c r="AU839" s="16"/>
      <c r="AV839" s="16"/>
      <c r="AW839" s="16"/>
      <c r="AX839" s="16">
        <v>0</v>
      </c>
      <c r="AY839" s="16">
        <v>0</v>
      </c>
      <c r="AZ839" s="16">
        <v>0</v>
      </c>
      <c r="BA839" s="16">
        <v>1</v>
      </c>
    </row>
    <row r="840" spans="1:53" x14ac:dyDescent="0.2">
      <c r="A840" s="14"/>
      <c r="B840" s="14" t="str">
        <f t="shared" si="225"/>
        <v>Kopp et al. 2012</v>
      </c>
      <c r="C840" s="61">
        <f t="shared" si="226"/>
        <v>78</v>
      </c>
      <c r="D840" s="58">
        <v>2012</v>
      </c>
      <c r="E840" s="17"/>
      <c r="F840" s="58">
        <v>1</v>
      </c>
      <c r="G840" s="22">
        <v>2005</v>
      </c>
      <c r="H840" s="15">
        <f>LOOKUP(G840,CPI!A$69:A$100,CPI!O$69:O$100)</f>
        <v>1.1165181771633383</v>
      </c>
      <c r="I840" s="52">
        <v>2015</v>
      </c>
      <c r="J840" s="15">
        <f t="shared" si="229"/>
        <v>6.9444444444444441E-3</v>
      </c>
      <c r="K840" s="15"/>
      <c r="L840" s="62"/>
      <c r="M840" s="56">
        <f t="shared" si="234"/>
        <v>540.39479774705569</v>
      </c>
      <c r="N840" s="14">
        <f>43*(44/12)</f>
        <v>157.66666666666666</v>
      </c>
      <c r="O840" s="18">
        <f t="shared" si="233"/>
        <v>157.66666666666666</v>
      </c>
      <c r="P840" s="16">
        <v>0</v>
      </c>
      <c r="Q840" s="16">
        <v>0</v>
      </c>
      <c r="R840" s="16">
        <v>1</v>
      </c>
      <c r="S840" s="14"/>
      <c r="T840" s="56" t="str">
        <f t="shared" si="232"/>
        <v/>
      </c>
      <c r="U840" s="56">
        <f t="shared" si="230"/>
        <v>145.51447218245548</v>
      </c>
      <c r="V840" s="56">
        <f t="shared" si="231"/>
        <v>467.17804226998857</v>
      </c>
      <c r="W840" s="14"/>
      <c r="X840" s="3">
        <f>17*((44/12)*(44/12))</f>
        <v>228.55555555555554</v>
      </c>
      <c r="Y840" s="14"/>
      <c r="Z840" s="14"/>
      <c r="AA840" s="3">
        <f>36*((44/12)*(44/12))</f>
        <v>483.99999999999994</v>
      </c>
      <c r="AB840" s="14"/>
      <c r="AC840" s="14"/>
      <c r="AD840" s="3">
        <f>97*((44/12)*(44/12))</f>
        <v>1304.1111111111109</v>
      </c>
      <c r="AE840" s="14"/>
      <c r="AF840" s="16">
        <v>0</v>
      </c>
      <c r="AG840" s="16">
        <v>1</v>
      </c>
      <c r="AH840" s="16">
        <v>0</v>
      </c>
      <c r="AI840" s="16">
        <v>1</v>
      </c>
      <c r="AJ840" s="5">
        <v>0</v>
      </c>
      <c r="AK840" s="5">
        <v>1</v>
      </c>
      <c r="AL840" s="5">
        <v>0</v>
      </c>
      <c r="AM840" s="20">
        <v>3</v>
      </c>
      <c r="AN840" s="20">
        <v>-1.1000000000000001</v>
      </c>
      <c r="AO840" s="16"/>
      <c r="AP840" s="16"/>
      <c r="AQ840" s="16"/>
      <c r="AR840" s="16">
        <v>0</v>
      </c>
      <c r="AS840" s="16">
        <v>0</v>
      </c>
      <c r="AT840" s="16"/>
      <c r="AU840" s="16"/>
      <c r="AV840" s="16"/>
      <c r="AW840" s="16"/>
      <c r="AX840" s="16">
        <v>0</v>
      </c>
      <c r="AY840" s="16">
        <v>0</v>
      </c>
      <c r="AZ840" s="16">
        <v>0</v>
      </c>
      <c r="BA840" s="16">
        <v>1</v>
      </c>
    </row>
    <row r="841" spans="1:53" x14ac:dyDescent="0.2">
      <c r="A841" s="14"/>
      <c r="B841" s="14" t="str">
        <f t="shared" si="225"/>
        <v>Kopp et al. 2012</v>
      </c>
      <c r="C841" s="61">
        <f t="shared" si="226"/>
        <v>78</v>
      </c>
      <c r="D841" s="58">
        <v>2012</v>
      </c>
      <c r="E841" s="17"/>
      <c r="F841" s="58">
        <v>1</v>
      </c>
      <c r="G841" s="22">
        <v>2005</v>
      </c>
      <c r="H841" s="15">
        <f>LOOKUP(G841,CPI!A$69:A$100,CPI!O$69:O$100)</f>
        <v>1.1165181771633383</v>
      </c>
      <c r="I841" s="52">
        <v>2015</v>
      </c>
      <c r="J841" s="15">
        <f t="shared" si="229"/>
        <v>6.9444444444444441E-3</v>
      </c>
      <c r="K841" s="15"/>
      <c r="L841" s="62"/>
      <c r="M841" s="56">
        <f t="shared" si="234"/>
        <v>900.65799624509282</v>
      </c>
      <c r="N841" s="14">
        <f>77*(44/12)</f>
        <v>282.33333333333331</v>
      </c>
      <c r="O841" s="18">
        <f t="shared" si="233"/>
        <v>282.33333333333331</v>
      </c>
      <c r="P841" s="16">
        <v>0</v>
      </c>
      <c r="Q841" s="16">
        <v>0</v>
      </c>
      <c r="R841" s="16">
        <v>1</v>
      </c>
      <c r="S841" s="14"/>
      <c r="T841" s="56" t="str">
        <f t="shared" si="232"/>
        <v/>
      </c>
      <c r="U841" s="56">
        <f t="shared" si="230"/>
        <v>275.71163150359985</v>
      </c>
      <c r="V841" s="56">
        <f t="shared" si="231"/>
        <v>1018.6013052771883</v>
      </c>
      <c r="W841" s="14"/>
      <c r="X841" s="3">
        <f>24*((44/12)*(44/12))</f>
        <v>322.66666666666663</v>
      </c>
      <c r="Y841" s="14"/>
      <c r="Z841" s="14"/>
      <c r="AA841" s="3">
        <f>60*((44/12)*(44/12))</f>
        <v>806.66666666666652</v>
      </c>
      <c r="AB841" s="14"/>
      <c r="AC841" s="14"/>
      <c r="AD841" s="3">
        <f>193*((44/12)*(44/12))</f>
        <v>2594.7777777777774</v>
      </c>
      <c r="AE841" s="14"/>
      <c r="AF841" s="16">
        <v>0</v>
      </c>
      <c r="AG841" s="16">
        <v>1</v>
      </c>
      <c r="AH841" s="16">
        <v>0</v>
      </c>
      <c r="AI841" s="16">
        <v>1</v>
      </c>
      <c r="AJ841" s="5">
        <v>0</v>
      </c>
      <c r="AK841" s="5">
        <v>1</v>
      </c>
      <c r="AL841" s="5">
        <v>0</v>
      </c>
      <c r="AM841" s="20">
        <v>3</v>
      </c>
      <c r="AN841" s="20">
        <v>-1.1000000000000001</v>
      </c>
      <c r="AO841" s="16"/>
      <c r="AP841" s="16"/>
      <c r="AQ841" s="16"/>
      <c r="AR841" s="16">
        <v>0</v>
      </c>
      <c r="AS841" s="16">
        <v>0</v>
      </c>
      <c r="AT841" s="16"/>
      <c r="AU841" s="16"/>
      <c r="AV841" s="16"/>
      <c r="AW841" s="16"/>
      <c r="AX841" s="16">
        <v>0</v>
      </c>
      <c r="AY841" s="16">
        <v>0</v>
      </c>
      <c r="AZ841" s="16">
        <v>0</v>
      </c>
      <c r="BA841" s="16">
        <v>1</v>
      </c>
    </row>
    <row r="842" spans="1:53" x14ac:dyDescent="0.2">
      <c r="A842" s="14"/>
      <c r="B842" s="14" t="str">
        <f t="shared" ref="B842:B905" si="235">+IF(A842="",B841,A842&amp;" "&amp;D842)</f>
        <v>Kopp et al. 2012</v>
      </c>
      <c r="C842" s="61">
        <f t="shared" ref="C842:C905" si="236">+IF(A842="",C841,C841+1)</f>
        <v>78</v>
      </c>
      <c r="D842" s="58">
        <v>2012</v>
      </c>
      <c r="E842" s="17"/>
      <c r="F842" s="58">
        <v>1</v>
      </c>
      <c r="G842" s="22">
        <v>2005</v>
      </c>
      <c r="H842" s="15">
        <f>LOOKUP(G842,CPI!A$69:A$100,CPI!O$69:O$100)</f>
        <v>1.1165181771633383</v>
      </c>
      <c r="I842" s="52">
        <v>2015</v>
      </c>
      <c r="J842" s="15">
        <f t="shared" si="229"/>
        <v>6.9444444444444441E-3</v>
      </c>
      <c r="K842" s="15"/>
      <c r="L842" s="62"/>
      <c r="M842" s="56">
        <f t="shared" si="234"/>
        <v>855.62509643283818</v>
      </c>
      <c r="N842" s="14">
        <f>384*(44/12)</f>
        <v>1408</v>
      </c>
      <c r="O842" s="18">
        <f t="shared" si="233"/>
        <v>1408</v>
      </c>
      <c r="P842" s="16">
        <v>0</v>
      </c>
      <c r="Q842" s="16">
        <v>0</v>
      </c>
      <c r="R842" s="16">
        <v>1</v>
      </c>
      <c r="S842" s="14"/>
      <c r="T842" s="56" t="str">
        <f t="shared" si="232"/>
        <v/>
      </c>
      <c r="U842" s="56">
        <f t="shared" si="230"/>
        <v>252.73566221163318</v>
      </c>
      <c r="V842" s="56">
        <f t="shared" si="231"/>
        <v>964.99071026259946</v>
      </c>
      <c r="W842" s="14"/>
      <c r="X842" s="3">
        <f>24*((44/12)*(44/12))</f>
        <v>322.66666666666663</v>
      </c>
      <c r="Y842" s="14"/>
      <c r="Z842" s="14"/>
      <c r="AA842" s="3">
        <f>57*((44/12)*(44/12))</f>
        <v>766.33333333333326</v>
      </c>
      <c r="AB842" s="14"/>
      <c r="AC842" s="14"/>
      <c r="AD842" s="3">
        <f>183*((44/12)*(44/12))</f>
        <v>2460.333333333333</v>
      </c>
      <c r="AE842" s="14"/>
      <c r="AF842" s="16">
        <v>0</v>
      </c>
      <c r="AG842" s="16">
        <v>1</v>
      </c>
      <c r="AH842" s="16">
        <v>0</v>
      </c>
      <c r="AI842" s="16">
        <v>1</v>
      </c>
      <c r="AJ842" s="5">
        <v>0</v>
      </c>
      <c r="AK842" s="5">
        <v>1</v>
      </c>
      <c r="AL842" s="5">
        <v>0</v>
      </c>
      <c r="AM842" s="20">
        <v>3</v>
      </c>
      <c r="AN842" s="20">
        <v>-1.1000000000000001</v>
      </c>
      <c r="AO842" s="16"/>
      <c r="AP842" s="16"/>
      <c r="AQ842" s="16"/>
      <c r="AR842" s="16">
        <v>0</v>
      </c>
      <c r="AS842" s="16">
        <v>0</v>
      </c>
      <c r="AT842" s="16"/>
      <c r="AU842" s="16"/>
      <c r="AV842" s="16"/>
      <c r="AW842" s="16"/>
      <c r="AX842" s="16">
        <v>0</v>
      </c>
      <c r="AY842" s="16">
        <v>0</v>
      </c>
      <c r="AZ842" s="16">
        <v>0</v>
      </c>
      <c r="BA842" s="16">
        <v>1</v>
      </c>
    </row>
    <row r="843" spans="1:53" x14ac:dyDescent="0.2">
      <c r="A843" s="14"/>
      <c r="B843" s="14" t="str">
        <f t="shared" si="235"/>
        <v>Kopp et al. 2012</v>
      </c>
      <c r="C843" s="61">
        <f t="shared" si="236"/>
        <v>78</v>
      </c>
      <c r="D843" s="58">
        <v>2012</v>
      </c>
      <c r="E843" s="17"/>
      <c r="F843" s="58">
        <v>1</v>
      </c>
      <c r="G843" s="22">
        <v>2005</v>
      </c>
      <c r="H843" s="15">
        <f>LOOKUP(G843,CPI!A$69:A$100,CPI!O$69:O$100)</f>
        <v>1.1165181771633383</v>
      </c>
      <c r="I843" s="52">
        <v>2015</v>
      </c>
      <c r="J843" s="15">
        <f t="shared" si="229"/>
        <v>6.9444444444444441E-3</v>
      </c>
      <c r="K843" s="15"/>
      <c r="L843" s="62"/>
      <c r="M843" s="56">
        <f t="shared" si="234"/>
        <v>1411.0308607839788</v>
      </c>
      <c r="N843" s="14">
        <f>420*(44/12)</f>
        <v>1540</v>
      </c>
      <c r="O843" s="18">
        <f t="shared" si="233"/>
        <v>1540</v>
      </c>
      <c r="P843" s="16">
        <v>0</v>
      </c>
      <c r="Q843" s="16">
        <v>0</v>
      </c>
      <c r="R843" s="16">
        <v>1</v>
      </c>
      <c r="S843" s="14"/>
      <c r="T843" s="56" t="str">
        <f t="shared" si="232"/>
        <v/>
      </c>
      <c r="U843" s="56">
        <f t="shared" si="230"/>
        <v>543.76460657654411</v>
      </c>
      <c r="V843" s="56">
        <f t="shared" si="231"/>
        <v>14015.341268099659</v>
      </c>
      <c r="W843" s="14"/>
      <c r="X843" s="3">
        <f>23*((44/12)*(44/12))</f>
        <v>309.22222222222217</v>
      </c>
      <c r="Y843" s="14"/>
      <c r="Z843" s="14"/>
      <c r="AA843" s="3">
        <f>94*((44/12)*(44/12))</f>
        <v>1263.7777777777776</v>
      </c>
      <c r="AB843" s="14"/>
      <c r="AC843" s="14"/>
      <c r="AD843" s="3">
        <f>1924*((44/12)*(44/12))</f>
        <v>25867.111111111109</v>
      </c>
      <c r="AE843" s="14"/>
      <c r="AF843" s="16">
        <v>0</v>
      </c>
      <c r="AG843" s="16">
        <v>1</v>
      </c>
      <c r="AH843" s="16">
        <v>0</v>
      </c>
      <c r="AI843" s="16">
        <v>1</v>
      </c>
      <c r="AJ843" s="5">
        <v>0</v>
      </c>
      <c r="AK843" s="5">
        <v>1</v>
      </c>
      <c r="AL843" s="5">
        <v>0</v>
      </c>
      <c r="AM843" s="20">
        <v>3</v>
      </c>
      <c r="AN843" s="20">
        <v>-1.1000000000000001</v>
      </c>
      <c r="AO843" s="16"/>
      <c r="AP843" s="16"/>
      <c r="AQ843" s="16"/>
      <c r="AR843" s="16">
        <v>0</v>
      </c>
      <c r="AS843" s="16">
        <v>0</v>
      </c>
      <c r="AT843" s="16"/>
      <c r="AU843" s="16"/>
      <c r="AV843" s="16"/>
      <c r="AW843" s="16"/>
      <c r="AX843" s="16">
        <v>0</v>
      </c>
      <c r="AY843" s="16">
        <v>0</v>
      </c>
      <c r="AZ843" s="16">
        <v>0</v>
      </c>
      <c r="BA843" s="16">
        <v>1</v>
      </c>
    </row>
    <row r="844" spans="1:53" x14ac:dyDescent="0.2">
      <c r="A844" s="14"/>
      <c r="B844" s="14" t="str">
        <f t="shared" si="235"/>
        <v>Kopp et al. 2012</v>
      </c>
      <c r="C844" s="61">
        <f t="shared" si="236"/>
        <v>78</v>
      </c>
      <c r="D844" s="58">
        <v>2012</v>
      </c>
      <c r="E844" s="17"/>
      <c r="F844" s="58">
        <v>1</v>
      </c>
      <c r="G844" s="22">
        <v>2005</v>
      </c>
      <c r="H844" s="15">
        <f>LOOKUP(G844,CPI!A$69:A$100,CPI!O$69:O$100)</f>
        <v>1.1165181771633383</v>
      </c>
      <c r="I844" s="52">
        <v>2015</v>
      </c>
      <c r="J844" s="15">
        <f t="shared" si="229"/>
        <v>6.9444444444444441E-3</v>
      </c>
      <c r="K844" s="15"/>
      <c r="L844" s="62"/>
      <c r="M844" s="56">
        <f t="shared" si="234"/>
        <v>390.28513170620693</v>
      </c>
      <c r="N844" s="14">
        <f>84*(44/12)</f>
        <v>308</v>
      </c>
      <c r="O844" s="18">
        <f t="shared" si="233"/>
        <v>308</v>
      </c>
      <c r="P844" s="16">
        <v>0</v>
      </c>
      <c r="Q844" s="16">
        <v>0</v>
      </c>
      <c r="R844" s="16">
        <v>1</v>
      </c>
      <c r="S844" s="14"/>
      <c r="T844" s="56" t="str">
        <f t="shared" si="232"/>
        <v/>
      </c>
      <c r="U844" s="56">
        <f t="shared" si="230"/>
        <v>137.85581575179995</v>
      </c>
      <c r="V844" s="56">
        <f t="shared" si="231"/>
        <v>1929.9814205251989</v>
      </c>
      <c r="W844" s="14"/>
      <c r="X844" s="3">
        <f>8*((44/12)*(44/12))</f>
        <v>107.55555555555554</v>
      </c>
      <c r="Y844" s="14"/>
      <c r="Z844" s="14"/>
      <c r="AA844" s="3">
        <f>26*((44/12)*(44/12))</f>
        <v>349.55555555555554</v>
      </c>
      <c r="AB844" s="14"/>
      <c r="AC844" s="14"/>
      <c r="AD844" s="3">
        <f>278*((44/12)*(44/12))</f>
        <v>3737.5555555555552</v>
      </c>
      <c r="AE844" s="14"/>
      <c r="AF844" s="16">
        <v>0</v>
      </c>
      <c r="AG844" s="16">
        <v>1</v>
      </c>
      <c r="AH844" s="16">
        <v>0</v>
      </c>
      <c r="AI844" s="16">
        <v>1</v>
      </c>
      <c r="AJ844" s="5">
        <v>0</v>
      </c>
      <c r="AK844" s="5">
        <v>1</v>
      </c>
      <c r="AL844" s="5">
        <v>0</v>
      </c>
      <c r="AM844" s="20">
        <v>3</v>
      </c>
      <c r="AN844" s="20">
        <v>-1.1000000000000001</v>
      </c>
      <c r="AO844" s="16"/>
      <c r="AP844" s="16"/>
      <c r="AQ844" s="16"/>
      <c r="AR844" s="16">
        <v>0</v>
      </c>
      <c r="AS844" s="16">
        <v>0</v>
      </c>
      <c r="AT844" s="16"/>
      <c r="AU844" s="16"/>
      <c r="AV844" s="16"/>
      <c r="AW844" s="16"/>
      <c r="AX844" s="16">
        <v>0</v>
      </c>
      <c r="AY844" s="16">
        <v>0</v>
      </c>
      <c r="AZ844" s="16">
        <v>0</v>
      </c>
      <c r="BA844" s="16">
        <v>1</v>
      </c>
    </row>
    <row r="845" spans="1:53" x14ac:dyDescent="0.2">
      <c r="A845" s="14"/>
      <c r="B845" s="14" t="str">
        <f t="shared" si="235"/>
        <v>Kopp et al. 2012</v>
      </c>
      <c r="C845" s="61">
        <f t="shared" si="236"/>
        <v>78</v>
      </c>
      <c r="D845" s="58">
        <v>2012</v>
      </c>
      <c r="E845" s="17"/>
      <c r="F845" s="58">
        <v>1</v>
      </c>
      <c r="G845" s="22">
        <v>2005</v>
      </c>
      <c r="H845" s="15">
        <f>LOOKUP(G845,CPI!A$69:A$100,CPI!O$69:O$100)</f>
        <v>1.1165181771633383</v>
      </c>
      <c r="I845" s="52">
        <v>2015</v>
      </c>
      <c r="J845" s="15">
        <f t="shared" ref="J845:J908" si="237">1/144</f>
        <v>6.9444444444444441E-3</v>
      </c>
      <c r="K845" s="15"/>
      <c r="L845" s="62"/>
      <c r="M845" s="56">
        <f t="shared" si="234"/>
        <v>240.17546566535808</v>
      </c>
      <c r="N845" s="14">
        <f>73*(44/12)</f>
        <v>267.66666666666663</v>
      </c>
      <c r="O845" s="18">
        <f t="shared" si="233"/>
        <v>267.66666666666663</v>
      </c>
      <c r="P845" s="16">
        <v>0</v>
      </c>
      <c r="Q845" s="16">
        <v>0</v>
      </c>
      <c r="R845" s="16">
        <v>1</v>
      </c>
      <c r="S845" s="14"/>
      <c r="T845" s="56" t="str">
        <f t="shared" si="232"/>
        <v/>
      </c>
      <c r="U845" s="56">
        <f t="shared" ref="U845:U908" si="238">+(AA845-X845)/1.96*H845*(1+$L$2)^(2015-I845)</f>
        <v>76.586564306555516</v>
      </c>
      <c r="V845" s="56">
        <f t="shared" ref="V845:V908" si="239">+(AD845-AA845)/1.96*H845*(1+$L$2)^(2015-I845)</f>
        <v>1807.4429176347101</v>
      </c>
      <c r="W845" s="14"/>
      <c r="X845" s="3">
        <f>6*((44/12)*(44/12))</f>
        <v>80.666666666666657</v>
      </c>
      <c r="Y845" s="14"/>
      <c r="Z845" s="14"/>
      <c r="AA845" s="3">
        <f>16*((44/12)*(44/12))</f>
        <v>215.11111111111109</v>
      </c>
      <c r="AB845" s="14"/>
      <c r="AC845" s="14"/>
      <c r="AD845" s="3">
        <f>252*((44/12)*(44/12))</f>
        <v>3387.9999999999995</v>
      </c>
      <c r="AE845" s="14"/>
      <c r="AF845" s="16">
        <v>0</v>
      </c>
      <c r="AG845" s="16">
        <v>1</v>
      </c>
      <c r="AH845" s="16">
        <v>0</v>
      </c>
      <c r="AI845" s="16">
        <v>1</v>
      </c>
      <c r="AJ845" s="5">
        <v>0</v>
      </c>
      <c r="AK845" s="5">
        <v>1</v>
      </c>
      <c r="AL845" s="5">
        <v>0</v>
      </c>
      <c r="AM845" s="20">
        <v>3</v>
      </c>
      <c r="AN845" s="20">
        <v>-1.1000000000000001</v>
      </c>
      <c r="AO845" s="16"/>
      <c r="AP845" s="16"/>
      <c r="AQ845" s="16"/>
      <c r="AR845" s="16">
        <v>0</v>
      </c>
      <c r="AS845" s="16">
        <v>0</v>
      </c>
      <c r="AT845" s="16"/>
      <c r="AU845" s="16"/>
      <c r="AV845" s="16"/>
      <c r="AW845" s="16"/>
      <c r="AX845" s="16">
        <v>0</v>
      </c>
      <c r="AY845" s="16">
        <v>0</v>
      </c>
      <c r="AZ845" s="16">
        <v>0</v>
      </c>
      <c r="BA845" s="16">
        <v>1</v>
      </c>
    </row>
    <row r="846" spans="1:53" x14ac:dyDescent="0.2">
      <c r="A846" s="14"/>
      <c r="B846" s="14" t="str">
        <f t="shared" si="235"/>
        <v>Kopp et al. 2012</v>
      </c>
      <c r="C846" s="61">
        <f t="shared" si="236"/>
        <v>78</v>
      </c>
      <c r="D846" s="58">
        <v>2012</v>
      </c>
      <c r="E846" s="17"/>
      <c r="F846" s="58">
        <v>1</v>
      </c>
      <c r="G846" s="22">
        <v>2005</v>
      </c>
      <c r="H846" s="15">
        <f>LOOKUP(G846,CPI!A$69:A$100,CPI!O$69:O$100)</f>
        <v>1.1165181771633383</v>
      </c>
      <c r="I846" s="52">
        <v>2015</v>
      </c>
      <c r="J846" s="15">
        <f t="shared" si="237"/>
        <v>6.9444444444444441E-3</v>
      </c>
      <c r="K846" s="15"/>
      <c r="L846" s="62"/>
      <c r="M846" s="56">
        <f t="shared" si="234"/>
        <v>630.46059737156497</v>
      </c>
      <c r="N846" s="14">
        <f>219*(44/12)</f>
        <v>803</v>
      </c>
      <c r="O846" s="18">
        <f t="shared" si="233"/>
        <v>803</v>
      </c>
      <c r="P846" s="16">
        <v>0</v>
      </c>
      <c r="Q846" s="16">
        <v>0</v>
      </c>
      <c r="R846" s="16">
        <v>1</v>
      </c>
      <c r="S846" s="14"/>
      <c r="T846" s="56" t="str">
        <f t="shared" si="232"/>
        <v/>
      </c>
      <c r="U846" s="56">
        <f t="shared" si="238"/>
        <v>222.10103648901099</v>
      </c>
      <c r="V846" s="56">
        <f t="shared" si="239"/>
        <v>6670.6897511009847</v>
      </c>
      <c r="W846" s="14"/>
      <c r="X846" s="3">
        <f>13*((44/12)*(44/12))</f>
        <v>174.77777777777777</v>
      </c>
      <c r="Y846" s="14"/>
      <c r="Z846" s="14"/>
      <c r="AA846" s="3">
        <f>42*((44/12)*(44/12))</f>
        <v>564.66666666666663</v>
      </c>
      <c r="AB846" s="14"/>
      <c r="AC846" s="14"/>
      <c r="AD846" s="3">
        <f>913*((44/12)*(44/12))</f>
        <v>12274.777777777776</v>
      </c>
      <c r="AE846" s="14"/>
      <c r="AF846" s="16">
        <v>0</v>
      </c>
      <c r="AG846" s="16">
        <v>1</v>
      </c>
      <c r="AH846" s="16">
        <v>0</v>
      </c>
      <c r="AI846" s="16">
        <v>1</v>
      </c>
      <c r="AJ846" s="5">
        <v>0</v>
      </c>
      <c r="AK846" s="5">
        <v>1</v>
      </c>
      <c r="AL846" s="5">
        <v>0</v>
      </c>
      <c r="AM846" s="20">
        <v>3</v>
      </c>
      <c r="AN846" s="20">
        <v>-1.1000000000000001</v>
      </c>
      <c r="AO846" s="16"/>
      <c r="AP846" s="16"/>
      <c r="AQ846" s="16"/>
      <c r="AR846" s="16">
        <v>0</v>
      </c>
      <c r="AS846" s="16">
        <v>0</v>
      </c>
      <c r="AT846" s="16"/>
      <c r="AU846" s="16"/>
      <c r="AV846" s="16"/>
      <c r="AW846" s="16"/>
      <c r="AX846" s="16">
        <v>0</v>
      </c>
      <c r="AY846" s="16">
        <v>0</v>
      </c>
      <c r="AZ846" s="16">
        <v>0</v>
      </c>
      <c r="BA846" s="16">
        <v>1</v>
      </c>
    </row>
    <row r="847" spans="1:53" x14ac:dyDescent="0.2">
      <c r="A847" s="14"/>
      <c r="B847" s="14" t="str">
        <f t="shared" si="235"/>
        <v>Kopp et al. 2012</v>
      </c>
      <c r="C847" s="61">
        <f t="shared" si="236"/>
        <v>78</v>
      </c>
      <c r="D847" s="58">
        <v>2012</v>
      </c>
      <c r="E847" s="17"/>
      <c r="F847" s="58">
        <v>1</v>
      </c>
      <c r="G847" s="22">
        <v>2005</v>
      </c>
      <c r="H847" s="15">
        <f>LOOKUP(G847,CPI!A$69:A$100,CPI!O$69:O$100)</f>
        <v>1.1165181771633383</v>
      </c>
      <c r="I847" s="52">
        <v>2015</v>
      </c>
      <c r="J847" s="15">
        <f t="shared" si="237"/>
        <v>6.9444444444444441E-3</v>
      </c>
      <c r="K847" s="15"/>
      <c r="L847" s="62"/>
      <c r="M847" s="56">
        <f t="shared" si="234"/>
        <v>630.46059737156497</v>
      </c>
      <c r="N847" s="14">
        <f>219*(44/12)</f>
        <v>803</v>
      </c>
      <c r="O847" s="18">
        <f t="shared" si="233"/>
        <v>803</v>
      </c>
      <c r="P847" s="16">
        <v>0</v>
      </c>
      <c r="Q847" s="16">
        <v>0</v>
      </c>
      <c r="R847" s="16">
        <v>1</v>
      </c>
      <c r="S847" s="14"/>
      <c r="T847" s="56" t="str">
        <f t="shared" ref="T847:T910" si="240">IF(OR(M847="",S847=""),"",S847*H847*(1+$L$2)^(2015-I847))</f>
        <v/>
      </c>
      <c r="U847" s="56">
        <f t="shared" si="238"/>
        <v>222.10103648901099</v>
      </c>
      <c r="V847" s="56">
        <f t="shared" si="239"/>
        <v>6670.6897511009847</v>
      </c>
      <c r="W847" s="14"/>
      <c r="X847" s="3">
        <f>13*((44/12)*(44/12))</f>
        <v>174.77777777777777</v>
      </c>
      <c r="Y847" s="14"/>
      <c r="Z847" s="14"/>
      <c r="AA847" s="3">
        <f>42*((44/12)*(44/12))</f>
        <v>564.66666666666663</v>
      </c>
      <c r="AB847" s="14"/>
      <c r="AC847" s="14"/>
      <c r="AD847" s="3">
        <f>913*((44/12)*(44/12))</f>
        <v>12274.777777777776</v>
      </c>
      <c r="AE847" s="14"/>
      <c r="AF847" s="16">
        <v>0</v>
      </c>
      <c r="AG847" s="16">
        <v>1</v>
      </c>
      <c r="AH847" s="16">
        <v>0</v>
      </c>
      <c r="AI847" s="16">
        <v>1</v>
      </c>
      <c r="AJ847" s="5">
        <v>0</v>
      </c>
      <c r="AK847" s="5">
        <v>1</v>
      </c>
      <c r="AL847" s="5">
        <v>0</v>
      </c>
      <c r="AM847" s="20">
        <v>3</v>
      </c>
      <c r="AN847" s="20">
        <v>-1.1000000000000001</v>
      </c>
      <c r="AO847" s="16"/>
      <c r="AP847" s="16"/>
      <c r="AQ847" s="16"/>
      <c r="AR847" s="16">
        <v>0</v>
      </c>
      <c r="AS847" s="16">
        <v>0</v>
      </c>
      <c r="AT847" s="16"/>
      <c r="AU847" s="16"/>
      <c r="AV847" s="16"/>
      <c r="AW847" s="16"/>
      <c r="AX847" s="16">
        <v>0</v>
      </c>
      <c r="AY847" s="16">
        <v>0</v>
      </c>
      <c r="AZ847" s="16">
        <v>0</v>
      </c>
      <c r="BA847" s="16">
        <v>1</v>
      </c>
    </row>
    <row r="848" spans="1:53" x14ac:dyDescent="0.2">
      <c r="A848" s="14"/>
      <c r="B848" s="14" t="str">
        <f t="shared" si="235"/>
        <v>Kopp et al. 2012</v>
      </c>
      <c r="C848" s="61">
        <f t="shared" si="236"/>
        <v>78</v>
      </c>
      <c r="D848" s="58">
        <v>2012</v>
      </c>
      <c r="E848" s="17"/>
      <c r="F848" s="58">
        <v>1</v>
      </c>
      <c r="G848" s="22">
        <v>2005</v>
      </c>
      <c r="H848" s="15">
        <f>LOOKUP(G848,CPI!A$69:A$100,CPI!O$69:O$100)</f>
        <v>1.1165181771633383</v>
      </c>
      <c r="I848" s="52">
        <v>2015</v>
      </c>
      <c r="J848" s="15">
        <f t="shared" si="237"/>
        <v>6.9444444444444441E-3</v>
      </c>
      <c r="K848" s="15"/>
      <c r="L848" s="62"/>
      <c r="M848" s="56">
        <f t="shared" si="234"/>
        <v>195.14256585310346</v>
      </c>
      <c r="N848" s="14">
        <f>1008*(44/12)</f>
        <v>3696</v>
      </c>
      <c r="O848" s="18">
        <f t="shared" si="233"/>
        <v>3696</v>
      </c>
      <c r="P848" s="16">
        <v>0</v>
      </c>
      <c r="Q848" s="16">
        <v>0</v>
      </c>
      <c r="R848" s="16">
        <v>1</v>
      </c>
      <c r="S848" s="14"/>
      <c r="T848" s="56" t="str">
        <f t="shared" si="240"/>
        <v/>
      </c>
      <c r="U848" s="56">
        <f t="shared" si="238"/>
        <v>91.903877167866611</v>
      </c>
      <c r="V848" s="56">
        <f t="shared" si="239"/>
        <v>13471.576661523113</v>
      </c>
      <c r="W848" s="14"/>
      <c r="X848" s="3">
        <f>1*((44/12)*(44/12))</f>
        <v>13.444444444444443</v>
      </c>
      <c r="Y848" s="14"/>
      <c r="Z848" s="14"/>
      <c r="AA848" s="3">
        <f>13*((44/12)*(44/12))</f>
        <v>174.77777777777777</v>
      </c>
      <c r="AB848" s="14"/>
      <c r="AC848" s="14"/>
      <c r="AD848" s="3">
        <f>1772*((44/12)*(44/12))</f>
        <v>23823.555555555551</v>
      </c>
      <c r="AE848" s="14"/>
      <c r="AF848" s="16">
        <v>0</v>
      </c>
      <c r="AG848" s="16">
        <v>1</v>
      </c>
      <c r="AH848" s="16">
        <v>0</v>
      </c>
      <c r="AI848" s="16">
        <v>1</v>
      </c>
      <c r="AJ848" s="5">
        <v>0</v>
      </c>
      <c r="AK848" s="5">
        <v>1</v>
      </c>
      <c r="AL848" s="5">
        <v>0</v>
      </c>
      <c r="AM848" s="20">
        <v>3</v>
      </c>
      <c r="AN848" s="20">
        <v>-1.1000000000000001</v>
      </c>
      <c r="AO848" s="16"/>
      <c r="AP848" s="16"/>
      <c r="AQ848" s="16"/>
      <c r="AR848" s="16">
        <v>0</v>
      </c>
      <c r="AS848" s="16">
        <v>0</v>
      </c>
      <c r="AT848" s="16"/>
      <c r="AU848" s="16"/>
      <c r="AV848" s="16"/>
      <c r="AW848" s="16"/>
      <c r="AX848" s="16">
        <v>0</v>
      </c>
      <c r="AY848" s="16">
        <v>0</v>
      </c>
      <c r="AZ848" s="16">
        <v>0</v>
      </c>
      <c r="BA848" s="16">
        <v>1</v>
      </c>
    </row>
    <row r="849" spans="1:53" x14ac:dyDescent="0.2">
      <c r="A849" s="14"/>
      <c r="B849" s="14" t="str">
        <f t="shared" si="235"/>
        <v>Kopp et al. 2012</v>
      </c>
      <c r="C849" s="61">
        <f t="shared" si="236"/>
        <v>78</v>
      </c>
      <c r="D849" s="58">
        <v>2012</v>
      </c>
      <c r="E849" s="17"/>
      <c r="F849" s="58">
        <v>1</v>
      </c>
      <c r="G849" s="22">
        <v>2005</v>
      </c>
      <c r="H849" s="15">
        <f>LOOKUP(G849,CPI!A$69:A$100,CPI!O$69:O$100)</f>
        <v>1.1165181771633383</v>
      </c>
      <c r="I849" s="52">
        <v>2015</v>
      </c>
      <c r="J849" s="15">
        <f t="shared" si="237"/>
        <v>6.9444444444444441E-3</v>
      </c>
      <c r="K849" s="15"/>
      <c r="L849" s="62"/>
      <c r="M849" s="56">
        <f t="shared" si="234"/>
        <v>135.09869943676392</v>
      </c>
      <c r="N849" s="14">
        <f>718*(44/12)</f>
        <v>2632.6666666666665</v>
      </c>
      <c r="O849" s="18">
        <f t="shared" si="233"/>
        <v>2632.6666666666665</v>
      </c>
      <c r="P849" s="16">
        <v>0</v>
      </c>
      <c r="Q849" s="16">
        <v>0</v>
      </c>
      <c r="R849" s="16">
        <v>1</v>
      </c>
      <c r="S849" s="14"/>
      <c r="T849" s="56" t="str">
        <f t="shared" si="240"/>
        <v/>
      </c>
      <c r="U849" s="56">
        <f t="shared" si="238"/>
        <v>61.269251445244407</v>
      </c>
      <c r="V849" s="56">
        <f t="shared" si="239"/>
        <v>6747.276315407541</v>
      </c>
      <c r="W849" s="14"/>
      <c r="X849" s="3">
        <f>1*((44/12)*(44/12))</f>
        <v>13.444444444444443</v>
      </c>
      <c r="Y849" s="14"/>
      <c r="Z849" s="14"/>
      <c r="AA849" s="3">
        <f>9*((44/12)*(44/12))</f>
        <v>120.99999999999999</v>
      </c>
      <c r="AB849" s="14"/>
      <c r="AC849" s="14"/>
      <c r="AD849" s="3">
        <f>890*((44/12)*(44/12))</f>
        <v>11965.555555555555</v>
      </c>
      <c r="AE849" s="14"/>
      <c r="AF849" s="16">
        <v>0</v>
      </c>
      <c r="AG849" s="16">
        <v>1</v>
      </c>
      <c r="AH849" s="16">
        <v>0</v>
      </c>
      <c r="AI849" s="16">
        <v>1</v>
      </c>
      <c r="AJ849" s="5">
        <v>0</v>
      </c>
      <c r="AK849" s="5">
        <v>1</v>
      </c>
      <c r="AL849" s="5">
        <v>0</v>
      </c>
      <c r="AM849" s="20">
        <v>3</v>
      </c>
      <c r="AN849" s="20">
        <v>-1.1000000000000001</v>
      </c>
      <c r="AO849" s="16"/>
      <c r="AP849" s="16"/>
      <c r="AQ849" s="16"/>
      <c r="AR849" s="16">
        <v>0</v>
      </c>
      <c r="AS849" s="16">
        <v>0</v>
      </c>
      <c r="AT849" s="16"/>
      <c r="AU849" s="16"/>
      <c r="AV849" s="16"/>
      <c r="AW849" s="16"/>
      <c r="AX849" s="16">
        <v>0</v>
      </c>
      <c r="AY849" s="16">
        <v>0</v>
      </c>
      <c r="AZ849" s="16">
        <v>0</v>
      </c>
      <c r="BA849" s="16">
        <v>1</v>
      </c>
    </row>
    <row r="850" spans="1:53" x14ac:dyDescent="0.2">
      <c r="A850" s="14"/>
      <c r="B850" s="14" t="str">
        <f t="shared" si="235"/>
        <v>Kopp et al. 2012</v>
      </c>
      <c r="C850" s="61">
        <f t="shared" si="236"/>
        <v>78</v>
      </c>
      <c r="D850" s="58">
        <v>2012</v>
      </c>
      <c r="E850" s="17"/>
      <c r="F850" s="58">
        <v>1</v>
      </c>
      <c r="G850" s="22">
        <v>2005</v>
      </c>
      <c r="H850" s="15">
        <f>LOOKUP(G850,CPI!A$69:A$100,CPI!O$69:O$100)</f>
        <v>1.1165181771633383</v>
      </c>
      <c r="I850" s="52">
        <v>2015</v>
      </c>
      <c r="J850" s="15">
        <f t="shared" si="237"/>
        <v>6.9444444444444441E-3</v>
      </c>
      <c r="K850" s="15"/>
      <c r="L850" s="62"/>
      <c r="M850" s="56">
        <f t="shared" si="234"/>
        <v>180.13159924901856</v>
      </c>
      <c r="N850" s="14">
        <f>723*(44/12)</f>
        <v>2651</v>
      </c>
      <c r="O850" s="18">
        <f t="shared" si="233"/>
        <v>2651</v>
      </c>
      <c r="P850" s="16">
        <v>0</v>
      </c>
      <c r="Q850" s="16">
        <v>0</v>
      </c>
      <c r="R850" s="16">
        <v>1</v>
      </c>
      <c r="S850" s="14"/>
      <c r="T850" s="56" t="str">
        <f t="shared" si="240"/>
        <v/>
      </c>
      <c r="U850" s="56">
        <f t="shared" si="238"/>
        <v>84.245220737211056</v>
      </c>
      <c r="V850" s="56">
        <f t="shared" si="239"/>
        <v>10247.282304217128</v>
      </c>
      <c r="W850" s="14"/>
      <c r="X850" s="3">
        <f>1*((44/12)*(44/12))</f>
        <v>13.444444444444443</v>
      </c>
      <c r="Y850" s="14"/>
      <c r="Z850" s="14"/>
      <c r="AA850" s="3">
        <f>12*((44/12)*(44/12))</f>
        <v>161.33333333333331</v>
      </c>
      <c r="AB850" s="14"/>
      <c r="AC850" s="14"/>
      <c r="AD850" s="3">
        <f>1350*((44/12)*(44/12))</f>
        <v>18149.999999999996</v>
      </c>
      <c r="AE850" s="14"/>
      <c r="AF850" s="16">
        <v>0</v>
      </c>
      <c r="AG850" s="16">
        <v>1</v>
      </c>
      <c r="AH850" s="16">
        <v>0</v>
      </c>
      <c r="AI850" s="16">
        <v>1</v>
      </c>
      <c r="AJ850" s="5">
        <v>0</v>
      </c>
      <c r="AK850" s="5">
        <v>1</v>
      </c>
      <c r="AL850" s="5">
        <v>0</v>
      </c>
      <c r="AM850" s="20">
        <v>3</v>
      </c>
      <c r="AN850" s="20">
        <v>-1.1000000000000001</v>
      </c>
      <c r="AO850" s="16"/>
      <c r="AP850" s="16"/>
      <c r="AQ850" s="16"/>
      <c r="AR850" s="16">
        <v>0</v>
      </c>
      <c r="AS850" s="16">
        <v>0</v>
      </c>
      <c r="AT850" s="16"/>
      <c r="AU850" s="16"/>
      <c r="AV850" s="16"/>
      <c r="AW850" s="16"/>
      <c r="AX850" s="16">
        <v>0</v>
      </c>
      <c r="AY850" s="16">
        <v>0</v>
      </c>
      <c r="AZ850" s="16">
        <v>0</v>
      </c>
      <c r="BA850" s="16">
        <v>1</v>
      </c>
    </row>
    <row r="851" spans="1:53" x14ac:dyDescent="0.2">
      <c r="A851" s="14"/>
      <c r="B851" s="14" t="str">
        <f t="shared" si="235"/>
        <v>Kopp et al. 2012</v>
      </c>
      <c r="C851" s="61">
        <f t="shared" si="236"/>
        <v>78</v>
      </c>
      <c r="D851" s="58">
        <v>2012</v>
      </c>
      <c r="E851" s="17"/>
      <c r="F851" s="58">
        <v>1</v>
      </c>
      <c r="G851" s="22">
        <v>2005</v>
      </c>
      <c r="H851" s="15">
        <f>LOOKUP(G851,CPI!A$69:A$100,CPI!O$69:O$100)</f>
        <v>1.1165181771633383</v>
      </c>
      <c r="I851" s="52">
        <v>2015</v>
      </c>
      <c r="J851" s="15">
        <f t="shared" si="237"/>
        <v>6.9444444444444441E-3</v>
      </c>
      <c r="K851" s="15"/>
      <c r="L851" s="62"/>
      <c r="M851" s="56">
        <f t="shared" si="234"/>
        <v>225.1644990612732</v>
      </c>
      <c r="N851" s="14">
        <f>777*(44/12)</f>
        <v>2849</v>
      </c>
      <c r="O851" s="18">
        <f t="shared" si="233"/>
        <v>2849</v>
      </c>
      <c r="P851" s="16">
        <v>0</v>
      </c>
      <c r="Q851" s="16">
        <v>0</v>
      </c>
      <c r="R851" s="16">
        <v>1</v>
      </c>
      <c r="S851" s="14"/>
      <c r="T851" s="56" t="str">
        <f t="shared" si="240"/>
        <v/>
      </c>
      <c r="U851" s="56">
        <f t="shared" si="238"/>
        <v>99.562533598522165</v>
      </c>
      <c r="V851" s="56">
        <f t="shared" si="239"/>
        <v>12904.836085654602</v>
      </c>
      <c r="W851" s="14"/>
      <c r="X851" s="3">
        <f>2*((44/12)*(44/12))</f>
        <v>26.888888888888886</v>
      </c>
      <c r="Y851" s="14"/>
      <c r="Z851" s="14"/>
      <c r="AA851" s="3">
        <f>15*((44/12)*(44/12))</f>
        <v>201.66666666666663</v>
      </c>
      <c r="AB851" s="14"/>
      <c r="AC851" s="14"/>
      <c r="AD851" s="3">
        <f>1700*((44/12)*(44/12))</f>
        <v>22855.555555555551</v>
      </c>
      <c r="AE851" s="14"/>
      <c r="AF851" s="16">
        <v>0</v>
      </c>
      <c r="AG851" s="16">
        <v>1</v>
      </c>
      <c r="AH851" s="16">
        <v>0</v>
      </c>
      <c r="AI851" s="16">
        <v>1</v>
      </c>
      <c r="AJ851" s="5">
        <v>0</v>
      </c>
      <c r="AK851" s="5">
        <v>1</v>
      </c>
      <c r="AL851" s="5">
        <v>0</v>
      </c>
      <c r="AM851" s="20">
        <v>3</v>
      </c>
      <c r="AN851" s="20">
        <v>-1.1000000000000001</v>
      </c>
      <c r="AO851" s="16"/>
      <c r="AP851" s="16"/>
      <c r="AQ851" s="16"/>
      <c r="AR851" s="16">
        <v>0</v>
      </c>
      <c r="AS851" s="16">
        <v>0</v>
      </c>
      <c r="AT851" s="16"/>
      <c r="AU851" s="16"/>
      <c r="AV851" s="16"/>
      <c r="AW851" s="16"/>
      <c r="AX851" s="16">
        <v>0</v>
      </c>
      <c r="AY851" s="16">
        <v>0</v>
      </c>
      <c r="AZ851" s="16">
        <v>0</v>
      </c>
      <c r="BA851" s="16">
        <v>1</v>
      </c>
    </row>
    <row r="852" spans="1:53" x14ac:dyDescent="0.2">
      <c r="A852" s="14"/>
      <c r="B852" s="14" t="str">
        <f t="shared" si="235"/>
        <v>Kopp et al. 2012</v>
      </c>
      <c r="C852" s="61">
        <f t="shared" si="236"/>
        <v>78</v>
      </c>
      <c r="D852" s="58">
        <v>2012</v>
      </c>
      <c r="E852" s="17"/>
      <c r="F852" s="58">
        <v>1</v>
      </c>
      <c r="G852" s="22">
        <v>2005</v>
      </c>
      <c r="H852" s="15">
        <f>LOOKUP(G852,CPI!A$69:A$100,CPI!O$69:O$100)</f>
        <v>1.1165181771633383</v>
      </c>
      <c r="I852" s="52">
        <v>2015</v>
      </c>
      <c r="J852" s="15">
        <f t="shared" si="237"/>
        <v>6.9444444444444441E-3</v>
      </c>
      <c r="K852" s="15"/>
      <c r="L852" s="62"/>
      <c r="M852" s="56">
        <f t="shared" si="234"/>
        <v>450.32899812254641</v>
      </c>
      <c r="N852" s="14">
        <f>34*(44/12)</f>
        <v>124.66666666666666</v>
      </c>
      <c r="O852" s="18">
        <f t="shared" si="233"/>
        <v>124.66666666666666</v>
      </c>
      <c r="P852" s="16">
        <v>0</v>
      </c>
      <c r="Q852" s="16">
        <v>0</v>
      </c>
      <c r="R852" s="16">
        <v>1</v>
      </c>
      <c r="S852" s="14"/>
      <c r="T852" s="56" t="str">
        <f t="shared" si="240"/>
        <v/>
      </c>
      <c r="U852" s="56">
        <f t="shared" si="238"/>
        <v>122.5385028904888</v>
      </c>
      <c r="V852" s="56">
        <f t="shared" si="239"/>
        <v>298.68760079556648</v>
      </c>
      <c r="W852" s="14"/>
      <c r="X852" s="3">
        <f>14*((44/12)*(44/12))</f>
        <v>188.2222222222222</v>
      </c>
      <c r="Y852" s="14"/>
      <c r="Z852" s="14"/>
      <c r="AA852" s="3">
        <f>30*((44/12)*(44/12))</f>
        <v>403.33333333333326</v>
      </c>
      <c r="AB852" s="14"/>
      <c r="AC852" s="14"/>
      <c r="AD852" s="3">
        <f>69*((44/12)*(44/12))</f>
        <v>927.66666666666652</v>
      </c>
      <c r="AE852" s="14"/>
      <c r="AF852" s="16">
        <v>0</v>
      </c>
      <c r="AG852" s="16">
        <v>1</v>
      </c>
      <c r="AH852" s="16">
        <v>0</v>
      </c>
      <c r="AI852" s="16">
        <v>1</v>
      </c>
      <c r="AJ852" s="5">
        <v>0</v>
      </c>
      <c r="AK852" s="5">
        <v>1</v>
      </c>
      <c r="AL852" s="5">
        <v>0</v>
      </c>
      <c r="AM852" s="20">
        <v>3</v>
      </c>
      <c r="AN852" s="20">
        <v>3</v>
      </c>
      <c r="AO852" s="16"/>
      <c r="AP852" s="16"/>
      <c r="AQ852" s="16"/>
      <c r="AR852" s="16">
        <v>0</v>
      </c>
      <c r="AS852" s="16">
        <v>0</v>
      </c>
      <c r="AT852" s="16"/>
      <c r="AU852" s="16"/>
      <c r="AV852" s="16"/>
      <c r="AW852" s="16"/>
      <c r="AX852" s="16">
        <v>0</v>
      </c>
      <c r="AY852" s="16">
        <v>0</v>
      </c>
      <c r="AZ852" s="16">
        <v>0</v>
      </c>
      <c r="BA852" s="16">
        <v>1</v>
      </c>
    </row>
    <row r="853" spans="1:53" x14ac:dyDescent="0.2">
      <c r="A853" s="14"/>
      <c r="B853" s="14" t="str">
        <f t="shared" si="235"/>
        <v>Kopp et al. 2012</v>
      </c>
      <c r="C853" s="61">
        <f t="shared" si="236"/>
        <v>78</v>
      </c>
      <c r="D853" s="58">
        <v>2012</v>
      </c>
      <c r="E853" s="17"/>
      <c r="F853" s="58">
        <v>1</v>
      </c>
      <c r="G853" s="22">
        <v>2005</v>
      </c>
      <c r="H853" s="15">
        <f>LOOKUP(G853,CPI!A$69:A$100,CPI!O$69:O$100)</f>
        <v>1.1165181771633383</v>
      </c>
      <c r="I853" s="52">
        <v>2015</v>
      </c>
      <c r="J853" s="15">
        <f t="shared" si="237"/>
        <v>6.9444444444444441E-3</v>
      </c>
      <c r="K853" s="15"/>
      <c r="L853" s="62"/>
      <c r="M853" s="56">
        <f t="shared" si="234"/>
        <v>465.33996472663125</v>
      </c>
      <c r="N853" s="14">
        <f>35*(44/12)</f>
        <v>128.33333333333331</v>
      </c>
      <c r="O853" s="18">
        <f t="shared" si="233"/>
        <v>128.33333333333331</v>
      </c>
      <c r="P853" s="16">
        <v>0</v>
      </c>
      <c r="Q853" s="16">
        <v>0</v>
      </c>
      <c r="R853" s="16">
        <v>1</v>
      </c>
      <c r="S853" s="14"/>
      <c r="T853" s="56" t="str">
        <f t="shared" si="240"/>
        <v/>
      </c>
      <c r="U853" s="56">
        <f t="shared" si="238"/>
        <v>130.19715932114437</v>
      </c>
      <c r="V853" s="56">
        <f t="shared" si="239"/>
        <v>306.34625722622206</v>
      </c>
      <c r="W853" s="14"/>
      <c r="X853" s="3">
        <f>14*((44/12)*(44/12))</f>
        <v>188.2222222222222</v>
      </c>
      <c r="Y853" s="14"/>
      <c r="Z853" s="14"/>
      <c r="AA853" s="3">
        <f>31*((44/12)*(44/12))</f>
        <v>416.77777777777771</v>
      </c>
      <c r="AB853" s="14"/>
      <c r="AC853" s="14"/>
      <c r="AD853" s="3">
        <f>71*((44/12)*(44/12))</f>
        <v>954.55555555555543</v>
      </c>
      <c r="AE853" s="14"/>
      <c r="AF853" s="16">
        <v>0</v>
      </c>
      <c r="AG853" s="16">
        <v>1</v>
      </c>
      <c r="AH853" s="16">
        <v>0</v>
      </c>
      <c r="AI853" s="16">
        <v>1</v>
      </c>
      <c r="AJ853" s="5">
        <v>0</v>
      </c>
      <c r="AK853" s="5">
        <v>1</v>
      </c>
      <c r="AL853" s="5">
        <v>0</v>
      </c>
      <c r="AM853" s="20">
        <v>3</v>
      </c>
      <c r="AN853" s="20">
        <v>3</v>
      </c>
      <c r="AO853" s="16"/>
      <c r="AP853" s="16"/>
      <c r="AQ853" s="16"/>
      <c r="AR853" s="16">
        <v>0</v>
      </c>
      <c r="AS853" s="16">
        <v>0</v>
      </c>
      <c r="AT853" s="16"/>
      <c r="AU853" s="16"/>
      <c r="AV853" s="16"/>
      <c r="AW853" s="16"/>
      <c r="AX853" s="16">
        <v>0</v>
      </c>
      <c r="AY853" s="16">
        <v>0</v>
      </c>
      <c r="AZ853" s="16">
        <v>0</v>
      </c>
      <c r="BA853" s="16">
        <v>1</v>
      </c>
    </row>
    <row r="854" spans="1:53" x14ac:dyDescent="0.2">
      <c r="A854" s="14"/>
      <c r="B854" s="14" t="str">
        <f t="shared" si="235"/>
        <v>Kopp et al. 2012</v>
      </c>
      <c r="C854" s="61">
        <f t="shared" si="236"/>
        <v>78</v>
      </c>
      <c r="D854" s="58">
        <v>2012</v>
      </c>
      <c r="E854" s="17"/>
      <c r="F854" s="58">
        <v>1</v>
      </c>
      <c r="G854" s="22">
        <v>2005</v>
      </c>
      <c r="H854" s="15">
        <f>LOOKUP(G854,CPI!A$69:A$100,CPI!O$69:O$100)</f>
        <v>1.1165181771633383</v>
      </c>
      <c r="I854" s="52">
        <v>2015</v>
      </c>
      <c r="J854" s="15">
        <f t="shared" si="237"/>
        <v>6.9444444444444441E-3</v>
      </c>
      <c r="K854" s="15"/>
      <c r="L854" s="62"/>
      <c r="M854" s="56">
        <f t="shared" si="234"/>
        <v>420.30706491437667</v>
      </c>
      <c r="N854" s="14">
        <f>33*(44/12)</f>
        <v>121</v>
      </c>
      <c r="O854" s="18">
        <f t="shared" si="233"/>
        <v>121</v>
      </c>
      <c r="P854" s="16">
        <v>0</v>
      </c>
      <c r="Q854" s="16">
        <v>0</v>
      </c>
      <c r="R854" s="16">
        <v>1</v>
      </c>
      <c r="S854" s="14"/>
      <c r="T854" s="56" t="str">
        <f t="shared" si="240"/>
        <v/>
      </c>
      <c r="U854" s="56">
        <f t="shared" si="238"/>
        <v>122.53850289048881</v>
      </c>
      <c r="V854" s="56">
        <f t="shared" si="239"/>
        <v>314.00491365687765</v>
      </c>
      <c r="W854" s="14"/>
      <c r="X854" s="3">
        <f>12*((44/12)*(44/12))</f>
        <v>161.33333333333331</v>
      </c>
      <c r="Y854" s="14"/>
      <c r="Z854" s="14"/>
      <c r="AA854" s="3">
        <f>28*((44/12)*(44/12))</f>
        <v>376.4444444444444</v>
      </c>
      <c r="AB854" s="14"/>
      <c r="AC854" s="14"/>
      <c r="AD854" s="3">
        <f>69*((44/12)*(44/12))</f>
        <v>927.66666666666652</v>
      </c>
      <c r="AE854" s="14"/>
      <c r="AF854" s="16">
        <v>0</v>
      </c>
      <c r="AG854" s="16">
        <v>1</v>
      </c>
      <c r="AH854" s="16">
        <v>0</v>
      </c>
      <c r="AI854" s="16">
        <v>1</v>
      </c>
      <c r="AJ854" s="5">
        <v>0</v>
      </c>
      <c r="AK854" s="5">
        <v>1</v>
      </c>
      <c r="AL854" s="5">
        <v>0</v>
      </c>
      <c r="AM854" s="20">
        <v>3</v>
      </c>
      <c r="AN854" s="20">
        <v>3</v>
      </c>
      <c r="AO854" s="16"/>
      <c r="AP854" s="16"/>
      <c r="AQ854" s="16"/>
      <c r="AR854" s="16">
        <v>0</v>
      </c>
      <c r="AS854" s="16">
        <v>0</v>
      </c>
      <c r="AT854" s="16"/>
      <c r="AU854" s="16"/>
      <c r="AV854" s="16"/>
      <c r="AW854" s="16"/>
      <c r="AX854" s="16">
        <v>0</v>
      </c>
      <c r="AY854" s="16">
        <v>0</v>
      </c>
      <c r="AZ854" s="16">
        <v>0</v>
      </c>
      <c r="BA854" s="16">
        <v>1</v>
      </c>
    </row>
    <row r="855" spans="1:53" x14ac:dyDescent="0.2">
      <c r="A855" s="14"/>
      <c r="B855" s="14" t="str">
        <f t="shared" si="235"/>
        <v>Kopp et al. 2012</v>
      </c>
      <c r="C855" s="61">
        <f t="shared" si="236"/>
        <v>78</v>
      </c>
      <c r="D855" s="58">
        <v>2012</v>
      </c>
      <c r="E855" s="17"/>
      <c r="F855" s="58">
        <v>1</v>
      </c>
      <c r="G855" s="22">
        <v>2005</v>
      </c>
      <c r="H855" s="15">
        <f>LOOKUP(G855,CPI!A$69:A$100,CPI!O$69:O$100)</f>
        <v>1.1165181771633383</v>
      </c>
      <c r="I855" s="52">
        <v>2015</v>
      </c>
      <c r="J855" s="15">
        <f t="shared" si="237"/>
        <v>6.9444444444444441E-3</v>
      </c>
      <c r="K855" s="15"/>
      <c r="L855" s="62"/>
      <c r="M855" s="56">
        <f t="shared" si="234"/>
        <v>690.50446378790446</v>
      </c>
      <c r="N855" s="14">
        <f>52*(44/12)</f>
        <v>190.66666666666666</v>
      </c>
      <c r="O855" s="18">
        <f t="shared" si="233"/>
        <v>190.66666666666666</v>
      </c>
      <c r="P855" s="16">
        <v>0</v>
      </c>
      <c r="Q855" s="16">
        <v>0</v>
      </c>
      <c r="R855" s="16">
        <v>1</v>
      </c>
      <c r="S855" s="14"/>
      <c r="T855" s="56" t="str">
        <f t="shared" si="240"/>
        <v/>
      </c>
      <c r="U855" s="56">
        <f t="shared" si="238"/>
        <v>191.46641076638878</v>
      </c>
      <c r="V855" s="56">
        <f t="shared" si="239"/>
        <v>451.86072940867751</v>
      </c>
      <c r="W855" s="14"/>
      <c r="X855" s="3">
        <f>21*((44/12)*(44/12))</f>
        <v>282.33333333333331</v>
      </c>
      <c r="Y855" s="14"/>
      <c r="Z855" s="14"/>
      <c r="AA855" s="3">
        <f>46*((44/12)*(44/12))</f>
        <v>618.44444444444434</v>
      </c>
      <c r="AB855" s="14"/>
      <c r="AC855" s="14"/>
      <c r="AD855" s="3">
        <f>105*((44/12)*(44/12))</f>
        <v>1411.6666666666665</v>
      </c>
      <c r="AE855" s="14"/>
      <c r="AF855" s="16">
        <v>0</v>
      </c>
      <c r="AG855" s="16">
        <v>1</v>
      </c>
      <c r="AH855" s="16">
        <v>0</v>
      </c>
      <c r="AI855" s="16">
        <v>1</v>
      </c>
      <c r="AJ855" s="5">
        <v>0</v>
      </c>
      <c r="AK855" s="5">
        <v>1</v>
      </c>
      <c r="AL855" s="5">
        <v>0</v>
      </c>
      <c r="AM855" s="20">
        <v>3</v>
      </c>
      <c r="AN855" s="20">
        <v>3</v>
      </c>
      <c r="AO855" s="16"/>
      <c r="AP855" s="16"/>
      <c r="AQ855" s="16"/>
      <c r="AR855" s="16">
        <v>0</v>
      </c>
      <c r="AS855" s="16">
        <v>0</v>
      </c>
      <c r="AT855" s="16"/>
      <c r="AU855" s="16"/>
      <c r="AV855" s="16"/>
      <c r="AW855" s="16"/>
      <c r="AX855" s="16">
        <v>0</v>
      </c>
      <c r="AY855" s="16">
        <v>0</v>
      </c>
      <c r="AZ855" s="16">
        <v>0</v>
      </c>
      <c r="BA855" s="16">
        <v>1</v>
      </c>
    </row>
    <row r="856" spans="1:53" x14ac:dyDescent="0.2">
      <c r="A856" s="14"/>
      <c r="B856" s="14" t="str">
        <f t="shared" si="235"/>
        <v>Kopp et al. 2012</v>
      </c>
      <c r="C856" s="61">
        <f t="shared" si="236"/>
        <v>78</v>
      </c>
      <c r="D856" s="58">
        <v>2012</v>
      </c>
      <c r="E856" s="17"/>
      <c r="F856" s="58">
        <v>1</v>
      </c>
      <c r="G856" s="22">
        <v>2005</v>
      </c>
      <c r="H856" s="15">
        <f>LOOKUP(G856,CPI!A$69:A$100,CPI!O$69:O$100)</f>
        <v>1.1165181771633383</v>
      </c>
      <c r="I856" s="52">
        <v>2015</v>
      </c>
      <c r="J856" s="15">
        <f t="shared" si="237"/>
        <v>6.9444444444444441E-3</v>
      </c>
      <c r="K856" s="15"/>
      <c r="L856" s="62"/>
      <c r="M856" s="56">
        <f t="shared" si="234"/>
        <v>330.24126528986733</v>
      </c>
      <c r="N856" s="14">
        <f>24*(44/12)</f>
        <v>88</v>
      </c>
      <c r="O856" s="18">
        <f t="shared" si="233"/>
        <v>88</v>
      </c>
      <c r="P856" s="16">
        <v>0</v>
      </c>
      <c r="Q856" s="16">
        <v>0</v>
      </c>
      <c r="R856" s="16">
        <v>1</v>
      </c>
      <c r="S856" s="14"/>
      <c r="T856" s="56" t="str">
        <f t="shared" si="240"/>
        <v/>
      </c>
      <c r="U856" s="56">
        <f t="shared" si="238"/>
        <v>84.245220737211056</v>
      </c>
      <c r="V856" s="56">
        <f t="shared" si="239"/>
        <v>168.49044147442211</v>
      </c>
      <c r="W856" s="14"/>
      <c r="X856" s="3">
        <f>11*((44/12)*(44/12))</f>
        <v>147.88888888888886</v>
      </c>
      <c r="Y856" s="14"/>
      <c r="Z856" s="14"/>
      <c r="AA856" s="3">
        <f>22*((44/12)*(44/12))</f>
        <v>295.77777777777771</v>
      </c>
      <c r="AB856" s="14"/>
      <c r="AC856" s="14"/>
      <c r="AD856" s="3">
        <f>44*((44/12)*(44/12))</f>
        <v>591.55555555555543</v>
      </c>
      <c r="AE856" s="14"/>
      <c r="AF856" s="16">
        <v>0</v>
      </c>
      <c r="AG856" s="16">
        <v>1</v>
      </c>
      <c r="AH856" s="16">
        <v>0</v>
      </c>
      <c r="AI856" s="16">
        <v>1</v>
      </c>
      <c r="AJ856" s="5">
        <v>0</v>
      </c>
      <c r="AK856" s="5">
        <v>1</v>
      </c>
      <c r="AL856" s="5">
        <v>0</v>
      </c>
      <c r="AM856" s="20">
        <v>3</v>
      </c>
      <c r="AN856" s="20">
        <v>3</v>
      </c>
      <c r="AO856" s="16"/>
      <c r="AP856" s="16"/>
      <c r="AQ856" s="16"/>
      <c r="AR856" s="16">
        <v>0</v>
      </c>
      <c r="AS856" s="16">
        <v>0</v>
      </c>
      <c r="AT856" s="16"/>
      <c r="AU856" s="16"/>
      <c r="AV856" s="16"/>
      <c r="AW856" s="16"/>
      <c r="AX856" s="16">
        <v>0</v>
      </c>
      <c r="AY856" s="16">
        <v>0</v>
      </c>
      <c r="AZ856" s="16">
        <v>0</v>
      </c>
      <c r="BA856" s="16">
        <v>1</v>
      </c>
    </row>
    <row r="857" spans="1:53" x14ac:dyDescent="0.2">
      <c r="A857" s="14"/>
      <c r="B857" s="14" t="str">
        <f t="shared" si="235"/>
        <v>Kopp et al. 2012</v>
      </c>
      <c r="C857" s="61">
        <f t="shared" si="236"/>
        <v>78</v>
      </c>
      <c r="D857" s="58">
        <v>2012</v>
      </c>
      <c r="E857" s="17"/>
      <c r="F857" s="58">
        <v>1</v>
      </c>
      <c r="G857" s="22">
        <v>2005</v>
      </c>
      <c r="H857" s="15">
        <f>LOOKUP(G857,CPI!A$69:A$100,CPI!O$69:O$100)</f>
        <v>1.1165181771633383</v>
      </c>
      <c r="I857" s="52">
        <v>2015</v>
      </c>
      <c r="J857" s="15">
        <f t="shared" si="237"/>
        <v>6.9444444444444441E-3</v>
      </c>
      <c r="K857" s="15"/>
      <c r="L857" s="62"/>
      <c r="M857" s="56">
        <f t="shared" si="234"/>
        <v>870.63606303692313</v>
      </c>
      <c r="N857" s="14">
        <f>64*(44/12)</f>
        <v>234.66666666666666</v>
      </c>
      <c r="O857" s="18">
        <f t="shared" si="233"/>
        <v>234.66666666666666</v>
      </c>
      <c r="P857" s="16">
        <v>0</v>
      </c>
      <c r="Q857" s="16">
        <v>0</v>
      </c>
      <c r="R857" s="16">
        <v>1</v>
      </c>
      <c r="S857" s="14"/>
      <c r="T857" s="56" t="str">
        <f t="shared" si="240"/>
        <v/>
      </c>
      <c r="U857" s="56">
        <f t="shared" si="238"/>
        <v>245.07700578097763</v>
      </c>
      <c r="V857" s="56">
        <f t="shared" si="239"/>
        <v>497.81266799261084</v>
      </c>
      <c r="W857" s="14"/>
      <c r="X857" s="3">
        <f>26*((44/12)*(44/12))</f>
        <v>349.55555555555554</v>
      </c>
      <c r="Y857" s="14"/>
      <c r="Z857" s="14"/>
      <c r="AA857" s="3">
        <f>58*((44/12)*(44/12))</f>
        <v>779.77777777777771</v>
      </c>
      <c r="AB857" s="14"/>
      <c r="AC857" s="14"/>
      <c r="AD857" s="3">
        <f>123*((44/12)*(44/12))</f>
        <v>1653.6666666666665</v>
      </c>
      <c r="AE857" s="14"/>
      <c r="AF857" s="16">
        <v>0</v>
      </c>
      <c r="AG857" s="16">
        <v>1</v>
      </c>
      <c r="AH857" s="16">
        <v>0</v>
      </c>
      <c r="AI857" s="16">
        <v>1</v>
      </c>
      <c r="AJ857" s="5">
        <v>0</v>
      </c>
      <c r="AK857" s="5">
        <v>1</v>
      </c>
      <c r="AL857" s="5">
        <v>0</v>
      </c>
      <c r="AM857" s="20">
        <v>3</v>
      </c>
      <c r="AN857" s="20">
        <v>3</v>
      </c>
      <c r="AO857" s="16"/>
      <c r="AP857" s="16"/>
      <c r="AQ857" s="16"/>
      <c r="AR857" s="16">
        <v>0</v>
      </c>
      <c r="AS857" s="16">
        <v>0</v>
      </c>
      <c r="AT857" s="16"/>
      <c r="AU857" s="16"/>
      <c r="AV857" s="16"/>
      <c r="AW857" s="16"/>
      <c r="AX857" s="16">
        <v>0</v>
      </c>
      <c r="AY857" s="16">
        <v>0</v>
      </c>
      <c r="AZ857" s="16">
        <v>0</v>
      </c>
      <c r="BA857" s="16">
        <v>1</v>
      </c>
    </row>
    <row r="858" spans="1:53" x14ac:dyDescent="0.2">
      <c r="A858" s="14"/>
      <c r="B858" s="14" t="str">
        <f t="shared" si="235"/>
        <v>Kopp et al. 2012</v>
      </c>
      <c r="C858" s="61">
        <f t="shared" si="236"/>
        <v>78</v>
      </c>
      <c r="D858" s="58">
        <v>2012</v>
      </c>
      <c r="E858" s="17"/>
      <c r="F858" s="58">
        <v>1</v>
      </c>
      <c r="G858" s="22">
        <v>2005</v>
      </c>
      <c r="H858" s="15">
        <f>LOOKUP(G858,CPI!A$69:A$100,CPI!O$69:O$100)</f>
        <v>1.1165181771633383</v>
      </c>
      <c r="I858" s="52">
        <v>2015</v>
      </c>
      <c r="J858" s="15">
        <f t="shared" si="237"/>
        <v>6.9444444444444441E-3</v>
      </c>
      <c r="K858" s="15"/>
      <c r="L858" s="62"/>
      <c r="M858" s="56">
        <f t="shared" si="234"/>
        <v>360.26319849803713</v>
      </c>
      <c r="N858" s="14">
        <f>27*(44/12)</f>
        <v>99</v>
      </c>
      <c r="O858" s="18">
        <f t="shared" si="233"/>
        <v>99</v>
      </c>
      <c r="P858" s="16">
        <v>0</v>
      </c>
      <c r="Q858" s="16">
        <v>0</v>
      </c>
      <c r="R858" s="16">
        <v>1</v>
      </c>
      <c r="S858" s="14"/>
      <c r="T858" s="56" t="str">
        <f t="shared" si="240"/>
        <v/>
      </c>
      <c r="U858" s="56">
        <f t="shared" si="238"/>
        <v>91.903877167866611</v>
      </c>
      <c r="V858" s="56">
        <f t="shared" si="239"/>
        <v>206.78372362769991</v>
      </c>
      <c r="W858" s="14"/>
      <c r="X858" s="3">
        <f>12*((44/12)*(44/12))</f>
        <v>161.33333333333331</v>
      </c>
      <c r="Y858" s="14"/>
      <c r="Z858" s="14"/>
      <c r="AA858" s="3">
        <f>24*((44/12)*(44/12))</f>
        <v>322.66666666666663</v>
      </c>
      <c r="AB858" s="14"/>
      <c r="AC858" s="14"/>
      <c r="AD858" s="3">
        <f>51*((44/12)*(44/12))</f>
        <v>685.66666666666663</v>
      </c>
      <c r="AE858" s="14"/>
      <c r="AF858" s="16">
        <v>0</v>
      </c>
      <c r="AG858" s="16">
        <v>1</v>
      </c>
      <c r="AH858" s="16">
        <v>0</v>
      </c>
      <c r="AI858" s="16">
        <v>1</v>
      </c>
      <c r="AJ858" s="5">
        <v>0</v>
      </c>
      <c r="AK858" s="5">
        <v>1</v>
      </c>
      <c r="AL858" s="5">
        <v>0</v>
      </c>
      <c r="AM858" s="20">
        <v>3</v>
      </c>
      <c r="AN858" s="20">
        <v>3</v>
      </c>
      <c r="AO858" s="16"/>
      <c r="AP858" s="16"/>
      <c r="AQ858" s="16"/>
      <c r="AR858" s="16">
        <v>0</v>
      </c>
      <c r="AS858" s="16">
        <v>0</v>
      </c>
      <c r="AT858" s="16"/>
      <c r="AU858" s="16"/>
      <c r="AV858" s="16"/>
      <c r="AW858" s="16"/>
      <c r="AX858" s="16">
        <v>0</v>
      </c>
      <c r="AY858" s="16">
        <v>0</v>
      </c>
      <c r="AZ858" s="16">
        <v>0</v>
      </c>
      <c r="BA858" s="16">
        <v>1</v>
      </c>
    </row>
    <row r="859" spans="1:53" x14ac:dyDescent="0.2">
      <c r="A859" s="14"/>
      <c r="B859" s="14" t="str">
        <f t="shared" si="235"/>
        <v>Kopp et al. 2012</v>
      </c>
      <c r="C859" s="61">
        <f t="shared" si="236"/>
        <v>78</v>
      </c>
      <c r="D859" s="58">
        <v>2012</v>
      </c>
      <c r="E859" s="17"/>
      <c r="F859" s="58">
        <v>1</v>
      </c>
      <c r="G859" s="22">
        <v>2005</v>
      </c>
      <c r="H859" s="15">
        <f>LOOKUP(G859,CPI!A$69:A$100,CPI!O$69:O$100)</f>
        <v>1.1165181771633383</v>
      </c>
      <c r="I859" s="52">
        <v>2015</v>
      </c>
      <c r="J859" s="15">
        <f t="shared" si="237"/>
        <v>6.9444444444444441E-3</v>
      </c>
      <c r="K859" s="15"/>
      <c r="L859" s="62"/>
      <c r="M859" s="56">
        <f t="shared" si="234"/>
        <v>450.32899812254641</v>
      </c>
      <c r="N859" s="14">
        <f>35*(44/12)</f>
        <v>128.33333333333331</v>
      </c>
      <c r="O859" s="18">
        <f t="shared" si="233"/>
        <v>128.33333333333331</v>
      </c>
      <c r="P859" s="16">
        <v>0</v>
      </c>
      <c r="Q859" s="16">
        <v>0</v>
      </c>
      <c r="R859" s="16">
        <v>1</v>
      </c>
      <c r="S859" s="14"/>
      <c r="T859" s="56" t="str">
        <f t="shared" si="240"/>
        <v/>
      </c>
      <c r="U859" s="56">
        <f t="shared" si="238"/>
        <v>122.5385028904888</v>
      </c>
      <c r="V859" s="56">
        <f t="shared" si="239"/>
        <v>306.34625722622206</v>
      </c>
      <c r="W859" s="14"/>
      <c r="X859" s="3">
        <f>14*((44/12)*(44/12))</f>
        <v>188.2222222222222</v>
      </c>
      <c r="Y859" s="14"/>
      <c r="Z859" s="14"/>
      <c r="AA859" s="3">
        <f>30*((44/12)*(44/12))</f>
        <v>403.33333333333326</v>
      </c>
      <c r="AB859" s="14"/>
      <c r="AC859" s="14"/>
      <c r="AD859" s="3">
        <f>70*((44/12)*(44/12))</f>
        <v>941.11111111111097</v>
      </c>
      <c r="AE859" s="14"/>
      <c r="AF859" s="16">
        <v>0</v>
      </c>
      <c r="AG859" s="16">
        <v>1</v>
      </c>
      <c r="AH859" s="16">
        <v>0</v>
      </c>
      <c r="AI859" s="16">
        <v>1</v>
      </c>
      <c r="AJ859" s="5">
        <v>0</v>
      </c>
      <c r="AK859" s="5">
        <v>1</v>
      </c>
      <c r="AL859" s="5">
        <v>0</v>
      </c>
      <c r="AM859" s="20">
        <v>3</v>
      </c>
      <c r="AN859" s="20">
        <v>3</v>
      </c>
      <c r="AO859" s="16"/>
      <c r="AP859" s="16"/>
      <c r="AQ859" s="16"/>
      <c r="AR859" s="16">
        <v>0</v>
      </c>
      <c r="AS859" s="16">
        <v>0</v>
      </c>
      <c r="AT859" s="16"/>
      <c r="AU859" s="16"/>
      <c r="AV859" s="16"/>
      <c r="AW859" s="16"/>
      <c r="AX859" s="16">
        <v>0</v>
      </c>
      <c r="AY859" s="16">
        <v>0</v>
      </c>
      <c r="AZ859" s="16">
        <v>0</v>
      </c>
      <c r="BA859" s="16">
        <v>1</v>
      </c>
    </row>
    <row r="860" spans="1:53" x14ac:dyDescent="0.2">
      <c r="A860" s="14"/>
      <c r="B860" s="14" t="str">
        <f t="shared" si="235"/>
        <v>Kopp et al. 2012</v>
      </c>
      <c r="C860" s="61">
        <f t="shared" si="236"/>
        <v>78</v>
      </c>
      <c r="D860" s="58">
        <v>2012</v>
      </c>
      <c r="E860" s="17"/>
      <c r="F860" s="58">
        <v>1</v>
      </c>
      <c r="G860" s="22">
        <v>2005</v>
      </c>
      <c r="H860" s="15">
        <f>LOOKUP(G860,CPI!A$69:A$100,CPI!O$69:O$100)</f>
        <v>1.1165181771633383</v>
      </c>
      <c r="I860" s="52">
        <v>2015</v>
      </c>
      <c r="J860" s="15">
        <f t="shared" si="237"/>
        <v>6.9444444444444441E-3</v>
      </c>
      <c r="K860" s="15"/>
      <c r="L860" s="62"/>
      <c r="M860" s="56">
        <f t="shared" si="234"/>
        <v>450.32899812254641</v>
      </c>
      <c r="N860" s="14">
        <f>42*(44/12)</f>
        <v>154</v>
      </c>
      <c r="O860" s="18">
        <f t="shared" si="233"/>
        <v>154</v>
      </c>
      <c r="P860" s="16">
        <v>0</v>
      </c>
      <c r="Q860" s="16">
        <v>0</v>
      </c>
      <c r="R860" s="16">
        <v>1</v>
      </c>
      <c r="S860" s="14"/>
      <c r="T860" s="56" t="str">
        <f t="shared" si="240"/>
        <v/>
      </c>
      <c r="U860" s="56">
        <f t="shared" si="238"/>
        <v>122.5385028904888</v>
      </c>
      <c r="V860" s="56">
        <f t="shared" si="239"/>
        <v>298.68760079556648</v>
      </c>
      <c r="W860" s="14"/>
      <c r="X860" s="3">
        <f>14*((44/12)*(44/12))</f>
        <v>188.2222222222222</v>
      </c>
      <c r="Y860" s="14"/>
      <c r="Z860" s="14"/>
      <c r="AA860" s="3">
        <f>30*((44/12)*(44/12))</f>
        <v>403.33333333333326</v>
      </c>
      <c r="AB860" s="14"/>
      <c r="AC860" s="14"/>
      <c r="AD860" s="3">
        <f>69*((44/12)*(44/12))</f>
        <v>927.66666666666652</v>
      </c>
      <c r="AE860" s="14"/>
      <c r="AF860" s="16">
        <v>0</v>
      </c>
      <c r="AG860" s="16">
        <v>1</v>
      </c>
      <c r="AH860" s="16">
        <v>0</v>
      </c>
      <c r="AI860" s="16">
        <v>1</v>
      </c>
      <c r="AJ860" s="5">
        <v>0</v>
      </c>
      <c r="AK860" s="5">
        <v>1</v>
      </c>
      <c r="AL860" s="5">
        <v>0</v>
      </c>
      <c r="AM860" s="20">
        <v>3</v>
      </c>
      <c r="AN860" s="20">
        <v>3</v>
      </c>
      <c r="AO860" s="16"/>
      <c r="AP860" s="16"/>
      <c r="AQ860" s="16"/>
      <c r="AR860" s="16">
        <v>0</v>
      </c>
      <c r="AS860" s="16">
        <v>0</v>
      </c>
      <c r="AT860" s="16"/>
      <c r="AU860" s="16"/>
      <c r="AV860" s="16"/>
      <c r="AW860" s="16"/>
      <c r="AX860" s="16">
        <v>0</v>
      </c>
      <c r="AY860" s="16">
        <v>0</v>
      </c>
      <c r="AZ860" s="16">
        <v>0</v>
      </c>
      <c r="BA860" s="16">
        <v>1</v>
      </c>
    </row>
    <row r="861" spans="1:53" x14ac:dyDescent="0.2">
      <c r="A861" s="14"/>
      <c r="B861" s="14" t="str">
        <f t="shared" si="235"/>
        <v>Kopp et al. 2012</v>
      </c>
      <c r="C861" s="61">
        <f t="shared" si="236"/>
        <v>78</v>
      </c>
      <c r="D861" s="58">
        <v>2012</v>
      </c>
      <c r="E861" s="17"/>
      <c r="F861" s="58">
        <v>1</v>
      </c>
      <c r="G861" s="22">
        <v>2005</v>
      </c>
      <c r="H861" s="15">
        <f>LOOKUP(G861,CPI!A$69:A$100,CPI!O$69:O$100)</f>
        <v>1.1165181771633383</v>
      </c>
      <c r="I861" s="52">
        <v>2015</v>
      </c>
      <c r="J861" s="15">
        <f t="shared" si="237"/>
        <v>6.9444444444444441E-3</v>
      </c>
      <c r="K861" s="15"/>
      <c r="L861" s="62"/>
      <c r="M861" s="56">
        <f t="shared" si="234"/>
        <v>510.37286453888595</v>
      </c>
      <c r="N861" s="14">
        <f>50*(44/12)</f>
        <v>183.33333333333331</v>
      </c>
      <c r="O861" s="18">
        <f t="shared" si="233"/>
        <v>183.33333333333331</v>
      </c>
      <c r="P861" s="16">
        <v>0</v>
      </c>
      <c r="Q861" s="16">
        <v>0</v>
      </c>
      <c r="R861" s="16">
        <v>1</v>
      </c>
      <c r="S861" s="14"/>
      <c r="T861" s="56" t="str">
        <f t="shared" si="240"/>
        <v/>
      </c>
      <c r="U861" s="56">
        <f t="shared" si="238"/>
        <v>160.83178504376659</v>
      </c>
      <c r="V861" s="56">
        <f t="shared" si="239"/>
        <v>873.08683309473281</v>
      </c>
      <c r="W861" s="14"/>
      <c r="X861" s="3">
        <f>13*((44/12)*(44/12))</f>
        <v>174.77777777777777</v>
      </c>
      <c r="Y861" s="14"/>
      <c r="Z861" s="14"/>
      <c r="AA861" s="3">
        <f>34*((44/12)*(44/12))</f>
        <v>457.11111111111109</v>
      </c>
      <c r="AB861" s="14"/>
      <c r="AC861" s="14"/>
      <c r="AD861" s="3">
        <f>148*((44/12)*(44/12))</f>
        <v>1989.7777777777776</v>
      </c>
      <c r="AE861" s="14"/>
      <c r="AF861" s="16">
        <v>0</v>
      </c>
      <c r="AG861" s="16">
        <v>1</v>
      </c>
      <c r="AH861" s="16">
        <v>0</v>
      </c>
      <c r="AI861" s="16">
        <v>1</v>
      </c>
      <c r="AJ861" s="5">
        <v>0</v>
      </c>
      <c r="AK861" s="5">
        <v>1</v>
      </c>
      <c r="AL861" s="5">
        <v>0</v>
      </c>
      <c r="AM861" s="20">
        <v>3</v>
      </c>
      <c r="AN861" s="20">
        <v>3</v>
      </c>
      <c r="AO861" s="16"/>
      <c r="AP861" s="16"/>
      <c r="AQ861" s="16"/>
      <c r="AR861" s="16">
        <v>0</v>
      </c>
      <c r="AS861" s="16">
        <v>0</v>
      </c>
      <c r="AT861" s="16"/>
      <c r="AU861" s="16"/>
      <c r="AV861" s="16"/>
      <c r="AW861" s="16"/>
      <c r="AX861" s="16">
        <v>0</v>
      </c>
      <c r="AY861" s="16">
        <v>0</v>
      </c>
      <c r="AZ861" s="16">
        <v>0</v>
      </c>
      <c r="BA861" s="16">
        <v>1</v>
      </c>
    </row>
    <row r="862" spans="1:53" x14ac:dyDescent="0.2">
      <c r="A862" s="14"/>
      <c r="B862" s="14" t="str">
        <f t="shared" si="235"/>
        <v>Kopp et al. 2012</v>
      </c>
      <c r="C862" s="61">
        <f t="shared" si="236"/>
        <v>78</v>
      </c>
      <c r="D862" s="58">
        <v>2012</v>
      </c>
      <c r="E862" s="17"/>
      <c r="F862" s="58">
        <v>1</v>
      </c>
      <c r="G862" s="22">
        <v>2005</v>
      </c>
      <c r="H862" s="15">
        <f>LOOKUP(G862,CPI!A$69:A$100,CPI!O$69:O$100)</f>
        <v>1.1165181771633383</v>
      </c>
      <c r="I862" s="52">
        <v>2015</v>
      </c>
      <c r="J862" s="15">
        <f t="shared" si="237"/>
        <v>6.9444444444444441E-3</v>
      </c>
      <c r="K862" s="15"/>
      <c r="L862" s="62"/>
      <c r="M862" s="56">
        <f t="shared" si="234"/>
        <v>165.12063264493366</v>
      </c>
      <c r="N862" s="14">
        <f>32*(44/12)</f>
        <v>117.33333333333333</v>
      </c>
      <c r="O862" s="18">
        <f t="shared" si="233"/>
        <v>117.33333333333333</v>
      </c>
      <c r="P862" s="16">
        <v>0</v>
      </c>
      <c r="Q862" s="16">
        <v>0</v>
      </c>
      <c r="R862" s="16">
        <v>1</v>
      </c>
      <c r="S862" s="14"/>
      <c r="T862" s="56" t="str">
        <f t="shared" si="240"/>
        <v/>
      </c>
      <c r="U862" s="56">
        <f t="shared" si="238"/>
        <v>45.951938583933298</v>
      </c>
      <c r="V862" s="56">
        <f t="shared" si="239"/>
        <v>781.18295592686616</v>
      </c>
      <c r="W862" s="14"/>
      <c r="X862" s="3">
        <f>5*((44/12)*(44/12))</f>
        <v>67.222222222222214</v>
      </c>
      <c r="Y862" s="14"/>
      <c r="Z862" s="14"/>
      <c r="AA862" s="3">
        <f>11*((44/12)*(44/12))</f>
        <v>147.88888888888886</v>
      </c>
      <c r="AB862" s="14"/>
      <c r="AC862" s="14"/>
      <c r="AD862" s="3">
        <f>113*((44/12)*(44/12))</f>
        <v>1519.2222222222219</v>
      </c>
      <c r="AE862" s="14"/>
      <c r="AF862" s="16">
        <v>0</v>
      </c>
      <c r="AG862" s="16">
        <v>1</v>
      </c>
      <c r="AH862" s="16">
        <v>0</v>
      </c>
      <c r="AI862" s="16">
        <v>1</v>
      </c>
      <c r="AJ862" s="5">
        <v>0</v>
      </c>
      <c r="AK862" s="5">
        <v>1</v>
      </c>
      <c r="AL862" s="5">
        <v>0</v>
      </c>
      <c r="AM862" s="20">
        <v>3</v>
      </c>
      <c r="AN862" s="20">
        <v>3</v>
      </c>
      <c r="AO862" s="16"/>
      <c r="AP862" s="16"/>
      <c r="AQ862" s="16"/>
      <c r="AR862" s="16">
        <v>0</v>
      </c>
      <c r="AS862" s="16">
        <v>0</v>
      </c>
      <c r="AT862" s="16"/>
      <c r="AU862" s="16"/>
      <c r="AV862" s="16"/>
      <c r="AW862" s="16"/>
      <c r="AX862" s="16">
        <v>0</v>
      </c>
      <c r="AY862" s="16">
        <v>0</v>
      </c>
      <c r="AZ862" s="16">
        <v>0</v>
      </c>
      <c r="BA862" s="16">
        <v>1</v>
      </c>
    </row>
    <row r="863" spans="1:53" x14ac:dyDescent="0.2">
      <c r="A863" s="14"/>
      <c r="B863" s="14" t="str">
        <f t="shared" si="235"/>
        <v>Kopp et al. 2012</v>
      </c>
      <c r="C863" s="61">
        <f t="shared" si="236"/>
        <v>78</v>
      </c>
      <c r="D863" s="58">
        <v>2012</v>
      </c>
      <c r="E863" s="17"/>
      <c r="F863" s="58">
        <v>1</v>
      </c>
      <c r="G863" s="22">
        <v>2005</v>
      </c>
      <c r="H863" s="15">
        <f>LOOKUP(G863,CPI!A$69:A$100,CPI!O$69:O$100)</f>
        <v>1.1165181771633383</v>
      </c>
      <c r="I863" s="52">
        <v>2015</v>
      </c>
      <c r="J863" s="15">
        <f t="shared" si="237"/>
        <v>6.9444444444444441E-3</v>
      </c>
      <c r="K863" s="15"/>
      <c r="L863" s="62"/>
      <c r="M863" s="56">
        <f t="shared" si="234"/>
        <v>135.09869943676392</v>
      </c>
      <c r="N863" s="14">
        <f>29*(44/12)</f>
        <v>106.33333333333333</v>
      </c>
      <c r="O863" s="18">
        <f t="shared" si="233"/>
        <v>106.33333333333333</v>
      </c>
      <c r="P863" s="16">
        <v>0</v>
      </c>
      <c r="Q863" s="16">
        <v>0</v>
      </c>
      <c r="R863" s="16">
        <v>1</v>
      </c>
      <c r="S863" s="14"/>
      <c r="T863" s="56" t="str">
        <f t="shared" si="240"/>
        <v/>
      </c>
      <c r="U863" s="56">
        <f t="shared" si="238"/>
        <v>38.293282153277758</v>
      </c>
      <c r="V863" s="56">
        <f t="shared" si="239"/>
        <v>781.18295592686627</v>
      </c>
      <c r="W863" s="14"/>
      <c r="X863" s="3">
        <f>4*((44/12)*(44/12))</f>
        <v>53.777777777777771</v>
      </c>
      <c r="Y863" s="14"/>
      <c r="Z863" s="14"/>
      <c r="AA863" s="3">
        <f>9*((44/12)*(44/12))</f>
        <v>120.99999999999999</v>
      </c>
      <c r="AB863" s="14"/>
      <c r="AC863" s="14"/>
      <c r="AD863" s="3">
        <f>111*((44/12)*(44/12))</f>
        <v>1492.3333333333333</v>
      </c>
      <c r="AE863" s="14"/>
      <c r="AF863" s="16">
        <v>0</v>
      </c>
      <c r="AG863" s="16">
        <v>1</v>
      </c>
      <c r="AH863" s="16">
        <v>0</v>
      </c>
      <c r="AI863" s="16">
        <v>1</v>
      </c>
      <c r="AJ863" s="5">
        <v>0</v>
      </c>
      <c r="AK863" s="5">
        <v>1</v>
      </c>
      <c r="AL863" s="5">
        <v>0</v>
      </c>
      <c r="AM863" s="20">
        <v>3</v>
      </c>
      <c r="AN863" s="20">
        <v>3</v>
      </c>
      <c r="AO863" s="16"/>
      <c r="AP863" s="16"/>
      <c r="AQ863" s="16"/>
      <c r="AR863" s="16">
        <v>0</v>
      </c>
      <c r="AS863" s="16">
        <v>0</v>
      </c>
      <c r="AT863" s="16"/>
      <c r="AU863" s="16"/>
      <c r="AV863" s="16"/>
      <c r="AW863" s="16"/>
      <c r="AX863" s="16">
        <v>0</v>
      </c>
      <c r="AY863" s="16">
        <v>0</v>
      </c>
      <c r="AZ863" s="16">
        <v>0</v>
      </c>
      <c r="BA863" s="16">
        <v>1</v>
      </c>
    </row>
    <row r="864" spans="1:53" x14ac:dyDescent="0.2">
      <c r="A864" s="14"/>
      <c r="B864" s="14" t="str">
        <f t="shared" si="235"/>
        <v>Kopp et al. 2012</v>
      </c>
      <c r="C864" s="61">
        <f t="shared" si="236"/>
        <v>78</v>
      </c>
      <c r="D864" s="58">
        <v>2012</v>
      </c>
      <c r="E864" s="17"/>
      <c r="F864" s="58">
        <v>1</v>
      </c>
      <c r="G864" s="22">
        <v>2005</v>
      </c>
      <c r="H864" s="15">
        <f>LOOKUP(G864,CPI!A$69:A$100,CPI!O$69:O$100)</f>
        <v>1.1165181771633383</v>
      </c>
      <c r="I864" s="52">
        <v>2015</v>
      </c>
      <c r="J864" s="15">
        <f t="shared" si="237"/>
        <v>6.9444444444444441E-3</v>
      </c>
      <c r="K864" s="15"/>
      <c r="L864" s="62"/>
      <c r="M864" s="56">
        <f t="shared" si="234"/>
        <v>225.1644990612732</v>
      </c>
      <c r="N864" s="14">
        <f>44*(44/12)</f>
        <v>161.33333333333331</v>
      </c>
      <c r="O864" s="18">
        <f t="shared" si="233"/>
        <v>161.33333333333331</v>
      </c>
      <c r="P864" s="16">
        <v>0</v>
      </c>
      <c r="Q864" s="16">
        <v>0</v>
      </c>
      <c r="R864" s="16">
        <v>1</v>
      </c>
      <c r="S864" s="14"/>
      <c r="T864" s="56" t="str">
        <f t="shared" si="240"/>
        <v/>
      </c>
      <c r="U864" s="56">
        <f t="shared" si="238"/>
        <v>61.2692514452444</v>
      </c>
      <c r="V864" s="56">
        <f t="shared" si="239"/>
        <v>1424.5100961019327</v>
      </c>
      <c r="W864" s="14"/>
      <c r="X864" s="3">
        <f>7*((44/12)*(44/12))</f>
        <v>94.1111111111111</v>
      </c>
      <c r="Y864" s="14"/>
      <c r="Z864" s="14"/>
      <c r="AA864" s="3">
        <f>15*((44/12)*(44/12))</f>
        <v>201.66666666666663</v>
      </c>
      <c r="AB864" s="14"/>
      <c r="AC864" s="14"/>
      <c r="AD864" s="3">
        <f>201*((44/12)*(44/12))</f>
        <v>2702.333333333333</v>
      </c>
      <c r="AE864" s="14"/>
      <c r="AF864" s="16">
        <v>0</v>
      </c>
      <c r="AG864" s="16">
        <v>1</v>
      </c>
      <c r="AH864" s="16">
        <v>0</v>
      </c>
      <c r="AI864" s="16">
        <v>1</v>
      </c>
      <c r="AJ864" s="5">
        <v>0</v>
      </c>
      <c r="AK864" s="5">
        <v>1</v>
      </c>
      <c r="AL864" s="5">
        <v>0</v>
      </c>
      <c r="AM864" s="20">
        <v>3</v>
      </c>
      <c r="AN864" s="20">
        <v>3</v>
      </c>
      <c r="AO864" s="16"/>
      <c r="AP864" s="16"/>
      <c r="AQ864" s="16"/>
      <c r="AR864" s="16">
        <v>0</v>
      </c>
      <c r="AS864" s="16">
        <v>0</v>
      </c>
      <c r="AT864" s="16"/>
      <c r="AU864" s="16"/>
      <c r="AV864" s="16"/>
      <c r="AW864" s="16"/>
      <c r="AX864" s="16">
        <v>0</v>
      </c>
      <c r="AY864" s="16">
        <v>0</v>
      </c>
      <c r="AZ864" s="16">
        <v>0</v>
      </c>
      <c r="BA864" s="16">
        <v>1</v>
      </c>
    </row>
    <row r="865" spans="1:53" x14ac:dyDescent="0.2">
      <c r="A865" s="14"/>
      <c r="B865" s="14" t="str">
        <f t="shared" si="235"/>
        <v>Kopp et al. 2012</v>
      </c>
      <c r="C865" s="61">
        <f t="shared" si="236"/>
        <v>78</v>
      </c>
      <c r="D865" s="58">
        <v>2012</v>
      </c>
      <c r="E865" s="17"/>
      <c r="F865" s="58">
        <v>1</v>
      </c>
      <c r="G865" s="22">
        <v>2005</v>
      </c>
      <c r="H865" s="15">
        <f>LOOKUP(G865,CPI!A$69:A$100,CPI!O$69:O$100)</f>
        <v>1.1165181771633383</v>
      </c>
      <c r="I865" s="52">
        <v>2015</v>
      </c>
      <c r="J865" s="15">
        <f t="shared" si="237"/>
        <v>6.9444444444444441E-3</v>
      </c>
      <c r="K865" s="15"/>
      <c r="L865" s="62"/>
      <c r="M865" s="56">
        <f t="shared" si="234"/>
        <v>105.07676622859417</v>
      </c>
      <c r="N865" s="14">
        <f>20*(44/12)</f>
        <v>73.333333333333329</v>
      </c>
      <c r="O865" s="18">
        <f t="shared" si="233"/>
        <v>73.333333333333329</v>
      </c>
      <c r="P865" s="16">
        <v>0</v>
      </c>
      <c r="Q865" s="16">
        <v>0</v>
      </c>
      <c r="R865" s="16">
        <v>1</v>
      </c>
      <c r="S865" s="14"/>
      <c r="T865" s="56" t="str">
        <f t="shared" si="240"/>
        <v/>
      </c>
      <c r="U865" s="56">
        <f t="shared" si="238"/>
        <v>30.634625722622204</v>
      </c>
      <c r="V865" s="56">
        <f t="shared" si="239"/>
        <v>490.15401156195526</v>
      </c>
      <c r="W865" s="14"/>
      <c r="X865" s="3">
        <f>3*((44/12)*(44/12))</f>
        <v>40.333333333333329</v>
      </c>
      <c r="Y865" s="14"/>
      <c r="Z865" s="14"/>
      <c r="AA865" s="3">
        <f>7*((44/12)*(44/12))</f>
        <v>94.1111111111111</v>
      </c>
      <c r="AB865" s="14"/>
      <c r="AC865" s="14"/>
      <c r="AD865" s="3">
        <f>71*((44/12)*(44/12))</f>
        <v>954.55555555555543</v>
      </c>
      <c r="AE865" s="14"/>
      <c r="AF865" s="16">
        <v>0</v>
      </c>
      <c r="AG865" s="16">
        <v>1</v>
      </c>
      <c r="AH865" s="16">
        <v>0</v>
      </c>
      <c r="AI865" s="16">
        <v>1</v>
      </c>
      <c r="AJ865" s="5">
        <v>0</v>
      </c>
      <c r="AK865" s="5">
        <v>1</v>
      </c>
      <c r="AL865" s="5">
        <v>0</v>
      </c>
      <c r="AM865" s="20">
        <v>3</v>
      </c>
      <c r="AN865" s="20">
        <v>3</v>
      </c>
      <c r="AO865" s="16"/>
      <c r="AP865" s="16"/>
      <c r="AQ865" s="16"/>
      <c r="AR865" s="16">
        <v>0</v>
      </c>
      <c r="AS865" s="16">
        <v>0</v>
      </c>
      <c r="AT865" s="16"/>
      <c r="AU865" s="16"/>
      <c r="AV865" s="16"/>
      <c r="AW865" s="16"/>
      <c r="AX865" s="16">
        <v>0</v>
      </c>
      <c r="AY865" s="16">
        <v>0</v>
      </c>
      <c r="AZ865" s="16">
        <v>0</v>
      </c>
      <c r="BA865" s="16">
        <v>1</v>
      </c>
    </row>
    <row r="866" spans="1:53" x14ac:dyDescent="0.2">
      <c r="A866" s="14"/>
      <c r="B866" s="14" t="str">
        <f t="shared" si="235"/>
        <v>Kopp et al. 2012</v>
      </c>
      <c r="C866" s="61">
        <f t="shared" si="236"/>
        <v>78</v>
      </c>
      <c r="D866" s="58">
        <v>2012</v>
      </c>
      <c r="E866" s="17"/>
      <c r="F866" s="58">
        <v>1</v>
      </c>
      <c r="G866" s="22">
        <v>2005</v>
      </c>
      <c r="H866" s="15">
        <f>LOOKUP(G866,CPI!A$69:A$100,CPI!O$69:O$100)</f>
        <v>1.1165181771633383</v>
      </c>
      <c r="I866" s="52">
        <v>2015</v>
      </c>
      <c r="J866" s="15">
        <f t="shared" si="237"/>
        <v>6.9444444444444441E-3</v>
      </c>
      <c r="K866" s="15"/>
      <c r="L866" s="62"/>
      <c r="M866" s="56">
        <f t="shared" si="234"/>
        <v>90.065799624509282</v>
      </c>
      <c r="N866" s="14">
        <f>39*(44/12)</f>
        <v>143</v>
      </c>
      <c r="O866" s="18">
        <f t="shared" si="233"/>
        <v>143</v>
      </c>
      <c r="P866" s="16">
        <v>0</v>
      </c>
      <c r="Q866" s="16">
        <v>0</v>
      </c>
      <c r="R866" s="16">
        <v>1</v>
      </c>
      <c r="S866" s="14"/>
      <c r="T866" s="56" t="str">
        <f t="shared" si="240"/>
        <v/>
      </c>
      <c r="U866" s="56">
        <f t="shared" si="238"/>
        <v>38.293282153277758</v>
      </c>
      <c r="V866" s="56">
        <f t="shared" si="239"/>
        <v>1646.6111325909435</v>
      </c>
      <c r="W866" s="14"/>
      <c r="X866" s="3">
        <f>1*((44/12)*(44/12))</f>
        <v>13.444444444444443</v>
      </c>
      <c r="Y866" s="14"/>
      <c r="Z866" s="14"/>
      <c r="AA866" s="3">
        <f>6*((44/12)*(44/12))</f>
        <v>80.666666666666657</v>
      </c>
      <c r="AB866" s="14"/>
      <c r="AC866" s="14"/>
      <c r="AD866" s="3">
        <f>221*((44/12)*(44/12))</f>
        <v>2971.2222222222217</v>
      </c>
      <c r="AE866" s="14"/>
      <c r="AF866" s="16">
        <v>0</v>
      </c>
      <c r="AG866" s="16">
        <v>1</v>
      </c>
      <c r="AH866" s="16">
        <v>0</v>
      </c>
      <c r="AI866" s="16">
        <v>1</v>
      </c>
      <c r="AJ866" s="5">
        <v>0</v>
      </c>
      <c r="AK866" s="5">
        <v>1</v>
      </c>
      <c r="AL866" s="5">
        <v>0</v>
      </c>
      <c r="AM866" s="20">
        <v>3</v>
      </c>
      <c r="AN866" s="20">
        <v>3</v>
      </c>
      <c r="AO866" s="16"/>
      <c r="AP866" s="16"/>
      <c r="AQ866" s="16"/>
      <c r="AR866" s="16">
        <v>0</v>
      </c>
      <c r="AS866" s="16">
        <v>0</v>
      </c>
      <c r="AT866" s="16"/>
      <c r="AU866" s="16"/>
      <c r="AV866" s="16"/>
      <c r="AW866" s="16"/>
      <c r="AX866" s="16">
        <v>0</v>
      </c>
      <c r="AY866" s="16">
        <v>0</v>
      </c>
      <c r="AZ866" s="16">
        <v>0</v>
      </c>
      <c r="BA866" s="16">
        <v>1</v>
      </c>
    </row>
    <row r="867" spans="1:53" x14ac:dyDescent="0.2">
      <c r="A867" s="14"/>
      <c r="B867" s="14" t="str">
        <f t="shared" si="235"/>
        <v>Kopp et al. 2012</v>
      </c>
      <c r="C867" s="61">
        <f t="shared" si="236"/>
        <v>78</v>
      </c>
      <c r="D867" s="58">
        <v>2012</v>
      </c>
      <c r="E867" s="17"/>
      <c r="F867" s="58">
        <v>1</v>
      </c>
      <c r="G867" s="22">
        <v>2005</v>
      </c>
      <c r="H867" s="15">
        <f>LOOKUP(G867,CPI!A$69:A$100,CPI!O$69:O$100)</f>
        <v>1.1165181771633383</v>
      </c>
      <c r="I867" s="52">
        <v>2015</v>
      </c>
      <c r="J867" s="15">
        <f t="shared" si="237"/>
        <v>6.9444444444444441E-3</v>
      </c>
      <c r="K867" s="15"/>
      <c r="L867" s="62"/>
      <c r="M867" s="56">
        <f t="shared" si="234"/>
        <v>75.054833020424397</v>
      </c>
      <c r="N867" s="14">
        <f>36*(44/12)</f>
        <v>132</v>
      </c>
      <c r="O867" s="18">
        <f t="shared" si="233"/>
        <v>132</v>
      </c>
      <c r="P867" s="16">
        <v>0</v>
      </c>
      <c r="Q867" s="16">
        <v>0</v>
      </c>
      <c r="R867" s="16">
        <v>1</v>
      </c>
      <c r="S867" s="14"/>
      <c r="T867" s="56" t="str">
        <f t="shared" si="240"/>
        <v/>
      </c>
      <c r="U867" s="56">
        <f t="shared" si="238"/>
        <v>30.634625722622204</v>
      </c>
      <c r="V867" s="56">
        <f t="shared" si="239"/>
        <v>1524.0726297004549</v>
      </c>
      <c r="W867" s="14"/>
      <c r="X867" s="3">
        <f>1*((44/12)*(44/12))</f>
        <v>13.444444444444443</v>
      </c>
      <c r="Y867" s="14"/>
      <c r="Z867" s="14"/>
      <c r="AA867" s="3">
        <f>5*((44/12)*(44/12))</f>
        <v>67.222222222222214</v>
      </c>
      <c r="AB867" s="14"/>
      <c r="AC867" s="14"/>
      <c r="AD867" s="3">
        <f>204*((44/12)*(44/12))</f>
        <v>2742.6666666666665</v>
      </c>
      <c r="AE867" s="14"/>
      <c r="AF867" s="16">
        <v>0</v>
      </c>
      <c r="AG867" s="16">
        <v>1</v>
      </c>
      <c r="AH867" s="16">
        <v>0</v>
      </c>
      <c r="AI867" s="16">
        <v>1</v>
      </c>
      <c r="AJ867" s="5">
        <v>0</v>
      </c>
      <c r="AK867" s="5">
        <v>1</v>
      </c>
      <c r="AL867" s="5">
        <v>0</v>
      </c>
      <c r="AM867" s="20">
        <v>3</v>
      </c>
      <c r="AN867" s="20">
        <v>3</v>
      </c>
      <c r="AO867" s="16"/>
      <c r="AP867" s="16"/>
      <c r="AQ867" s="16"/>
      <c r="AR867" s="16">
        <v>0</v>
      </c>
      <c r="AS867" s="16">
        <v>0</v>
      </c>
      <c r="AT867" s="16"/>
      <c r="AU867" s="16"/>
      <c r="AV867" s="16"/>
      <c r="AW867" s="16"/>
      <c r="AX867" s="16">
        <v>0</v>
      </c>
      <c r="AY867" s="16">
        <v>0</v>
      </c>
      <c r="AZ867" s="16">
        <v>0</v>
      </c>
      <c r="BA867" s="16">
        <v>1</v>
      </c>
    </row>
    <row r="868" spans="1:53" x14ac:dyDescent="0.2">
      <c r="A868" s="14"/>
      <c r="B868" s="14" t="str">
        <f t="shared" si="235"/>
        <v>Kopp et al. 2012</v>
      </c>
      <c r="C868" s="61">
        <f t="shared" si="236"/>
        <v>78</v>
      </c>
      <c r="D868" s="58">
        <v>2012</v>
      </c>
      <c r="E868" s="17"/>
      <c r="F868" s="58">
        <v>1</v>
      </c>
      <c r="G868" s="22">
        <v>2005</v>
      </c>
      <c r="H868" s="15">
        <f>LOOKUP(G868,CPI!A$69:A$100,CPI!O$69:O$100)</f>
        <v>1.1165181771633383</v>
      </c>
      <c r="I868" s="52">
        <v>2015</v>
      </c>
      <c r="J868" s="15">
        <f t="shared" si="237"/>
        <v>6.9444444444444441E-3</v>
      </c>
      <c r="K868" s="15"/>
      <c r="L868" s="62"/>
      <c r="M868" s="56">
        <f t="shared" si="234"/>
        <v>105.07676622859417</v>
      </c>
      <c r="N868" s="14">
        <f>43*(44/12)</f>
        <v>157.66666666666666</v>
      </c>
      <c r="O868" s="18">
        <f t="shared" si="233"/>
        <v>157.66666666666666</v>
      </c>
      <c r="P868" s="16">
        <v>0</v>
      </c>
      <c r="Q868" s="16">
        <v>0</v>
      </c>
      <c r="R868" s="16">
        <v>1</v>
      </c>
      <c r="S868" s="14"/>
      <c r="T868" s="56" t="str">
        <f t="shared" si="240"/>
        <v/>
      </c>
      <c r="U868" s="56">
        <f t="shared" si="238"/>
        <v>45.951938583933305</v>
      </c>
      <c r="V868" s="56">
        <f t="shared" si="239"/>
        <v>1853.3948562186431</v>
      </c>
      <c r="W868" s="14"/>
      <c r="X868" s="3">
        <f>1*((44/12)*(44/12))</f>
        <v>13.444444444444443</v>
      </c>
      <c r="Y868" s="14"/>
      <c r="Z868" s="14"/>
      <c r="AA868" s="3">
        <f>7*((44/12)*(44/12))</f>
        <v>94.1111111111111</v>
      </c>
      <c r="AB868" s="14"/>
      <c r="AC868" s="14"/>
      <c r="AD868" s="3">
        <f>249*((44/12)*(44/12))</f>
        <v>3347.6666666666661</v>
      </c>
      <c r="AE868" s="14"/>
      <c r="AF868" s="16">
        <v>0</v>
      </c>
      <c r="AG868" s="16">
        <v>1</v>
      </c>
      <c r="AH868" s="16">
        <v>0</v>
      </c>
      <c r="AI868" s="16">
        <v>1</v>
      </c>
      <c r="AJ868" s="5">
        <v>0</v>
      </c>
      <c r="AK868" s="5">
        <v>1</v>
      </c>
      <c r="AL868" s="5">
        <v>0</v>
      </c>
      <c r="AM868" s="20">
        <v>3</v>
      </c>
      <c r="AN868" s="20">
        <v>3</v>
      </c>
      <c r="AO868" s="16"/>
      <c r="AP868" s="16"/>
      <c r="AQ868" s="16"/>
      <c r="AR868" s="16">
        <v>0</v>
      </c>
      <c r="AS868" s="16">
        <v>0</v>
      </c>
      <c r="AT868" s="16"/>
      <c r="AU868" s="16"/>
      <c r="AV868" s="16"/>
      <c r="AW868" s="16"/>
      <c r="AX868" s="16">
        <v>0</v>
      </c>
      <c r="AY868" s="16">
        <v>0</v>
      </c>
      <c r="AZ868" s="16">
        <v>0</v>
      </c>
      <c r="BA868" s="16">
        <v>1</v>
      </c>
    </row>
    <row r="869" spans="1:53" x14ac:dyDescent="0.2">
      <c r="A869" s="14"/>
      <c r="B869" s="14" t="str">
        <f t="shared" si="235"/>
        <v>Kopp et al. 2012</v>
      </c>
      <c r="C869" s="61">
        <f t="shared" si="236"/>
        <v>78</v>
      </c>
      <c r="D869" s="58">
        <v>2012</v>
      </c>
      <c r="E869" s="17"/>
      <c r="F869" s="58">
        <v>1</v>
      </c>
      <c r="G869" s="22">
        <v>2005</v>
      </c>
      <c r="H869" s="15">
        <f>LOOKUP(G869,CPI!A$69:A$100,CPI!O$69:O$100)</f>
        <v>1.1165181771633383</v>
      </c>
      <c r="I869" s="52">
        <v>2015</v>
      </c>
      <c r="J869" s="15">
        <f t="shared" si="237"/>
        <v>6.9444444444444441E-3</v>
      </c>
      <c r="K869" s="15"/>
      <c r="L869" s="62"/>
      <c r="M869" s="56">
        <f t="shared" si="234"/>
        <v>75.054833020424397</v>
      </c>
      <c r="N869" s="14">
        <f>31*(44/12)</f>
        <v>113.66666666666666</v>
      </c>
      <c r="O869" s="18">
        <f t="shared" si="233"/>
        <v>113.66666666666666</v>
      </c>
      <c r="P869" s="16">
        <v>0</v>
      </c>
      <c r="Q869" s="16">
        <v>0</v>
      </c>
      <c r="R869" s="16">
        <v>1</v>
      </c>
      <c r="S869" s="14"/>
      <c r="T869" s="56" t="str">
        <f t="shared" si="240"/>
        <v/>
      </c>
      <c r="U869" s="56">
        <f t="shared" si="238"/>
        <v>30.634625722622204</v>
      </c>
      <c r="V869" s="56">
        <f t="shared" si="239"/>
        <v>1393.8754703793104</v>
      </c>
      <c r="W869" s="14"/>
      <c r="X869" s="3">
        <f>1*((44/12)*(44/12))</f>
        <v>13.444444444444443</v>
      </c>
      <c r="Y869" s="14"/>
      <c r="Z869" s="14"/>
      <c r="AA869" s="3">
        <f>5*((44/12)*(44/12))</f>
        <v>67.222222222222214</v>
      </c>
      <c r="AB869" s="14"/>
      <c r="AC869" s="14"/>
      <c r="AD869" s="3">
        <f>187*((44/12)*(44/12))</f>
        <v>2514.1111111111109</v>
      </c>
      <c r="AE869" s="14"/>
      <c r="AF869" s="16">
        <v>0</v>
      </c>
      <c r="AG869" s="16">
        <v>1</v>
      </c>
      <c r="AH869" s="16">
        <v>0</v>
      </c>
      <c r="AI869" s="16">
        <v>1</v>
      </c>
      <c r="AJ869" s="5">
        <v>0</v>
      </c>
      <c r="AK869" s="5">
        <v>1</v>
      </c>
      <c r="AL869" s="5">
        <v>0</v>
      </c>
      <c r="AM869" s="20">
        <v>3</v>
      </c>
      <c r="AN869" s="20">
        <v>3</v>
      </c>
      <c r="AO869" s="16"/>
      <c r="AP869" s="16"/>
      <c r="AQ869" s="16"/>
      <c r="AR869" s="16">
        <v>0</v>
      </c>
      <c r="AS869" s="16">
        <v>0</v>
      </c>
      <c r="AT869" s="16"/>
      <c r="AU869" s="16"/>
      <c r="AV869" s="16"/>
      <c r="AW869" s="16"/>
      <c r="AX869" s="16">
        <v>0</v>
      </c>
      <c r="AY869" s="16">
        <v>0</v>
      </c>
      <c r="AZ869" s="16">
        <v>0</v>
      </c>
      <c r="BA869" s="16">
        <v>1</v>
      </c>
    </row>
    <row r="870" spans="1:53" x14ac:dyDescent="0.2">
      <c r="A870" s="14"/>
      <c r="B870" s="14" t="str">
        <f t="shared" si="235"/>
        <v>Kopp et al. 2012</v>
      </c>
      <c r="C870" s="61">
        <f t="shared" si="236"/>
        <v>78</v>
      </c>
      <c r="D870" s="58">
        <v>2012</v>
      </c>
      <c r="E870" s="17"/>
      <c r="F870" s="58">
        <v>1</v>
      </c>
      <c r="G870" s="22">
        <v>2005</v>
      </c>
      <c r="H870" s="15">
        <f>LOOKUP(G870,CPI!A$69:A$100,CPI!O$69:O$100)</f>
        <v>1.1165181771633383</v>
      </c>
      <c r="I870" s="52">
        <v>2015</v>
      </c>
      <c r="J870" s="15">
        <f t="shared" si="237"/>
        <v>6.9444444444444441E-3</v>
      </c>
      <c r="K870" s="15"/>
      <c r="L870" s="62"/>
      <c r="M870" s="56">
        <f t="shared" si="234"/>
        <v>525.38383114297085</v>
      </c>
      <c r="N870" s="14">
        <f>41*(44/12)</f>
        <v>150.33333333333331</v>
      </c>
      <c r="O870" s="18">
        <f t="shared" si="233"/>
        <v>150.33333333333331</v>
      </c>
      <c r="P870" s="16">
        <v>0</v>
      </c>
      <c r="Q870" s="16">
        <v>0</v>
      </c>
      <c r="R870" s="16">
        <v>1</v>
      </c>
      <c r="S870" s="14"/>
      <c r="T870" s="56" t="str">
        <f t="shared" si="240"/>
        <v/>
      </c>
      <c r="U870" s="56">
        <f t="shared" si="238"/>
        <v>145.51447218245548</v>
      </c>
      <c r="V870" s="56">
        <f t="shared" si="239"/>
        <v>405.90879082474419</v>
      </c>
      <c r="W870" s="14"/>
      <c r="X870" s="3">
        <f>16*((44/12)*(44/12))</f>
        <v>215.11111111111109</v>
      </c>
      <c r="Y870" s="14"/>
      <c r="Z870" s="14"/>
      <c r="AA870" s="3">
        <f>35*((44/12)*(44/12))</f>
        <v>470.55555555555549</v>
      </c>
      <c r="AB870" s="14"/>
      <c r="AC870" s="14"/>
      <c r="AD870" s="3">
        <f>88*((44/12)*(44/12))</f>
        <v>1183.1111111111109</v>
      </c>
      <c r="AE870" s="14"/>
      <c r="AF870" s="16">
        <v>0</v>
      </c>
      <c r="AG870" s="16">
        <v>1</v>
      </c>
      <c r="AH870" s="16">
        <v>0</v>
      </c>
      <c r="AI870" s="16">
        <v>1</v>
      </c>
      <c r="AJ870" s="5">
        <v>0</v>
      </c>
      <c r="AK870" s="5">
        <v>1</v>
      </c>
      <c r="AL870" s="5">
        <v>0</v>
      </c>
      <c r="AM870" s="20">
        <v>3</v>
      </c>
      <c r="AN870" s="20">
        <v>0.95</v>
      </c>
      <c r="AO870" s="16"/>
      <c r="AP870" s="16"/>
      <c r="AQ870" s="16"/>
      <c r="AR870" s="16">
        <v>0</v>
      </c>
      <c r="AS870" s="16">
        <v>0</v>
      </c>
      <c r="AT870" s="16"/>
      <c r="AU870" s="16"/>
      <c r="AV870" s="16"/>
      <c r="AW870" s="16"/>
      <c r="AX870" s="16">
        <v>0</v>
      </c>
      <c r="AY870" s="16">
        <v>0</v>
      </c>
      <c r="AZ870" s="16">
        <v>0</v>
      </c>
      <c r="BA870" s="16">
        <v>1</v>
      </c>
    </row>
    <row r="871" spans="1:53" x14ac:dyDescent="0.2">
      <c r="A871" s="14"/>
      <c r="B871" s="14" t="str">
        <f t="shared" si="235"/>
        <v>Kopp et al. 2012</v>
      </c>
      <c r="C871" s="61">
        <f t="shared" si="236"/>
        <v>78</v>
      </c>
      <c r="D871" s="58">
        <v>2012</v>
      </c>
      <c r="E871" s="17"/>
      <c r="F871" s="58">
        <v>1</v>
      </c>
      <c r="G871" s="22">
        <v>2005</v>
      </c>
      <c r="H871" s="15">
        <f>LOOKUP(G871,CPI!A$69:A$100,CPI!O$69:O$100)</f>
        <v>1.1165181771633383</v>
      </c>
      <c r="I871" s="52">
        <v>2015</v>
      </c>
      <c r="J871" s="15">
        <f t="shared" si="237"/>
        <v>6.9444444444444441E-3</v>
      </c>
      <c r="K871" s="15"/>
      <c r="L871" s="62"/>
      <c r="M871" s="56">
        <f t="shared" si="234"/>
        <v>540.39479774705569</v>
      </c>
      <c r="N871" s="14">
        <f>42*(44/12)</f>
        <v>154</v>
      </c>
      <c r="O871" s="18">
        <f t="shared" si="233"/>
        <v>154</v>
      </c>
      <c r="P871" s="16">
        <v>0</v>
      </c>
      <c r="Q871" s="16">
        <v>0</v>
      </c>
      <c r="R871" s="16">
        <v>1</v>
      </c>
      <c r="S871" s="14"/>
      <c r="T871" s="56" t="str">
        <f t="shared" si="240"/>
        <v/>
      </c>
      <c r="U871" s="56">
        <f t="shared" si="238"/>
        <v>153.17312861311103</v>
      </c>
      <c r="V871" s="56">
        <f t="shared" si="239"/>
        <v>428.88476011671082</v>
      </c>
      <c r="W871" s="14"/>
      <c r="X871" s="3">
        <f>16*((44/12)*(44/12))</f>
        <v>215.11111111111109</v>
      </c>
      <c r="Y871" s="14"/>
      <c r="Z871" s="14"/>
      <c r="AA871" s="3">
        <f>36*((44/12)*(44/12))</f>
        <v>483.99999999999994</v>
      </c>
      <c r="AB871" s="14"/>
      <c r="AC871" s="14"/>
      <c r="AD871" s="3">
        <f>92*((44/12)*(44/12))</f>
        <v>1236.8888888888887</v>
      </c>
      <c r="AE871" s="14"/>
      <c r="AF871" s="16">
        <v>0</v>
      </c>
      <c r="AG871" s="16">
        <v>1</v>
      </c>
      <c r="AH871" s="16">
        <v>0</v>
      </c>
      <c r="AI871" s="16">
        <v>1</v>
      </c>
      <c r="AJ871" s="5">
        <v>0</v>
      </c>
      <c r="AK871" s="5">
        <v>1</v>
      </c>
      <c r="AL871" s="5">
        <v>0</v>
      </c>
      <c r="AM871" s="20">
        <v>3</v>
      </c>
      <c r="AN871" s="20">
        <v>0.95</v>
      </c>
      <c r="AO871" s="16"/>
      <c r="AP871" s="16"/>
      <c r="AQ871" s="16"/>
      <c r="AR871" s="16">
        <v>0</v>
      </c>
      <c r="AS871" s="16">
        <v>0</v>
      </c>
      <c r="AT871" s="16"/>
      <c r="AU871" s="16"/>
      <c r="AV871" s="16"/>
      <c r="AW871" s="16"/>
      <c r="AX871" s="16">
        <v>0</v>
      </c>
      <c r="AY871" s="16">
        <v>0</v>
      </c>
      <c r="AZ871" s="16">
        <v>0</v>
      </c>
      <c r="BA871" s="16">
        <v>1</v>
      </c>
    </row>
    <row r="872" spans="1:53" x14ac:dyDescent="0.2">
      <c r="A872" s="14"/>
      <c r="B872" s="14" t="str">
        <f t="shared" si="235"/>
        <v>Kopp et al. 2012</v>
      </c>
      <c r="C872" s="61">
        <f t="shared" si="236"/>
        <v>78</v>
      </c>
      <c r="D872" s="58">
        <v>2012</v>
      </c>
      <c r="E872" s="17"/>
      <c r="F872" s="58">
        <v>1</v>
      </c>
      <c r="G872" s="22">
        <v>2005</v>
      </c>
      <c r="H872" s="15">
        <f>LOOKUP(G872,CPI!A$69:A$100,CPI!O$69:O$100)</f>
        <v>1.1165181771633383</v>
      </c>
      <c r="I872" s="52">
        <v>2015</v>
      </c>
      <c r="J872" s="15">
        <f t="shared" si="237"/>
        <v>6.9444444444444441E-3</v>
      </c>
      <c r="K872" s="15"/>
      <c r="L872" s="62"/>
      <c r="M872" s="56">
        <f t="shared" si="234"/>
        <v>480.35093133071615</v>
      </c>
      <c r="N872" s="14">
        <f>38*(44/12)</f>
        <v>139.33333333333331</v>
      </c>
      <c r="O872" s="18">
        <f t="shared" si="233"/>
        <v>139.33333333333331</v>
      </c>
      <c r="P872" s="16">
        <v>0</v>
      </c>
      <c r="Q872" s="16">
        <v>0</v>
      </c>
      <c r="R872" s="16">
        <v>1</v>
      </c>
      <c r="S872" s="14"/>
      <c r="T872" s="56" t="str">
        <f t="shared" si="240"/>
        <v/>
      </c>
      <c r="U872" s="56">
        <f t="shared" si="238"/>
        <v>145.51447218245548</v>
      </c>
      <c r="V872" s="56">
        <f t="shared" si="239"/>
        <v>398.25013439408872</v>
      </c>
      <c r="W872" s="14"/>
      <c r="X872" s="3">
        <f>13*((44/12)*(44/12))</f>
        <v>174.77777777777777</v>
      </c>
      <c r="Y872" s="14"/>
      <c r="Z872" s="14"/>
      <c r="AA872" s="3">
        <f>32*((44/12)*(44/12))</f>
        <v>430.22222222222217</v>
      </c>
      <c r="AB872" s="14"/>
      <c r="AC872" s="14"/>
      <c r="AD872" s="3">
        <f>84*((44/12)*(44/12))</f>
        <v>1129.3333333333333</v>
      </c>
      <c r="AE872" s="14"/>
      <c r="AF872" s="16">
        <v>0</v>
      </c>
      <c r="AG872" s="16">
        <v>1</v>
      </c>
      <c r="AH872" s="16">
        <v>0</v>
      </c>
      <c r="AI872" s="16">
        <v>1</v>
      </c>
      <c r="AJ872" s="5">
        <v>0</v>
      </c>
      <c r="AK872" s="5">
        <v>1</v>
      </c>
      <c r="AL872" s="5">
        <v>0</v>
      </c>
      <c r="AM872" s="20">
        <v>3</v>
      </c>
      <c r="AN872" s="20">
        <v>0.95</v>
      </c>
      <c r="AO872" s="16"/>
      <c r="AP872" s="16"/>
      <c r="AQ872" s="16"/>
      <c r="AR872" s="16">
        <v>0</v>
      </c>
      <c r="AS872" s="16">
        <v>0</v>
      </c>
      <c r="AT872" s="16"/>
      <c r="AU872" s="16"/>
      <c r="AV872" s="16"/>
      <c r="AW872" s="16"/>
      <c r="AX872" s="16">
        <v>0</v>
      </c>
      <c r="AY872" s="16">
        <v>0</v>
      </c>
      <c r="AZ872" s="16">
        <v>0</v>
      </c>
      <c r="BA872" s="16">
        <v>1</v>
      </c>
    </row>
    <row r="873" spans="1:53" x14ac:dyDescent="0.2">
      <c r="A873" s="14"/>
      <c r="B873" s="14" t="str">
        <f t="shared" si="235"/>
        <v>Kopp et al. 2012</v>
      </c>
      <c r="C873" s="61">
        <f t="shared" si="236"/>
        <v>78</v>
      </c>
      <c r="D873" s="58">
        <v>2012</v>
      </c>
      <c r="E873" s="17"/>
      <c r="F873" s="58">
        <v>1</v>
      </c>
      <c r="G873" s="22">
        <v>2005</v>
      </c>
      <c r="H873" s="15">
        <f>LOOKUP(G873,CPI!A$69:A$100,CPI!O$69:O$100)</f>
        <v>1.1165181771633383</v>
      </c>
      <c r="I873" s="52">
        <v>2015</v>
      </c>
      <c r="J873" s="15">
        <f t="shared" si="237"/>
        <v>6.9444444444444441E-3</v>
      </c>
      <c r="K873" s="15"/>
      <c r="L873" s="62"/>
      <c r="M873" s="56">
        <f t="shared" si="234"/>
        <v>915.66896284917766</v>
      </c>
      <c r="N873" s="14">
        <f>72*(44/12)</f>
        <v>264</v>
      </c>
      <c r="O873" s="18">
        <f t="shared" si="233"/>
        <v>264</v>
      </c>
      <c r="P873" s="16">
        <v>0</v>
      </c>
      <c r="Q873" s="16">
        <v>0</v>
      </c>
      <c r="R873" s="16">
        <v>1</v>
      </c>
      <c r="S873" s="14"/>
      <c r="T873" s="56" t="str">
        <f t="shared" si="240"/>
        <v/>
      </c>
      <c r="U873" s="56">
        <f t="shared" si="238"/>
        <v>268.05297507294426</v>
      </c>
      <c r="V873" s="56">
        <f t="shared" si="239"/>
        <v>750.54833020424417</v>
      </c>
      <c r="W873" s="14"/>
      <c r="X873" s="3">
        <f>26*((44/12)*(44/12))</f>
        <v>349.55555555555554</v>
      </c>
      <c r="Y873" s="14"/>
      <c r="Z873" s="14"/>
      <c r="AA873" s="3">
        <f>61*((44/12)*(44/12))</f>
        <v>820.11111111111097</v>
      </c>
      <c r="AB873" s="14"/>
      <c r="AC873" s="14"/>
      <c r="AD873" s="3">
        <f>159*((44/12)*(44/12))</f>
        <v>2137.6666666666665</v>
      </c>
      <c r="AE873" s="14"/>
      <c r="AF873" s="16">
        <v>0</v>
      </c>
      <c r="AG873" s="16">
        <v>1</v>
      </c>
      <c r="AH873" s="16">
        <v>0</v>
      </c>
      <c r="AI873" s="16">
        <v>1</v>
      </c>
      <c r="AJ873" s="5">
        <v>0</v>
      </c>
      <c r="AK873" s="5">
        <v>1</v>
      </c>
      <c r="AL873" s="5">
        <v>0</v>
      </c>
      <c r="AM873" s="20">
        <v>3</v>
      </c>
      <c r="AN873" s="20">
        <v>0.95</v>
      </c>
      <c r="AO873" s="16"/>
      <c r="AP873" s="16"/>
      <c r="AQ873" s="16"/>
      <c r="AR873" s="16">
        <v>0</v>
      </c>
      <c r="AS873" s="16">
        <v>0</v>
      </c>
      <c r="AT873" s="16"/>
      <c r="AU873" s="16"/>
      <c r="AV873" s="16"/>
      <c r="AW873" s="16"/>
      <c r="AX873" s="16">
        <v>0</v>
      </c>
      <c r="AY873" s="16">
        <v>0</v>
      </c>
      <c r="AZ873" s="16">
        <v>0</v>
      </c>
      <c r="BA873" s="16">
        <v>1</v>
      </c>
    </row>
    <row r="874" spans="1:53" x14ac:dyDescent="0.2">
      <c r="A874" s="14"/>
      <c r="B874" s="14" t="str">
        <f t="shared" si="235"/>
        <v>Kopp et al. 2012</v>
      </c>
      <c r="C874" s="61">
        <f t="shared" si="236"/>
        <v>78</v>
      </c>
      <c r="D874" s="58">
        <v>2012</v>
      </c>
      <c r="E874" s="17"/>
      <c r="F874" s="58">
        <v>1</v>
      </c>
      <c r="G874" s="22">
        <v>2005</v>
      </c>
      <c r="H874" s="15">
        <f>LOOKUP(G874,CPI!A$69:A$100,CPI!O$69:O$100)</f>
        <v>1.1165181771633383</v>
      </c>
      <c r="I874" s="52">
        <v>2015</v>
      </c>
      <c r="J874" s="15">
        <f t="shared" si="237"/>
        <v>6.9444444444444441E-3</v>
      </c>
      <c r="K874" s="15"/>
      <c r="L874" s="62"/>
      <c r="M874" s="56">
        <f t="shared" si="234"/>
        <v>525.38383114297085</v>
      </c>
      <c r="N874" s="14">
        <f>40*(44/12)</f>
        <v>146.66666666666666</v>
      </c>
      <c r="O874" s="18">
        <f t="shared" si="233"/>
        <v>146.66666666666666</v>
      </c>
      <c r="P874" s="16">
        <v>0</v>
      </c>
      <c r="Q874" s="16">
        <v>0</v>
      </c>
      <c r="R874" s="16">
        <v>1</v>
      </c>
      <c r="S874" s="14"/>
      <c r="T874" s="56" t="str">
        <f t="shared" si="240"/>
        <v/>
      </c>
      <c r="U874" s="56">
        <f t="shared" si="238"/>
        <v>145.51447218245548</v>
      </c>
      <c r="V874" s="56">
        <f t="shared" si="239"/>
        <v>382.93282153277761</v>
      </c>
      <c r="W874" s="14"/>
      <c r="X874" s="3">
        <f>16*((44/12)*(44/12))</f>
        <v>215.11111111111109</v>
      </c>
      <c r="Y874" s="14"/>
      <c r="Z874" s="14"/>
      <c r="AA874" s="3">
        <f>35*((44/12)*(44/12))</f>
        <v>470.55555555555549</v>
      </c>
      <c r="AB874" s="14"/>
      <c r="AC874" s="14"/>
      <c r="AD874" s="3">
        <f>85*((44/12)*(44/12))</f>
        <v>1142.7777777777776</v>
      </c>
      <c r="AE874" s="14"/>
      <c r="AF874" s="16">
        <v>0</v>
      </c>
      <c r="AG874" s="16">
        <v>1</v>
      </c>
      <c r="AH874" s="16">
        <v>0</v>
      </c>
      <c r="AI874" s="16">
        <v>1</v>
      </c>
      <c r="AJ874" s="5">
        <v>0</v>
      </c>
      <c r="AK874" s="5">
        <v>1</v>
      </c>
      <c r="AL874" s="5">
        <v>0</v>
      </c>
      <c r="AM874" s="20">
        <v>3</v>
      </c>
      <c r="AN874" s="20">
        <v>0.95</v>
      </c>
      <c r="AO874" s="16"/>
      <c r="AP874" s="16"/>
      <c r="AQ874" s="16"/>
      <c r="AR874" s="16">
        <v>0</v>
      </c>
      <c r="AS874" s="16">
        <v>0</v>
      </c>
      <c r="AT874" s="16"/>
      <c r="AU874" s="16"/>
      <c r="AV874" s="16"/>
      <c r="AW874" s="16"/>
      <c r="AX874" s="16">
        <v>0</v>
      </c>
      <c r="AY874" s="16">
        <v>0</v>
      </c>
      <c r="AZ874" s="16">
        <v>0</v>
      </c>
      <c r="BA874" s="16">
        <v>1</v>
      </c>
    </row>
    <row r="875" spans="1:53" x14ac:dyDescent="0.2">
      <c r="A875" s="14"/>
      <c r="B875" s="14" t="str">
        <f t="shared" si="235"/>
        <v>Kopp et al. 2012</v>
      </c>
      <c r="C875" s="61">
        <f t="shared" si="236"/>
        <v>78</v>
      </c>
      <c r="D875" s="58">
        <v>2012</v>
      </c>
      <c r="E875" s="17"/>
      <c r="F875" s="58">
        <v>1</v>
      </c>
      <c r="G875" s="22">
        <v>2005</v>
      </c>
      <c r="H875" s="15">
        <f>LOOKUP(G875,CPI!A$69:A$100,CPI!O$69:O$100)</f>
        <v>1.1165181771633383</v>
      </c>
      <c r="I875" s="52">
        <v>2015</v>
      </c>
      <c r="J875" s="15">
        <f t="shared" si="237"/>
        <v>6.9444444444444441E-3</v>
      </c>
      <c r="K875" s="15"/>
      <c r="L875" s="62"/>
      <c r="M875" s="56">
        <f t="shared" si="234"/>
        <v>1365.9979609717241</v>
      </c>
      <c r="N875" s="14">
        <f>107*(44/12)</f>
        <v>392.33333333333331</v>
      </c>
      <c r="O875" s="18">
        <f t="shared" si="233"/>
        <v>392.33333333333331</v>
      </c>
      <c r="P875" s="16">
        <v>0</v>
      </c>
      <c r="Q875" s="16">
        <v>0</v>
      </c>
      <c r="R875" s="16">
        <v>1</v>
      </c>
      <c r="S875" s="14"/>
      <c r="T875" s="56" t="str">
        <f t="shared" si="240"/>
        <v/>
      </c>
      <c r="U875" s="56">
        <f t="shared" si="238"/>
        <v>413.56744725539983</v>
      </c>
      <c r="V875" s="56">
        <f t="shared" si="239"/>
        <v>1095.1878695837438</v>
      </c>
      <c r="W875" s="14"/>
      <c r="X875" s="3">
        <f>37*((44/12)*(44/12))</f>
        <v>497.4444444444444</v>
      </c>
      <c r="Y875" s="14"/>
      <c r="Z875" s="14"/>
      <c r="AA875" s="3">
        <f>91*((44/12)*(44/12))</f>
        <v>1223.4444444444443</v>
      </c>
      <c r="AB875" s="14"/>
      <c r="AC875" s="14"/>
      <c r="AD875" s="3">
        <f>234*((44/12)*(44/12))</f>
        <v>3145.9999999999995</v>
      </c>
      <c r="AE875" s="14"/>
      <c r="AF875" s="16">
        <v>0</v>
      </c>
      <c r="AG875" s="16">
        <v>1</v>
      </c>
      <c r="AH875" s="16">
        <v>0</v>
      </c>
      <c r="AI875" s="16">
        <v>1</v>
      </c>
      <c r="AJ875" s="5">
        <v>0</v>
      </c>
      <c r="AK875" s="5">
        <v>1</v>
      </c>
      <c r="AL875" s="5">
        <v>0</v>
      </c>
      <c r="AM875" s="20">
        <v>3</v>
      </c>
      <c r="AN875" s="20">
        <v>0.95</v>
      </c>
      <c r="AO875" s="16"/>
      <c r="AP875" s="16"/>
      <c r="AQ875" s="16"/>
      <c r="AR875" s="16">
        <v>0</v>
      </c>
      <c r="AS875" s="16">
        <v>0</v>
      </c>
      <c r="AT875" s="16"/>
      <c r="AU875" s="16"/>
      <c r="AV875" s="16"/>
      <c r="AW875" s="16"/>
      <c r="AX875" s="16">
        <v>0</v>
      </c>
      <c r="AY875" s="16">
        <v>0</v>
      </c>
      <c r="AZ875" s="16">
        <v>0</v>
      </c>
      <c r="BA875" s="16">
        <v>1</v>
      </c>
    </row>
    <row r="876" spans="1:53" x14ac:dyDescent="0.2">
      <c r="A876" s="14"/>
      <c r="B876" s="14" t="str">
        <f t="shared" si="235"/>
        <v>Kopp et al. 2012</v>
      </c>
      <c r="C876" s="61">
        <f t="shared" si="236"/>
        <v>78</v>
      </c>
      <c r="D876" s="58">
        <v>2012</v>
      </c>
      <c r="E876" s="17"/>
      <c r="F876" s="58">
        <v>1</v>
      </c>
      <c r="G876" s="22">
        <v>2005</v>
      </c>
      <c r="H876" s="15">
        <f>LOOKUP(G876,CPI!A$69:A$100,CPI!O$69:O$100)</f>
        <v>1.1165181771633383</v>
      </c>
      <c r="I876" s="52">
        <v>2015</v>
      </c>
      <c r="J876" s="15">
        <f t="shared" si="237"/>
        <v>6.9444444444444441E-3</v>
      </c>
      <c r="K876" s="15"/>
      <c r="L876" s="62"/>
      <c r="M876" s="56">
        <f t="shared" si="234"/>
        <v>390.28513170620693</v>
      </c>
      <c r="N876" s="14">
        <f>30*(44/12)</f>
        <v>110</v>
      </c>
      <c r="O876" s="18">
        <f t="shared" si="233"/>
        <v>110</v>
      </c>
      <c r="P876" s="16">
        <v>0</v>
      </c>
      <c r="Q876" s="16">
        <v>0</v>
      </c>
      <c r="R876" s="16">
        <v>1</v>
      </c>
      <c r="S876" s="14"/>
      <c r="T876" s="56" t="str">
        <f t="shared" si="240"/>
        <v/>
      </c>
      <c r="U876" s="56">
        <f t="shared" si="238"/>
        <v>99.56253359852218</v>
      </c>
      <c r="V876" s="56">
        <f t="shared" si="239"/>
        <v>252.73566221163318</v>
      </c>
      <c r="W876" s="14"/>
      <c r="X876" s="3">
        <f>13*((44/12)*(44/12))</f>
        <v>174.77777777777777</v>
      </c>
      <c r="Y876" s="14"/>
      <c r="Z876" s="14"/>
      <c r="AA876" s="3">
        <f>26*((44/12)*(44/12))</f>
        <v>349.55555555555554</v>
      </c>
      <c r="AB876" s="14"/>
      <c r="AC876" s="14"/>
      <c r="AD876" s="3">
        <f>59*((44/12)*(44/12))</f>
        <v>793.22222222222217</v>
      </c>
      <c r="AE876" s="14"/>
      <c r="AF876" s="16">
        <v>0</v>
      </c>
      <c r="AG876" s="16">
        <v>1</v>
      </c>
      <c r="AH876" s="16">
        <v>0</v>
      </c>
      <c r="AI876" s="16">
        <v>1</v>
      </c>
      <c r="AJ876" s="5">
        <v>0</v>
      </c>
      <c r="AK876" s="5">
        <v>1</v>
      </c>
      <c r="AL876" s="5">
        <v>0</v>
      </c>
      <c r="AM876" s="20">
        <v>3</v>
      </c>
      <c r="AN876" s="20">
        <v>0.95</v>
      </c>
      <c r="AO876" s="16"/>
      <c r="AP876" s="16"/>
      <c r="AQ876" s="16"/>
      <c r="AR876" s="16">
        <v>0</v>
      </c>
      <c r="AS876" s="16">
        <v>0</v>
      </c>
      <c r="AT876" s="16"/>
      <c r="AU876" s="16"/>
      <c r="AV876" s="16"/>
      <c r="AW876" s="16"/>
      <c r="AX876" s="16">
        <v>0</v>
      </c>
      <c r="AY876" s="16">
        <v>0</v>
      </c>
      <c r="AZ876" s="16">
        <v>0</v>
      </c>
      <c r="BA876" s="16">
        <v>1</v>
      </c>
    </row>
    <row r="877" spans="1:53" x14ac:dyDescent="0.2">
      <c r="A877" s="14"/>
      <c r="B877" s="14" t="str">
        <f t="shared" si="235"/>
        <v>Kopp et al. 2012</v>
      </c>
      <c r="C877" s="61">
        <f t="shared" si="236"/>
        <v>78</v>
      </c>
      <c r="D877" s="58">
        <v>2012</v>
      </c>
      <c r="E877" s="17"/>
      <c r="F877" s="58">
        <v>1</v>
      </c>
      <c r="G877" s="22">
        <v>2005</v>
      </c>
      <c r="H877" s="15">
        <f>LOOKUP(G877,CPI!A$69:A$100,CPI!O$69:O$100)</f>
        <v>1.1165181771633383</v>
      </c>
      <c r="I877" s="52">
        <v>2015</v>
      </c>
      <c r="J877" s="15">
        <f t="shared" si="237"/>
        <v>6.9444444444444441E-3</v>
      </c>
      <c r="K877" s="15"/>
      <c r="L877" s="62"/>
      <c r="M877" s="56">
        <f t="shared" si="234"/>
        <v>525.38383114297085</v>
      </c>
      <c r="N877" s="14">
        <f>42*(44/12)</f>
        <v>154</v>
      </c>
      <c r="O877" s="18">
        <f t="shared" si="233"/>
        <v>154</v>
      </c>
      <c r="P877" s="16">
        <v>0</v>
      </c>
      <c r="Q877" s="16">
        <v>0</v>
      </c>
      <c r="R877" s="16">
        <v>1</v>
      </c>
      <c r="S877" s="14"/>
      <c r="T877" s="56" t="str">
        <f t="shared" si="240"/>
        <v/>
      </c>
      <c r="U877" s="56">
        <f t="shared" si="238"/>
        <v>145.51447218245548</v>
      </c>
      <c r="V877" s="56">
        <f t="shared" si="239"/>
        <v>428.88476011671094</v>
      </c>
      <c r="W877" s="14"/>
      <c r="X877" s="3">
        <f>16*((44/12)*(44/12))</f>
        <v>215.11111111111109</v>
      </c>
      <c r="Y877" s="14"/>
      <c r="Z877" s="14"/>
      <c r="AA877" s="3">
        <f>35*((44/12)*(44/12))</f>
        <v>470.55555555555549</v>
      </c>
      <c r="AB877" s="14"/>
      <c r="AC877" s="14"/>
      <c r="AD877" s="3">
        <f>91*((44/12)*(44/12))</f>
        <v>1223.4444444444443</v>
      </c>
      <c r="AE877" s="14"/>
      <c r="AF877" s="16">
        <v>0</v>
      </c>
      <c r="AG877" s="16">
        <v>1</v>
      </c>
      <c r="AH877" s="16">
        <v>0</v>
      </c>
      <c r="AI877" s="16">
        <v>1</v>
      </c>
      <c r="AJ877" s="5">
        <v>0</v>
      </c>
      <c r="AK877" s="5">
        <v>1</v>
      </c>
      <c r="AL877" s="5">
        <v>0</v>
      </c>
      <c r="AM877" s="20">
        <v>3</v>
      </c>
      <c r="AN877" s="20">
        <v>0.95</v>
      </c>
      <c r="AO877" s="16"/>
      <c r="AP877" s="16"/>
      <c r="AQ877" s="16"/>
      <c r="AR877" s="16">
        <v>0</v>
      </c>
      <c r="AS877" s="16">
        <v>0</v>
      </c>
      <c r="AT877" s="16"/>
      <c r="AU877" s="16"/>
      <c r="AV877" s="16"/>
      <c r="AW877" s="16"/>
      <c r="AX877" s="16">
        <v>0</v>
      </c>
      <c r="AY877" s="16">
        <v>0</v>
      </c>
      <c r="AZ877" s="16">
        <v>0</v>
      </c>
      <c r="BA877" s="16">
        <v>1</v>
      </c>
    </row>
    <row r="878" spans="1:53" x14ac:dyDescent="0.2">
      <c r="A878" s="14"/>
      <c r="B878" s="14" t="str">
        <f t="shared" si="235"/>
        <v>Kopp et al. 2012</v>
      </c>
      <c r="C878" s="61">
        <f t="shared" si="236"/>
        <v>78</v>
      </c>
      <c r="D878" s="58">
        <v>2012</v>
      </c>
      <c r="E878" s="17"/>
      <c r="F878" s="58">
        <v>1</v>
      </c>
      <c r="G878" s="22">
        <v>2005</v>
      </c>
      <c r="H878" s="15">
        <f>LOOKUP(G878,CPI!A$69:A$100,CPI!O$69:O$100)</f>
        <v>1.1165181771633383</v>
      </c>
      <c r="I878" s="52">
        <v>2015</v>
      </c>
      <c r="J878" s="15">
        <f t="shared" si="237"/>
        <v>6.9444444444444441E-3</v>
      </c>
      <c r="K878" s="15"/>
      <c r="L878" s="62"/>
      <c r="M878" s="56">
        <f t="shared" si="234"/>
        <v>525.38383114297085</v>
      </c>
      <c r="N878" s="14">
        <f>54*(44/12)</f>
        <v>198</v>
      </c>
      <c r="O878" s="18">
        <f t="shared" si="233"/>
        <v>198</v>
      </c>
      <c r="P878" s="16">
        <v>0</v>
      </c>
      <c r="Q878" s="16">
        <v>0</v>
      </c>
      <c r="R878" s="16">
        <v>1</v>
      </c>
      <c r="S878" s="14"/>
      <c r="T878" s="56" t="str">
        <f t="shared" si="240"/>
        <v/>
      </c>
      <c r="U878" s="56">
        <f t="shared" si="238"/>
        <v>145.51447218245548</v>
      </c>
      <c r="V878" s="56">
        <f t="shared" si="239"/>
        <v>405.90879082474419</v>
      </c>
      <c r="W878" s="14"/>
      <c r="X878" s="3">
        <f>16*((44/12)*(44/12))</f>
        <v>215.11111111111109</v>
      </c>
      <c r="Y878" s="14"/>
      <c r="Z878" s="14"/>
      <c r="AA878" s="3">
        <f>35*((44/12)*(44/12))</f>
        <v>470.55555555555549</v>
      </c>
      <c r="AB878" s="14"/>
      <c r="AC878" s="14"/>
      <c r="AD878" s="3">
        <f>88*((44/12)*(44/12))</f>
        <v>1183.1111111111109</v>
      </c>
      <c r="AE878" s="14"/>
      <c r="AF878" s="16">
        <v>0</v>
      </c>
      <c r="AG878" s="16">
        <v>1</v>
      </c>
      <c r="AH878" s="16">
        <v>0</v>
      </c>
      <c r="AI878" s="16">
        <v>1</v>
      </c>
      <c r="AJ878" s="5">
        <v>0</v>
      </c>
      <c r="AK878" s="5">
        <v>1</v>
      </c>
      <c r="AL878" s="5">
        <v>0</v>
      </c>
      <c r="AM878" s="20">
        <v>3</v>
      </c>
      <c r="AN878" s="20">
        <v>0.95</v>
      </c>
      <c r="AO878" s="16"/>
      <c r="AP878" s="16"/>
      <c r="AQ878" s="16"/>
      <c r="AR878" s="16">
        <v>0</v>
      </c>
      <c r="AS878" s="16">
        <v>0</v>
      </c>
      <c r="AT878" s="16"/>
      <c r="AU878" s="16"/>
      <c r="AV878" s="16"/>
      <c r="AW878" s="16"/>
      <c r="AX878" s="16">
        <v>0</v>
      </c>
      <c r="AY878" s="16">
        <v>0</v>
      </c>
      <c r="AZ878" s="16">
        <v>0</v>
      </c>
      <c r="BA878" s="16">
        <v>1</v>
      </c>
    </row>
    <row r="879" spans="1:53" x14ac:dyDescent="0.2">
      <c r="A879" s="14"/>
      <c r="B879" s="14" t="str">
        <f t="shared" si="235"/>
        <v>Kopp et al. 2012</v>
      </c>
      <c r="C879" s="61">
        <f t="shared" si="236"/>
        <v>78</v>
      </c>
      <c r="D879" s="58">
        <v>2012</v>
      </c>
      <c r="E879" s="17"/>
      <c r="F879" s="58">
        <v>1</v>
      </c>
      <c r="G879" s="22">
        <v>2005</v>
      </c>
      <c r="H879" s="15">
        <f>LOOKUP(G879,CPI!A$69:A$100,CPI!O$69:O$100)</f>
        <v>1.1165181771633383</v>
      </c>
      <c r="I879" s="52">
        <v>2015</v>
      </c>
      <c r="J879" s="15">
        <f t="shared" si="237"/>
        <v>6.9444444444444441E-3</v>
      </c>
      <c r="K879" s="15"/>
      <c r="L879" s="62"/>
      <c r="M879" s="56">
        <f t="shared" si="234"/>
        <v>585.42769755931033</v>
      </c>
      <c r="N879" s="14">
        <f>63*(44/12)</f>
        <v>231</v>
      </c>
      <c r="O879" s="18">
        <f t="shared" si="233"/>
        <v>231</v>
      </c>
      <c r="P879" s="16">
        <v>0</v>
      </c>
      <c r="Q879" s="16">
        <v>0</v>
      </c>
      <c r="R879" s="16">
        <v>1</v>
      </c>
      <c r="S879" s="14"/>
      <c r="T879" s="56" t="str">
        <f t="shared" si="240"/>
        <v/>
      </c>
      <c r="U879" s="56">
        <f t="shared" si="238"/>
        <v>191.4664107663888</v>
      </c>
      <c r="V879" s="56">
        <f t="shared" si="239"/>
        <v>1263.6783110581659</v>
      </c>
      <c r="W879" s="14"/>
      <c r="X879" s="3">
        <f>14*((44/12)*(44/12))</f>
        <v>188.2222222222222</v>
      </c>
      <c r="Y879" s="14"/>
      <c r="Z879" s="14"/>
      <c r="AA879" s="3">
        <f>39*((44/12)*(44/12))</f>
        <v>524.33333333333326</v>
      </c>
      <c r="AB879" s="14"/>
      <c r="AC879" s="14"/>
      <c r="AD879" s="3">
        <f>204*((44/12)*(44/12))</f>
        <v>2742.6666666666665</v>
      </c>
      <c r="AE879" s="14"/>
      <c r="AF879" s="16">
        <v>0</v>
      </c>
      <c r="AG879" s="16">
        <v>1</v>
      </c>
      <c r="AH879" s="16">
        <v>0</v>
      </c>
      <c r="AI879" s="16">
        <v>1</v>
      </c>
      <c r="AJ879" s="5">
        <v>0</v>
      </c>
      <c r="AK879" s="5">
        <v>1</v>
      </c>
      <c r="AL879" s="5">
        <v>0</v>
      </c>
      <c r="AM879" s="20">
        <v>3</v>
      </c>
      <c r="AN879" s="20">
        <v>0.95</v>
      </c>
      <c r="AO879" s="16"/>
      <c r="AP879" s="16"/>
      <c r="AQ879" s="16"/>
      <c r="AR879" s="16">
        <v>0</v>
      </c>
      <c r="AS879" s="16">
        <v>0</v>
      </c>
      <c r="AT879" s="16"/>
      <c r="AU879" s="16"/>
      <c r="AV879" s="16"/>
      <c r="AW879" s="16"/>
      <c r="AX879" s="16">
        <v>0</v>
      </c>
      <c r="AY879" s="16">
        <v>0</v>
      </c>
      <c r="AZ879" s="16">
        <v>0</v>
      </c>
      <c r="BA879" s="16">
        <v>1</v>
      </c>
    </row>
    <row r="880" spans="1:53" x14ac:dyDescent="0.2">
      <c r="A880" s="14"/>
      <c r="B880" s="14" t="str">
        <f t="shared" si="235"/>
        <v>Kopp et al. 2012</v>
      </c>
      <c r="C880" s="61">
        <f t="shared" si="236"/>
        <v>78</v>
      </c>
      <c r="D880" s="58">
        <v>2012</v>
      </c>
      <c r="E880" s="17"/>
      <c r="F880" s="58">
        <v>1</v>
      </c>
      <c r="G880" s="22">
        <v>2005</v>
      </c>
      <c r="H880" s="15">
        <f>LOOKUP(G880,CPI!A$69:A$100,CPI!O$69:O$100)</f>
        <v>1.1165181771633383</v>
      </c>
      <c r="I880" s="52">
        <v>2015</v>
      </c>
      <c r="J880" s="15">
        <f t="shared" si="237"/>
        <v>6.9444444444444441E-3</v>
      </c>
      <c r="K880" s="15"/>
      <c r="L880" s="62"/>
      <c r="M880" s="56">
        <f t="shared" si="234"/>
        <v>195.14256585310346</v>
      </c>
      <c r="N880" s="14">
        <f>42*(44/12)</f>
        <v>154</v>
      </c>
      <c r="O880" s="18">
        <f t="shared" si="233"/>
        <v>154</v>
      </c>
      <c r="P880" s="16">
        <v>0</v>
      </c>
      <c r="Q880" s="16">
        <v>0</v>
      </c>
      <c r="R880" s="16">
        <v>1</v>
      </c>
      <c r="S880" s="14"/>
      <c r="T880" s="56" t="str">
        <f t="shared" si="240"/>
        <v/>
      </c>
      <c r="U880" s="56">
        <f t="shared" si="238"/>
        <v>53.610595014588867</v>
      </c>
      <c r="V880" s="56">
        <f t="shared" si="239"/>
        <v>1248.3609981968548</v>
      </c>
      <c r="W880" s="14"/>
      <c r="X880" s="3">
        <f>6*((44/12)*(44/12))</f>
        <v>80.666666666666657</v>
      </c>
      <c r="Y880" s="14"/>
      <c r="Z880" s="14"/>
      <c r="AA880" s="3">
        <f>13*((44/12)*(44/12))</f>
        <v>174.77777777777777</v>
      </c>
      <c r="AB880" s="14"/>
      <c r="AC880" s="14"/>
      <c r="AD880" s="3">
        <f>176*((44/12)*(44/12))</f>
        <v>2366.2222222222217</v>
      </c>
      <c r="AE880" s="14"/>
      <c r="AF880" s="16">
        <v>0</v>
      </c>
      <c r="AG880" s="16">
        <v>1</v>
      </c>
      <c r="AH880" s="16">
        <v>0</v>
      </c>
      <c r="AI880" s="16">
        <v>1</v>
      </c>
      <c r="AJ880" s="5">
        <v>0</v>
      </c>
      <c r="AK880" s="5">
        <v>1</v>
      </c>
      <c r="AL880" s="5">
        <v>0</v>
      </c>
      <c r="AM880" s="20">
        <v>3</v>
      </c>
      <c r="AN880" s="20">
        <v>0.95</v>
      </c>
      <c r="AO880" s="16"/>
      <c r="AP880" s="16"/>
      <c r="AQ880" s="16"/>
      <c r="AR880" s="16">
        <v>0</v>
      </c>
      <c r="AS880" s="16">
        <v>0</v>
      </c>
      <c r="AT880" s="16"/>
      <c r="AU880" s="16"/>
      <c r="AV880" s="16"/>
      <c r="AW880" s="16"/>
      <c r="AX880" s="16">
        <v>0</v>
      </c>
      <c r="AY880" s="16">
        <v>0</v>
      </c>
      <c r="AZ880" s="16">
        <v>0</v>
      </c>
      <c r="BA880" s="16">
        <v>1</v>
      </c>
    </row>
    <row r="881" spans="1:53" x14ac:dyDescent="0.2">
      <c r="A881" s="14"/>
      <c r="B881" s="14" t="str">
        <f t="shared" si="235"/>
        <v>Kopp et al. 2012</v>
      </c>
      <c r="C881" s="61">
        <f t="shared" si="236"/>
        <v>78</v>
      </c>
      <c r="D881" s="58">
        <v>2012</v>
      </c>
      <c r="E881" s="17"/>
      <c r="F881" s="58">
        <v>1</v>
      </c>
      <c r="G881" s="22">
        <v>2005</v>
      </c>
      <c r="H881" s="15">
        <f>LOOKUP(G881,CPI!A$69:A$100,CPI!O$69:O$100)</f>
        <v>1.1165181771633383</v>
      </c>
      <c r="I881" s="52">
        <v>2015</v>
      </c>
      <c r="J881" s="15">
        <f t="shared" si="237"/>
        <v>6.9444444444444441E-3</v>
      </c>
      <c r="K881" s="15"/>
      <c r="L881" s="62"/>
      <c r="M881" s="56">
        <f t="shared" si="234"/>
        <v>135.09869943676392</v>
      </c>
      <c r="N881" s="14">
        <f>38*(44/12)</f>
        <v>139.33333333333331</v>
      </c>
      <c r="O881" s="18">
        <f t="shared" si="233"/>
        <v>139.33333333333331</v>
      </c>
      <c r="P881" s="16">
        <v>0</v>
      </c>
      <c r="Q881" s="16">
        <v>0</v>
      </c>
      <c r="R881" s="16">
        <v>1</v>
      </c>
      <c r="S881" s="14"/>
      <c r="T881" s="56" t="str">
        <f t="shared" si="240"/>
        <v/>
      </c>
      <c r="U881" s="56">
        <f t="shared" si="238"/>
        <v>38.293282153277758</v>
      </c>
      <c r="V881" s="56">
        <f t="shared" si="239"/>
        <v>1263.6783110581659</v>
      </c>
      <c r="W881" s="14"/>
      <c r="X881" s="3">
        <f>4*((44/12)*(44/12))</f>
        <v>53.777777777777771</v>
      </c>
      <c r="Y881" s="14"/>
      <c r="Z881" s="14"/>
      <c r="AA881" s="3">
        <f>9*((44/12)*(44/12))</f>
        <v>120.99999999999999</v>
      </c>
      <c r="AB881" s="14"/>
      <c r="AC881" s="14"/>
      <c r="AD881" s="3">
        <f>174*((44/12)*(44/12))</f>
        <v>2339.333333333333</v>
      </c>
      <c r="AE881" s="14"/>
      <c r="AF881" s="16">
        <v>0</v>
      </c>
      <c r="AG881" s="16">
        <v>1</v>
      </c>
      <c r="AH881" s="16">
        <v>0</v>
      </c>
      <c r="AI881" s="16">
        <v>1</v>
      </c>
      <c r="AJ881" s="5">
        <v>0</v>
      </c>
      <c r="AK881" s="5">
        <v>1</v>
      </c>
      <c r="AL881" s="5">
        <v>0</v>
      </c>
      <c r="AM881" s="20">
        <v>3</v>
      </c>
      <c r="AN881" s="20">
        <v>0.95</v>
      </c>
      <c r="AO881" s="16"/>
      <c r="AP881" s="16"/>
      <c r="AQ881" s="16"/>
      <c r="AR881" s="16">
        <v>0</v>
      </c>
      <c r="AS881" s="16">
        <v>0</v>
      </c>
      <c r="AT881" s="16"/>
      <c r="AU881" s="16"/>
      <c r="AV881" s="16"/>
      <c r="AW881" s="16"/>
      <c r="AX881" s="16">
        <v>0</v>
      </c>
      <c r="AY881" s="16">
        <v>0</v>
      </c>
      <c r="AZ881" s="16">
        <v>0</v>
      </c>
      <c r="BA881" s="16">
        <v>1</v>
      </c>
    </row>
    <row r="882" spans="1:53" x14ac:dyDescent="0.2">
      <c r="A882" s="14"/>
      <c r="B882" s="14" t="str">
        <f t="shared" si="235"/>
        <v>Kopp et al. 2012</v>
      </c>
      <c r="C882" s="61">
        <f t="shared" si="236"/>
        <v>78</v>
      </c>
      <c r="D882" s="58">
        <v>2012</v>
      </c>
      <c r="E882" s="17"/>
      <c r="F882" s="58">
        <v>1</v>
      </c>
      <c r="G882" s="22">
        <v>2005</v>
      </c>
      <c r="H882" s="15">
        <f>LOOKUP(G882,CPI!A$69:A$100,CPI!O$69:O$100)</f>
        <v>1.1165181771633383</v>
      </c>
      <c r="I882" s="52">
        <v>2015</v>
      </c>
      <c r="J882" s="15">
        <f t="shared" si="237"/>
        <v>6.9444444444444441E-3</v>
      </c>
      <c r="K882" s="15"/>
      <c r="L882" s="62"/>
      <c r="M882" s="56">
        <f t="shared" si="234"/>
        <v>270.19739887352785</v>
      </c>
      <c r="N882" s="14">
        <f>68*(44/12)</f>
        <v>249.33333333333331</v>
      </c>
      <c r="O882" s="18">
        <f t="shared" si="233"/>
        <v>249.33333333333331</v>
      </c>
      <c r="P882" s="16">
        <v>0</v>
      </c>
      <c r="Q882" s="16">
        <v>0</v>
      </c>
      <c r="R882" s="16">
        <v>1</v>
      </c>
      <c r="S882" s="14"/>
      <c r="T882" s="56" t="str">
        <f t="shared" si="240"/>
        <v/>
      </c>
      <c r="U882" s="56">
        <f t="shared" si="238"/>
        <v>76.586564306555516</v>
      </c>
      <c r="V882" s="56">
        <f t="shared" si="239"/>
        <v>2067.8372362769987</v>
      </c>
      <c r="W882" s="14"/>
      <c r="X882" s="3">
        <f>8*((44/12)*(44/12))</f>
        <v>107.55555555555554</v>
      </c>
      <c r="Y882" s="14"/>
      <c r="Z882" s="14"/>
      <c r="AA882" s="3">
        <f>18*((44/12)*(44/12))</f>
        <v>241.99999999999997</v>
      </c>
      <c r="AB882" s="14"/>
      <c r="AC882" s="14"/>
      <c r="AD882" s="3">
        <f>288*((44/12)*(44/12))</f>
        <v>3871.9999999999995</v>
      </c>
      <c r="AE882" s="14"/>
      <c r="AF882" s="16">
        <v>0</v>
      </c>
      <c r="AG882" s="16">
        <v>1</v>
      </c>
      <c r="AH882" s="16">
        <v>0</v>
      </c>
      <c r="AI882" s="16">
        <v>1</v>
      </c>
      <c r="AJ882" s="5">
        <v>0</v>
      </c>
      <c r="AK882" s="5">
        <v>1</v>
      </c>
      <c r="AL882" s="5">
        <v>0</v>
      </c>
      <c r="AM882" s="20">
        <v>3</v>
      </c>
      <c r="AN882" s="20">
        <v>0.95</v>
      </c>
      <c r="AO882" s="16"/>
      <c r="AP882" s="16"/>
      <c r="AQ882" s="16"/>
      <c r="AR882" s="16">
        <v>0</v>
      </c>
      <c r="AS882" s="16">
        <v>0</v>
      </c>
      <c r="AT882" s="16"/>
      <c r="AU882" s="16"/>
      <c r="AV882" s="16"/>
      <c r="AW882" s="16"/>
      <c r="AX882" s="16">
        <v>0</v>
      </c>
      <c r="AY882" s="16">
        <v>0</v>
      </c>
      <c r="AZ882" s="16">
        <v>0</v>
      </c>
      <c r="BA882" s="16">
        <v>1</v>
      </c>
    </row>
    <row r="883" spans="1:53" x14ac:dyDescent="0.2">
      <c r="A883" s="14"/>
      <c r="B883" s="14" t="str">
        <f t="shared" si="235"/>
        <v>Kopp et al. 2012</v>
      </c>
      <c r="C883" s="61">
        <f t="shared" si="236"/>
        <v>78</v>
      </c>
      <c r="D883" s="58">
        <v>2012</v>
      </c>
      <c r="E883" s="17"/>
      <c r="F883" s="58">
        <v>1</v>
      </c>
      <c r="G883" s="22">
        <v>2005</v>
      </c>
      <c r="H883" s="15">
        <f>LOOKUP(G883,CPI!A$69:A$100,CPI!O$69:O$100)</f>
        <v>1.1165181771633383</v>
      </c>
      <c r="I883" s="52">
        <v>2015</v>
      </c>
      <c r="J883" s="15">
        <f t="shared" si="237"/>
        <v>6.9444444444444441E-3</v>
      </c>
      <c r="K883" s="15"/>
      <c r="L883" s="62"/>
      <c r="M883" s="56">
        <f t="shared" si="234"/>
        <v>150.10966604084879</v>
      </c>
      <c r="N883" s="14">
        <f>41*(44/12)</f>
        <v>150.33333333333331</v>
      </c>
      <c r="O883" s="18">
        <f t="shared" si="233"/>
        <v>150.33333333333331</v>
      </c>
      <c r="P883" s="16">
        <v>0</v>
      </c>
      <c r="Q883" s="16">
        <v>0</v>
      </c>
      <c r="R883" s="16">
        <v>1</v>
      </c>
      <c r="S883" s="14"/>
      <c r="T883" s="56" t="str">
        <f t="shared" si="240"/>
        <v/>
      </c>
      <c r="U883" s="56">
        <f t="shared" si="238"/>
        <v>38.293282153277758</v>
      </c>
      <c r="V883" s="56">
        <f t="shared" si="239"/>
        <v>1194.7504031822659</v>
      </c>
      <c r="W883" s="14"/>
      <c r="X883" s="3">
        <f>5*((44/12)*(44/12))</f>
        <v>67.222222222222214</v>
      </c>
      <c r="Y883" s="14"/>
      <c r="Z883" s="14"/>
      <c r="AA883" s="3">
        <f>10*((44/12)*(44/12))</f>
        <v>134.44444444444443</v>
      </c>
      <c r="AB883" s="14"/>
      <c r="AC883" s="14"/>
      <c r="AD883" s="3">
        <f>166*((44/12)*(44/12))</f>
        <v>2231.7777777777774</v>
      </c>
      <c r="AE883" s="14"/>
      <c r="AF883" s="16">
        <v>0</v>
      </c>
      <c r="AG883" s="16">
        <v>1</v>
      </c>
      <c r="AH883" s="16">
        <v>0</v>
      </c>
      <c r="AI883" s="16">
        <v>1</v>
      </c>
      <c r="AJ883" s="5">
        <v>0</v>
      </c>
      <c r="AK883" s="5">
        <v>1</v>
      </c>
      <c r="AL883" s="5">
        <v>0</v>
      </c>
      <c r="AM883" s="20">
        <v>3</v>
      </c>
      <c r="AN883" s="20">
        <v>0.95</v>
      </c>
      <c r="AO883" s="16"/>
      <c r="AP883" s="16"/>
      <c r="AQ883" s="16"/>
      <c r="AR883" s="16">
        <v>0</v>
      </c>
      <c r="AS883" s="16">
        <v>0</v>
      </c>
      <c r="AT883" s="16"/>
      <c r="AU883" s="16"/>
      <c r="AV883" s="16"/>
      <c r="AW883" s="16"/>
      <c r="AX883" s="16">
        <v>0</v>
      </c>
      <c r="AY883" s="16">
        <v>0</v>
      </c>
      <c r="AZ883" s="16">
        <v>0</v>
      </c>
      <c r="BA883" s="16">
        <v>1</v>
      </c>
    </row>
    <row r="884" spans="1:53" x14ac:dyDescent="0.2">
      <c r="A884" s="14"/>
      <c r="B884" s="14" t="str">
        <f t="shared" si="235"/>
        <v>Kopp et al. 2012</v>
      </c>
      <c r="C884" s="61">
        <f t="shared" si="236"/>
        <v>78</v>
      </c>
      <c r="D884" s="58">
        <v>2012</v>
      </c>
      <c r="E884" s="17"/>
      <c r="F884" s="58">
        <v>1</v>
      </c>
      <c r="G884" s="22">
        <v>2005</v>
      </c>
      <c r="H884" s="15">
        <f>LOOKUP(G884,CPI!A$69:A$100,CPI!O$69:O$100)</f>
        <v>1.1165181771633383</v>
      </c>
      <c r="I884" s="52">
        <v>2015</v>
      </c>
      <c r="J884" s="15">
        <f t="shared" si="237"/>
        <v>6.9444444444444441E-3</v>
      </c>
      <c r="K884" s="15"/>
      <c r="L884" s="62"/>
      <c r="M884" s="56">
        <f t="shared" si="234"/>
        <v>105.07676622859417</v>
      </c>
      <c r="N884" s="14">
        <f>61*(44/12)</f>
        <v>223.66666666666666</v>
      </c>
      <c r="O884" s="18">
        <f t="shared" ref="O884:O923" si="241">N884</f>
        <v>223.66666666666666</v>
      </c>
      <c r="P884" s="16">
        <v>0</v>
      </c>
      <c r="Q884" s="16">
        <v>0</v>
      </c>
      <c r="R884" s="16">
        <v>1</v>
      </c>
      <c r="S884" s="14"/>
      <c r="T884" s="56" t="str">
        <f t="shared" si="240"/>
        <v/>
      </c>
      <c r="U884" s="56">
        <f t="shared" si="238"/>
        <v>45.951938583933305</v>
      </c>
      <c r="V884" s="56">
        <f t="shared" si="239"/>
        <v>2389.5008063645319</v>
      </c>
      <c r="W884" s="14"/>
      <c r="X884" s="3">
        <f>1*((44/12)*(44/12))</f>
        <v>13.444444444444443</v>
      </c>
      <c r="Y884" s="14"/>
      <c r="Z884" s="14"/>
      <c r="AA884" s="3">
        <f>7*((44/12)*(44/12))</f>
        <v>94.1111111111111</v>
      </c>
      <c r="AB884" s="14"/>
      <c r="AC884" s="14"/>
      <c r="AD884" s="3">
        <f>319*((44/12)*(44/12))</f>
        <v>4288.7777777777774</v>
      </c>
      <c r="AE884" s="14"/>
      <c r="AF884" s="16">
        <v>0</v>
      </c>
      <c r="AG884" s="16">
        <v>1</v>
      </c>
      <c r="AH884" s="16">
        <v>0</v>
      </c>
      <c r="AI884" s="16">
        <v>1</v>
      </c>
      <c r="AJ884" s="5">
        <v>0</v>
      </c>
      <c r="AK884" s="5">
        <v>1</v>
      </c>
      <c r="AL884" s="5">
        <v>0</v>
      </c>
      <c r="AM884" s="20">
        <v>3</v>
      </c>
      <c r="AN884" s="20">
        <v>0.95</v>
      </c>
      <c r="AO884" s="16"/>
      <c r="AP884" s="16"/>
      <c r="AQ884" s="16"/>
      <c r="AR884" s="16">
        <v>0</v>
      </c>
      <c r="AS884" s="16">
        <v>0</v>
      </c>
      <c r="AT884" s="16"/>
      <c r="AU884" s="16"/>
      <c r="AV884" s="16"/>
      <c r="AW884" s="16"/>
      <c r="AX884" s="16">
        <v>0</v>
      </c>
      <c r="AY884" s="16">
        <v>0</v>
      </c>
      <c r="AZ884" s="16">
        <v>0</v>
      </c>
      <c r="BA884" s="16">
        <v>1</v>
      </c>
    </row>
    <row r="885" spans="1:53" x14ac:dyDescent="0.2">
      <c r="A885" s="14"/>
      <c r="B885" s="14" t="str">
        <f t="shared" si="235"/>
        <v>Kopp et al. 2012</v>
      </c>
      <c r="C885" s="61">
        <f t="shared" si="236"/>
        <v>78</v>
      </c>
      <c r="D885" s="58">
        <v>2012</v>
      </c>
      <c r="E885" s="17"/>
      <c r="F885" s="58">
        <v>1</v>
      </c>
      <c r="G885" s="22">
        <v>2005</v>
      </c>
      <c r="H885" s="15">
        <f>LOOKUP(G885,CPI!A$69:A$100,CPI!O$69:O$100)</f>
        <v>1.1165181771633383</v>
      </c>
      <c r="I885" s="52">
        <v>2015</v>
      </c>
      <c r="J885" s="15">
        <f t="shared" si="237"/>
        <v>6.9444444444444441E-3</v>
      </c>
      <c r="K885" s="15"/>
      <c r="L885" s="62"/>
      <c r="M885" s="56">
        <f t="shared" si="234"/>
        <v>90.065799624509282</v>
      </c>
      <c r="N885" s="14">
        <f>55*(44/12)</f>
        <v>201.66666666666666</v>
      </c>
      <c r="O885" s="18">
        <f t="shared" si="241"/>
        <v>201.66666666666666</v>
      </c>
      <c r="P885" s="16">
        <v>0</v>
      </c>
      <c r="Q885" s="16">
        <v>0</v>
      </c>
      <c r="R885" s="16">
        <v>1</v>
      </c>
      <c r="S885" s="14"/>
      <c r="T885" s="56" t="str">
        <f t="shared" si="240"/>
        <v/>
      </c>
      <c r="U885" s="56">
        <f t="shared" si="238"/>
        <v>38.293282153277758</v>
      </c>
      <c r="V885" s="56">
        <f t="shared" si="239"/>
        <v>2167.3997698755211</v>
      </c>
      <c r="W885" s="14"/>
      <c r="X885" s="3">
        <f>1*((44/12)*(44/12))</f>
        <v>13.444444444444443</v>
      </c>
      <c r="Y885" s="14"/>
      <c r="Z885" s="14"/>
      <c r="AA885" s="3">
        <f>6*((44/12)*(44/12))</f>
        <v>80.666666666666657</v>
      </c>
      <c r="AB885" s="14"/>
      <c r="AC885" s="14"/>
      <c r="AD885" s="3">
        <f>289*((44/12)*(44/12))</f>
        <v>3885.4444444444439</v>
      </c>
      <c r="AE885" s="14"/>
      <c r="AF885" s="16">
        <v>0</v>
      </c>
      <c r="AG885" s="16">
        <v>1</v>
      </c>
      <c r="AH885" s="16">
        <v>0</v>
      </c>
      <c r="AI885" s="16">
        <v>1</v>
      </c>
      <c r="AJ885" s="5">
        <v>0</v>
      </c>
      <c r="AK885" s="5">
        <v>1</v>
      </c>
      <c r="AL885" s="5">
        <v>0</v>
      </c>
      <c r="AM885" s="20">
        <v>3</v>
      </c>
      <c r="AN885" s="20">
        <v>0.95</v>
      </c>
      <c r="AO885" s="16"/>
      <c r="AP885" s="16"/>
      <c r="AQ885" s="16"/>
      <c r="AR885" s="16">
        <v>0</v>
      </c>
      <c r="AS885" s="16">
        <v>0</v>
      </c>
      <c r="AT885" s="16"/>
      <c r="AU885" s="16"/>
      <c r="AV885" s="16"/>
      <c r="AW885" s="16"/>
      <c r="AX885" s="16">
        <v>0</v>
      </c>
      <c r="AY885" s="16">
        <v>0</v>
      </c>
      <c r="AZ885" s="16">
        <v>0</v>
      </c>
      <c r="BA885" s="16">
        <v>1</v>
      </c>
    </row>
    <row r="886" spans="1:53" x14ac:dyDescent="0.2">
      <c r="A886" s="14"/>
      <c r="B886" s="14" t="str">
        <f t="shared" si="235"/>
        <v>Kopp et al. 2012</v>
      </c>
      <c r="C886" s="61">
        <f t="shared" si="236"/>
        <v>78</v>
      </c>
      <c r="D886" s="58">
        <v>2012</v>
      </c>
      <c r="E886" s="17"/>
      <c r="F886" s="58">
        <v>1</v>
      </c>
      <c r="G886" s="22">
        <v>2005</v>
      </c>
      <c r="H886" s="15">
        <f>LOOKUP(G886,CPI!A$69:A$100,CPI!O$69:O$100)</f>
        <v>1.1165181771633383</v>
      </c>
      <c r="I886" s="52">
        <v>2015</v>
      </c>
      <c r="J886" s="15">
        <f t="shared" si="237"/>
        <v>6.9444444444444441E-3</v>
      </c>
      <c r="K886" s="15"/>
      <c r="L886" s="62"/>
      <c r="M886" s="56">
        <f t="shared" si="234"/>
        <v>105.07676622859417</v>
      </c>
      <c r="N886" s="14">
        <f>69*(44/12)</f>
        <v>253</v>
      </c>
      <c r="O886" s="18">
        <f t="shared" si="241"/>
        <v>253</v>
      </c>
      <c r="P886" s="16">
        <v>0</v>
      </c>
      <c r="Q886" s="16">
        <v>0</v>
      </c>
      <c r="R886" s="16">
        <v>1</v>
      </c>
      <c r="S886" s="14"/>
      <c r="T886" s="56" t="str">
        <f t="shared" si="240"/>
        <v/>
      </c>
      <c r="U886" s="56">
        <f t="shared" si="238"/>
        <v>45.951938583933305</v>
      </c>
      <c r="V886" s="56">
        <f t="shared" si="239"/>
        <v>2780.0922843279645</v>
      </c>
      <c r="W886" s="14"/>
      <c r="X886" s="3">
        <f>1*((44/12)*(44/12))</f>
        <v>13.444444444444443</v>
      </c>
      <c r="Y886" s="14"/>
      <c r="Z886" s="14"/>
      <c r="AA886" s="3">
        <f>7*((44/12)*(44/12))</f>
        <v>94.1111111111111</v>
      </c>
      <c r="AB886" s="14"/>
      <c r="AC886" s="14"/>
      <c r="AD886" s="3">
        <f>370*((44/12)*(44/12))</f>
        <v>4974.4444444444434</v>
      </c>
      <c r="AE886" s="14"/>
      <c r="AF886" s="16">
        <v>0</v>
      </c>
      <c r="AG886" s="16">
        <v>1</v>
      </c>
      <c r="AH886" s="16">
        <v>0</v>
      </c>
      <c r="AI886" s="16">
        <v>1</v>
      </c>
      <c r="AJ886" s="5">
        <v>0</v>
      </c>
      <c r="AK886" s="5">
        <v>1</v>
      </c>
      <c r="AL886" s="5">
        <v>0</v>
      </c>
      <c r="AM886" s="20">
        <v>3</v>
      </c>
      <c r="AN886" s="20">
        <v>0.95</v>
      </c>
      <c r="AO886" s="16"/>
      <c r="AP886" s="16"/>
      <c r="AQ886" s="16"/>
      <c r="AR886" s="16">
        <v>0</v>
      </c>
      <c r="AS886" s="16">
        <v>0</v>
      </c>
      <c r="AT886" s="16"/>
      <c r="AU886" s="16"/>
      <c r="AV886" s="16"/>
      <c r="AW886" s="16"/>
      <c r="AX886" s="16">
        <v>0</v>
      </c>
      <c r="AY886" s="16">
        <v>0</v>
      </c>
      <c r="AZ886" s="16">
        <v>0</v>
      </c>
      <c r="BA886" s="16">
        <v>1</v>
      </c>
    </row>
    <row r="887" spans="1:53" x14ac:dyDescent="0.2">
      <c r="A887" s="14"/>
      <c r="B887" s="14" t="str">
        <f t="shared" si="235"/>
        <v>Kopp et al. 2012</v>
      </c>
      <c r="C887" s="61">
        <f t="shared" si="236"/>
        <v>78</v>
      </c>
      <c r="D887" s="58">
        <v>2012</v>
      </c>
      <c r="E887" s="17"/>
      <c r="F887" s="58">
        <v>1</v>
      </c>
      <c r="G887" s="22">
        <v>2005</v>
      </c>
      <c r="H887" s="15">
        <f>LOOKUP(G887,CPI!A$69:A$100,CPI!O$69:O$100)</f>
        <v>1.1165181771633383</v>
      </c>
      <c r="I887" s="52">
        <v>2015</v>
      </c>
      <c r="J887" s="15">
        <f t="shared" si="237"/>
        <v>6.9444444444444441E-3</v>
      </c>
      <c r="K887" s="15"/>
      <c r="L887" s="62"/>
      <c r="M887" s="56">
        <f t="shared" si="234"/>
        <v>90.065799624509282</v>
      </c>
      <c r="N887" s="14">
        <f>62*(44/12)</f>
        <v>227.33333333333331</v>
      </c>
      <c r="O887" s="18">
        <f t="shared" si="241"/>
        <v>227.33333333333331</v>
      </c>
      <c r="P887" s="16">
        <v>0</v>
      </c>
      <c r="Q887" s="16">
        <v>0</v>
      </c>
      <c r="R887" s="16">
        <v>1</v>
      </c>
      <c r="S887" s="14"/>
      <c r="T887" s="56" t="str">
        <f t="shared" si="240"/>
        <v/>
      </c>
      <c r="U887" s="56">
        <f t="shared" si="238"/>
        <v>38.293282153277758</v>
      </c>
      <c r="V887" s="56">
        <f t="shared" si="239"/>
        <v>2496.7219963937096</v>
      </c>
      <c r="W887" s="14"/>
      <c r="X887" s="3">
        <f>1*((44/12)*(44/12))</f>
        <v>13.444444444444443</v>
      </c>
      <c r="Y887" s="14"/>
      <c r="Z887" s="14"/>
      <c r="AA887" s="3">
        <f>6*((44/12)*(44/12))</f>
        <v>80.666666666666657</v>
      </c>
      <c r="AB887" s="14"/>
      <c r="AC887" s="14"/>
      <c r="AD887" s="3">
        <f>332*((44/12)*(44/12))</f>
        <v>4463.5555555555547</v>
      </c>
      <c r="AE887" s="14"/>
      <c r="AF887" s="16">
        <v>0</v>
      </c>
      <c r="AG887" s="16">
        <v>1</v>
      </c>
      <c r="AH887" s="16">
        <v>0</v>
      </c>
      <c r="AI887" s="16">
        <v>1</v>
      </c>
      <c r="AJ887" s="5">
        <v>0</v>
      </c>
      <c r="AK887" s="5">
        <v>1</v>
      </c>
      <c r="AL887" s="5">
        <v>0</v>
      </c>
      <c r="AM887" s="20">
        <v>3</v>
      </c>
      <c r="AN887" s="20">
        <v>0.95</v>
      </c>
      <c r="AO887" s="16"/>
      <c r="AP887" s="16"/>
      <c r="AQ887" s="16"/>
      <c r="AR887" s="16">
        <v>0</v>
      </c>
      <c r="AS887" s="16">
        <v>0</v>
      </c>
      <c r="AT887" s="16"/>
      <c r="AU887" s="16"/>
      <c r="AV887" s="16"/>
      <c r="AW887" s="16"/>
      <c r="AX887" s="16">
        <v>0</v>
      </c>
      <c r="AY887" s="16">
        <v>0</v>
      </c>
      <c r="AZ887" s="16">
        <v>0</v>
      </c>
      <c r="BA887" s="16">
        <v>1</v>
      </c>
    </row>
    <row r="888" spans="1:53" x14ac:dyDescent="0.2">
      <c r="A888" s="14"/>
      <c r="B888" s="14" t="str">
        <f t="shared" si="235"/>
        <v>Kopp et al. 2012</v>
      </c>
      <c r="C888" s="61">
        <f t="shared" si="236"/>
        <v>78</v>
      </c>
      <c r="D888" s="58">
        <v>2012</v>
      </c>
      <c r="E888" s="17"/>
      <c r="F888" s="58">
        <v>1</v>
      </c>
      <c r="G888" s="22">
        <v>2005</v>
      </c>
      <c r="H888" s="15">
        <f>LOOKUP(G888,CPI!A$69:A$100,CPI!O$69:O$100)</f>
        <v>1.1165181771633383</v>
      </c>
      <c r="I888" s="52">
        <v>2015</v>
      </c>
      <c r="J888" s="15">
        <f t="shared" si="237"/>
        <v>6.9444444444444441E-3</v>
      </c>
      <c r="K888" s="15"/>
      <c r="L888" s="62"/>
      <c r="M888" s="56">
        <f t="shared" si="234"/>
        <v>585.42769755931033</v>
      </c>
      <c r="N888" s="14">
        <f>46*(44/12)</f>
        <v>168.66666666666666</v>
      </c>
      <c r="O888" s="18">
        <f t="shared" si="241"/>
        <v>168.66666666666666</v>
      </c>
      <c r="P888" s="16">
        <v>0</v>
      </c>
      <c r="Q888" s="16">
        <v>0</v>
      </c>
      <c r="R888" s="16">
        <v>1</v>
      </c>
      <c r="S888" s="14"/>
      <c r="T888" s="56" t="str">
        <f t="shared" si="240"/>
        <v/>
      </c>
      <c r="U888" s="56">
        <f t="shared" si="238"/>
        <v>168.49044147442211</v>
      </c>
      <c r="V888" s="56">
        <f t="shared" si="239"/>
        <v>482.49535513129979</v>
      </c>
      <c r="W888" s="14"/>
      <c r="X888" s="3">
        <f>17*((44/12)*(44/12))</f>
        <v>228.55555555555554</v>
      </c>
      <c r="Y888" s="14"/>
      <c r="Z888" s="14"/>
      <c r="AA888" s="3">
        <f>39*((44/12)*(44/12))</f>
        <v>524.33333333333326</v>
      </c>
      <c r="AB888" s="14"/>
      <c r="AC888" s="14"/>
      <c r="AD888" s="3">
        <f>102*((44/12)*(44/12))</f>
        <v>1371.3333333333333</v>
      </c>
      <c r="AE888" s="14"/>
      <c r="AF888" s="16">
        <v>0</v>
      </c>
      <c r="AG888" s="16">
        <v>1</v>
      </c>
      <c r="AH888" s="16">
        <v>0</v>
      </c>
      <c r="AI888" s="16">
        <v>1</v>
      </c>
      <c r="AJ888" s="5">
        <v>0</v>
      </c>
      <c r="AK888" s="5">
        <v>1</v>
      </c>
      <c r="AL888" s="5">
        <v>0</v>
      </c>
      <c r="AM888" s="20">
        <v>3</v>
      </c>
      <c r="AN888" s="20">
        <v>0.14000000000000001</v>
      </c>
      <c r="AO888" s="16"/>
      <c r="AP888" s="16"/>
      <c r="AQ888" s="16"/>
      <c r="AR888" s="16">
        <v>0</v>
      </c>
      <c r="AS888" s="16">
        <v>0</v>
      </c>
      <c r="AT888" s="16"/>
      <c r="AU888" s="16"/>
      <c r="AV888" s="16"/>
      <c r="AW888" s="16"/>
      <c r="AX888" s="16">
        <v>0</v>
      </c>
      <c r="AY888" s="16">
        <v>0</v>
      </c>
      <c r="AZ888" s="16">
        <v>0</v>
      </c>
      <c r="BA888" s="16">
        <v>1</v>
      </c>
    </row>
    <row r="889" spans="1:53" x14ac:dyDescent="0.2">
      <c r="A889" s="14"/>
      <c r="B889" s="14" t="str">
        <f t="shared" si="235"/>
        <v>Kopp et al. 2012</v>
      </c>
      <c r="C889" s="61">
        <f t="shared" si="236"/>
        <v>78</v>
      </c>
      <c r="D889" s="58">
        <v>2012</v>
      </c>
      <c r="E889" s="17"/>
      <c r="F889" s="58">
        <v>1</v>
      </c>
      <c r="G889" s="22">
        <v>2005</v>
      </c>
      <c r="H889" s="15">
        <f>LOOKUP(G889,CPI!A$69:A$100,CPI!O$69:O$100)</f>
        <v>1.1165181771633383</v>
      </c>
      <c r="I889" s="52">
        <v>2015</v>
      </c>
      <c r="J889" s="15">
        <f t="shared" si="237"/>
        <v>6.9444444444444441E-3</v>
      </c>
      <c r="K889" s="15"/>
      <c r="L889" s="62"/>
      <c r="M889" s="56">
        <f t="shared" si="234"/>
        <v>585.42769755931033</v>
      </c>
      <c r="N889" s="14">
        <f>47*(44/12)</f>
        <v>172.33333333333331</v>
      </c>
      <c r="O889" s="18">
        <f t="shared" si="241"/>
        <v>172.33333333333331</v>
      </c>
      <c r="P889" s="16">
        <v>0</v>
      </c>
      <c r="Q889" s="16">
        <v>0</v>
      </c>
      <c r="R889" s="16">
        <v>1</v>
      </c>
      <c r="S889" s="14"/>
      <c r="T889" s="56" t="str">
        <f t="shared" si="240"/>
        <v/>
      </c>
      <c r="U889" s="56">
        <f t="shared" si="238"/>
        <v>168.49044147442211</v>
      </c>
      <c r="V889" s="56">
        <f t="shared" si="239"/>
        <v>520.78863728457748</v>
      </c>
      <c r="W889" s="14"/>
      <c r="X889" s="3">
        <f>17*((44/12)*(44/12))</f>
        <v>228.55555555555554</v>
      </c>
      <c r="Y889" s="14"/>
      <c r="Z889" s="14"/>
      <c r="AA889" s="3">
        <f>39*((44/12)*(44/12))</f>
        <v>524.33333333333326</v>
      </c>
      <c r="AB889" s="14"/>
      <c r="AC889" s="14"/>
      <c r="AD889" s="3">
        <f>107*((44/12)*(44/12))</f>
        <v>1438.5555555555554</v>
      </c>
      <c r="AE889" s="14"/>
      <c r="AF889" s="16">
        <v>0</v>
      </c>
      <c r="AG889" s="16">
        <v>1</v>
      </c>
      <c r="AH889" s="16">
        <v>0</v>
      </c>
      <c r="AI889" s="16">
        <v>1</v>
      </c>
      <c r="AJ889" s="5">
        <v>0</v>
      </c>
      <c r="AK889" s="5">
        <v>1</v>
      </c>
      <c r="AL889" s="5">
        <v>0</v>
      </c>
      <c r="AM889" s="20">
        <v>3</v>
      </c>
      <c r="AN889" s="20">
        <v>0.14000000000000001</v>
      </c>
      <c r="AO889" s="16"/>
      <c r="AP889" s="16"/>
      <c r="AQ889" s="16"/>
      <c r="AR889" s="16">
        <v>0</v>
      </c>
      <c r="AS889" s="16">
        <v>0</v>
      </c>
      <c r="AT889" s="16"/>
      <c r="AU889" s="16"/>
      <c r="AV889" s="16"/>
      <c r="AW889" s="16"/>
      <c r="AX889" s="16">
        <v>0</v>
      </c>
      <c r="AY889" s="16">
        <v>0</v>
      </c>
      <c r="AZ889" s="16">
        <v>0</v>
      </c>
      <c r="BA889" s="16">
        <v>1</v>
      </c>
    </row>
    <row r="890" spans="1:53" x14ac:dyDescent="0.2">
      <c r="A890" s="14"/>
      <c r="B890" s="14" t="str">
        <f t="shared" si="235"/>
        <v>Kopp et al. 2012</v>
      </c>
      <c r="C890" s="61">
        <f t="shared" si="236"/>
        <v>78</v>
      </c>
      <c r="D890" s="58">
        <v>2012</v>
      </c>
      <c r="E890" s="17"/>
      <c r="F890" s="58">
        <v>1</v>
      </c>
      <c r="G890" s="22">
        <v>2005</v>
      </c>
      <c r="H890" s="15">
        <f>LOOKUP(G890,CPI!A$69:A$100,CPI!O$69:O$100)</f>
        <v>1.1165181771633383</v>
      </c>
      <c r="I890" s="52">
        <v>2015</v>
      </c>
      <c r="J890" s="15">
        <f t="shared" si="237"/>
        <v>6.9444444444444441E-3</v>
      </c>
      <c r="K890" s="15"/>
      <c r="L890" s="62"/>
      <c r="M890" s="56">
        <f t="shared" si="234"/>
        <v>525.38383114297085</v>
      </c>
      <c r="N890" s="14">
        <f>42*(44/12)</f>
        <v>154</v>
      </c>
      <c r="O890" s="18">
        <f t="shared" si="241"/>
        <v>154</v>
      </c>
      <c r="P890" s="16">
        <v>0</v>
      </c>
      <c r="Q890" s="16">
        <v>0</v>
      </c>
      <c r="R890" s="16">
        <v>1</v>
      </c>
      <c r="S890" s="14"/>
      <c r="T890" s="56" t="str">
        <f t="shared" si="240"/>
        <v/>
      </c>
      <c r="U890" s="56">
        <f t="shared" si="238"/>
        <v>160.83178504376656</v>
      </c>
      <c r="V890" s="56">
        <f t="shared" si="239"/>
        <v>459.51938583933315</v>
      </c>
      <c r="W890" s="14"/>
      <c r="X890" s="3">
        <f>14*((44/12)*(44/12))</f>
        <v>188.2222222222222</v>
      </c>
      <c r="Y890" s="14"/>
      <c r="Z890" s="14"/>
      <c r="AA890" s="3">
        <f>35*((44/12)*(44/12))</f>
        <v>470.55555555555549</v>
      </c>
      <c r="AB890" s="14"/>
      <c r="AC890" s="14"/>
      <c r="AD890" s="3">
        <f>95*((44/12)*(44/12))</f>
        <v>1277.2222222222222</v>
      </c>
      <c r="AE890" s="14"/>
      <c r="AF890" s="16">
        <v>0</v>
      </c>
      <c r="AG890" s="16">
        <v>1</v>
      </c>
      <c r="AH890" s="16">
        <v>0</v>
      </c>
      <c r="AI890" s="16">
        <v>1</v>
      </c>
      <c r="AJ890" s="5">
        <v>0</v>
      </c>
      <c r="AK890" s="5">
        <v>1</v>
      </c>
      <c r="AL890" s="5">
        <v>0</v>
      </c>
      <c r="AM890" s="20">
        <v>3</v>
      </c>
      <c r="AN890" s="20">
        <v>0.14000000000000001</v>
      </c>
      <c r="AO890" s="16"/>
      <c r="AP890" s="16"/>
      <c r="AQ890" s="16"/>
      <c r="AR890" s="16">
        <v>0</v>
      </c>
      <c r="AS890" s="16">
        <v>0</v>
      </c>
      <c r="AT890" s="16"/>
      <c r="AU890" s="16"/>
      <c r="AV890" s="16"/>
      <c r="AW890" s="16"/>
      <c r="AX890" s="16">
        <v>0</v>
      </c>
      <c r="AY890" s="16">
        <v>0</v>
      </c>
      <c r="AZ890" s="16">
        <v>0</v>
      </c>
      <c r="BA890" s="16">
        <v>1</v>
      </c>
    </row>
    <row r="891" spans="1:53" x14ac:dyDescent="0.2">
      <c r="A891" s="14"/>
      <c r="B891" s="14" t="str">
        <f t="shared" si="235"/>
        <v>Kopp et al. 2012</v>
      </c>
      <c r="C891" s="61">
        <f t="shared" si="236"/>
        <v>78</v>
      </c>
      <c r="D891" s="58">
        <v>2012</v>
      </c>
      <c r="E891" s="17"/>
      <c r="F891" s="58">
        <v>1</v>
      </c>
      <c r="G891" s="22">
        <v>2005</v>
      </c>
      <c r="H891" s="15">
        <f>LOOKUP(G891,CPI!A$69:A$100,CPI!O$69:O$100)</f>
        <v>1.1165181771633383</v>
      </c>
      <c r="I891" s="52">
        <v>2015</v>
      </c>
      <c r="J891" s="15">
        <f t="shared" si="237"/>
        <v>6.9444444444444441E-3</v>
      </c>
      <c r="K891" s="15"/>
      <c r="L891" s="62"/>
      <c r="M891" s="56">
        <f t="shared" si="234"/>
        <v>1080.7895954941114</v>
      </c>
      <c r="N891" s="14">
        <f>89*(44/12)</f>
        <v>326.33333333333331</v>
      </c>
      <c r="O891" s="18">
        <f t="shared" si="241"/>
        <v>326.33333333333331</v>
      </c>
      <c r="P891" s="16">
        <v>0</v>
      </c>
      <c r="Q891" s="16">
        <v>0</v>
      </c>
      <c r="R891" s="16">
        <v>1</v>
      </c>
      <c r="S891" s="14"/>
      <c r="T891" s="56" t="str">
        <f t="shared" si="240"/>
        <v/>
      </c>
      <c r="U891" s="56">
        <f t="shared" si="238"/>
        <v>321.66357008753317</v>
      </c>
      <c r="V891" s="56">
        <f t="shared" si="239"/>
        <v>1041.577274569155</v>
      </c>
      <c r="W891" s="14"/>
      <c r="X891" s="3">
        <f>30*((44/12)*(44/12))</f>
        <v>403.33333333333326</v>
      </c>
      <c r="Y891" s="14"/>
      <c r="Z891" s="14"/>
      <c r="AA891" s="3">
        <f>72*((44/12)*(44/12))</f>
        <v>967.99999999999989</v>
      </c>
      <c r="AB891" s="14"/>
      <c r="AC891" s="14"/>
      <c r="AD891" s="3">
        <f>208*((44/12)*(44/12))</f>
        <v>2796.4444444444443</v>
      </c>
      <c r="AE891" s="14"/>
      <c r="AF891" s="16">
        <v>0</v>
      </c>
      <c r="AG891" s="16">
        <v>1</v>
      </c>
      <c r="AH891" s="16">
        <v>0</v>
      </c>
      <c r="AI891" s="16">
        <v>1</v>
      </c>
      <c r="AJ891" s="5">
        <v>0</v>
      </c>
      <c r="AK891" s="5">
        <v>1</v>
      </c>
      <c r="AL891" s="5">
        <v>0</v>
      </c>
      <c r="AM891" s="20">
        <v>3</v>
      </c>
      <c r="AN891" s="20">
        <v>0.14000000000000001</v>
      </c>
      <c r="AO891" s="16"/>
      <c r="AP891" s="16"/>
      <c r="AQ891" s="16"/>
      <c r="AR891" s="16">
        <v>0</v>
      </c>
      <c r="AS891" s="16">
        <v>0</v>
      </c>
      <c r="AT891" s="16"/>
      <c r="AU891" s="16"/>
      <c r="AV891" s="16"/>
      <c r="AW891" s="16"/>
      <c r="AX891" s="16">
        <v>0</v>
      </c>
      <c r="AY891" s="16">
        <v>0</v>
      </c>
      <c r="AZ891" s="16">
        <v>0</v>
      </c>
      <c r="BA891" s="16">
        <v>1</v>
      </c>
    </row>
    <row r="892" spans="1:53" x14ac:dyDescent="0.2">
      <c r="A892" s="14"/>
      <c r="B892" s="14" t="str">
        <f t="shared" si="235"/>
        <v>Kopp et al. 2012</v>
      </c>
      <c r="C892" s="61">
        <f t="shared" si="236"/>
        <v>78</v>
      </c>
      <c r="D892" s="58">
        <v>2012</v>
      </c>
      <c r="E892" s="17"/>
      <c r="F892" s="58">
        <v>1</v>
      </c>
      <c r="G892" s="22">
        <v>2005</v>
      </c>
      <c r="H892" s="15">
        <f>LOOKUP(G892,CPI!A$69:A$100,CPI!O$69:O$100)</f>
        <v>1.1165181771633383</v>
      </c>
      <c r="I892" s="52">
        <v>2015</v>
      </c>
      <c r="J892" s="15">
        <f t="shared" si="237"/>
        <v>6.9444444444444441E-3</v>
      </c>
      <c r="K892" s="15"/>
      <c r="L892" s="62"/>
      <c r="M892" s="56">
        <f t="shared" si="234"/>
        <v>720.52639699607425</v>
      </c>
      <c r="N892" s="14">
        <f>58*(44/12)</f>
        <v>212.66666666666666</v>
      </c>
      <c r="O892" s="18">
        <f t="shared" si="241"/>
        <v>212.66666666666666</v>
      </c>
      <c r="P892" s="16">
        <v>0</v>
      </c>
      <c r="Q892" s="16">
        <v>0</v>
      </c>
      <c r="R892" s="16">
        <v>1</v>
      </c>
      <c r="S892" s="14"/>
      <c r="T892" s="56" t="str">
        <f t="shared" si="240"/>
        <v/>
      </c>
      <c r="U892" s="56">
        <f t="shared" si="238"/>
        <v>206.78372362769989</v>
      </c>
      <c r="V892" s="56">
        <f t="shared" si="239"/>
        <v>643.32714017506635</v>
      </c>
      <c r="W892" s="14"/>
      <c r="X892" s="3">
        <f>21*((44/12)*(44/12))</f>
        <v>282.33333333333331</v>
      </c>
      <c r="Y892" s="14"/>
      <c r="Z892" s="14"/>
      <c r="AA892" s="3">
        <f>48*((44/12)*(44/12))</f>
        <v>645.33333333333326</v>
      </c>
      <c r="AB892" s="14"/>
      <c r="AC892" s="14"/>
      <c r="AD892" s="3">
        <f>132*((44/12)*(44/12))</f>
        <v>1774.6666666666665</v>
      </c>
      <c r="AE892" s="14"/>
      <c r="AF892" s="16">
        <v>0</v>
      </c>
      <c r="AG892" s="16">
        <v>1</v>
      </c>
      <c r="AH892" s="16">
        <v>0</v>
      </c>
      <c r="AI892" s="16">
        <v>1</v>
      </c>
      <c r="AJ892" s="5">
        <v>0</v>
      </c>
      <c r="AK892" s="5">
        <v>1</v>
      </c>
      <c r="AL892" s="5">
        <v>0</v>
      </c>
      <c r="AM892" s="20">
        <v>3</v>
      </c>
      <c r="AN892" s="20">
        <v>0.14000000000000001</v>
      </c>
      <c r="AO892" s="16"/>
      <c r="AP892" s="16"/>
      <c r="AQ892" s="16"/>
      <c r="AR892" s="16">
        <v>0</v>
      </c>
      <c r="AS892" s="16">
        <v>0</v>
      </c>
      <c r="AT892" s="16"/>
      <c r="AU892" s="16"/>
      <c r="AV892" s="16"/>
      <c r="AW892" s="16"/>
      <c r="AX892" s="16">
        <v>0</v>
      </c>
      <c r="AY892" s="16">
        <v>0</v>
      </c>
      <c r="AZ892" s="16">
        <v>0</v>
      </c>
      <c r="BA892" s="16">
        <v>1</v>
      </c>
    </row>
    <row r="893" spans="1:53" x14ac:dyDescent="0.2">
      <c r="A893" s="14"/>
      <c r="B893" s="14" t="str">
        <f t="shared" si="235"/>
        <v>Kopp et al. 2012</v>
      </c>
      <c r="C893" s="61">
        <f t="shared" si="236"/>
        <v>78</v>
      </c>
      <c r="D893" s="58">
        <v>2012</v>
      </c>
      <c r="E893" s="17"/>
      <c r="F893" s="58">
        <v>1</v>
      </c>
      <c r="G893" s="22">
        <v>2005</v>
      </c>
      <c r="H893" s="15">
        <f>LOOKUP(G893,CPI!A$69:A$100,CPI!O$69:O$100)</f>
        <v>1.1165181771633383</v>
      </c>
      <c r="I893" s="52">
        <v>2015</v>
      </c>
      <c r="J893" s="15">
        <f t="shared" si="237"/>
        <v>6.9444444444444441E-3</v>
      </c>
      <c r="K893" s="15"/>
      <c r="L893" s="62"/>
      <c r="M893" s="56">
        <f t="shared" si="234"/>
        <v>1831.3379256983553</v>
      </c>
      <c r="N893" s="14">
        <f>150*(44/12)</f>
        <v>550</v>
      </c>
      <c r="O893" s="18">
        <f t="shared" si="241"/>
        <v>550</v>
      </c>
      <c r="P893" s="16">
        <v>0</v>
      </c>
      <c r="Q893" s="16">
        <v>0</v>
      </c>
      <c r="R893" s="16">
        <v>1</v>
      </c>
      <c r="S893" s="14"/>
      <c r="T893" s="56" t="str">
        <f t="shared" si="240"/>
        <v/>
      </c>
      <c r="U893" s="56">
        <f t="shared" si="238"/>
        <v>566.74057586851075</v>
      </c>
      <c r="V893" s="56">
        <f t="shared" si="239"/>
        <v>1807.4429176347101</v>
      </c>
      <c r="W893" s="14"/>
      <c r="X893" s="3">
        <f>48*((44/12)*(44/12))</f>
        <v>645.33333333333326</v>
      </c>
      <c r="Y893" s="14"/>
      <c r="Z893" s="14"/>
      <c r="AA893" s="3">
        <f>122*((44/12)*(44/12))</f>
        <v>1640.2222222222219</v>
      </c>
      <c r="AB893" s="14"/>
      <c r="AC893" s="14"/>
      <c r="AD893" s="3">
        <f>358*((44/12)*(44/12))</f>
        <v>4813.1111111111104</v>
      </c>
      <c r="AE893" s="14"/>
      <c r="AF893" s="16">
        <v>0</v>
      </c>
      <c r="AG893" s="16">
        <v>1</v>
      </c>
      <c r="AH893" s="16">
        <v>0</v>
      </c>
      <c r="AI893" s="16">
        <v>1</v>
      </c>
      <c r="AJ893" s="5">
        <v>0</v>
      </c>
      <c r="AK893" s="5">
        <v>1</v>
      </c>
      <c r="AL893" s="5">
        <v>0</v>
      </c>
      <c r="AM893" s="20">
        <v>3</v>
      </c>
      <c r="AN893" s="20">
        <v>0.14000000000000001</v>
      </c>
      <c r="AO893" s="16"/>
      <c r="AP893" s="16"/>
      <c r="AQ893" s="16"/>
      <c r="AR893" s="16">
        <v>0</v>
      </c>
      <c r="AS893" s="16">
        <v>0</v>
      </c>
      <c r="AT893" s="16"/>
      <c r="AU893" s="16"/>
      <c r="AV893" s="16"/>
      <c r="AW893" s="16"/>
      <c r="AX893" s="16">
        <v>0</v>
      </c>
      <c r="AY893" s="16">
        <v>0</v>
      </c>
      <c r="AZ893" s="16">
        <v>0</v>
      </c>
      <c r="BA893" s="16">
        <v>1</v>
      </c>
    </row>
    <row r="894" spans="1:53" x14ac:dyDescent="0.2">
      <c r="A894" s="14"/>
      <c r="B894" s="14" t="str">
        <f t="shared" si="235"/>
        <v>Kopp et al. 2012</v>
      </c>
      <c r="C894" s="61">
        <f t="shared" si="236"/>
        <v>78</v>
      </c>
      <c r="D894" s="58">
        <v>2012</v>
      </c>
      <c r="E894" s="17"/>
      <c r="F894" s="58">
        <v>1</v>
      </c>
      <c r="G894" s="22">
        <v>2005</v>
      </c>
      <c r="H894" s="15">
        <f>LOOKUP(G894,CPI!A$69:A$100,CPI!O$69:O$100)</f>
        <v>1.1165181771633383</v>
      </c>
      <c r="I894" s="52">
        <v>2015</v>
      </c>
      <c r="J894" s="15">
        <f t="shared" si="237"/>
        <v>6.9444444444444441E-3</v>
      </c>
      <c r="K894" s="15"/>
      <c r="L894" s="62"/>
      <c r="M894" s="56">
        <f t="shared" ref="M894:M929" si="242">AA894*H894*(1+$L$2)^(2015-I894)</f>
        <v>420.30706491437667</v>
      </c>
      <c r="N894" s="14">
        <f>32*(44/12)</f>
        <v>117.33333333333333</v>
      </c>
      <c r="O894" s="18">
        <f t="shared" si="241"/>
        <v>117.33333333333333</v>
      </c>
      <c r="P894" s="16">
        <v>0</v>
      </c>
      <c r="Q894" s="16">
        <v>0</v>
      </c>
      <c r="R894" s="16">
        <v>1</v>
      </c>
      <c r="S894" s="14"/>
      <c r="T894" s="56" t="str">
        <f t="shared" si="240"/>
        <v/>
      </c>
      <c r="U894" s="56">
        <f t="shared" si="238"/>
        <v>114.87984645983326</v>
      </c>
      <c r="V894" s="56">
        <f t="shared" si="239"/>
        <v>283.37028793425543</v>
      </c>
      <c r="W894" s="14"/>
      <c r="X894" s="3">
        <f>13*((44/12)*(44/12))</f>
        <v>174.77777777777777</v>
      </c>
      <c r="Y894" s="14"/>
      <c r="Z894" s="14"/>
      <c r="AA894" s="3">
        <f>28*((44/12)*(44/12))</f>
        <v>376.4444444444444</v>
      </c>
      <c r="AB894" s="14"/>
      <c r="AC894" s="14"/>
      <c r="AD894" s="3">
        <f>65*((44/12)*(44/12))</f>
        <v>873.8888888888888</v>
      </c>
      <c r="AE894" s="14"/>
      <c r="AF894" s="16">
        <v>0</v>
      </c>
      <c r="AG894" s="16">
        <v>1</v>
      </c>
      <c r="AH894" s="16">
        <v>0</v>
      </c>
      <c r="AI894" s="16">
        <v>1</v>
      </c>
      <c r="AJ894" s="5">
        <v>0</v>
      </c>
      <c r="AK894" s="5">
        <v>1</v>
      </c>
      <c r="AL894" s="5">
        <v>0</v>
      </c>
      <c r="AM894" s="20">
        <v>3</v>
      </c>
      <c r="AN894" s="20">
        <v>0.14000000000000001</v>
      </c>
      <c r="AO894" s="16"/>
      <c r="AP894" s="16"/>
      <c r="AQ894" s="16"/>
      <c r="AR894" s="16">
        <v>0</v>
      </c>
      <c r="AS894" s="16">
        <v>0</v>
      </c>
      <c r="AT894" s="16"/>
      <c r="AU894" s="16"/>
      <c r="AV894" s="16"/>
      <c r="AW894" s="16"/>
      <c r="AX894" s="16">
        <v>0</v>
      </c>
      <c r="AY894" s="16">
        <v>0</v>
      </c>
      <c r="AZ894" s="16">
        <v>0</v>
      </c>
      <c r="BA894" s="16">
        <v>1</v>
      </c>
    </row>
    <row r="895" spans="1:53" x14ac:dyDescent="0.2">
      <c r="A895" s="14"/>
      <c r="B895" s="14" t="str">
        <f t="shared" si="235"/>
        <v>Kopp et al. 2012</v>
      </c>
      <c r="C895" s="61">
        <f t="shared" si="236"/>
        <v>78</v>
      </c>
      <c r="D895" s="58">
        <v>2012</v>
      </c>
      <c r="E895" s="17"/>
      <c r="F895" s="58">
        <v>1</v>
      </c>
      <c r="G895" s="22">
        <v>2005</v>
      </c>
      <c r="H895" s="15">
        <f>LOOKUP(G895,CPI!A$69:A$100,CPI!O$69:O$100)</f>
        <v>1.1165181771633383</v>
      </c>
      <c r="I895" s="52">
        <v>2015</v>
      </c>
      <c r="J895" s="15">
        <f t="shared" si="237"/>
        <v>6.9444444444444441E-3</v>
      </c>
      <c r="K895" s="15"/>
      <c r="L895" s="62"/>
      <c r="M895" s="56">
        <f t="shared" si="242"/>
        <v>585.42769755931033</v>
      </c>
      <c r="N895" s="14">
        <f>47*(44/12)</f>
        <v>172.33333333333331</v>
      </c>
      <c r="O895" s="18">
        <f t="shared" si="241"/>
        <v>172.33333333333331</v>
      </c>
      <c r="P895" s="16">
        <v>0</v>
      </c>
      <c r="Q895" s="16">
        <v>0</v>
      </c>
      <c r="R895" s="16">
        <v>1</v>
      </c>
      <c r="S895" s="14"/>
      <c r="T895" s="56" t="str">
        <f t="shared" si="240"/>
        <v/>
      </c>
      <c r="U895" s="56">
        <f t="shared" si="238"/>
        <v>168.49044147442211</v>
      </c>
      <c r="V895" s="56">
        <f t="shared" si="239"/>
        <v>536.10595014588864</v>
      </c>
      <c r="W895" s="14"/>
      <c r="X895" s="3">
        <f>17*((44/12)*(44/12))</f>
        <v>228.55555555555554</v>
      </c>
      <c r="Y895" s="14"/>
      <c r="Z895" s="14"/>
      <c r="AA895" s="3">
        <f>39*((44/12)*(44/12))</f>
        <v>524.33333333333326</v>
      </c>
      <c r="AB895" s="14"/>
      <c r="AC895" s="14"/>
      <c r="AD895" s="3">
        <f>109*((44/12)*(44/12))</f>
        <v>1465.4444444444443</v>
      </c>
      <c r="AE895" s="14"/>
      <c r="AF895" s="16">
        <v>0</v>
      </c>
      <c r="AG895" s="16">
        <v>1</v>
      </c>
      <c r="AH895" s="16">
        <v>0</v>
      </c>
      <c r="AI895" s="16">
        <v>1</v>
      </c>
      <c r="AJ895" s="5">
        <v>0</v>
      </c>
      <c r="AK895" s="5">
        <v>1</v>
      </c>
      <c r="AL895" s="5">
        <v>0</v>
      </c>
      <c r="AM895" s="20">
        <v>3</v>
      </c>
      <c r="AN895" s="20">
        <v>0.14000000000000001</v>
      </c>
      <c r="AO895" s="16"/>
      <c r="AP895" s="16"/>
      <c r="AQ895" s="16"/>
      <c r="AR895" s="16">
        <v>0</v>
      </c>
      <c r="AS895" s="16">
        <v>0</v>
      </c>
      <c r="AT895" s="16"/>
      <c r="AU895" s="16"/>
      <c r="AV895" s="16"/>
      <c r="AW895" s="16"/>
      <c r="AX895" s="16">
        <v>0</v>
      </c>
      <c r="AY895" s="16">
        <v>0</v>
      </c>
      <c r="AZ895" s="16">
        <v>0</v>
      </c>
      <c r="BA895" s="16">
        <v>1</v>
      </c>
    </row>
    <row r="896" spans="1:53" x14ac:dyDescent="0.2">
      <c r="A896" s="14"/>
      <c r="B896" s="14" t="str">
        <f t="shared" si="235"/>
        <v>Kopp et al. 2012</v>
      </c>
      <c r="C896" s="61">
        <f t="shared" si="236"/>
        <v>78</v>
      </c>
      <c r="D896" s="58">
        <v>2012</v>
      </c>
      <c r="E896" s="17"/>
      <c r="F896" s="58">
        <v>1</v>
      </c>
      <c r="G896" s="22">
        <v>2005</v>
      </c>
      <c r="H896" s="15">
        <f>LOOKUP(G896,CPI!A$69:A$100,CPI!O$69:O$100)</f>
        <v>1.1165181771633383</v>
      </c>
      <c r="I896" s="52">
        <v>2015</v>
      </c>
      <c r="J896" s="15">
        <f t="shared" si="237"/>
        <v>6.9444444444444441E-3</v>
      </c>
      <c r="K896" s="15"/>
      <c r="L896" s="62"/>
      <c r="M896" s="56">
        <f t="shared" si="242"/>
        <v>585.42769755931033</v>
      </c>
      <c r="N896" s="14">
        <f>64*(44/12)</f>
        <v>234.66666666666666</v>
      </c>
      <c r="O896" s="18">
        <f t="shared" si="241"/>
        <v>234.66666666666666</v>
      </c>
      <c r="P896" s="16">
        <v>0</v>
      </c>
      <c r="Q896" s="16">
        <v>0</v>
      </c>
      <c r="R896" s="16">
        <v>1</v>
      </c>
      <c r="S896" s="14"/>
      <c r="T896" s="56" t="str">
        <f t="shared" si="240"/>
        <v/>
      </c>
      <c r="U896" s="56">
        <f t="shared" si="238"/>
        <v>168.49044147442211</v>
      </c>
      <c r="V896" s="56">
        <f t="shared" si="239"/>
        <v>482.49535513129979</v>
      </c>
      <c r="W896" s="14"/>
      <c r="X896" s="3">
        <f>17*((44/12)*(44/12))</f>
        <v>228.55555555555554</v>
      </c>
      <c r="Y896" s="14"/>
      <c r="Z896" s="14"/>
      <c r="AA896" s="3">
        <f>39*((44/12)*(44/12))</f>
        <v>524.33333333333326</v>
      </c>
      <c r="AB896" s="14"/>
      <c r="AC896" s="14"/>
      <c r="AD896" s="3">
        <f>102*((44/12)*(44/12))</f>
        <v>1371.3333333333333</v>
      </c>
      <c r="AE896" s="14"/>
      <c r="AF896" s="16">
        <v>0</v>
      </c>
      <c r="AG896" s="16">
        <v>1</v>
      </c>
      <c r="AH896" s="16">
        <v>0</v>
      </c>
      <c r="AI896" s="16">
        <v>1</v>
      </c>
      <c r="AJ896" s="5">
        <v>0</v>
      </c>
      <c r="AK896" s="5">
        <v>1</v>
      </c>
      <c r="AL896" s="5">
        <v>0</v>
      </c>
      <c r="AM896" s="20">
        <v>3</v>
      </c>
      <c r="AN896" s="20">
        <v>0.14000000000000001</v>
      </c>
      <c r="AO896" s="16"/>
      <c r="AP896" s="16"/>
      <c r="AQ896" s="16"/>
      <c r="AR896" s="16">
        <v>0</v>
      </c>
      <c r="AS896" s="16">
        <v>0</v>
      </c>
      <c r="AT896" s="16"/>
      <c r="AU896" s="16"/>
      <c r="AV896" s="16"/>
      <c r="AW896" s="16"/>
      <c r="AX896" s="16">
        <v>0</v>
      </c>
      <c r="AY896" s="16">
        <v>0</v>
      </c>
      <c r="AZ896" s="16">
        <v>0</v>
      </c>
      <c r="BA896" s="16">
        <v>1</v>
      </c>
    </row>
    <row r="897" spans="1:53" x14ac:dyDescent="0.2">
      <c r="A897" s="14"/>
      <c r="B897" s="14" t="str">
        <f t="shared" si="235"/>
        <v>Kopp et al. 2012</v>
      </c>
      <c r="C897" s="61">
        <f t="shared" si="236"/>
        <v>78</v>
      </c>
      <c r="D897" s="58">
        <v>2012</v>
      </c>
      <c r="E897" s="17"/>
      <c r="F897" s="58">
        <v>1</v>
      </c>
      <c r="G897" s="22">
        <v>2005</v>
      </c>
      <c r="H897" s="15">
        <f>LOOKUP(G897,CPI!A$69:A$100,CPI!O$69:O$100)</f>
        <v>1.1165181771633383</v>
      </c>
      <c r="I897" s="52">
        <v>2015</v>
      </c>
      <c r="J897" s="15">
        <f t="shared" si="237"/>
        <v>6.9444444444444441E-3</v>
      </c>
      <c r="K897" s="15"/>
      <c r="L897" s="62"/>
      <c r="M897" s="56">
        <f t="shared" si="242"/>
        <v>660.48253057973466</v>
      </c>
      <c r="N897" s="14">
        <f>73*(44/12)</f>
        <v>267.66666666666663</v>
      </c>
      <c r="O897" s="18">
        <f t="shared" si="241"/>
        <v>267.66666666666663</v>
      </c>
      <c r="P897" s="16">
        <v>0</v>
      </c>
      <c r="Q897" s="16">
        <v>0</v>
      </c>
      <c r="R897" s="16">
        <v>1</v>
      </c>
      <c r="S897" s="14"/>
      <c r="T897" s="56" t="str">
        <f t="shared" si="240"/>
        <v/>
      </c>
      <c r="U897" s="56">
        <f t="shared" si="238"/>
        <v>214.44238005835541</v>
      </c>
      <c r="V897" s="56">
        <f t="shared" si="239"/>
        <v>1539.3899425617658</v>
      </c>
      <c r="W897" s="14"/>
      <c r="X897" s="3">
        <f>16*((44/12)*(44/12))</f>
        <v>215.11111111111109</v>
      </c>
      <c r="Y897" s="14"/>
      <c r="Z897" s="14"/>
      <c r="AA897" s="3">
        <f>44*((44/12)*(44/12))</f>
        <v>591.55555555555543</v>
      </c>
      <c r="AB897" s="14"/>
      <c r="AC897" s="14"/>
      <c r="AD897" s="3">
        <f>245*((44/12)*(44/12))</f>
        <v>3293.8888888888887</v>
      </c>
      <c r="AE897" s="14"/>
      <c r="AF897" s="16">
        <v>0</v>
      </c>
      <c r="AG897" s="16">
        <v>1</v>
      </c>
      <c r="AH897" s="16">
        <v>0</v>
      </c>
      <c r="AI897" s="16">
        <v>1</v>
      </c>
      <c r="AJ897" s="5">
        <v>0</v>
      </c>
      <c r="AK897" s="5">
        <v>1</v>
      </c>
      <c r="AL897" s="5">
        <v>0</v>
      </c>
      <c r="AM897" s="20">
        <v>3</v>
      </c>
      <c r="AN897" s="20">
        <v>0.14000000000000001</v>
      </c>
      <c r="AO897" s="16"/>
      <c r="AP897" s="16"/>
      <c r="AQ897" s="16"/>
      <c r="AR897" s="16">
        <v>0</v>
      </c>
      <c r="AS897" s="16">
        <v>0</v>
      </c>
      <c r="AT897" s="16"/>
      <c r="AU897" s="16"/>
      <c r="AV897" s="16"/>
      <c r="AW897" s="16"/>
      <c r="AX897" s="16">
        <v>0</v>
      </c>
      <c r="AY897" s="16">
        <v>0</v>
      </c>
      <c r="AZ897" s="16">
        <v>0</v>
      </c>
      <c r="BA897" s="16">
        <v>1</v>
      </c>
    </row>
    <row r="898" spans="1:53" x14ac:dyDescent="0.2">
      <c r="A898" s="14"/>
      <c r="B898" s="14" t="str">
        <f t="shared" si="235"/>
        <v>Kopp et al. 2012</v>
      </c>
      <c r="C898" s="61">
        <f t="shared" si="236"/>
        <v>78</v>
      </c>
      <c r="D898" s="58">
        <v>2012</v>
      </c>
      <c r="E898" s="17"/>
      <c r="F898" s="58">
        <v>1</v>
      </c>
      <c r="G898" s="22">
        <v>2005</v>
      </c>
      <c r="H898" s="15">
        <f>LOOKUP(G898,CPI!A$69:A$100,CPI!O$69:O$100)</f>
        <v>1.1165181771633383</v>
      </c>
      <c r="I898" s="52">
        <v>2015</v>
      </c>
      <c r="J898" s="15">
        <f t="shared" si="237"/>
        <v>6.9444444444444441E-3</v>
      </c>
      <c r="K898" s="15"/>
      <c r="L898" s="62"/>
      <c r="M898" s="56">
        <f t="shared" si="242"/>
        <v>210.15353245718833</v>
      </c>
      <c r="N898" s="14">
        <f>49*(44/12)</f>
        <v>179.66666666666666</v>
      </c>
      <c r="O898" s="18">
        <f t="shared" si="241"/>
        <v>179.66666666666666</v>
      </c>
      <c r="P898" s="16">
        <v>0</v>
      </c>
      <c r="Q898" s="16">
        <v>0</v>
      </c>
      <c r="R898" s="16">
        <v>1</v>
      </c>
      <c r="S898" s="14"/>
      <c r="T898" s="56" t="str">
        <f t="shared" si="240"/>
        <v/>
      </c>
      <c r="U898" s="56">
        <f t="shared" si="238"/>
        <v>61.269251445244407</v>
      </c>
      <c r="V898" s="56">
        <f t="shared" si="239"/>
        <v>1462.8033782552104</v>
      </c>
      <c r="W898" s="14"/>
      <c r="X898" s="3">
        <f>6*((44/12)*(44/12))</f>
        <v>80.666666666666657</v>
      </c>
      <c r="Y898" s="14"/>
      <c r="Z898" s="14"/>
      <c r="AA898" s="3">
        <f>14*((44/12)*(44/12))</f>
        <v>188.2222222222222</v>
      </c>
      <c r="AB898" s="14"/>
      <c r="AC898" s="14"/>
      <c r="AD898" s="3">
        <f>205*((44/12)*(44/12))</f>
        <v>2756.1111111111109</v>
      </c>
      <c r="AE898" s="14"/>
      <c r="AF898" s="16">
        <v>0</v>
      </c>
      <c r="AG898" s="16">
        <v>1</v>
      </c>
      <c r="AH898" s="16">
        <v>0</v>
      </c>
      <c r="AI898" s="16">
        <v>1</v>
      </c>
      <c r="AJ898" s="5">
        <v>0</v>
      </c>
      <c r="AK898" s="5">
        <v>1</v>
      </c>
      <c r="AL898" s="5">
        <v>0</v>
      </c>
      <c r="AM898" s="20">
        <v>3</v>
      </c>
      <c r="AN898" s="20">
        <v>0.14000000000000001</v>
      </c>
      <c r="AO898" s="16"/>
      <c r="AP898" s="16"/>
      <c r="AQ898" s="16"/>
      <c r="AR898" s="16">
        <v>0</v>
      </c>
      <c r="AS898" s="16">
        <v>0</v>
      </c>
      <c r="AT898" s="16"/>
      <c r="AU898" s="16"/>
      <c r="AV898" s="16"/>
      <c r="AW898" s="16"/>
      <c r="AX898" s="16">
        <v>0</v>
      </c>
      <c r="AY898" s="16">
        <v>0</v>
      </c>
      <c r="AZ898" s="16">
        <v>0</v>
      </c>
      <c r="BA898" s="16">
        <v>1</v>
      </c>
    </row>
    <row r="899" spans="1:53" x14ac:dyDescent="0.2">
      <c r="A899" s="14"/>
      <c r="B899" s="14" t="str">
        <f t="shared" si="235"/>
        <v>Kopp et al. 2012</v>
      </c>
      <c r="C899" s="61">
        <f t="shared" si="236"/>
        <v>78</v>
      </c>
      <c r="D899" s="58">
        <v>2012</v>
      </c>
      <c r="E899" s="17"/>
      <c r="F899" s="58">
        <v>1</v>
      </c>
      <c r="G899" s="22">
        <v>2005</v>
      </c>
      <c r="H899" s="15">
        <f>LOOKUP(G899,CPI!A$69:A$100,CPI!O$69:O$100)</f>
        <v>1.1165181771633383</v>
      </c>
      <c r="I899" s="52">
        <v>2015</v>
      </c>
      <c r="J899" s="15">
        <f t="shared" si="237"/>
        <v>6.9444444444444441E-3</v>
      </c>
      <c r="K899" s="15"/>
      <c r="L899" s="62"/>
      <c r="M899" s="56">
        <f t="shared" si="242"/>
        <v>150.10966604084879</v>
      </c>
      <c r="N899" s="14">
        <f>45*(44/12)</f>
        <v>165</v>
      </c>
      <c r="O899" s="18">
        <f t="shared" si="241"/>
        <v>165</v>
      </c>
      <c r="P899" s="16">
        <v>0</v>
      </c>
      <c r="Q899" s="16">
        <v>0</v>
      </c>
      <c r="R899" s="16">
        <v>1</v>
      </c>
      <c r="S899" s="14"/>
      <c r="T899" s="56" t="str">
        <f t="shared" si="240"/>
        <v/>
      </c>
      <c r="U899" s="56">
        <f t="shared" si="238"/>
        <v>38.293282153277758</v>
      </c>
      <c r="V899" s="56">
        <f t="shared" si="239"/>
        <v>1470.4620346858658</v>
      </c>
      <c r="W899" s="14"/>
      <c r="X899" s="3">
        <f>5*((44/12)*(44/12))</f>
        <v>67.222222222222214</v>
      </c>
      <c r="Y899" s="14"/>
      <c r="Z899" s="14"/>
      <c r="AA899" s="3">
        <f>10*((44/12)*(44/12))</f>
        <v>134.44444444444443</v>
      </c>
      <c r="AB899" s="14"/>
      <c r="AC899" s="14"/>
      <c r="AD899" s="3">
        <f>202*((44/12)*(44/12))</f>
        <v>2715.7777777777774</v>
      </c>
      <c r="AE899" s="14"/>
      <c r="AF899" s="16">
        <v>0</v>
      </c>
      <c r="AG899" s="16">
        <v>1</v>
      </c>
      <c r="AH899" s="16">
        <v>0</v>
      </c>
      <c r="AI899" s="16">
        <v>1</v>
      </c>
      <c r="AJ899" s="5">
        <v>0</v>
      </c>
      <c r="AK899" s="5">
        <v>1</v>
      </c>
      <c r="AL899" s="5">
        <v>0</v>
      </c>
      <c r="AM899" s="20">
        <v>3</v>
      </c>
      <c r="AN899" s="20">
        <v>0.14000000000000001</v>
      </c>
      <c r="AO899" s="16"/>
      <c r="AP899" s="16"/>
      <c r="AQ899" s="16"/>
      <c r="AR899" s="16">
        <v>0</v>
      </c>
      <c r="AS899" s="16">
        <v>0</v>
      </c>
      <c r="AT899" s="16"/>
      <c r="AU899" s="16"/>
      <c r="AV899" s="16"/>
      <c r="AW899" s="16"/>
      <c r="AX899" s="16">
        <v>0</v>
      </c>
      <c r="AY899" s="16">
        <v>0</v>
      </c>
      <c r="AZ899" s="16">
        <v>0</v>
      </c>
      <c r="BA899" s="16">
        <v>1</v>
      </c>
    </row>
    <row r="900" spans="1:53" x14ac:dyDescent="0.2">
      <c r="A900" s="14"/>
      <c r="B900" s="14" t="str">
        <f t="shared" si="235"/>
        <v>Kopp et al. 2012</v>
      </c>
      <c r="C900" s="61">
        <f t="shared" si="236"/>
        <v>78</v>
      </c>
      <c r="D900" s="58">
        <v>2012</v>
      </c>
      <c r="E900" s="17"/>
      <c r="F900" s="58">
        <v>1</v>
      </c>
      <c r="G900" s="22">
        <v>2005</v>
      </c>
      <c r="H900" s="15">
        <f>LOOKUP(G900,CPI!A$69:A$100,CPI!O$69:O$100)</f>
        <v>1.1165181771633383</v>
      </c>
      <c r="I900" s="52">
        <v>2015</v>
      </c>
      <c r="J900" s="15">
        <f t="shared" si="237"/>
        <v>6.9444444444444441E-3</v>
      </c>
      <c r="K900" s="15"/>
      <c r="L900" s="62"/>
      <c r="M900" s="56">
        <f t="shared" si="242"/>
        <v>300.21933208169759</v>
      </c>
      <c r="N900" s="14">
        <f>89*(44/12)</f>
        <v>326.33333333333331</v>
      </c>
      <c r="O900" s="18">
        <f t="shared" si="241"/>
        <v>326.33333333333331</v>
      </c>
      <c r="P900" s="16">
        <v>0</v>
      </c>
      <c r="Q900" s="16">
        <v>0</v>
      </c>
      <c r="R900" s="16">
        <v>1</v>
      </c>
      <c r="S900" s="14"/>
      <c r="T900" s="56" t="str">
        <f t="shared" si="240"/>
        <v/>
      </c>
      <c r="U900" s="56">
        <f t="shared" si="238"/>
        <v>84.245220737211056</v>
      </c>
      <c r="V900" s="56">
        <f t="shared" si="239"/>
        <v>2481.4046835323988</v>
      </c>
      <c r="W900" s="14"/>
      <c r="X900" s="3">
        <f>9*((44/12)*(44/12))</f>
        <v>120.99999999999999</v>
      </c>
      <c r="Y900" s="14"/>
      <c r="Z900" s="14"/>
      <c r="AA900" s="3">
        <f>20*((44/12)*(44/12))</f>
        <v>268.88888888888886</v>
      </c>
      <c r="AB900" s="14"/>
      <c r="AC900" s="14"/>
      <c r="AD900" s="3">
        <f>344*((44/12)*(44/12))</f>
        <v>4624.8888888888887</v>
      </c>
      <c r="AE900" s="14"/>
      <c r="AF900" s="16">
        <v>0</v>
      </c>
      <c r="AG900" s="16">
        <v>1</v>
      </c>
      <c r="AH900" s="16">
        <v>0</v>
      </c>
      <c r="AI900" s="16">
        <v>1</v>
      </c>
      <c r="AJ900" s="5">
        <v>0</v>
      </c>
      <c r="AK900" s="5">
        <v>1</v>
      </c>
      <c r="AL900" s="5">
        <v>0</v>
      </c>
      <c r="AM900" s="20">
        <v>3</v>
      </c>
      <c r="AN900" s="20">
        <v>0.14000000000000001</v>
      </c>
      <c r="AO900" s="16"/>
      <c r="AP900" s="16"/>
      <c r="AQ900" s="16"/>
      <c r="AR900" s="16">
        <v>0</v>
      </c>
      <c r="AS900" s="16">
        <v>0</v>
      </c>
      <c r="AT900" s="16"/>
      <c r="AU900" s="16"/>
      <c r="AV900" s="16"/>
      <c r="AW900" s="16"/>
      <c r="AX900" s="16">
        <v>0</v>
      </c>
      <c r="AY900" s="16">
        <v>0</v>
      </c>
      <c r="AZ900" s="16">
        <v>0</v>
      </c>
      <c r="BA900" s="16">
        <v>1</v>
      </c>
    </row>
    <row r="901" spans="1:53" x14ac:dyDescent="0.2">
      <c r="A901" s="14"/>
      <c r="B901" s="14" t="str">
        <f t="shared" si="235"/>
        <v>Kopp et al. 2012</v>
      </c>
      <c r="C901" s="61">
        <f t="shared" si="236"/>
        <v>78</v>
      </c>
      <c r="D901" s="58">
        <v>2012</v>
      </c>
      <c r="E901" s="17"/>
      <c r="F901" s="58">
        <v>1</v>
      </c>
      <c r="G901" s="22">
        <v>2005</v>
      </c>
      <c r="H901" s="15">
        <f>LOOKUP(G901,CPI!A$69:A$100,CPI!O$69:O$100)</f>
        <v>1.1165181771633383</v>
      </c>
      <c r="I901" s="52">
        <v>2015</v>
      </c>
      <c r="J901" s="15">
        <f t="shared" si="237"/>
        <v>6.9444444444444441E-3</v>
      </c>
      <c r="K901" s="15"/>
      <c r="L901" s="62"/>
      <c r="M901" s="56">
        <f t="shared" si="242"/>
        <v>195.14256585310346</v>
      </c>
      <c r="N901" s="14">
        <f>61*(44/12)</f>
        <v>223.66666666666666</v>
      </c>
      <c r="O901" s="18">
        <f t="shared" si="241"/>
        <v>223.66666666666666</v>
      </c>
      <c r="P901" s="16">
        <v>0</v>
      </c>
      <c r="Q901" s="16">
        <v>0</v>
      </c>
      <c r="R901" s="16">
        <v>1</v>
      </c>
      <c r="S901" s="14"/>
      <c r="T901" s="56" t="str">
        <f t="shared" si="240"/>
        <v/>
      </c>
      <c r="U901" s="56">
        <f t="shared" si="238"/>
        <v>53.610595014588867</v>
      </c>
      <c r="V901" s="56">
        <f t="shared" si="239"/>
        <v>2083.1545491383099</v>
      </c>
      <c r="W901" s="14"/>
      <c r="X901" s="3">
        <f>6*((44/12)*(44/12))</f>
        <v>80.666666666666657</v>
      </c>
      <c r="Y901" s="14"/>
      <c r="Z901" s="14"/>
      <c r="AA901" s="3">
        <f>13*((44/12)*(44/12))</f>
        <v>174.77777777777777</v>
      </c>
      <c r="AB901" s="14"/>
      <c r="AC901" s="14"/>
      <c r="AD901" s="3">
        <f>285*((44/12)*(44/12))</f>
        <v>3831.6666666666661</v>
      </c>
      <c r="AE901" s="14"/>
      <c r="AF901" s="16">
        <v>0</v>
      </c>
      <c r="AG901" s="16">
        <v>1</v>
      </c>
      <c r="AH901" s="16">
        <v>0</v>
      </c>
      <c r="AI901" s="16">
        <v>1</v>
      </c>
      <c r="AJ901" s="5">
        <v>0</v>
      </c>
      <c r="AK901" s="5">
        <v>1</v>
      </c>
      <c r="AL901" s="5">
        <v>0</v>
      </c>
      <c r="AM901" s="20">
        <v>3</v>
      </c>
      <c r="AN901" s="20">
        <v>0.14000000000000001</v>
      </c>
      <c r="AO901" s="16"/>
      <c r="AP901" s="16"/>
      <c r="AQ901" s="16"/>
      <c r="AR901" s="16">
        <v>0</v>
      </c>
      <c r="AS901" s="16">
        <v>0</v>
      </c>
      <c r="AT901" s="16"/>
      <c r="AU901" s="16"/>
      <c r="AV901" s="16"/>
      <c r="AW901" s="16"/>
      <c r="AX901" s="16">
        <v>0</v>
      </c>
      <c r="AY901" s="16">
        <v>0</v>
      </c>
      <c r="AZ901" s="16">
        <v>0</v>
      </c>
      <c r="BA901" s="16">
        <v>1</v>
      </c>
    </row>
    <row r="902" spans="1:53" x14ac:dyDescent="0.2">
      <c r="A902" s="14"/>
      <c r="B902" s="14" t="str">
        <f t="shared" si="235"/>
        <v>Kopp et al. 2012</v>
      </c>
      <c r="C902" s="61">
        <f t="shared" si="236"/>
        <v>78</v>
      </c>
      <c r="D902" s="58">
        <v>2012</v>
      </c>
      <c r="E902" s="17"/>
      <c r="F902" s="58">
        <v>1</v>
      </c>
      <c r="G902" s="22">
        <v>2005</v>
      </c>
      <c r="H902" s="15">
        <f>LOOKUP(G902,CPI!A$69:A$100,CPI!O$69:O$100)</f>
        <v>1.1165181771633383</v>
      </c>
      <c r="I902" s="52">
        <v>2015</v>
      </c>
      <c r="J902" s="15">
        <f t="shared" si="237"/>
        <v>6.9444444444444441E-3</v>
      </c>
      <c r="K902" s="15"/>
      <c r="L902" s="62"/>
      <c r="M902" s="56">
        <f t="shared" si="242"/>
        <v>120.08773283267904</v>
      </c>
      <c r="N902" s="14">
        <f>90*(44/12)</f>
        <v>330</v>
      </c>
      <c r="O902" s="18">
        <f t="shared" si="241"/>
        <v>330</v>
      </c>
      <c r="P902" s="16">
        <v>0</v>
      </c>
      <c r="Q902" s="16">
        <v>0</v>
      </c>
      <c r="R902" s="16">
        <v>1</v>
      </c>
      <c r="S902" s="14"/>
      <c r="T902" s="56" t="str">
        <f t="shared" si="240"/>
        <v/>
      </c>
      <c r="U902" s="56">
        <f t="shared" si="238"/>
        <v>53.61059501458886</v>
      </c>
      <c r="V902" s="56">
        <f t="shared" si="239"/>
        <v>2818.3855664812427</v>
      </c>
      <c r="W902" s="14"/>
      <c r="X902" s="3">
        <f>1*((44/12)*(44/12))</f>
        <v>13.444444444444443</v>
      </c>
      <c r="Y902" s="14"/>
      <c r="Z902" s="14"/>
      <c r="AA902" s="3">
        <f>8*((44/12)*(44/12))</f>
        <v>107.55555555555554</v>
      </c>
      <c r="AB902" s="14"/>
      <c r="AC902" s="14"/>
      <c r="AD902" s="3">
        <f>376*((44/12)*(44/12))</f>
        <v>5055.1111111111104</v>
      </c>
      <c r="AE902" s="14"/>
      <c r="AF902" s="16">
        <v>0</v>
      </c>
      <c r="AG902" s="16">
        <v>1</v>
      </c>
      <c r="AH902" s="16">
        <v>0</v>
      </c>
      <c r="AI902" s="16">
        <v>1</v>
      </c>
      <c r="AJ902" s="5">
        <v>0</v>
      </c>
      <c r="AK902" s="5">
        <v>1</v>
      </c>
      <c r="AL902" s="5">
        <v>0</v>
      </c>
      <c r="AM902" s="20">
        <v>3</v>
      </c>
      <c r="AN902" s="20">
        <v>0.14000000000000001</v>
      </c>
      <c r="AO902" s="16"/>
      <c r="AP902" s="16"/>
      <c r="AQ902" s="16"/>
      <c r="AR902" s="16">
        <v>0</v>
      </c>
      <c r="AS902" s="16">
        <v>0</v>
      </c>
      <c r="AT902" s="16"/>
      <c r="AU902" s="16"/>
      <c r="AV902" s="16"/>
      <c r="AW902" s="16"/>
      <c r="AX902" s="16">
        <v>0</v>
      </c>
      <c r="AY902" s="16">
        <v>0</v>
      </c>
      <c r="AZ902" s="16">
        <v>0</v>
      </c>
      <c r="BA902" s="16">
        <v>1</v>
      </c>
    </row>
    <row r="903" spans="1:53" x14ac:dyDescent="0.2">
      <c r="A903" s="14"/>
      <c r="B903" s="14" t="str">
        <f t="shared" si="235"/>
        <v>Kopp et al. 2012</v>
      </c>
      <c r="C903" s="61">
        <f t="shared" si="236"/>
        <v>78</v>
      </c>
      <c r="D903" s="58">
        <v>2012</v>
      </c>
      <c r="E903" s="17"/>
      <c r="F903" s="58">
        <v>1</v>
      </c>
      <c r="G903" s="22">
        <v>2005</v>
      </c>
      <c r="H903" s="15">
        <f>LOOKUP(G903,CPI!A$69:A$100,CPI!O$69:O$100)</f>
        <v>1.1165181771633383</v>
      </c>
      <c r="I903" s="52">
        <v>2015</v>
      </c>
      <c r="J903" s="15">
        <f t="shared" si="237"/>
        <v>6.9444444444444441E-3</v>
      </c>
      <c r="K903" s="15"/>
      <c r="L903" s="62"/>
      <c r="M903" s="56">
        <f t="shared" si="242"/>
        <v>90.065799624509282</v>
      </c>
      <c r="N903" s="14">
        <f>84*(44/12)</f>
        <v>308</v>
      </c>
      <c r="O903" s="18">
        <f t="shared" si="241"/>
        <v>308</v>
      </c>
      <c r="P903" s="16">
        <v>0</v>
      </c>
      <c r="Q903" s="16">
        <v>0</v>
      </c>
      <c r="R903" s="16">
        <v>1</v>
      </c>
      <c r="S903" s="14"/>
      <c r="T903" s="56" t="str">
        <f t="shared" si="240"/>
        <v/>
      </c>
      <c r="U903" s="56">
        <f t="shared" si="238"/>
        <v>38.293282153277758</v>
      </c>
      <c r="V903" s="56">
        <f t="shared" si="239"/>
        <v>2626.9191557148538</v>
      </c>
      <c r="W903" s="14"/>
      <c r="X903" s="3">
        <f>1*((44/12)*(44/12))</f>
        <v>13.444444444444443</v>
      </c>
      <c r="Y903" s="14"/>
      <c r="Z903" s="14"/>
      <c r="AA903" s="3">
        <f>6*((44/12)*(44/12))</f>
        <v>80.666666666666657</v>
      </c>
      <c r="AB903" s="14"/>
      <c r="AC903" s="14"/>
      <c r="AD903" s="3">
        <f>349*((44/12)*(44/12))</f>
        <v>4692.1111111111104</v>
      </c>
      <c r="AE903" s="14"/>
      <c r="AF903" s="16">
        <v>0</v>
      </c>
      <c r="AG903" s="16">
        <v>1</v>
      </c>
      <c r="AH903" s="16">
        <v>0</v>
      </c>
      <c r="AI903" s="16">
        <v>1</v>
      </c>
      <c r="AJ903" s="5">
        <v>0</v>
      </c>
      <c r="AK903" s="5">
        <v>1</v>
      </c>
      <c r="AL903" s="5">
        <v>0</v>
      </c>
      <c r="AM903" s="20">
        <v>3</v>
      </c>
      <c r="AN903" s="20">
        <v>0.14000000000000001</v>
      </c>
      <c r="AO903" s="16"/>
      <c r="AP903" s="16"/>
      <c r="AQ903" s="16"/>
      <c r="AR903" s="16">
        <v>0</v>
      </c>
      <c r="AS903" s="16">
        <v>0</v>
      </c>
      <c r="AT903" s="16"/>
      <c r="AU903" s="16"/>
      <c r="AV903" s="16"/>
      <c r="AW903" s="16"/>
      <c r="AX903" s="16">
        <v>0</v>
      </c>
      <c r="AY903" s="16">
        <v>0</v>
      </c>
      <c r="AZ903" s="16">
        <v>0</v>
      </c>
      <c r="BA903" s="16">
        <v>1</v>
      </c>
    </row>
    <row r="904" spans="1:53" x14ac:dyDescent="0.2">
      <c r="A904" s="14"/>
      <c r="B904" s="14" t="str">
        <f t="shared" si="235"/>
        <v>Kopp et al. 2012</v>
      </c>
      <c r="C904" s="61">
        <f t="shared" si="236"/>
        <v>78</v>
      </c>
      <c r="D904" s="58">
        <v>2012</v>
      </c>
      <c r="E904" s="17"/>
      <c r="F904" s="58">
        <v>1</v>
      </c>
      <c r="G904" s="22">
        <v>2005</v>
      </c>
      <c r="H904" s="15">
        <f>LOOKUP(G904,CPI!A$69:A$100,CPI!O$69:O$100)</f>
        <v>1.1165181771633383</v>
      </c>
      <c r="I904" s="52">
        <v>2015</v>
      </c>
      <c r="J904" s="15">
        <f t="shared" si="237"/>
        <v>6.9444444444444441E-3</v>
      </c>
      <c r="K904" s="15"/>
      <c r="L904" s="62"/>
      <c r="M904" s="56">
        <f t="shared" si="242"/>
        <v>120.08773283267904</v>
      </c>
      <c r="N904" s="14">
        <f>104*(44/12)</f>
        <v>381.33333333333331</v>
      </c>
      <c r="O904" s="18">
        <f t="shared" si="241"/>
        <v>381.33333333333331</v>
      </c>
      <c r="P904" s="16">
        <v>0</v>
      </c>
      <c r="Q904" s="16">
        <v>0</v>
      </c>
      <c r="R904" s="16">
        <v>1</v>
      </c>
      <c r="S904" s="14"/>
      <c r="T904" s="56" t="str">
        <f t="shared" si="240"/>
        <v/>
      </c>
      <c r="U904" s="56">
        <f t="shared" si="238"/>
        <v>53.61059501458886</v>
      </c>
      <c r="V904" s="56">
        <f t="shared" si="239"/>
        <v>3500.0059888095871</v>
      </c>
      <c r="W904" s="14"/>
      <c r="X904" s="3">
        <f>1*((44/12)*(44/12))</f>
        <v>13.444444444444443</v>
      </c>
      <c r="Y904" s="14"/>
      <c r="Z904" s="14"/>
      <c r="AA904" s="3">
        <f>8*((44/12)*(44/12))</f>
        <v>107.55555555555554</v>
      </c>
      <c r="AB904" s="14"/>
      <c r="AC904" s="14"/>
      <c r="AD904" s="3">
        <f>465*((44/12)*(44/12))</f>
        <v>6251.6666666666661</v>
      </c>
      <c r="AE904" s="14"/>
      <c r="AF904" s="16">
        <v>0</v>
      </c>
      <c r="AG904" s="16">
        <v>1</v>
      </c>
      <c r="AH904" s="16">
        <v>0</v>
      </c>
      <c r="AI904" s="16">
        <v>1</v>
      </c>
      <c r="AJ904" s="5">
        <v>0</v>
      </c>
      <c r="AK904" s="5">
        <v>1</v>
      </c>
      <c r="AL904" s="5">
        <v>0</v>
      </c>
      <c r="AM904" s="20">
        <v>3</v>
      </c>
      <c r="AN904" s="20">
        <v>0.14000000000000001</v>
      </c>
      <c r="AO904" s="16"/>
      <c r="AP904" s="16"/>
      <c r="AQ904" s="16"/>
      <c r="AR904" s="16">
        <v>0</v>
      </c>
      <c r="AS904" s="16">
        <v>0</v>
      </c>
      <c r="AT904" s="16"/>
      <c r="AU904" s="16"/>
      <c r="AV904" s="16"/>
      <c r="AW904" s="16"/>
      <c r="AX904" s="16">
        <v>0</v>
      </c>
      <c r="AY904" s="16">
        <v>0</v>
      </c>
      <c r="AZ904" s="16">
        <v>0</v>
      </c>
      <c r="BA904" s="16">
        <v>1</v>
      </c>
    </row>
    <row r="905" spans="1:53" x14ac:dyDescent="0.2">
      <c r="A905" s="14"/>
      <c r="B905" s="14" t="str">
        <f t="shared" si="235"/>
        <v>Kopp et al. 2012</v>
      </c>
      <c r="C905" s="61">
        <f t="shared" si="236"/>
        <v>78</v>
      </c>
      <c r="D905" s="58">
        <v>2012</v>
      </c>
      <c r="E905" s="17"/>
      <c r="F905" s="58">
        <v>1</v>
      </c>
      <c r="G905" s="22">
        <v>2005</v>
      </c>
      <c r="H905" s="15">
        <f>LOOKUP(G905,CPI!A$69:A$100,CPI!O$69:O$100)</f>
        <v>1.1165181771633383</v>
      </c>
      <c r="I905" s="52">
        <v>2015</v>
      </c>
      <c r="J905" s="15">
        <f t="shared" si="237"/>
        <v>6.9444444444444441E-3</v>
      </c>
      <c r="K905" s="15"/>
      <c r="L905" s="62"/>
      <c r="M905" s="56">
        <f t="shared" si="242"/>
        <v>120.08773283267904</v>
      </c>
      <c r="N905" s="14">
        <f>104*(44/12)</f>
        <v>381.33333333333331</v>
      </c>
      <c r="O905" s="18">
        <f t="shared" si="241"/>
        <v>381.33333333333331</v>
      </c>
      <c r="P905" s="16">
        <v>0</v>
      </c>
      <c r="Q905" s="16">
        <v>0</v>
      </c>
      <c r="R905" s="16">
        <v>1</v>
      </c>
      <c r="S905" s="14"/>
      <c r="T905" s="56" t="str">
        <f t="shared" si="240"/>
        <v/>
      </c>
      <c r="U905" s="56">
        <f t="shared" si="238"/>
        <v>53.61059501458886</v>
      </c>
      <c r="V905" s="56">
        <f t="shared" si="239"/>
        <v>3392.7847987804093</v>
      </c>
      <c r="W905" s="14"/>
      <c r="X905" s="3">
        <f>1*((44/12)*(44/12))</f>
        <v>13.444444444444443</v>
      </c>
      <c r="Y905" s="14"/>
      <c r="Z905" s="14"/>
      <c r="AA905" s="3">
        <f>8*((44/12)*(44/12))</f>
        <v>107.55555555555554</v>
      </c>
      <c r="AB905" s="14"/>
      <c r="AC905" s="14"/>
      <c r="AD905" s="3">
        <f>451*((44/12)*(44/12))</f>
        <v>6063.4444444444434</v>
      </c>
      <c r="AE905" s="14"/>
      <c r="AF905" s="16">
        <v>0</v>
      </c>
      <c r="AG905" s="16">
        <v>1</v>
      </c>
      <c r="AH905" s="16">
        <v>0</v>
      </c>
      <c r="AI905" s="16">
        <v>1</v>
      </c>
      <c r="AJ905" s="5">
        <v>0</v>
      </c>
      <c r="AK905" s="5">
        <v>1</v>
      </c>
      <c r="AL905" s="5">
        <v>0</v>
      </c>
      <c r="AM905" s="20">
        <v>3</v>
      </c>
      <c r="AN905" s="20">
        <v>0.14000000000000001</v>
      </c>
      <c r="AO905" s="16"/>
      <c r="AP905" s="16"/>
      <c r="AQ905" s="16"/>
      <c r="AR905" s="16">
        <v>0</v>
      </c>
      <c r="AS905" s="16">
        <v>0</v>
      </c>
      <c r="AT905" s="16"/>
      <c r="AU905" s="16"/>
      <c r="AV905" s="16"/>
      <c r="AW905" s="16"/>
      <c r="AX905" s="16">
        <v>0</v>
      </c>
      <c r="AY905" s="16">
        <v>0</v>
      </c>
      <c r="AZ905" s="16">
        <v>0</v>
      </c>
      <c r="BA905" s="16">
        <v>1</v>
      </c>
    </row>
    <row r="906" spans="1:53" x14ac:dyDescent="0.2">
      <c r="A906" s="14"/>
      <c r="B906" s="14" t="str">
        <f t="shared" ref="B906:B969" si="243">+IF(A906="",B905,A906&amp;" "&amp;D906)</f>
        <v>Kopp et al. 2012</v>
      </c>
      <c r="C906" s="61">
        <f t="shared" ref="C906:C969" si="244">+IF(A906="",C905,C905+1)</f>
        <v>78</v>
      </c>
      <c r="D906" s="58">
        <v>2012</v>
      </c>
      <c r="E906" s="17"/>
      <c r="F906" s="58">
        <v>1</v>
      </c>
      <c r="G906" s="22">
        <v>2005</v>
      </c>
      <c r="H906" s="15">
        <f>LOOKUP(G906,CPI!A$69:A$100,CPI!O$69:O$100)</f>
        <v>1.1165181771633383</v>
      </c>
      <c r="I906" s="52">
        <v>2015</v>
      </c>
      <c r="J906" s="15">
        <f t="shared" si="237"/>
        <v>6.9444444444444441E-3</v>
      </c>
      <c r="K906" s="15"/>
      <c r="L906" s="62"/>
      <c r="M906" s="56">
        <f t="shared" si="242"/>
        <v>720.52639699607425</v>
      </c>
      <c r="N906" s="14">
        <f>60*(44/12)</f>
        <v>220</v>
      </c>
      <c r="O906" s="18">
        <f t="shared" si="241"/>
        <v>220</v>
      </c>
      <c r="P906" s="16">
        <v>0</v>
      </c>
      <c r="Q906" s="16">
        <v>0</v>
      </c>
      <c r="R906" s="16">
        <v>1</v>
      </c>
      <c r="S906" s="14"/>
      <c r="T906" s="56" t="str">
        <f t="shared" si="240"/>
        <v/>
      </c>
      <c r="U906" s="56">
        <f t="shared" si="238"/>
        <v>206.78372362769989</v>
      </c>
      <c r="V906" s="56">
        <f t="shared" si="239"/>
        <v>735.23101734293289</v>
      </c>
      <c r="W906" s="14"/>
      <c r="X906" s="3">
        <f>21*((44/12)*(44/12))</f>
        <v>282.33333333333331</v>
      </c>
      <c r="Y906" s="14"/>
      <c r="Z906" s="14"/>
      <c r="AA906" s="3">
        <f>48*((44/12)*(44/12))</f>
        <v>645.33333333333326</v>
      </c>
      <c r="AB906" s="14"/>
      <c r="AC906" s="14"/>
      <c r="AD906" s="3">
        <f>144*((44/12)*(44/12))</f>
        <v>1935.9999999999998</v>
      </c>
      <c r="AE906" s="14"/>
      <c r="AF906" s="16">
        <v>0</v>
      </c>
      <c r="AG906" s="16">
        <v>1</v>
      </c>
      <c r="AH906" s="16">
        <v>0</v>
      </c>
      <c r="AI906" s="16">
        <v>1</v>
      </c>
      <c r="AJ906" s="5">
        <v>0</v>
      </c>
      <c r="AK906" s="5">
        <v>1</v>
      </c>
      <c r="AL906" s="5">
        <v>0</v>
      </c>
      <c r="AM906" s="20">
        <v>3</v>
      </c>
      <c r="AN906" s="20">
        <v>-1.1000000000000001</v>
      </c>
      <c r="AO906" s="16"/>
      <c r="AP906" s="16"/>
      <c r="AQ906" s="16"/>
      <c r="AR906" s="16">
        <v>0</v>
      </c>
      <c r="AS906" s="16">
        <v>0</v>
      </c>
      <c r="AT906" s="16"/>
      <c r="AU906" s="16"/>
      <c r="AV906" s="16"/>
      <c r="AW906" s="16"/>
      <c r="AX906" s="16">
        <v>0</v>
      </c>
      <c r="AY906" s="16">
        <v>0</v>
      </c>
      <c r="AZ906" s="16">
        <v>0</v>
      </c>
      <c r="BA906" s="16">
        <v>1</v>
      </c>
    </row>
    <row r="907" spans="1:53" x14ac:dyDescent="0.2">
      <c r="A907" s="14"/>
      <c r="B907" s="14" t="str">
        <f t="shared" si="243"/>
        <v>Kopp et al. 2012</v>
      </c>
      <c r="C907" s="61">
        <f t="shared" si="244"/>
        <v>78</v>
      </c>
      <c r="D907" s="58">
        <v>2012</v>
      </c>
      <c r="E907" s="17"/>
      <c r="F907" s="58">
        <v>1</v>
      </c>
      <c r="G907" s="22">
        <v>2005</v>
      </c>
      <c r="H907" s="15">
        <f>LOOKUP(G907,CPI!A$69:A$100,CPI!O$69:O$100)</f>
        <v>1.1165181771633383</v>
      </c>
      <c r="I907" s="52">
        <v>2015</v>
      </c>
      <c r="J907" s="15">
        <f t="shared" si="237"/>
        <v>6.9444444444444441E-3</v>
      </c>
      <c r="K907" s="15"/>
      <c r="L907" s="62"/>
      <c r="M907" s="56">
        <f t="shared" si="242"/>
        <v>735.53736360015921</v>
      </c>
      <c r="N907" s="14">
        <f>62*(44/12)</f>
        <v>227.33333333333331</v>
      </c>
      <c r="O907" s="18">
        <f t="shared" si="241"/>
        <v>227.33333333333331</v>
      </c>
      <c r="P907" s="16">
        <v>0</v>
      </c>
      <c r="Q907" s="16">
        <v>0</v>
      </c>
      <c r="R907" s="16">
        <v>1</v>
      </c>
      <c r="S907" s="14"/>
      <c r="T907" s="56" t="str">
        <f t="shared" si="240"/>
        <v/>
      </c>
      <c r="U907" s="56">
        <f t="shared" si="238"/>
        <v>214.44238005835544</v>
      </c>
      <c r="V907" s="56">
        <f t="shared" si="239"/>
        <v>788.84161235752163</v>
      </c>
      <c r="W907" s="14"/>
      <c r="X907" s="3">
        <f>21*((44/12)*(44/12))</f>
        <v>282.33333333333331</v>
      </c>
      <c r="Y907" s="14"/>
      <c r="Z907" s="14"/>
      <c r="AA907" s="3">
        <f>49*((44/12)*(44/12))</f>
        <v>658.77777777777771</v>
      </c>
      <c r="AB907" s="14"/>
      <c r="AC907" s="14"/>
      <c r="AD907" s="3">
        <f>152*((44/12)*(44/12))</f>
        <v>2043.5555555555552</v>
      </c>
      <c r="AE907" s="14"/>
      <c r="AF907" s="16">
        <v>0</v>
      </c>
      <c r="AG907" s="16">
        <v>1</v>
      </c>
      <c r="AH907" s="16">
        <v>0</v>
      </c>
      <c r="AI907" s="16">
        <v>1</v>
      </c>
      <c r="AJ907" s="5">
        <v>0</v>
      </c>
      <c r="AK907" s="5">
        <v>1</v>
      </c>
      <c r="AL907" s="5">
        <v>0</v>
      </c>
      <c r="AM907" s="20">
        <v>3</v>
      </c>
      <c r="AN907" s="20">
        <v>-1.1000000000000001</v>
      </c>
      <c r="AO907" s="16"/>
      <c r="AP907" s="16"/>
      <c r="AQ907" s="16"/>
      <c r="AR907" s="16">
        <v>0</v>
      </c>
      <c r="AS907" s="16">
        <v>0</v>
      </c>
      <c r="AT907" s="16"/>
      <c r="AU907" s="16"/>
      <c r="AV907" s="16"/>
      <c r="AW907" s="16"/>
      <c r="AX907" s="16">
        <v>0</v>
      </c>
      <c r="AY907" s="16">
        <v>0</v>
      </c>
      <c r="AZ907" s="16">
        <v>0</v>
      </c>
      <c r="BA907" s="16">
        <v>1</v>
      </c>
    </row>
    <row r="908" spans="1:53" x14ac:dyDescent="0.2">
      <c r="A908" s="14"/>
      <c r="B908" s="14" t="str">
        <f t="shared" si="243"/>
        <v>Kopp et al. 2012</v>
      </c>
      <c r="C908" s="61">
        <f t="shared" si="244"/>
        <v>78</v>
      </c>
      <c r="D908" s="58">
        <v>2012</v>
      </c>
      <c r="E908" s="17"/>
      <c r="F908" s="58">
        <v>1</v>
      </c>
      <c r="G908" s="22">
        <v>2005</v>
      </c>
      <c r="H908" s="15">
        <f>LOOKUP(G908,CPI!A$69:A$100,CPI!O$69:O$100)</f>
        <v>1.1165181771633383</v>
      </c>
      <c r="I908" s="52">
        <v>2015</v>
      </c>
      <c r="J908" s="15">
        <f t="shared" si="237"/>
        <v>6.9444444444444441E-3</v>
      </c>
      <c r="K908" s="15"/>
      <c r="L908" s="62"/>
      <c r="M908" s="56">
        <f t="shared" si="242"/>
        <v>630.46059737156497</v>
      </c>
      <c r="N908" s="14">
        <f>53*(44/12)</f>
        <v>194.33333333333331</v>
      </c>
      <c r="O908" s="18">
        <f t="shared" si="241"/>
        <v>194.33333333333331</v>
      </c>
      <c r="P908" s="16">
        <v>0</v>
      </c>
      <c r="Q908" s="16">
        <v>0</v>
      </c>
      <c r="R908" s="16">
        <v>1</v>
      </c>
      <c r="S908" s="14"/>
      <c r="T908" s="56" t="str">
        <f t="shared" si="240"/>
        <v/>
      </c>
      <c r="U908" s="56">
        <f t="shared" si="238"/>
        <v>191.4664107663888</v>
      </c>
      <c r="V908" s="56">
        <f t="shared" si="239"/>
        <v>650.98579660572193</v>
      </c>
      <c r="W908" s="14"/>
      <c r="X908" s="3">
        <f>17*((44/12)*(44/12))</f>
        <v>228.55555555555554</v>
      </c>
      <c r="Y908" s="14"/>
      <c r="Z908" s="14"/>
      <c r="AA908" s="3">
        <f>42*((44/12)*(44/12))</f>
        <v>564.66666666666663</v>
      </c>
      <c r="AB908" s="14"/>
      <c r="AC908" s="14"/>
      <c r="AD908" s="3">
        <f>127*((44/12)*(44/12))</f>
        <v>1707.4444444444443</v>
      </c>
      <c r="AE908" s="14"/>
      <c r="AF908" s="16">
        <v>0</v>
      </c>
      <c r="AG908" s="16">
        <v>1</v>
      </c>
      <c r="AH908" s="16">
        <v>0</v>
      </c>
      <c r="AI908" s="16">
        <v>1</v>
      </c>
      <c r="AJ908" s="5">
        <v>0</v>
      </c>
      <c r="AK908" s="5">
        <v>1</v>
      </c>
      <c r="AL908" s="5">
        <v>0</v>
      </c>
      <c r="AM908" s="20">
        <v>3</v>
      </c>
      <c r="AN908" s="20">
        <v>-1.1000000000000001</v>
      </c>
      <c r="AO908" s="16"/>
      <c r="AP908" s="16"/>
      <c r="AQ908" s="16"/>
      <c r="AR908" s="16">
        <v>0</v>
      </c>
      <c r="AS908" s="16">
        <v>0</v>
      </c>
      <c r="AT908" s="16"/>
      <c r="AU908" s="16"/>
      <c r="AV908" s="16"/>
      <c r="AW908" s="16"/>
      <c r="AX908" s="16">
        <v>0</v>
      </c>
      <c r="AY908" s="16">
        <v>0</v>
      </c>
      <c r="AZ908" s="16">
        <v>0</v>
      </c>
      <c r="BA908" s="16">
        <v>1</v>
      </c>
    </row>
    <row r="909" spans="1:53" x14ac:dyDescent="0.2">
      <c r="A909" s="14"/>
      <c r="B909" s="14" t="str">
        <f t="shared" si="243"/>
        <v>Kopp et al. 2012</v>
      </c>
      <c r="C909" s="61">
        <f t="shared" si="244"/>
        <v>78</v>
      </c>
      <c r="D909" s="58">
        <v>2012</v>
      </c>
      <c r="E909" s="17"/>
      <c r="F909" s="58">
        <v>1</v>
      </c>
      <c r="G909" s="22">
        <v>2005</v>
      </c>
      <c r="H909" s="15">
        <f>LOOKUP(G909,CPI!A$69:A$100,CPI!O$69:O$100)</f>
        <v>1.1165181771633383</v>
      </c>
      <c r="I909" s="52">
        <v>2015</v>
      </c>
      <c r="J909" s="15">
        <f t="shared" ref="J909:J923" si="245">1/144</f>
        <v>6.9444444444444441E-3</v>
      </c>
      <c r="K909" s="15"/>
      <c r="L909" s="62"/>
      <c r="M909" s="56">
        <f t="shared" si="242"/>
        <v>1621.1843932411671</v>
      </c>
      <c r="N909" s="14">
        <f>143*(44/12)</f>
        <v>524.33333333333326</v>
      </c>
      <c r="O909" s="18">
        <f t="shared" si="241"/>
        <v>524.33333333333326</v>
      </c>
      <c r="P909" s="16">
        <v>0</v>
      </c>
      <c r="Q909" s="16">
        <v>0</v>
      </c>
      <c r="R909" s="16">
        <v>1</v>
      </c>
      <c r="S909" s="14"/>
      <c r="T909" s="56" t="str">
        <f t="shared" si="240"/>
        <v/>
      </c>
      <c r="U909" s="56">
        <f t="shared" ref="U909:U923" si="246">+(AA909-X909)/1.96*H909*(1+$L$2)^(2015-I909)</f>
        <v>497.81266799261078</v>
      </c>
      <c r="V909" s="56">
        <f t="shared" ref="V909:V923" si="247">+(AD909-AA909)/1.96*H909*(1+$L$2)^(2015-I909)</f>
        <v>2060.1785798463434</v>
      </c>
      <c r="W909" s="14"/>
      <c r="X909" s="3">
        <f>43*((44/12)*(44/12))</f>
        <v>578.11111111111109</v>
      </c>
      <c r="Y909" s="14"/>
      <c r="Z909" s="14"/>
      <c r="AA909" s="3">
        <f>108*((44/12)*(44/12))</f>
        <v>1451.9999999999998</v>
      </c>
      <c r="AB909" s="14"/>
      <c r="AC909" s="14"/>
      <c r="AD909" s="3">
        <f>377*((44/12)*(44/12))</f>
        <v>5068.5555555555547</v>
      </c>
      <c r="AE909" s="14"/>
      <c r="AF909" s="16">
        <v>0</v>
      </c>
      <c r="AG909" s="16">
        <v>1</v>
      </c>
      <c r="AH909" s="16">
        <v>0</v>
      </c>
      <c r="AI909" s="16">
        <v>1</v>
      </c>
      <c r="AJ909" s="5">
        <v>0</v>
      </c>
      <c r="AK909" s="5">
        <v>1</v>
      </c>
      <c r="AL909" s="5">
        <v>0</v>
      </c>
      <c r="AM909" s="20">
        <v>3</v>
      </c>
      <c r="AN909" s="20">
        <v>-1.1000000000000001</v>
      </c>
      <c r="AO909" s="16"/>
      <c r="AP909" s="16"/>
      <c r="AQ909" s="16"/>
      <c r="AR909" s="16">
        <v>0</v>
      </c>
      <c r="AS909" s="16">
        <v>0</v>
      </c>
      <c r="AT909" s="16"/>
      <c r="AU909" s="16"/>
      <c r="AV909" s="16"/>
      <c r="AW909" s="16"/>
      <c r="AX909" s="16">
        <v>0</v>
      </c>
      <c r="AY909" s="16">
        <v>0</v>
      </c>
      <c r="AZ909" s="16">
        <v>0</v>
      </c>
      <c r="BA909" s="16">
        <v>1</v>
      </c>
    </row>
    <row r="910" spans="1:53" x14ac:dyDescent="0.2">
      <c r="A910" s="14"/>
      <c r="B910" s="14" t="str">
        <f t="shared" si="243"/>
        <v>Kopp et al. 2012</v>
      </c>
      <c r="C910" s="61">
        <f t="shared" si="244"/>
        <v>78</v>
      </c>
      <c r="D910" s="58">
        <v>2012</v>
      </c>
      <c r="E910" s="17"/>
      <c r="F910" s="58">
        <v>1</v>
      </c>
      <c r="G910" s="22">
        <v>2005</v>
      </c>
      <c r="H910" s="15">
        <f>LOOKUP(G910,CPI!A$69:A$100,CPI!O$69:O$100)</f>
        <v>1.1165181771633383</v>
      </c>
      <c r="I910" s="52">
        <v>2015</v>
      </c>
      <c r="J910" s="15">
        <f t="shared" si="245"/>
        <v>6.9444444444444441E-3</v>
      </c>
      <c r="K910" s="15"/>
      <c r="L910" s="62"/>
      <c r="M910" s="56">
        <f t="shared" si="242"/>
        <v>1621.1843932411671</v>
      </c>
      <c r="N910" s="14">
        <f>143*(44/12)</f>
        <v>524.33333333333326</v>
      </c>
      <c r="O910" s="18">
        <f t="shared" si="241"/>
        <v>524.33333333333326</v>
      </c>
      <c r="P910" s="16">
        <v>0</v>
      </c>
      <c r="Q910" s="16">
        <v>0</v>
      </c>
      <c r="R910" s="16">
        <v>1</v>
      </c>
      <c r="S910" s="14"/>
      <c r="T910" s="56" t="str">
        <f t="shared" si="240"/>
        <v/>
      </c>
      <c r="U910" s="56">
        <f t="shared" si="246"/>
        <v>497.81266799261078</v>
      </c>
      <c r="V910" s="56">
        <f t="shared" si="247"/>
        <v>2060.1785798463434</v>
      </c>
      <c r="W910" s="14"/>
      <c r="X910" s="3">
        <f>43*((44/12)*(44/12))</f>
        <v>578.11111111111109</v>
      </c>
      <c r="Y910" s="14"/>
      <c r="Z910" s="14"/>
      <c r="AA910" s="3">
        <f>108*((44/12)*(44/12))</f>
        <v>1451.9999999999998</v>
      </c>
      <c r="AB910" s="14"/>
      <c r="AC910" s="14"/>
      <c r="AD910" s="3">
        <f>377*((44/12)*(44/12))</f>
        <v>5068.5555555555547</v>
      </c>
      <c r="AE910" s="14"/>
      <c r="AF910" s="16">
        <v>0</v>
      </c>
      <c r="AG910" s="16">
        <v>1</v>
      </c>
      <c r="AH910" s="16">
        <v>0</v>
      </c>
      <c r="AI910" s="16">
        <v>1</v>
      </c>
      <c r="AJ910" s="5">
        <v>0</v>
      </c>
      <c r="AK910" s="5">
        <v>1</v>
      </c>
      <c r="AL910" s="5">
        <v>0</v>
      </c>
      <c r="AM910" s="20">
        <v>3</v>
      </c>
      <c r="AN910" s="20">
        <v>-1.1000000000000001</v>
      </c>
      <c r="AO910" s="16"/>
      <c r="AP910" s="16"/>
      <c r="AQ910" s="16"/>
      <c r="AR910" s="16">
        <v>0</v>
      </c>
      <c r="AS910" s="16">
        <v>0</v>
      </c>
      <c r="AT910" s="16"/>
      <c r="AU910" s="16"/>
      <c r="AV910" s="16"/>
      <c r="AW910" s="16"/>
      <c r="AX910" s="16">
        <v>0</v>
      </c>
      <c r="AY910" s="16">
        <v>0</v>
      </c>
      <c r="AZ910" s="16">
        <v>0</v>
      </c>
      <c r="BA910" s="16">
        <v>1</v>
      </c>
    </row>
    <row r="911" spans="1:53" x14ac:dyDescent="0.2">
      <c r="A911" s="14"/>
      <c r="B911" s="14" t="str">
        <f t="shared" si="243"/>
        <v>Kopp et al. 2012</v>
      </c>
      <c r="C911" s="61">
        <f t="shared" si="244"/>
        <v>78</v>
      </c>
      <c r="D911" s="58">
        <v>2012</v>
      </c>
      <c r="E911" s="17"/>
      <c r="F911" s="58">
        <v>1</v>
      </c>
      <c r="G911" s="22">
        <v>2005</v>
      </c>
      <c r="H911" s="15">
        <f>LOOKUP(G911,CPI!A$69:A$100,CPI!O$69:O$100)</f>
        <v>1.1165181771633383</v>
      </c>
      <c r="I911" s="52">
        <v>2015</v>
      </c>
      <c r="J911" s="15">
        <f t="shared" si="245"/>
        <v>6.9444444444444441E-3</v>
      </c>
      <c r="K911" s="15"/>
      <c r="L911" s="62"/>
      <c r="M911" s="56">
        <f t="shared" si="242"/>
        <v>3422.5003857313527</v>
      </c>
      <c r="N911" s="14">
        <f>316*(44/12)</f>
        <v>1158.6666666666665</v>
      </c>
      <c r="O911" s="18">
        <f t="shared" si="241"/>
        <v>1158.6666666666665</v>
      </c>
      <c r="P911" s="16">
        <v>0</v>
      </c>
      <c r="Q911" s="16">
        <v>0</v>
      </c>
      <c r="R911" s="16">
        <v>1</v>
      </c>
      <c r="S911" s="14"/>
      <c r="T911" s="56" t="str">
        <f t="shared" ref="T911:T935" si="248">IF(OR(M911="",S911=""),"",S911*H911*(1+$L$2)^(2015-I911))</f>
        <v/>
      </c>
      <c r="U911" s="56">
        <f t="shared" si="246"/>
        <v>1110.505182445055</v>
      </c>
      <c r="V911" s="56">
        <f t="shared" si="247"/>
        <v>5070.0305570939754</v>
      </c>
      <c r="W911" s="14"/>
      <c r="X911" s="3">
        <f>83*((44/12)*(44/12))</f>
        <v>1115.8888888888887</v>
      </c>
      <c r="Y911" s="14"/>
      <c r="Z911" s="14"/>
      <c r="AA911" s="3">
        <f>228*((44/12)*(44/12))</f>
        <v>3065.333333333333</v>
      </c>
      <c r="AB911" s="14"/>
      <c r="AC911" s="14"/>
      <c r="AD911" s="3">
        <f>890*((44/12)*(44/12))</f>
        <v>11965.555555555555</v>
      </c>
      <c r="AE911" s="14"/>
      <c r="AF911" s="16">
        <v>0</v>
      </c>
      <c r="AG911" s="16">
        <v>1</v>
      </c>
      <c r="AH911" s="16">
        <v>0</v>
      </c>
      <c r="AI911" s="16">
        <v>1</v>
      </c>
      <c r="AJ911" s="5">
        <v>0</v>
      </c>
      <c r="AK911" s="5">
        <v>1</v>
      </c>
      <c r="AL911" s="5">
        <v>0</v>
      </c>
      <c r="AM911" s="20">
        <v>3</v>
      </c>
      <c r="AN911" s="20">
        <v>-1.1000000000000001</v>
      </c>
      <c r="AO911" s="16"/>
      <c r="AP911" s="16"/>
      <c r="AQ911" s="16"/>
      <c r="AR911" s="16">
        <v>0</v>
      </c>
      <c r="AS911" s="16">
        <v>0</v>
      </c>
      <c r="AT911" s="16"/>
      <c r="AU911" s="16"/>
      <c r="AV911" s="16"/>
      <c r="AW911" s="16"/>
      <c r="AX911" s="16">
        <v>0</v>
      </c>
      <c r="AY911" s="16">
        <v>0</v>
      </c>
      <c r="AZ911" s="16">
        <v>0</v>
      </c>
      <c r="BA911" s="16">
        <v>1</v>
      </c>
    </row>
    <row r="912" spans="1:53" x14ac:dyDescent="0.2">
      <c r="A912" s="14"/>
      <c r="B912" s="14" t="str">
        <f t="shared" si="243"/>
        <v>Kopp et al. 2012</v>
      </c>
      <c r="C912" s="61">
        <f t="shared" si="244"/>
        <v>78</v>
      </c>
      <c r="D912" s="58">
        <v>2012</v>
      </c>
      <c r="E912" s="17"/>
      <c r="F912" s="58">
        <v>1</v>
      </c>
      <c r="G912" s="22">
        <v>2005</v>
      </c>
      <c r="H912" s="15">
        <f>LOOKUP(G912,CPI!A$69:A$100,CPI!O$69:O$100)</f>
        <v>1.1165181771633383</v>
      </c>
      <c r="I912" s="52">
        <v>2015</v>
      </c>
      <c r="J912" s="15">
        <f t="shared" si="245"/>
        <v>6.9444444444444441E-3</v>
      </c>
      <c r="K912" s="15"/>
      <c r="L912" s="62"/>
      <c r="M912" s="56">
        <f t="shared" si="242"/>
        <v>480.35093133071615</v>
      </c>
      <c r="N912" s="14">
        <f>37*(44/12)</f>
        <v>135.66666666666666</v>
      </c>
      <c r="O912" s="18">
        <f t="shared" si="241"/>
        <v>135.66666666666666</v>
      </c>
      <c r="P912" s="16">
        <v>0</v>
      </c>
      <c r="Q912" s="16">
        <v>0</v>
      </c>
      <c r="R912" s="16">
        <v>1</v>
      </c>
      <c r="S912" s="14"/>
      <c r="T912" s="56" t="str">
        <f t="shared" si="248"/>
        <v/>
      </c>
      <c r="U912" s="56">
        <f t="shared" si="246"/>
        <v>130.19715932114437</v>
      </c>
      <c r="V912" s="56">
        <f t="shared" si="247"/>
        <v>359.95685224081097</v>
      </c>
      <c r="W912" s="14"/>
      <c r="X912" s="3">
        <f>15*((44/12)*(44/12))</f>
        <v>201.66666666666663</v>
      </c>
      <c r="Y912" s="14"/>
      <c r="Z912" s="14"/>
      <c r="AA912" s="3">
        <f>32*((44/12)*(44/12))</f>
        <v>430.22222222222217</v>
      </c>
      <c r="AB912" s="14"/>
      <c r="AC912" s="14"/>
      <c r="AD912" s="3">
        <f>79*((44/12)*(44/12))</f>
        <v>1062.1111111111111</v>
      </c>
      <c r="AE912" s="14"/>
      <c r="AF912" s="16">
        <v>0</v>
      </c>
      <c r="AG912" s="16">
        <v>1</v>
      </c>
      <c r="AH912" s="16">
        <v>0</v>
      </c>
      <c r="AI912" s="16">
        <v>1</v>
      </c>
      <c r="AJ912" s="5">
        <v>0</v>
      </c>
      <c r="AK912" s="5">
        <v>1</v>
      </c>
      <c r="AL912" s="5">
        <v>0</v>
      </c>
      <c r="AM912" s="20">
        <v>3</v>
      </c>
      <c r="AN912" s="20">
        <v>-1.1000000000000001</v>
      </c>
      <c r="AO912" s="16"/>
      <c r="AP912" s="16"/>
      <c r="AQ912" s="16"/>
      <c r="AR912" s="16">
        <v>0</v>
      </c>
      <c r="AS912" s="16">
        <v>0</v>
      </c>
      <c r="AT912" s="16"/>
      <c r="AU912" s="16"/>
      <c r="AV912" s="16"/>
      <c r="AW912" s="16"/>
      <c r="AX912" s="16">
        <v>0</v>
      </c>
      <c r="AY912" s="16">
        <v>0</v>
      </c>
      <c r="AZ912" s="16">
        <v>0</v>
      </c>
      <c r="BA912" s="16">
        <v>1</v>
      </c>
    </row>
    <row r="913" spans="1:53" x14ac:dyDescent="0.2">
      <c r="A913" s="14"/>
      <c r="B913" s="14" t="str">
        <f t="shared" si="243"/>
        <v>Kopp et al. 2012</v>
      </c>
      <c r="C913" s="61">
        <f t="shared" si="244"/>
        <v>78</v>
      </c>
      <c r="D913" s="58">
        <v>2012</v>
      </c>
      <c r="E913" s="17"/>
      <c r="F913" s="58">
        <v>1</v>
      </c>
      <c r="G913" s="22">
        <v>2005</v>
      </c>
      <c r="H913" s="15">
        <f>LOOKUP(G913,CPI!A$69:A$100,CPI!O$69:O$100)</f>
        <v>1.1165181771633383</v>
      </c>
      <c r="I913" s="52">
        <v>2015</v>
      </c>
      <c r="J913" s="15">
        <f t="shared" si="245"/>
        <v>6.9444444444444441E-3</v>
      </c>
      <c r="K913" s="15"/>
      <c r="L913" s="62"/>
      <c r="M913" s="56">
        <f t="shared" si="242"/>
        <v>720.52639699607425</v>
      </c>
      <c r="N913" s="14">
        <f>63*(44/12)</f>
        <v>231</v>
      </c>
      <c r="O913" s="18">
        <f t="shared" si="241"/>
        <v>231</v>
      </c>
      <c r="P913" s="16">
        <v>0</v>
      </c>
      <c r="Q913" s="16">
        <v>0</v>
      </c>
      <c r="R913" s="16">
        <v>1</v>
      </c>
      <c r="S913" s="14"/>
      <c r="T913" s="56" t="str">
        <f t="shared" si="248"/>
        <v/>
      </c>
      <c r="U913" s="56">
        <f t="shared" si="246"/>
        <v>206.78372362769989</v>
      </c>
      <c r="V913" s="56">
        <f t="shared" si="247"/>
        <v>934.35608453997725</v>
      </c>
      <c r="W913" s="14"/>
      <c r="X913" s="3">
        <f>21*((44/12)*(44/12))</f>
        <v>282.33333333333331</v>
      </c>
      <c r="Y913" s="14"/>
      <c r="Z913" s="14"/>
      <c r="AA913" s="3">
        <f>48*((44/12)*(44/12))</f>
        <v>645.33333333333326</v>
      </c>
      <c r="AB913" s="14"/>
      <c r="AC913" s="14"/>
      <c r="AD913" s="3">
        <f>170*((44/12)*(44/12))</f>
        <v>2285.5555555555552</v>
      </c>
      <c r="AE913" s="14"/>
      <c r="AF913" s="16">
        <v>0</v>
      </c>
      <c r="AG913" s="16">
        <v>1</v>
      </c>
      <c r="AH913" s="16">
        <v>0</v>
      </c>
      <c r="AI913" s="16">
        <v>1</v>
      </c>
      <c r="AJ913" s="5">
        <v>0</v>
      </c>
      <c r="AK913" s="5">
        <v>1</v>
      </c>
      <c r="AL913" s="5">
        <v>0</v>
      </c>
      <c r="AM913" s="20">
        <v>3</v>
      </c>
      <c r="AN913" s="20">
        <v>-1.1000000000000001</v>
      </c>
      <c r="AO913" s="16"/>
      <c r="AP913" s="16"/>
      <c r="AQ913" s="16"/>
      <c r="AR913" s="16">
        <v>0</v>
      </c>
      <c r="AS913" s="16">
        <v>0</v>
      </c>
      <c r="AT913" s="16"/>
      <c r="AU913" s="16"/>
      <c r="AV913" s="16"/>
      <c r="AW913" s="16"/>
      <c r="AX913" s="16">
        <v>0</v>
      </c>
      <c r="AY913" s="16">
        <v>0</v>
      </c>
      <c r="AZ913" s="16">
        <v>0</v>
      </c>
      <c r="BA913" s="16">
        <v>1</v>
      </c>
    </row>
    <row r="914" spans="1:53" x14ac:dyDescent="0.2">
      <c r="A914" s="14"/>
      <c r="B914" s="14" t="str">
        <f t="shared" si="243"/>
        <v>Kopp et al. 2012</v>
      </c>
      <c r="C914" s="61">
        <f t="shared" si="244"/>
        <v>78</v>
      </c>
      <c r="D914" s="58">
        <v>2012</v>
      </c>
      <c r="E914" s="17"/>
      <c r="F914" s="58">
        <v>1</v>
      </c>
      <c r="G914" s="22">
        <v>2005</v>
      </c>
      <c r="H914" s="15">
        <f>LOOKUP(G914,CPI!A$69:A$100,CPI!O$69:O$100)</f>
        <v>1.1165181771633383</v>
      </c>
      <c r="I914" s="52">
        <v>2015</v>
      </c>
      <c r="J914" s="15">
        <f t="shared" si="245"/>
        <v>6.9444444444444441E-3</v>
      </c>
      <c r="K914" s="15"/>
      <c r="L914" s="62"/>
      <c r="M914" s="56">
        <f t="shared" si="242"/>
        <v>720.52639699607425</v>
      </c>
      <c r="N914" s="14">
        <f>97*(44/12)</f>
        <v>355.66666666666663</v>
      </c>
      <c r="O914" s="18">
        <f t="shared" si="241"/>
        <v>355.66666666666663</v>
      </c>
      <c r="P914" s="16">
        <v>0</v>
      </c>
      <c r="Q914" s="16">
        <v>0</v>
      </c>
      <c r="R914" s="16">
        <v>1</v>
      </c>
      <c r="S914" s="14"/>
      <c r="T914" s="56" t="str">
        <f t="shared" si="248"/>
        <v/>
      </c>
      <c r="U914" s="56">
        <f t="shared" si="246"/>
        <v>206.78372362769989</v>
      </c>
      <c r="V914" s="56">
        <f t="shared" si="247"/>
        <v>735.23101734293289</v>
      </c>
      <c r="W914" s="14"/>
      <c r="X914" s="3">
        <f>21*((44/12)*(44/12))</f>
        <v>282.33333333333331</v>
      </c>
      <c r="Y914" s="14"/>
      <c r="Z914" s="14"/>
      <c r="AA914" s="3">
        <f>48*((44/12)*(44/12))</f>
        <v>645.33333333333326</v>
      </c>
      <c r="AB914" s="14"/>
      <c r="AC914" s="14"/>
      <c r="AD914" s="3">
        <f>144*((44/12)*(44/12))</f>
        <v>1935.9999999999998</v>
      </c>
      <c r="AE914" s="14"/>
      <c r="AF914" s="16">
        <v>0</v>
      </c>
      <c r="AG914" s="16">
        <v>1</v>
      </c>
      <c r="AH914" s="16">
        <v>0</v>
      </c>
      <c r="AI914" s="16">
        <v>1</v>
      </c>
      <c r="AJ914" s="5">
        <v>0</v>
      </c>
      <c r="AK914" s="5">
        <v>1</v>
      </c>
      <c r="AL914" s="5">
        <v>0</v>
      </c>
      <c r="AM914" s="20">
        <v>3</v>
      </c>
      <c r="AN914" s="20">
        <v>-1.1000000000000001</v>
      </c>
      <c r="AO914" s="16"/>
      <c r="AP914" s="16"/>
      <c r="AQ914" s="16"/>
      <c r="AR914" s="16">
        <v>0</v>
      </c>
      <c r="AS914" s="16">
        <v>0</v>
      </c>
      <c r="AT914" s="16"/>
      <c r="AU914" s="16"/>
      <c r="AV914" s="16"/>
      <c r="AW914" s="16"/>
      <c r="AX914" s="16">
        <v>0</v>
      </c>
      <c r="AY914" s="16">
        <v>0</v>
      </c>
      <c r="AZ914" s="16">
        <v>0</v>
      </c>
      <c r="BA914" s="16">
        <v>1</v>
      </c>
    </row>
    <row r="915" spans="1:53" x14ac:dyDescent="0.2">
      <c r="A915" s="14"/>
      <c r="B915" s="14" t="str">
        <f t="shared" si="243"/>
        <v>Kopp et al. 2012</v>
      </c>
      <c r="C915" s="61">
        <f t="shared" si="244"/>
        <v>78</v>
      </c>
      <c r="D915" s="58">
        <v>2012</v>
      </c>
      <c r="E915" s="17"/>
      <c r="F915" s="58">
        <v>1</v>
      </c>
      <c r="G915" s="22">
        <v>2005</v>
      </c>
      <c r="H915" s="15">
        <f>LOOKUP(G915,CPI!A$69:A$100,CPI!O$69:O$100)</f>
        <v>1.1165181771633383</v>
      </c>
      <c r="I915" s="52">
        <v>2015</v>
      </c>
      <c r="J915" s="15">
        <f t="shared" si="245"/>
        <v>6.9444444444444441E-3</v>
      </c>
      <c r="K915" s="15"/>
      <c r="L915" s="62"/>
      <c r="M915" s="56">
        <f t="shared" si="242"/>
        <v>825.60316322466838</v>
      </c>
      <c r="N915" s="14">
        <f>105*(44/12)</f>
        <v>385</v>
      </c>
      <c r="O915" s="18">
        <f t="shared" si="241"/>
        <v>385</v>
      </c>
      <c r="P915" s="16">
        <v>0</v>
      </c>
      <c r="Q915" s="16">
        <v>0</v>
      </c>
      <c r="R915" s="16">
        <v>1</v>
      </c>
      <c r="S915" s="14"/>
      <c r="T915" s="56" t="str">
        <f t="shared" si="248"/>
        <v/>
      </c>
      <c r="U915" s="56">
        <f t="shared" si="246"/>
        <v>275.71163150359985</v>
      </c>
      <c r="V915" s="56">
        <f t="shared" si="247"/>
        <v>2404.818119225843</v>
      </c>
      <c r="W915" s="14"/>
      <c r="X915" s="3">
        <f>19*((44/12)*(44/12))</f>
        <v>255.4444444444444</v>
      </c>
      <c r="Y915" s="14"/>
      <c r="Z915" s="14"/>
      <c r="AA915" s="3">
        <f>55*((44/12)*(44/12))</f>
        <v>739.44444444444434</v>
      </c>
      <c r="AB915" s="14"/>
      <c r="AC915" s="14"/>
      <c r="AD915" s="3">
        <f>369*((44/12)*(44/12))</f>
        <v>4960.9999999999991</v>
      </c>
      <c r="AE915" s="14"/>
      <c r="AF915" s="16">
        <v>0</v>
      </c>
      <c r="AG915" s="16">
        <v>1</v>
      </c>
      <c r="AH915" s="16">
        <v>0</v>
      </c>
      <c r="AI915" s="16">
        <v>1</v>
      </c>
      <c r="AJ915" s="5">
        <v>0</v>
      </c>
      <c r="AK915" s="5">
        <v>1</v>
      </c>
      <c r="AL915" s="5">
        <v>0</v>
      </c>
      <c r="AM915" s="20">
        <v>3</v>
      </c>
      <c r="AN915" s="20">
        <v>-1.1000000000000001</v>
      </c>
      <c r="AO915" s="16"/>
      <c r="AP915" s="16"/>
      <c r="AQ915" s="16"/>
      <c r="AR915" s="16">
        <v>0</v>
      </c>
      <c r="AS915" s="16">
        <v>0</v>
      </c>
      <c r="AT915" s="16"/>
      <c r="AU915" s="16"/>
      <c r="AV915" s="16"/>
      <c r="AW915" s="16"/>
      <c r="AX915" s="16">
        <v>0</v>
      </c>
      <c r="AY915" s="16">
        <v>0</v>
      </c>
      <c r="AZ915" s="16">
        <v>0</v>
      </c>
      <c r="BA915" s="16">
        <v>1</v>
      </c>
    </row>
    <row r="916" spans="1:53" x14ac:dyDescent="0.2">
      <c r="A916" s="14"/>
      <c r="B916" s="14" t="str">
        <f t="shared" si="243"/>
        <v>Kopp et al. 2012</v>
      </c>
      <c r="C916" s="61">
        <f t="shared" si="244"/>
        <v>78</v>
      </c>
      <c r="D916" s="58">
        <v>2012</v>
      </c>
      <c r="E916" s="17"/>
      <c r="F916" s="58">
        <v>1</v>
      </c>
      <c r="G916" s="22">
        <v>2005</v>
      </c>
      <c r="H916" s="15">
        <f>LOOKUP(G916,CPI!A$69:A$100,CPI!O$69:O$100)</f>
        <v>1.1165181771633383</v>
      </c>
      <c r="I916" s="52">
        <v>2015</v>
      </c>
      <c r="J916" s="15">
        <f t="shared" si="245"/>
        <v>6.9444444444444441E-3</v>
      </c>
      <c r="K916" s="15"/>
      <c r="L916" s="62"/>
      <c r="M916" s="56">
        <f t="shared" si="242"/>
        <v>255.18643226944297</v>
      </c>
      <c r="N916" s="14">
        <f>68*(44/12)</f>
        <v>249.33333333333331</v>
      </c>
      <c r="O916" s="18">
        <f t="shared" si="241"/>
        <v>249.33333333333331</v>
      </c>
      <c r="P916" s="16">
        <v>0</v>
      </c>
      <c r="Q916" s="16">
        <v>0</v>
      </c>
      <c r="R916" s="16">
        <v>1</v>
      </c>
      <c r="S916" s="14"/>
      <c r="T916" s="56" t="str">
        <f t="shared" si="248"/>
        <v/>
      </c>
      <c r="U916" s="56">
        <f t="shared" si="246"/>
        <v>76.58656430655553</v>
      </c>
      <c r="V916" s="56">
        <f t="shared" si="247"/>
        <v>1998.9093284010987</v>
      </c>
      <c r="W916" s="14"/>
      <c r="X916" s="3">
        <f>7*((44/12)*(44/12))</f>
        <v>94.1111111111111</v>
      </c>
      <c r="Y916" s="14"/>
      <c r="Z916" s="14"/>
      <c r="AA916" s="3">
        <f>17*((44/12)*(44/12))</f>
        <v>228.55555555555554</v>
      </c>
      <c r="AB916" s="14"/>
      <c r="AC916" s="14"/>
      <c r="AD916" s="3">
        <f>278*((44/12)*(44/12))</f>
        <v>3737.5555555555552</v>
      </c>
      <c r="AE916" s="14"/>
      <c r="AF916" s="16">
        <v>0</v>
      </c>
      <c r="AG916" s="16">
        <v>1</v>
      </c>
      <c r="AH916" s="16">
        <v>0</v>
      </c>
      <c r="AI916" s="16">
        <v>1</v>
      </c>
      <c r="AJ916" s="5">
        <v>0</v>
      </c>
      <c r="AK916" s="5">
        <v>1</v>
      </c>
      <c r="AL916" s="5">
        <v>0</v>
      </c>
      <c r="AM916" s="20">
        <v>3</v>
      </c>
      <c r="AN916" s="20">
        <v>-1.1000000000000001</v>
      </c>
      <c r="AO916" s="16"/>
      <c r="AP916" s="16"/>
      <c r="AQ916" s="16"/>
      <c r="AR916" s="16">
        <v>0</v>
      </c>
      <c r="AS916" s="16">
        <v>0</v>
      </c>
      <c r="AT916" s="16"/>
      <c r="AU916" s="16"/>
      <c r="AV916" s="16"/>
      <c r="AW916" s="16"/>
      <c r="AX916" s="16">
        <v>0</v>
      </c>
      <c r="AY916" s="16">
        <v>0</v>
      </c>
      <c r="AZ916" s="16">
        <v>0</v>
      </c>
      <c r="BA916" s="16">
        <v>1</v>
      </c>
    </row>
    <row r="917" spans="1:53" x14ac:dyDescent="0.2">
      <c r="A917" s="14"/>
      <c r="B917" s="14" t="str">
        <f t="shared" si="243"/>
        <v>Kopp et al. 2012</v>
      </c>
      <c r="C917" s="61">
        <f t="shared" si="244"/>
        <v>78</v>
      </c>
      <c r="D917" s="58">
        <v>2012</v>
      </c>
      <c r="E917" s="17"/>
      <c r="F917" s="58">
        <v>1</v>
      </c>
      <c r="G917" s="22">
        <v>2005</v>
      </c>
      <c r="H917" s="15">
        <f>LOOKUP(G917,CPI!A$69:A$100,CPI!O$69:O$100)</f>
        <v>1.1165181771633383</v>
      </c>
      <c r="I917" s="52">
        <v>2015</v>
      </c>
      <c r="J917" s="15">
        <f t="shared" si="245"/>
        <v>6.9444444444444441E-3</v>
      </c>
      <c r="K917" s="15"/>
      <c r="L917" s="62"/>
      <c r="M917" s="56">
        <f t="shared" si="242"/>
        <v>165.12063264493366</v>
      </c>
      <c r="N917" s="14">
        <f>60*(44/12)</f>
        <v>220</v>
      </c>
      <c r="O917" s="18">
        <f t="shared" si="241"/>
        <v>220</v>
      </c>
      <c r="P917" s="16">
        <v>0</v>
      </c>
      <c r="Q917" s="16">
        <v>0</v>
      </c>
      <c r="R917" s="16">
        <v>1</v>
      </c>
      <c r="S917" s="14"/>
      <c r="T917" s="56" t="str">
        <f t="shared" si="248"/>
        <v/>
      </c>
      <c r="U917" s="56">
        <f t="shared" si="246"/>
        <v>45.951938583933298</v>
      </c>
      <c r="V917" s="56">
        <f t="shared" si="247"/>
        <v>2014.2266412624101</v>
      </c>
      <c r="W917" s="14"/>
      <c r="X917" s="3">
        <f>5*((44/12)*(44/12))</f>
        <v>67.222222222222214</v>
      </c>
      <c r="Y917" s="14"/>
      <c r="Z917" s="14"/>
      <c r="AA917" s="3">
        <f>11*((44/12)*(44/12))</f>
        <v>147.88888888888886</v>
      </c>
      <c r="AB917" s="14"/>
      <c r="AC917" s="14"/>
      <c r="AD917" s="3">
        <f>274*((44/12)*(44/12))</f>
        <v>3683.7777777777774</v>
      </c>
      <c r="AE917" s="14"/>
      <c r="AF917" s="16">
        <v>0</v>
      </c>
      <c r="AG917" s="16">
        <v>1</v>
      </c>
      <c r="AH917" s="16">
        <v>0</v>
      </c>
      <c r="AI917" s="16">
        <v>1</v>
      </c>
      <c r="AJ917" s="5">
        <v>0</v>
      </c>
      <c r="AK917" s="5">
        <v>1</v>
      </c>
      <c r="AL917" s="5">
        <v>0</v>
      </c>
      <c r="AM917" s="20">
        <v>3</v>
      </c>
      <c r="AN917" s="20">
        <v>-1.1000000000000001</v>
      </c>
      <c r="AO917" s="16"/>
      <c r="AP917" s="16"/>
      <c r="AQ917" s="16"/>
      <c r="AR917" s="16">
        <v>0</v>
      </c>
      <c r="AS917" s="16">
        <v>0</v>
      </c>
      <c r="AT917" s="16"/>
      <c r="AU917" s="16"/>
      <c r="AV917" s="16"/>
      <c r="AW917" s="16"/>
      <c r="AX917" s="16">
        <v>0</v>
      </c>
      <c r="AY917" s="16">
        <v>0</v>
      </c>
      <c r="AZ917" s="16">
        <v>0</v>
      </c>
      <c r="BA917" s="16">
        <v>1</v>
      </c>
    </row>
    <row r="918" spans="1:53" x14ac:dyDescent="0.2">
      <c r="A918" s="14"/>
      <c r="B918" s="14" t="str">
        <f t="shared" si="243"/>
        <v>Kopp et al. 2012</v>
      </c>
      <c r="C918" s="61">
        <f t="shared" si="244"/>
        <v>78</v>
      </c>
      <c r="D918" s="58">
        <v>2012</v>
      </c>
      <c r="E918" s="17"/>
      <c r="F918" s="58">
        <v>1</v>
      </c>
      <c r="G918" s="22">
        <v>2005</v>
      </c>
      <c r="H918" s="15">
        <f>LOOKUP(G918,CPI!A$69:A$100,CPI!O$69:O$100)</f>
        <v>1.1165181771633383</v>
      </c>
      <c r="I918" s="52">
        <v>2015</v>
      </c>
      <c r="J918" s="15">
        <f t="shared" si="245"/>
        <v>6.9444444444444441E-3</v>
      </c>
      <c r="K918" s="15"/>
      <c r="L918" s="62"/>
      <c r="M918" s="56">
        <f t="shared" si="242"/>
        <v>390.28513170620693</v>
      </c>
      <c r="N918" s="14">
        <f>163*(44/12)</f>
        <v>597.66666666666663</v>
      </c>
      <c r="O918" s="18">
        <f t="shared" si="241"/>
        <v>597.66666666666663</v>
      </c>
      <c r="P918" s="16">
        <v>0</v>
      </c>
      <c r="Q918" s="16">
        <v>0</v>
      </c>
      <c r="R918" s="16">
        <v>1</v>
      </c>
      <c r="S918" s="14"/>
      <c r="T918" s="56" t="str">
        <f t="shared" si="248"/>
        <v/>
      </c>
      <c r="U918" s="56">
        <f t="shared" si="246"/>
        <v>114.87984645983329</v>
      </c>
      <c r="V918" s="56">
        <f t="shared" si="247"/>
        <v>3637.8618045613871</v>
      </c>
      <c r="W918" s="14"/>
      <c r="X918" s="3">
        <f>11*((44/12)*(44/12))</f>
        <v>147.88888888888886</v>
      </c>
      <c r="Y918" s="14"/>
      <c r="Z918" s="14"/>
      <c r="AA918" s="3">
        <f>26*((44/12)*(44/12))</f>
        <v>349.55555555555554</v>
      </c>
      <c r="AB918" s="14"/>
      <c r="AC918" s="14"/>
      <c r="AD918" s="3">
        <f>501*((44/12)*(44/12))</f>
        <v>6735.6666666666661</v>
      </c>
      <c r="AE918" s="14"/>
      <c r="AF918" s="16">
        <v>0</v>
      </c>
      <c r="AG918" s="16">
        <v>1</v>
      </c>
      <c r="AH918" s="16">
        <v>0</v>
      </c>
      <c r="AI918" s="16">
        <v>1</v>
      </c>
      <c r="AJ918" s="5">
        <v>0</v>
      </c>
      <c r="AK918" s="5">
        <v>1</v>
      </c>
      <c r="AL918" s="5">
        <v>0</v>
      </c>
      <c r="AM918" s="20">
        <v>3</v>
      </c>
      <c r="AN918" s="20">
        <v>-1.1000000000000001</v>
      </c>
      <c r="AO918" s="16"/>
      <c r="AP918" s="16"/>
      <c r="AQ918" s="16"/>
      <c r="AR918" s="16">
        <v>0</v>
      </c>
      <c r="AS918" s="16">
        <v>0</v>
      </c>
      <c r="AT918" s="16"/>
      <c r="AU918" s="16"/>
      <c r="AV918" s="16"/>
      <c r="AW918" s="16"/>
      <c r="AX918" s="16">
        <v>0</v>
      </c>
      <c r="AY918" s="16">
        <v>0</v>
      </c>
      <c r="AZ918" s="16">
        <v>0</v>
      </c>
      <c r="BA918" s="16">
        <v>1</v>
      </c>
    </row>
    <row r="919" spans="1:53" x14ac:dyDescent="0.2">
      <c r="A919" s="14"/>
      <c r="B919" s="14" t="str">
        <f t="shared" si="243"/>
        <v>Kopp et al. 2012</v>
      </c>
      <c r="C919" s="61">
        <f t="shared" si="244"/>
        <v>78</v>
      </c>
      <c r="D919" s="58">
        <v>2012</v>
      </c>
      <c r="E919" s="17"/>
      <c r="F919" s="58">
        <v>1</v>
      </c>
      <c r="G919" s="22">
        <v>2005</v>
      </c>
      <c r="H919" s="15">
        <f>LOOKUP(G919,CPI!A$69:A$100,CPI!O$69:O$100)</f>
        <v>1.1165181771633383</v>
      </c>
      <c r="I919" s="52">
        <v>2015</v>
      </c>
      <c r="J919" s="15">
        <f t="shared" si="245"/>
        <v>6.9444444444444441E-3</v>
      </c>
      <c r="K919" s="15"/>
      <c r="L919" s="62"/>
      <c r="M919" s="56">
        <f t="shared" si="242"/>
        <v>390.28513170620693</v>
      </c>
      <c r="N919" s="14">
        <f>163*(44/12)</f>
        <v>597.66666666666663</v>
      </c>
      <c r="O919" s="18">
        <f t="shared" si="241"/>
        <v>597.66666666666663</v>
      </c>
      <c r="P919" s="16">
        <v>0</v>
      </c>
      <c r="Q919" s="16">
        <v>0</v>
      </c>
      <c r="R919" s="16">
        <v>1</v>
      </c>
      <c r="S919" s="14"/>
      <c r="T919" s="56" t="str">
        <f t="shared" si="248"/>
        <v/>
      </c>
      <c r="U919" s="56">
        <f t="shared" si="246"/>
        <v>114.87984645983329</v>
      </c>
      <c r="V919" s="56">
        <f t="shared" si="247"/>
        <v>3637.8618045613871</v>
      </c>
      <c r="W919" s="14"/>
      <c r="X919" s="3">
        <f>11*((44/12)*(44/12))</f>
        <v>147.88888888888886</v>
      </c>
      <c r="Y919" s="14"/>
      <c r="Z919" s="14"/>
      <c r="AA919" s="3">
        <f>26*((44/12)*(44/12))</f>
        <v>349.55555555555554</v>
      </c>
      <c r="AB919" s="14"/>
      <c r="AC919" s="14"/>
      <c r="AD919" s="3">
        <f>501*((44/12)*(44/12))</f>
        <v>6735.6666666666661</v>
      </c>
      <c r="AE919" s="14"/>
      <c r="AF919" s="16">
        <v>0</v>
      </c>
      <c r="AG919" s="16">
        <v>1</v>
      </c>
      <c r="AH919" s="16">
        <v>0</v>
      </c>
      <c r="AI919" s="16">
        <v>1</v>
      </c>
      <c r="AJ919" s="5">
        <v>0</v>
      </c>
      <c r="AK919" s="5">
        <v>1</v>
      </c>
      <c r="AL919" s="5">
        <v>0</v>
      </c>
      <c r="AM919" s="20">
        <v>3</v>
      </c>
      <c r="AN919" s="20">
        <v>-1.1000000000000001</v>
      </c>
      <c r="AO919" s="16"/>
      <c r="AP919" s="16"/>
      <c r="AQ919" s="16"/>
      <c r="AR919" s="16">
        <v>0</v>
      </c>
      <c r="AS919" s="16">
        <v>0</v>
      </c>
      <c r="AT919" s="16"/>
      <c r="AU919" s="16"/>
      <c r="AV919" s="16"/>
      <c r="AW919" s="16"/>
      <c r="AX919" s="16">
        <v>0</v>
      </c>
      <c r="AY919" s="16">
        <v>0</v>
      </c>
      <c r="AZ919" s="16">
        <v>0</v>
      </c>
      <c r="BA919" s="16">
        <v>1</v>
      </c>
    </row>
    <row r="920" spans="1:53" x14ac:dyDescent="0.2">
      <c r="A920" s="14"/>
      <c r="B920" s="14" t="str">
        <f t="shared" si="243"/>
        <v>Kopp et al. 2012</v>
      </c>
      <c r="C920" s="61">
        <f t="shared" si="244"/>
        <v>78</v>
      </c>
      <c r="D920" s="58">
        <v>2012</v>
      </c>
      <c r="E920" s="17"/>
      <c r="F920" s="58">
        <v>1</v>
      </c>
      <c r="G920" s="22">
        <v>2005</v>
      </c>
      <c r="H920" s="15">
        <f>LOOKUP(G920,CPI!A$69:A$100,CPI!O$69:O$100)</f>
        <v>1.1165181771633383</v>
      </c>
      <c r="I920" s="52">
        <v>2015</v>
      </c>
      <c r="J920" s="15">
        <f t="shared" si="245"/>
        <v>6.9444444444444441E-3</v>
      </c>
      <c r="K920" s="15"/>
      <c r="L920" s="62"/>
      <c r="M920" s="56">
        <f t="shared" si="242"/>
        <v>150.10966604084879</v>
      </c>
      <c r="N920" s="14">
        <f>434*(44/12)</f>
        <v>1591.3333333333333</v>
      </c>
      <c r="O920" s="18">
        <f t="shared" si="241"/>
        <v>1591.3333333333333</v>
      </c>
      <c r="P920" s="16">
        <v>0</v>
      </c>
      <c r="Q920" s="16">
        <v>0</v>
      </c>
      <c r="R920" s="16">
        <v>1</v>
      </c>
      <c r="S920" s="14"/>
      <c r="T920" s="56" t="str">
        <f t="shared" si="248"/>
        <v/>
      </c>
      <c r="U920" s="56">
        <f t="shared" si="246"/>
        <v>61.269251445244407</v>
      </c>
      <c r="V920" s="56">
        <f t="shared" si="247"/>
        <v>4143.3331289846528</v>
      </c>
      <c r="W920" s="14"/>
      <c r="X920" s="3">
        <f>2*((44/12)*(44/12))</f>
        <v>26.888888888888886</v>
      </c>
      <c r="Y920" s="14"/>
      <c r="Z920" s="14"/>
      <c r="AA920" s="3">
        <f>10*((44/12)*(44/12))</f>
        <v>134.44444444444443</v>
      </c>
      <c r="AB920" s="14"/>
      <c r="AC920" s="14"/>
      <c r="AD920" s="3">
        <f>551*((44/12)*(44/12))</f>
        <v>7407.8888888888878</v>
      </c>
      <c r="AE920" s="14"/>
      <c r="AF920" s="16">
        <v>0</v>
      </c>
      <c r="AG920" s="16">
        <v>1</v>
      </c>
      <c r="AH920" s="16">
        <v>0</v>
      </c>
      <c r="AI920" s="16">
        <v>1</v>
      </c>
      <c r="AJ920" s="5">
        <v>0</v>
      </c>
      <c r="AK920" s="5">
        <v>1</v>
      </c>
      <c r="AL920" s="5">
        <v>0</v>
      </c>
      <c r="AM920" s="20">
        <v>3</v>
      </c>
      <c r="AN920" s="20">
        <v>-1.1000000000000001</v>
      </c>
      <c r="AO920" s="16"/>
      <c r="AP920" s="16"/>
      <c r="AQ920" s="16"/>
      <c r="AR920" s="16">
        <v>0</v>
      </c>
      <c r="AS920" s="16">
        <v>0</v>
      </c>
      <c r="AT920" s="16"/>
      <c r="AU920" s="16"/>
      <c r="AV920" s="16"/>
      <c r="AW920" s="16"/>
      <c r="AX920" s="16">
        <v>0</v>
      </c>
      <c r="AY920" s="16">
        <v>0</v>
      </c>
      <c r="AZ920" s="16">
        <v>0</v>
      </c>
      <c r="BA920" s="16">
        <v>1</v>
      </c>
    </row>
    <row r="921" spans="1:53" x14ac:dyDescent="0.2">
      <c r="A921" s="14"/>
      <c r="B921" s="14" t="str">
        <f t="shared" si="243"/>
        <v>Kopp et al. 2012</v>
      </c>
      <c r="C921" s="61">
        <f t="shared" si="244"/>
        <v>78</v>
      </c>
      <c r="D921" s="58">
        <v>2012</v>
      </c>
      <c r="E921" s="17"/>
      <c r="F921" s="58">
        <v>1</v>
      </c>
      <c r="G921" s="22">
        <v>2005</v>
      </c>
      <c r="H921" s="15">
        <f>LOOKUP(G921,CPI!A$69:A$100,CPI!O$69:O$100)</f>
        <v>1.1165181771633383</v>
      </c>
      <c r="I921" s="52">
        <v>2015</v>
      </c>
      <c r="J921" s="15">
        <f t="shared" si="245"/>
        <v>6.9444444444444441E-3</v>
      </c>
      <c r="K921" s="15"/>
      <c r="L921" s="62"/>
      <c r="M921" s="56">
        <f t="shared" si="242"/>
        <v>105.07676622859417</v>
      </c>
      <c r="N921" s="14">
        <f>689*(44/12)</f>
        <v>2526.333333333333</v>
      </c>
      <c r="O921" s="18">
        <f t="shared" si="241"/>
        <v>2526.333333333333</v>
      </c>
      <c r="P921" s="16">
        <v>0</v>
      </c>
      <c r="Q921" s="16">
        <v>0</v>
      </c>
      <c r="R921" s="16">
        <v>1</v>
      </c>
      <c r="S921" s="14"/>
      <c r="T921" s="56" t="str">
        <f t="shared" si="248"/>
        <v/>
      </c>
      <c r="U921" s="56">
        <f t="shared" si="246"/>
        <v>45.951938583933305</v>
      </c>
      <c r="V921" s="56">
        <f t="shared" si="247"/>
        <v>3691.4723995759755</v>
      </c>
      <c r="W921" s="14"/>
      <c r="X921" s="3">
        <f>1*((44/12)*(44/12))</f>
        <v>13.444444444444443</v>
      </c>
      <c r="Y921" s="14"/>
      <c r="Z921" s="14"/>
      <c r="AA921" s="3">
        <f>7*((44/12)*(44/12))</f>
        <v>94.1111111111111</v>
      </c>
      <c r="AB921" s="14"/>
      <c r="AC921" s="14"/>
      <c r="AD921" s="3">
        <f>489*((44/12)*(44/12))</f>
        <v>6574.3333333333321</v>
      </c>
      <c r="AE921" s="14"/>
      <c r="AF921" s="16">
        <v>0</v>
      </c>
      <c r="AG921" s="16">
        <v>1</v>
      </c>
      <c r="AH921" s="16">
        <v>0</v>
      </c>
      <c r="AI921" s="16">
        <v>1</v>
      </c>
      <c r="AJ921" s="5">
        <v>0</v>
      </c>
      <c r="AK921" s="5">
        <v>1</v>
      </c>
      <c r="AL921" s="5">
        <v>0</v>
      </c>
      <c r="AM921" s="20">
        <v>3</v>
      </c>
      <c r="AN921" s="20">
        <v>-1.1000000000000001</v>
      </c>
      <c r="AO921" s="16"/>
      <c r="AP921" s="16"/>
      <c r="AQ921" s="16"/>
      <c r="AR921" s="16">
        <v>0</v>
      </c>
      <c r="AS921" s="16">
        <v>0</v>
      </c>
      <c r="AT921" s="16"/>
      <c r="AU921" s="16"/>
      <c r="AV921" s="16"/>
      <c r="AW921" s="16"/>
      <c r="AX921" s="16">
        <v>0</v>
      </c>
      <c r="AY921" s="16">
        <v>0</v>
      </c>
      <c r="AZ921" s="16">
        <v>0</v>
      </c>
      <c r="BA921" s="16">
        <v>1</v>
      </c>
    </row>
    <row r="922" spans="1:53" x14ac:dyDescent="0.2">
      <c r="A922" s="14"/>
      <c r="B922" s="14" t="str">
        <f t="shared" si="243"/>
        <v>Kopp et al. 2012</v>
      </c>
      <c r="C922" s="61">
        <f t="shared" si="244"/>
        <v>78</v>
      </c>
      <c r="D922" s="58">
        <v>2012</v>
      </c>
      <c r="E922" s="17"/>
      <c r="F922" s="58">
        <v>1</v>
      </c>
      <c r="G922" s="22">
        <v>2005</v>
      </c>
      <c r="H922" s="15">
        <f>LOOKUP(G922,CPI!A$69:A$100,CPI!O$69:O$100)</f>
        <v>1.1165181771633383</v>
      </c>
      <c r="I922" s="52">
        <v>2015</v>
      </c>
      <c r="J922" s="15">
        <f t="shared" si="245"/>
        <v>6.9444444444444441E-3</v>
      </c>
      <c r="K922" s="15"/>
      <c r="L922" s="62"/>
      <c r="M922" s="56">
        <f t="shared" si="242"/>
        <v>135.09869943676392</v>
      </c>
      <c r="N922" s="14">
        <f>506*(44/12)</f>
        <v>1855.3333333333333</v>
      </c>
      <c r="O922" s="18">
        <f t="shared" si="241"/>
        <v>1855.3333333333333</v>
      </c>
      <c r="P922" s="16">
        <v>0</v>
      </c>
      <c r="Q922" s="16">
        <v>0</v>
      </c>
      <c r="R922" s="16">
        <v>1</v>
      </c>
      <c r="S922" s="14"/>
      <c r="T922" s="56" t="str">
        <f t="shared" si="248"/>
        <v/>
      </c>
      <c r="U922" s="56">
        <f t="shared" si="246"/>
        <v>53.61059501458886</v>
      </c>
      <c r="V922" s="56">
        <f t="shared" si="247"/>
        <v>4855.58817703562</v>
      </c>
      <c r="W922" s="14"/>
      <c r="X922" s="3">
        <f>2*((44/12)*(44/12))</f>
        <v>26.888888888888886</v>
      </c>
      <c r="Y922" s="14"/>
      <c r="Z922" s="14"/>
      <c r="AA922" s="3">
        <f>9*((44/12)*(44/12))</f>
        <v>120.99999999999999</v>
      </c>
      <c r="AB922" s="14"/>
      <c r="AC922" s="14"/>
      <c r="AD922" s="3">
        <f>643*((44/12)*(44/12))</f>
        <v>8644.7777777777774</v>
      </c>
      <c r="AE922" s="14"/>
      <c r="AF922" s="16">
        <v>0</v>
      </c>
      <c r="AG922" s="16">
        <v>1</v>
      </c>
      <c r="AH922" s="16">
        <v>0</v>
      </c>
      <c r="AI922" s="16">
        <v>1</v>
      </c>
      <c r="AJ922" s="5">
        <v>0</v>
      </c>
      <c r="AK922" s="5">
        <v>1</v>
      </c>
      <c r="AL922" s="5">
        <v>0</v>
      </c>
      <c r="AM922" s="20">
        <v>3</v>
      </c>
      <c r="AN922" s="20">
        <v>-1.1000000000000001</v>
      </c>
      <c r="AO922" s="16"/>
      <c r="AP922" s="16"/>
      <c r="AQ922" s="16"/>
      <c r="AR922" s="16">
        <v>0</v>
      </c>
      <c r="AS922" s="16">
        <v>0</v>
      </c>
      <c r="AT922" s="16"/>
      <c r="AU922" s="16"/>
      <c r="AV922" s="16"/>
      <c r="AW922" s="16"/>
      <c r="AX922" s="16">
        <v>0</v>
      </c>
      <c r="AY922" s="16">
        <v>0</v>
      </c>
      <c r="AZ922" s="16">
        <v>0</v>
      </c>
      <c r="BA922" s="16">
        <v>1</v>
      </c>
    </row>
    <row r="923" spans="1:53" x14ac:dyDescent="0.2">
      <c r="A923" s="14"/>
      <c r="B923" s="14" t="str">
        <f t="shared" si="243"/>
        <v>Kopp et al. 2012</v>
      </c>
      <c r="C923" s="61">
        <f t="shared" si="244"/>
        <v>78</v>
      </c>
      <c r="D923" s="58">
        <v>2012</v>
      </c>
      <c r="E923" s="17"/>
      <c r="F923" s="58">
        <v>1</v>
      </c>
      <c r="G923" s="22">
        <v>2005</v>
      </c>
      <c r="H923" s="15">
        <f>LOOKUP(G923,CPI!A$69:A$100,CPI!O$69:O$100)</f>
        <v>1.1165181771633383</v>
      </c>
      <c r="I923" s="52">
        <v>2015</v>
      </c>
      <c r="J923" s="15">
        <f t="shared" si="245"/>
        <v>6.9444444444444441E-3</v>
      </c>
      <c r="K923" s="15"/>
      <c r="L923" s="62"/>
      <c r="M923" s="56">
        <f t="shared" si="242"/>
        <v>180.13159924901856</v>
      </c>
      <c r="N923" s="14">
        <f>556*(44/12)</f>
        <v>2038.6666666666665</v>
      </c>
      <c r="O923" s="18">
        <f t="shared" si="241"/>
        <v>2038.6666666666665</v>
      </c>
      <c r="P923" s="16">
        <v>0</v>
      </c>
      <c r="Q923" s="16">
        <v>0</v>
      </c>
      <c r="R923" s="16">
        <v>1</v>
      </c>
      <c r="S923" s="14"/>
      <c r="T923" s="56" t="str">
        <f t="shared" si="248"/>
        <v/>
      </c>
      <c r="U923" s="56">
        <f t="shared" si="246"/>
        <v>76.586564306555516</v>
      </c>
      <c r="V923" s="56">
        <f t="shared" si="247"/>
        <v>5705.6990408383863</v>
      </c>
      <c r="W923" s="14"/>
      <c r="X923" s="3">
        <f>2*((44/12)*(44/12))</f>
        <v>26.888888888888886</v>
      </c>
      <c r="Y923" s="14"/>
      <c r="Z923" s="14"/>
      <c r="AA923" s="3">
        <f>12*((44/12)*(44/12))</f>
        <v>161.33333333333331</v>
      </c>
      <c r="AB923" s="14"/>
      <c r="AC923" s="14"/>
      <c r="AD923" s="3">
        <f>757*((44/12)*(44/12))</f>
        <v>10177.444444444443</v>
      </c>
      <c r="AE923" s="14"/>
      <c r="AF923" s="16">
        <v>0</v>
      </c>
      <c r="AG923" s="16">
        <v>1</v>
      </c>
      <c r="AH923" s="16">
        <v>0</v>
      </c>
      <c r="AI923" s="16">
        <v>1</v>
      </c>
      <c r="AJ923" s="5">
        <v>0</v>
      </c>
      <c r="AK923" s="5">
        <v>1</v>
      </c>
      <c r="AL923" s="5">
        <v>0</v>
      </c>
      <c r="AM923" s="20">
        <v>3</v>
      </c>
      <c r="AN923" s="20">
        <v>-1.1000000000000001</v>
      </c>
      <c r="AO923" s="16"/>
      <c r="AP923" s="16"/>
      <c r="AQ923" s="16"/>
      <c r="AR923" s="16">
        <v>0</v>
      </c>
      <c r="AS923" s="16">
        <v>0</v>
      </c>
      <c r="AT923" s="16"/>
      <c r="AU923" s="16"/>
      <c r="AV923" s="16"/>
      <c r="AW923" s="16"/>
      <c r="AX923" s="16">
        <v>0</v>
      </c>
      <c r="AY923" s="16">
        <v>0</v>
      </c>
      <c r="AZ923" s="16">
        <v>0</v>
      </c>
      <c r="BA923" s="16">
        <v>1</v>
      </c>
    </row>
    <row r="924" spans="1:53" x14ac:dyDescent="0.2">
      <c r="A924" s="14" t="s">
        <v>58</v>
      </c>
      <c r="B924" s="14" t="str">
        <f t="shared" si="243"/>
        <v>Marten &amp; Newbold 2012</v>
      </c>
      <c r="C924" s="61">
        <f t="shared" si="244"/>
        <v>79</v>
      </c>
      <c r="D924" s="58">
        <v>2012</v>
      </c>
      <c r="E924" s="17" t="s">
        <v>119</v>
      </c>
      <c r="F924" s="58">
        <v>1</v>
      </c>
      <c r="G924" s="22">
        <v>2007</v>
      </c>
      <c r="H924" s="15">
        <f>LOOKUP(G924,CPI!A$69:A$100,CPI!O$69:O$100)</f>
        <v>1.0516730811895323</v>
      </c>
      <c r="I924" s="16">
        <v>2010</v>
      </c>
      <c r="J924" s="15">
        <f t="shared" ref="J924:J929" si="249">1/45</f>
        <v>2.2222222222222223E-2</v>
      </c>
      <c r="K924" s="15"/>
      <c r="L924" s="62"/>
      <c r="M924" s="56">
        <f t="shared" si="242"/>
        <v>42.24893301780444</v>
      </c>
      <c r="N924" s="18">
        <f t="shared" ref="N924" si="250">O924</f>
        <v>34.466666666666669</v>
      </c>
      <c r="O924" s="3">
        <f>9.4*(44/12)</f>
        <v>34.466666666666669</v>
      </c>
      <c r="P924" s="16">
        <v>1</v>
      </c>
      <c r="Q924" s="16">
        <v>0</v>
      </c>
      <c r="R924" s="16">
        <v>0</v>
      </c>
      <c r="S924" s="14"/>
      <c r="T924" s="56" t="str">
        <f t="shared" si="248"/>
        <v/>
      </c>
      <c r="U924" s="56" t="str">
        <f t="shared" ref="U924:U929" si="251">+V924</f>
        <v/>
      </c>
      <c r="V924" s="56" t="str">
        <f t="shared" ref="V924:V929" si="252">+T924</f>
        <v/>
      </c>
      <c r="W924" s="14"/>
      <c r="X924" s="14"/>
      <c r="Y924" s="14"/>
      <c r="Z924" s="14"/>
      <c r="AA924" s="18">
        <f t="shared" ref="AA924:AA929" si="253">N924</f>
        <v>34.466666666666669</v>
      </c>
      <c r="AB924" s="14"/>
      <c r="AC924" s="14"/>
      <c r="AD924" s="14"/>
      <c r="AE924" s="14"/>
      <c r="AF924" s="16">
        <v>0</v>
      </c>
      <c r="AG924" s="16">
        <v>1</v>
      </c>
      <c r="AH924" s="16">
        <v>0</v>
      </c>
      <c r="AI924" s="16">
        <v>1</v>
      </c>
      <c r="AJ924" s="5">
        <v>0</v>
      </c>
      <c r="AK924" s="5">
        <v>1</v>
      </c>
      <c r="AL924" s="5">
        <v>0</v>
      </c>
      <c r="AM924" s="20">
        <v>2.5</v>
      </c>
      <c r="AN924" s="20" t="s">
        <v>25</v>
      </c>
      <c r="AO924" s="16"/>
      <c r="AP924" s="16"/>
      <c r="AQ924" s="16"/>
      <c r="AR924" s="16">
        <v>0</v>
      </c>
      <c r="AS924" s="16">
        <v>0</v>
      </c>
      <c r="AT924" s="16"/>
      <c r="AU924" s="16"/>
      <c r="AV924" s="16"/>
      <c r="AW924" s="16"/>
      <c r="AX924" s="16">
        <v>0</v>
      </c>
      <c r="AY924" s="16">
        <v>0</v>
      </c>
      <c r="AZ924" s="16">
        <v>0</v>
      </c>
      <c r="BA924" s="16">
        <v>0</v>
      </c>
    </row>
    <row r="925" spans="1:53" x14ac:dyDescent="0.2">
      <c r="A925" s="14"/>
      <c r="B925" s="14" t="str">
        <f t="shared" si="243"/>
        <v>Marten &amp; Newbold 2012</v>
      </c>
      <c r="C925" s="61">
        <f t="shared" si="244"/>
        <v>79</v>
      </c>
      <c r="D925" s="58">
        <v>2012</v>
      </c>
      <c r="E925" s="17"/>
      <c r="F925" s="58">
        <v>1</v>
      </c>
      <c r="G925" s="22">
        <v>2007</v>
      </c>
      <c r="H925" s="15">
        <f>LOOKUP(G925,CPI!A$69:A$100,CPI!O$69:O$100)</f>
        <v>1.0516730811895323</v>
      </c>
      <c r="I925" s="52">
        <v>2015</v>
      </c>
      <c r="J925" s="15">
        <f t="shared" si="249"/>
        <v>2.2222222222222223E-2</v>
      </c>
      <c r="K925" s="15"/>
      <c r="L925" s="62"/>
      <c r="M925" s="56">
        <f t="shared" si="242"/>
        <v>42.417480941311133</v>
      </c>
      <c r="N925" s="18">
        <f t="shared" ref="N925:N927" si="254">O925</f>
        <v>40.333333333333329</v>
      </c>
      <c r="O925" s="3">
        <f>11*(44/12)</f>
        <v>40.333333333333329</v>
      </c>
      <c r="P925" s="16">
        <v>1</v>
      </c>
      <c r="Q925" s="16">
        <v>0</v>
      </c>
      <c r="R925" s="16">
        <v>0</v>
      </c>
      <c r="S925" s="14"/>
      <c r="T925" s="56" t="str">
        <f t="shared" si="248"/>
        <v/>
      </c>
      <c r="U925" s="56" t="str">
        <f t="shared" si="251"/>
        <v/>
      </c>
      <c r="V925" s="56" t="str">
        <f t="shared" si="252"/>
        <v/>
      </c>
      <c r="W925" s="14"/>
      <c r="X925" s="14"/>
      <c r="Y925" s="14"/>
      <c r="Z925" s="14"/>
      <c r="AA925" s="18">
        <f t="shared" si="253"/>
        <v>40.333333333333329</v>
      </c>
      <c r="AB925" s="14"/>
      <c r="AC925" s="14"/>
      <c r="AD925" s="14"/>
      <c r="AE925" s="14"/>
      <c r="AF925" s="16">
        <v>0</v>
      </c>
      <c r="AG925" s="16">
        <v>1</v>
      </c>
      <c r="AH925" s="16">
        <v>0</v>
      </c>
      <c r="AI925" s="16">
        <v>1</v>
      </c>
      <c r="AJ925" s="5">
        <v>0</v>
      </c>
      <c r="AK925" s="5">
        <v>1</v>
      </c>
      <c r="AL925" s="5">
        <v>0</v>
      </c>
      <c r="AM925" s="20">
        <v>2.5</v>
      </c>
      <c r="AN925" s="20" t="s">
        <v>25</v>
      </c>
      <c r="AO925" s="16"/>
      <c r="AP925" s="16"/>
      <c r="AQ925" s="16"/>
      <c r="AR925" s="16">
        <v>0</v>
      </c>
      <c r="AS925" s="16">
        <v>0</v>
      </c>
      <c r="AT925" s="16"/>
      <c r="AU925" s="16"/>
      <c r="AV925" s="16"/>
      <c r="AW925" s="16"/>
      <c r="AX925" s="16">
        <v>0</v>
      </c>
      <c r="AY925" s="16">
        <v>0</v>
      </c>
      <c r="AZ925" s="16">
        <v>0</v>
      </c>
      <c r="BA925" s="16">
        <v>0</v>
      </c>
    </row>
    <row r="926" spans="1:53" x14ac:dyDescent="0.2">
      <c r="A926" s="14"/>
      <c r="B926" s="14" t="str">
        <f t="shared" si="243"/>
        <v>Marten &amp; Newbold 2012</v>
      </c>
      <c r="C926" s="61">
        <f t="shared" si="244"/>
        <v>79</v>
      </c>
      <c r="D926" s="58">
        <v>2012</v>
      </c>
      <c r="E926" s="17"/>
      <c r="F926" s="58">
        <v>1</v>
      </c>
      <c r="G926" s="22">
        <v>2007</v>
      </c>
      <c r="H926" s="15">
        <f>LOOKUP(G926,CPI!A$69:A$100,CPI!O$69:O$100)</f>
        <v>1.0516730811895323</v>
      </c>
      <c r="I926" s="16">
        <v>2010</v>
      </c>
      <c r="J926" s="15">
        <f t="shared" si="249"/>
        <v>2.2222222222222223E-2</v>
      </c>
      <c r="K926" s="15"/>
      <c r="L926" s="62"/>
      <c r="M926" s="56">
        <f t="shared" si="242"/>
        <v>148.3207222965475</v>
      </c>
      <c r="N926" s="18">
        <f t="shared" si="254"/>
        <v>121</v>
      </c>
      <c r="O926" s="3">
        <f>33*(44/12)</f>
        <v>121</v>
      </c>
      <c r="P926" s="16">
        <v>1</v>
      </c>
      <c r="Q926" s="16">
        <v>0</v>
      </c>
      <c r="R926" s="16">
        <v>0</v>
      </c>
      <c r="S926" s="14"/>
      <c r="T926" s="56" t="str">
        <f t="shared" si="248"/>
        <v/>
      </c>
      <c r="W926" s="14"/>
      <c r="X926" s="14"/>
      <c r="Y926" s="14"/>
      <c r="Z926" s="14"/>
      <c r="AA926" s="18">
        <f t="shared" si="253"/>
        <v>121</v>
      </c>
      <c r="AB926" s="14"/>
      <c r="AC926" s="14"/>
      <c r="AD926" s="3">
        <v>271.33333333333331</v>
      </c>
      <c r="AE926" s="14"/>
      <c r="AF926" s="16">
        <v>0</v>
      </c>
      <c r="AG926" s="16">
        <v>1</v>
      </c>
      <c r="AH926" s="16">
        <v>0</v>
      </c>
      <c r="AI926" s="16">
        <v>1</v>
      </c>
      <c r="AJ926" s="5">
        <v>0</v>
      </c>
      <c r="AK926" s="5">
        <v>1</v>
      </c>
      <c r="AL926" s="5">
        <v>0</v>
      </c>
      <c r="AM926" s="20">
        <v>3</v>
      </c>
      <c r="AN926" s="20" t="s">
        <v>25</v>
      </c>
      <c r="AO926" s="16"/>
      <c r="AP926" s="16"/>
      <c r="AQ926" s="16"/>
      <c r="AR926" s="16">
        <v>0</v>
      </c>
      <c r="AS926" s="16">
        <v>0</v>
      </c>
      <c r="AT926" s="16"/>
      <c r="AU926" s="16"/>
      <c r="AV926" s="16"/>
      <c r="AW926" s="16"/>
      <c r="AX926" s="16">
        <v>0</v>
      </c>
      <c r="AY926" s="16">
        <v>0</v>
      </c>
      <c r="AZ926" s="16">
        <v>0</v>
      </c>
      <c r="BA926" s="16">
        <v>0</v>
      </c>
    </row>
    <row r="927" spans="1:53" x14ac:dyDescent="0.2">
      <c r="A927" s="14"/>
      <c r="B927" s="14" t="str">
        <f t="shared" si="243"/>
        <v>Marten &amp; Newbold 2012</v>
      </c>
      <c r="C927" s="61">
        <f t="shared" si="244"/>
        <v>79</v>
      </c>
      <c r="D927" s="58">
        <v>2012</v>
      </c>
      <c r="E927" s="17"/>
      <c r="F927" s="58">
        <v>1</v>
      </c>
      <c r="G927" s="22">
        <v>2007</v>
      </c>
      <c r="H927" s="15">
        <f>LOOKUP(G927,CPI!A$69:A$100,CPI!O$69:O$100)</f>
        <v>1.0516730811895323</v>
      </c>
      <c r="I927" s="52">
        <v>2015</v>
      </c>
      <c r="J927" s="15">
        <f t="shared" si="249"/>
        <v>2.2222222222222223E-2</v>
      </c>
      <c r="K927" s="15"/>
      <c r="L927" s="62"/>
      <c r="M927" s="56">
        <f t="shared" si="242"/>
        <v>142.67698134804652</v>
      </c>
      <c r="N927" s="18">
        <f t="shared" si="254"/>
        <v>135.66666666666666</v>
      </c>
      <c r="O927" s="3">
        <f>37*(44/12)</f>
        <v>135.66666666666666</v>
      </c>
      <c r="P927" s="16">
        <v>1</v>
      </c>
      <c r="Q927" s="16">
        <v>0</v>
      </c>
      <c r="R927" s="16">
        <v>0</v>
      </c>
      <c r="S927" s="14"/>
      <c r="T927" s="56" t="str">
        <f t="shared" si="248"/>
        <v/>
      </c>
      <c r="U927" s="56">
        <f>+V927</f>
        <v>90.501118891480161</v>
      </c>
      <c r="V927" s="56">
        <f t="shared" ref="V927" si="255">+(AD927-AA927)/1.96*H927*(1+$L$2)^(2015-I927)</f>
        <v>90.501118891480161</v>
      </c>
      <c r="W927" s="14"/>
      <c r="X927" s="14"/>
      <c r="Y927" s="14"/>
      <c r="Z927" s="14"/>
      <c r="AA927" s="18">
        <f t="shared" si="253"/>
        <v>135.66666666666666</v>
      </c>
      <c r="AB927" s="14"/>
      <c r="AC927" s="14"/>
      <c r="AD927" s="3">
        <v>304.33333333333331</v>
      </c>
      <c r="AE927" s="14"/>
      <c r="AF927" s="16">
        <v>0</v>
      </c>
      <c r="AG927" s="16">
        <v>1</v>
      </c>
      <c r="AH927" s="16">
        <v>0</v>
      </c>
      <c r="AI927" s="16">
        <v>1</v>
      </c>
      <c r="AJ927" s="5">
        <v>0</v>
      </c>
      <c r="AK927" s="5">
        <v>1</v>
      </c>
      <c r="AL927" s="5">
        <v>0</v>
      </c>
      <c r="AM927" s="20">
        <v>3</v>
      </c>
      <c r="AN927" s="20" t="s">
        <v>25</v>
      </c>
      <c r="AO927" s="16"/>
      <c r="AP927" s="16"/>
      <c r="AQ927" s="16"/>
      <c r="AR927" s="16">
        <v>0</v>
      </c>
      <c r="AS927" s="16">
        <v>0</v>
      </c>
      <c r="AT927" s="16"/>
      <c r="AU927" s="16"/>
      <c r="AV927" s="16"/>
      <c r="AW927" s="16"/>
      <c r="AX927" s="16">
        <v>0</v>
      </c>
      <c r="AY927" s="16">
        <v>0</v>
      </c>
      <c r="AZ927" s="16">
        <v>0</v>
      </c>
      <c r="BA927" s="16">
        <v>0</v>
      </c>
    </row>
    <row r="928" spans="1:53" x14ac:dyDescent="0.2">
      <c r="A928" s="14"/>
      <c r="B928" s="14" t="str">
        <f t="shared" si="243"/>
        <v>Marten &amp; Newbold 2012</v>
      </c>
      <c r="C928" s="61">
        <f t="shared" si="244"/>
        <v>79</v>
      </c>
      <c r="D928" s="58">
        <v>2012</v>
      </c>
      <c r="E928" s="17"/>
      <c r="F928" s="58">
        <v>1</v>
      </c>
      <c r="G928" s="22">
        <v>2007</v>
      </c>
      <c r="H928" s="15">
        <f>LOOKUP(G928,CPI!A$69:A$100,CPI!O$69:O$100)</f>
        <v>1.0516730811895323</v>
      </c>
      <c r="I928" s="16">
        <v>2010</v>
      </c>
      <c r="J928" s="15">
        <f t="shared" si="249"/>
        <v>2.2222222222222223E-2</v>
      </c>
      <c r="K928" s="15"/>
      <c r="L928" s="62"/>
      <c r="M928" s="56">
        <f t="shared" si="242"/>
        <v>233.71750180062031</v>
      </c>
      <c r="N928" s="18">
        <f t="shared" ref="N928:N929" si="256">O928</f>
        <v>190.66666666666666</v>
      </c>
      <c r="O928" s="3">
        <f>52*(44/12)</f>
        <v>190.66666666666666</v>
      </c>
      <c r="P928" s="16">
        <v>1</v>
      </c>
      <c r="Q928" s="16">
        <v>0</v>
      </c>
      <c r="R928" s="16">
        <v>0</v>
      </c>
      <c r="S928" s="14"/>
      <c r="T928" s="56" t="str">
        <f t="shared" si="248"/>
        <v/>
      </c>
      <c r="U928" s="56" t="str">
        <f t="shared" si="251"/>
        <v/>
      </c>
      <c r="V928" s="56" t="str">
        <f t="shared" si="252"/>
        <v/>
      </c>
      <c r="W928" s="14"/>
      <c r="X928" s="14"/>
      <c r="Y928" s="14"/>
      <c r="Z928" s="14"/>
      <c r="AA928" s="18">
        <f t="shared" si="253"/>
        <v>190.66666666666666</v>
      </c>
      <c r="AB928" s="14"/>
      <c r="AC928" s="14"/>
      <c r="AD928" s="14"/>
      <c r="AE928" s="14"/>
      <c r="AF928" s="16">
        <v>0</v>
      </c>
      <c r="AG928" s="16">
        <v>1</v>
      </c>
      <c r="AH928" s="16">
        <v>0</v>
      </c>
      <c r="AI928" s="16">
        <v>1</v>
      </c>
      <c r="AJ928" s="5">
        <v>0</v>
      </c>
      <c r="AK928" s="5">
        <v>1</v>
      </c>
      <c r="AL928" s="5">
        <v>0</v>
      </c>
      <c r="AM928" s="20">
        <v>5</v>
      </c>
      <c r="AN928" s="20" t="s">
        <v>25</v>
      </c>
      <c r="AO928" s="16"/>
      <c r="AP928" s="16"/>
      <c r="AQ928" s="16"/>
      <c r="AR928" s="16">
        <v>0</v>
      </c>
      <c r="AS928" s="16">
        <v>0</v>
      </c>
      <c r="AT928" s="16"/>
      <c r="AU928" s="16"/>
      <c r="AV928" s="16"/>
      <c r="AW928" s="16"/>
      <c r="AX928" s="16">
        <v>0</v>
      </c>
      <c r="AY928" s="16">
        <v>0</v>
      </c>
      <c r="AZ928" s="16">
        <v>0</v>
      </c>
      <c r="BA928" s="16">
        <v>0</v>
      </c>
    </row>
    <row r="929" spans="1:53" x14ac:dyDescent="0.2">
      <c r="A929" s="14"/>
      <c r="B929" s="14" t="str">
        <f t="shared" si="243"/>
        <v>Marten &amp; Newbold 2012</v>
      </c>
      <c r="C929" s="61">
        <f t="shared" si="244"/>
        <v>79</v>
      </c>
      <c r="D929" s="58">
        <v>2012</v>
      </c>
      <c r="E929" s="17"/>
      <c r="F929" s="58">
        <v>1</v>
      </c>
      <c r="G929" s="22">
        <v>2007</v>
      </c>
      <c r="H929" s="15">
        <f>LOOKUP(G929,CPI!A$69:A$100,CPI!O$69:O$100)</f>
        <v>1.0516730811895323</v>
      </c>
      <c r="I929" s="52">
        <v>2015</v>
      </c>
      <c r="J929" s="15">
        <f t="shared" si="249"/>
        <v>2.2222222222222223E-2</v>
      </c>
      <c r="K929" s="15"/>
      <c r="L929" s="62"/>
      <c r="M929" s="56">
        <f t="shared" si="242"/>
        <v>223.65580859964052</v>
      </c>
      <c r="N929" s="18">
        <f t="shared" si="256"/>
        <v>212.66666666666666</v>
      </c>
      <c r="O929" s="3">
        <f>58*(44/12)</f>
        <v>212.66666666666666</v>
      </c>
      <c r="P929" s="16">
        <v>1</v>
      </c>
      <c r="Q929" s="16">
        <v>0</v>
      </c>
      <c r="R929" s="16">
        <v>0</v>
      </c>
      <c r="S929" s="14"/>
      <c r="T929" s="56" t="str">
        <f t="shared" si="248"/>
        <v/>
      </c>
      <c r="U929" s="56" t="str">
        <f t="shared" si="251"/>
        <v/>
      </c>
      <c r="V929" s="56" t="str">
        <f t="shared" si="252"/>
        <v/>
      </c>
      <c r="W929" s="14"/>
      <c r="X929" s="14"/>
      <c r="Y929" s="14"/>
      <c r="Z929" s="14"/>
      <c r="AA929" s="18">
        <f t="shared" si="253"/>
        <v>212.66666666666666</v>
      </c>
      <c r="AB929" s="14"/>
      <c r="AC929" s="14"/>
      <c r="AD929" s="14"/>
      <c r="AE929" s="14"/>
      <c r="AF929" s="16">
        <v>0</v>
      </c>
      <c r="AG929" s="16">
        <v>1</v>
      </c>
      <c r="AH929" s="16">
        <v>0</v>
      </c>
      <c r="AI929" s="16">
        <v>1</v>
      </c>
      <c r="AJ929" s="5">
        <v>0</v>
      </c>
      <c r="AK929" s="5">
        <v>1</v>
      </c>
      <c r="AL929" s="5">
        <v>0</v>
      </c>
      <c r="AM929" s="20">
        <v>5</v>
      </c>
      <c r="AN929" s="20" t="s">
        <v>25</v>
      </c>
      <c r="AO929" s="16"/>
      <c r="AP929" s="16"/>
      <c r="AQ929" s="16"/>
      <c r="AR929" s="16">
        <v>0</v>
      </c>
      <c r="AS929" s="16">
        <v>0</v>
      </c>
      <c r="AT929" s="16"/>
      <c r="AU929" s="16"/>
      <c r="AV929" s="16"/>
      <c r="AW929" s="16"/>
      <c r="AX929" s="16">
        <v>0</v>
      </c>
      <c r="AY929" s="16">
        <v>0</v>
      </c>
      <c r="AZ929" s="16">
        <v>0</v>
      </c>
      <c r="BA929" s="16">
        <v>0</v>
      </c>
    </row>
    <row r="930" spans="1:53" x14ac:dyDescent="0.2">
      <c r="A930" s="14" t="s">
        <v>173</v>
      </c>
      <c r="B930" s="14" t="str">
        <f t="shared" si="243"/>
        <v>Perrisin Fabert et al. 2012</v>
      </c>
      <c r="C930" s="61">
        <f t="shared" si="244"/>
        <v>80</v>
      </c>
      <c r="D930" s="58">
        <v>2012</v>
      </c>
      <c r="E930" s="17" t="s">
        <v>118</v>
      </c>
      <c r="F930" s="58">
        <v>0</v>
      </c>
      <c r="G930" s="22">
        <v>2010</v>
      </c>
      <c r="H930" s="15">
        <f>LOOKUP(G930,CPI!A$69:A$100,CPI!O$69:O$100)</f>
        <v>1</v>
      </c>
      <c r="I930" s="52">
        <v>2020</v>
      </c>
      <c r="J930" s="15">
        <f t="shared" ref="J930:J946" si="257">1/9</f>
        <v>0.1111111111111111</v>
      </c>
      <c r="K930" s="44">
        <v>1</v>
      </c>
      <c r="L930" s="57">
        <f>(AA930/AA931)^(1/(I930-I931))-1</f>
        <v>2.2828022801296033E-2</v>
      </c>
      <c r="M930" s="56">
        <f t="shared" ref="M930" si="258">AA930*H930*(1+$L$2)^(2015-I930)</f>
        <v>51.277085325751017</v>
      </c>
      <c r="N930" s="18">
        <f>O930</f>
        <v>106.33333333333333</v>
      </c>
      <c r="O930" s="14">
        <f>29*44/12</f>
        <v>106.33333333333333</v>
      </c>
      <c r="P930" s="16">
        <v>0</v>
      </c>
      <c r="Q930" s="16">
        <v>0</v>
      </c>
      <c r="R930" s="16">
        <v>1</v>
      </c>
      <c r="S930" s="14"/>
      <c r="T930" s="56" t="str">
        <f t="shared" si="248"/>
        <v/>
      </c>
      <c r="U930" s="56">
        <f>+(AA930-Z930)/1.1505*H930*(1+$L$2)^(2015-I930)</f>
        <v>21.327684444525723</v>
      </c>
      <c r="V930" s="56">
        <f>+(AB930-AA930)/1.1505*H930*(1+$L$2)^(2015-I930)</f>
        <v>55.506665926137593</v>
      </c>
      <c r="W930" s="14"/>
      <c r="X930" s="14"/>
      <c r="Y930" s="14"/>
      <c r="Z930" s="3">
        <f>8.5*3.66666666666667</f>
        <v>31.166666666666696</v>
      </c>
      <c r="AA930" s="3">
        <f>16.3*44/12</f>
        <v>59.766666666666673</v>
      </c>
      <c r="AB930" s="3">
        <f>36.6*3.66666666666667</f>
        <v>134.20000000000013</v>
      </c>
      <c r="AC930" s="14"/>
      <c r="AD930" s="14"/>
      <c r="AE930" s="14"/>
      <c r="AF930" s="16">
        <v>0</v>
      </c>
      <c r="AG930" s="16">
        <v>1</v>
      </c>
      <c r="AH930" s="16">
        <v>0</v>
      </c>
      <c r="AI930" s="16">
        <v>1</v>
      </c>
      <c r="AJ930" s="5">
        <v>0</v>
      </c>
      <c r="AK930" s="5">
        <v>1</v>
      </c>
      <c r="AL930" s="5">
        <v>0</v>
      </c>
      <c r="AM930" s="20"/>
      <c r="AN930" s="20">
        <v>0</v>
      </c>
      <c r="AO930" s="16"/>
      <c r="AP930" s="16"/>
      <c r="AQ930" s="16"/>
      <c r="AR930" s="16">
        <v>0</v>
      </c>
      <c r="AS930" s="16">
        <v>0</v>
      </c>
      <c r="AT930" s="16"/>
      <c r="AU930" s="16"/>
      <c r="AV930" s="16"/>
      <c r="AW930" s="16"/>
      <c r="AX930" s="16">
        <v>0</v>
      </c>
      <c r="AY930" s="16">
        <v>0</v>
      </c>
      <c r="AZ930" s="16">
        <v>0</v>
      </c>
      <c r="BA930" s="16">
        <v>0</v>
      </c>
    </row>
    <row r="931" spans="1:53" s="36" customFormat="1" x14ac:dyDescent="0.2">
      <c r="A931" s="29"/>
      <c r="B931" s="14" t="str">
        <f t="shared" si="243"/>
        <v>Perrisin Fabert et al. 2012</v>
      </c>
      <c r="C931" s="61">
        <f t="shared" si="244"/>
        <v>80</v>
      </c>
      <c r="D931" s="58">
        <v>2012</v>
      </c>
      <c r="E931" s="17"/>
      <c r="F931" s="58">
        <v>0</v>
      </c>
      <c r="G931" s="22">
        <v>2010</v>
      </c>
      <c r="H931" s="15">
        <f>LOOKUP(G931,CPI!A$69:A$100,CPI!O$69:O$100)</f>
        <v>1</v>
      </c>
      <c r="I931" s="5">
        <v>2040</v>
      </c>
      <c r="J931" s="43">
        <v>0</v>
      </c>
      <c r="K931" s="43"/>
      <c r="L931" s="57"/>
      <c r="M931" s="56"/>
      <c r="N931" s="49">
        <f t="shared" ref="N931" si="259">O931</f>
        <v>157.66666666666666</v>
      </c>
      <c r="O931" s="41">
        <f>43*44/12</f>
        <v>157.66666666666666</v>
      </c>
      <c r="P931" s="16">
        <v>0</v>
      </c>
      <c r="Q931" s="16">
        <v>0</v>
      </c>
      <c r="R931" s="16">
        <v>1</v>
      </c>
      <c r="S931" s="42"/>
      <c r="T931" s="56" t="str">
        <f t="shared" si="248"/>
        <v/>
      </c>
      <c r="U931" s="56"/>
      <c r="V931" s="56"/>
      <c r="W931" s="42"/>
      <c r="X931" s="42"/>
      <c r="Y931" s="42"/>
      <c r="Z931" s="41">
        <f>11.5*3.66666666666667</f>
        <v>42.166666666666707</v>
      </c>
      <c r="AA931" s="41">
        <f>25.6*44/12</f>
        <v>93.866666666666674</v>
      </c>
      <c r="AB931" s="41">
        <f>55.8*3.66666666666667</f>
        <v>204.60000000000019</v>
      </c>
      <c r="AC931" s="42"/>
      <c r="AD931" s="42"/>
      <c r="AE931" s="42"/>
      <c r="AF931" s="16">
        <v>0</v>
      </c>
      <c r="AG931" s="16">
        <v>1</v>
      </c>
      <c r="AH931" s="16">
        <v>0</v>
      </c>
      <c r="AI931" s="16">
        <v>1</v>
      </c>
      <c r="AJ931" s="5">
        <v>0</v>
      </c>
      <c r="AK931" s="5">
        <v>1</v>
      </c>
      <c r="AL931" s="5">
        <v>0</v>
      </c>
      <c r="AM931" s="20"/>
      <c r="AN931" s="20">
        <v>0</v>
      </c>
      <c r="AO931" s="16"/>
      <c r="AP931" s="16"/>
      <c r="AQ931" s="16"/>
      <c r="AR931" s="16">
        <v>0</v>
      </c>
      <c r="AS931" s="16">
        <v>0</v>
      </c>
      <c r="AT931" s="16"/>
      <c r="AU931" s="16"/>
      <c r="AV931" s="16"/>
      <c r="AW931" s="16"/>
      <c r="AX931" s="16">
        <v>0</v>
      </c>
      <c r="AY931" s="16">
        <v>0</v>
      </c>
      <c r="AZ931" s="16">
        <v>0</v>
      </c>
      <c r="BA931" s="16">
        <v>0</v>
      </c>
    </row>
    <row r="932" spans="1:53" x14ac:dyDescent="0.2">
      <c r="A932" s="14" t="s">
        <v>0</v>
      </c>
      <c r="B932" s="14" t="str">
        <f t="shared" si="243"/>
        <v>Tol 2012</v>
      </c>
      <c r="C932" s="61">
        <f t="shared" si="244"/>
        <v>81</v>
      </c>
      <c r="D932" s="58">
        <v>2012</v>
      </c>
      <c r="E932" s="17" t="s">
        <v>138</v>
      </c>
      <c r="F932" s="58">
        <v>1</v>
      </c>
      <c r="G932" s="16">
        <f>G263</f>
        <v>1990</v>
      </c>
      <c r="H932" s="15">
        <f>LOOKUP(G932,CPI!A$69:A$100,CPI!O$69:O$100)</f>
        <v>1.6683703136954862</v>
      </c>
      <c r="I932" s="52">
        <v>2015</v>
      </c>
      <c r="J932" s="15">
        <f t="shared" si="257"/>
        <v>0.1111111111111111</v>
      </c>
      <c r="K932" s="44">
        <v>1</v>
      </c>
      <c r="L932" s="57">
        <f>(AA932/AA933)^(1/(I932-I933))-1</f>
        <v>2.8113826656066543E-2</v>
      </c>
      <c r="M932" s="56">
        <f>AA932*H932*(1+$L$2)^(2015-I932)</f>
        <v>48.3827390971691</v>
      </c>
      <c r="N932" s="18">
        <f t="shared" ref="N932" si="260">O932</f>
        <v>29</v>
      </c>
      <c r="O932" s="14">
        <v>29</v>
      </c>
      <c r="P932" s="16">
        <v>1</v>
      </c>
      <c r="Q932" s="16">
        <v>0</v>
      </c>
      <c r="R932" s="16">
        <v>0</v>
      </c>
      <c r="S932" s="14"/>
      <c r="T932" s="56" t="str">
        <f t="shared" si="248"/>
        <v/>
      </c>
      <c r="U932" s="56">
        <f t="shared" ref="U932" si="261">+(AA932-X932)/1.96*H932*(1+$L$2)^(2015-I932)</f>
        <v>23.833861624221232</v>
      </c>
      <c r="V932" s="56">
        <f t="shared" ref="V932" si="262">+(AD932-AA932)/1.96*H932*(1+$L$2)^(2015-I932)</f>
        <v>30.643536373998728</v>
      </c>
      <c r="W932" s="14"/>
      <c r="X932" s="14">
        <v>1</v>
      </c>
      <c r="Y932" s="14"/>
      <c r="Z932" s="14"/>
      <c r="AA932" s="18">
        <f t="shared" ref="AA932:AA946" si="263">N932</f>
        <v>29</v>
      </c>
      <c r="AB932" s="14"/>
      <c r="AC932" s="14"/>
      <c r="AD932" s="14">
        <v>65</v>
      </c>
      <c r="AE932" s="14"/>
      <c r="AF932" s="16">
        <v>1</v>
      </c>
      <c r="AG932" s="16">
        <v>1</v>
      </c>
      <c r="AH932" s="16">
        <v>0</v>
      </c>
      <c r="AI932" s="16">
        <v>1</v>
      </c>
      <c r="AJ932" s="5">
        <v>0</v>
      </c>
      <c r="AK932" s="5">
        <v>1</v>
      </c>
      <c r="AL932" s="5">
        <v>0</v>
      </c>
      <c r="AM932" s="20"/>
      <c r="AN932" s="20">
        <v>3</v>
      </c>
      <c r="AO932" s="16"/>
      <c r="AP932" s="16"/>
      <c r="AQ932" s="16"/>
      <c r="AR932" s="16">
        <v>0</v>
      </c>
      <c r="AS932" s="16">
        <v>0</v>
      </c>
      <c r="AT932" s="16"/>
      <c r="AU932" s="16"/>
      <c r="AV932" s="16"/>
      <c r="AW932" s="16"/>
      <c r="AX932" s="16">
        <v>0</v>
      </c>
      <c r="AY932" s="16">
        <v>0</v>
      </c>
      <c r="AZ932" s="16">
        <v>1</v>
      </c>
      <c r="BA932" s="16">
        <v>0</v>
      </c>
    </row>
    <row r="933" spans="1:53" s="36" customFormat="1" x14ac:dyDescent="0.2">
      <c r="A933" s="29"/>
      <c r="B933" s="14" t="str">
        <f t="shared" si="243"/>
        <v>Tol 2012</v>
      </c>
      <c r="C933" s="61">
        <f t="shared" si="244"/>
        <v>81</v>
      </c>
      <c r="D933" s="58">
        <v>2012</v>
      </c>
      <c r="E933" s="17"/>
      <c r="F933" s="58">
        <v>1</v>
      </c>
      <c r="G933" s="16">
        <f>G264</f>
        <v>1990</v>
      </c>
      <c r="H933" s="15">
        <f>LOOKUP(G933,CPI!A$69:A$100,CPI!O$69:O$100)</f>
        <v>1.6683703136954862</v>
      </c>
      <c r="I933" s="5">
        <v>2065</v>
      </c>
      <c r="J933" s="43">
        <v>0</v>
      </c>
      <c r="K933" s="43"/>
      <c r="L933" s="57"/>
      <c r="M933" s="56"/>
      <c r="N933" s="49">
        <f t="shared" ref="N933:N935" si="264">O933</f>
        <v>116</v>
      </c>
      <c r="O933" s="41">
        <v>116</v>
      </c>
      <c r="P933" s="16">
        <v>1</v>
      </c>
      <c r="Q933" s="16">
        <v>0</v>
      </c>
      <c r="R933" s="16">
        <v>0</v>
      </c>
      <c r="S933" s="42"/>
      <c r="T933" s="56" t="str">
        <f t="shared" si="248"/>
        <v/>
      </c>
      <c r="U933" s="56"/>
      <c r="V933" s="56"/>
      <c r="W933" s="42"/>
      <c r="X933" s="41">
        <v>-30</v>
      </c>
      <c r="Y933" s="42"/>
      <c r="Z933" s="42"/>
      <c r="AA933" s="37">
        <f t="shared" si="263"/>
        <v>116</v>
      </c>
      <c r="AB933" s="42"/>
      <c r="AC933" s="42"/>
      <c r="AD933" s="41">
        <v>279</v>
      </c>
      <c r="AE933" s="42"/>
      <c r="AF933" s="16">
        <v>1</v>
      </c>
      <c r="AG933" s="16">
        <v>1</v>
      </c>
      <c r="AH933" s="16">
        <v>0</v>
      </c>
      <c r="AI933" s="16">
        <v>1</v>
      </c>
      <c r="AJ933" s="5">
        <v>0</v>
      </c>
      <c r="AK933" s="5">
        <v>1</v>
      </c>
      <c r="AL933" s="5">
        <v>0</v>
      </c>
      <c r="AM933" s="20"/>
      <c r="AN933" s="20">
        <v>3</v>
      </c>
      <c r="AO933" s="16"/>
      <c r="AP933" s="16"/>
      <c r="AQ933" s="16"/>
      <c r="AR933" s="16">
        <v>0</v>
      </c>
      <c r="AS933" s="16">
        <v>0</v>
      </c>
      <c r="AT933" s="16"/>
      <c r="AU933" s="16"/>
      <c r="AV933" s="16"/>
      <c r="AW933" s="16"/>
      <c r="AX933" s="16">
        <v>0</v>
      </c>
      <c r="AY933" s="16">
        <v>0</v>
      </c>
      <c r="AZ933" s="16">
        <v>1</v>
      </c>
      <c r="BA933" s="16">
        <v>0</v>
      </c>
    </row>
    <row r="934" spans="1:53" s="36" customFormat="1" x14ac:dyDescent="0.2">
      <c r="A934" s="29"/>
      <c r="B934" s="14" t="str">
        <f t="shared" si="243"/>
        <v>Tol 2012</v>
      </c>
      <c r="C934" s="61">
        <f t="shared" si="244"/>
        <v>81</v>
      </c>
      <c r="D934" s="58">
        <v>2012</v>
      </c>
      <c r="E934" s="17"/>
      <c r="F934" s="58">
        <v>1</v>
      </c>
      <c r="G934" s="16">
        <f>G265</f>
        <v>1990</v>
      </c>
      <c r="H934" s="15">
        <f>LOOKUP(G934,CPI!A$69:A$100,CPI!O$69:O$100)</f>
        <v>1.6683703136954862</v>
      </c>
      <c r="I934" s="5">
        <v>2115</v>
      </c>
      <c r="J934" s="43">
        <v>0</v>
      </c>
      <c r="K934" s="43"/>
      <c r="L934" s="57"/>
      <c r="M934" s="56"/>
      <c r="N934" s="49">
        <f t="shared" si="264"/>
        <v>208</v>
      </c>
      <c r="O934" s="41">
        <v>208</v>
      </c>
      <c r="P934" s="16">
        <v>1</v>
      </c>
      <c r="Q934" s="16">
        <v>0</v>
      </c>
      <c r="R934" s="16">
        <v>0</v>
      </c>
      <c r="S934" s="42"/>
      <c r="T934" s="56" t="str">
        <f t="shared" si="248"/>
        <v/>
      </c>
      <c r="U934" s="56"/>
      <c r="V934" s="56"/>
      <c r="W934" s="42"/>
      <c r="X934" s="41">
        <v>-70</v>
      </c>
      <c r="Y934" s="42"/>
      <c r="Z934" s="42"/>
      <c r="AA934" s="37">
        <f t="shared" si="263"/>
        <v>208</v>
      </c>
      <c r="AB934" s="42"/>
      <c r="AC934" s="42"/>
      <c r="AD934" s="41">
        <v>483</v>
      </c>
      <c r="AE934" s="42"/>
      <c r="AF934" s="16">
        <v>1</v>
      </c>
      <c r="AG934" s="16">
        <v>1</v>
      </c>
      <c r="AH934" s="16">
        <v>0</v>
      </c>
      <c r="AI934" s="16">
        <v>1</v>
      </c>
      <c r="AJ934" s="5">
        <v>0</v>
      </c>
      <c r="AK934" s="5">
        <v>1</v>
      </c>
      <c r="AL934" s="5">
        <v>0</v>
      </c>
      <c r="AM934" s="20"/>
      <c r="AN934" s="20">
        <v>3</v>
      </c>
      <c r="AO934" s="16"/>
      <c r="AP934" s="16"/>
      <c r="AQ934" s="16"/>
      <c r="AR934" s="16">
        <v>0</v>
      </c>
      <c r="AS934" s="16">
        <v>0</v>
      </c>
      <c r="AT934" s="16"/>
      <c r="AU934" s="16"/>
      <c r="AV934" s="16"/>
      <c r="AW934" s="16"/>
      <c r="AX934" s="16">
        <v>0</v>
      </c>
      <c r="AY934" s="16">
        <v>0</v>
      </c>
      <c r="AZ934" s="16">
        <v>1</v>
      </c>
      <c r="BA934" s="16">
        <v>0</v>
      </c>
    </row>
    <row r="935" spans="1:53" s="36" customFormat="1" x14ac:dyDescent="0.2">
      <c r="A935" s="29"/>
      <c r="B935" s="14" t="str">
        <f t="shared" si="243"/>
        <v>Tol 2012</v>
      </c>
      <c r="C935" s="61">
        <f t="shared" si="244"/>
        <v>81</v>
      </c>
      <c r="D935" s="58">
        <v>2012</v>
      </c>
      <c r="E935" s="17"/>
      <c r="F935" s="58">
        <v>1</v>
      </c>
      <c r="G935" s="16">
        <f>G266</f>
        <v>1990</v>
      </c>
      <c r="H935" s="15">
        <f>LOOKUP(G935,CPI!A$69:A$100,CPI!O$69:O$100)</f>
        <v>1.6683703136954862</v>
      </c>
      <c r="I935" s="5">
        <v>2215</v>
      </c>
      <c r="J935" s="43">
        <v>0</v>
      </c>
      <c r="K935" s="43"/>
      <c r="L935" s="57"/>
      <c r="M935" s="56"/>
      <c r="N935" s="49">
        <f t="shared" si="264"/>
        <v>379</v>
      </c>
      <c r="O935" s="41">
        <v>379</v>
      </c>
      <c r="P935" s="16">
        <v>1</v>
      </c>
      <c r="Q935" s="16">
        <v>0</v>
      </c>
      <c r="R935" s="16">
        <v>0</v>
      </c>
      <c r="S935" s="42"/>
      <c r="T935" s="56" t="str">
        <f t="shared" si="248"/>
        <v/>
      </c>
      <c r="U935" s="56"/>
      <c r="V935" s="56"/>
      <c r="W935" s="42"/>
      <c r="X935" s="41">
        <v>-182</v>
      </c>
      <c r="Y935" s="42"/>
      <c r="Z935" s="42"/>
      <c r="AA935" s="37">
        <f t="shared" si="263"/>
        <v>379</v>
      </c>
      <c r="AB935" s="42"/>
      <c r="AC935" s="42"/>
      <c r="AD935" s="41">
        <v>802</v>
      </c>
      <c r="AE935" s="42"/>
      <c r="AF935" s="16">
        <v>1</v>
      </c>
      <c r="AG935" s="16">
        <v>1</v>
      </c>
      <c r="AH935" s="16">
        <v>0</v>
      </c>
      <c r="AI935" s="16">
        <v>1</v>
      </c>
      <c r="AJ935" s="5">
        <v>0</v>
      </c>
      <c r="AK935" s="5">
        <v>1</v>
      </c>
      <c r="AL935" s="5">
        <v>0</v>
      </c>
      <c r="AM935" s="20"/>
      <c r="AN935" s="20">
        <v>3</v>
      </c>
      <c r="AO935" s="16"/>
      <c r="AP935" s="16"/>
      <c r="AQ935" s="16"/>
      <c r="AR935" s="16">
        <v>0</v>
      </c>
      <c r="AS935" s="16">
        <v>0</v>
      </c>
      <c r="AT935" s="16"/>
      <c r="AU935" s="16"/>
      <c r="AV935" s="16"/>
      <c r="AW935" s="16"/>
      <c r="AX935" s="16">
        <v>0</v>
      </c>
      <c r="AY935" s="16">
        <v>0</v>
      </c>
      <c r="AZ935" s="16">
        <v>1</v>
      </c>
      <c r="BA935" s="16">
        <v>0</v>
      </c>
    </row>
    <row r="936" spans="1:53" x14ac:dyDescent="0.2">
      <c r="A936" s="3" t="s">
        <v>174</v>
      </c>
      <c r="B936" s="14" t="str">
        <f t="shared" si="243"/>
        <v>Anthoff &amp; Tol 2013</v>
      </c>
      <c r="C936" s="61">
        <f t="shared" si="244"/>
        <v>82</v>
      </c>
      <c r="D936" s="58">
        <v>2013</v>
      </c>
      <c r="E936" s="17" t="s">
        <v>193</v>
      </c>
      <c r="F936" s="58">
        <v>1</v>
      </c>
      <c r="G936" s="16">
        <v>1995</v>
      </c>
      <c r="H936" s="15">
        <f>LOOKUP(G936,CPI!A$69:A$100,CPI!O$69:O$100)</f>
        <v>1.4308136482939633</v>
      </c>
      <c r="I936" s="52">
        <v>2015</v>
      </c>
      <c r="J936" s="15">
        <f>1/9</f>
        <v>0.1111111111111111</v>
      </c>
      <c r="K936" s="15"/>
      <c r="L936" s="81"/>
      <c r="M936" s="56">
        <f t="shared" ref="M936:M946" si="265">AA936*H936*(1+$L$2)^(2015-I936)</f>
        <v>535.18153700787411</v>
      </c>
      <c r="N936" s="18">
        <f t="shared" ref="N936:N946" si="266">O936</f>
        <v>374.04</v>
      </c>
      <c r="O936" s="3">
        <v>374.04</v>
      </c>
      <c r="P936" s="16">
        <v>1</v>
      </c>
      <c r="Q936" s="16">
        <v>0</v>
      </c>
      <c r="R936" s="16">
        <v>0</v>
      </c>
      <c r="S936" s="3"/>
      <c r="T936" s="56" t="str">
        <f t="shared" ref="T936:T946" si="267">IF(OR(M936="",S936=""),"",S936*H936*(1+$L$2)^(2015-I936))</f>
        <v/>
      </c>
      <c r="U936" s="56" t="str">
        <f t="shared" ref="U936:U946" si="268">+V936</f>
        <v/>
      </c>
      <c r="V936" s="56" t="str">
        <f t="shared" ref="V936:V946" si="269">+T936</f>
        <v/>
      </c>
      <c r="W936" s="14"/>
      <c r="X936" s="14"/>
      <c r="Y936" s="14"/>
      <c r="Z936" s="14"/>
      <c r="AA936" s="18">
        <f t="shared" si="263"/>
        <v>374.04</v>
      </c>
      <c r="AB936" s="14"/>
      <c r="AC936" s="14"/>
      <c r="AD936" s="14"/>
      <c r="AE936" s="14"/>
      <c r="AF936" s="16">
        <v>0</v>
      </c>
      <c r="AG936" s="16">
        <v>1</v>
      </c>
      <c r="AH936" s="16">
        <v>1</v>
      </c>
      <c r="AI936" s="16">
        <v>1</v>
      </c>
      <c r="AJ936" s="5">
        <v>1</v>
      </c>
      <c r="AK936" s="5">
        <v>0</v>
      </c>
      <c r="AL936" s="5">
        <v>0</v>
      </c>
      <c r="AM936" s="20"/>
      <c r="AN936" s="13">
        <v>0.1</v>
      </c>
      <c r="AO936" s="3">
        <v>1</v>
      </c>
      <c r="AP936" s="5"/>
      <c r="AQ936" s="5"/>
      <c r="AR936" s="5">
        <v>0</v>
      </c>
      <c r="AS936" s="5">
        <v>1</v>
      </c>
      <c r="AT936" s="16"/>
      <c r="AU936" s="16"/>
      <c r="AV936" s="16"/>
      <c r="AW936" s="16"/>
      <c r="AX936" s="16">
        <v>0</v>
      </c>
      <c r="AY936" s="16">
        <v>0</v>
      </c>
      <c r="AZ936" s="16">
        <v>1</v>
      </c>
      <c r="BA936" s="16">
        <v>0</v>
      </c>
    </row>
    <row r="937" spans="1:53" x14ac:dyDescent="0.2">
      <c r="A937" s="3"/>
      <c r="B937" s="14" t="str">
        <f t="shared" si="243"/>
        <v>Anthoff &amp; Tol 2013</v>
      </c>
      <c r="C937" s="61">
        <f t="shared" si="244"/>
        <v>82</v>
      </c>
      <c r="D937" s="58">
        <v>2013</v>
      </c>
      <c r="E937" s="17"/>
      <c r="F937" s="58">
        <v>1</v>
      </c>
      <c r="G937" s="16">
        <v>1995</v>
      </c>
      <c r="H937" s="15">
        <f>LOOKUP(G937,CPI!A$69:A$100,CPI!O$69:O$100)</f>
        <v>1.4308136482939633</v>
      </c>
      <c r="I937" s="52">
        <v>2015</v>
      </c>
      <c r="J937" s="15">
        <f t="shared" si="257"/>
        <v>0.1111111111111111</v>
      </c>
      <c r="K937" s="15"/>
      <c r="L937" s="62"/>
      <c r="M937" s="56">
        <f t="shared" si="265"/>
        <v>209.68574015748032</v>
      </c>
      <c r="N937" s="18">
        <f t="shared" si="266"/>
        <v>146.55000000000001</v>
      </c>
      <c r="O937" s="3">
        <v>146.55000000000001</v>
      </c>
      <c r="P937" s="16">
        <v>1</v>
      </c>
      <c r="Q937" s="16">
        <v>0</v>
      </c>
      <c r="R937" s="16">
        <v>0</v>
      </c>
      <c r="S937" s="3"/>
      <c r="T937" s="56" t="str">
        <f t="shared" si="267"/>
        <v/>
      </c>
      <c r="U937" s="56" t="str">
        <f t="shared" si="268"/>
        <v/>
      </c>
      <c r="V937" s="56" t="str">
        <f t="shared" si="269"/>
        <v/>
      </c>
      <c r="W937" s="14"/>
      <c r="X937" s="14"/>
      <c r="Y937" s="14"/>
      <c r="Z937" s="14"/>
      <c r="AA937" s="18">
        <f t="shared" si="263"/>
        <v>146.55000000000001</v>
      </c>
      <c r="AB937" s="14"/>
      <c r="AC937" s="14"/>
      <c r="AD937" s="14"/>
      <c r="AE937" s="14"/>
      <c r="AF937" s="16">
        <v>0</v>
      </c>
      <c r="AG937" s="16">
        <v>1</v>
      </c>
      <c r="AH937" s="16">
        <v>1</v>
      </c>
      <c r="AI937" s="16">
        <v>1</v>
      </c>
      <c r="AJ937" s="5">
        <v>1</v>
      </c>
      <c r="AK937" s="5">
        <v>0</v>
      </c>
      <c r="AL937" s="5">
        <v>0</v>
      </c>
      <c r="AM937" s="20"/>
      <c r="AN937" s="13">
        <v>0.1</v>
      </c>
      <c r="AO937" s="3">
        <v>1.5</v>
      </c>
      <c r="AP937" s="5"/>
      <c r="AQ937" s="5"/>
      <c r="AR937" s="5">
        <v>0</v>
      </c>
      <c r="AS937" s="5">
        <v>1</v>
      </c>
      <c r="AT937" s="16"/>
      <c r="AU937" s="16"/>
      <c r="AV937" s="16"/>
      <c r="AW937" s="16"/>
      <c r="AX937" s="16">
        <v>0</v>
      </c>
      <c r="AY937" s="16">
        <v>0</v>
      </c>
      <c r="AZ937" s="16">
        <v>1</v>
      </c>
      <c r="BA937" s="16">
        <v>0</v>
      </c>
    </row>
    <row r="938" spans="1:53" x14ac:dyDescent="0.2">
      <c r="A938" s="3"/>
      <c r="B938" s="14" t="str">
        <f t="shared" si="243"/>
        <v>Anthoff &amp; Tol 2013</v>
      </c>
      <c r="C938" s="61">
        <f t="shared" si="244"/>
        <v>82</v>
      </c>
      <c r="D938" s="58">
        <v>2013</v>
      </c>
      <c r="E938" s="17"/>
      <c r="F938" s="58">
        <v>1</v>
      </c>
      <c r="G938" s="16">
        <v>1995</v>
      </c>
      <c r="H938" s="15">
        <f>LOOKUP(G938,CPI!A$69:A$100,CPI!O$69:O$100)</f>
        <v>1.4308136482939633</v>
      </c>
      <c r="I938" s="52">
        <v>2015</v>
      </c>
      <c r="J938" s="15">
        <f t="shared" si="257"/>
        <v>0.1111111111111111</v>
      </c>
      <c r="K938" s="15"/>
      <c r="L938" s="62"/>
      <c r="M938" s="56">
        <f t="shared" si="265"/>
        <v>88.810603149606308</v>
      </c>
      <c r="N938" s="18">
        <f t="shared" si="266"/>
        <v>62.07</v>
      </c>
      <c r="O938" s="3">
        <v>62.07</v>
      </c>
      <c r="P938" s="16">
        <v>1</v>
      </c>
      <c r="Q938" s="16">
        <v>0</v>
      </c>
      <c r="R938" s="16">
        <v>0</v>
      </c>
      <c r="S938" s="3"/>
      <c r="T938" s="56" t="str">
        <f t="shared" si="267"/>
        <v/>
      </c>
      <c r="U938" s="56" t="str">
        <f t="shared" si="268"/>
        <v/>
      </c>
      <c r="V938" s="56" t="str">
        <f t="shared" si="269"/>
        <v/>
      </c>
      <c r="W938" s="14"/>
      <c r="X938" s="14"/>
      <c r="Y938" s="14"/>
      <c r="Z938" s="14"/>
      <c r="AA938" s="18">
        <f t="shared" si="263"/>
        <v>62.07</v>
      </c>
      <c r="AB938" s="14"/>
      <c r="AC938" s="14"/>
      <c r="AD938" s="14"/>
      <c r="AE938" s="14"/>
      <c r="AF938" s="16">
        <v>0</v>
      </c>
      <c r="AG938" s="16">
        <v>1</v>
      </c>
      <c r="AH938" s="16">
        <v>1</v>
      </c>
      <c r="AI938" s="16">
        <v>1</v>
      </c>
      <c r="AJ938" s="5">
        <v>1</v>
      </c>
      <c r="AK938" s="5">
        <v>0</v>
      </c>
      <c r="AL938" s="5">
        <v>0</v>
      </c>
      <c r="AM938" s="20"/>
      <c r="AN938" s="13">
        <v>0.1</v>
      </c>
      <c r="AO938" s="3">
        <v>2</v>
      </c>
      <c r="AP938" s="5"/>
      <c r="AQ938" s="5"/>
      <c r="AR938" s="5">
        <v>0</v>
      </c>
      <c r="AS938" s="5">
        <v>1</v>
      </c>
      <c r="AT938" s="16"/>
      <c r="AU938" s="16"/>
      <c r="AV938" s="16"/>
      <c r="AW938" s="16"/>
      <c r="AX938" s="16">
        <v>0</v>
      </c>
      <c r="AY938" s="16">
        <v>0</v>
      </c>
      <c r="AZ938" s="16">
        <v>1</v>
      </c>
      <c r="BA938" s="16">
        <v>0</v>
      </c>
    </row>
    <row r="939" spans="1:53" x14ac:dyDescent="0.2">
      <c r="A939" s="3"/>
      <c r="B939" s="14" t="str">
        <f t="shared" si="243"/>
        <v>Anthoff &amp; Tol 2013</v>
      </c>
      <c r="C939" s="61">
        <f t="shared" si="244"/>
        <v>82</v>
      </c>
      <c r="D939" s="58">
        <v>2013</v>
      </c>
      <c r="E939" s="17"/>
      <c r="F939" s="58">
        <v>1</v>
      </c>
      <c r="G939" s="16">
        <v>1995</v>
      </c>
      <c r="H939" s="15">
        <f>LOOKUP(G939,CPI!A$69:A$100,CPI!O$69:O$100)</f>
        <v>1.4308136482939633</v>
      </c>
      <c r="I939" s="52">
        <v>2015</v>
      </c>
      <c r="J939" s="15">
        <f t="shared" si="257"/>
        <v>0.1111111111111111</v>
      </c>
      <c r="K939" s="15"/>
      <c r="L939" s="62"/>
      <c r="M939" s="56">
        <f t="shared" si="265"/>
        <v>147.60273595800524</v>
      </c>
      <c r="N939" s="18">
        <f t="shared" si="266"/>
        <v>103.16</v>
      </c>
      <c r="O939" s="3">
        <v>103.16</v>
      </c>
      <c r="P939" s="16">
        <v>1</v>
      </c>
      <c r="Q939" s="16">
        <v>0</v>
      </c>
      <c r="R939" s="16">
        <v>0</v>
      </c>
      <c r="S939" s="3"/>
      <c r="T939" s="56" t="str">
        <f t="shared" si="267"/>
        <v/>
      </c>
      <c r="U939" s="56" t="str">
        <f t="shared" si="268"/>
        <v/>
      </c>
      <c r="V939" s="56" t="str">
        <f t="shared" si="269"/>
        <v/>
      </c>
      <c r="W939" s="14"/>
      <c r="X939" s="14"/>
      <c r="Y939" s="14"/>
      <c r="Z939" s="14"/>
      <c r="AA939" s="18">
        <f t="shared" si="263"/>
        <v>103.16</v>
      </c>
      <c r="AB939" s="14"/>
      <c r="AC939" s="14"/>
      <c r="AD939" s="14"/>
      <c r="AE939" s="14"/>
      <c r="AF939" s="16">
        <v>0</v>
      </c>
      <c r="AG939" s="16">
        <v>1</v>
      </c>
      <c r="AH939" s="16">
        <v>1</v>
      </c>
      <c r="AI939" s="16">
        <v>1</v>
      </c>
      <c r="AJ939" s="5">
        <v>1</v>
      </c>
      <c r="AK939" s="5">
        <v>0</v>
      </c>
      <c r="AL939" s="5">
        <v>0</v>
      </c>
      <c r="AM939" s="20"/>
      <c r="AN939" s="13">
        <v>1</v>
      </c>
      <c r="AO939" s="3">
        <v>1</v>
      </c>
      <c r="AP939" s="5"/>
      <c r="AQ939" s="5"/>
      <c r="AR939" s="5">
        <v>0</v>
      </c>
      <c r="AS939" s="5">
        <v>1</v>
      </c>
      <c r="AT939" s="16"/>
      <c r="AU939" s="16"/>
      <c r="AV939" s="16"/>
      <c r="AW939" s="16"/>
      <c r="AX939" s="16">
        <v>0</v>
      </c>
      <c r="AY939" s="16">
        <v>0</v>
      </c>
      <c r="AZ939" s="16">
        <v>1</v>
      </c>
      <c r="BA939" s="16">
        <v>0</v>
      </c>
    </row>
    <row r="940" spans="1:53" x14ac:dyDescent="0.2">
      <c r="A940" s="3"/>
      <c r="B940" s="14" t="str">
        <f t="shared" si="243"/>
        <v>Anthoff &amp; Tol 2013</v>
      </c>
      <c r="C940" s="61">
        <f t="shared" si="244"/>
        <v>82</v>
      </c>
      <c r="D940" s="58">
        <v>2013</v>
      </c>
      <c r="E940" s="17"/>
      <c r="F940" s="58">
        <v>1</v>
      </c>
      <c r="G940" s="16">
        <v>1995</v>
      </c>
      <c r="H940" s="15">
        <f>LOOKUP(G940,CPI!A$69:A$100,CPI!O$69:O$100)</f>
        <v>1.4308136482939633</v>
      </c>
      <c r="I940" s="52">
        <v>2015</v>
      </c>
      <c r="J940" s="15">
        <f t="shared" si="257"/>
        <v>0.1111111111111111</v>
      </c>
      <c r="K940" s="15"/>
      <c r="L940" s="62"/>
      <c r="M940" s="56">
        <f t="shared" si="265"/>
        <v>64.558311811023614</v>
      </c>
      <c r="N940" s="18">
        <f t="shared" si="266"/>
        <v>45.12</v>
      </c>
      <c r="O940" s="3">
        <v>45.12</v>
      </c>
      <c r="P940" s="16">
        <v>1</v>
      </c>
      <c r="Q940" s="16">
        <v>0</v>
      </c>
      <c r="R940" s="16">
        <v>0</v>
      </c>
      <c r="S940" s="3"/>
      <c r="T940" s="56" t="str">
        <f t="shared" si="267"/>
        <v/>
      </c>
      <c r="U940" s="56" t="str">
        <f t="shared" si="268"/>
        <v/>
      </c>
      <c r="V940" s="56" t="str">
        <f t="shared" si="269"/>
        <v/>
      </c>
      <c r="W940" s="14"/>
      <c r="X940" s="14"/>
      <c r="Y940" s="14"/>
      <c r="Z940" s="14"/>
      <c r="AA940" s="18">
        <f t="shared" si="263"/>
        <v>45.12</v>
      </c>
      <c r="AB940" s="14"/>
      <c r="AC940" s="14"/>
      <c r="AD940" s="14"/>
      <c r="AE940" s="14"/>
      <c r="AF940" s="16">
        <v>0</v>
      </c>
      <c r="AG940" s="16">
        <v>1</v>
      </c>
      <c r="AH940" s="16">
        <v>1</v>
      </c>
      <c r="AI940" s="16">
        <v>1</v>
      </c>
      <c r="AJ940" s="5">
        <v>1</v>
      </c>
      <c r="AK940" s="5">
        <v>0</v>
      </c>
      <c r="AL940" s="5">
        <v>0</v>
      </c>
      <c r="AM940" s="20"/>
      <c r="AN940" s="13">
        <v>1</v>
      </c>
      <c r="AO940" s="3">
        <v>1.5</v>
      </c>
      <c r="AP940" s="5"/>
      <c r="AQ940" s="5"/>
      <c r="AR940" s="5">
        <v>0</v>
      </c>
      <c r="AS940" s="5">
        <v>1</v>
      </c>
      <c r="AT940" s="16"/>
      <c r="AU940" s="16"/>
      <c r="AV940" s="16"/>
      <c r="AW940" s="16"/>
      <c r="AX940" s="16">
        <v>0</v>
      </c>
      <c r="AY940" s="16">
        <v>0</v>
      </c>
      <c r="AZ940" s="16">
        <v>1</v>
      </c>
      <c r="BA940" s="16">
        <v>0</v>
      </c>
    </row>
    <row r="941" spans="1:53" x14ac:dyDescent="0.2">
      <c r="A941" s="3"/>
      <c r="B941" s="14" t="str">
        <f t="shared" si="243"/>
        <v>Anthoff &amp; Tol 2013</v>
      </c>
      <c r="C941" s="61">
        <f t="shared" si="244"/>
        <v>82</v>
      </c>
      <c r="D941" s="58">
        <v>2013</v>
      </c>
      <c r="E941" s="17"/>
      <c r="F941" s="58">
        <v>1</v>
      </c>
      <c r="G941" s="16">
        <v>1995</v>
      </c>
      <c r="H941" s="15">
        <f>LOOKUP(G941,CPI!A$69:A$100,CPI!O$69:O$100)</f>
        <v>1.4308136482939633</v>
      </c>
      <c r="I941" s="52">
        <v>2015</v>
      </c>
      <c r="J941" s="15">
        <f t="shared" si="257"/>
        <v>0.1111111111111111</v>
      </c>
      <c r="K941" s="15"/>
      <c r="L941" s="62"/>
      <c r="M941" s="56">
        <f t="shared" si="265"/>
        <v>73.543821522309713</v>
      </c>
      <c r="N941" s="18">
        <f t="shared" ref="N941:N942" si="270">O941</f>
        <v>51.4</v>
      </c>
      <c r="O941" s="3">
        <v>51.4</v>
      </c>
      <c r="P941" s="16">
        <v>1</v>
      </c>
      <c r="Q941" s="16">
        <v>0</v>
      </c>
      <c r="R941" s="16">
        <v>0</v>
      </c>
      <c r="S941" s="3"/>
      <c r="T941" s="56" t="str">
        <f t="shared" si="267"/>
        <v/>
      </c>
      <c r="U941" s="56" t="str">
        <f t="shared" si="268"/>
        <v/>
      </c>
      <c r="V941" s="56" t="str">
        <f t="shared" si="269"/>
        <v/>
      </c>
      <c r="W941" s="14"/>
      <c r="X941" s="14"/>
      <c r="Y941" s="14"/>
      <c r="Z941" s="14"/>
      <c r="AA941" s="18">
        <f t="shared" si="263"/>
        <v>51.4</v>
      </c>
      <c r="AB941" s="14"/>
      <c r="AC941" s="14"/>
      <c r="AD941" s="14"/>
      <c r="AE941" s="14"/>
      <c r="AF941" s="16">
        <v>0</v>
      </c>
      <c r="AG941" s="16">
        <v>1</v>
      </c>
      <c r="AH941" s="16">
        <v>1</v>
      </c>
      <c r="AI941" s="16">
        <v>1</v>
      </c>
      <c r="AJ941" s="5">
        <v>1</v>
      </c>
      <c r="AK941" s="5">
        <v>0</v>
      </c>
      <c r="AL941" s="5">
        <v>0</v>
      </c>
      <c r="AM941" s="20"/>
      <c r="AN941" s="13">
        <v>1</v>
      </c>
      <c r="AO941" s="3">
        <v>1.5</v>
      </c>
      <c r="AP941" s="5"/>
      <c r="AQ941" s="5"/>
      <c r="AR941" s="5">
        <v>0</v>
      </c>
      <c r="AS941" s="5">
        <v>1</v>
      </c>
      <c r="AT941" s="16"/>
      <c r="AU941" s="16"/>
      <c r="AV941" s="16"/>
      <c r="AW941" s="16"/>
      <c r="AX941" s="16">
        <v>0</v>
      </c>
      <c r="AY941" s="16">
        <v>0</v>
      </c>
      <c r="AZ941" s="16">
        <v>1</v>
      </c>
      <c r="BA941" s="16">
        <v>0</v>
      </c>
    </row>
    <row r="942" spans="1:53" x14ac:dyDescent="0.2">
      <c r="A942" s="3"/>
      <c r="B942" s="14" t="str">
        <f t="shared" si="243"/>
        <v>Anthoff &amp; Tol 2013</v>
      </c>
      <c r="C942" s="61">
        <f t="shared" si="244"/>
        <v>82</v>
      </c>
      <c r="D942" s="58">
        <v>2013</v>
      </c>
      <c r="E942" s="17"/>
      <c r="F942" s="58">
        <v>1</v>
      </c>
      <c r="G942" s="16">
        <v>1995</v>
      </c>
      <c r="H942" s="15">
        <f>LOOKUP(G942,CPI!A$69:A$100,CPI!O$69:O$100)</f>
        <v>1.4308136482939633</v>
      </c>
      <c r="I942" s="52">
        <v>2015</v>
      </c>
      <c r="J942" s="15">
        <f t="shared" si="257"/>
        <v>0.1111111111111111</v>
      </c>
      <c r="K942" s="15"/>
      <c r="L942" s="62"/>
      <c r="M942" s="56">
        <f t="shared" si="265"/>
        <v>470.63753333333335</v>
      </c>
      <c r="N942" s="18">
        <f t="shared" si="270"/>
        <v>328.93</v>
      </c>
      <c r="O942" s="3">
        <v>328.93</v>
      </c>
      <c r="P942" s="16">
        <v>1</v>
      </c>
      <c r="Q942" s="16">
        <v>0</v>
      </c>
      <c r="R942" s="16">
        <v>0</v>
      </c>
      <c r="S942" s="3"/>
      <c r="T942" s="56" t="str">
        <f t="shared" si="267"/>
        <v/>
      </c>
      <c r="U942" s="56" t="str">
        <f t="shared" si="268"/>
        <v/>
      </c>
      <c r="V942" s="56" t="str">
        <f t="shared" si="269"/>
        <v/>
      </c>
      <c r="W942" s="14"/>
      <c r="X942" s="14"/>
      <c r="Y942" s="14"/>
      <c r="Z942" s="14"/>
      <c r="AA942" s="18">
        <f t="shared" si="263"/>
        <v>328.93</v>
      </c>
      <c r="AB942" s="14"/>
      <c r="AC942" s="14"/>
      <c r="AD942" s="14"/>
      <c r="AE942" s="14"/>
      <c r="AF942" s="16">
        <v>0</v>
      </c>
      <c r="AG942" s="16">
        <v>1</v>
      </c>
      <c r="AH942" s="16">
        <v>1</v>
      </c>
      <c r="AI942" s="16">
        <v>1</v>
      </c>
      <c r="AJ942" s="5">
        <v>1</v>
      </c>
      <c r="AK942" s="5">
        <v>0</v>
      </c>
      <c r="AL942" s="5">
        <v>0</v>
      </c>
      <c r="AM942" s="20"/>
      <c r="AN942" s="13">
        <v>1</v>
      </c>
      <c r="AO942" s="3">
        <v>1.5</v>
      </c>
      <c r="AP942" s="5"/>
      <c r="AQ942" s="5"/>
      <c r="AR942" s="5">
        <v>1</v>
      </c>
      <c r="AS942" s="5">
        <v>1</v>
      </c>
      <c r="AT942" s="16"/>
      <c r="AU942" s="16"/>
      <c r="AV942" s="16"/>
      <c r="AW942" s="16"/>
      <c r="AX942" s="16">
        <v>0</v>
      </c>
      <c r="AY942" s="16">
        <v>0</v>
      </c>
      <c r="AZ942" s="16">
        <v>1</v>
      </c>
      <c r="BA942" s="16">
        <v>0</v>
      </c>
    </row>
    <row r="943" spans="1:53" x14ac:dyDescent="0.2">
      <c r="A943" s="3"/>
      <c r="B943" s="14" t="str">
        <f t="shared" si="243"/>
        <v>Anthoff &amp; Tol 2013</v>
      </c>
      <c r="C943" s="61">
        <f t="shared" si="244"/>
        <v>82</v>
      </c>
      <c r="D943" s="58">
        <v>2013</v>
      </c>
      <c r="E943" s="17"/>
      <c r="F943" s="58">
        <v>1</v>
      </c>
      <c r="G943" s="16">
        <v>1995</v>
      </c>
      <c r="H943" s="15">
        <f>LOOKUP(G943,CPI!A$69:A$100,CPI!O$69:O$100)</f>
        <v>1.4308136482939633</v>
      </c>
      <c r="I943" s="52">
        <v>2015</v>
      </c>
      <c r="J943" s="15">
        <f t="shared" si="257"/>
        <v>0.1111111111111111</v>
      </c>
      <c r="K943" s="15"/>
      <c r="L943" s="62"/>
      <c r="M943" s="56">
        <f t="shared" si="265"/>
        <v>28.988284514435698</v>
      </c>
      <c r="N943" s="18">
        <f t="shared" si="266"/>
        <v>20.260000000000002</v>
      </c>
      <c r="O943" s="3">
        <v>20.260000000000002</v>
      </c>
      <c r="P943" s="16">
        <v>1</v>
      </c>
      <c r="Q943" s="16">
        <v>0</v>
      </c>
      <c r="R943" s="16">
        <v>0</v>
      </c>
      <c r="S943" s="3"/>
      <c r="T943" s="56" t="str">
        <f t="shared" si="267"/>
        <v/>
      </c>
      <c r="U943" s="56" t="str">
        <f t="shared" si="268"/>
        <v/>
      </c>
      <c r="V943" s="56" t="str">
        <f t="shared" si="269"/>
        <v/>
      </c>
      <c r="W943" s="14"/>
      <c r="X943" s="14"/>
      <c r="Y943" s="14"/>
      <c r="Z943" s="14"/>
      <c r="AA943" s="18">
        <f t="shared" si="263"/>
        <v>20.260000000000002</v>
      </c>
      <c r="AB943" s="14"/>
      <c r="AC943" s="14"/>
      <c r="AD943" s="14"/>
      <c r="AE943" s="14"/>
      <c r="AF943" s="16">
        <v>0</v>
      </c>
      <c r="AG943" s="16">
        <v>1</v>
      </c>
      <c r="AH943" s="16">
        <v>1</v>
      </c>
      <c r="AI943" s="16">
        <v>1</v>
      </c>
      <c r="AJ943" s="5">
        <v>1</v>
      </c>
      <c r="AK943" s="5">
        <v>0</v>
      </c>
      <c r="AL943" s="5">
        <v>0</v>
      </c>
      <c r="AM943" s="20"/>
      <c r="AN943" s="13">
        <v>1</v>
      </c>
      <c r="AO943" s="3">
        <v>2</v>
      </c>
      <c r="AP943" s="5"/>
      <c r="AQ943" s="5"/>
      <c r="AR943" s="5">
        <v>0</v>
      </c>
      <c r="AS943" s="5">
        <v>1</v>
      </c>
      <c r="AT943" s="16"/>
      <c r="AU943" s="16"/>
      <c r="AV943" s="16"/>
      <c r="AW943" s="16"/>
      <c r="AX943" s="16">
        <v>0</v>
      </c>
      <c r="AY943" s="16">
        <v>0</v>
      </c>
      <c r="AZ943" s="16">
        <v>1</v>
      </c>
      <c r="BA943" s="16">
        <v>0</v>
      </c>
    </row>
    <row r="944" spans="1:53" x14ac:dyDescent="0.2">
      <c r="A944" s="3"/>
      <c r="B944" s="14" t="str">
        <f t="shared" si="243"/>
        <v>Anthoff &amp; Tol 2013</v>
      </c>
      <c r="C944" s="61">
        <f t="shared" si="244"/>
        <v>82</v>
      </c>
      <c r="D944" s="58">
        <v>2013</v>
      </c>
      <c r="E944" s="17"/>
      <c r="F944" s="58">
        <v>1</v>
      </c>
      <c r="G944" s="16">
        <v>1995</v>
      </c>
      <c r="H944" s="15">
        <f>LOOKUP(G944,CPI!A$69:A$100,CPI!O$69:O$100)</f>
        <v>1.4308136482939633</v>
      </c>
      <c r="I944" s="52">
        <v>2015</v>
      </c>
      <c r="J944" s="15">
        <f t="shared" si="257"/>
        <v>0.1111111111111111</v>
      </c>
      <c r="K944" s="15"/>
      <c r="L944" s="62"/>
      <c r="M944" s="56">
        <f t="shared" si="265"/>
        <v>14.336752755905511</v>
      </c>
      <c r="N944" s="18">
        <f t="shared" si="266"/>
        <v>10.02</v>
      </c>
      <c r="O944" s="3">
        <v>10.02</v>
      </c>
      <c r="P944" s="16">
        <v>1</v>
      </c>
      <c r="Q944" s="16">
        <v>0</v>
      </c>
      <c r="R944" s="16">
        <v>0</v>
      </c>
      <c r="S944" s="3"/>
      <c r="T944" s="56" t="str">
        <f t="shared" si="267"/>
        <v/>
      </c>
      <c r="U944" s="56" t="str">
        <f t="shared" si="268"/>
        <v/>
      </c>
      <c r="V944" s="56" t="str">
        <f t="shared" si="269"/>
        <v/>
      </c>
      <c r="W944" s="14"/>
      <c r="X944" s="14"/>
      <c r="Y944" s="14"/>
      <c r="Z944" s="14"/>
      <c r="AA944" s="18">
        <f t="shared" si="263"/>
        <v>10.02</v>
      </c>
      <c r="AB944" s="14"/>
      <c r="AC944" s="14"/>
      <c r="AD944" s="14"/>
      <c r="AE944" s="14"/>
      <c r="AF944" s="16">
        <v>0</v>
      </c>
      <c r="AG944" s="16">
        <v>1</v>
      </c>
      <c r="AH944" s="16">
        <v>1</v>
      </c>
      <c r="AI944" s="16">
        <v>1</v>
      </c>
      <c r="AJ944" s="5">
        <v>1</v>
      </c>
      <c r="AK944" s="5">
        <v>0</v>
      </c>
      <c r="AL944" s="5">
        <v>0</v>
      </c>
      <c r="AM944" s="20"/>
      <c r="AN944" s="13">
        <v>3</v>
      </c>
      <c r="AO944" s="3">
        <v>1</v>
      </c>
      <c r="AP944" s="5"/>
      <c r="AQ944" s="5"/>
      <c r="AR944" s="5">
        <v>0</v>
      </c>
      <c r="AS944" s="5">
        <v>1</v>
      </c>
      <c r="AT944" s="16"/>
      <c r="AU944" s="16"/>
      <c r="AV944" s="16"/>
      <c r="AW944" s="16"/>
      <c r="AX944" s="16">
        <v>0</v>
      </c>
      <c r="AY944" s="16">
        <v>0</v>
      </c>
      <c r="AZ944" s="16">
        <v>1</v>
      </c>
      <c r="BA944" s="16">
        <v>0</v>
      </c>
    </row>
    <row r="945" spans="1:53" x14ac:dyDescent="0.2">
      <c r="A945" s="3"/>
      <c r="B945" s="14" t="str">
        <f t="shared" si="243"/>
        <v>Anthoff &amp; Tol 2013</v>
      </c>
      <c r="C945" s="61">
        <f t="shared" si="244"/>
        <v>82</v>
      </c>
      <c r="D945" s="58">
        <v>2013</v>
      </c>
      <c r="E945" s="17"/>
      <c r="F945" s="58">
        <v>1</v>
      </c>
      <c r="G945" s="16">
        <v>1995</v>
      </c>
      <c r="H945" s="15">
        <f>LOOKUP(G945,CPI!A$69:A$100,CPI!O$69:O$100)</f>
        <v>1.4308136482939633</v>
      </c>
      <c r="I945" s="52">
        <v>2015</v>
      </c>
      <c r="J945" s="15">
        <f t="shared" si="257"/>
        <v>0.1111111111111111</v>
      </c>
      <c r="K945" s="15"/>
      <c r="L945" s="62"/>
      <c r="M945" s="56">
        <f t="shared" si="265"/>
        <v>5.5372488188976376</v>
      </c>
      <c r="N945" s="18">
        <f t="shared" si="266"/>
        <v>3.87</v>
      </c>
      <c r="O945" s="3">
        <v>3.87</v>
      </c>
      <c r="P945" s="16">
        <v>1</v>
      </c>
      <c r="Q945" s="16">
        <v>0</v>
      </c>
      <c r="R945" s="16">
        <v>0</v>
      </c>
      <c r="S945" s="3"/>
      <c r="T945" s="56" t="str">
        <f t="shared" si="267"/>
        <v/>
      </c>
      <c r="U945" s="56" t="str">
        <f t="shared" si="268"/>
        <v/>
      </c>
      <c r="V945" s="56" t="str">
        <f t="shared" si="269"/>
        <v/>
      </c>
      <c r="W945" s="14"/>
      <c r="X945" s="14"/>
      <c r="Y945" s="14"/>
      <c r="Z945" s="14"/>
      <c r="AA945" s="18">
        <f t="shared" si="263"/>
        <v>3.87</v>
      </c>
      <c r="AB945" s="14"/>
      <c r="AC945" s="14"/>
      <c r="AD945" s="14"/>
      <c r="AE945" s="14"/>
      <c r="AF945" s="16">
        <v>0</v>
      </c>
      <c r="AG945" s="16">
        <v>1</v>
      </c>
      <c r="AH945" s="16">
        <v>1</v>
      </c>
      <c r="AI945" s="16">
        <v>1</v>
      </c>
      <c r="AJ945" s="5">
        <v>1</v>
      </c>
      <c r="AK945" s="5">
        <v>0</v>
      </c>
      <c r="AL945" s="5">
        <v>0</v>
      </c>
      <c r="AM945" s="20"/>
      <c r="AN945" s="13">
        <v>3</v>
      </c>
      <c r="AO945" s="3">
        <v>1.5</v>
      </c>
      <c r="AP945" s="5"/>
      <c r="AQ945" s="5"/>
      <c r="AR945" s="5">
        <v>0</v>
      </c>
      <c r="AS945" s="5">
        <v>1</v>
      </c>
      <c r="AT945" s="16"/>
      <c r="AU945" s="16"/>
      <c r="AV945" s="16"/>
      <c r="AW945" s="16"/>
      <c r="AX945" s="16">
        <v>0</v>
      </c>
      <c r="AY945" s="16">
        <v>0</v>
      </c>
      <c r="AZ945" s="16">
        <v>1</v>
      </c>
      <c r="BA945" s="16">
        <v>0</v>
      </c>
    </row>
    <row r="946" spans="1:53" x14ac:dyDescent="0.2">
      <c r="A946" s="3"/>
      <c r="B946" s="14" t="str">
        <f t="shared" si="243"/>
        <v>Anthoff &amp; Tol 2013</v>
      </c>
      <c r="C946" s="61">
        <f t="shared" si="244"/>
        <v>82</v>
      </c>
      <c r="D946" s="58">
        <v>2013</v>
      </c>
      <c r="E946" s="17"/>
      <c r="F946" s="58">
        <v>1</v>
      </c>
      <c r="G946" s="16">
        <v>1995</v>
      </c>
      <c r="H946" s="15">
        <f>LOOKUP(G946,CPI!A$69:A$100,CPI!O$69:O$100)</f>
        <v>1.4308136482939633</v>
      </c>
      <c r="I946" s="52">
        <v>2015</v>
      </c>
      <c r="J946" s="15">
        <f t="shared" si="257"/>
        <v>0.1111111111111111</v>
      </c>
      <c r="K946" s="15"/>
      <c r="L946" s="62"/>
      <c r="M946" s="56">
        <f t="shared" si="265"/>
        <v>1.0158776902887139</v>
      </c>
      <c r="N946" s="18">
        <f t="shared" si="266"/>
        <v>0.71</v>
      </c>
      <c r="O946" s="3">
        <v>0.71</v>
      </c>
      <c r="P946" s="16">
        <v>1</v>
      </c>
      <c r="Q946" s="16">
        <v>0</v>
      </c>
      <c r="R946" s="16">
        <v>0</v>
      </c>
      <c r="S946" s="3"/>
      <c r="T946" s="56" t="str">
        <f t="shared" si="267"/>
        <v/>
      </c>
      <c r="U946" s="56" t="str">
        <f t="shared" si="268"/>
        <v/>
      </c>
      <c r="V946" s="56" t="str">
        <f t="shared" si="269"/>
        <v/>
      </c>
      <c r="W946" s="14"/>
      <c r="X946" s="14"/>
      <c r="Y946" s="14"/>
      <c r="Z946" s="14"/>
      <c r="AA946" s="18">
        <f t="shared" si="263"/>
        <v>0.71</v>
      </c>
      <c r="AB946" s="14"/>
      <c r="AC946" s="14"/>
      <c r="AD946" s="14"/>
      <c r="AE946" s="14"/>
      <c r="AF946" s="16">
        <v>0</v>
      </c>
      <c r="AG946" s="16">
        <v>1</v>
      </c>
      <c r="AH946" s="16">
        <v>1</v>
      </c>
      <c r="AI946" s="16">
        <v>1</v>
      </c>
      <c r="AJ946" s="5">
        <v>1</v>
      </c>
      <c r="AK946" s="5">
        <v>0</v>
      </c>
      <c r="AL946" s="5">
        <v>0</v>
      </c>
      <c r="AM946" s="20"/>
      <c r="AN946" s="13">
        <v>3</v>
      </c>
      <c r="AO946" s="3">
        <v>2</v>
      </c>
      <c r="AP946" s="5"/>
      <c r="AQ946" s="5"/>
      <c r="AR946" s="5">
        <v>0</v>
      </c>
      <c r="AS946" s="5">
        <v>1</v>
      </c>
      <c r="AT946" s="16"/>
      <c r="AU946" s="16"/>
      <c r="AV946" s="16"/>
      <c r="AW946" s="16"/>
      <c r="AX946" s="16">
        <v>0</v>
      </c>
      <c r="AY946" s="16">
        <v>0</v>
      </c>
      <c r="AZ946" s="16">
        <v>1</v>
      </c>
      <c r="BA946" s="16">
        <v>0</v>
      </c>
    </row>
    <row r="947" spans="1:53" s="41" customFormat="1" x14ac:dyDescent="0.2">
      <c r="A947" s="41" t="s">
        <v>217</v>
      </c>
      <c r="B947" s="14" t="str">
        <f t="shared" si="243"/>
        <v>Bijgaard 2013</v>
      </c>
      <c r="C947" s="61">
        <f t="shared" si="244"/>
        <v>83</v>
      </c>
      <c r="D947" s="58">
        <v>2013</v>
      </c>
      <c r="E947" s="38" t="s">
        <v>218</v>
      </c>
      <c r="F947" s="58">
        <v>0</v>
      </c>
      <c r="G947" s="5">
        <v>2010</v>
      </c>
      <c r="H947" s="44">
        <f>LOOKUP(G947,CPI!A$69:A$100,CPI!O$69:O$100)</f>
        <v>1</v>
      </c>
      <c r="I947" s="52">
        <v>2015</v>
      </c>
      <c r="J947" s="43"/>
      <c r="K947" s="43"/>
      <c r="L947" s="57"/>
      <c r="M947" s="56">
        <f t="shared" ref="M947" si="271">AA947*H947*(1+$L$2)^(2015-I947)</f>
        <v>233.59893758300134</v>
      </c>
      <c r="N947" s="3"/>
      <c r="O947" s="41">
        <f>(316/(0.755))*(44/12)</f>
        <v>1534.6578366445915</v>
      </c>
      <c r="P947" s="5">
        <v>0</v>
      </c>
      <c r="Q947" s="5">
        <v>0</v>
      </c>
      <c r="R947" s="5">
        <v>1</v>
      </c>
      <c r="S947" s="41">
        <f>(421.3/(0.755))*(44/12)</f>
        <v>2046.0485651214128</v>
      </c>
      <c r="T947" s="56">
        <f t="shared" ref="T947" si="272">IF(OR(M947="",S947=""),"",S947*H947*(1+$L$2)^(2015-I947))</f>
        <v>2046.0485651214128</v>
      </c>
      <c r="U947" s="56">
        <f t="shared" ref="U947" si="273">+V947</f>
        <v>2046.0485651214128</v>
      </c>
      <c r="V947" s="56">
        <f t="shared" ref="V947" si="274">+T947</f>
        <v>2046.0485651214128</v>
      </c>
      <c r="AA947" s="3">
        <f>175.9/(0.753)</f>
        <v>233.59893758300134</v>
      </c>
      <c r="AF947" s="5">
        <v>1</v>
      </c>
      <c r="AG947" s="5">
        <v>1</v>
      </c>
      <c r="AH947" s="5">
        <v>1</v>
      </c>
      <c r="AI947" s="5">
        <v>0</v>
      </c>
      <c r="AJ947" s="5">
        <v>0</v>
      </c>
      <c r="AK947" s="5">
        <v>0</v>
      </c>
      <c r="AL947" s="5">
        <v>0</v>
      </c>
      <c r="AM947" s="13">
        <v>0.1</v>
      </c>
      <c r="AN947" s="13">
        <v>2</v>
      </c>
      <c r="AO947" s="5"/>
      <c r="AP947" s="5"/>
      <c r="AQ947" s="5"/>
      <c r="AR947" s="5">
        <v>0</v>
      </c>
      <c r="AS947" s="5">
        <v>0</v>
      </c>
      <c r="AT947" s="5"/>
      <c r="AU947" s="5">
        <v>3</v>
      </c>
      <c r="AV947" s="5"/>
      <c r="AW947" s="5"/>
      <c r="AX947" s="5">
        <v>0</v>
      </c>
      <c r="AY947" s="5">
        <v>0</v>
      </c>
      <c r="AZ947" s="5">
        <v>0</v>
      </c>
      <c r="BA947" s="5">
        <v>1</v>
      </c>
    </row>
    <row r="948" spans="1:53" s="41" customFormat="1" x14ac:dyDescent="0.2">
      <c r="B948" s="14" t="str">
        <f t="shared" si="243"/>
        <v>Bijgaard 2013</v>
      </c>
      <c r="C948" s="61">
        <f t="shared" si="244"/>
        <v>83</v>
      </c>
      <c r="D948" s="58">
        <v>2013</v>
      </c>
      <c r="E948" s="38"/>
      <c r="F948" s="58">
        <v>0</v>
      </c>
      <c r="G948" s="5">
        <v>2010</v>
      </c>
      <c r="H948" s="44">
        <f>LOOKUP(G948,CPI!A$69:A$100,CPI!O$69:O$100)</f>
        <v>1</v>
      </c>
      <c r="I948" s="52">
        <v>2015</v>
      </c>
      <c r="J948" s="43"/>
      <c r="K948" s="43"/>
      <c r="L948" s="57"/>
      <c r="M948" s="56">
        <f>AA948*H948*(1+$L$2)^(2015-I948)</f>
        <v>38.778220451527226</v>
      </c>
      <c r="N948" s="3"/>
      <c r="O948" s="41">
        <f>(48.5/(0.755))*(44/12)</f>
        <v>235.5408388520971</v>
      </c>
      <c r="P948" s="5">
        <v>0</v>
      </c>
      <c r="Q948" s="5">
        <v>0</v>
      </c>
      <c r="R948" s="5">
        <v>1</v>
      </c>
      <c r="S948" s="41">
        <f>(58.5/(0.755))*(44/12)</f>
        <v>284.10596026490066</v>
      </c>
      <c r="T948" s="56">
        <f t="shared" ref="T948:T950" si="275">IF(OR(M948="",S948=""),"",S948*H948*(1+$L$2)^(2015-I948))</f>
        <v>284.10596026490066</v>
      </c>
      <c r="U948" s="56">
        <f t="shared" ref="U948:U950" si="276">+V948</f>
        <v>284.10596026490066</v>
      </c>
      <c r="V948" s="56">
        <f t="shared" ref="V948:V950" si="277">+T948</f>
        <v>284.10596026490066</v>
      </c>
      <c r="AA948" s="3">
        <f>29.2/(0.753)</f>
        <v>38.778220451527226</v>
      </c>
      <c r="AF948" s="5">
        <v>1</v>
      </c>
      <c r="AG948" s="5">
        <v>1</v>
      </c>
      <c r="AH948" s="5">
        <v>1</v>
      </c>
      <c r="AI948" s="5">
        <v>0</v>
      </c>
      <c r="AJ948" s="5">
        <v>0</v>
      </c>
      <c r="AK948" s="5">
        <v>0</v>
      </c>
      <c r="AL948" s="5">
        <v>0</v>
      </c>
      <c r="AM948" s="13">
        <v>1</v>
      </c>
      <c r="AN948" s="13">
        <v>2</v>
      </c>
      <c r="AO948" s="5"/>
      <c r="AP948" s="5"/>
      <c r="AQ948" s="5"/>
      <c r="AR948" s="5">
        <v>0</v>
      </c>
      <c r="AS948" s="5">
        <v>0</v>
      </c>
      <c r="AT948" s="5"/>
      <c r="AU948" s="5">
        <v>3</v>
      </c>
      <c r="AV948" s="5"/>
      <c r="AW948" s="5"/>
      <c r="AX948" s="5">
        <v>0</v>
      </c>
      <c r="AY948" s="5">
        <v>0</v>
      </c>
      <c r="AZ948" s="5">
        <v>0</v>
      </c>
      <c r="BA948" s="5">
        <v>1</v>
      </c>
    </row>
    <row r="949" spans="1:53" s="41" customFormat="1" x14ac:dyDescent="0.2">
      <c r="B949" s="14" t="str">
        <f t="shared" si="243"/>
        <v>Bijgaard 2013</v>
      </c>
      <c r="C949" s="61">
        <f t="shared" si="244"/>
        <v>83</v>
      </c>
      <c r="D949" s="58">
        <v>2013</v>
      </c>
      <c r="E949" s="38"/>
      <c r="F949" s="58">
        <v>0</v>
      </c>
      <c r="G949" s="5">
        <v>2010</v>
      </c>
      <c r="H949" s="44">
        <f>LOOKUP(G949,CPI!A$69:A$100,CPI!O$69:O$100)</f>
        <v>1</v>
      </c>
      <c r="I949" s="52">
        <v>2015</v>
      </c>
      <c r="J949" s="43"/>
      <c r="K949" s="43"/>
      <c r="L949" s="57"/>
      <c r="M949" s="56">
        <f>AA949*H949*(1+$L$2)^(2015-I949)</f>
        <v>18.193891102257634</v>
      </c>
      <c r="N949" s="3"/>
      <c r="O949" s="41">
        <f>(22.1/(0.755))*(44/12)</f>
        <v>107.32891832229581</v>
      </c>
      <c r="P949" s="5">
        <v>0</v>
      </c>
      <c r="Q949" s="5">
        <v>0</v>
      </c>
      <c r="R949" s="5">
        <v>1</v>
      </c>
      <c r="S949" s="41">
        <f>(25.5/(0.755))*(44/12)</f>
        <v>123.841059602649</v>
      </c>
      <c r="T949" s="56">
        <f t="shared" si="275"/>
        <v>123.841059602649</v>
      </c>
      <c r="U949" s="56">
        <f t="shared" si="276"/>
        <v>123.841059602649</v>
      </c>
      <c r="V949" s="56">
        <f t="shared" si="277"/>
        <v>123.841059602649</v>
      </c>
      <c r="AA949" s="3">
        <f>13.7/(0.753)</f>
        <v>18.193891102257634</v>
      </c>
      <c r="AF949" s="5">
        <v>1</v>
      </c>
      <c r="AG949" s="5">
        <v>1</v>
      </c>
      <c r="AH949" s="5">
        <v>1</v>
      </c>
      <c r="AI949" s="5">
        <v>0</v>
      </c>
      <c r="AJ949" s="5">
        <v>0</v>
      </c>
      <c r="AK949" s="5">
        <v>0</v>
      </c>
      <c r="AL949" s="5">
        <v>0</v>
      </c>
      <c r="AM949" s="13">
        <v>2</v>
      </c>
      <c r="AN949" s="13">
        <v>2</v>
      </c>
      <c r="AO949" s="5"/>
      <c r="AP949" s="5"/>
      <c r="AQ949" s="5"/>
      <c r="AR949" s="5">
        <v>0</v>
      </c>
      <c r="AS949" s="5">
        <v>0</v>
      </c>
      <c r="AT949" s="5"/>
      <c r="AU949" s="5">
        <v>3</v>
      </c>
      <c r="AV949" s="5"/>
      <c r="AW949" s="5"/>
      <c r="AX949" s="5">
        <v>0</v>
      </c>
      <c r="AY949" s="5">
        <v>0</v>
      </c>
      <c r="AZ949" s="5">
        <v>0</v>
      </c>
      <c r="BA949" s="5">
        <v>1</v>
      </c>
    </row>
    <row r="950" spans="1:53" s="41" customFormat="1" x14ac:dyDescent="0.2">
      <c r="B950" s="14" t="str">
        <f t="shared" si="243"/>
        <v>Bijgaard 2013</v>
      </c>
      <c r="C950" s="61">
        <f t="shared" si="244"/>
        <v>83</v>
      </c>
      <c r="D950" s="58">
        <v>2013</v>
      </c>
      <c r="E950" s="38"/>
      <c r="F950" s="58">
        <v>0</v>
      </c>
      <c r="G950" s="5">
        <v>2010</v>
      </c>
      <c r="H950" s="44">
        <f>LOOKUP(G950,CPI!A$69:A$100,CPI!O$69:O$100)</f>
        <v>1</v>
      </c>
      <c r="I950" s="52">
        <v>2015</v>
      </c>
      <c r="J950" s="43"/>
      <c r="K950" s="43"/>
      <c r="L950" s="57"/>
      <c r="M950" s="56">
        <f>AA950*H950*(1+$L$2)^(2015-I950)</f>
        <v>10.889774236387781</v>
      </c>
      <c r="N950" s="3"/>
      <c r="O950" s="41">
        <f>(13/(0.755))*(44/12)</f>
        <v>63.134657836644593</v>
      </c>
      <c r="P950" s="5">
        <v>0</v>
      </c>
      <c r="Q950" s="5">
        <v>0</v>
      </c>
      <c r="R950" s="5">
        <v>1</v>
      </c>
      <c r="S950" s="41">
        <f>(14.7/(0.755))*(44/12)</f>
        <v>71.390728476821181</v>
      </c>
      <c r="T950" s="56">
        <f t="shared" si="275"/>
        <v>71.390728476821181</v>
      </c>
      <c r="U950" s="56">
        <f t="shared" si="276"/>
        <v>71.390728476821181</v>
      </c>
      <c r="V950" s="56">
        <f t="shared" si="277"/>
        <v>71.390728476821181</v>
      </c>
      <c r="AA950" s="3">
        <f>8.2/(0.753)</f>
        <v>10.889774236387781</v>
      </c>
      <c r="AF950" s="5">
        <v>1</v>
      </c>
      <c r="AG950" s="5">
        <v>1</v>
      </c>
      <c r="AH950" s="5">
        <v>1</v>
      </c>
      <c r="AI950" s="5">
        <v>0</v>
      </c>
      <c r="AJ950" s="5">
        <v>0</v>
      </c>
      <c r="AK950" s="5">
        <v>0</v>
      </c>
      <c r="AL950" s="5">
        <v>0</v>
      </c>
      <c r="AM950" s="13">
        <v>3</v>
      </c>
      <c r="AN950" s="13">
        <v>2</v>
      </c>
      <c r="AO950" s="5"/>
      <c r="AP950" s="5"/>
      <c r="AQ950" s="5"/>
      <c r="AR950" s="5">
        <v>0</v>
      </c>
      <c r="AS950" s="5">
        <v>0</v>
      </c>
      <c r="AT950" s="5"/>
      <c r="AU950" s="5">
        <v>3</v>
      </c>
      <c r="AV950" s="5"/>
      <c r="AW950" s="5"/>
      <c r="AX950" s="5">
        <v>0</v>
      </c>
      <c r="AY950" s="5">
        <v>0</v>
      </c>
      <c r="AZ950" s="5">
        <v>0</v>
      </c>
      <c r="BA950" s="5">
        <v>1</v>
      </c>
    </row>
    <row r="951" spans="1:53" s="41" customFormat="1" x14ac:dyDescent="0.2">
      <c r="A951" s="41" t="s">
        <v>171</v>
      </c>
      <c r="B951" s="14" t="str">
        <f t="shared" si="243"/>
        <v>Cai et al. 2013</v>
      </c>
      <c r="C951" s="61">
        <f t="shared" si="244"/>
        <v>84</v>
      </c>
      <c r="D951" s="58">
        <v>2013</v>
      </c>
      <c r="E951" s="38" t="s">
        <v>219</v>
      </c>
      <c r="F951" s="58">
        <v>0</v>
      </c>
      <c r="G951" s="48">
        <v>2005</v>
      </c>
      <c r="H951" s="44">
        <f>LOOKUP(G951,CPI!A$69:A$100,CPI!O$69:O$100)</f>
        <v>1.1165181771633383</v>
      </c>
      <c r="I951" s="5">
        <v>2005</v>
      </c>
      <c r="J951" s="86"/>
      <c r="K951" s="44">
        <v>0.33333333333333331</v>
      </c>
      <c r="L951" s="57">
        <f>(AA951/AA952)^(1/(I951-I952))-1</f>
        <v>1.2755841015251956E-2</v>
      </c>
      <c r="M951" s="56"/>
      <c r="N951" s="41">
        <f>37*(44/12)</f>
        <v>135.66666666666666</v>
      </c>
      <c r="P951" s="5">
        <v>0</v>
      </c>
      <c r="Q951" s="5">
        <v>1</v>
      </c>
      <c r="R951" s="5">
        <v>0</v>
      </c>
      <c r="T951" s="56"/>
      <c r="U951" s="77"/>
      <c r="V951" s="77"/>
      <c r="AA951" s="49">
        <f t="shared" ref="AA951:AA966" si="278">+N951</f>
        <v>135.66666666666666</v>
      </c>
      <c r="AF951" s="5">
        <v>0</v>
      </c>
      <c r="AG951" s="5">
        <v>1</v>
      </c>
      <c r="AH951" s="5">
        <v>1</v>
      </c>
      <c r="AI951" s="5">
        <v>1</v>
      </c>
      <c r="AJ951" s="5">
        <v>0</v>
      </c>
      <c r="AK951" s="5">
        <v>1</v>
      </c>
      <c r="AL951" s="5">
        <v>0</v>
      </c>
      <c r="AM951" s="13"/>
      <c r="AN951" s="13"/>
      <c r="AO951" s="3">
        <v>10</v>
      </c>
      <c r="AP951" s="3"/>
      <c r="AQ951" s="3">
        <v>0.5</v>
      </c>
      <c r="AR951" s="5">
        <v>0</v>
      </c>
      <c r="AS951" s="5">
        <v>0</v>
      </c>
      <c r="AT951" s="5"/>
      <c r="AU951" s="5">
        <v>3</v>
      </c>
      <c r="AV951" s="5"/>
      <c r="AW951" s="5"/>
      <c r="AX951" s="5">
        <v>0</v>
      </c>
      <c r="AY951" s="5">
        <v>0</v>
      </c>
      <c r="AZ951" s="5">
        <v>0</v>
      </c>
      <c r="BA951" s="5">
        <v>1</v>
      </c>
    </row>
    <row r="952" spans="1:53" s="41" customFormat="1" x14ac:dyDescent="0.2">
      <c r="B952" s="14" t="str">
        <f t="shared" si="243"/>
        <v>Cai et al. 2013</v>
      </c>
      <c r="C952" s="61">
        <f t="shared" si="244"/>
        <v>84</v>
      </c>
      <c r="D952" s="58">
        <v>2013</v>
      </c>
      <c r="E952" s="38"/>
      <c r="F952" s="58">
        <v>0</v>
      </c>
      <c r="G952" s="48">
        <v>2005</v>
      </c>
      <c r="H952" s="44">
        <f>LOOKUP(G952,CPI!A$69:A$100,CPI!O$69:O$100)</f>
        <v>1.1165181771633383</v>
      </c>
      <c r="I952" s="52">
        <v>2015</v>
      </c>
      <c r="J952" s="86"/>
      <c r="K952" s="43"/>
      <c r="L952" s="57"/>
      <c r="M952" s="56">
        <f>AA952*H952*(1+$L$2)^(2015-I952)</f>
        <v>171.94379928315411</v>
      </c>
      <c r="N952" s="41">
        <f>42*(44/12)</f>
        <v>154</v>
      </c>
      <c r="P952" s="5">
        <v>0</v>
      </c>
      <c r="Q952" s="5">
        <v>1</v>
      </c>
      <c r="R952" s="5">
        <v>0</v>
      </c>
      <c r="T952" s="56"/>
      <c r="U952" s="77"/>
      <c r="V952" s="77"/>
      <c r="AA952" s="49">
        <f t="shared" si="278"/>
        <v>154</v>
      </c>
      <c r="AF952" s="5">
        <v>0</v>
      </c>
      <c r="AG952" s="5">
        <v>1</v>
      </c>
      <c r="AH952" s="5">
        <v>1</v>
      </c>
      <c r="AI952" s="5">
        <v>1</v>
      </c>
      <c r="AJ952" s="5">
        <v>0</v>
      </c>
      <c r="AK952" s="5">
        <v>1</v>
      </c>
      <c r="AL952" s="5">
        <v>0</v>
      </c>
      <c r="AM952" s="13"/>
      <c r="AN952" s="13"/>
      <c r="AO952" s="3">
        <v>10</v>
      </c>
      <c r="AP952" s="3"/>
      <c r="AQ952" s="3">
        <v>0.5</v>
      </c>
      <c r="AR952" s="5">
        <v>0</v>
      </c>
      <c r="AS952" s="5">
        <v>0</v>
      </c>
      <c r="AT952" s="5"/>
      <c r="AU952" s="5">
        <v>3</v>
      </c>
      <c r="AV952" s="5"/>
      <c r="AW952" s="5"/>
      <c r="AX952" s="5">
        <v>0</v>
      </c>
      <c r="AY952" s="5">
        <v>0</v>
      </c>
      <c r="AZ952" s="5">
        <v>0</v>
      </c>
      <c r="BA952" s="5">
        <v>1</v>
      </c>
    </row>
    <row r="953" spans="1:53" s="41" customFormat="1" x14ac:dyDescent="0.2">
      <c r="B953" s="14" t="str">
        <f t="shared" si="243"/>
        <v>Cai et al. 2013</v>
      </c>
      <c r="C953" s="61">
        <f t="shared" si="244"/>
        <v>84</v>
      </c>
      <c r="D953" s="58">
        <v>2013</v>
      </c>
      <c r="E953" s="38"/>
      <c r="F953" s="58">
        <v>0</v>
      </c>
      <c r="G953" s="48">
        <v>2005</v>
      </c>
      <c r="H953" s="44">
        <f>LOOKUP(G953,CPI!A$69:A$100,CPI!O$69:O$100)</f>
        <v>1.1165181771633383</v>
      </c>
      <c r="I953" s="5">
        <v>2005</v>
      </c>
      <c r="J953" s="86"/>
      <c r="K953" s="44">
        <v>0.33333333333333331</v>
      </c>
      <c r="L953" s="57">
        <f>(AA953/AA954)^(1/(I953-I954))-1</f>
        <v>1.5534493002352434E-2</v>
      </c>
      <c r="M953" s="56"/>
      <c r="N953" s="41">
        <f>60*(44/12)</f>
        <v>220</v>
      </c>
      <c r="P953" s="5">
        <v>0</v>
      </c>
      <c r="Q953" s="5">
        <v>1</v>
      </c>
      <c r="R953" s="5">
        <v>0</v>
      </c>
      <c r="T953" s="56"/>
      <c r="U953" s="77"/>
      <c r="V953" s="77"/>
      <c r="AA953" s="49">
        <f t="shared" si="278"/>
        <v>220</v>
      </c>
      <c r="AF953" s="5">
        <v>0</v>
      </c>
      <c r="AG953" s="5">
        <v>1</v>
      </c>
      <c r="AH953" s="5">
        <v>1</v>
      </c>
      <c r="AI953" s="5">
        <v>1</v>
      </c>
      <c r="AJ953" s="5">
        <v>0</v>
      </c>
      <c r="AK953" s="5">
        <v>1</v>
      </c>
      <c r="AL953" s="5">
        <v>0</v>
      </c>
      <c r="AM953" s="13"/>
      <c r="AN953" s="13"/>
      <c r="AO953" s="3">
        <v>10</v>
      </c>
      <c r="AP953" s="5"/>
      <c r="AQ953" s="3">
        <f>1/1.2</f>
        <v>0.83333333333333337</v>
      </c>
      <c r="AR953" s="5">
        <v>0</v>
      </c>
      <c r="AS953" s="5">
        <v>0</v>
      </c>
      <c r="AT953" s="5"/>
      <c r="AU953" s="5">
        <v>3</v>
      </c>
      <c r="AV953" s="5"/>
      <c r="AW953" s="5"/>
      <c r="AX953" s="5">
        <v>0</v>
      </c>
      <c r="AY953" s="5">
        <v>0</v>
      </c>
      <c r="AZ953" s="5">
        <v>0</v>
      </c>
      <c r="BA953" s="5">
        <v>1</v>
      </c>
    </row>
    <row r="954" spans="1:53" s="41" customFormat="1" x14ac:dyDescent="0.2">
      <c r="B954" s="14" t="str">
        <f t="shared" si="243"/>
        <v>Cai et al. 2013</v>
      </c>
      <c r="C954" s="61">
        <f t="shared" si="244"/>
        <v>84</v>
      </c>
      <c r="D954" s="58">
        <v>2013</v>
      </c>
      <c r="E954" s="38"/>
      <c r="F954" s="58">
        <v>0</v>
      </c>
      <c r="G954" s="48">
        <v>2005</v>
      </c>
      <c r="H954" s="44">
        <f>LOOKUP(G954,CPI!A$69:A$100,CPI!O$69:O$100)</f>
        <v>1.1165181771633383</v>
      </c>
      <c r="I954" s="52">
        <v>2015</v>
      </c>
      <c r="J954" s="86"/>
      <c r="K954" s="43"/>
      <c r="L954" s="57"/>
      <c r="M954" s="56">
        <f>AA954*H954*(1+$L$2)^(2015-I954)</f>
        <v>286.57299880525682</v>
      </c>
      <c r="N954" s="41">
        <f>70*(44/12)</f>
        <v>256.66666666666663</v>
      </c>
      <c r="P954" s="5">
        <v>0</v>
      </c>
      <c r="Q954" s="5">
        <v>1</v>
      </c>
      <c r="R954" s="5">
        <v>0</v>
      </c>
      <c r="T954" s="56"/>
      <c r="U954" s="77"/>
      <c r="V954" s="77"/>
      <c r="AA954" s="49">
        <f t="shared" si="278"/>
        <v>256.66666666666663</v>
      </c>
      <c r="AF954" s="5">
        <v>0</v>
      </c>
      <c r="AG954" s="5">
        <v>1</v>
      </c>
      <c r="AH954" s="5">
        <v>1</v>
      </c>
      <c r="AI954" s="5">
        <v>1</v>
      </c>
      <c r="AJ954" s="5">
        <v>0</v>
      </c>
      <c r="AK954" s="5">
        <v>1</v>
      </c>
      <c r="AL954" s="5">
        <v>0</v>
      </c>
      <c r="AM954" s="13"/>
      <c r="AN954" s="13"/>
      <c r="AO954" s="3">
        <v>10</v>
      </c>
      <c r="AP954" s="5"/>
      <c r="AQ954" s="3">
        <f>1/1.2</f>
        <v>0.83333333333333337</v>
      </c>
      <c r="AR954" s="5">
        <v>0</v>
      </c>
      <c r="AS954" s="5">
        <v>0</v>
      </c>
      <c r="AT954" s="5"/>
      <c r="AU954" s="5">
        <v>3</v>
      </c>
      <c r="AV954" s="5"/>
      <c r="AW954" s="5"/>
      <c r="AX954" s="5">
        <v>0</v>
      </c>
      <c r="AY954" s="5">
        <v>0</v>
      </c>
      <c r="AZ954" s="5">
        <v>0</v>
      </c>
      <c r="BA954" s="5">
        <v>1</v>
      </c>
    </row>
    <row r="955" spans="1:53" s="41" customFormat="1" x14ac:dyDescent="0.2">
      <c r="B955" s="14" t="str">
        <f t="shared" si="243"/>
        <v>Cai et al. 2013</v>
      </c>
      <c r="C955" s="61">
        <f t="shared" si="244"/>
        <v>84</v>
      </c>
      <c r="D955" s="58">
        <v>2013</v>
      </c>
      <c r="E955" s="38"/>
      <c r="F955" s="58">
        <v>0</v>
      </c>
      <c r="G955" s="48">
        <v>2005</v>
      </c>
      <c r="H955" s="44">
        <f>LOOKUP(G955,CPI!A$69:A$100,CPI!O$69:O$100)</f>
        <v>1.1165181771633383</v>
      </c>
      <c r="I955" s="5">
        <v>2005</v>
      </c>
      <c r="J955" s="86"/>
      <c r="K955" s="44">
        <v>0.33333333333333331</v>
      </c>
      <c r="L955" s="57">
        <f>(AA955/AA956)^(1/(I955-I956))-1</f>
        <v>1.6163503659659906E-2</v>
      </c>
      <c r="M955" s="56"/>
      <c r="N955" s="41">
        <f>115*(44/12)</f>
        <v>421.66666666666663</v>
      </c>
      <c r="P955" s="5">
        <v>0</v>
      </c>
      <c r="Q955" s="5">
        <v>1</v>
      </c>
      <c r="R955" s="5">
        <v>0</v>
      </c>
      <c r="T955" s="56"/>
      <c r="U955" s="77"/>
      <c r="V955" s="77"/>
      <c r="AA955" s="49">
        <f t="shared" si="278"/>
        <v>421.66666666666663</v>
      </c>
      <c r="AF955" s="5">
        <v>0</v>
      </c>
      <c r="AG955" s="5">
        <v>1</v>
      </c>
      <c r="AH955" s="5">
        <v>1</v>
      </c>
      <c r="AI955" s="5">
        <v>1</v>
      </c>
      <c r="AJ955" s="5">
        <v>0</v>
      </c>
      <c r="AK955" s="5">
        <v>1</v>
      </c>
      <c r="AL955" s="5">
        <v>0</v>
      </c>
      <c r="AM955" s="13"/>
      <c r="AN955" s="13"/>
      <c r="AO955" s="3">
        <v>10</v>
      </c>
      <c r="AP955" s="5"/>
      <c r="AQ955" s="3">
        <f>1/0.5</f>
        <v>2</v>
      </c>
      <c r="AR955" s="5">
        <v>0</v>
      </c>
      <c r="AS955" s="5">
        <v>0</v>
      </c>
      <c r="AT955" s="5"/>
      <c r="AU955" s="5">
        <v>3</v>
      </c>
      <c r="AV955" s="5"/>
      <c r="AW955" s="5"/>
      <c r="AX955" s="5">
        <v>0</v>
      </c>
      <c r="AY955" s="5">
        <v>0</v>
      </c>
      <c r="AZ955" s="5">
        <v>0</v>
      </c>
      <c r="BA955" s="5">
        <v>1</v>
      </c>
    </row>
    <row r="956" spans="1:53" s="41" customFormat="1" x14ac:dyDescent="0.2">
      <c r="B956" s="14" t="str">
        <f t="shared" si="243"/>
        <v>Cai et al. 2013</v>
      </c>
      <c r="C956" s="61">
        <f t="shared" si="244"/>
        <v>84</v>
      </c>
      <c r="D956" s="58">
        <v>2013</v>
      </c>
      <c r="E956" s="38"/>
      <c r="F956" s="58">
        <v>0</v>
      </c>
      <c r="G956" s="48">
        <v>2005</v>
      </c>
      <c r="H956" s="44">
        <f>LOOKUP(G956,CPI!A$69:A$100,CPI!O$69:O$100)</f>
        <v>1.1165181771633383</v>
      </c>
      <c r="I956" s="52">
        <v>2015</v>
      </c>
      <c r="J956" s="86"/>
      <c r="K956" s="43"/>
      <c r="L956" s="57"/>
      <c r="M956" s="56">
        <f>AA956*H956*(1+$L$2)^(2015-I956)</f>
        <v>552.6764976958525</v>
      </c>
      <c r="N956" s="41">
        <f>135*(44/12)</f>
        <v>495</v>
      </c>
      <c r="P956" s="5">
        <v>0</v>
      </c>
      <c r="Q956" s="5">
        <v>1</v>
      </c>
      <c r="R956" s="5">
        <v>0</v>
      </c>
      <c r="T956" s="56"/>
      <c r="U956" s="77"/>
      <c r="V956" s="77"/>
      <c r="AA956" s="49">
        <f t="shared" si="278"/>
        <v>495</v>
      </c>
      <c r="AF956" s="5">
        <v>0</v>
      </c>
      <c r="AG956" s="5">
        <v>1</v>
      </c>
      <c r="AH956" s="5">
        <v>1</v>
      </c>
      <c r="AI956" s="5">
        <v>1</v>
      </c>
      <c r="AJ956" s="5">
        <v>0</v>
      </c>
      <c r="AK956" s="5">
        <v>1</v>
      </c>
      <c r="AL956" s="5">
        <v>0</v>
      </c>
      <c r="AM956" s="13"/>
      <c r="AN956" s="13"/>
      <c r="AO956" s="3">
        <v>10</v>
      </c>
      <c r="AP956" s="5"/>
      <c r="AQ956" s="3">
        <f>1/0.5</f>
        <v>2</v>
      </c>
      <c r="AR956" s="5">
        <v>0</v>
      </c>
      <c r="AS956" s="5">
        <v>0</v>
      </c>
      <c r="AT956" s="5"/>
      <c r="AU956" s="5">
        <v>3</v>
      </c>
      <c r="AV956" s="5"/>
      <c r="AW956" s="5"/>
      <c r="AX956" s="5">
        <v>0</v>
      </c>
      <c r="AY956" s="5">
        <v>0</v>
      </c>
      <c r="AZ956" s="5">
        <v>0</v>
      </c>
      <c r="BA956" s="5">
        <v>1</v>
      </c>
    </row>
    <row r="957" spans="1:53" s="41" customFormat="1" x14ac:dyDescent="0.2">
      <c r="A957" s="41" t="s">
        <v>220</v>
      </c>
      <c r="B957" s="14" t="str">
        <f t="shared" si="243"/>
        <v>Dennig 2013</v>
      </c>
      <c r="C957" s="61">
        <f t="shared" si="244"/>
        <v>85</v>
      </c>
      <c r="D957" s="58">
        <v>2013</v>
      </c>
      <c r="E957" s="38" t="s">
        <v>221</v>
      </c>
      <c r="F957" s="58">
        <v>0</v>
      </c>
      <c r="G957" s="5">
        <v>2005</v>
      </c>
      <c r="H957" s="44">
        <f>LOOKUP(G957,CPI!A$69:A$100,CPI!O$69:O$100)</f>
        <v>1.1165181771633383</v>
      </c>
      <c r="I957" s="52">
        <v>2015</v>
      </c>
      <c r="J957" s="86"/>
      <c r="K957" s="44">
        <v>1</v>
      </c>
      <c r="L957" s="57">
        <f>(AA957/AA958)^(1/(I957-I958))-1</f>
        <v>4.7657692466261281E-2</v>
      </c>
      <c r="M957" s="56">
        <f>AA957*H957*(1+$L$2)^(2015-I957)</f>
        <v>126.16655401945724</v>
      </c>
      <c r="N957" s="41">
        <v>113</v>
      </c>
      <c r="P957" s="5">
        <v>0</v>
      </c>
      <c r="Q957" s="5">
        <v>1</v>
      </c>
      <c r="R957" s="5">
        <v>0</v>
      </c>
      <c r="T957" s="56"/>
      <c r="U957" s="77"/>
      <c r="V957" s="77"/>
      <c r="AA957" s="49">
        <f t="shared" si="278"/>
        <v>113</v>
      </c>
      <c r="AF957" s="5">
        <v>1</v>
      </c>
      <c r="AG957" s="5">
        <v>1</v>
      </c>
      <c r="AH957" s="5">
        <v>0</v>
      </c>
      <c r="AI957" s="5">
        <v>0</v>
      </c>
      <c r="AJ957" s="5">
        <v>0</v>
      </c>
      <c r="AK957" s="5">
        <v>1</v>
      </c>
      <c r="AL957" s="5">
        <v>0</v>
      </c>
      <c r="AM957" s="13"/>
      <c r="AN957" s="13">
        <v>0.1</v>
      </c>
      <c r="AO957" s="3">
        <v>1.5</v>
      </c>
      <c r="AP957" s="5"/>
      <c r="AQ957" s="3">
        <f>1/1.5</f>
        <v>0.66666666666666663</v>
      </c>
      <c r="AR957" s="5">
        <v>1</v>
      </c>
      <c r="AS957" s="5">
        <v>1</v>
      </c>
      <c r="AT957" s="5"/>
      <c r="AU957" s="5"/>
      <c r="AV957" s="5"/>
      <c r="AW957" s="5"/>
      <c r="AX957" s="5">
        <v>0</v>
      </c>
      <c r="AY957" s="5">
        <v>0</v>
      </c>
      <c r="AZ957" s="5">
        <v>0</v>
      </c>
      <c r="BA957" s="5">
        <v>1</v>
      </c>
    </row>
    <row r="958" spans="1:53" s="41" customFormat="1" x14ac:dyDescent="0.2">
      <c r="B958" s="14" t="str">
        <f t="shared" si="243"/>
        <v>Dennig 2013</v>
      </c>
      <c r="C958" s="61">
        <f t="shared" si="244"/>
        <v>85</v>
      </c>
      <c r="D958" s="58">
        <v>2013</v>
      </c>
      <c r="E958" s="38"/>
      <c r="F958" s="58">
        <v>0</v>
      </c>
      <c r="G958" s="5">
        <v>2005</v>
      </c>
      <c r="H958" s="44">
        <f>LOOKUP(G958,CPI!A$69:A$100,CPI!O$69:O$100)</f>
        <v>1.1165181771633383</v>
      </c>
      <c r="I958" s="5">
        <v>2025</v>
      </c>
      <c r="J958" s="43"/>
      <c r="K958" s="43"/>
      <c r="L958" s="57"/>
      <c r="M958" s="56"/>
      <c r="N958" s="41">
        <v>180</v>
      </c>
      <c r="P958" s="5">
        <v>0</v>
      </c>
      <c r="Q958" s="5">
        <v>1</v>
      </c>
      <c r="R958" s="5">
        <v>0</v>
      </c>
      <c r="T958" s="56"/>
      <c r="U958" s="77"/>
      <c r="V958" s="77"/>
      <c r="AA958" s="49">
        <f t="shared" si="278"/>
        <v>180</v>
      </c>
      <c r="AF958" s="5">
        <v>1</v>
      </c>
      <c r="AG958" s="5">
        <v>1</v>
      </c>
      <c r="AH958" s="5">
        <v>0</v>
      </c>
      <c r="AI958" s="5">
        <v>0</v>
      </c>
      <c r="AJ958" s="5">
        <v>0</v>
      </c>
      <c r="AK958" s="5">
        <v>1</v>
      </c>
      <c r="AL958" s="5">
        <v>0</v>
      </c>
      <c r="AM958" s="13"/>
      <c r="AN958" s="13">
        <v>0.1</v>
      </c>
      <c r="AO958" s="3">
        <v>1.5</v>
      </c>
      <c r="AP958" s="5"/>
      <c r="AQ958" s="3">
        <f>+AQ957</f>
        <v>0.66666666666666663</v>
      </c>
      <c r="AR958" s="5">
        <v>1</v>
      </c>
      <c r="AS958" s="5">
        <v>1</v>
      </c>
      <c r="AT958" s="5"/>
      <c r="AU958" s="5"/>
      <c r="AV958" s="5"/>
      <c r="AW958" s="5"/>
      <c r="AX958" s="5">
        <v>0</v>
      </c>
      <c r="AY958" s="5">
        <v>0</v>
      </c>
      <c r="AZ958" s="5">
        <v>0</v>
      </c>
      <c r="BA958" s="5">
        <v>1</v>
      </c>
    </row>
    <row r="959" spans="1:53" s="41" customFormat="1" x14ac:dyDescent="0.2">
      <c r="B959" s="14" t="str">
        <f t="shared" si="243"/>
        <v>Dennig 2013</v>
      </c>
      <c r="C959" s="61">
        <f t="shared" si="244"/>
        <v>85</v>
      </c>
      <c r="D959" s="58">
        <v>2013</v>
      </c>
      <c r="E959" s="38"/>
      <c r="F959" s="58">
        <v>0</v>
      </c>
      <c r="G959" s="5">
        <v>2005</v>
      </c>
      <c r="H959" s="44">
        <f>LOOKUP(G959,CPI!A$69:A$100,CPI!O$69:O$100)</f>
        <v>1.1165181771633383</v>
      </c>
      <c r="I959" s="5">
        <f>+I958+10</f>
        <v>2035</v>
      </c>
      <c r="J959" s="43"/>
      <c r="K959" s="43"/>
      <c r="L959" s="57"/>
      <c r="M959" s="56"/>
      <c r="N959" s="41">
        <v>254</v>
      </c>
      <c r="P959" s="5">
        <v>0</v>
      </c>
      <c r="Q959" s="5">
        <v>1</v>
      </c>
      <c r="R959" s="5">
        <v>0</v>
      </c>
      <c r="T959" s="56"/>
      <c r="U959" s="77"/>
      <c r="V959" s="77"/>
      <c r="AA959" s="49">
        <f t="shared" si="278"/>
        <v>254</v>
      </c>
      <c r="AF959" s="5">
        <v>1</v>
      </c>
      <c r="AG959" s="5">
        <v>1</v>
      </c>
      <c r="AH959" s="5">
        <v>0</v>
      </c>
      <c r="AI959" s="5">
        <v>0</v>
      </c>
      <c r="AJ959" s="5">
        <v>0</v>
      </c>
      <c r="AK959" s="5">
        <v>1</v>
      </c>
      <c r="AL959" s="5">
        <v>0</v>
      </c>
      <c r="AM959" s="13"/>
      <c r="AN959" s="13">
        <v>0.1</v>
      </c>
      <c r="AO959" s="3">
        <v>1.5</v>
      </c>
      <c r="AP959" s="5"/>
      <c r="AQ959" s="3">
        <f t="shared" ref="AQ959:AQ965" si="279">+AQ958</f>
        <v>0.66666666666666663</v>
      </c>
      <c r="AR959" s="5">
        <v>1</v>
      </c>
      <c r="AS959" s="5">
        <v>1</v>
      </c>
      <c r="AT959" s="5"/>
      <c r="AU959" s="5"/>
      <c r="AV959" s="5"/>
      <c r="AW959" s="5"/>
      <c r="AX959" s="5">
        <v>0</v>
      </c>
      <c r="AY959" s="5">
        <v>0</v>
      </c>
      <c r="AZ959" s="5">
        <v>0</v>
      </c>
      <c r="BA959" s="5">
        <v>1</v>
      </c>
    </row>
    <row r="960" spans="1:53" s="41" customFormat="1" x14ac:dyDescent="0.2">
      <c r="B960" s="14" t="str">
        <f t="shared" si="243"/>
        <v>Dennig 2013</v>
      </c>
      <c r="C960" s="61">
        <f t="shared" si="244"/>
        <v>85</v>
      </c>
      <c r="D960" s="58">
        <v>2013</v>
      </c>
      <c r="E960" s="38"/>
      <c r="F960" s="58">
        <v>0</v>
      </c>
      <c r="G960" s="5">
        <v>2005</v>
      </c>
      <c r="H960" s="44">
        <f>LOOKUP(G960,CPI!A$69:A$100,CPI!O$69:O$100)</f>
        <v>1.1165181771633383</v>
      </c>
      <c r="I960" s="5">
        <f t="shared" ref="I960:I965" si="280">+I959+10</f>
        <v>2045</v>
      </c>
      <c r="J960" s="43"/>
      <c r="K960" s="43"/>
      <c r="L960" s="57"/>
      <c r="M960" s="56"/>
      <c r="N960" s="41">
        <v>343</v>
      </c>
      <c r="P960" s="5">
        <v>0</v>
      </c>
      <c r="Q960" s="5">
        <v>1</v>
      </c>
      <c r="R960" s="5">
        <v>0</v>
      </c>
      <c r="T960" s="56"/>
      <c r="U960" s="77"/>
      <c r="V960" s="77"/>
      <c r="AA960" s="49">
        <f t="shared" si="278"/>
        <v>343</v>
      </c>
      <c r="AF960" s="5">
        <v>1</v>
      </c>
      <c r="AG960" s="5">
        <v>1</v>
      </c>
      <c r="AH960" s="5">
        <v>0</v>
      </c>
      <c r="AI960" s="5">
        <v>0</v>
      </c>
      <c r="AJ960" s="5">
        <v>0</v>
      </c>
      <c r="AK960" s="5">
        <v>1</v>
      </c>
      <c r="AL960" s="5">
        <v>0</v>
      </c>
      <c r="AM960" s="13"/>
      <c r="AN960" s="13">
        <v>0.1</v>
      </c>
      <c r="AO960" s="3">
        <v>1.5</v>
      </c>
      <c r="AP960" s="5"/>
      <c r="AQ960" s="3">
        <f t="shared" si="279"/>
        <v>0.66666666666666663</v>
      </c>
      <c r="AR960" s="5">
        <v>1</v>
      </c>
      <c r="AS960" s="5">
        <v>1</v>
      </c>
      <c r="AT960" s="5"/>
      <c r="AU960" s="5"/>
      <c r="AV960" s="5"/>
      <c r="AW960" s="5"/>
      <c r="AX960" s="5">
        <v>0</v>
      </c>
      <c r="AY960" s="5">
        <v>0</v>
      </c>
      <c r="AZ960" s="5">
        <v>0</v>
      </c>
      <c r="BA960" s="5">
        <v>1</v>
      </c>
    </row>
    <row r="961" spans="1:53" s="41" customFormat="1" x14ac:dyDescent="0.2">
      <c r="B961" s="14" t="str">
        <f t="shared" si="243"/>
        <v>Dennig 2013</v>
      </c>
      <c r="C961" s="61">
        <f t="shared" si="244"/>
        <v>85</v>
      </c>
      <c r="D961" s="58">
        <v>2013</v>
      </c>
      <c r="E961" s="38"/>
      <c r="F961" s="58">
        <v>0</v>
      </c>
      <c r="G961" s="5">
        <v>2005</v>
      </c>
      <c r="H961" s="44">
        <f>LOOKUP(G961,CPI!A$69:A$100,CPI!O$69:O$100)</f>
        <v>1.1165181771633383</v>
      </c>
      <c r="I961" s="5">
        <f t="shared" si="280"/>
        <v>2055</v>
      </c>
      <c r="J961" s="43"/>
      <c r="K961" s="43"/>
      <c r="L961" s="57"/>
      <c r="M961" s="56"/>
      <c r="N961" s="41">
        <v>458</v>
      </c>
      <c r="P961" s="5">
        <v>0</v>
      </c>
      <c r="Q961" s="5">
        <v>1</v>
      </c>
      <c r="R961" s="5">
        <v>0</v>
      </c>
      <c r="T961" s="56"/>
      <c r="U961" s="77"/>
      <c r="V961" s="77"/>
      <c r="AA961" s="49">
        <f t="shared" si="278"/>
        <v>458</v>
      </c>
      <c r="AF961" s="5">
        <v>1</v>
      </c>
      <c r="AG961" s="5">
        <v>1</v>
      </c>
      <c r="AH961" s="5">
        <v>0</v>
      </c>
      <c r="AI961" s="5">
        <v>0</v>
      </c>
      <c r="AJ961" s="5">
        <v>0</v>
      </c>
      <c r="AK961" s="5">
        <v>1</v>
      </c>
      <c r="AL961" s="5">
        <v>0</v>
      </c>
      <c r="AM961" s="13"/>
      <c r="AN961" s="13">
        <v>0.1</v>
      </c>
      <c r="AO961" s="3">
        <v>1.5</v>
      </c>
      <c r="AP961" s="5"/>
      <c r="AQ961" s="3">
        <f t="shared" si="279"/>
        <v>0.66666666666666663</v>
      </c>
      <c r="AR961" s="5">
        <v>1</v>
      </c>
      <c r="AS961" s="5">
        <v>1</v>
      </c>
      <c r="AT961" s="5"/>
      <c r="AU961" s="5"/>
      <c r="AV961" s="5"/>
      <c r="AW961" s="5"/>
      <c r="AX961" s="5">
        <v>0</v>
      </c>
      <c r="AY961" s="5">
        <v>0</v>
      </c>
      <c r="AZ961" s="5">
        <v>0</v>
      </c>
      <c r="BA961" s="5">
        <v>1</v>
      </c>
    </row>
    <row r="962" spans="1:53" s="41" customFormat="1" x14ac:dyDescent="0.2">
      <c r="B962" s="14" t="str">
        <f t="shared" si="243"/>
        <v>Dennig 2013</v>
      </c>
      <c r="C962" s="61">
        <f t="shared" si="244"/>
        <v>85</v>
      </c>
      <c r="D962" s="58">
        <v>2013</v>
      </c>
      <c r="E962" s="38"/>
      <c r="F962" s="58">
        <v>0</v>
      </c>
      <c r="G962" s="5">
        <v>2005</v>
      </c>
      <c r="H962" s="44">
        <f>LOOKUP(G962,CPI!A$69:A$100,CPI!O$69:O$100)</f>
        <v>1.1165181771633383</v>
      </c>
      <c r="I962" s="5">
        <f t="shared" si="280"/>
        <v>2065</v>
      </c>
      <c r="J962" s="43"/>
      <c r="K962" s="43"/>
      <c r="L962" s="57"/>
      <c r="M962" s="56"/>
      <c r="N962" s="41">
        <v>576</v>
      </c>
      <c r="P962" s="5">
        <v>0</v>
      </c>
      <c r="Q962" s="5">
        <v>1</v>
      </c>
      <c r="R962" s="5">
        <v>0</v>
      </c>
      <c r="T962" s="56"/>
      <c r="U962" s="77"/>
      <c r="V962" s="77"/>
      <c r="AA962" s="49">
        <f t="shared" si="278"/>
        <v>576</v>
      </c>
      <c r="AF962" s="5">
        <v>1</v>
      </c>
      <c r="AG962" s="5">
        <v>1</v>
      </c>
      <c r="AH962" s="5">
        <v>0</v>
      </c>
      <c r="AI962" s="5">
        <v>0</v>
      </c>
      <c r="AJ962" s="5">
        <v>0</v>
      </c>
      <c r="AK962" s="5">
        <v>1</v>
      </c>
      <c r="AL962" s="5">
        <v>0</v>
      </c>
      <c r="AM962" s="13"/>
      <c r="AN962" s="13">
        <v>0.1</v>
      </c>
      <c r="AO962" s="3">
        <v>1.5</v>
      </c>
      <c r="AP962" s="5"/>
      <c r="AQ962" s="3">
        <f t="shared" si="279"/>
        <v>0.66666666666666663</v>
      </c>
      <c r="AR962" s="5">
        <v>1</v>
      </c>
      <c r="AS962" s="5">
        <v>1</v>
      </c>
      <c r="AT962" s="5"/>
      <c r="AU962" s="5"/>
      <c r="AV962" s="5"/>
      <c r="AW962" s="5"/>
      <c r="AX962" s="5">
        <v>0</v>
      </c>
      <c r="AY962" s="5">
        <v>0</v>
      </c>
      <c r="AZ962" s="5">
        <v>0</v>
      </c>
      <c r="BA962" s="5">
        <v>1</v>
      </c>
    </row>
    <row r="963" spans="1:53" s="41" customFormat="1" x14ac:dyDescent="0.2">
      <c r="B963" s="14" t="str">
        <f t="shared" si="243"/>
        <v>Dennig 2013</v>
      </c>
      <c r="C963" s="61">
        <f t="shared" si="244"/>
        <v>85</v>
      </c>
      <c r="D963" s="58">
        <v>2013</v>
      </c>
      <c r="E963" s="38"/>
      <c r="F963" s="58">
        <v>0</v>
      </c>
      <c r="G963" s="5">
        <v>2005</v>
      </c>
      <c r="H963" s="44">
        <f>LOOKUP(G963,CPI!A$69:A$100,CPI!O$69:O$100)</f>
        <v>1.1165181771633383</v>
      </c>
      <c r="I963" s="5">
        <f t="shared" si="280"/>
        <v>2075</v>
      </c>
      <c r="J963" s="43"/>
      <c r="K963" s="43"/>
      <c r="L963" s="57"/>
      <c r="M963" s="56"/>
      <c r="N963" s="41">
        <v>988</v>
      </c>
      <c r="P963" s="5">
        <v>0</v>
      </c>
      <c r="Q963" s="5">
        <v>1</v>
      </c>
      <c r="R963" s="5">
        <v>0</v>
      </c>
      <c r="T963" s="56"/>
      <c r="U963" s="77"/>
      <c r="V963" s="77"/>
      <c r="AA963" s="49">
        <f t="shared" si="278"/>
        <v>988</v>
      </c>
      <c r="AF963" s="5">
        <v>1</v>
      </c>
      <c r="AG963" s="5">
        <v>1</v>
      </c>
      <c r="AH963" s="5">
        <v>0</v>
      </c>
      <c r="AI963" s="5">
        <v>0</v>
      </c>
      <c r="AJ963" s="5">
        <v>0</v>
      </c>
      <c r="AK963" s="5">
        <v>1</v>
      </c>
      <c r="AL963" s="5">
        <v>0</v>
      </c>
      <c r="AM963" s="13"/>
      <c r="AN963" s="13">
        <v>0.1</v>
      </c>
      <c r="AO963" s="3">
        <v>1.5</v>
      </c>
      <c r="AP963" s="5"/>
      <c r="AQ963" s="3">
        <f t="shared" si="279"/>
        <v>0.66666666666666663</v>
      </c>
      <c r="AR963" s="5">
        <v>1</v>
      </c>
      <c r="AS963" s="5">
        <v>1</v>
      </c>
      <c r="AT963" s="5"/>
      <c r="AU963" s="5"/>
      <c r="AV963" s="5"/>
      <c r="AW963" s="5"/>
      <c r="AX963" s="5">
        <v>0</v>
      </c>
      <c r="AY963" s="5">
        <v>0</v>
      </c>
      <c r="AZ963" s="5">
        <v>0</v>
      </c>
      <c r="BA963" s="5">
        <v>1</v>
      </c>
    </row>
    <row r="964" spans="1:53" s="41" customFormat="1" x14ac:dyDescent="0.2">
      <c r="B964" s="14" t="str">
        <f t="shared" si="243"/>
        <v>Dennig 2013</v>
      </c>
      <c r="C964" s="61">
        <f t="shared" si="244"/>
        <v>85</v>
      </c>
      <c r="D964" s="58">
        <v>2013</v>
      </c>
      <c r="E964" s="38"/>
      <c r="F964" s="58">
        <v>0</v>
      </c>
      <c r="G964" s="5">
        <v>2005</v>
      </c>
      <c r="H964" s="44">
        <f>LOOKUP(G964,CPI!A$69:A$100,CPI!O$69:O$100)</f>
        <v>1.1165181771633383</v>
      </c>
      <c r="I964" s="5">
        <f t="shared" si="280"/>
        <v>2085</v>
      </c>
      <c r="J964" s="43"/>
      <c r="K964" s="43"/>
      <c r="L964" s="57"/>
      <c r="M964" s="56"/>
      <c r="N964" s="41">
        <v>791</v>
      </c>
      <c r="P964" s="5">
        <v>0</v>
      </c>
      <c r="Q964" s="5">
        <v>1</v>
      </c>
      <c r="R964" s="5">
        <v>0</v>
      </c>
      <c r="T964" s="56"/>
      <c r="U964" s="77"/>
      <c r="V964" s="77"/>
      <c r="AA964" s="49">
        <f t="shared" si="278"/>
        <v>791</v>
      </c>
      <c r="AF964" s="5">
        <v>1</v>
      </c>
      <c r="AG964" s="5">
        <v>1</v>
      </c>
      <c r="AH964" s="5">
        <v>0</v>
      </c>
      <c r="AI964" s="5">
        <v>0</v>
      </c>
      <c r="AJ964" s="5">
        <v>0</v>
      </c>
      <c r="AK964" s="5">
        <v>1</v>
      </c>
      <c r="AL964" s="5">
        <v>0</v>
      </c>
      <c r="AM964" s="13"/>
      <c r="AN964" s="13">
        <v>0.1</v>
      </c>
      <c r="AO964" s="3">
        <v>1.5</v>
      </c>
      <c r="AP964" s="5"/>
      <c r="AQ964" s="3">
        <f t="shared" si="279"/>
        <v>0.66666666666666663</v>
      </c>
      <c r="AR964" s="5">
        <v>1</v>
      </c>
      <c r="AS964" s="5">
        <v>1</v>
      </c>
      <c r="AT964" s="5"/>
      <c r="AU964" s="5"/>
      <c r="AV964" s="5"/>
      <c r="AW964" s="5"/>
      <c r="AX964" s="5">
        <v>0</v>
      </c>
      <c r="AY964" s="5">
        <v>0</v>
      </c>
      <c r="AZ964" s="5">
        <v>0</v>
      </c>
      <c r="BA964" s="5">
        <v>1</v>
      </c>
    </row>
    <row r="965" spans="1:53" s="41" customFormat="1" x14ac:dyDescent="0.2">
      <c r="B965" s="14" t="str">
        <f t="shared" si="243"/>
        <v>Dennig 2013</v>
      </c>
      <c r="C965" s="61">
        <f t="shared" si="244"/>
        <v>85</v>
      </c>
      <c r="D965" s="58">
        <v>2013</v>
      </c>
      <c r="E965" s="38"/>
      <c r="F965" s="58">
        <v>0</v>
      </c>
      <c r="G965" s="5">
        <v>2005</v>
      </c>
      <c r="H965" s="44">
        <f>LOOKUP(G965,CPI!A$69:A$100,CPI!O$69:O$100)</f>
        <v>1.1165181771633383</v>
      </c>
      <c r="I965" s="5">
        <f t="shared" si="280"/>
        <v>2095</v>
      </c>
      <c r="J965" s="43"/>
      <c r="K965" s="43"/>
      <c r="L965" s="57"/>
      <c r="M965" s="56"/>
      <c r="N965" s="41">
        <v>841</v>
      </c>
      <c r="P965" s="5">
        <v>0</v>
      </c>
      <c r="Q965" s="5">
        <v>1</v>
      </c>
      <c r="R965" s="5">
        <v>0</v>
      </c>
      <c r="T965" s="56"/>
      <c r="U965" s="77"/>
      <c r="V965" s="77"/>
      <c r="AA965" s="49">
        <f t="shared" si="278"/>
        <v>841</v>
      </c>
      <c r="AF965" s="5">
        <v>1</v>
      </c>
      <c r="AG965" s="5">
        <v>1</v>
      </c>
      <c r="AH965" s="5">
        <v>0</v>
      </c>
      <c r="AI965" s="5">
        <v>0</v>
      </c>
      <c r="AJ965" s="5">
        <v>0</v>
      </c>
      <c r="AK965" s="5">
        <v>1</v>
      </c>
      <c r="AL965" s="5">
        <v>0</v>
      </c>
      <c r="AM965" s="13"/>
      <c r="AN965" s="13">
        <v>0.1</v>
      </c>
      <c r="AO965" s="3">
        <v>1.5</v>
      </c>
      <c r="AP965" s="5"/>
      <c r="AQ965" s="3">
        <f t="shared" si="279"/>
        <v>0.66666666666666663</v>
      </c>
      <c r="AR965" s="5">
        <v>1</v>
      </c>
      <c r="AS965" s="5">
        <v>1</v>
      </c>
      <c r="AT965" s="5"/>
      <c r="AU965" s="5"/>
      <c r="AV965" s="5"/>
      <c r="AW965" s="5"/>
      <c r="AX965" s="5">
        <v>0</v>
      </c>
      <c r="AY965" s="5">
        <v>0</v>
      </c>
      <c r="AZ965" s="5">
        <v>0</v>
      </c>
      <c r="BA965" s="5">
        <v>1</v>
      </c>
    </row>
    <row r="966" spans="1:53" s="41" customFormat="1" x14ac:dyDescent="0.2">
      <c r="A966" s="41" t="s">
        <v>224</v>
      </c>
      <c r="B966" s="14" t="str">
        <f t="shared" si="243"/>
        <v>Foley et al. 2013</v>
      </c>
      <c r="C966" s="61">
        <f t="shared" si="244"/>
        <v>86</v>
      </c>
      <c r="D966" s="58">
        <v>2013</v>
      </c>
      <c r="E966" s="38" t="s">
        <v>225</v>
      </c>
      <c r="F966" s="58">
        <v>1</v>
      </c>
      <c r="G966" s="48">
        <v>2009</v>
      </c>
      <c r="H966" s="44">
        <f>LOOKUP(G966,CPI!A$69:A$100,CPI!O$69:O$100)</f>
        <v>1.0164027650242149</v>
      </c>
      <c r="I966" s="69">
        <v>2009</v>
      </c>
      <c r="J966" s="43"/>
      <c r="K966" s="43"/>
      <c r="L966" s="57"/>
      <c r="M966" s="56">
        <f>AA966*H966*(1+$L$2)^(2015-I966)</f>
        <v>246.34446124790517</v>
      </c>
      <c r="N966" s="41">
        <f>55*44/12</f>
        <v>201.66666666666666</v>
      </c>
      <c r="P966" s="5">
        <v>0</v>
      </c>
      <c r="Q966" s="5">
        <v>1</v>
      </c>
      <c r="R966" s="5">
        <v>0</v>
      </c>
      <c r="T966" s="56"/>
      <c r="U966" s="77"/>
      <c r="V966" s="77"/>
      <c r="AA966" s="49">
        <f t="shared" si="278"/>
        <v>201.66666666666666</v>
      </c>
      <c r="AF966" s="5">
        <v>1</v>
      </c>
      <c r="AG966" s="5">
        <v>1</v>
      </c>
      <c r="AH966" s="5">
        <v>1</v>
      </c>
      <c r="AI966" s="5">
        <v>0</v>
      </c>
      <c r="AJ966" s="5">
        <v>0</v>
      </c>
      <c r="AK966" s="5">
        <v>0</v>
      </c>
      <c r="AL966" s="5">
        <v>0</v>
      </c>
      <c r="AM966" s="13">
        <v>2</v>
      </c>
      <c r="AN966" s="13">
        <v>1</v>
      </c>
      <c r="AO966" s="3">
        <v>2</v>
      </c>
      <c r="AP966" s="5"/>
      <c r="AQ966" s="5"/>
      <c r="AR966" s="5">
        <v>0</v>
      </c>
      <c r="AS966" s="5">
        <v>0</v>
      </c>
      <c r="AT966" s="5"/>
      <c r="AU966" s="5"/>
      <c r="AV966" s="5"/>
      <c r="AW966" s="5"/>
      <c r="AX966" s="5">
        <v>0</v>
      </c>
      <c r="AY966" s="5">
        <v>0</v>
      </c>
      <c r="AZ966" s="5">
        <v>0</v>
      </c>
      <c r="BA966" s="5">
        <v>1</v>
      </c>
    </row>
    <row r="967" spans="1:53" s="41" customFormat="1" x14ac:dyDescent="0.2">
      <c r="A967" s="41" t="s">
        <v>172</v>
      </c>
      <c r="B967" s="14" t="str">
        <f t="shared" si="243"/>
        <v>Greenstone et al. 2013</v>
      </c>
      <c r="C967" s="61">
        <f t="shared" si="244"/>
        <v>87</v>
      </c>
      <c r="D967" s="58">
        <v>2013</v>
      </c>
      <c r="E967" s="38" t="s">
        <v>158</v>
      </c>
      <c r="F967" s="58">
        <v>1</v>
      </c>
      <c r="G967" s="5">
        <v>2007</v>
      </c>
      <c r="H967" s="44">
        <f>LOOKUP(G967,CPI!A$69:A$100,CPI!O$69:O$100)</f>
        <v>1.0516730811895323</v>
      </c>
      <c r="I967" s="52">
        <v>2010</v>
      </c>
      <c r="J967" s="43">
        <v>2.1276595744680851E-2</v>
      </c>
      <c r="K967" s="43">
        <v>2.1276595744680851E-2</v>
      </c>
      <c r="L967" s="57">
        <f>+AVERAGE(L1012,L1020,L1028)</f>
        <v>2.4241459928053155E-2</v>
      </c>
      <c r="M967" s="56">
        <f t="shared" ref="M967:M1010" si="281">AA967*H967*(1+$L$2)^(2015-I967)</f>
        <v>48.541327297051907</v>
      </c>
      <c r="N967" s="49">
        <f>+O967</f>
        <v>39.6</v>
      </c>
      <c r="O967" s="41">
        <f>10.8*(44/12)</f>
        <v>39.6</v>
      </c>
      <c r="P967" s="5">
        <v>1</v>
      </c>
      <c r="Q967" s="5">
        <v>0</v>
      </c>
      <c r="R967" s="5">
        <v>0</v>
      </c>
      <c r="T967" s="56" t="str">
        <f t="shared" ref="T967:T1030" si="282">IF(OR(M967="",S967=""),"",S967*H967*(1+$L$2)^(2015-I967))</f>
        <v/>
      </c>
      <c r="U967" s="56" t="str">
        <f t="shared" ref="U967:U996" si="283">+V967</f>
        <v/>
      </c>
      <c r="V967" s="56" t="str">
        <f t="shared" ref="V967:V981" si="284">+T967</f>
        <v/>
      </c>
      <c r="AA967" s="37">
        <f t="shared" ref="AA967:AA998" si="285">O967</f>
        <v>39.6</v>
      </c>
      <c r="AF967" s="5">
        <v>0</v>
      </c>
      <c r="AG967" s="5">
        <v>1</v>
      </c>
      <c r="AH967" s="5">
        <v>1</v>
      </c>
      <c r="AI967" s="5">
        <v>1</v>
      </c>
      <c r="AJ967" s="5">
        <v>1</v>
      </c>
      <c r="AK967" s="5">
        <v>1</v>
      </c>
      <c r="AL967" s="5">
        <v>1</v>
      </c>
      <c r="AM967" s="13">
        <v>5</v>
      </c>
      <c r="AN967" s="13" t="s">
        <v>25</v>
      </c>
      <c r="AO967" s="3"/>
      <c r="AR967" s="5">
        <v>0</v>
      </c>
      <c r="AS967" s="5">
        <v>0</v>
      </c>
      <c r="AT967" s="5"/>
      <c r="AU967" s="5"/>
      <c r="AV967" s="5"/>
      <c r="AW967" s="5"/>
      <c r="AX967" s="5">
        <v>0</v>
      </c>
      <c r="AY967" s="5">
        <v>0</v>
      </c>
      <c r="AZ967" s="5">
        <v>0</v>
      </c>
      <c r="BA967" s="5">
        <v>0</v>
      </c>
    </row>
    <row r="968" spans="1:53" s="41" customFormat="1" x14ac:dyDescent="0.2">
      <c r="B968" s="14" t="str">
        <f t="shared" si="243"/>
        <v>Greenstone et al. 2013</v>
      </c>
      <c r="C968" s="61">
        <f t="shared" si="244"/>
        <v>87</v>
      </c>
      <c r="D968" s="58">
        <v>2013</v>
      </c>
      <c r="E968" s="38"/>
      <c r="F968" s="58">
        <v>1</v>
      </c>
      <c r="G968" s="5">
        <v>2007</v>
      </c>
      <c r="H968" s="44">
        <f>LOOKUP(G968,CPI!A$69:A$100,CPI!O$69:O$100)</f>
        <v>1.0516730811895323</v>
      </c>
      <c r="I968" s="52">
        <v>2010</v>
      </c>
      <c r="J968" s="43">
        <v>2.1276595744680851E-2</v>
      </c>
      <c r="K968" s="43">
        <v>2.1276595744680851E-2</v>
      </c>
      <c r="L968" s="57">
        <f>+L967</f>
        <v>2.4241459928053155E-2</v>
      </c>
      <c r="M968" s="56">
        <f t="shared" si="281"/>
        <v>33.709255067397159</v>
      </c>
      <c r="N968" s="49">
        <f t="shared" ref="N968:N981" si="286">+O968</f>
        <v>27.5</v>
      </c>
      <c r="O968" s="41">
        <f>7.5*(44/12)</f>
        <v>27.5</v>
      </c>
      <c r="P968" s="5">
        <v>1</v>
      </c>
      <c r="Q968" s="5">
        <v>0</v>
      </c>
      <c r="R968" s="5">
        <v>0</v>
      </c>
      <c r="T968" s="56" t="str">
        <f t="shared" si="282"/>
        <v/>
      </c>
      <c r="U968" s="56" t="str">
        <f t="shared" si="283"/>
        <v/>
      </c>
      <c r="V968" s="56" t="str">
        <f t="shared" si="284"/>
        <v/>
      </c>
      <c r="AA968" s="37">
        <f t="shared" si="285"/>
        <v>27.5</v>
      </c>
      <c r="AF968" s="5">
        <v>0</v>
      </c>
      <c r="AG968" s="5">
        <v>1</v>
      </c>
      <c r="AH968" s="5">
        <v>1</v>
      </c>
      <c r="AI968" s="5">
        <v>1</v>
      </c>
      <c r="AJ968" s="5">
        <v>1</v>
      </c>
      <c r="AK968" s="5">
        <v>1</v>
      </c>
      <c r="AL968" s="5">
        <v>1</v>
      </c>
      <c r="AM968" s="13">
        <v>5</v>
      </c>
      <c r="AN968" s="13" t="s">
        <v>25</v>
      </c>
      <c r="AO968" s="5"/>
      <c r="AP968" s="5"/>
      <c r="AQ968" s="5"/>
      <c r="AR968" s="5">
        <v>0</v>
      </c>
      <c r="AS968" s="5">
        <v>0</v>
      </c>
      <c r="AT968" s="5"/>
      <c r="AU968" s="5"/>
      <c r="AV968" s="5"/>
      <c r="AW968" s="5"/>
      <c r="AX968" s="5">
        <v>0</v>
      </c>
      <c r="AY968" s="5">
        <v>0</v>
      </c>
      <c r="AZ968" s="5">
        <v>0</v>
      </c>
      <c r="BA968" s="5">
        <v>0</v>
      </c>
    </row>
    <row r="969" spans="1:53" s="41" customFormat="1" x14ac:dyDescent="0.2">
      <c r="B969" s="14" t="str">
        <f t="shared" si="243"/>
        <v>Greenstone et al. 2013</v>
      </c>
      <c r="C969" s="61">
        <f t="shared" si="244"/>
        <v>87</v>
      </c>
      <c r="D969" s="58">
        <v>2013</v>
      </c>
      <c r="E969" s="38"/>
      <c r="F969" s="58">
        <v>1</v>
      </c>
      <c r="G969" s="5">
        <v>2007</v>
      </c>
      <c r="H969" s="44">
        <f>LOOKUP(G969,CPI!A$69:A$100,CPI!O$69:O$100)</f>
        <v>1.0516730811895323</v>
      </c>
      <c r="I969" s="52">
        <v>2010</v>
      </c>
      <c r="J969" s="43">
        <v>2.1276595744680851E-2</v>
      </c>
      <c r="K969" s="43">
        <v>2.1276595744680851E-2</v>
      </c>
      <c r="L969" s="57">
        <f t="shared" ref="L969:L1011" si="287">+L968</f>
        <v>2.4241459928053155E-2</v>
      </c>
      <c r="M969" s="56">
        <f t="shared" si="281"/>
        <v>44.046759954732295</v>
      </c>
      <c r="N969" s="49">
        <f t="shared" si="286"/>
        <v>35.933333333333337</v>
      </c>
      <c r="O969" s="41">
        <f>9.8*(44/12)</f>
        <v>35.933333333333337</v>
      </c>
      <c r="P969" s="5">
        <v>1</v>
      </c>
      <c r="Q969" s="5">
        <v>0</v>
      </c>
      <c r="R969" s="5">
        <v>0</v>
      </c>
      <c r="T969" s="56" t="str">
        <f t="shared" si="282"/>
        <v/>
      </c>
      <c r="U969" s="56" t="str">
        <f t="shared" si="283"/>
        <v/>
      </c>
      <c r="V969" s="56" t="str">
        <f t="shared" si="284"/>
        <v/>
      </c>
      <c r="AA969" s="37">
        <f t="shared" si="285"/>
        <v>35.933333333333337</v>
      </c>
      <c r="AF969" s="5">
        <v>0</v>
      </c>
      <c r="AG969" s="5">
        <v>1</v>
      </c>
      <c r="AH969" s="5">
        <v>1</v>
      </c>
      <c r="AI969" s="5">
        <v>1</v>
      </c>
      <c r="AJ969" s="5">
        <v>1</v>
      </c>
      <c r="AK969" s="5">
        <v>1</v>
      </c>
      <c r="AL969" s="5">
        <v>1</v>
      </c>
      <c r="AM969" s="13">
        <v>5</v>
      </c>
      <c r="AN969" s="13" t="s">
        <v>25</v>
      </c>
      <c r="AO969" s="5"/>
      <c r="AP969" s="5"/>
      <c r="AQ969" s="5"/>
      <c r="AR969" s="5">
        <v>0</v>
      </c>
      <c r="AS969" s="5">
        <v>0</v>
      </c>
      <c r="AT969" s="5"/>
      <c r="AU969" s="5"/>
      <c r="AV969" s="5"/>
      <c r="AW969" s="5"/>
      <c r="AX969" s="5">
        <v>0</v>
      </c>
      <c r="AY969" s="5">
        <v>0</v>
      </c>
      <c r="AZ969" s="5">
        <v>0</v>
      </c>
      <c r="BA969" s="5">
        <v>0</v>
      </c>
    </row>
    <row r="970" spans="1:53" s="41" customFormat="1" x14ac:dyDescent="0.2">
      <c r="B970" s="14" t="str">
        <f t="shared" ref="B970:B1033" si="288">+IF(A970="",B969,A970&amp;" "&amp;D970)</f>
        <v>Greenstone et al. 2013</v>
      </c>
      <c r="C970" s="61">
        <f t="shared" ref="C970:C1033" si="289">+IF(A970="",C969,C969+1)</f>
        <v>87</v>
      </c>
      <c r="D970" s="58">
        <v>2013</v>
      </c>
      <c r="E970" s="38"/>
      <c r="F970" s="58">
        <v>1</v>
      </c>
      <c r="G970" s="5">
        <v>2007</v>
      </c>
      <c r="H970" s="44">
        <f>LOOKUP(G970,CPI!A$69:A$100,CPI!O$69:O$100)</f>
        <v>1.0516730811895323</v>
      </c>
      <c r="I970" s="52">
        <v>2010</v>
      </c>
      <c r="J970" s="43">
        <v>2.1276595744680851E-2</v>
      </c>
      <c r="K970" s="43">
        <v>2.1276595744680851E-2</v>
      </c>
      <c r="L970" s="57">
        <f t="shared" si="287"/>
        <v>2.4241459928053155E-2</v>
      </c>
      <c r="M970" s="56">
        <f t="shared" si="281"/>
        <v>38.653279143948737</v>
      </c>
      <c r="N970" s="49">
        <f t="shared" si="286"/>
        <v>31.533333333333331</v>
      </c>
      <c r="O970" s="41">
        <f>8.6*(44/12)</f>
        <v>31.533333333333331</v>
      </c>
      <c r="P970" s="5">
        <v>1</v>
      </c>
      <c r="Q970" s="5">
        <v>0</v>
      </c>
      <c r="R970" s="5">
        <v>0</v>
      </c>
      <c r="T970" s="56" t="str">
        <f t="shared" si="282"/>
        <v/>
      </c>
      <c r="U970" s="56" t="str">
        <f t="shared" si="283"/>
        <v/>
      </c>
      <c r="V970" s="56" t="str">
        <f t="shared" si="284"/>
        <v/>
      </c>
      <c r="AA970" s="37">
        <f t="shared" si="285"/>
        <v>31.533333333333331</v>
      </c>
      <c r="AF970" s="5">
        <v>0</v>
      </c>
      <c r="AG970" s="5">
        <v>1</v>
      </c>
      <c r="AH970" s="5">
        <v>1</v>
      </c>
      <c r="AI970" s="5">
        <v>1</v>
      </c>
      <c r="AJ970" s="5">
        <v>1</v>
      </c>
      <c r="AK970" s="5">
        <v>1</v>
      </c>
      <c r="AL970" s="5">
        <v>1</v>
      </c>
      <c r="AM970" s="13">
        <v>5</v>
      </c>
      <c r="AN970" s="13" t="s">
        <v>25</v>
      </c>
      <c r="AO970" s="5"/>
      <c r="AP970" s="5"/>
      <c r="AQ970" s="5"/>
      <c r="AR970" s="5">
        <v>0</v>
      </c>
      <c r="AS970" s="5">
        <v>0</v>
      </c>
      <c r="AT970" s="5"/>
      <c r="AU970" s="5"/>
      <c r="AV970" s="5"/>
      <c r="AW970" s="5"/>
      <c r="AX970" s="5">
        <v>0</v>
      </c>
      <c r="AY970" s="5">
        <v>0</v>
      </c>
      <c r="AZ970" s="5">
        <v>0</v>
      </c>
      <c r="BA970" s="5">
        <v>0</v>
      </c>
    </row>
    <row r="971" spans="1:53" s="41" customFormat="1" x14ac:dyDescent="0.2">
      <c r="B971" s="14" t="str">
        <f t="shared" si="288"/>
        <v>Greenstone et al. 2013</v>
      </c>
      <c r="C971" s="61">
        <f t="shared" si="289"/>
        <v>87</v>
      </c>
      <c r="D971" s="58">
        <v>2013</v>
      </c>
      <c r="E971" s="38"/>
      <c r="F971" s="58">
        <v>1</v>
      </c>
      <c r="G971" s="5">
        <v>2007</v>
      </c>
      <c r="H971" s="44">
        <f>LOOKUP(G971,CPI!A$69:A$100,CPI!O$69:O$100)</f>
        <v>1.0516730811895323</v>
      </c>
      <c r="I971" s="52">
        <v>2010</v>
      </c>
      <c r="J971" s="43">
        <v>2.1276595744680851E-2</v>
      </c>
      <c r="K971" s="43">
        <v>2.1276595744680851E-2</v>
      </c>
      <c r="L971" s="57">
        <f t="shared" si="287"/>
        <v>2.4241459928053155E-2</v>
      </c>
      <c r="M971" s="56">
        <f t="shared" si="281"/>
        <v>36.855452207020889</v>
      </c>
      <c r="N971" s="49">
        <f t="shared" si="286"/>
        <v>30.066666666666663</v>
      </c>
      <c r="O971" s="41">
        <f>8.2*(44/12)</f>
        <v>30.066666666666663</v>
      </c>
      <c r="P971" s="5">
        <v>1</v>
      </c>
      <c r="Q971" s="5">
        <v>0</v>
      </c>
      <c r="R971" s="5">
        <v>0</v>
      </c>
      <c r="T971" s="56" t="str">
        <f t="shared" si="282"/>
        <v/>
      </c>
      <c r="U971" s="56" t="str">
        <f t="shared" si="283"/>
        <v/>
      </c>
      <c r="V971" s="56" t="str">
        <f t="shared" si="284"/>
        <v/>
      </c>
      <c r="AA971" s="37">
        <f t="shared" si="285"/>
        <v>30.066666666666663</v>
      </c>
      <c r="AF971" s="5">
        <v>0</v>
      </c>
      <c r="AG971" s="5">
        <v>1</v>
      </c>
      <c r="AH971" s="5">
        <v>1</v>
      </c>
      <c r="AI971" s="5">
        <v>1</v>
      </c>
      <c r="AJ971" s="5">
        <v>1</v>
      </c>
      <c r="AK971" s="5">
        <v>1</v>
      </c>
      <c r="AL971" s="5">
        <v>1</v>
      </c>
      <c r="AM971" s="13">
        <v>5</v>
      </c>
      <c r="AN971" s="13" t="s">
        <v>25</v>
      </c>
      <c r="AO971" s="5"/>
      <c r="AP971" s="5"/>
      <c r="AQ971" s="5"/>
      <c r="AR971" s="5">
        <v>0</v>
      </c>
      <c r="AS971" s="5">
        <v>0</v>
      </c>
      <c r="AT971" s="5"/>
      <c r="AU971" s="5"/>
      <c r="AV971" s="5"/>
      <c r="AW971" s="5"/>
      <c r="AX971" s="5">
        <v>0</v>
      </c>
      <c r="AY971" s="5">
        <v>0</v>
      </c>
      <c r="AZ971" s="5">
        <v>0</v>
      </c>
      <c r="BA971" s="5">
        <v>0</v>
      </c>
    </row>
    <row r="972" spans="1:53" s="41" customFormat="1" x14ac:dyDescent="0.2">
      <c r="B972" s="14" t="str">
        <f t="shared" si="288"/>
        <v>Greenstone et al. 2013</v>
      </c>
      <c r="C972" s="61">
        <f t="shared" si="289"/>
        <v>87</v>
      </c>
      <c r="D972" s="58">
        <v>2013</v>
      </c>
      <c r="E972" s="38"/>
      <c r="F972" s="58">
        <v>1</v>
      </c>
      <c r="G972" s="5">
        <v>2007</v>
      </c>
      <c r="H972" s="44">
        <f>LOOKUP(G972,CPI!A$69:A$100,CPI!O$69:O$100)</f>
        <v>1.0516730811895323</v>
      </c>
      <c r="I972" s="52">
        <v>2010</v>
      </c>
      <c r="J972" s="43">
        <v>2.1276595744680851E-2</v>
      </c>
      <c r="K972" s="43">
        <v>2.1276595744680851E-2</v>
      </c>
      <c r="L972" s="57">
        <f t="shared" si="287"/>
        <v>2.4241459928053155E-2</v>
      </c>
      <c r="M972" s="56">
        <f t="shared" si="281"/>
        <v>37.304908941252862</v>
      </c>
      <c r="N972" s="49">
        <f t="shared" si="286"/>
        <v>30.433333333333334</v>
      </c>
      <c r="O972" s="41">
        <f>8.3*(44/12)</f>
        <v>30.433333333333334</v>
      </c>
      <c r="P972" s="5">
        <v>1</v>
      </c>
      <c r="Q972" s="5">
        <v>0</v>
      </c>
      <c r="R972" s="5">
        <v>0</v>
      </c>
      <c r="T972" s="56" t="str">
        <f t="shared" si="282"/>
        <v/>
      </c>
      <c r="U972" s="56" t="str">
        <f t="shared" si="283"/>
        <v/>
      </c>
      <c r="V972" s="56" t="str">
        <f t="shared" si="284"/>
        <v/>
      </c>
      <c r="AA972" s="37">
        <f t="shared" si="285"/>
        <v>30.433333333333334</v>
      </c>
      <c r="AF972" s="5">
        <v>0</v>
      </c>
      <c r="AG972" s="5">
        <v>1</v>
      </c>
      <c r="AH972" s="5">
        <v>1</v>
      </c>
      <c r="AI972" s="5">
        <v>1</v>
      </c>
      <c r="AJ972" s="5">
        <v>1</v>
      </c>
      <c r="AK972" s="5">
        <v>1</v>
      </c>
      <c r="AL972" s="5">
        <v>1</v>
      </c>
      <c r="AM972" s="13">
        <v>5</v>
      </c>
      <c r="AN972" s="13" t="s">
        <v>25</v>
      </c>
      <c r="AO972" s="5"/>
      <c r="AP972" s="5"/>
      <c r="AQ972" s="5"/>
      <c r="AR972" s="5">
        <v>0</v>
      </c>
      <c r="AS972" s="5">
        <v>0</v>
      </c>
      <c r="AT972" s="5"/>
      <c r="AU972" s="5"/>
      <c r="AV972" s="5"/>
      <c r="AW972" s="5"/>
      <c r="AX972" s="5">
        <v>0</v>
      </c>
      <c r="AY972" s="5">
        <v>0</v>
      </c>
      <c r="AZ972" s="5">
        <v>0</v>
      </c>
      <c r="BA972" s="5">
        <v>0</v>
      </c>
    </row>
    <row r="973" spans="1:53" s="41" customFormat="1" x14ac:dyDescent="0.2">
      <c r="B973" s="14" t="str">
        <f t="shared" si="288"/>
        <v>Greenstone et al. 2013</v>
      </c>
      <c r="C973" s="61">
        <f t="shared" si="289"/>
        <v>87</v>
      </c>
      <c r="D973" s="58">
        <v>2013</v>
      </c>
      <c r="E973" s="38"/>
      <c r="F973" s="58">
        <v>1</v>
      </c>
      <c r="G973" s="5">
        <v>2007</v>
      </c>
      <c r="H973" s="44">
        <f>LOOKUP(G973,CPI!A$69:A$100,CPI!O$69:O$100)</f>
        <v>1.0516730811895323</v>
      </c>
      <c r="I973" s="52">
        <v>2010</v>
      </c>
      <c r="J973" s="43">
        <v>2.1276595744680851E-2</v>
      </c>
      <c r="K973" s="43">
        <v>2.1276595744680851E-2</v>
      </c>
      <c r="L973" s="57">
        <f t="shared" si="287"/>
        <v>2.4241459928053155E-2</v>
      </c>
      <c r="M973" s="56">
        <f t="shared" si="281"/>
        <v>23.37175018006203</v>
      </c>
      <c r="N973" s="49">
        <f t="shared" si="286"/>
        <v>19.066666666666666</v>
      </c>
      <c r="O973" s="41">
        <f>5.2*(44/12)</f>
        <v>19.066666666666666</v>
      </c>
      <c r="P973" s="5">
        <v>1</v>
      </c>
      <c r="Q973" s="5">
        <v>0</v>
      </c>
      <c r="R973" s="5">
        <v>0</v>
      </c>
      <c r="T973" s="56" t="str">
        <f t="shared" si="282"/>
        <v/>
      </c>
      <c r="U973" s="56" t="str">
        <f t="shared" si="283"/>
        <v/>
      </c>
      <c r="V973" s="56" t="str">
        <f t="shared" si="284"/>
        <v/>
      </c>
      <c r="AA973" s="37">
        <f t="shared" si="285"/>
        <v>19.066666666666666</v>
      </c>
      <c r="AF973" s="5">
        <v>0</v>
      </c>
      <c r="AG973" s="5">
        <v>1</v>
      </c>
      <c r="AH973" s="5">
        <v>1</v>
      </c>
      <c r="AI973" s="5">
        <v>1</v>
      </c>
      <c r="AJ973" s="5">
        <v>1</v>
      </c>
      <c r="AK973" s="5">
        <v>1</v>
      </c>
      <c r="AL973" s="5">
        <v>1</v>
      </c>
      <c r="AM973" s="13">
        <v>5</v>
      </c>
      <c r="AN973" s="13" t="s">
        <v>25</v>
      </c>
      <c r="AO973" s="5"/>
      <c r="AP973" s="5"/>
      <c r="AQ973" s="5"/>
      <c r="AR973" s="5">
        <v>0</v>
      </c>
      <c r="AS973" s="5">
        <v>0</v>
      </c>
      <c r="AT973" s="5"/>
      <c r="AU973" s="5"/>
      <c r="AV973" s="5"/>
      <c r="AW973" s="5"/>
      <c r="AX973" s="5">
        <v>0</v>
      </c>
      <c r="AY973" s="5">
        <v>0</v>
      </c>
      <c r="AZ973" s="5">
        <v>0</v>
      </c>
      <c r="BA973" s="5">
        <v>0</v>
      </c>
    </row>
    <row r="974" spans="1:53" s="41" customFormat="1" x14ac:dyDescent="0.2">
      <c r="B974" s="14" t="str">
        <f t="shared" si="288"/>
        <v>Greenstone et al. 2013</v>
      </c>
      <c r="C974" s="61">
        <f t="shared" si="289"/>
        <v>87</v>
      </c>
      <c r="D974" s="58">
        <v>2013</v>
      </c>
      <c r="E974" s="38"/>
      <c r="F974" s="58">
        <v>1</v>
      </c>
      <c r="G974" s="5">
        <v>2007</v>
      </c>
      <c r="H974" s="44">
        <f>LOOKUP(G974,CPI!A$69:A$100,CPI!O$69:O$100)</f>
        <v>1.0516730811895323</v>
      </c>
      <c r="I974" s="52">
        <v>2010</v>
      </c>
      <c r="J974" s="43">
        <v>2.1276595744680851E-2</v>
      </c>
      <c r="K974" s="43">
        <v>2.1276595744680851E-2</v>
      </c>
      <c r="L974" s="57">
        <f t="shared" si="287"/>
        <v>2.4241459928053155E-2</v>
      </c>
      <c r="M974" s="56">
        <f t="shared" si="281"/>
        <v>32.360884864701269</v>
      </c>
      <c r="N974" s="49">
        <f t="shared" si="286"/>
        <v>26.4</v>
      </c>
      <c r="O974" s="41">
        <f>7.2*(44/12)</f>
        <v>26.4</v>
      </c>
      <c r="P974" s="5">
        <v>1</v>
      </c>
      <c r="Q974" s="5">
        <v>0</v>
      </c>
      <c r="R974" s="5">
        <v>0</v>
      </c>
      <c r="T974" s="56" t="str">
        <f t="shared" si="282"/>
        <v/>
      </c>
      <c r="U974" s="56" t="str">
        <f t="shared" si="283"/>
        <v/>
      </c>
      <c r="V974" s="56" t="str">
        <f t="shared" si="284"/>
        <v/>
      </c>
      <c r="AA974" s="37">
        <f t="shared" si="285"/>
        <v>26.4</v>
      </c>
      <c r="AF974" s="5">
        <v>0</v>
      </c>
      <c r="AG974" s="5">
        <v>1</v>
      </c>
      <c r="AH974" s="5">
        <v>1</v>
      </c>
      <c r="AI974" s="5">
        <v>1</v>
      </c>
      <c r="AJ974" s="5">
        <v>1</v>
      </c>
      <c r="AK974" s="5">
        <v>1</v>
      </c>
      <c r="AL974" s="5">
        <v>1</v>
      </c>
      <c r="AM974" s="13">
        <v>5</v>
      </c>
      <c r="AN974" s="13" t="s">
        <v>25</v>
      </c>
      <c r="AO974" s="5"/>
      <c r="AP974" s="5"/>
      <c r="AQ974" s="5"/>
      <c r="AR974" s="5">
        <v>0</v>
      </c>
      <c r="AS974" s="5">
        <v>0</v>
      </c>
      <c r="AT974" s="5"/>
      <c r="AU974" s="5"/>
      <c r="AV974" s="5"/>
      <c r="AW974" s="5"/>
      <c r="AX974" s="5">
        <v>0</v>
      </c>
      <c r="AY974" s="5">
        <v>0</v>
      </c>
      <c r="AZ974" s="5">
        <v>0</v>
      </c>
      <c r="BA974" s="5">
        <v>0</v>
      </c>
    </row>
    <row r="975" spans="1:53" s="41" customFormat="1" x14ac:dyDescent="0.2">
      <c r="B975" s="14" t="str">
        <f t="shared" si="288"/>
        <v>Greenstone et al. 2013</v>
      </c>
      <c r="C975" s="61">
        <f t="shared" si="289"/>
        <v>87</v>
      </c>
      <c r="D975" s="58">
        <v>2013</v>
      </c>
      <c r="E975" s="38"/>
      <c r="F975" s="58">
        <v>1</v>
      </c>
      <c r="G975" s="5">
        <v>2007</v>
      </c>
      <c r="H975" s="44">
        <f>LOOKUP(G975,CPI!A$69:A$100,CPI!O$69:O$100)</f>
        <v>1.0516730811895323</v>
      </c>
      <c r="I975" s="52">
        <v>2010</v>
      </c>
      <c r="J975" s="43">
        <v>2.1276595744680851E-2</v>
      </c>
      <c r="K975" s="43">
        <v>2.1276595744680851E-2</v>
      </c>
      <c r="L975" s="57">
        <f t="shared" si="287"/>
        <v>2.4241459928053155E-2</v>
      </c>
      <c r="M975" s="56">
        <f t="shared" si="281"/>
        <v>28.765230990845577</v>
      </c>
      <c r="N975" s="49">
        <f t="shared" si="286"/>
        <v>23.466666666666669</v>
      </c>
      <c r="O975" s="41">
        <f>6.4*(44/12)</f>
        <v>23.466666666666669</v>
      </c>
      <c r="P975" s="5">
        <v>1</v>
      </c>
      <c r="Q975" s="5">
        <v>0</v>
      </c>
      <c r="R975" s="5">
        <v>0</v>
      </c>
      <c r="T975" s="56" t="str">
        <f t="shared" si="282"/>
        <v/>
      </c>
      <c r="U975" s="56" t="str">
        <f t="shared" si="283"/>
        <v/>
      </c>
      <c r="V975" s="56" t="str">
        <f t="shared" si="284"/>
        <v/>
      </c>
      <c r="AA975" s="37">
        <f t="shared" si="285"/>
        <v>23.466666666666669</v>
      </c>
      <c r="AF975" s="5">
        <v>0</v>
      </c>
      <c r="AG975" s="5">
        <v>1</v>
      </c>
      <c r="AH975" s="5">
        <v>1</v>
      </c>
      <c r="AI975" s="5">
        <v>1</v>
      </c>
      <c r="AJ975" s="5">
        <v>1</v>
      </c>
      <c r="AK975" s="5">
        <v>1</v>
      </c>
      <c r="AL975" s="5">
        <v>1</v>
      </c>
      <c r="AM975" s="13">
        <v>5</v>
      </c>
      <c r="AN975" s="13" t="s">
        <v>25</v>
      </c>
      <c r="AO975" s="5"/>
      <c r="AP975" s="5"/>
      <c r="AQ975" s="5"/>
      <c r="AR975" s="5">
        <v>0</v>
      </c>
      <c r="AS975" s="5">
        <v>0</v>
      </c>
      <c r="AT975" s="5"/>
      <c r="AU975" s="5"/>
      <c r="AV975" s="5"/>
      <c r="AW975" s="5"/>
      <c r="AX975" s="5">
        <v>0</v>
      </c>
      <c r="AY975" s="5">
        <v>0</v>
      </c>
      <c r="AZ975" s="5">
        <v>0</v>
      </c>
      <c r="BA975" s="5">
        <v>0</v>
      </c>
    </row>
    <row r="976" spans="1:53" s="41" customFormat="1" x14ac:dyDescent="0.2">
      <c r="B976" s="14" t="str">
        <f t="shared" si="288"/>
        <v>Greenstone et al. 2013</v>
      </c>
      <c r="C976" s="61">
        <f t="shared" si="289"/>
        <v>87</v>
      </c>
      <c r="D976" s="58">
        <v>2013</v>
      </c>
      <c r="E976" s="38"/>
      <c r="F976" s="58">
        <v>1</v>
      </c>
      <c r="G976" s="5">
        <v>2007</v>
      </c>
      <c r="H976" s="44">
        <f>LOOKUP(G976,CPI!A$69:A$100,CPI!O$69:O$100)</f>
        <v>1.0516730811895323</v>
      </c>
      <c r="I976" s="52">
        <v>2010</v>
      </c>
      <c r="J976" s="43">
        <v>2.1276595744680851E-2</v>
      </c>
      <c r="K976" s="43">
        <v>2.1276595744680851E-2</v>
      </c>
      <c r="L976" s="57">
        <f t="shared" si="287"/>
        <v>2.4241459928053155E-2</v>
      </c>
      <c r="M976" s="56">
        <f t="shared" si="281"/>
        <v>24.720120382757916</v>
      </c>
      <c r="N976" s="49">
        <f t="shared" si="286"/>
        <v>20.166666666666664</v>
      </c>
      <c r="O976" s="41">
        <f>5.5*(44/12)</f>
        <v>20.166666666666664</v>
      </c>
      <c r="P976" s="5">
        <v>1</v>
      </c>
      <c r="Q976" s="5">
        <v>0</v>
      </c>
      <c r="R976" s="5">
        <v>0</v>
      </c>
      <c r="T976" s="56" t="str">
        <f t="shared" si="282"/>
        <v/>
      </c>
      <c r="U976" s="56" t="str">
        <f t="shared" si="283"/>
        <v/>
      </c>
      <c r="V976" s="56" t="str">
        <f t="shared" si="284"/>
        <v/>
      </c>
      <c r="AA976" s="37">
        <f t="shared" si="285"/>
        <v>20.166666666666664</v>
      </c>
      <c r="AF976" s="5">
        <v>0</v>
      </c>
      <c r="AG976" s="5">
        <v>1</v>
      </c>
      <c r="AH976" s="5">
        <v>1</v>
      </c>
      <c r="AI976" s="5">
        <v>1</v>
      </c>
      <c r="AJ976" s="5">
        <v>1</v>
      </c>
      <c r="AK976" s="5">
        <v>1</v>
      </c>
      <c r="AL976" s="5">
        <v>1</v>
      </c>
      <c r="AM976" s="13">
        <v>5</v>
      </c>
      <c r="AN976" s="13" t="s">
        <v>25</v>
      </c>
      <c r="AO976" s="5"/>
      <c r="AP976" s="5"/>
      <c r="AQ976" s="5"/>
      <c r="AR976" s="5">
        <v>0</v>
      </c>
      <c r="AS976" s="5">
        <v>0</v>
      </c>
      <c r="AT976" s="5"/>
      <c r="AU976" s="5"/>
      <c r="AV976" s="5"/>
      <c r="AW976" s="5"/>
      <c r="AX976" s="5">
        <v>0</v>
      </c>
      <c r="AY976" s="5">
        <v>0</v>
      </c>
      <c r="AZ976" s="5">
        <v>0</v>
      </c>
      <c r="BA976" s="5">
        <v>0</v>
      </c>
    </row>
    <row r="977" spans="2:53" s="41" customFormat="1" x14ac:dyDescent="0.2">
      <c r="B977" s="14" t="str">
        <f t="shared" si="288"/>
        <v>Greenstone et al. 2013</v>
      </c>
      <c r="C977" s="61">
        <f t="shared" si="289"/>
        <v>87</v>
      </c>
      <c r="D977" s="58">
        <v>2013</v>
      </c>
      <c r="E977" s="38"/>
      <c r="F977" s="58">
        <v>1</v>
      </c>
      <c r="G977" s="5">
        <v>2007</v>
      </c>
      <c r="H977" s="44">
        <f>LOOKUP(G977,CPI!A$69:A$100,CPI!O$69:O$100)</f>
        <v>1.0516730811895323</v>
      </c>
      <c r="I977" s="52">
        <v>2010</v>
      </c>
      <c r="J977" s="43">
        <v>2.1276595744680851E-2</v>
      </c>
      <c r="K977" s="43">
        <v>2.1276595744680851E-2</v>
      </c>
      <c r="L977" s="57">
        <f t="shared" si="287"/>
        <v>2.4241459928053155E-2</v>
      </c>
      <c r="M977" s="56">
        <f t="shared" si="281"/>
        <v>-5.8429375450155074</v>
      </c>
      <c r="N977" s="49">
        <f t="shared" si="286"/>
        <v>-4.7666666666666666</v>
      </c>
      <c r="O977" s="41">
        <f>-1.3*(44/12)</f>
        <v>-4.7666666666666666</v>
      </c>
      <c r="P977" s="5">
        <v>1</v>
      </c>
      <c r="Q977" s="5">
        <v>0</v>
      </c>
      <c r="R977" s="5">
        <v>0</v>
      </c>
      <c r="T977" s="56" t="str">
        <f t="shared" si="282"/>
        <v/>
      </c>
      <c r="U977" s="56" t="str">
        <f t="shared" si="283"/>
        <v/>
      </c>
      <c r="V977" s="56" t="str">
        <f t="shared" si="284"/>
        <v/>
      </c>
      <c r="AA977" s="37">
        <f t="shared" si="285"/>
        <v>-4.7666666666666666</v>
      </c>
      <c r="AF977" s="5">
        <v>0</v>
      </c>
      <c r="AG977" s="5">
        <v>1</v>
      </c>
      <c r="AH977" s="5">
        <v>1</v>
      </c>
      <c r="AI977" s="5">
        <v>1</v>
      </c>
      <c r="AJ977" s="5">
        <v>1</v>
      </c>
      <c r="AK977" s="5">
        <v>1</v>
      </c>
      <c r="AL977" s="5">
        <v>1</v>
      </c>
      <c r="AM977" s="13">
        <v>5</v>
      </c>
      <c r="AN977" s="13" t="s">
        <v>25</v>
      </c>
      <c r="AO977" s="5"/>
      <c r="AP977" s="5"/>
      <c r="AQ977" s="5"/>
      <c r="AR977" s="5">
        <v>0</v>
      </c>
      <c r="AS977" s="5">
        <v>0</v>
      </c>
      <c r="AT977" s="5"/>
      <c r="AU977" s="5"/>
      <c r="AV977" s="5"/>
      <c r="AW977" s="5"/>
      <c r="AX977" s="5">
        <v>0</v>
      </c>
      <c r="AY977" s="5">
        <v>0</v>
      </c>
      <c r="AZ977" s="5">
        <v>0</v>
      </c>
      <c r="BA977" s="5">
        <v>0</v>
      </c>
    </row>
    <row r="978" spans="2:53" s="41" customFormat="1" x14ac:dyDescent="0.2">
      <c r="B978" s="14" t="str">
        <f t="shared" si="288"/>
        <v>Greenstone et al. 2013</v>
      </c>
      <c r="C978" s="61">
        <f t="shared" si="289"/>
        <v>87</v>
      </c>
      <c r="D978" s="58">
        <v>2013</v>
      </c>
      <c r="E978" s="38"/>
      <c r="F978" s="58">
        <v>1</v>
      </c>
      <c r="G978" s="5">
        <v>2007</v>
      </c>
      <c r="H978" s="44">
        <f>LOOKUP(G978,CPI!A$69:A$100,CPI!O$69:O$100)</f>
        <v>1.0516730811895323</v>
      </c>
      <c r="I978" s="52">
        <v>2010</v>
      </c>
      <c r="J978" s="43">
        <v>2.1276595744680851E-2</v>
      </c>
      <c r="K978" s="43">
        <v>2.1276595744680851E-2</v>
      </c>
      <c r="L978" s="57">
        <f t="shared" si="287"/>
        <v>2.4241459928053155E-2</v>
      </c>
      <c r="M978" s="56">
        <f t="shared" si="281"/>
        <v>-1.3483702026958861</v>
      </c>
      <c r="N978" s="49">
        <f t="shared" si="286"/>
        <v>-1.0999999999999999</v>
      </c>
      <c r="O978" s="41">
        <f>-0.3*(44/12)</f>
        <v>-1.0999999999999999</v>
      </c>
      <c r="P978" s="5">
        <v>1</v>
      </c>
      <c r="Q978" s="5">
        <v>0</v>
      </c>
      <c r="R978" s="5">
        <v>0</v>
      </c>
      <c r="T978" s="56" t="str">
        <f t="shared" si="282"/>
        <v/>
      </c>
      <c r="U978" s="56" t="str">
        <f t="shared" si="283"/>
        <v/>
      </c>
      <c r="V978" s="56" t="str">
        <f t="shared" si="284"/>
        <v/>
      </c>
      <c r="AA978" s="37">
        <f t="shared" si="285"/>
        <v>-1.0999999999999999</v>
      </c>
      <c r="AF978" s="5">
        <v>0</v>
      </c>
      <c r="AG978" s="5">
        <v>1</v>
      </c>
      <c r="AH978" s="5">
        <v>1</v>
      </c>
      <c r="AI978" s="5">
        <v>1</v>
      </c>
      <c r="AJ978" s="5">
        <v>1</v>
      </c>
      <c r="AK978" s="5">
        <v>1</v>
      </c>
      <c r="AL978" s="5">
        <v>1</v>
      </c>
      <c r="AM978" s="13">
        <v>5</v>
      </c>
      <c r="AN978" s="13" t="s">
        <v>25</v>
      </c>
      <c r="AO978" s="5"/>
      <c r="AP978" s="5"/>
      <c r="AQ978" s="5"/>
      <c r="AR978" s="5">
        <v>0</v>
      </c>
      <c r="AS978" s="5">
        <v>0</v>
      </c>
      <c r="AT978" s="5"/>
      <c r="AU978" s="5"/>
      <c r="AV978" s="5"/>
      <c r="AW978" s="5"/>
      <c r="AX978" s="5">
        <v>0</v>
      </c>
      <c r="AY978" s="5">
        <v>0</v>
      </c>
      <c r="AZ978" s="5">
        <v>0</v>
      </c>
      <c r="BA978" s="5">
        <v>0</v>
      </c>
    </row>
    <row r="979" spans="2:53" s="41" customFormat="1" x14ac:dyDescent="0.2">
      <c r="B979" s="14" t="str">
        <f t="shared" si="288"/>
        <v>Greenstone et al. 2013</v>
      </c>
      <c r="C979" s="61">
        <f t="shared" si="289"/>
        <v>87</v>
      </c>
      <c r="D979" s="58">
        <v>2013</v>
      </c>
      <c r="E979" s="38"/>
      <c r="F979" s="58">
        <v>1</v>
      </c>
      <c r="G979" s="5">
        <v>2007</v>
      </c>
      <c r="H979" s="44">
        <f>LOOKUP(G979,CPI!A$69:A$100,CPI!O$69:O$100)</f>
        <v>1.0516730811895323</v>
      </c>
      <c r="I979" s="52">
        <v>2010</v>
      </c>
      <c r="J979" s="43">
        <v>2.1276595744680851E-2</v>
      </c>
      <c r="K979" s="43">
        <v>2.1276595744680851E-2</v>
      </c>
      <c r="L979" s="57">
        <f t="shared" si="287"/>
        <v>2.4241459928053155E-2</v>
      </c>
      <c r="M979" s="56">
        <f t="shared" si="281"/>
        <v>-8.5396779504072793</v>
      </c>
      <c r="N979" s="49">
        <f t="shared" si="286"/>
        <v>-6.9666666666666659</v>
      </c>
      <c r="O979" s="41">
        <f>-1.9*(44/12)</f>
        <v>-6.9666666666666659</v>
      </c>
      <c r="P979" s="5">
        <v>1</v>
      </c>
      <c r="Q979" s="5">
        <v>0</v>
      </c>
      <c r="R979" s="5">
        <v>0</v>
      </c>
      <c r="T979" s="56" t="str">
        <f t="shared" si="282"/>
        <v/>
      </c>
      <c r="U979" s="56" t="str">
        <f t="shared" si="283"/>
        <v/>
      </c>
      <c r="V979" s="56" t="str">
        <f t="shared" si="284"/>
        <v/>
      </c>
      <c r="AA979" s="37">
        <f t="shared" si="285"/>
        <v>-6.9666666666666659</v>
      </c>
      <c r="AF979" s="5">
        <v>0</v>
      </c>
      <c r="AG979" s="5">
        <v>1</v>
      </c>
      <c r="AH979" s="5">
        <v>1</v>
      </c>
      <c r="AI979" s="5">
        <v>1</v>
      </c>
      <c r="AJ979" s="5">
        <v>1</v>
      </c>
      <c r="AK979" s="5">
        <v>1</v>
      </c>
      <c r="AL979" s="5">
        <v>1</v>
      </c>
      <c r="AM979" s="13">
        <v>5</v>
      </c>
      <c r="AN979" s="13" t="s">
        <v>25</v>
      </c>
      <c r="AO979" s="5"/>
      <c r="AP979" s="5"/>
      <c r="AQ979" s="5"/>
      <c r="AR979" s="5">
        <v>0</v>
      </c>
      <c r="AS979" s="5">
        <v>0</v>
      </c>
      <c r="AT979" s="5"/>
      <c r="AU979" s="5"/>
      <c r="AV979" s="5"/>
      <c r="AW979" s="5"/>
      <c r="AX979" s="5">
        <v>0</v>
      </c>
      <c r="AY979" s="5">
        <v>0</v>
      </c>
      <c r="AZ979" s="5">
        <v>0</v>
      </c>
      <c r="BA979" s="5">
        <v>0</v>
      </c>
    </row>
    <row r="980" spans="2:53" s="41" customFormat="1" x14ac:dyDescent="0.2">
      <c r="B980" s="14" t="str">
        <f t="shared" si="288"/>
        <v>Greenstone et al. 2013</v>
      </c>
      <c r="C980" s="61">
        <f t="shared" si="289"/>
        <v>87</v>
      </c>
      <c r="D980" s="58">
        <v>2013</v>
      </c>
      <c r="E980" s="38"/>
      <c r="F980" s="58">
        <v>1</v>
      </c>
      <c r="G980" s="5">
        <v>2007</v>
      </c>
      <c r="H980" s="44">
        <f>LOOKUP(G980,CPI!A$69:A$100,CPI!O$69:O$100)</f>
        <v>1.0516730811895323</v>
      </c>
      <c r="I980" s="52">
        <v>2010</v>
      </c>
      <c r="J980" s="43">
        <v>2.1276595744680851E-2</v>
      </c>
      <c r="K980" s="43">
        <v>2.1276595744680851E-2</v>
      </c>
      <c r="L980" s="57">
        <f t="shared" si="287"/>
        <v>2.4241459928053155E-2</v>
      </c>
      <c r="M980" s="56">
        <f t="shared" si="281"/>
        <v>-2.6967404053917723</v>
      </c>
      <c r="N980" s="49">
        <f t="shared" si="286"/>
        <v>-2.1999999999999997</v>
      </c>
      <c r="O980" s="41">
        <f>-0.6*(44/12)</f>
        <v>-2.1999999999999997</v>
      </c>
      <c r="P980" s="5">
        <v>1</v>
      </c>
      <c r="Q980" s="5">
        <v>0</v>
      </c>
      <c r="R980" s="5">
        <v>0</v>
      </c>
      <c r="T980" s="56" t="str">
        <f t="shared" si="282"/>
        <v/>
      </c>
      <c r="U980" s="56" t="str">
        <f t="shared" si="283"/>
        <v/>
      </c>
      <c r="V980" s="56" t="str">
        <f t="shared" si="284"/>
        <v/>
      </c>
      <c r="AA980" s="37">
        <f t="shared" si="285"/>
        <v>-2.1999999999999997</v>
      </c>
      <c r="AF980" s="5">
        <v>0</v>
      </c>
      <c r="AG980" s="5">
        <v>1</v>
      </c>
      <c r="AH980" s="5">
        <v>1</v>
      </c>
      <c r="AI980" s="5">
        <v>1</v>
      </c>
      <c r="AJ980" s="5">
        <v>1</v>
      </c>
      <c r="AK980" s="5">
        <v>1</v>
      </c>
      <c r="AL980" s="5">
        <v>1</v>
      </c>
      <c r="AM980" s="13">
        <v>5</v>
      </c>
      <c r="AN980" s="13" t="s">
        <v>25</v>
      </c>
      <c r="AO980" s="5"/>
      <c r="AP980" s="5"/>
      <c r="AQ980" s="5"/>
      <c r="AR980" s="5">
        <v>0</v>
      </c>
      <c r="AS980" s="5">
        <v>0</v>
      </c>
      <c r="AT980" s="5"/>
      <c r="AU980" s="5"/>
      <c r="AV980" s="5"/>
      <c r="AW980" s="5"/>
      <c r="AX980" s="5">
        <v>0</v>
      </c>
      <c r="AY980" s="5">
        <v>0</v>
      </c>
      <c r="AZ980" s="5">
        <v>0</v>
      </c>
      <c r="BA980" s="5">
        <v>0</v>
      </c>
    </row>
    <row r="981" spans="2:53" s="41" customFormat="1" x14ac:dyDescent="0.2">
      <c r="B981" s="14" t="str">
        <f t="shared" si="288"/>
        <v>Greenstone et al. 2013</v>
      </c>
      <c r="C981" s="61">
        <f t="shared" si="289"/>
        <v>87</v>
      </c>
      <c r="D981" s="58">
        <v>2013</v>
      </c>
      <c r="E981" s="38"/>
      <c r="F981" s="58">
        <v>1</v>
      </c>
      <c r="G981" s="5">
        <v>2007</v>
      </c>
      <c r="H981" s="44">
        <f>LOOKUP(G981,CPI!A$69:A$100,CPI!O$69:O$100)</f>
        <v>1.0516730811895323</v>
      </c>
      <c r="I981" s="52">
        <v>2010</v>
      </c>
      <c r="J981" s="43">
        <v>2.1276595744680851E-2</v>
      </c>
      <c r="K981" s="43">
        <v>2.1276595744680851E-2</v>
      </c>
      <c r="L981" s="57">
        <f t="shared" si="287"/>
        <v>2.4241459928053155E-2</v>
      </c>
      <c r="M981" s="56">
        <f t="shared" si="281"/>
        <v>-12.135331824262977</v>
      </c>
      <c r="N981" s="49">
        <f t="shared" si="286"/>
        <v>-9.9</v>
      </c>
      <c r="O981" s="41">
        <f>-2.7*(44/12)</f>
        <v>-9.9</v>
      </c>
      <c r="P981" s="5">
        <v>1</v>
      </c>
      <c r="Q981" s="5">
        <v>0</v>
      </c>
      <c r="R981" s="5">
        <v>0</v>
      </c>
      <c r="T981" s="56" t="str">
        <f t="shared" si="282"/>
        <v/>
      </c>
      <c r="U981" s="56" t="str">
        <f t="shared" si="283"/>
        <v/>
      </c>
      <c r="V981" s="56" t="str">
        <f t="shared" si="284"/>
        <v/>
      </c>
      <c r="AA981" s="37">
        <f t="shared" si="285"/>
        <v>-9.9</v>
      </c>
      <c r="AF981" s="5">
        <v>0</v>
      </c>
      <c r="AG981" s="5">
        <v>1</v>
      </c>
      <c r="AH981" s="5">
        <v>1</v>
      </c>
      <c r="AI981" s="5">
        <v>1</v>
      </c>
      <c r="AJ981" s="5">
        <v>1</v>
      </c>
      <c r="AK981" s="5">
        <v>1</v>
      </c>
      <c r="AL981" s="5">
        <v>1</v>
      </c>
      <c r="AM981" s="13">
        <v>5</v>
      </c>
      <c r="AN981" s="13" t="s">
        <v>25</v>
      </c>
      <c r="AO981" s="5"/>
      <c r="AP981" s="5"/>
      <c r="AQ981" s="5"/>
      <c r="AR981" s="5">
        <v>0</v>
      </c>
      <c r="AS981" s="5">
        <v>0</v>
      </c>
      <c r="AT981" s="5"/>
      <c r="AU981" s="5"/>
      <c r="AV981" s="5"/>
      <c r="AW981" s="5"/>
      <c r="AX981" s="5">
        <v>0</v>
      </c>
      <c r="AY981" s="5">
        <v>0</v>
      </c>
      <c r="AZ981" s="5">
        <v>0</v>
      </c>
      <c r="BA981" s="5">
        <v>0</v>
      </c>
    </row>
    <row r="982" spans="2:53" s="41" customFormat="1" x14ac:dyDescent="0.2">
      <c r="B982" s="14" t="str">
        <f t="shared" si="288"/>
        <v>Greenstone et al. 2013</v>
      </c>
      <c r="C982" s="61">
        <f t="shared" si="289"/>
        <v>87</v>
      </c>
      <c r="D982" s="58">
        <v>2013</v>
      </c>
      <c r="E982" s="38"/>
      <c r="F982" s="58">
        <v>1</v>
      </c>
      <c r="G982" s="5">
        <v>2007</v>
      </c>
      <c r="H982" s="44">
        <f>LOOKUP(G982,CPI!A$69:A$100,CPI!O$69:O$100)</f>
        <v>1.0516730811895323</v>
      </c>
      <c r="I982" s="52">
        <v>2010</v>
      </c>
      <c r="J982" s="43">
        <v>2.1276595744680851E-2</v>
      </c>
      <c r="K982" s="43">
        <v>2.1276595744680851E-2</v>
      </c>
      <c r="L982" s="57">
        <f t="shared" si="287"/>
        <v>2.4241459928053155E-2</v>
      </c>
      <c r="M982" s="56">
        <f t="shared" si="281"/>
        <v>160.90551085504242</v>
      </c>
      <c r="N982" s="49">
        <f t="shared" ref="N982:N1011" si="290">+O982</f>
        <v>131.26666666666665</v>
      </c>
      <c r="O982" s="41">
        <f>35.8*(44/12)</f>
        <v>131.26666666666665</v>
      </c>
      <c r="P982" s="5">
        <v>1</v>
      </c>
      <c r="Q982" s="5">
        <v>0</v>
      </c>
      <c r="R982" s="5">
        <v>0</v>
      </c>
      <c r="T982" s="56" t="str">
        <f t="shared" si="282"/>
        <v/>
      </c>
      <c r="U982" s="56">
        <f t="shared" si="283"/>
        <v>80.260131112850374</v>
      </c>
      <c r="V982" s="56">
        <f t="shared" ref="V982:V996" si="291">+(AD982-AA982)/1.96*H982*(1+$L$2)^(2015-I982)</f>
        <v>80.260131112850374</v>
      </c>
      <c r="AA982" s="37">
        <f t="shared" si="285"/>
        <v>131.26666666666665</v>
      </c>
      <c r="AD982" s="41">
        <f>70.8*(44/12)</f>
        <v>259.59999999999997</v>
      </c>
      <c r="AF982" s="5">
        <v>0</v>
      </c>
      <c r="AG982" s="5">
        <v>1</v>
      </c>
      <c r="AH982" s="5">
        <v>1</v>
      </c>
      <c r="AI982" s="5">
        <v>1</v>
      </c>
      <c r="AJ982" s="5">
        <v>1</v>
      </c>
      <c r="AK982" s="5">
        <v>1</v>
      </c>
      <c r="AL982" s="5">
        <v>1</v>
      </c>
      <c r="AM982" s="13">
        <v>3</v>
      </c>
      <c r="AN982" s="13" t="s">
        <v>25</v>
      </c>
      <c r="AO982" s="5"/>
      <c r="AP982" s="5"/>
      <c r="AQ982" s="5"/>
      <c r="AR982" s="5">
        <v>0</v>
      </c>
      <c r="AS982" s="5">
        <v>0</v>
      </c>
      <c r="AT982" s="5"/>
      <c r="AU982" s="5"/>
      <c r="AV982" s="5"/>
      <c r="AW982" s="5"/>
      <c r="AX982" s="5">
        <v>0</v>
      </c>
      <c r="AY982" s="5">
        <v>0</v>
      </c>
      <c r="AZ982" s="5">
        <v>0</v>
      </c>
      <c r="BA982" s="5">
        <v>0</v>
      </c>
    </row>
    <row r="983" spans="2:53" s="41" customFormat="1" x14ac:dyDescent="0.2">
      <c r="B983" s="14" t="str">
        <f t="shared" si="288"/>
        <v>Greenstone et al. 2013</v>
      </c>
      <c r="C983" s="61">
        <f t="shared" si="289"/>
        <v>87</v>
      </c>
      <c r="D983" s="58">
        <v>2013</v>
      </c>
      <c r="E983" s="38"/>
      <c r="F983" s="58">
        <v>1</v>
      </c>
      <c r="G983" s="5">
        <v>2007</v>
      </c>
      <c r="H983" s="44">
        <f>LOOKUP(G983,CPI!A$69:A$100,CPI!O$69:O$100)</f>
        <v>1.0516730811895323</v>
      </c>
      <c r="I983" s="52">
        <v>2010</v>
      </c>
      <c r="J983" s="43">
        <v>2.1276595744680851E-2</v>
      </c>
      <c r="K983" s="43">
        <v>2.1276595744680851E-2</v>
      </c>
      <c r="L983" s="57">
        <f t="shared" si="287"/>
        <v>2.4241459928053155E-2</v>
      </c>
      <c r="M983" s="56">
        <f t="shared" si="281"/>
        <v>98.880481531031663</v>
      </c>
      <c r="N983" s="49">
        <f t="shared" si="290"/>
        <v>80.666666666666657</v>
      </c>
      <c r="O983" s="41">
        <f>22*(44/12)</f>
        <v>80.666666666666657</v>
      </c>
      <c r="P983" s="5">
        <v>1</v>
      </c>
      <c r="Q983" s="5">
        <v>0</v>
      </c>
      <c r="R983" s="5">
        <v>0</v>
      </c>
      <c r="T983" s="56" t="str">
        <f t="shared" si="282"/>
        <v/>
      </c>
      <c r="U983" s="56">
        <f t="shared" si="283"/>
        <v>46.092246724808376</v>
      </c>
      <c r="V983" s="56">
        <f t="shared" si="291"/>
        <v>46.092246724808376</v>
      </c>
      <c r="AA983" s="37">
        <f t="shared" si="285"/>
        <v>80.666666666666657</v>
      </c>
      <c r="AD983" s="41">
        <f>42.1*(44/12)</f>
        <v>154.36666666666667</v>
      </c>
      <c r="AF983" s="5">
        <v>0</v>
      </c>
      <c r="AG983" s="5">
        <v>1</v>
      </c>
      <c r="AH983" s="5">
        <v>1</v>
      </c>
      <c r="AI983" s="5">
        <v>1</v>
      </c>
      <c r="AJ983" s="5">
        <v>1</v>
      </c>
      <c r="AK983" s="5">
        <v>1</v>
      </c>
      <c r="AL983" s="5">
        <v>1</v>
      </c>
      <c r="AM983" s="13">
        <v>3</v>
      </c>
      <c r="AN983" s="13" t="s">
        <v>25</v>
      </c>
      <c r="AO983" s="5"/>
      <c r="AP983" s="5"/>
      <c r="AQ983" s="5"/>
      <c r="AR983" s="5">
        <v>0</v>
      </c>
      <c r="AS983" s="5">
        <v>0</v>
      </c>
      <c r="AT983" s="5"/>
      <c r="AU983" s="5"/>
      <c r="AV983" s="5"/>
      <c r="AW983" s="5"/>
      <c r="AX983" s="5">
        <v>0</v>
      </c>
      <c r="AY983" s="5">
        <v>0</v>
      </c>
      <c r="AZ983" s="5">
        <v>0</v>
      </c>
      <c r="BA983" s="5">
        <v>0</v>
      </c>
    </row>
    <row r="984" spans="2:53" s="41" customFormat="1" x14ac:dyDescent="0.2">
      <c r="B984" s="14" t="str">
        <f t="shared" si="288"/>
        <v>Greenstone et al. 2013</v>
      </c>
      <c r="C984" s="61">
        <f t="shared" si="289"/>
        <v>87</v>
      </c>
      <c r="D984" s="58">
        <v>2013</v>
      </c>
      <c r="E984" s="38"/>
      <c r="F984" s="58">
        <v>1</v>
      </c>
      <c r="G984" s="5">
        <v>2007</v>
      </c>
      <c r="H984" s="44">
        <f>LOOKUP(G984,CPI!A$69:A$100,CPI!O$69:O$100)</f>
        <v>1.0516730811895323</v>
      </c>
      <c r="I984" s="52">
        <v>2010</v>
      </c>
      <c r="J984" s="43">
        <v>2.1276595744680851E-2</v>
      </c>
      <c r="K984" s="43">
        <v>2.1276595744680851E-2</v>
      </c>
      <c r="L984" s="57">
        <f t="shared" si="287"/>
        <v>2.4241459928053155E-2</v>
      </c>
      <c r="M984" s="56">
        <f t="shared" si="281"/>
        <v>133.93810680112472</v>
      </c>
      <c r="N984" s="49">
        <f t="shared" si="290"/>
        <v>109.26666666666667</v>
      </c>
      <c r="O984" s="41">
        <f>29.8*(44/12)</f>
        <v>109.26666666666667</v>
      </c>
      <c r="P984" s="5">
        <v>1</v>
      </c>
      <c r="Q984" s="5">
        <v>0</v>
      </c>
      <c r="R984" s="5">
        <v>0</v>
      </c>
      <c r="T984" s="56" t="str">
        <f t="shared" si="282"/>
        <v/>
      </c>
      <c r="U984" s="56">
        <f t="shared" si="283"/>
        <v>66.042622172859751</v>
      </c>
      <c r="V984" s="56">
        <f t="shared" si="291"/>
        <v>66.042622172859751</v>
      </c>
      <c r="AA984" s="37">
        <f t="shared" si="285"/>
        <v>109.26666666666667</v>
      </c>
      <c r="AD984" s="41">
        <f>58.6*(44/12)</f>
        <v>214.86666666666667</v>
      </c>
      <c r="AF984" s="5">
        <v>0</v>
      </c>
      <c r="AG984" s="5">
        <v>1</v>
      </c>
      <c r="AH984" s="5">
        <v>1</v>
      </c>
      <c r="AI984" s="5">
        <v>1</v>
      </c>
      <c r="AJ984" s="5">
        <v>1</v>
      </c>
      <c r="AK984" s="5">
        <v>1</v>
      </c>
      <c r="AL984" s="5">
        <v>1</v>
      </c>
      <c r="AM984" s="13">
        <v>3</v>
      </c>
      <c r="AN984" s="13" t="s">
        <v>25</v>
      </c>
      <c r="AO984" s="5"/>
      <c r="AP984" s="5"/>
      <c r="AQ984" s="5"/>
      <c r="AR984" s="5">
        <v>0</v>
      </c>
      <c r="AS984" s="5">
        <v>0</v>
      </c>
      <c r="AT984" s="5"/>
      <c r="AU984" s="5"/>
      <c r="AV984" s="5"/>
      <c r="AW984" s="5"/>
      <c r="AX984" s="5">
        <v>0</v>
      </c>
      <c r="AY984" s="5">
        <v>0</v>
      </c>
      <c r="AZ984" s="5">
        <v>0</v>
      </c>
      <c r="BA984" s="5">
        <v>0</v>
      </c>
    </row>
    <row r="985" spans="2:53" s="41" customFormat="1" x14ac:dyDescent="0.2">
      <c r="B985" s="14" t="str">
        <f t="shared" si="288"/>
        <v>Greenstone et al. 2013</v>
      </c>
      <c r="C985" s="61">
        <f t="shared" si="289"/>
        <v>87</v>
      </c>
      <c r="D985" s="58">
        <v>2013</v>
      </c>
      <c r="E985" s="38"/>
      <c r="F985" s="58">
        <v>1</v>
      </c>
      <c r="G985" s="5">
        <v>2007</v>
      </c>
      <c r="H985" s="44">
        <f>LOOKUP(G985,CPI!A$69:A$100,CPI!O$69:O$100)</f>
        <v>1.0516730811895323</v>
      </c>
      <c r="I985" s="52">
        <v>2010</v>
      </c>
      <c r="J985" s="43">
        <v>2.1276595744680851E-2</v>
      </c>
      <c r="K985" s="43">
        <v>2.1276595744680851E-2</v>
      </c>
      <c r="L985" s="57">
        <f t="shared" si="287"/>
        <v>2.4241459928053155E-2</v>
      </c>
      <c r="M985" s="56">
        <f t="shared" si="281"/>
        <v>129.44353945880508</v>
      </c>
      <c r="N985" s="49">
        <f t="shared" si="290"/>
        <v>105.6</v>
      </c>
      <c r="O985" s="41">
        <f>28.8*(44/12)</f>
        <v>105.6</v>
      </c>
      <c r="P985" s="5">
        <v>1</v>
      </c>
      <c r="Q985" s="5">
        <v>0</v>
      </c>
      <c r="R985" s="5">
        <v>0</v>
      </c>
      <c r="T985" s="56" t="str">
        <f t="shared" si="282"/>
        <v/>
      </c>
      <c r="U985" s="56">
        <f t="shared" si="283"/>
        <v>66.730566153827027</v>
      </c>
      <c r="V985" s="56">
        <f t="shared" si="291"/>
        <v>66.730566153827027</v>
      </c>
      <c r="AA985" s="37">
        <f t="shared" si="285"/>
        <v>105.6</v>
      </c>
      <c r="AD985" s="41">
        <f>57.9*(44/12)</f>
        <v>212.29999999999998</v>
      </c>
      <c r="AF985" s="5">
        <v>0</v>
      </c>
      <c r="AG985" s="5">
        <v>1</v>
      </c>
      <c r="AH985" s="5">
        <v>1</v>
      </c>
      <c r="AI985" s="5">
        <v>1</v>
      </c>
      <c r="AJ985" s="5">
        <v>1</v>
      </c>
      <c r="AK985" s="5">
        <v>1</v>
      </c>
      <c r="AL985" s="5">
        <v>1</v>
      </c>
      <c r="AM985" s="13">
        <v>3</v>
      </c>
      <c r="AN985" s="13" t="s">
        <v>25</v>
      </c>
      <c r="AO985" s="5"/>
      <c r="AP985" s="5"/>
      <c r="AQ985" s="5"/>
      <c r="AR985" s="5">
        <v>0</v>
      </c>
      <c r="AS985" s="5">
        <v>0</v>
      </c>
      <c r="AT985" s="5"/>
      <c r="AU985" s="5"/>
      <c r="AV985" s="5"/>
      <c r="AW985" s="5"/>
      <c r="AX985" s="5">
        <v>0</v>
      </c>
      <c r="AY985" s="5">
        <v>0</v>
      </c>
      <c r="AZ985" s="5">
        <v>0</v>
      </c>
      <c r="BA985" s="5">
        <v>0</v>
      </c>
    </row>
    <row r="986" spans="2:53" s="41" customFormat="1" x14ac:dyDescent="0.2">
      <c r="B986" s="14" t="str">
        <f t="shared" si="288"/>
        <v>Greenstone et al. 2013</v>
      </c>
      <c r="C986" s="61">
        <f t="shared" si="289"/>
        <v>87</v>
      </c>
      <c r="D986" s="58">
        <v>2013</v>
      </c>
      <c r="E986" s="38"/>
      <c r="F986" s="58">
        <v>1</v>
      </c>
      <c r="G986" s="5">
        <v>2007</v>
      </c>
      <c r="H986" s="44">
        <f>LOOKUP(G986,CPI!A$69:A$100,CPI!O$69:O$100)</f>
        <v>1.0516730811895323</v>
      </c>
      <c r="I986" s="52">
        <v>2010</v>
      </c>
      <c r="J986" s="43">
        <v>2.1276595744680851E-2</v>
      </c>
      <c r="K986" s="43">
        <v>2.1276595744680851E-2</v>
      </c>
      <c r="L986" s="57">
        <f t="shared" si="287"/>
        <v>2.4241459928053155E-2</v>
      </c>
      <c r="M986" s="56">
        <f t="shared" si="281"/>
        <v>111.91472682375857</v>
      </c>
      <c r="N986" s="49">
        <f t="shared" si="290"/>
        <v>91.3</v>
      </c>
      <c r="O986" s="41">
        <f>24.9*(44/12)</f>
        <v>91.3</v>
      </c>
      <c r="P986" s="5">
        <v>1</v>
      </c>
      <c r="Q986" s="5">
        <v>0</v>
      </c>
      <c r="R986" s="5">
        <v>0</v>
      </c>
      <c r="T986" s="56" t="str">
        <f t="shared" si="282"/>
        <v/>
      </c>
      <c r="U986" s="56">
        <f t="shared" si="283"/>
        <v>59.392497023509272</v>
      </c>
      <c r="V986" s="56">
        <f t="shared" si="291"/>
        <v>59.392497023509272</v>
      </c>
      <c r="AA986" s="37">
        <f t="shared" si="285"/>
        <v>91.3</v>
      </c>
      <c r="AD986" s="41">
        <f>50.8*(44/12)</f>
        <v>186.26666666666665</v>
      </c>
      <c r="AF986" s="5">
        <v>0</v>
      </c>
      <c r="AG986" s="5">
        <v>1</v>
      </c>
      <c r="AH986" s="5">
        <v>1</v>
      </c>
      <c r="AI986" s="5">
        <v>1</v>
      </c>
      <c r="AJ986" s="5">
        <v>1</v>
      </c>
      <c r="AK986" s="5">
        <v>1</v>
      </c>
      <c r="AL986" s="5">
        <v>1</v>
      </c>
      <c r="AM986" s="13">
        <v>3</v>
      </c>
      <c r="AN986" s="13" t="s">
        <v>25</v>
      </c>
      <c r="AO986" s="5"/>
      <c r="AP986" s="5"/>
      <c r="AQ986" s="5"/>
      <c r="AR986" s="5">
        <v>0</v>
      </c>
      <c r="AS986" s="5">
        <v>0</v>
      </c>
      <c r="AT986" s="5"/>
      <c r="AU986" s="5"/>
      <c r="AV986" s="5"/>
      <c r="AW986" s="5"/>
      <c r="AX986" s="5">
        <v>0</v>
      </c>
      <c r="AY986" s="5">
        <v>0</v>
      </c>
      <c r="AZ986" s="5">
        <v>0</v>
      </c>
      <c r="BA986" s="5">
        <v>0</v>
      </c>
    </row>
    <row r="987" spans="2:53" s="41" customFormat="1" x14ac:dyDescent="0.2">
      <c r="B987" s="14" t="str">
        <f t="shared" si="288"/>
        <v>Greenstone et al. 2013</v>
      </c>
      <c r="C987" s="61">
        <f t="shared" si="289"/>
        <v>87</v>
      </c>
      <c r="D987" s="58">
        <v>2013</v>
      </c>
      <c r="E987" s="38"/>
      <c r="F987" s="58">
        <v>1</v>
      </c>
      <c r="G987" s="5">
        <v>2007</v>
      </c>
      <c r="H987" s="44">
        <f>LOOKUP(G987,CPI!A$69:A$100,CPI!O$69:O$100)</f>
        <v>1.0516730811895323</v>
      </c>
      <c r="I987" s="52">
        <v>2010</v>
      </c>
      <c r="J987" s="43">
        <v>2.1276595744680851E-2</v>
      </c>
      <c r="K987" s="43">
        <v>2.1276595744680851E-2</v>
      </c>
      <c r="L987" s="57">
        <f t="shared" si="287"/>
        <v>2.4241459928053155E-2</v>
      </c>
      <c r="M987" s="56">
        <f t="shared" si="281"/>
        <v>177.53541002162501</v>
      </c>
      <c r="N987" s="49">
        <f t="shared" si="290"/>
        <v>144.83333333333331</v>
      </c>
      <c r="O987" s="41">
        <f>39.5*(44/12)</f>
        <v>144.83333333333331</v>
      </c>
      <c r="P987" s="5">
        <v>1</v>
      </c>
      <c r="Q987" s="5">
        <v>0</v>
      </c>
      <c r="R987" s="5">
        <v>0</v>
      </c>
      <c r="T987" s="56" t="str">
        <f t="shared" si="282"/>
        <v/>
      </c>
      <c r="U987" s="56">
        <f t="shared" si="283"/>
        <v>235.96478547178012</v>
      </c>
      <c r="V987" s="56">
        <f t="shared" si="291"/>
        <v>235.96478547178012</v>
      </c>
      <c r="AA987" s="37">
        <f t="shared" si="285"/>
        <v>144.83333333333331</v>
      </c>
      <c r="AD987" s="41">
        <f>142.4*(44/12)</f>
        <v>522.13333333333333</v>
      </c>
      <c r="AF987" s="5">
        <v>0</v>
      </c>
      <c r="AG987" s="5">
        <v>1</v>
      </c>
      <c r="AH987" s="5">
        <v>1</v>
      </c>
      <c r="AI987" s="5">
        <v>1</v>
      </c>
      <c r="AJ987" s="5">
        <v>1</v>
      </c>
      <c r="AK987" s="5">
        <v>1</v>
      </c>
      <c r="AL987" s="5">
        <v>1</v>
      </c>
      <c r="AM987" s="13">
        <v>3</v>
      </c>
      <c r="AN987" s="13" t="s">
        <v>25</v>
      </c>
      <c r="AO987" s="5"/>
      <c r="AP987" s="5"/>
      <c r="AQ987" s="5"/>
      <c r="AR987" s="5">
        <v>0</v>
      </c>
      <c r="AS987" s="5">
        <v>0</v>
      </c>
      <c r="AT987" s="5"/>
      <c r="AU987" s="5"/>
      <c r="AV987" s="5"/>
      <c r="AW987" s="5"/>
      <c r="AX987" s="5">
        <v>0</v>
      </c>
      <c r="AY987" s="5">
        <v>0</v>
      </c>
      <c r="AZ987" s="5">
        <v>0</v>
      </c>
      <c r="BA987" s="5">
        <v>0</v>
      </c>
    </row>
    <row r="988" spans="2:53" s="41" customFormat="1" x14ac:dyDescent="0.2">
      <c r="B988" s="14" t="str">
        <f t="shared" si="288"/>
        <v>Greenstone et al. 2013</v>
      </c>
      <c r="C988" s="61">
        <f t="shared" si="289"/>
        <v>87</v>
      </c>
      <c r="D988" s="58">
        <v>2013</v>
      </c>
      <c r="E988" s="38"/>
      <c r="F988" s="58">
        <v>1</v>
      </c>
      <c r="G988" s="5">
        <v>2007</v>
      </c>
      <c r="H988" s="44">
        <f>LOOKUP(G988,CPI!A$69:A$100,CPI!O$69:O$100)</f>
        <v>1.0516730811895323</v>
      </c>
      <c r="I988" s="52">
        <v>2010</v>
      </c>
      <c r="J988" s="43">
        <v>2.1276595744680851E-2</v>
      </c>
      <c r="K988" s="43">
        <v>2.1276595744680851E-2</v>
      </c>
      <c r="L988" s="57">
        <f t="shared" si="287"/>
        <v>2.4241459928053155E-2</v>
      </c>
      <c r="M988" s="56">
        <f t="shared" si="281"/>
        <v>100.22885173372755</v>
      </c>
      <c r="N988" s="49">
        <f t="shared" si="290"/>
        <v>81.766666666666666</v>
      </c>
      <c r="O988" s="41">
        <f>22.3*(44/12)</f>
        <v>81.766666666666666</v>
      </c>
      <c r="P988" s="5">
        <v>1</v>
      </c>
      <c r="Q988" s="5">
        <v>0</v>
      </c>
      <c r="R988" s="5">
        <v>0</v>
      </c>
      <c r="T988" s="56" t="str">
        <f t="shared" si="282"/>
        <v/>
      </c>
      <c r="U988" s="56">
        <f t="shared" si="283"/>
        <v>137.81811085378024</v>
      </c>
      <c r="V988" s="56">
        <f t="shared" si="291"/>
        <v>137.81811085378024</v>
      </c>
      <c r="AA988" s="37">
        <f t="shared" si="285"/>
        <v>81.766666666666666</v>
      </c>
      <c r="AD988" s="41">
        <f>82.4*(44/12)</f>
        <v>302.13333333333333</v>
      </c>
      <c r="AF988" s="5">
        <v>0</v>
      </c>
      <c r="AG988" s="5">
        <v>1</v>
      </c>
      <c r="AH988" s="5">
        <v>1</v>
      </c>
      <c r="AI988" s="5">
        <v>1</v>
      </c>
      <c r="AJ988" s="5">
        <v>1</v>
      </c>
      <c r="AK988" s="5">
        <v>1</v>
      </c>
      <c r="AL988" s="5">
        <v>1</v>
      </c>
      <c r="AM988" s="13">
        <v>3</v>
      </c>
      <c r="AN988" s="13" t="s">
        <v>25</v>
      </c>
      <c r="AO988" s="5"/>
      <c r="AP988" s="5"/>
      <c r="AQ988" s="5"/>
      <c r="AR988" s="5">
        <v>0</v>
      </c>
      <c r="AS988" s="5">
        <v>0</v>
      </c>
      <c r="AT988" s="5"/>
      <c r="AU988" s="5"/>
      <c r="AV988" s="5"/>
      <c r="AW988" s="5"/>
      <c r="AX988" s="5">
        <v>0</v>
      </c>
      <c r="AY988" s="5">
        <v>0</v>
      </c>
      <c r="AZ988" s="5">
        <v>0</v>
      </c>
      <c r="BA988" s="5">
        <v>0</v>
      </c>
    </row>
    <row r="989" spans="2:53" s="41" customFormat="1" x14ac:dyDescent="0.2">
      <c r="B989" s="14" t="str">
        <f t="shared" si="288"/>
        <v>Greenstone et al. 2013</v>
      </c>
      <c r="C989" s="61">
        <f t="shared" si="289"/>
        <v>87</v>
      </c>
      <c r="D989" s="58">
        <v>2013</v>
      </c>
      <c r="E989" s="38"/>
      <c r="F989" s="58">
        <v>1</v>
      </c>
      <c r="G989" s="5">
        <v>2007</v>
      </c>
      <c r="H989" s="44">
        <f>LOOKUP(G989,CPI!A$69:A$100,CPI!O$69:O$100)</f>
        <v>1.0516730811895323</v>
      </c>
      <c r="I989" s="52">
        <v>2010</v>
      </c>
      <c r="J989" s="43">
        <v>2.1276595744680851E-2</v>
      </c>
      <c r="K989" s="43">
        <v>2.1276595744680851E-2</v>
      </c>
      <c r="L989" s="57">
        <f t="shared" si="287"/>
        <v>2.4241459928053155E-2</v>
      </c>
      <c r="M989" s="56">
        <f t="shared" si="281"/>
        <v>136.18539047228452</v>
      </c>
      <c r="N989" s="49">
        <f t="shared" si="290"/>
        <v>111.1</v>
      </c>
      <c r="O989" s="41">
        <f>30.3*(44/12)</f>
        <v>111.1</v>
      </c>
      <c r="P989" s="5">
        <v>1</v>
      </c>
      <c r="Q989" s="5">
        <v>0</v>
      </c>
      <c r="R989" s="5">
        <v>0</v>
      </c>
      <c r="T989" s="56" t="str">
        <f t="shared" si="282"/>
        <v/>
      </c>
      <c r="U989" s="56">
        <f t="shared" si="283"/>
        <v>195.60540525503251</v>
      </c>
      <c r="V989" s="56">
        <f t="shared" si="291"/>
        <v>195.60540525503251</v>
      </c>
      <c r="AA989" s="37">
        <f t="shared" si="285"/>
        <v>111.1</v>
      </c>
      <c r="AD989" s="41">
        <f>115.6*(44/12)</f>
        <v>423.86666666666662</v>
      </c>
      <c r="AF989" s="5">
        <v>0</v>
      </c>
      <c r="AG989" s="5">
        <v>1</v>
      </c>
      <c r="AH989" s="5">
        <v>1</v>
      </c>
      <c r="AI989" s="5">
        <v>1</v>
      </c>
      <c r="AJ989" s="5">
        <v>1</v>
      </c>
      <c r="AK989" s="5">
        <v>1</v>
      </c>
      <c r="AL989" s="5">
        <v>1</v>
      </c>
      <c r="AM989" s="13">
        <v>3</v>
      </c>
      <c r="AN989" s="13" t="s">
        <v>25</v>
      </c>
      <c r="AO989" s="5"/>
      <c r="AP989" s="5"/>
      <c r="AQ989" s="5"/>
      <c r="AR989" s="5">
        <v>0</v>
      </c>
      <c r="AS989" s="5">
        <v>0</v>
      </c>
      <c r="AT989" s="5"/>
      <c r="AU989" s="5"/>
      <c r="AV989" s="5"/>
      <c r="AW989" s="5"/>
      <c r="AX989" s="5">
        <v>0</v>
      </c>
      <c r="AY989" s="5">
        <v>0</v>
      </c>
      <c r="AZ989" s="5">
        <v>0</v>
      </c>
      <c r="BA989" s="5">
        <v>0</v>
      </c>
    </row>
    <row r="990" spans="2:53" s="41" customFormat="1" x14ac:dyDescent="0.2">
      <c r="B990" s="14" t="str">
        <f t="shared" si="288"/>
        <v>Greenstone et al. 2013</v>
      </c>
      <c r="C990" s="61">
        <f t="shared" si="289"/>
        <v>87</v>
      </c>
      <c r="D990" s="58">
        <v>2013</v>
      </c>
      <c r="E990" s="38"/>
      <c r="F990" s="58">
        <v>1</v>
      </c>
      <c r="G990" s="5">
        <v>2007</v>
      </c>
      <c r="H990" s="44">
        <f>LOOKUP(G990,CPI!A$69:A$100,CPI!O$69:O$100)</f>
        <v>1.0516730811895323</v>
      </c>
      <c r="I990" s="52">
        <v>2010</v>
      </c>
      <c r="J990" s="43">
        <v>2.1276595744680851E-2</v>
      </c>
      <c r="K990" s="43">
        <v>2.1276595744680851E-2</v>
      </c>
      <c r="L990" s="57">
        <f t="shared" si="287"/>
        <v>2.4241459928053155E-2</v>
      </c>
      <c r="M990" s="56">
        <f t="shared" si="281"/>
        <v>142.92724148576394</v>
      </c>
      <c r="N990" s="49">
        <f t="shared" si="290"/>
        <v>116.6</v>
      </c>
      <c r="O990" s="41">
        <f>31.8*(44/12)</f>
        <v>116.6</v>
      </c>
      <c r="P990" s="5">
        <v>1</v>
      </c>
      <c r="Q990" s="5">
        <v>0</v>
      </c>
      <c r="R990" s="5">
        <v>0</v>
      </c>
      <c r="T990" s="56" t="str">
        <f t="shared" si="282"/>
        <v/>
      </c>
      <c r="U990" s="56">
        <f t="shared" si="283"/>
        <v>191.70705602955118</v>
      </c>
      <c r="V990" s="56">
        <f t="shared" si="291"/>
        <v>191.70705602955118</v>
      </c>
      <c r="AA990" s="37">
        <f t="shared" si="285"/>
        <v>116.6</v>
      </c>
      <c r="AD990" s="41">
        <f>115.4*(44/12)</f>
        <v>423.13333333333333</v>
      </c>
      <c r="AF990" s="5">
        <v>0</v>
      </c>
      <c r="AG990" s="5">
        <v>1</v>
      </c>
      <c r="AH990" s="5">
        <v>1</v>
      </c>
      <c r="AI990" s="5">
        <v>1</v>
      </c>
      <c r="AJ990" s="5">
        <v>1</v>
      </c>
      <c r="AK990" s="5">
        <v>1</v>
      </c>
      <c r="AL990" s="5">
        <v>1</v>
      </c>
      <c r="AM990" s="13">
        <v>3</v>
      </c>
      <c r="AN990" s="13" t="s">
        <v>25</v>
      </c>
      <c r="AO990" s="5"/>
      <c r="AP990" s="5"/>
      <c r="AQ990" s="5"/>
      <c r="AR990" s="5">
        <v>0</v>
      </c>
      <c r="AS990" s="5">
        <v>0</v>
      </c>
      <c r="AT990" s="5"/>
      <c r="AU990" s="5"/>
      <c r="AV990" s="5"/>
      <c r="AW990" s="5"/>
      <c r="AX990" s="5">
        <v>0</v>
      </c>
      <c r="AY990" s="5">
        <v>0</v>
      </c>
      <c r="AZ990" s="5">
        <v>0</v>
      </c>
      <c r="BA990" s="5">
        <v>0</v>
      </c>
    </row>
    <row r="991" spans="2:53" s="41" customFormat="1" x14ac:dyDescent="0.2">
      <c r="B991" s="14" t="str">
        <f t="shared" si="288"/>
        <v>Greenstone et al. 2013</v>
      </c>
      <c r="C991" s="61">
        <f t="shared" si="289"/>
        <v>87</v>
      </c>
      <c r="D991" s="58">
        <v>2013</v>
      </c>
      <c r="E991" s="38"/>
      <c r="F991" s="58">
        <v>1</v>
      </c>
      <c r="G991" s="5">
        <v>2007</v>
      </c>
      <c r="H991" s="44">
        <f>LOOKUP(G991,CPI!A$69:A$100,CPI!O$69:O$100)</f>
        <v>1.0516730811895323</v>
      </c>
      <c r="I991" s="52">
        <v>2010</v>
      </c>
      <c r="J991" s="43">
        <v>2.1276595744680851E-2</v>
      </c>
      <c r="K991" s="43">
        <v>2.1276595744680851E-2</v>
      </c>
      <c r="L991" s="57">
        <f t="shared" si="287"/>
        <v>2.4241459928053155E-2</v>
      </c>
      <c r="M991" s="56">
        <f t="shared" si="281"/>
        <v>114.16201049491836</v>
      </c>
      <c r="N991" s="49">
        <f t="shared" si="290"/>
        <v>93.133333333333326</v>
      </c>
      <c r="O991" s="41">
        <f>25.4*(44/12)</f>
        <v>93.133333333333326</v>
      </c>
      <c r="P991" s="5">
        <v>1</v>
      </c>
      <c r="Q991" s="5">
        <v>0</v>
      </c>
      <c r="R991" s="5">
        <v>0</v>
      </c>
      <c r="T991" s="56" t="str">
        <f t="shared" si="282"/>
        <v/>
      </c>
      <c r="U991" s="56">
        <f t="shared" si="283"/>
        <v>181.84652563568673</v>
      </c>
      <c r="V991" s="56">
        <f t="shared" si="291"/>
        <v>181.84652563568673</v>
      </c>
      <c r="AA991" s="37">
        <f t="shared" si="285"/>
        <v>93.133333333333326</v>
      </c>
      <c r="AD991" s="41">
        <f>104.7*(44/12)</f>
        <v>383.9</v>
      </c>
      <c r="AF991" s="5">
        <v>0</v>
      </c>
      <c r="AG991" s="5">
        <v>1</v>
      </c>
      <c r="AH991" s="5">
        <v>1</v>
      </c>
      <c r="AI991" s="5">
        <v>1</v>
      </c>
      <c r="AJ991" s="5">
        <v>1</v>
      </c>
      <c r="AK991" s="5">
        <v>1</v>
      </c>
      <c r="AL991" s="5">
        <v>1</v>
      </c>
      <c r="AM991" s="13">
        <v>3</v>
      </c>
      <c r="AN991" s="13" t="s">
        <v>25</v>
      </c>
      <c r="AO991" s="5"/>
      <c r="AP991" s="5"/>
      <c r="AQ991" s="5"/>
      <c r="AR991" s="5">
        <v>0</v>
      </c>
      <c r="AS991" s="5">
        <v>0</v>
      </c>
      <c r="AT991" s="5"/>
      <c r="AU991" s="5"/>
      <c r="AV991" s="5"/>
      <c r="AW991" s="5"/>
      <c r="AX991" s="5">
        <v>0</v>
      </c>
      <c r="AY991" s="5">
        <v>0</v>
      </c>
      <c r="AZ991" s="5">
        <v>0</v>
      </c>
      <c r="BA991" s="5">
        <v>0</v>
      </c>
    </row>
    <row r="992" spans="2:53" s="41" customFormat="1" x14ac:dyDescent="0.2">
      <c r="B992" s="14" t="str">
        <f t="shared" si="288"/>
        <v>Greenstone et al. 2013</v>
      </c>
      <c r="C992" s="61">
        <f t="shared" si="289"/>
        <v>87</v>
      </c>
      <c r="D992" s="58">
        <v>2013</v>
      </c>
      <c r="E992" s="38"/>
      <c r="F992" s="58">
        <v>1</v>
      </c>
      <c r="G992" s="5">
        <v>2007</v>
      </c>
      <c r="H992" s="44">
        <f>LOOKUP(G992,CPI!A$69:A$100,CPI!O$69:O$100)</f>
        <v>1.0516730811895323</v>
      </c>
      <c r="I992" s="52">
        <v>2010</v>
      </c>
      <c r="J992" s="43">
        <v>2.1276595744680851E-2</v>
      </c>
      <c r="K992" s="43">
        <v>2.1276595744680851E-2</v>
      </c>
      <c r="L992" s="57">
        <f t="shared" si="287"/>
        <v>2.4241459928053155E-2</v>
      </c>
      <c r="M992" s="56">
        <f t="shared" si="281"/>
        <v>36.855452207020889</v>
      </c>
      <c r="N992" s="49">
        <f t="shared" si="290"/>
        <v>30.066666666666663</v>
      </c>
      <c r="O992" s="41">
        <f>8.2*(44/12)</f>
        <v>30.066666666666663</v>
      </c>
      <c r="P992" s="5">
        <v>1</v>
      </c>
      <c r="Q992" s="5">
        <v>0</v>
      </c>
      <c r="R992" s="5">
        <v>0</v>
      </c>
      <c r="T992" s="56" t="str">
        <f t="shared" si="282"/>
        <v/>
      </c>
      <c r="U992" s="56">
        <f t="shared" si="283"/>
        <v>72.234118001565335</v>
      </c>
      <c r="V992" s="56">
        <f t="shared" si="291"/>
        <v>72.234118001565335</v>
      </c>
      <c r="AA992" s="37">
        <f t="shared" si="285"/>
        <v>30.066666666666663</v>
      </c>
      <c r="AD992" s="41">
        <f>39.7*(44/12)</f>
        <v>145.56666666666666</v>
      </c>
      <c r="AF992" s="5">
        <v>0</v>
      </c>
      <c r="AG992" s="5">
        <v>1</v>
      </c>
      <c r="AH992" s="5">
        <v>1</v>
      </c>
      <c r="AI992" s="5">
        <v>1</v>
      </c>
      <c r="AJ992" s="5">
        <v>1</v>
      </c>
      <c r="AK992" s="5">
        <v>1</v>
      </c>
      <c r="AL992" s="5">
        <v>1</v>
      </c>
      <c r="AM992" s="13">
        <v>3</v>
      </c>
      <c r="AN992" s="13" t="s">
        <v>25</v>
      </c>
      <c r="AO992" s="5"/>
      <c r="AP992" s="5"/>
      <c r="AQ992" s="5"/>
      <c r="AR992" s="5">
        <v>0</v>
      </c>
      <c r="AS992" s="5">
        <v>0</v>
      </c>
      <c r="AT992" s="5"/>
      <c r="AU992" s="5"/>
      <c r="AV992" s="5"/>
      <c r="AW992" s="5"/>
      <c r="AX992" s="5">
        <v>0</v>
      </c>
      <c r="AY992" s="5">
        <v>0</v>
      </c>
      <c r="AZ992" s="5">
        <v>0</v>
      </c>
      <c r="BA992" s="5">
        <v>0</v>
      </c>
    </row>
    <row r="993" spans="2:53" s="41" customFormat="1" x14ac:dyDescent="0.2">
      <c r="B993" s="14" t="str">
        <f t="shared" si="288"/>
        <v>Greenstone et al. 2013</v>
      </c>
      <c r="C993" s="61">
        <f t="shared" si="289"/>
        <v>87</v>
      </c>
      <c r="D993" s="58">
        <v>2013</v>
      </c>
      <c r="E993" s="38"/>
      <c r="F993" s="58">
        <v>1</v>
      </c>
      <c r="G993" s="5">
        <v>2007</v>
      </c>
      <c r="H993" s="44">
        <f>LOOKUP(G993,CPI!A$69:A$100,CPI!O$69:O$100)</f>
        <v>1.0516730811895323</v>
      </c>
      <c r="I993" s="52">
        <v>2010</v>
      </c>
      <c r="J993" s="43">
        <v>2.1276595744680851E-2</v>
      </c>
      <c r="K993" s="43">
        <v>2.1276595744680851E-2</v>
      </c>
      <c r="L993" s="57">
        <f t="shared" si="287"/>
        <v>2.4241459928053155E-2</v>
      </c>
      <c r="M993" s="56">
        <f t="shared" si="281"/>
        <v>35.956538738556965</v>
      </c>
      <c r="N993" s="49">
        <f t="shared" si="290"/>
        <v>29.333333333333332</v>
      </c>
      <c r="O993" s="41">
        <f>8*(44/12)</f>
        <v>29.333333333333332</v>
      </c>
      <c r="P993" s="5">
        <v>1</v>
      </c>
      <c r="Q993" s="5">
        <v>0</v>
      </c>
      <c r="R993" s="5">
        <v>0</v>
      </c>
      <c r="T993" s="56" t="str">
        <f t="shared" si="282"/>
        <v/>
      </c>
      <c r="U993" s="56">
        <f t="shared" si="283"/>
        <v>76.361781887369062</v>
      </c>
      <c r="V993" s="56">
        <f t="shared" si="291"/>
        <v>76.361781887369062</v>
      </c>
      <c r="AA993" s="37">
        <f t="shared" si="285"/>
        <v>29.333333333333332</v>
      </c>
      <c r="AD993" s="41">
        <f>41.3*(44/12)</f>
        <v>151.43333333333331</v>
      </c>
      <c r="AF993" s="5">
        <v>0</v>
      </c>
      <c r="AG993" s="5">
        <v>1</v>
      </c>
      <c r="AH993" s="5">
        <v>1</v>
      </c>
      <c r="AI993" s="5">
        <v>1</v>
      </c>
      <c r="AJ993" s="5">
        <v>1</v>
      </c>
      <c r="AK993" s="5">
        <v>1</v>
      </c>
      <c r="AL993" s="5">
        <v>1</v>
      </c>
      <c r="AM993" s="13">
        <v>3</v>
      </c>
      <c r="AN993" s="13" t="s">
        <v>25</v>
      </c>
      <c r="AO993" s="5"/>
      <c r="AP993" s="5"/>
      <c r="AQ993" s="5"/>
      <c r="AR993" s="5">
        <v>0</v>
      </c>
      <c r="AS993" s="5">
        <v>0</v>
      </c>
      <c r="AT993" s="5"/>
      <c r="AU993" s="5"/>
      <c r="AV993" s="5"/>
      <c r="AW993" s="5"/>
      <c r="AX993" s="5">
        <v>0</v>
      </c>
      <c r="AY993" s="5">
        <v>0</v>
      </c>
      <c r="AZ993" s="5">
        <v>0</v>
      </c>
      <c r="BA993" s="5">
        <v>0</v>
      </c>
    </row>
    <row r="994" spans="2:53" s="41" customFormat="1" x14ac:dyDescent="0.2">
      <c r="B994" s="14" t="str">
        <f t="shared" si="288"/>
        <v>Greenstone et al. 2013</v>
      </c>
      <c r="C994" s="61">
        <f t="shared" si="289"/>
        <v>87</v>
      </c>
      <c r="D994" s="58">
        <v>2013</v>
      </c>
      <c r="E994" s="38"/>
      <c r="F994" s="58">
        <v>1</v>
      </c>
      <c r="G994" s="5">
        <v>2007</v>
      </c>
      <c r="H994" s="44">
        <f>LOOKUP(G994,CPI!A$69:A$100,CPI!O$69:O$100)</f>
        <v>1.0516730811895323</v>
      </c>
      <c r="I994" s="52">
        <v>2010</v>
      </c>
      <c r="J994" s="43">
        <v>2.1276595744680851E-2</v>
      </c>
      <c r="K994" s="43">
        <v>2.1276595744680851E-2</v>
      </c>
      <c r="L994" s="57">
        <f t="shared" si="287"/>
        <v>2.4241459928053155E-2</v>
      </c>
      <c r="M994" s="56">
        <f t="shared" si="281"/>
        <v>16.180442432350635</v>
      </c>
      <c r="N994" s="49">
        <f t="shared" si="290"/>
        <v>13.2</v>
      </c>
      <c r="O994" s="41">
        <f>3.6*(44/12)</f>
        <v>13.2</v>
      </c>
      <c r="P994" s="5">
        <v>1</v>
      </c>
      <c r="Q994" s="5">
        <v>0</v>
      </c>
      <c r="R994" s="5">
        <v>0</v>
      </c>
      <c r="T994" s="56" t="str">
        <f t="shared" si="282"/>
        <v/>
      </c>
      <c r="U994" s="56">
        <f t="shared" si="283"/>
        <v>65.354678191892447</v>
      </c>
      <c r="V994" s="56">
        <f t="shared" si="291"/>
        <v>65.354678191892447</v>
      </c>
      <c r="AA994" s="37">
        <f t="shared" si="285"/>
        <v>13.2</v>
      </c>
      <c r="AD994" s="41">
        <f>32.1*(44/12)</f>
        <v>117.7</v>
      </c>
      <c r="AF994" s="5">
        <v>0</v>
      </c>
      <c r="AG994" s="5">
        <v>1</v>
      </c>
      <c r="AH994" s="5">
        <v>1</v>
      </c>
      <c r="AI994" s="5">
        <v>1</v>
      </c>
      <c r="AJ994" s="5">
        <v>1</v>
      </c>
      <c r="AK994" s="5">
        <v>1</v>
      </c>
      <c r="AL994" s="5">
        <v>1</v>
      </c>
      <c r="AM994" s="13">
        <v>3</v>
      </c>
      <c r="AN994" s="13" t="s">
        <v>25</v>
      </c>
      <c r="AO994" s="5"/>
      <c r="AP994" s="5"/>
      <c r="AQ994" s="5"/>
      <c r="AR994" s="5">
        <v>0</v>
      </c>
      <c r="AS994" s="5">
        <v>0</v>
      </c>
      <c r="AT994" s="5"/>
      <c r="AU994" s="5"/>
      <c r="AV994" s="5"/>
      <c r="AW994" s="5"/>
      <c r="AX994" s="5">
        <v>0</v>
      </c>
      <c r="AY994" s="5">
        <v>0</v>
      </c>
      <c r="AZ994" s="5">
        <v>0</v>
      </c>
      <c r="BA994" s="5">
        <v>0</v>
      </c>
    </row>
    <row r="995" spans="2:53" s="41" customFormat="1" x14ac:dyDescent="0.2">
      <c r="B995" s="14" t="str">
        <f t="shared" si="288"/>
        <v>Greenstone et al. 2013</v>
      </c>
      <c r="C995" s="61">
        <f t="shared" si="289"/>
        <v>87</v>
      </c>
      <c r="D995" s="58">
        <v>2013</v>
      </c>
      <c r="E995" s="38"/>
      <c r="F995" s="58">
        <v>1</v>
      </c>
      <c r="G995" s="5">
        <v>2007</v>
      </c>
      <c r="H995" s="44">
        <f>LOOKUP(G995,CPI!A$69:A$100,CPI!O$69:O$100)</f>
        <v>1.0516730811895323</v>
      </c>
      <c r="I995" s="52">
        <v>2010</v>
      </c>
      <c r="J995" s="43">
        <v>2.1276595744680851E-2</v>
      </c>
      <c r="K995" s="43">
        <v>2.1276595744680851E-2</v>
      </c>
      <c r="L995" s="57">
        <f t="shared" si="287"/>
        <v>2.4241459928053155E-2</v>
      </c>
      <c r="M995" s="56">
        <f t="shared" si="281"/>
        <v>45.844586891660136</v>
      </c>
      <c r="N995" s="49">
        <f t="shared" si="290"/>
        <v>37.4</v>
      </c>
      <c r="O995" s="41">
        <f>10.2*(44/12)</f>
        <v>37.4</v>
      </c>
      <c r="P995" s="5">
        <v>1</v>
      </c>
      <c r="Q995" s="5">
        <v>0</v>
      </c>
      <c r="R995" s="5">
        <v>0</v>
      </c>
      <c r="T995" s="56" t="str">
        <f t="shared" si="282"/>
        <v/>
      </c>
      <c r="U995" s="56">
        <f t="shared" si="283"/>
        <v>74.297949944467206</v>
      </c>
      <c r="V995" s="56">
        <f t="shared" si="291"/>
        <v>74.297949944467206</v>
      </c>
      <c r="AA995" s="37">
        <f t="shared" si="285"/>
        <v>37.4</v>
      </c>
      <c r="AD995" s="41">
        <f>42.6*(44/12)</f>
        <v>156.19999999999999</v>
      </c>
      <c r="AF995" s="5">
        <v>0</v>
      </c>
      <c r="AG995" s="5">
        <v>1</v>
      </c>
      <c r="AH995" s="5">
        <v>1</v>
      </c>
      <c r="AI995" s="5">
        <v>1</v>
      </c>
      <c r="AJ995" s="5">
        <v>1</v>
      </c>
      <c r="AK995" s="5">
        <v>1</v>
      </c>
      <c r="AL995" s="5">
        <v>1</v>
      </c>
      <c r="AM995" s="13">
        <v>3</v>
      </c>
      <c r="AN995" s="13" t="s">
        <v>25</v>
      </c>
      <c r="AO995" s="5"/>
      <c r="AP995" s="5"/>
      <c r="AQ995" s="5"/>
      <c r="AR995" s="5">
        <v>0</v>
      </c>
      <c r="AS995" s="5">
        <v>0</v>
      </c>
      <c r="AT995" s="5"/>
      <c r="AU995" s="5"/>
      <c r="AV995" s="5"/>
      <c r="AW995" s="5"/>
      <c r="AX995" s="5">
        <v>0</v>
      </c>
      <c r="AY995" s="5">
        <v>0</v>
      </c>
      <c r="AZ995" s="5">
        <v>0</v>
      </c>
      <c r="BA995" s="5">
        <v>0</v>
      </c>
    </row>
    <row r="996" spans="2:53" s="41" customFormat="1" x14ac:dyDescent="0.2">
      <c r="B996" s="14" t="str">
        <f t="shared" si="288"/>
        <v>Greenstone et al. 2013</v>
      </c>
      <c r="C996" s="61">
        <f t="shared" si="289"/>
        <v>87</v>
      </c>
      <c r="D996" s="58">
        <v>2013</v>
      </c>
      <c r="E996" s="38"/>
      <c r="F996" s="58">
        <v>1</v>
      </c>
      <c r="G996" s="5">
        <v>2007</v>
      </c>
      <c r="H996" s="44">
        <f>LOOKUP(G996,CPI!A$69:A$100,CPI!O$69:O$100)</f>
        <v>1.0516730811895323</v>
      </c>
      <c r="I996" s="52">
        <v>2010</v>
      </c>
      <c r="J996" s="43">
        <v>2.1276595744680851E-2</v>
      </c>
      <c r="K996" s="43">
        <v>2.1276595744680851E-2</v>
      </c>
      <c r="L996" s="57">
        <f t="shared" si="287"/>
        <v>2.4241459928053155E-2</v>
      </c>
      <c r="M996" s="56">
        <f t="shared" si="281"/>
        <v>-0.89891346846392428</v>
      </c>
      <c r="N996" s="49">
        <f t="shared" si="290"/>
        <v>-0.73333333333333339</v>
      </c>
      <c r="O996" s="41">
        <f>-0.2*(44/12)</f>
        <v>-0.73333333333333339</v>
      </c>
      <c r="P996" s="5">
        <v>1</v>
      </c>
      <c r="Q996" s="5">
        <v>0</v>
      </c>
      <c r="R996" s="5">
        <v>0</v>
      </c>
      <c r="T996" s="56" t="str">
        <f t="shared" si="282"/>
        <v/>
      </c>
      <c r="U996" s="56">
        <f t="shared" si="283"/>
        <v>44.945673423196212</v>
      </c>
      <c r="V996" s="56">
        <f t="shared" si="291"/>
        <v>44.945673423196212</v>
      </c>
      <c r="AA996" s="37">
        <f t="shared" si="285"/>
        <v>-0.73333333333333339</v>
      </c>
      <c r="AD996" s="41">
        <f>19.4*(44/12)</f>
        <v>71.133333333333326</v>
      </c>
      <c r="AF996" s="5">
        <v>0</v>
      </c>
      <c r="AG996" s="5">
        <v>1</v>
      </c>
      <c r="AH996" s="5">
        <v>1</v>
      </c>
      <c r="AI996" s="5">
        <v>1</v>
      </c>
      <c r="AJ996" s="5">
        <v>1</v>
      </c>
      <c r="AK996" s="5">
        <v>1</v>
      </c>
      <c r="AL996" s="5">
        <v>1</v>
      </c>
      <c r="AM996" s="13">
        <v>3</v>
      </c>
      <c r="AN996" s="13" t="s">
        <v>25</v>
      </c>
      <c r="AO996" s="5"/>
      <c r="AP996" s="5"/>
      <c r="AQ996" s="5"/>
      <c r="AR996" s="5">
        <v>0</v>
      </c>
      <c r="AS996" s="5">
        <v>0</v>
      </c>
      <c r="AT996" s="5"/>
      <c r="AU996" s="5"/>
      <c r="AV996" s="5"/>
      <c r="AW996" s="5"/>
      <c r="AX996" s="5">
        <v>0</v>
      </c>
      <c r="AY996" s="5">
        <v>0</v>
      </c>
      <c r="AZ996" s="5">
        <v>0</v>
      </c>
      <c r="BA996" s="5">
        <v>0</v>
      </c>
    </row>
    <row r="997" spans="2:53" s="41" customFormat="1" x14ac:dyDescent="0.2">
      <c r="B997" s="14" t="str">
        <f t="shared" si="288"/>
        <v>Greenstone et al. 2013</v>
      </c>
      <c r="C997" s="61">
        <f t="shared" si="289"/>
        <v>87</v>
      </c>
      <c r="D997" s="58">
        <v>2013</v>
      </c>
      <c r="E997" s="38"/>
      <c r="F997" s="58">
        <v>1</v>
      </c>
      <c r="G997" s="5">
        <v>2007</v>
      </c>
      <c r="H997" s="44">
        <f>LOOKUP(G997,CPI!A$69:A$100,CPI!O$69:O$100)</f>
        <v>1.0516730811895323</v>
      </c>
      <c r="I997" s="52">
        <v>2010</v>
      </c>
      <c r="J997" s="43">
        <v>2.1276595744680851E-2</v>
      </c>
      <c r="K997" s="43">
        <v>2.1276595744680851E-2</v>
      </c>
      <c r="L997" s="57">
        <f t="shared" si="287"/>
        <v>2.4241459928053155E-2</v>
      </c>
      <c r="M997" s="56">
        <f t="shared" si="281"/>
        <v>243.60554995372351</v>
      </c>
      <c r="N997" s="49">
        <f t="shared" si="290"/>
        <v>198.73333333333335</v>
      </c>
      <c r="O997" s="41">
        <f>54.2*(44/12)</f>
        <v>198.73333333333335</v>
      </c>
      <c r="P997" s="5">
        <v>1</v>
      </c>
      <c r="Q997" s="5">
        <v>0</v>
      </c>
      <c r="R997" s="5">
        <v>0</v>
      </c>
      <c r="T997" s="56" t="str">
        <f t="shared" si="282"/>
        <v/>
      </c>
      <c r="U997" s="56"/>
      <c r="V997" s="56"/>
      <c r="AA997" s="37">
        <f t="shared" si="285"/>
        <v>198.73333333333335</v>
      </c>
      <c r="AF997" s="5">
        <v>0</v>
      </c>
      <c r="AG997" s="5">
        <v>1</v>
      </c>
      <c r="AH997" s="5">
        <v>1</v>
      </c>
      <c r="AI997" s="5">
        <v>1</v>
      </c>
      <c r="AJ997" s="5">
        <v>1</v>
      </c>
      <c r="AK997" s="5">
        <v>1</v>
      </c>
      <c r="AL997" s="5">
        <v>1</v>
      </c>
      <c r="AM997" s="13">
        <v>2.5</v>
      </c>
      <c r="AN997" s="13" t="s">
        <v>25</v>
      </c>
      <c r="AO997" s="5"/>
      <c r="AP997" s="5"/>
      <c r="AQ997" s="5"/>
      <c r="AR997" s="5">
        <v>0</v>
      </c>
      <c r="AS997" s="5">
        <v>0</v>
      </c>
      <c r="AT997" s="5"/>
      <c r="AU997" s="5"/>
      <c r="AV997" s="5"/>
      <c r="AW997" s="5"/>
      <c r="AX997" s="5">
        <v>0</v>
      </c>
      <c r="AY997" s="5">
        <v>0</v>
      </c>
      <c r="AZ997" s="5">
        <v>0</v>
      </c>
      <c r="BA997" s="5">
        <v>0</v>
      </c>
    </row>
    <row r="998" spans="2:53" s="41" customFormat="1" x14ac:dyDescent="0.2">
      <c r="B998" s="14" t="str">
        <f t="shared" si="288"/>
        <v>Greenstone et al. 2013</v>
      </c>
      <c r="C998" s="61">
        <f t="shared" si="289"/>
        <v>87</v>
      </c>
      <c r="D998" s="58">
        <v>2013</v>
      </c>
      <c r="E998" s="38"/>
      <c r="F998" s="58">
        <v>1</v>
      </c>
      <c r="G998" s="5">
        <v>2007</v>
      </c>
      <c r="H998" s="44">
        <f>LOOKUP(G998,CPI!A$69:A$100,CPI!O$69:O$100)</f>
        <v>1.0516730811895323</v>
      </c>
      <c r="I998" s="52">
        <v>2010</v>
      </c>
      <c r="J998" s="43">
        <v>2.1276595744680851E-2</v>
      </c>
      <c r="K998" s="43">
        <v>2.1276595744680851E-2</v>
      </c>
      <c r="L998" s="57">
        <f t="shared" si="287"/>
        <v>2.4241459928053155E-2</v>
      </c>
      <c r="M998" s="56">
        <f t="shared" si="281"/>
        <v>142.02832801730003</v>
      </c>
      <c r="N998" s="49">
        <f t="shared" si="290"/>
        <v>115.86666666666667</v>
      </c>
      <c r="O998" s="41">
        <f>31.6*(44/12)</f>
        <v>115.86666666666667</v>
      </c>
      <c r="P998" s="5">
        <v>1</v>
      </c>
      <c r="Q998" s="5">
        <v>0</v>
      </c>
      <c r="R998" s="5">
        <v>0</v>
      </c>
      <c r="T998" s="56" t="str">
        <f t="shared" si="282"/>
        <v/>
      </c>
      <c r="U998" s="56" t="str">
        <f t="shared" ref="U998:U1029" si="292">+V998</f>
        <v/>
      </c>
      <c r="V998" s="56" t="str">
        <f t="shared" ref="V998:V1019" si="293">+T998</f>
        <v/>
      </c>
      <c r="AA998" s="37">
        <f t="shared" si="285"/>
        <v>115.86666666666667</v>
      </c>
      <c r="AF998" s="5">
        <v>0</v>
      </c>
      <c r="AG998" s="5">
        <v>1</v>
      </c>
      <c r="AH998" s="5">
        <v>1</v>
      </c>
      <c r="AI998" s="5">
        <v>1</v>
      </c>
      <c r="AJ998" s="5">
        <v>1</v>
      </c>
      <c r="AK998" s="5">
        <v>1</v>
      </c>
      <c r="AL998" s="5">
        <v>1</v>
      </c>
      <c r="AM998" s="13">
        <v>2.5</v>
      </c>
      <c r="AN998" s="13" t="s">
        <v>25</v>
      </c>
      <c r="AO998" s="5"/>
      <c r="AP998" s="5"/>
      <c r="AQ998" s="5"/>
      <c r="AR998" s="5">
        <v>0</v>
      </c>
      <c r="AS998" s="5">
        <v>0</v>
      </c>
      <c r="AT998" s="5"/>
      <c r="AU998" s="5"/>
      <c r="AV998" s="5"/>
      <c r="AW998" s="5"/>
      <c r="AX998" s="5">
        <v>0</v>
      </c>
      <c r="AY998" s="5">
        <v>0</v>
      </c>
      <c r="AZ998" s="5">
        <v>0</v>
      </c>
      <c r="BA998" s="5">
        <v>0</v>
      </c>
    </row>
    <row r="999" spans="2:53" s="41" customFormat="1" x14ac:dyDescent="0.2">
      <c r="B999" s="14" t="str">
        <f t="shared" si="288"/>
        <v>Greenstone et al. 2013</v>
      </c>
      <c r="C999" s="61">
        <f t="shared" si="289"/>
        <v>87</v>
      </c>
      <c r="D999" s="58">
        <v>2013</v>
      </c>
      <c r="E999" s="38"/>
      <c r="F999" s="58">
        <v>1</v>
      </c>
      <c r="G999" s="5">
        <v>2007</v>
      </c>
      <c r="H999" s="44">
        <f>LOOKUP(G999,CPI!A$69:A$100,CPI!O$69:O$100)</f>
        <v>1.0516730811895323</v>
      </c>
      <c r="I999" s="52">
        <v>2010</v>
      </c>
      <c r="J999" s="43">
        <v>2.1276595744680851E-2</v>
      </c>
      <c r="K999" s="43">
        <v>2.1276595744680851E-2</v>
      </c>
      <c r="L999" s="57">
        <f t="shared" si="287"/>
        <v>2.4241459928053155E-2</v>
      </c>
      <c r="M999" s="56">
        <f t="shared" si="281"/>
        <v>195.51367939090352</v>
      </c>
      <c r="N999" s="49">
        <f t="shared" si="290"/>
        <v>159.5</v>
      </c>
      <c r="O999" s="41">
        <f>43.5*(44/12)</f>
        <v>159.5</v>
      </c>
      <c r="P999" s="5">
        <v>1</v>
      </c>
      <c r="Q999" s="5">
        <v>0</v>
      </c>
      <c r="R999" s="5">
        <v>0</v>
      </c>
      <c r="T999" s="56" t="str">
        <f t="shared" si="282"/>
        <v/>
      </c>
      <c r="U999" s="56" t="str">
        <f t="shared" si="292"/>
        <v/>
      </c>
      <c r="V999" s="56" t="str">
        <f t="shared" si="293"/>
        <v/>
      </c>
      <c r="AA999" s="37">
        <f t="shared" ref="AA999:AA1030" si="294">O999</f>
        <v>159.5</v>
      </c>
      <c r="AF999" s="5">
        <v>0</v>
      </c>
      <c r="AG999" s="5">
        <v>1</v>
      </c>
      <c r="AH999" s="5">
        <v>1</v>
      </c>
      <c r="AI999" s="5">
        <v>1</v>
      </c>
      <c r="AJ999" s="5">
        <v>1</v>
      </c>
      <c r="AK999" s="5">
        <v>1</v>
      </c>
      <c r="AL999" s="5">
        <v>1</v>
      </c>
      <c r="AM999" s="13">
        <v>2.5</v>
      </c>
      <c r="AN999" s="13" t="s">
        <v>25</v>
      </c>
      <c r="AO999" s="5"/>
      <c r="AP999" s="5"/>
      <c r="AQ999" s="5"/>
      <c r="AR999" s="5">
        <v>0</v>
      </c>
      <c r="AS999" s="5">
        <v>0</v>
      </c>
      <c r="AT999" s="5"/>
      <c r="AU999" s="5"/>
      <c r="AV999" s="5"/>
      <c r="AW999" s="5"/>
      <c r="AX999" s="5">
        <v>0</v>
      </c>
      <c r="AY999" s="5">
        <v>0</v>
      </c>
      <c r="AZ999" s="5">
        <v>0</v>
      </c>
      <c r="BA999" s="5">
        <v>0</v>
      </c>
    </row>
    <row r="1000" spans="2:53" s="41" customFormat="1" x14ac:dyDescent="0.2">
      <c r="B1000" s="14" t="str">
        <f t="shared" si="288"/>
        <v>Greenstone et al. 2013</v>
      </c>
      <c r="C1000" s="61">
        <f t="shared" si="289"/>
        <v>87</v>
      </c>
      <c r="D1000" s="58">
        <v>2013</v>
      </c>
      <c r="E1000" s="38"/>
      <c r="F1000" s="58">
        <v>1</v>
      </c>
      <c r="G1000" s="5">
        <v>2007</v>
      </c>
      <c r="H1000" s="44">
        <f>LOOKUP(G1000,CPI!A$69:A$100,CPI!O$69:O$100)</f>
        <v>1.0516730811895323</v>
      </c>
      <c r="I1000" s="52">
        <v>2010</v>
      </c>
      <c r="J1000" s="43">
        <v>2.1276595744680851E-2</v>
      </c>
      <c r="K1000" s="43">
        <v>2.1276595744680851E-2</v>
      </c>
      <c r="L1000" s="57">
        <f t="shared" si="287"/>
        <v>2.4241459928053155E-2</v>
      </c>
      <c r="M1000" s="56">
        <f t="shared" si="281"/>
        <v>199.55878999899119</v>
      </c>
      <c r="N1000" s="49">
        <f t="shared" si="290"/>
        <v>162.79999999999998</v>
      </c>
      <c r="O1000" s="41">
        <f>44.4*(44/12)</f>
        <v>162.79999999999998</v>
      </c>
      <c r="P1000" s="5">
        <v>1</v>
      </c>
      <c r="Q1000" s="5">
        <v>0</v>
      </c>
      <c r="R1000" s="5">
        <v>0</v>
      </c>
      <c r="T1000" s="56" t="str">
        <f t="shared" si="282"/>
        <v/>
      </c>
      <c r="U1000" s="56" t="str">
        <f t="shared" si="292"/>
        <v/>
      </c>
      <c r="V1000" s="56" t="str">
        <f t="shared" si="293"/>
        <v/>
      </c>
      <c r="AA1000" s="37">
        <f t="shared" si="294"/>
        <v>162.79999999999998</v>
      </c>
      <c r="AF1000" s="5">
        <v>0</v>
      </c>
      <c r="AG1000" s="5">
        <v>1</v>
      </c>
      <c r="AH1000" s="5">
        <v>1</v>
      </c>
      <c r="AI1000" s="5">
        <v>1</v>
      </c>
      <c r="AJ1000" s="5">
        <v>1</v>
      </c>
      <c r="AK1000" s="5">
        <v>1</v>
      </c>
      <c r="AL1000" s="5">
        <v>1</v>
      </c>
      <c r="AM1000" s="13">
        <v>2.5</v>
      </c>
      <c r="AN1000" s="13" t="s">
        <v>25</v>
      </c>
      <c r="AO1000" s="5"/>
      <c r="AP1000" s="5"/>
      <c r="AQ1000" s="5"/>
      <c r="AR1000" s="5">
        <v>0</v>
      </c>
      <c r="AS1000" s="5">
        <v>0</v>
      </c>
      <c r="AT1000" s="5"/>
      <c r="AU1000" s="5"/>
      <c r="AV1000" s="5"/>
      <c r="AW1000" s="5"/>
      <c r="AX1000" s="5">
        <v>0</v>
      </c>
      <c r="AY1000" s="5">
        <v>0</v>
      </c>
      <c r="AZ1000" s="5">
        <v>0</v>
      </c>
      <c r="BA1000" s="5">
        <v>0</v>
      </c>
    </row>
    <row r="1001" spans="2:53" s="41" customFormat="1" x14ac:dyDescent="0.2">
      <c r="B1001" s="14" t="str">
        <f t="shared" si="288"/>
        <v>Greenstone et al. 2013</v>
      </c>
      <c r="C1001" s="61">
        <f t="shared" si="289"/>
        <v>87</v>
      </c>
      <c r="D1001" s="58">
        <v>2013</v>
      </c>
      <c r="E1001" s="38"/>
      <c r="F1001" s="58">
        <v>1</v>
      </c>
      <c r="G1001" s="5">
        <v>2007</v>
      </c>
      <c r="H1001" s="44">
        <f>LOOKUP(G1001,CPI!A$69:A$100,CPI!O$69:O$100)</f>
        <v>1.0516730811895323</v>
      </c>
      <c r="I1001" s="52">
        <v>2010</v>
      </c>
      <c r="J1001" s="43">
        <v>2.1276595744680851E-2</v>
      </c>
      <c r="K1001" s="43">
        <v>2.1276595744680851E-2</v>
      </c>
      <c r="L1001" s="57">
        <f t="shared" si="287"/>
        <v>2.4241459928053155E-2</v>
      </c>
      <c r="M1001" s="56">
        <f t="shared" si="281"/>
        <v>168.09681860275384</v>
      </c>
      <c r="N1001" s="49">
        <f t="shared" si="290"/>
        <v>137.13333333333333</v>
      </c>
      <c r="O1001" s="41">
        <f>37.4*(44/12)</f>
        <v>137.13333333333333</v>
      </c>
      <c r="P1001" s="5">
        <v>1</v>
      </c>
      <c r="Q1001" s="5">
        <v>0</v>
      </c>
      <c r="R1001" s="5">
        <v>0</v>
      </c>
      <c r="T1001" s="56" t="str">
        <f t="shared" si="282"/>
        <v/>
      </c>
      <c r="U1001" s="56" t="str">
        <f t="shared" si="292"/>
        <v/>
      </c>
      <c r="V1001" s="56" t="str">
        <f t="shared" si="293"/>
        <v/>
      </c>
      <c r="AA1001" s="37">
        <f t="shared" si="294"/>
        <v>137.13333333333333</v>
      </c>
      <c r="AF1001" s="5">
        <v>0</v>
      </c>
      <c r="AG1001" s="5">
        <v>1</v>
      </c>
      <c r="AH1001" s="5">
        <v>1</v>
      </c>
      <c r="AI1001" s="5">
        <v>1</v>
      </c>
      <c r="AJ1001" s="5">
        <v>1</v>
      </c>
      <c r="AK1001" s="5">
        <v>1</v>
      </c>
      <c r="AL1001" s="5">
        <v>1</v>
      </c>
      <c r="AM1001" s="13">
        <v>2.5</v>
      </c>
      <c r="AN1001" s="13" t="s">
        <v>25</v>
      </c>
      <c r="AO1001" s="5"/>
      <c r="AP1001" s="5"/>
      <c r="AQ1001" s="5"/>
      <c r="AR1001" s="5">
        <v>0</v>
      </c>
      <c r="AS1001" s="5">
        <v>0</v>
      </c>
      <c r="AT1001" s="5"/>
      <c r="AU1001" s="5"/>
      <c r="AV1001" s="5"/>
      <c r="AW1001" s="5"/>
      <c r="AX1001" s="5">
        <v>0</v>
      </c>
      <c r="AY1001" s="5">
        <v>0</v>
      </c>
      <c r="AZ1001" s="5">
        <v>0</v>
      </c>
      <c r="BA1001" s="5">
        <v>0</v>
      </c>
    </row>
    <row r="1002" spans="2:53" s="41" customFormat="1" x14ac:dyDescent="0.2">
      <c r="B1002" s="14" t="str">
        <f t="shared" si="288"/>
        <v>Greenstone et al. 2013</v>
      </c>
      <c r="C1002" s="61">
        <f t="shared" si="289"/>
        <v>87</v>
      </c>
      <c r="D1002" s="58">
        <v>2013</v>
      </c>
      <c r="E1002" s="38"/>
      <c r="F1002" s="58">
        <v>1</v>
      </c>
      <c r="G1002" s="5">
        <v>2007</v>
      </c>
      <c r="H1002" s="44">
        <f>LOOKUP(G1002,CPI!A$69:A$100,CPI!O$69:O$100)</f>
        <v>1.0516730811895323</v>
      </c>
      <c r="I1002" s="52">
        <v>2010</v>
      </c>
      <c r="J1002" s="43">
        <v>2.1276595744680851E-2</v>
      </c>
      <c r="K1002" s="43">
        <v>2.1276595744680851E-2</v>
      </c>
      <c r="L1002" s="57">
        <f t="shared" si="287"/>
        <v>2.4241459928053155E-2</v>
      </c>
      <c r="M1002" s="56">
        <f t="shared" si="281"/>
        <v>294.39416092193522</v>
      </c>
      <c r="N1002" s="49">
        <f t="shared" si="290"/>
        <v>240.16666666666666</v>
      </c>
      <c r="O1002" s="41">
        <f>65.5*(44/12)</f>
        <v>240.16666666666666</v>
      </c>
      <c r="P1002" s="5">
        <v>1</v>
      </c>
      <c r="Q1002" s="5">
        <v>0</v>
      </c>
      <c r="R1002" s="5">
        <v>0</v>
      </c>
      <c r="T1002" s="56" t="str">
        <f t="shared" si="282"/>
        <v/>
      </c>
      <c r="U1002" s="56" t="str">
        <f t="shared" si="292"/>
        <v/>
      </c>
      <c r="V1002" s="56" t="str">
        <f t="shared" si="293"/>
        <v/>
      </c>
      <c r="AA1002" s="37">
        <f t="shared" si="294"/>
        <v>240.16666666666666</v>
      </c>
      <c r="AF1002" s="5">
        <v>0</v>
      </c>
      <c r="AG1002" s="5">
        <v>1</v>
      </c>
      <c r="AH1002" s="5">
        <v>1</v>
      </c>
      <c r="AI1002" s="5">
        <v>1</v>
      </c>
      <c r="AJ1002" s="5">
        <v>1</v>
      </c>
      <c r="AK1002" s="5">
        <v>1</v>
      </c>
      <c r="AL1002" s="5">
        <v>1</v>
      </c>
      <c r="AM1002" s="13">
        <v>2.5</v>
      </c>
      <c r="AN1002" s="13" t="s">
        <v>25</v>
      </c>
      <c r="AO1002" s="5"/>
      <c r="AP1002" s="5"/>
      <c r="AQ1002" s="5"/>
      <c r="AR1002" s="5">
        <v>0</v>
      </c>
      <c r="AS1002" s="5">
        <v>0</v>
      </c>
      <c r="AT1002" s="5"/>
      <c r="AU1002" s="5"/>
      <c r="AV1002" s="5"/>
      <c r="AW1002" s="5"/>
      <c r="AX1002" s="5">
        <v>0</v>
      </c>
      <c r="AY1002" s="5">
        <v>0</v>
      </c>
      <c r="AZ1002" s="5">
        <v>0</v>
      </c>
      <c r="BA1002" s="5">
        <v>0</v>
      </c>
    </row>
    <row r="1003" spans="2:53" s="41" customFormat="1" x14ac:dyDescent="0.2">
      <c r="B1003" s="14" t="str">
        <f t="shared" si="288"/>
        <v>Greenstone et al. 2013</v>
      </c>
      <c r="C1003" s="61">
        <f t="shared" si="289"/>
        <v>87</v>
      </c>
      <c r="D1003" s="58">
        <v>2013</v>
      </c>
      <c r="E1003" s="38"/>
      <c r="F1003" s="58">
        <v>1</v>
      </c>
      <c r="G1003" s="5">
        <v>2007</v>
      </c>
      <c r="H1003" s="44">
        <f>LOOKUP(G1003,CPI!A$69:A$100,CPI!O$69:O$100)</f>
        <v>1.0516730811895323</v>
      </c>
      <c r="I1003" s="52">
        <v>2010</v>
      </c>
      <c r="J1003" s="43">
        <v>2.1276595744680851E-2</v>
      </c>
      <c r="K1003" s="43">
        <v>2.1276595744680851E-2</v>
      </c>
      <c r="L1003" s="57">
        <f t="shared" si="287"/>
        <v>2.4241459928053155E-2</v>
      </c>
      <c r="M1003" s="56">
        <f t="shared" si="281"/>
        <v>155.51203004425886</v>
      </c>
      <c r="N1003" s="49">
        <f t="shared" si="290"/>
        <v>126.86666666666666</v>
      </c>
      <c r="O1003" s="41">
        <f>34.6*(44/12)</f>
        <v>126.86666666666666</v>
      </c>
      <c r="P1003" s="5">
        <v>1</v>
      </c>
      <c r="Q1003" s="5">
        <v>0</v>
      </c>
      <c r="R1003" s="5">
        <v>0</v>
      </c>
      <c r="T1003" s="56" t="str">
        <f t="shared" si="282"/>
        <v/>
      </c>
      <c r="U1003" s="56" t="str">
        <f t="shared" si="292"/>
        <v/>
      </c>
      <c r="V1003" s="56" t="str">
        <f t="shared" si="293"/>
        <v/>
      </c>
      <c r="AA1003" s="37">
        <f t="shared" si="294"/>
        <v>126.86666666666666</v>
      </c>
      <c r="AF1003" s="5">
        <v>0</v>
      </c>
      <c r="AG1003" s="5">
        <v>1</v>
      </c>
      <c r="AH1003" s="5">
        <v>1</v>
      </c>
      <c r="AI1003" s="5">
        <v>1</v>
      </c>
      <c r="AJ1003" s="5">
        <v>1</v>
      </c>
      <c r="AK1003" s="5">
        <v>1</v>
      </c>
      <c r="AL1003" s="5">
        <v>1</v>
      </c>
      <c r="AM1003" s="13">
        <v>2.5</v>
      </c>
      <c r="AN1003" s="13" t="s">
        <v>25</v>
      </c>
      <c r="AO1003" s="5"/>
      <c r="AP1003" s="5"/>
      <c r="AQ1003" s="5"/>
      <c r="AR1003" s="5">
        <v>0</v>
      </c>
      <c r="AS1003" s="5">
        <v>0</v>
      </c>
      <c r="AT1003" s="5"/>
      <c r="AU1003" s="5"/>
      <c r="AV1003" s="5"/>
      <c r="AW1003" s="5"/>
      <c r="AX1003" s="5">
        <v>0</v>
      </c>
      <c r="AY1003" s="5">
        <v>0</v>
      </c>
      <c r="AZ1003" s="5">
        <v>0</v>
      </c>
      <c r="BA1003" s="5">
        <v>0</v>
      </c>
    </row>
    <row r="1004" spans="2:53" s="41" customFormat="1" x14ac:dyDescent="0.2">
      <c r="B1004" s="14" t="str">
        <f t="shared" si="288"/>
        <v>Greenstone et al. 2013</v>
      </c>
      <c r="C1004" s="61">
        <f t="shared" si="289"/>
        <v>87</v>
      </c>
      <c r="D1004" s="58">
        <v>2013</v>
      </c>
      <c r="E1004" s="38"/>
      <c r="F1004" s="58">
        <v>1</v>
      </c>
      <c r="G1004" s="5">
        <v>2007</v>
      </c>
      <c r="H1004" s="44">
        <f>LOOKUP(G1004,CPI!A$69:A$100,CPI!O$69:O$100)</f>
        <v>1.0516730811895323</v>
      </c>
      <c r="I1004" s="52">
        <v>2010</v>
      </c>
      <c r="J1004" s="43">
        <v>2.1276595744680851E-2</v>
      </c>
      <c r="K1004" s="43">
        <v>2.1276595744680851E-2</v>
      </c>
      <c r="L1004" s="57">
        <f t="shared" si="287"/>
        <v>2.4241459928053155E-2</v>
      </c>
      <c r="M1004" s="56">
        <f t="shared" si="281"/>
        <v>221.13271324212539</v>
      </c>
      <c r="N1004" s="49">
        <f t="shared" si="290"/>
        <v>180.4</v>
      </c>
      <c r="O1004" s="41">
        <f>49.2*(44/12)</f>
        <v>180.4</v>
      </c>
      <c r="P1004" s="5">
        <v>1</v>
      </c>
      <c r="Q1004" s="5">
        <v>0</v>
      </c>
      <c r="R1004" s="5">
        <v>0</v>
      </c>
      <c r="T1004" s="56" t="str">
        <f t="shared" si="282"/>
        <v/>
      </c>
      <c r="U1004" s="56" t="str">
        <f t="shared" si="292"/>
        <v/>
      </c>
      <c r="V1004" s="56" t="str">
        <f t="shared" si="293"/>
        <v/>
      </c>
      <c r="AA1004" s="37">
        <f t="shared" si="294"/>
        <v>180.4</v>
      </c>
      <c r="AF1004" s="5">
        <v>0</v>
      </c>
      <c r="AG1004" s="5">
        <v>1</v>
      </c>
      <c r="AH1004" s="5">
        <v>1</v>
      </c>
      <c r="AI1004" s="5">
        <v>1</v>
      </c>
      <c r="AJ1004" s="5">
        <v>1</v>
      </c>
      <c r="AK1004" s="5">
        <v>1</v>
      </c>
      <c r="AL1004" s="5">
        <v>1</v>
      </c>
      <c r="AM1004" s="13">
        <v>2.5</v>
      </c>
      <c r="AN1004" s="13" t="s">
        <v>25</v>
      </c>
      <c r="AO1004" s="5"/>
      <c r="AP1004" s="5"/>
      <c r="AQ1004" s="5"/>
      <c r="AR1004" s="5">
        <v>0</v>
      </c>
      <c r="AS1004" s="5">
        <v>0</v>
      </c>
      <c r="AT1004" s="5"/>
      <c r="AU1004" s="5"/>
      <c r="AV1004" s="5"/>
      <c r="AW1004" s="5"/>
      <c r="AX1004" s="5">
        <v>0</v>
      </c>
      <c r="AY1004" s="5">
        <v>0</v>
      </c>
      <c r="AZ1004" s="5">
        <v>0</v>
      </c>
      <c r="BA1004" s="5">
        <v>0</v>
      </c>
    </row>
    <row r="1005" spans="2:53" s="41" customFormat="1" x14ac:dyDescent="0.2">
      <c r="B1005" s="14" t="str">
        <f t="shared" si="288"/>
        <v>Greenstone et al. 2013</v>
      </c>
      <c r="C1005" s="61">
        <f t="shared" si="289"/>
        <v>87</v>
      </c>
      <c r="D1005" s="58">
        <v>2013</v>
      </c>
      <c r="E1005" s="38"/>
      <c r="F1005" s="58">
        <v>1</v>
      </c>
      <c r="G1005" s="5">
        <v>2007</v>
      </c>
      <c r="H1005" s="44">
        <f>LOOKUP(G1005,CPI!A$69:A$100,CPI!O$69:O$100)</f>
        <v>1.0516730811895323</v>
      </c>
      <c r="I1005" s="52">
        <v>2010</v>
      </c>
      <c r="J1005" s="43">
        <v>2.1276595744680851E-2</v>
      </c>
      <c r="K1005" s="43">
        <v>2.1276595744680851E-2</v>
      </c>
      <c r="L1005" s="57">
        <f t="shared" si="287"/>
        <v>2.4241459928053155E-2</v>
      </c>
      <c r="M1005" s="56">
        <f t="shared" si="281"/>
        <v>245.85283362488329</v>
      </c>
      <c r="N1005" s="49">
        <f t="shared" si="290"/>
        <v>200.56666666666666</v>
      </c>
      <c r="O1005" s="41">
        <f>54.7*(44/12)</f>
        <v>200.56666666666666</v>
      </c>
      <c r="P1005" s="5">
        <v>1</v>
      </c>
      <c r="Q1005" s="5">
        <v>0</v>
      </c>
      <c r="R1005" s="5">
        <v>0</v>
      </c>
      <c r="T1005" s="56" t="str">
        <f t="shared" si="282"/>
        <v/>
      </c>
      <c r="U1005" s="56" t="str">
        <f t="shared" si="292"/>
        <v/>
      </c>
      <c r="V1005" s="56" t="str">
        <f t="shared" si="293"/>
        <v/>
      </c>
      <c r="AA1005" s="37">
        <f t="shared" si="294"/>
        <v>200.56666666666666</v>
      </c>
      <c r="AF1005" s="5">
        <v>0</v>
      </c>
      <c r="AG1005" s="5">
        <v>1</v>
      </c>
      <c r="AH1005" s="5">
        <v>1</v>
      </c>
      <c r="AI1005" s="5">
        <v>1</v>
      </c>
      <c r="AJ1005" s="5">
        <v>1</v>
      </c>
      <c r="AK1005" s="5">
        <v>1</v>
      </c>
      <c r="AL1005" s="5">
        <v>1</v>
      </c>
      <c r="AM1005" s="13">
        <v>2.5</v>
      </c>
      <c r="AN1005" s="13" t="s">
        <v>25</v>
      </c>
      <c r="AO1005" s="5"/>
      <c r="AP1005" s="5"/>
      <c r="AQ1005" s="5"/>
      <c r="AR1005" s="5">
        <v>0</v>
      </c>
      <c r="AS1005" s="5">
        <v>0</v>
      </c>
      <c r="AT1005" s="5"/>
      <c r="AU1005" s="5"/>
      <c r="AV1005" s="5"/>
      <c r="AW1005" s="5"/>
      <c r="AX1005" s="5">
        <v>0</v>
      </c>
      <c r="AY1005" s="5">
        <v>0</v>
      </c>
      <c r="AZ1005" s="5">
        <v>0</v>
      </c>
      <c r="BA1005" s="5">
        <v>0</v>
      </c>
    </row>
    <row r="1006" spans="2:53" s="41" customFormat="1" x14ac:dyDescent="0.2">
      <c r="B1006" s="14" t="str">
        <f t="shared" si="288"/>
        <v>Greenstone et al. 2013</v>
      </c>
      <c r="C1006" s="61">
        <f t="shared" si="289"/>
        <v>87</v>
      </c>
      <c r="D1006" s="58">
        <v>2013</v>
      </c>
      <c r="E1006" s="38"/>
      <c r="F1006" s="58">
        <v>1</v>
      </c>
      <c r="G1006" s="5">
        <v>2007</v>
      </c>
      <c r="H1006" s="44">
        <f>LOOKUP(G1006,CPI!A$69:A$100,CPI!O$69:O$100)</f>
        <v>1.0516730811895323</v>
      </c>
      <c r="I1006" s="52">
        <v>2010</v>
      </c>
      <c r="J1006" s="43">
        <v>2.1276595744680851E-2</v>
      </c>
      <c r="K1006" s="43">
        <v>2.1276595744680851E-2</v>
      </c>
      <c r="L1006" s="57">
        <f t="shared" si="287"/>
        <v>2.4241459928053155E-2</v>
      </c>
      <c r="M1006" s="56">
        <f t="shared" si="281"/>
        <v>192.81693898551174</v>
      </c>
      <c r="N1006" s="49">
        <f t="shared" si="290"/>
        <v>157.29999999999998</v>
      </c>
      <c r="O1006" s="41">
        <f>42.9*(44/12)</f>
        <v>157.29999999999998</v>
      </c>
      <c r="P1006" s="5">
        <v>1</v>
      </c>
      <c r="Q1006" s="5">
        <v>0</v>
      </c>
      <c r="R1006" s="5">
        <v>0</v>
      </c>
      <c r="T1006" s="56" t="str">
        <f t="shared" si="282"/>
        <v/>
      </c>
      <c r="U1006" s="56" t="str">
        <f t="shared" si="292"/>
        <v/>
      </c>
      <c r="V1006" s="56" t="str">
        <f t="shared" si="293"/>
        <v/>
      </c>
      <c r="AA1006" s="37">
        <f t="shared" si="294"/>
        <v>157.29999999999998</v>
      </c>
      <c r="AF1006" s="5">
        <v>0</v>
      </c>
      <c r="AG1006" s="5">
        <v>1</v>
      </c>
      <c r="AH1006" s="5">
        <v>1</v>
      </c>
      <c r="AI1006" s="5">
        <v>1</v>
      </c>
      <c r="AJ1006" s="5">
        <v>1</v>
      </c>
      <c r="AK1006" s="5">
        <v>1</v>
      </c>
      <c r="AL1006" s="5">
        <v>1</v>
      </c>
      <c r="AM1006" s="13">
        <v>2.5</v>
      </c>
      <c r="AN1006" s="13" t="s">
        <v>25</v>
      </c>
      <c r="AO1006" s="5"/>
      <c r="AP1006" s="5"/>
      <c r="AQ1006" s="5"/>
      <c r="AR1006" s="5">
        <v>0</v>
      </c>
      <c r="AS1006" s="5">
        <v>0</v>
      </c>
      <c r="AT1006" s="5"/>
      <c r="AU1006" s="5"/>
      <c r="AV1006" s="5"/>
      <c r="AW1006" s="5"/>
      <c r="AX1006" s="5">
        <v>0</v>
      </c>
      <c r="AY1006" s="5">
        <v>0</v>
      </c>
      <c r="AZ1006" s="5">
        <v>0</v>
      </c>
      <c r="BA1006" s="5">
        <v>0</v>
      </c>
    </row>
    <row r="1007" spans="2:53" s="41" customFormat="1" x14ac:dyDescent="0.2">
      <c r="B1007" s="14" t="str">
        <f t="shared" si="288"/>
        <v>Greenstone et al. 2013</v>
      </c>
      <c r="C1007" s="61">
        <f t="shared" si="289"/>
        <v>87</v>
      </c>
      <c r="D1007" s="58">
        <v>2013</v>
      </c>
      <c r="E1007" s="38"/>
      <c r="F1007" s="58">
        <v>1</v>
      </c>
      <c r="G1007" s="5">
        <v>2007</v>
      </c>
      <c r="H1007" s="44">
        <f>LOOKUP(G1007,CPI!A$69:A$100,CPI!O$69:O$100)</f>
        <v>1.0516730811895323</v>
      </c>
      <c r="I1007" s="52">
        <v>2010</v>
      </c>
      <c r="J1007" s="43">
        <v>2.1276595744680851E-2</v>
      </c>
      <c r="K1007" s="43">
        <v>2.1276595744680851E-2</v>
      </c>
      <c r="L1007" s="57">
        <f t="shared" si="287"/>
        <v>2.4241459928053155E-2</v>
      </c>
      <c r="M1007" s="56">
        <f t="shared" si="281"/>
        <v>86.7451497067687</v>
      </c>
      <c r="N1007" s="49">
        <f t="shared" si="290"/>
        <v>70.766666666666666</v>
      </c>
      <c r="O1007" s="41">
        <f>19.3*(44/12)</f>
        <v>70.766666666666666</v>
      </c>
      <c r="P1007" s="5">
        <v>1</v>
      </c>
      <c r="Q1007" s="5">
        <v>0</v>
      </c>
      <c r="R1007" s="5">
        <v>0</v>
      </c>
      <c r="T1007" s="56" t="str">
        <f t="shared" si="282"/>
        <v/>
      </c>
      <c r="U1007" s="56" t="str">
        <f t="shared" si="292"/>
        <v/>
      </c>
      <c r="V1007" s="56" t="str">
        <f t="shared" si="293"/>
        <v/>
      </c>
      <c r="AA1007" s="37">
        <f t="shared" si="294"/>
        <v>70.766666666666666</v>
      </c>
      <c r="AF1007" s="5">
        <v>0</v>
      </c>
      <c r="AG1007" s="5">
        <v>1</v>
      </c>
      <c r="AH1007" s="5">
        <v>1</v>
      </c>
      <c r="AI1007" s="5">
        <v>1</v>
      </c>
      <c r="AJ1007" s="5">
        <v>1</v>
      </c>
      <c r="AK1007" s="5">
        <v>1</v>
      </c>
      <c r="AL1007" s="5">
        <v>1</v>
      </c>
      <c r="AM1007" s="13">
        <v>2.5</v>
      </c>
      <c r="AN1007" s="13" t="s">
        <v>25</v>
      </c>
      <c r="AO1007" s="5"/>
      <c r="AP1007" s="5"/>
      <c r="AQ1007" s="5"/>
      <c r="AR1007" s="5">
        <v>0</v>
      </c>
      <c r="AS1007" s="5">
        <v>0</v>
      </c>
      <c r="AT1007" s="5"/>
      <c r="AU1007" s="5"/>
      <c r="AV1007" s="5"/>
      <c r="AW1007" s="5"/>
      <c r="AX1007" s="5">
        <v>0</v>
      </c>
      <c r="AY1007" s="5">
        <v>0</v>
      </c>
      <c r="AZ1007" s="5">
        <v>0</v>
      </c>
      <c r="BA1007" s="5">
        <v>0</v>
      </c>
    </row>
    <row r="1008" spans="2:53" s="41" customFormat="1" x14ac:dyDescent="0.2">
      <c r="B1008" s="14" t="str">
        <f t="shared" si="288"/>
        <v>Greenstone et al. 2013</v>
      </c>
      <c r="C1008" s="61">
        <f t="shared" si="289"/>
        <v>87</v>
      </c>
      <c r="D1008" s="58">
        <v>2013</v>
      </c>
      <c r="E1008" s="38"/>
      <c r="F1008" s="58">
        <v>1</v>
      </c>
      <c r="G1008" s="5">
        <v>2007</v>
      </c>
      <c r="H1008" s="44">
        <f>LOOKUP(G1008,CPI!A$69:A$100,CPI!O$69:O$100)</f>
        <v>1.0516730811895323</v>
      </c>
      <c r="I1008" s="52">
        <v>2010</v>
      </c>
      <c r="J1008" s="43">
        <v>2.1276595744680851E-2</v>
      </c>
      <c r="K1008" s="43">
        <v>2.1276595744680851E-2</v>
      </c>
      <c r="L1008" s="57">
        <f t="shared" si="287"/>
        <v>2.4241459928053155E-2</v>
      </c>
      <c r="M1008" s="56">
        <f t="shared" si="281"/>
        <v>66.519596666330386</v>
      </c>
      <c r="N1008" s="49">
        <f t="shared" si="290"/>
        <v>54.266666666666666</v>
      </c>
      <c r="O1008" s="41">
        <f>14.8*(44/12)</f>
        <v>54.266666666666666</v>
      </c>
      <c r="P1008" s="5">
        <v>1</v>
      </c>
      <c r="Q1008" s="5">
        <v>0</v>
      </c>
      <c r="R1008" s="5">
        <v>0</v>
      </c>
      <c r="T1008" s="56" t="str">
        <f t="shared" si="282"/>
        <v/>
      </c>
      <c r="U1008" s="56" t="str">
        <f t="shared" si="292"/>
        <v/>
      </c>
      <c r="V1008" s="56" t="str">
        <f t="shared" si="293"/>
        <v/>
      </c>
      <c r="AA1008" s="37">
        <f t="shared" si="294"/>
        <v>54.266666666666666</v>
      </c>
      <c r="AF1008" s="5">
        <v>0</v>
      </c>
      <c r="AG1008" s="5">
        <v>1</v>
      </c>
      <c r="AH1008" s="5">
        <v>1</v>
      </c>
      <c r="AI1008" s="5">
        <v>1</v>
      </c>
      <c r="AJ1008" s="5">
        <v>1</v>
      </c>
      <c r="AK1008" s="5">
        <v>1</v>
      </c>
      <c r="AL1008" s="5">
        <v>1</v>
      </c>
      <c r="AM1008" s="13">
        <v>2.5</v>
      </c>
      <c r="AN1008" s="13" t="s">
        <v>25</v>
      </c>
      <c r="AO1008" s="5"/>
      <c r="AP1008" s="5"/>
      <c r="AQ1008" s="5"/>
      <c r="AR1008" s="5">
        <v>0</v>
      </c>
      <c r="AS1008" s="5">
        <v>0</v>
      </c>
      <c r="AT1008" s="5"/>
      <c r="AU1008" s="5"/>
      <c r="AV1008" s="5"/>
      <c r="AW1008" s="5"/>
      <c r="AX1008" s="5">
        <v>0</v>
      </c>
      <c r="AY1008" s="5">
        <v>0</v>
      </c>
      <c r="AZ1008" s="5">
        <v>0</v>
      </c>
      <c r="BA1008" s="5">
        <v>0</v>
      </c>
    </row>
    <row r="1009" spans="2:53" s="41" customFormat="1" x14ac:dyDescent="0.2">
      <c r="B1009" s="14" t="str">
        <f t="shared" si="288"/>
        <v>Greenstone et al. 2013</v>
      </c>
      <c r="C1009" s="61">
        <f t="shared" si="289"/>
        <v>87</v>
      </c>
      <c r="D1009" s="58">
        <v>2013</v>
      </c>
      <c r="E1009" s="38"/>
      <c r="F1009" s="58">
        <v>1</v>
      </c>
      <c r="G1009" s="5">
        <v>2007</v>
      </c>
      <c r="H1009" s="44">
        <f>LOOKUP(G1009,CPI!A$69:A$100,CPI!O$69:O$100)</f>
        <v>1.0516730811895323</v>
      </c>
      <c r="I1009" s="52">
        <v>2010</v>
      </c>
      <c r="J1009" s="43">
        <v>2.1276595744680851E-2</v>
      </c>
      <c r="K1009" s="43">
        <v>2.1276595744680851E-2</v>
      </c>
      <c r="L1009" s="57">
        <f t="shared" si="287"/>
        <v>2.4241459928053155E-2</v>
      </c>
      <c r="M1009" s="56">
        <f t="shared" si="281"/>
        <v>39.552192612412668</v>
      </c>
      <c r="N1009" s="49">
        <f t="shared" si="290"/>
        <v>32.266666666666666</v>
      </c>
      <c r="O1009" s="41">
        <f>8.8*(44/12)</f>
        <v>32.266666666666666</v>
      </c>
      <c r="P1009" s="5">
        <v>1</v>
      </c>
      <c r="Q1009" s="5">
        <v>0</v>
      </c>
      <c r="R1009" s="5">
        <v>0</v>
      </c>
      <c r="T1009" s="56" t="str">
        <f t="shared" si="282"/>
        <v/>
      </c>
      <c r="U1009" s="56" t="str">
        <f t="shared" si="292"/>
        <v/>
      </c>
      <c r="V1009" s="56" t="str">
        <f t="shared" si="293"/>
        <v/>
      </c>
      <c r="AA1009" s="37">
        <f t="shared" si="294"/>
        <v>32.266666666666666</v>
      </c>
      <c r="AF1009" s="5">
        <v>0</v>
      </c>
      <c r="AG1009" s="5">
        <v>1</v>
      </c>
      <c r="AH1009" s="5">
        <v>1</v>
      </c>
      <c r="AI1009" s="5">
        <v>1</v>
      </c>
      <c r="AJ1009" s="5">
        <v>1</v>
      </c>
      <c r="AK1009" s="5">
        <v>1</v>
      </c>
      <c r="AL1009" s="5">
        <v>1</v>
      </c>
      <c r="AM1009" s="13">
        <v>2.5</v>
      </c>
      <c r="AN1009" s="13" t="s">
        <v>25</v>
      </c>
      <c r="AO1009" s="5"/>
      <c r="AP1009" s="5"/>
      <c r="AQ1009" s="5"/>
      <c r="AR1009" s="5">
        <v>0</v>
      </c>
      <c r="AS1009" s="5">
        <v>0</v>
      </c>
      <c r="AT1009" s="5"/>
      <c r="AU1009" s="5"/>
      <c r="AV1009" s="5"/>
      <c r="AW1009" s="5"/>
      <c r="AX1009" s="5">
        <v>0</v>
      </c>
      <c r="AY1009" s="5">
        <v>0</v>
      </c>
      <c r="AZ1009" s="5">
        <v>0</v>
      </c>
      <c r="BA1009" s="5">
        <v>0</v>
      </c>
    </row>
    <row r="1010" spans="2:53" s="41" customFormat="1" x14ac:dyDescent="0.2">
      <c r="B1010" s="14" t="str">
        <f t="shared" si="288"/>
        <v>Greenstone et al. 2013</v>
      </c>
      <c r="C1010" s="61">
        <f t="shared" si="289"/>
        <v>87</v>
      </c>
      <c r="D1010" s="58">
        <v>2013</v>
      </c>
      <c r="E1010" s="38"/>
      <c r="F1010" s="58">
        <v>1</v>
      </c>
      <c r="G1010" s="5">
        <v>2007</v>
      </c>
      <c r="H1010" s="44">
        <f>LOOKUP(G1010,CPI!A$69:A$100,CPI!O$69:O$100)</f>
        <v>1.0516730811895323</v>
      </c>
      <c r="I1010" s="52">
        <v>2010</v>
      </c>
      <c r="J1010" s="43">
        <v>2.1276595744680851E-2</v>
      </c>
      <c r="K1010" s="43">
        <v>2.1276595744680851E-2</v>
      </c>
      <c r="L1010" s="57">
        <f t="shared" si="287"/>
        <v>2.4241459928053155E-2</v>
      </c>
      <c r="M1010" s="56">
        <f t="shared" si="281"/>
        <v>99.779394999495594</v>
      </c>
      <c r="N1010" s="49">
        <f t="shared" si="290"/>
        <v>81.399999999999991</v>
      </c>
      <c r="O1010" s="41">
        <f>22.2*(44/12)</f>
        <v>81.399999999999991</v>
      </c>
      <c r="P1010" s="5">
        <v>1</v>
      </c>
      <c r="Q1010" s="5">
        <v>0</v>
      </c>
      <c r="R1010" s="5">
        <v>0</v>
      </c>
      <c r="T1010" s="56" t="str">
        <f t="shared" si="282"/>
        <v/>
      </c>
      <c r="U1010" s="56" t="str">
        <f t="shared" si="292"/>
        <v/>
      </c>
      <c r="V1010" s="56" t="str">
        <f t="shared" si="293"/>
        <v/>
      </c>
      <c r="AA1010" s="37">
        <f t="shared" si="294"/>
        <v>81.399999999999991</v>
      </c>
      <c r="AF1010" s="5">
        <v>0</v>
      </c>
      <c r="AG1010" s="5">
        <v>1</v>
      </c>
      <c r="AH1010" s="5">
        <v>1</v>
      </c>
      <c r="AI1010" s="5">
        <v>1</v>
      </c>
      <c r="AJ1010" s="5">
        <v>1</v>
      </c>
      <c r="AK1010" s="5">
        <v>1</v>
      </c>
      <c r="AL1010" s="5">
        <v>1</v>
      </c>
      <c r="AM1010" s="13">
        <v>2.5</v>
      </c>
      <c r="AN1010" s="13" t="s">
        <v>25</v>
      </c>
      <c r="AO1010" s="5"/>
      <c r="AP1010" s="5"/>
      <c r="AQ1010" s="5"/>
      <c r="AR1010" s="5">
        <v>0</v>
      </c>
      <c r="AS1010" s="5">
        <v>0</v>
      </c>
      <c r="AT1010" s="5"/>
      <c r="AU1010" s="5"/>
      <c r="AV1010" s="5"/>
      <c r="AW1010" s="5"/>
      <c r="AX1010" s="5">
        <v>0</v>
      </c>
      <c r="AY1010" s="5">
        <v>0</v>
      </c>
      <c r="AZ1010" s="5">
        <v>0</v>
      </c>
      <c r="BA1010" s="5">
        <v>0</v>
      </c>
    </row>
    <row r="1011" spans="2:53" s="41" customFormat="1" x14ac:dyDescent="0.2">
      <c r="B1011" s="14" t="str">
        <f t="shared" si="288"/>
        <v>Greenstone et al. 2013</v>
      </c>
      <c r="C1011" s="61">
        <f t="shared" si="289"/>
        <v>87</v>
      </c>
      <c r="D1011" s="58">
        <v>2013</v>
      </c>
      <c r="E1011" s="38"/>
      <c r="F1011" s="58">
        <v>1</v>
      </c>
      <c r="G1011" s="5">
        <v>2007</v>
      </c>
      <c r="H1011" s="44">
        <f>LOOKUP(G1011,CPI!A$69:A$100,CPI!O$69:O$100)</f>
        <v>1.0516730811895323</v>
      </c>
      <c r="I1011" s="5">
        <v>2010</v>
      </c>
      <c r="J1011" s="43"/>
      <c r="K1011" s="59"/>
      <c r="L1011" s="57">
        <f t="shared" si="287"/>
        <v>2.4241459928053155E-2</v>
      </c>
      <c r="M1011" s="56"/>
      <c r="N1011" s="49">
        <f t="shared" si="290"/>
        <v>11</v>
      </c>
      <c r="O1011" s="41">
        <f>3*(44/12)</f>
        <v>11</v>
      </c>
      <c r="P1011" s="5">
        <v>1</v>
      </c>
      <c r="Q1011" s="5">
        <v>0</v>
      </c>
      <c r="R1011" s="5">
        <v>0</v>
      </c>
      <c r="T1011" s="56" t="str">
        <f t="shared" si="282"/>
        <v/>
      </c>
      <c r="U1011" s="56" t="str">
        <f t="shared" si="292"/>
        <v/>
      </c>
      <c r="V1011" s="56" t="str">
        <f t="shared" si="293"/>
        <v/>
      </c>
      <c r="AA1011" s="37">
        <f t="shared" si="294"/>
        <v>11</v>
      </c>
      <c r="AF1011" s="5">
        <v>0</v>
      </c>
      <c r="AG1011" s="5">
        <v>1</v>
      </c>
      <c r="AH1011" s="5">
        <v>1</v>
      </c>
      <c r="AI1011" s="5">
        <v>1</v>
      </c>
      <c r="AJ1011" s="5">
        <v>1</v>
      </c>
      <c r="AK1011" s="5">
        <v>1</v>
      </c>
      <c r="AL1011" s="5">
        <v>1</v>
      </c>
      <c r="AM1011" s="13">
        <v>2.5</v>
      </c>
      <c r="AN1011" s="13" t="s">
        <v>25</v>
      </c>
      <c r="AO1011" s="5"/>
      <c r="AP1011" s="5"/>
      <c r="AQ1011" s="5"/>
      <c r="AR1011" s="5">
        <v>0</v>
      </c>
      <c r="AS1011" s="5">
        <v>0</v>
      </c>
      <c r="AT1011" s="5"/>
      <c r="AU1011" s="5"/>
      <c r="AV1011" s="5"/>
      <c r="AW1011" s="5"/>
      <c r="AX1011" s="5">
        <v>0</v>
      </c>
      <c r="AY1011" s="5">
        <v>0</v>
      </c>
      <c r="AZ1011" s="5">
        <v>0</v>
      </c>
      <c r="BA1011" s="5">
        <v>0</v>
      </c>
    </row>
    <row r="1012" spans="2:53" s="41" customFormat="1" x14ac:dyDescent="0.2">
      <c r="B1012" s="14" t="str">
        <f t="shared" si="288"/>
        <v>Greenstone et al. 2013</v>
      </c>
      <c r="C1012" s="61">
        <f t="shared" si="289"/>
        <v>87</v>
      </c>
      <c r="D1012" s="58">
        <v>2013</v>
      </c>
      <c r="E1012" s="38"/>
      <c r="F1012" s="58">
        <v>1</v>
      </c>
      <c r="G1012" s="5">
        <v>2007</v>
      </c>
      <c r="H1012" s="44">
        <f>LOOKUP(G1012,CPI!A$69:A$100,CPI!O$69:O$100)</f>
        <v>1.0516730811895323</v>
      </c>
      <c r="I1012" s="52">
        <v>2015</v>
      </c>
      <c r="J1012" s="43">
        <v>2.1276595744680851E-2</v>
      </c>
      <c r="K1012" s="43">
        <v>2.1276595744680851E-2</v>
      </c>
      <c r="L1012" s="57">
        <f>(AA1013/AA1012)^(1/(I1013-I1012))-1</f>
        <v>3.5921415782331101E-2</v>
      </c>
      <c r="M1012" s="56">
        <f>AA1012*H1012*(1+$L$2)^(2015-I1012)</f>
        <v>21.979967396861223</v>
      </c>
      <c r="N1012" s="49">
        <f t="shared" ref="N1012:N1035" si="295">+O1012</f>
        <v>20.9</v>
      </c>
      <c r="O1012" s="41">
        <f>5.7*(44/12)</f>
        <v>20.9</v>
      </c>
      <c r="P1012" s="5">
        <v>1</v>
      </c>
      <c r="Q1012" s="5">
        <v>0</v>
      </c>
      <c r="R1012" s="5">
        <v>0</v>
      </c>
      <c r="T1012" s="56" t="str">
        <f t="shared" si="282"/>
        <v/>
      </c>
      <c r="U1012" s="56" t="str">
        <f t="shared" si="292"/>
        <v/>
      </c>
      <c r="V1012" s="56" t="str">
        <f t="shared" si="293"/>
        <v/>
      </c>
      <c r="AA1012" s="37">
        <f t="shared" si="294"/>
        <v>20.9</v>
      </c>
      <c r="AF1012" s="5">
        <v>0</v>
      </c>
      <c r="AG1012" s="5">
        <v>1</v>
      </c>
      <c r="AH1012" s="5">
        <v>1</v>
      </c>
      <c r="AI1012" s="5">
        <v>1</v>
      </c>
      <c r="AJ1012" s="5">
        <v>1</v>
      </c>
      <c r="AK1012" s="5">
        <v>1</v>
      </c>
      <c r="AL1012" s="5">
        <v>1</v>
      </c>
      <c r="AM1012" s="13">
        <v>5</v>
      </c>
      <c r="AN1012" s="13" t="s">
        <v>25</v>
      </c>
      <c r="AO1012" s="5"/>
      <c r="AP1012" s="5"/>
      <c r="AQ1012" s="5"/>
      <c r="AR1012" s="5">
        <v>0</v>
      </c>
      <c r="AS1012" s="5">
        <v>0</v>
      </c>
      <c r="AT1012" s="5"/>
      <c r="AU1012" s="5"/>
      <c r="AV1012" s="5"/>
      <c r="AW1012" s="5"/>
      <c r="AX1012" s="5">
        <v>0</v>
      </c>
      <c r="AY1012" s="5">
        <v>0</v>
      </c>
      <c r="AZ1012" s="5">
        <v>0</v>
      </c>
      <c r="BA1012" s="5">
        <v>0</v>
      </c>
    </row>
    <row r="1013" spans="2:53" s="41" customFormat="1" x14ac:dyDescent="0.2">
      <c r="B1013" s="14" t="str">
        <f t="shared" si="288"/>
        <v>Greenstone et al. 2013</v>
      </c>
      <c r="C1013" s="61">
        <f t="shared" si="289"/>
        <v>87</v>
      </c>
      <c r="D1013" s="58">
        <v>2013</v>
      </c>
      <c r="E1013" s="38"/>
      <c r="F1013" s="58">
        <v>1</v>
      </c>
      <c r="G1013" s="5">
        <v>2007</v>
      </c>
      <c r="H1013" s="44">
        <f>LOOKUP(G1013,CPI!A$69:A$100,CPI!O$69:O$100)</f>
        <v>1.0516730811895323</v>
      </c>
      <c r="I1013" s="5">
        <v>2020</v>
      </c>
      <c r="J1013" s="43"/>
      <c r="K1013" s="59"/>
      <c r="L1013" s="57"/>
      <c r="M1013" s="56"/>
      <c r="N1013" s="49">
        <f t="shared" si="295"/>
        <v>24.93333333333333</v>
      </c>
      <c r="O1013" s="41">
        <f>6.8*(44/12)</f>
        <v>24.93333333333333</v>
      </c>
      <c r="P1013" s="5">
        <v>1</v>
      </c>
      <c r="Q1013" s="5">
        <v>0</v>
      </c>
      <c r="R1013" s="5">
        <v>0</v>
      </c>
      <c r="T1013" s="56" t="str">
        <f t="shared" si="282"/>
        <v/>
      </c>
      <c r="U1013" s="56" t="str">
        <f t="shared" si="292"/>
        <v/>
      </c>
      <c r="V1013" s="56" t="str">
        <f t="shared" si="293"/>
        <v/>
      </c>
      <c r="AA1013" s="37">
        <f t="shared" si="294"/>
        <v>24.93333333333333</v>
      </c>
      <c r="AF1013" s="5">
        <v>0</v>
      </c>
      <c r="AG1013" s="5">
        <v>1</v>
      </c>
      <c r="AH1013" s="5">
        <v>1</v>
      </c>
      <c r="AI1013" s="5">
        <v>1</v>
      </c>
      <c r="AJ1013" s="5">
        <v>1</v>
      </c>
      <c r="AK1013" s="5">
        <v>1</v>
      </c>
      <c r="AL1013" s="5">
        <v>1</v>
      </c>
      <c r="AM1013" s="13">
        <v>5</v>
      </c>
      <c r="AN1013" s="13" t="s">
        <v>25</v>
      </c>
      <c r="AO1013" s="5"/>
      <c r="AP1013" s="5"/>
      <c r="AQ1013" s="5"/>
      <c r="AR1013" s="5">
        <v>0</v>
      </c>
      <c r="AS1013" s="5">
        <v>0</v>
      </c>
      <c r="AT1013" s="5"/>
      <c r="AU1013" s="5"/>
      <c r="AV1013" s="5"/>
      <c r="AW1013" s="5"/>
      <c r="AX1013" s="5">
        <v>0</v>
      </c>
      <c r="AY1013" s="5">
        <v>0</v>
      </c>
      <c r="AZ1013" s="5">
        <v>0</v>
      </c>
      <c r="BA1013" s="5">
        <v>0</v>
      </c>
    </row>
    <row r="1014" spans="2:53" s="41" customFormat="1" x14ac:dyDescent="0.2">
      <c r="B1014" s="14" t="str">
        <f t="shared" si="288"/>
        <v>Greenstone et al. 2013</v>
      </c>
      <c r="C1014" s="61">
        <f t="shared" si="289"/>
        <v>87</v>
      </c>
      <c r="D1014" s="58">
        <v>2013</v>
      </c>
      <c r="E1014" s="38"/>
      <c r="F1014" s="58">
        <v>1</v>
      </c>
      <c r="G1014" s="5">
        <v>2007</v>
      </c>
      <c r="H1014" s="44">
        <f>LOOKUP(G1014,CPI!A$69:A$100,CPI!O$69:O$100)</f>
        <v>1.0516730811895323</v>
      </c>
      <c r="I1014" s="5">
        <v>2025</v>
      </c>
      <c r="J1014" s="43"/>
      <c r="K1014" s="59"/>
      <c r="L1014" s="57"/>
      <c r="M1014" s="56"/>
      <c r="N1014" s="49">
        <f t="shared" si="295"/>
        <v>30.066666666666663</v>
      </c>
      <c r="O1014" s="41">
        <f>8.2*(44/12)</f>
        <v>30.066666666666663</v>
      </c>
      <c r="P1014" s="5">
        <v>1</v>
      </c>
      <c r="Q1014" s="5">
        <v>0</v>
      </c>
      <c r="R1014" s="5">
        <v>0</v>
      </c>
      <c r="T1014" s="56" t="str">
        <f t="shared" si="282"/>
        <v/>
      </c>
      <c r="U1014" s="56" t="str">
        <f t="shared" si="292"/>
        <v/>
      </c>
      <c r="V1014" s="56" t="str">
        <f t="shared" si="293"/>
        <v/>
      </c>
      <c r="AA1014" s="37">
        <f t="shared" si="294"/>
        <v>30.066666666666663</v>
      </c>
      <c r="AF1014" s="5">
        <v>0</v>
      </c>
      <c r="AG1014" s="5">
        <v>1</v>
      </c>
      <c r="AH1014" s="5">
        <v>1</v>
      </c>
      <c r="AI1014" s="5">
        <v>1</v>
      </c>
      <c r="AJ1014" s="5">
        <v>1</v>
      </c>
      <c r="AK1014" s="5">
        <v>1</v>
      </c>
      <c r="AL1014" s="5">
        <v>1</v>
      </c>
      <c r="AM1014" s="13">
        <v>5</v>
      </c>
      <c r="AN1014" s="13" t="s">
        <v>25</v>
      </c>
      <c r="AO1014" s="5"/>
      <c r="AP1014" s="5"/>
      <c r="AQ1014" s="5"/>
      <c r="AR1014" s="5">
        <v>0</v>
      </c>
      <c r="AS1014" s="5">
        <v>0</v>
      </c>
      <c r="AT1014" s="5"/>
      <c r="AU1014" s="5"/>
      <c r="AV1014" s="5"/>
      <c r="AW1014" s="5"/>
      <c r="AX1014" s="5">
        <v>0</v>
      </c>
      <c r="AY1014" s="5">
        <v>0</v>
      </c>
      <c r="AZ1014" s="5">
        <v>0</v>
      </c>
      <c r="BA1014" s="5">
        <v>0</v>
      </c>
    </row>
    <row r="1015" spans="2:53" s="41" customFormat="1" x14ac:dyDescent="0.2">
      <c r="B1015" s="14" t="str">
        <f t="shared" si="288"/>
        <v>Greenstone et al. 2013</v>
      </c>
      <c r="C1015" s="61">
        <f t="shared" si="289"/>
        <v>87</v>
      </c>
      <c r="D1015" s="58">
        <v>2013</v>
      </c>
      <c r="E1015" s="38"/>
      <c r="F1015" s="58">
        <v>1</v>
      </c>
      <c r="G1015" s="5">
        <v>2007</v>
      </c>
      <c r="H1015" s="44">
        <f>LOOKUP(G1015,CPI!A$69:A$100,CPI!O$69:O$100)</f>
        <v>1.0516730811895323</v>
      </c>
      <c r="I1015" s="5">
        <v>2030</v>
      </c>
      <c r="J1015" s="43"/>
      <c r="K1015" s="43"/>
      <c r="L1015" s="57"/>
      <c r="M1015" s="56"/>
      <c r="N1015" s="49">
        <f t="shared" si="295"/>
        <v>35.566666666666663</v>
      </c>
      <c r="O1015" s="41">
        <f>9.7*(44/12)</f>
        <v>35.566666666666663</v>
      </c>
      <c r="P1015" s="5">
        <v>1</v>
      </c>
      <c r="Q1015" s="5">
        <v>0</v>
      </c>
      <c r="R1015" s="5">
        <v>0</v>
      </c>
      <c r="T1015" s="56" t="str">
        <f t="shared" si="282"/>
        <v/>
      </c>
      <c r="U1015" s="56" t="str">
        <f t="shared" si="292"/>
        <v/>
      </c>
      <c r="V1015" s="56" t="str">
        <f t="shared" si="293"/>
        <v/>
      </c>
      <c r="AA1015" s="37">
        <f t="shared" si="294"/>
        <v>35.566666666666663</v>
      </c>
      <c r="AF1015" s="5">
        <v>0</v>
      </c>
      <c r="AG1015" s="5">
        <v>1</v>
      </c>
      <c r="AH1015" s="5">
        <v>1</v>
      </c>
      <c r="AI1015" s="5">
        <v>1</v>
      </c>
      <c r="AJ1015" s="5">
        <v>1</v>
      </c>
      <c r="AK1015" s="5">
        <v>1</v>
      </c>
      <c r="AL1015" s="5">
        <v>1</v>
      </c>
      <c r="AM1015" s="13">
        <v>5</v>
      </c>
      <c r="AN1015" s="13" t="s">
        <v>25</v>
      </c>
      <c r="AO1015" s="5"/>
      <c r="AP1015" s="5"/>
      <c r="AQ1015" s="5"/>
      <c r="AR1015" s="5">
        <v>0</v>
      </c>
      <c r="AS1015" s="5">
        <v>0</v>
      </c>
      <c r="AT1015" s="5"/>
      <c r="AU1015" s="5"/>
      <c r="AV1015" s="5"/>
      <c r="AW1015" s="5"/>
      <c r="AX1015" s="5">
        <v>0</v>
      </c>
      <c r="AY1015" s="5">
        <v>0</v>
      </c>
      <c r="AZ1015" s="5">
        <v>0</v>
      </c>
      <c r="BA1015" s="5">
        <v>0</v>
      </c>
    </row>
    <row r="1016" spans="2:53" s="41" customFormat="1" x14ac:dyDescent="0.2">
      <c r="B1016" s="14" t="str">
        <f t="shared" si="288"/>
        <v>Greenstone et al. 2013</v>
      </c>
      <c r="C1016" s="61">
        <f t="shared" si="289"/>
        <v>87</v>
      </c>
      <c r="D1016" s="58">
        <v>2013</v>
      </c>
      <c r="E1016" s="38"/>
      <c r="F1016" s="58">
        <v>1</v>
      </c>
      <c r="G1016" s="5">
        <v>2007</v>
      </c>
      <c r="H1016" s="44">
        <f>LOOKUP(G1016,CPI!A$69:A$100,CPI!O$69:O$100)</f>
        <v>1.0516730811895323</v>
      </c>
      <c r="I1016" s="5">
        <v>2035</v>
      </c>
      <c r="J1016" s="43"/>
      <c r="K1016" s="43"/>
      <c r="L1016" s="57"/>
      <c r="M1016" s="56"/>
      <c r="N1016" s="49">
        <f t="shared" si="295"/>
        <v>41.066666666666663</v>
      </c>
      <c r="O1016" s="41">
        <f>11.2*(44/12)</f>
        <v>41.066666666666663</v>
      </c>
      <c r="P1016" s="5">
        <v>1</v>
      </c>
      <c r="Q1016" s="5">
        <v>0</v>
      </c>
      <c r="R1016" s="5">
        <v>0</v>
      </c>
      <c r="T1016" s="56" t="str">
        <f t="shared" si="282"/>
        <v/>
      </c>
      <c r="U1016" s="56" t="str">
        <f t="shared" si="292"/>
        <v/>
      </c>
      <c r="V1016" s="56" t="str">
        <f t="shared" si="293"/>
        <v/>
      </c>
      <c r="AA1016" s="37">
        <f t="shared" si="294"/>
        <v>41.066666666666663</v>
      </c>
      <c r="AF1016" s="5">
        <v>0</v>
      </c>
      <c r="AG1016" s="5">
        <v>1</v>
      </c>
      <c r="AH1016" s="5">
        <v>1</v>
      </c>
      <c r="AI1016" s="5">
        <v>1</v>
      </c>
      <c r="AJ1016" s="5">
        <v>1</v>
      </c>
      <c r="AK1016" s="5">
        <v>1</v>
      </c>
      <c r="AL1016" s="5">
        <v>1</v>
      </c>
      <c r="AM1016" s="13">
        <v>5</v>
      </c>
      <c r="AN1016" s="13" t="s">
        <v>25</v>
      </c>
      <c r="AO1016" s="5"/>
      <c r="AP1016" s="5"/>
      <c r="AQ1016" s="5"/>
      <c r="AR1016" s="5">
        <v>0</v>
      </c>
      <c r="AS1016" s="5">
        <v>0</v>
      </c>
      <c r="AT1016" s="5"/>
      <c r="AU1016" s="5"/>
      <c r="AV1016" s="5"/>
      <c r="AW1016" s="5"/>
      <c r="AX1016" s="5">
        <v>0</v>
      </c>
      <c r="AY1016" s="5">
        <v>0</v>
      </c>
      <c r="AZ1016" s="5">
        <v>0</v>
      </c>
      <c r="BA1016" s="5">
        <v>0</v>
      </c>
    </row>
    <row r="1017" spans="2:53" s="41" customFormat="1" x14ac:dyDescent="0.2">
      <c r="B1017" s="14" t="str">
        <f t="shared" si="288"/>
        <v>Greenstone et al. 2013</v>
      </c>
      <c r="C1017" s="61">
        <f t="shared" si="289"/>
        <v>87</v>
      </c>
      <c r="D1017" s="58">
        <v>2013</v>
      </c>
      <c r="E1017" s="38"/>
      <c r="F1017" s="58">
        <v>1</v>
      </c>
      <c r="G1017" s="5">
        <v>2007</v>
      </c>
      <c r="H1017" s="44">
        <f>LOOKUP(G1017,CPI!A$69:A$100,CPI!O$69:O$100)</f>
        <v>1.0516730811895323</v>
      </c>
      <c r="I1017" s="5">
        <v>2040</v>
      </c>
      <c r="J1017" s="43"/>
      <c r="K1017" s="43"/>
      <c r="L1017" s="57"/>
      <c r="M1017" s="56"/>
      <c r="N1017" s="49">
        <f t="shared" si="295"/>
        <v>46.566666666666663</v>
      </c>
      <c r="O1017" s="41">
        <f>12.7*(44/12)</f>
        <v>46.566666666666663</v>
      </c>
      <c r="P1017" s="5">
        <v>1</v>
      </c>
      <c r="Q1017" s="5">
        <v>0</v>
      </c>
      <c r="R1017" s="5">
        <v>0</v>
      </c>
      <c r="T1017" s="56" t="str">
        <f t="shared" si="282"/>
        <v/>
      </c>
      <c r="U1017" s="56" t="str">
        <f t="shared" si="292"/>
        <v/>
      </c>
      <c r="V1017" s="56" t="str">
        <f t="shared" si="293"/>
        <v/>
      </c>
      <c r="AA1017" s="37">
        <f t="shared" si="294"/>
        <v>46.566666666666663</v>
      </c>
      <c r="AF1017" s="5">
        <v>0</v>
      </c>
      <c r="AG1017" s="5">
        <v>1</v>
      </c>
      <c r="AH1017" s="5">
        <v>1</v>
      </c>
      <c r="AI1017" s="5">
        <v>1</v>
      </c>
      <c r="AJ1017" s="5">
        <v>1</v>
      </c>
      <c r="AK1017" s="5">
        <v>1</v>
      </c>
      <c r="AL1017" s="5">
        <v>1</v>
      </c>
      <c r="AM1017" s="13">
        <v>5</v>
      </c>
      <c r="AN1017" s="13" t="s">
        <v>25</v>
      </c>
      <c r="AO1017" s="5"/>
      <c r="AP1017" s="5"/>
      <c r="AQ1017" s="5"/>
      <c r="AR1017" s="5">
        <v>0</v>
      </c>
      <c r="AS1017" s="5">
        <v>0</v>
      </c>
      <c r="AT1017" s="5"/>
      <c r="AU1017" s="5"/>
      <c r="AV1017" s="5"/>
      <c r="AW1017" s="5"/>
      <c r="AX1017" s="5">
        <v>0</v>
      </c>
      <c r="AY1017" s="5">
        <v>0</v>
      </c>
      <c r="AZ1017" s="5">
        <v>0</v>
      </c>
      <c r="BA1017" s="5">
        <v>0</v>
      </c>
    </row>
    <row r="1018" spans="2:53" s="41" customFormat="1" x14ac:dyDescent="0.2">
      <c r="B1018" s="14" t="str">
        <f t="shared" si="288"/>
        <v>Greenstone et al. 2013</v>
      </c>
      <c r="C1018" s="61">
        <f t="shared" si="289"/>
        <v>87</v>
      </c>
      <c r="D1018" s="58">
        <v>2013</v>
      </c>
      <c r="E1018" s="38"/>
      <c r="F1018" s="58">
        <v>1</v>
      </c>
      <c r="G1018" s="5">
        <v>2007</v>
      </c>
      <c r="H1018" s="44">
        <f>LOOKUP(G1018,CPI!A$69:A$100,CPI!O$69:O$100)</f>
        <v>1.0516730811895323</v>
      </c>
      <c r="I1018" s="5">
        <v>2045</v>
      </c>
      <c r="J1018" s="43"/>
      <c r="K1018" s="43"/>
      <c r="L1018" s="57"/>
      <c r="M1018" s="56"/>
      <c r="N1018" s="49">
        <f t="shared" si="295"/>
        <v>52.066666666666663</v>
      </c>
      <c r="O1018" s="41">
        <f>14.2*(44/12)</f>
        <v>52.066666666666663</v>
      </c>
      <c r="P1018" s="5">
        <v>1</v>
      </c>
      <c r="Q1018" s="5">
        <v>0</v>
      </c>
      <c r="R1018" s="5">
        <v>0</v>
      </c>
      <c r="T1018" s="56" t="str">
        <f t="shared" si="282"/>
        <v/>
      </c>
      <c r="U1018" s="56" t="str">
        <f t="shared" si="292"/>
        <v/>
      </c>
      <c r="V1018" s="56" t="str">
        <f t="shared" si="293"/>
        <v/>
      </c>
      <c r="AA1018" s="37">
        <f t="shared" si="294"/>
        <v>52.066666666666663</v>
      </c>
      <c r="AF1018" s="5">
        <v>0</v>
      </c>
      <c r="AG1018" s="5">
        <v>1</v>
      </c>
      <c r="AH1018" s="5">
        <v>1</v>
      </c>
      <c r="AI1018" s="5">
        <v>1</v>
      </c>
      <c r="AJ1018" s="5">
        <v>1</v>
      </c>
      <c r="AK1018" s="5">
        <v>1</v>
      </c>
      <c r="AL1018" s="5">
        <v>1</v>
      </c>
      <c r="AM1018" s="13">
        <v>5</v>
      </c>
      <c r="AN1018" s="13" t="s">
        <v>25</v>
      </c>
      <c r="AO1018" s="5"/>
      <c r="AP1018" s="5"/>
      <c r="AQ1018" s="5"/>
      <c r="AR1018" s="5">
        <v>0</v>
      </c>
      <c r="AS1018" s="5">
        <v>0</v>
      </c>
      <c r="AT1018" s="5"/>
      <c r="AU1018" s="5"/>
      <c r="AV1018" s="5"/>
      <c r="AW1018" s="5"/>
      <c r="AX1018" s="5">
        <v>0</v>
      </c>
      <c r="AY1018" s="5">
        <v>0</v>
      </c>
      <c r="AZ1018" s="5">
        <v>0</v>
      </c>
      <c r="BA1018" s="5">
        <v>0</v>
      </c>
    </row>
    <row r="1019" spans="2:53" s="41" customFormat="1" x14ac:dyDescent="0.2">
      <c r="B1019" s="14" t="str">
        <f t="shared" si="288"/>
        <v>Greenstone et al. 2013</v>
      </c>
      <c r="C1019" s="61">
        <f t="shared" si="289"/>
        <v>87</v>
      </c>
      <c r="D1019" s="58">
        <v>2013</v>
      </c>
      <c r="E1019" s="38"/>
      <c r="F1019" s="58">
        <v>1</v>
      </c>
      <c r="G1019" s="5">
        <v>2007</v>
      </c>
      <c r="H1019" s="44">
        <f>LOOKUP(G1019,CPI!A$69:A$100,CPI!O$69:O$100)</f>
        <v>1.0516730811895323</v>
      </c>
      <c r="I1019" s="5">
        <v>2050</v>
      </c>
      <c r="J1019" s="43"/>
      <c r="K1019" s="43"/>
      <c r="L1019" s="57"/>
      <c r="M1019" s="56"/>
      <c r="N1019" s="49">
        <f t="shared" si="295"/>
        <v>57.566666666666663</v>
      </c>
      <c r="O1019" s="41">
        <f>15.7*(44/12)</f>
        <v>57.566666666666663</v>
      </c>
      <c r="P1019" s="5">
        <v>1</v>
      </c>
      <c r="Q1019" s="5">
        <v>0</v>
      </c>
      <c r="R1019" s="5">
        <v>0</v>
      </c>
      <c r="T1019" s="56" t="str">
        <f t="shared" si="282"/>
        <v/>
      </c>
      <c r="U1019" s="56" t="str">
        <f t="shared" si="292"/>
        <v/>
      </c>
      <c r="V1019" s="56" t="str">
        <f t="shared" si="293"/>
        <v/>
      </c>
      <c r="AA1019" s="37">
        <f t="shared" si="294"/>
        <v>57.566666666666663</v>
      </c>
      <c r="AF1019" s="5">
        <v>0</v>
      </c>
      <c r="AG1019" s="5">
        <v>1</v>
      </c>
      <c r="AH1019" s="5">
        <v>1</v>
      </c>
      <c r="AI1019" s="5">
        <v>1</v>
      </c>
      <c r="AJ1019" s="5">
        <v>1</v>
      </c>
      <c r="AK1019" s="5">
        <v>1</v>
      </c>
      <c r="AL1019" s="5">
        <v>1</v>
      </c>
      <c r="AM1019" s="13">
        <v>5</v>
      </c>
      <c r="AN1019" s="13" t="s">
        <v>25</v>
      </c>
      <c r="AO1019" s="5"/>
      <c r="AP1019" s="5"/>
      <c r="AQ1019" s="5"/>
      <c r="AR1019" s="5">
        <v>0</v>
      </c>
      <c r="AS1019" s="5">
        <v>0</v>
      </c>
      <c r="AT1019" s="5"/>
      <c r="AU1019" s="5"/>
      <c r="AV1019" s="5"/>
      <c r="AW1019" s="5"/>
      <c r="AX1019" s="5">
        <v>0</v>
      </c>
      <c r="AY1019" s="5">
        <v>0</v>
      </c>
      <c r="AZ1019" s="5">
        <v>0</v>
      </c>
      <c r="BA1019" s="5">
        <v>0</v>
      </c>
    </row>
    <row r="1020" spans="2:53" s="41" customFormat="1" x14ac:dyDescent="0.2">
      <c r="B1020" s="14" t="str">
        <f t="shared" si="288"/>
        <v>Greenstone et al. 2013</v>
      </c>
      <c r="C1020" s="61">
        <f t="shared" si="289"/>
        <v>87</v>
      </c>
      <c r="D1020" s="58">
        <v>2013</v>
      </c>
      <c r="E1020" s="38"/>
      <c r="F1020" s="58">
        <v>1</v>
      </c>
      <c r="G1020" s="5">
        <v>2007</v>
      </c>
      <c r="H1020" s="44">
        <f>LOOKUP(G1020,CPI!A$69:A$100,CPI!O$69:O$100)</f>
        <v>1.0516730811895323</v>
      </c>
      <c r="I1020" s="52">
        <v>2015</v>
      </c>
      <c r="J1020" s="43">
        <v>2.1276595744680851E-2</v>
      </c>
      <c r="K1020" s="43">
        <v>2.1276595744680851E-2</v>
      </c>
      <c r="L1020" s="57">
        <f>(AA1021/AA1020)^(1/(I1021-I1020))-1</f>
        <v>2.0177540742718048E-2</v>
      </c>
      <c r="M1020" s="56">
        <f>AA1020*H1020*(1+$L$2)^(2015-I1020)</f>
        <v>91.77600421847319</v>
      </c>
      <c r="N1020" s="49">
        <f t="shared" si="295"/>
        <v>87.266666666666666</v>
      </c>
      <c r="O1020" s="41">
        <f>23.8*(44/12)</f>
        <v>87.266666666666666</v>
      </c>
      <c r="P1020" s="5">
        <v>1</v>
      </c>
      <c r="Q1020" s="5">
        <v>0</v>
      </c>
      <c r="R1020" s="5">
        <v>0</v>
      </c>
      <c r="T1020" s="56" t="str">
        <f t="shared" si="282"/>
        <v/>
      </c>
      <c r="U1020" s="56">
        <f t="shared" si="292"/>
        <v>96.40336577570713</v>
      </c>
      <c r="V1020" s="56">
        <f t="shared" ref="V1020" si="296">+(AD1020-AA1020)/1.96*H1020*(1+$L$2)^(2015-I1020)</f>
        <v>96.40336577570713</v>
      </c>
      <c r="AA1020" s="37">
        <f t="shared" si="294"/>
        <v>87.266666666666666</v>
      </c>
      <c r="AD1020" s="41">
        <f>72.8*(44/12)</f>
        <v>266.93333333333334</v>
      </c>
      <c r="AF1020" s="5">
        <v>0</v>
      </c>
      <c r="AG1020" s="5">
        <v>1</v>
      </c>
      <c r="AH1020" s="5">
        <v>1</v>
      </c>
      <c r="AI1020" s="5">
        <v>1</v>
      </c>
      <c r="AJ1020" s="5">
        <v>1</v>
      </c>
      <c r="AK1020" s="5">
        <v>1</v>
      </c>
      <c r="AL1020" s="5">
        <v>1</v>
      </c>
      <c r="AM1020" s="13">
        <v>3</v>
      </c>
      <c r="AN1020" s="13" t="s">
        <v>25</v>
      </c>
      <c r="AO1020" s="5"/>
      <c r="AP1020" s="5"/>
      <c r="AQ1020" s="5"/>
      <c r="AR1020" s="5">
        <v>0</v>
      </c>
      <c r="AS1020" s="5">
        <v>0</v>
      </c>
      <c r="AT1020" s="5"/>
      <c r="AU1020" s="5"/>
      <c r="AV1020" s="5"/>
      <c r="AW1020" s="5"/>
      <c r="AX1020" s="5">
        <v>0</v>
      </c>
      <c r="AY1020" s="5">
        <v>0</v>
      </c>
      <c r="AZ1020" s="5">
        <v>0</v>
      </c>
      <c r="BA1020" s="5">
        <v>0</v>
      </c>
    </row>
    <row r="1021" spans="2:53" s="41" customFormat="1" x14ac:dyDescent="0.2">
      <c r="B1021" s="14" t="str">
        <f t="shared" si="288"/>
        <v>Greenstone et al. 2013</v>
      </c>
      <c r="C1021" s="61">
        <f t="shared" si="289"/>
        <v>87</v>
      </c>
      <c r="D1021" s="58">
        <v>2013</v>
      </c>
      <c r="E1021" s="38"/>
      <c r="F1021" s="58">
        <v>1</v>
      </c>
      <c r="G1021" s="5">
        <v>2007</v>
      </c>
      <c r="H1021" s="44">
        <f>LOOKUP(G1021,CPI!A$69:A$100,CPI!O$69:O$100)</f>
        <v>1.0516730811895323</v>
      </c>
      <c r="I1021" s="5">
        <v>2020</v>
      </c>
      <c r="J1021" s="43"/>
      <c r="K1021" s="43"/>
      <c r="L1021" s="57"/>
      <c r="M1021" s="56"/>
      <c r="N1021" s="49">
        <f t="shared" si="295"/>
        <v>96.433333333333337</v>
      </c>
      <c r="O1021" s="41">
        <f>26.3*(44/12)</f>
        <v>96.433333333333337</v>
      </c>
      <c r="P1021" s="5">
        <v>1</v>
      </c>
      <c r="Q1021" s="5">
        <v>0</v>
      </c>
      <c r="R1021" s="5">
        <v>0</v>
      </c>
      <c r="T1021" s="56" t="str">
        <f t="shared" si="282"/>
        <v/>
      </c>
      <c r="U1021" s="56" t="str">
        <f t="shared" si="292"/>
        <v/>
      </c>
      <c r="V1021" s="56" t="str">
        <f t="shared" ref="V1021:V1035" si="297">+T1021</f>
        <v/>
      </c>
      <c r="AA1021" s="37">
        <f t="shared" si="294"/>
        <v>96.433333333333337</v>
      </c>
      <c r="AD1021" s="41">
        <f>80.7*(44/12)</f>
        <v>295.89999999999998</v>
      </c>
      <c r="AF1021" s="5">
        <v>0</v>
      </c>
      <c r="AG1021" s="5">
        <v>1</v>
      </c>
      <c r="AH1021" s="5">
        <v>1</v>
      </c>
      <c r="AI1021" s="5">
        <v>1</v>
      </c>
      <c r="AJ1021" s="5">
        <v>1</v>
      </c>
      <c r="AK1021" s="5">
        <v>1</v>
      </c>
      <c r="AL1021" s="5">
        <v>1</v>
      </c>
      <c r="AM1021" s="13">
        <v>3</v>
      </c>
      <c r="AN1021" s="13" t="s">
        <v>25</v>
      </c>
      <c r="AO1021" s="5"/>
      <c r="AP1021" s="5"/>
      <c r="AQ1021" s="5"/>
      <c r="AR1021" s="5">
        <v>0</v>
      </c>
      <c r="AS1021" s="5">
        <v>0</v>
      </c>
      <c r="AT1021" s="5"/>
      <c r="AU1021" s="5"/>
      <c r="AV1021" s="5"/>
      <c r="AW1021" s="5"/>
      <c r="AX1021" s="5">
        <v>0</v>
      </c>
      <c r="AY1021" s="5">
        <v>0</v>
      </c>
      <c r="AZ1021" s="5">
        <v>0</v>
      </c>
      <c r="BA1021" s="5">
        <v>0</v>
      </c>
    </row>
    <row r="1022" spans="2:53" s="41" customFormat="1" x14ac:dyDescent="0.2">
      <c r="B1022" s="14" t="str">
        <f t="shared" si="288"/>
        <v>Greenstone et al. 2013</v>
      </c>
      <c r="C1022" s="61">
        <f t="shared" si="289"/>
        <v>87</v>
      </c>
      <c r="D1022" s="58">
        <v>2013</v>
      </c>
      <c r="E1022" s="38"/>
      <c r="F1022" s="58">
        <v>1</v>
      </c>
      <c r="G1022" s="5">
        <v>2007</v>
      </c>
      <c r="H1022" s="44">
        <f>LOOKUP(G1022,CPI!A$69:A$100,CPI!O$69:O$100)</f>
        <v>1.0516730811895323</v>
      </c>
      <c r="I1022" s="5">
        <v>2025</v>
      </c>
      <c r="J1022" s="43"/>
      <c r="K1022" s="43"/>
      <c r="L1022" s="57"/>
      <c r="M1022" s="56"/>
      <c r="N1022" s="49">
        <f t="shared" si="295"/>
        <v>108.53333333333333</v>
      </c>
      <c r="O1022" s="41">
        <f>29.6*(44/12)</f>
        <v>108.53333333333333</v>
      </c>
      <c r="P1022" s="5">
        <v>1</v>
      </c>
      <c r="Q1022" s="5">
        <v>0</v>
      </c>
      <c r="R1022" s="5">
        <v>0</v>
      </c>
      <c r="T1022" s="56" t="str">
        <f t="shared" si="282"/>
        <v/>
      </c>
      <c r="U1022" s="56" t="str">
        <f t="shared" si="292"/>
        <v/>
      </c>
      <c r="V1022" s="56" t="str">
        <f t="shared" si="297"/>
        <v/>
      </c>
      <c r="AA1022" s="37">
        <f t="shared" si="294"/>
        <v>108.53333333333333</v>
      </c>
      <c r="AD1022" s="41">
        <f>90.4*(44/12)</f>
        <v>331.4666666666667</v>
      </c>
      <c r="AF1022" s="5">
        <v>0</v>
      </c>
      <c r="AG1022" s="5">
        <v>1</v>
      </c>
      <c r="AH1022" s="5">
        <v>1</v>
      </c>
      <c r="AI1022" s="5">
        <v>1</v>
      </c>
      <c r="AJ1022" s="5">
        <v>1</v>
      </c>
      <c r="AK1022" s="5">
        <v>1</v>
      </c>
      <c r="AL1022" s="5">
        <v>1</v>
      </c>
      <c r="AM1022" s="13">
        <v>3</v>
      </c>
      <c r="AN1022" s="13" t="s">
        <v>25</v>
      </c>
      <c r="AO1022" s="5"/>
      <c r="AP1022" s="5"/>
      <c r="AQ1022" s="5"/>
      <c r="AR1022" s="5">
        <v>0</v>
      </c>
      <c r="AS1022" s="5">
        <v>0</v>
      </c>
      <c r="AT1022" s="5"/>
      <c r="AU1022" s="5"/>
      <c r="AV1022" s="5"/>
      <c r="AW1022" s="5"/>
      <c r="AX1022" s="5">
        <v>0</v>
      </c>
      <c r="AY1022" s="5">
        <v>0</v>
      </c>
      <c r="AZ1022" s="5">
        <v>0</v>
      </c>
      <c r="BA1022" s="5">
        <v>0</v>
      </c>
    </row>
    <row r="1023" spans="2:53" s="41" customFormat="1" x14ac:dyDescent="0.2">
      <c r="B1023" s="14" t="str">
        <f t="shared" si="288"/>
        <v>Greenstone et al. 2013</v>
      </c>
      <c r="C1023" s="61">
        <f t="shared" si="289"/>
        <v>87</v>
      </c>
      <c r="D1023" s="58">
        <v>2013</v>
      </c>
      <c r="E1023" s="38"/>
      <c r="F1023" s="58">
        <v>1</v>
      </c>
      <c r="G1023" s="5">
        <v>2007</v>
      </c>
      <c r="H1023" s="44">
        <f>LOOKUP(G1023,CPI!A$69:A$100,CPI!O$69:O$100)</f>
        <v>1.0516730811895323</v>
      </c>
      <c r="I1023" s="5">
        <v>2030</v>
      </c>
      <c r="J1023" s="43"/>
      <c r="K1023" s="43"/>
      <c r="L1023" s="57"/>
      <c r="M1023" s="56"/>
      <c r="N1023" s="49">
        <f t="shared" si="295"/>
        <v>120.26666666666665</v>
      </c>
      <c r="O1023" s="41">
        <f>32.8*(44/12)</f>
        <v>120.26666666666665</v>
      </c>
      <c r="P1023" s="5">
        <v>1</v>
      </c>
      <c r="Q1023" s="5">
        <v>0</v>
      </c>
      <c r="R1023" s="5">
        <v>0</v>
      </c>
      <c r="T1023" s="56" t="str">
        <f t="shared" si="282"/>
        <v/>
      </c>
      <c r="U1023" s="56" t="str">
        <f t="shared" si="292"/>
        <v/>
      </c>
      <c r="V1023" s="56" t="str">
        <f t="shared" si="297"/>
        <v/>
      </c>
      <c r="AA1023" s="37">
        <f t="shared" si="294"/>
        <v>120.26666666666665</v>
      </c>
      <c r="AD1023" s="41">
        <f>100*(44/12)</f>
        <v>366.66666666666663</v>
      </c>
      <c r="AF1023" s="5">
        <v>0</v>
      </c>
      <c r="AG1023" s="5">
        <v>1</v>
      </c>
      <c r="AH1023" s="5">
        <v>1</v>
      </c>
      <c r="AI1023" s="5">
        <v>1</v>
      </c>
      <c r="AJ1023" s="5">
        <v>1</v>
      </c>
      <c r="AK1023" s="5">
        <v>1</v>
      </c>
      <c r="AL1023" s="5">
        <v>1</v>
      </c>
      <c r="AM1023" s="13">
        <v>3</v>
      </c>
      <c r="AN1023" s="13" t="s">
        <v>25</v>
      </c>
      <c r="AO1023" s="5"/>
      <c r="AP1023" s="5"/>
      <c r="AQ1023" s="5"/>
      <c r="AR1023" s="5">
        <v>0</v>
      </c>
      <c r="AS1023" s="5">
        <v>0</v>
      </c>
      <c r="AT1023" s="5"/>
      <c r="AU1023" s="5"/>
      <c r="AV1023" s="5"/>
      <c r="AW1023" s="5"/>
      <c r="AX1023" s="5">
        <v>0</v>
      </c>
      <c r="AY1023" s="5">
        <v>0</v>
      </c>
      <c r="AZ1023" s="5">
        <v>0</v>
      </c>
      <c r="BA1023" s="5">
        <v>0</v>
      </c>
    </row>
    <row r="1024" spans="2:53" s="41" customFormat="1" x14ac:dyDescent="0.2">
      <c r="B1024" s="14" t="str">
        <f t="shared" si="288"/>
        <v>Greenstone et al. 2013</v>
      </c>
      <c r="C1024" s="61">
        <f t="shared" si="289"/>
        <v>87</v>
      </c>
      <c r="D1024" s="58">
        <v>2013</v>
      </c>
      <c r="E1024" s="38"/>
      <c r="F1024" s="58">
        <v>1</v>
      </c>
      <c r="G1024" s="5">
        <v>2007</v>
      </c>
      <c r="H1024" s="44">
        <f>LOOKUP(G1024,CPI!A$69:A$100,CPI!O$69:O$100)</f>
        <v>1.0516730811895323</v>
      </c>
      <c r="I1024" s="5">
        <v>2035</v>
      </c>
      <c r="J1024" s="43"/>
      <c r="K1024" s="43"/>
      <c r="L1024" s="57"/>
      <c r="M1024" s="56"/>
      <c r="N1024" s="49">
        <f t="shared" si="295"/>
        <v>132</v>
      </c>
      <c r="O1024" s="41">
        <f>36*(44/12)</f>
        <v>132</v>
      </c>
      <c r="P1024" s="5">
        <v>1</v>
      </c>
      <c r="Q1024" s="5">
        <v>0</v>
      </c>
      <c r="R1024" s="5">
        <v>0</v>
      </c>
      <c r="T1024" s="56" t="str">
        <f t="shared" si="282"/>
        <v/>
      </c>
      <c r="U1024" s="56" t="str">
        <f t="shared" si="292"/>
        <v/>
      </c>
      <c r="V1024" s="56" t="str">
        <f t="shared" si="297"/>
        <v/>
      </c>
      <c r="AA1024" s="37">
        <f t="shared" si="294"/>
        <v>132</v>
      </c>
      <c r="AD1024" s="41">
        <f>109.7*(44/12)</f>
        <v>402.23333333333335</v>
      </c>
      <c r="AF1024" s="5">
        <v>0</v>
      </c>
      <c r="AG1024" s="5">
        <v>1</v>
      </c>
      <c r="AH1024" s="5">
        <v>1</v>
      </c>
      <c r="AI1024" s="5">
        <v>1</v>
      </c>
      <c r="AJ1024" s="5">
        <v>1</v>
      </c>
      <c r="AK1024" s="5">
        <v>1</v>
      </c>
      <c r="AL1024" s="5">
        <v>1</v>
      </c>
      <c r="AM1024" s="13">
        <v>3</v>
      </c>
      <c r="AN1024" s="13" t="s">
        <v>25</v>
      </c>
      <c r="AO1024" s="5"/>
      <c r="AP1024" s="5"/>
      <c r="AQ1024" s="5"/>
      <c r="AR1024" s="5">
        <v>0</v>
      </c>
      <c r="AS1024" s="5">
        <v>0</v>
      </c>
      <c r="AT1024" s="5"/>
      <c r="AU1024" s="5"/>
      <c r="AV1024" s="5"/>
      <c r="AW1024" s="5"/>
      <c r="AX1024" s="5">
        <v>0</v>
      </c>
      <c r="AY1024" s="5">
        <v>0</v>
      </c>
      <c r="AZ1024" s="5">
        <v>0</v>
      </c>
      <c r="BA1024" s="5">
        <v>0</v>
      </c>
    </row>
    <row r="1025" spans="1:53" s="41" customFormat="1" x14ac:dyDescent="0.2">
      <c r="B1025" s="14" t="str">
        <f t="shared" si="288"/>
        <v>Greenstone et al. 2013</v>
      </c>
      <c r="C1025" s="61">
        <f t="shared" si="289"/>
        <v>87</v>
      </c>
      <c r="D1025" s="58">
        <v>2013</v>
      </c>
      <c r="E1025" s="38"/>
      <c r="F1025" s="58">
        <v>1</v>
      </c>
      <c r="G1025" s="5">
        <v>2007</v>
      </c>
      <c r="H1025" s="44">
        <f>LOOKUP(G1025,CPI!A$69:A$100,CPI!O$69:O$100)</f>
        <v>1.0516730811895323</v>
      </c>
      <c r="I1025" s="5">
        <v>2040</v>
      </c>
      <c r="J1025" s="43"/>
      <c r="K1025" s="43"/>
      <c r="L1025" s="57"/>
      <c r="M1025" s="56"/>
      <c r="N1025" s="49">
        <f t="shared" si="295"/>
        <v>143.73333333333335</v>
      </c>
      <c r="O1025" s="41">
        <f>39.2*(44/12)</f>
        <v>143.73333333333335</v>
      </c>
      <c r="P1025" s="5">
        <v>1</v>
      </c>
      <c r="Q1025" s="5">
        <v>0</v>
      </c>
      <c r="R1025" s="5">
        <v>0</v>
      </c>
      <c r="T1025" s="56" t="str">
        <f t="shared" si="282"/>
        <v/>
      </c>
      <c r="U1025" s="56" t="str">
        <f t="shared" si="292"/>
        <v/>
      </c>
      <c r="V1025" s="56" t="str">
        <f t="shared" si="297"/>
        <v/>
      </c>
      <c r="AA1025" s="37">
        <f t="shared" si="294"/>
        <v>143.73333333333335</v>
      </c>
      <c r="AD1025" s="41">
        <f>119.3*(44/12)</f>
        <v>437.43333333333328</v>
      </c>
      <c r="AF1025" s="5">
        <v>0</v>
      </c>
      <c r="AG1025" s="5">
        <v>1</v>
      </c>
      <c r="AH1025" s="5">
        <v>1</v>
      </c>
      <c r="AI1025" s="5">
        <v>1</v>
      </c>
      <c r="AJ1025" s="5">
        <v>1</v>
      </c>
      <c r="AK1025" s="5">
        <v>1</v>
      </c>
      <c r="AL1025" s="5">
        <v>1</v>
      </c>
      <c r="AM1025" s="13">
        <v>3</v>
      </c>
      <c r="AN1025" s="13" t="s">
        <v>25</v>
      </c>
      <c r="AO1025" s="5"/>
      <c r="AP1025" s="5"/>
      <c r="AQ1025" s="5"/>
      <c r="AR1025" s="5">
        <v>0</v>
      </c>
      <c r="AS1025" s="5">
        <v>0</v>
      </c>
      <c r="AT1025" s="5"/>
      <c r="AU1025" s="5"/>
      <c r="AV1025" s="5"/>
      <c r="AW1025" s="5"/>
      <c r="AX1025" s="5">
        <v>0</v>
      </c>
      <c r="AY1025" s="5">
        <v>0</v>
      </c>
      <c r="AZ1025" s="5">
        <v>0</v>
      </c>
      <c r="BA1025" s="5">
        <v>0</v>
      </c>
    </row>
    <row r="1026" spans="1:53" s="41" customFormat="1" x14ac:dyDescent="0.2">
      <c r="B1026" s="14" t="str">
        <f t="shared" si="288"/>
        <v>Greenstone et al. 2013</v>
      </c>
      <c r="C1026" s="61">
        <f t="shared" si="289"/>
        <v>87</v>
      </c>
      <c r="D1026" s="58">
        <v>2013</v>
      </c>
      <c r="E1026" s="38"/>
      <c r="F1026" s="58">
        <v>1</v>
      </c>
      <c r="G1026" s="5">
        <v>2007</v>
      </c>
      <c r="H1026" s="44">
        <f>LOOKUP(G1026,CPI!A$69:A$100,CPI!O$69:O$100)</f>
        <v>1.0516730811895323</v>
      </c>
      <c r="I1026" s="5">
        <v>2045</v>
      </c>
      <c r="J1026" s="43"/>
      <c r="K1026" s="43"/>
      <c r="L1026" s="57"/>
      <c r="M1026" s="56"/>
      <c r="N1026" s="49">
        <f t="shared" si="295"/>
        <v>154.36666666666667</v>
      </c>
      <c r="O1026" s="41">
        <f>42.1*(44/12)</f>
        <v>154.36666666666667</v>
      </c>
      <c r="P1026" s="5">
        <v>1</v>
      </c>
      <c r="Q1026" s="5">
        <v>0</v>
      </c>
      <c r="R1026" s="5">
        <v>0</v>
      </c>
      <c r="T1026" s="56" t="str">
        <f t="shared" si="282"/>
        <v/>
      </c>
      <c r="U1026" s="56" t="str">
        <f t="shared" si="292"/>
        <v/>
      </c>
      <c r="V1026" s="56" t="str">
        <f t="shared" si="297"/>
        <v/>
      </c>
      <c r="AA1026" s="37">
        <f t="shared" si="294"/>
        <v>154.36666666666667</v>
      </c>
      <c r="AD1026" s="41">
        <f>127.8*(44/12)</f>
        <v>468.59999999999997</v>
      </c>
      <c r="AF1026" s="5">
        <v>0</v>
      </c>
      <c r="AG1026" s="5">
        <v>1</v>
      </c>
      <c r="AH1026" s="5">
        <v>1</v>
      </c>
      <c r="AI1026" s="5">
        <v>1</v>
      </c>
      <c r="AJ1026" s="5">
        <v>1</v>
      </c>
      <c r="AK1026" s="5">
        <v>1</v>
      </c>
      <c r="AL1026" s="5">
        <v>1</v>
      </c>
      <c r="AM1026" s="13">
        <v>3</v>
      </c>
      <c r="AN1026" s="13" t="s">
        <v>25</v>
      </c>
      <c r="AO1026" s="5"/>
      <c r="AP1026" s="5"/>
      <c r="AQ1026" s="5"/>
      <c r="AR1026" s="5">
        <v>0</v>
      </c>
      <c r="AS1026" s="5">
        <v>0</v>
      </c>
      <c r="AT1026" s="5"/>
      <c r="AU1026" s="5"/>
      <c r="AV1026" s="5"/>
      <c r="AW1026" s="5"/>
      <c r="AX1026" s="5">
        <v>0</v>
      </c>
      <c r="AY1026" s="5">
        <v>0</v>
      </c>
      <c r="AZ1026" s="5">
        <v>0</v>
      </c>
      <c r="BA1026" s="5">
        <v>0</v>
      </c>
    </row>
    <row r="1027" spans="1:53" s="41" customFormat="1" x14ac:dyDescent="0.2">
      <c r="B1027" s="14" t="str">
        <f t="shared" si="288"/>
        <v>Greenstone et al. 2013</v>
      </c>
      <c r="C1027" s="61">
        <f t="shared" si="289"/>
        <v>87</v>
      </c>
      <c r="D1027" s="58">
        <v>2013</v>
      </c>
      <c r="E1027" s="38"/>
      <c r="F1027" s="58">
        <v>1</v>
      </c>
      <c r="G1027" s="5">
        <v>2007</v>
      </c>
      <c r="H1027" s="44">
        <f>LOOKUP(G1027,CPI!A$69:A$100,CPI!O$69:O$100)</f>
        <v>1.0516730811895323</v>
      </c>
      <c r="I1027" s="5">
        <v>2050</v>
      </c>
      <c r="J1027" s="43"/>
      <c r="K1027" s="43"/>
      <c r="L1027" s="57"/>
      <c r="M1027" s="56"/>
      <c r="N1027" s="49">
        <f t="shared" si="295"/>
        <v>164.63333333333333</v>
      </c>
      <c r="O1027" s="41">
        <f>44.9*(44/12)</f>
        <v>164.63333333333333</v>
      </c>
      <c r="P1027" s="5">
        <v>1</v>
      </c>
      <c r="Q1027" s="5">
        <v>0</v>
      </c>
      <c r="R1027" s="5">
        <v>0</v>
      </c>
      <c r="T1027" s="56" t="str">
        <f t="shared" si="282"/>
        <v/>
      </c>
      <c r="U1027" s="56" t="str">
        <f t="shared" si="292"/>
        <v/>
      </c>
      <c r="V1027" s="56" t="str">
        <f t="shared" si="297"/>
        <v/>
      </c>
      <c r="AA1027" s="37">
        <f t="shared" si="294"/>
        <v>164.63333333333333</v>
      </c>
      <c r="AD1027" s="41">
        <f>136.2*(44/12)</f>
        <v>499.39999999999992</v>
      </c>
      <c r="AF1027" s="5">
        <v>0</v>
      </c>
      <c r="AG1027" s="5">
        <v>1</v>
      </c>
      <c r="AH1027" s="5">
        <v>1</v>
      </c>
      <c r="AI1027" s="5">
        <v>1</v>
      </c>
      <c r="AJ1027" s="5">
        <v>1</v>
      </c>
      <c r="AK1027" s="5">
        <v>1</v>
      </c>
      <c r="AL1027" s="5">
        <v>1</v>
      </c>
      <c r="AM1027" s="13">
        <v>3</v>
      </c>
      <c r="AN1027" s="13" t="s">
        <v>25</v>
      </c>
      <c r="AO1027" s="5"/>
      <c r="AP1027" s="5"/>
      <c r="AQ1027" s="5"/>
      <c r="AR1027" s="5">
        <v>0</v>
      </c>
      <c r="AS1027" s="5">
        <v>0</v>
      </c>
      <c r="AT1027" s="5"/>
      <c r="AU1027" s="5"/>
      <c r="AV1027" s="5"/>
      <c r="AW1027" s="5"/>
      <c r="AX1027" s="5">
        <v>0</v>
      </c>
      <c r="AY1027" s="5">
        <v>0</v>
      </c>
      <c r="AZ1027" s="5">
        <v>0</v>
      </c>
      <c r="BA1027" s="5">
        <v>0</v>
      </c>
    </row>
    <row r="1028" spans="1:53" s="41" customFormat="1" x14ac:dyDescent="0.2">
      <c r="B1028" s="14" t="str">
        <f t="shared" si="288"/>
        <v>Greenstone et al. 2013</v>
      </c>
      <c r="C1028" s="61">
        <f t="shared" si="289"/>
        <v>87</v>
      </c>
      <c r="D1028" s="58">
        <v>2013</v>
      </c>
      <c r="E1028" s="38"/>
      <c r="F1028" s="58">
        <v>1</v>
      </c>
      <c r="G1028" s="5">
        <v>2007</v>
      </c>
      <c r="H1028" s="44">
        <f>LOOKUP(G1028,CPI!A$69:A$100,CPI!O$69:O$100)</f>
        <v>1.0516730811895323</v>
      </c>
      <c r="I1028" s="52">
        <v>2015</v>
      </c>
      <c r="J1028" s="43">
        <v>2.1276595744680851E-2</v>
      </c>
      <c r="K1028" s="43">
        <v>2.1276595744680851E-2</v>
      </c>
      <c r="L1028" s="57">
        <f>(AA1029/AA1028)^(1/(I1029-I1028))-1</f>
        <v>1.6625423259110317E-2</v>
      </c>
      <c r="M1028" s="56">
        <f>AA1028*H1028*(1+$L$2)^(2015-I1028)</f>
        <v>148.07556983148612</v>
      </c>
      <c r="N1028" s="49">
        <f t="shared" si="295"/>
        <v>140.79999999999998</v>
      </c>
      <c r="O1028" s="41">
        <f>38.4*(44/12)</f>
        <v>140.79999999999998</v>
      </c>
      <c r="P1028" s="5">
        <v>1</v>
      </c>
      <c r="Q1028" s="5">
        <v>0</v>
      </c>
      <c r="R1028" s="5">
        <v>0</v>
      </c>
      <c r="T1028" s="56" t="str">
        <f t="shared" si="282"/>
        <v/>
      </c>
      <c r="U1028" s="56" t="str">
        <f t="shared" si="292"/>
        <v/>
      </c>
      <c r="V1028" s="56" t="str">
        <f t="shared" si="297"/>
        <v/>
      </c>
      <c r="AA1028" s="37">
        <f t="shared" si="294"/>
        <v>140.79999999999998</v>
      </c>
      <c r="AF1028" s="5">
        <v>0</v>
      </c>
      <c r="AG1028" s="5">
        <v>1</v>
      </c>
      <c r="AH1028" s="5">
        <v>1</v>
      </c>
      <c r="AI1028" s="5">
        <v>1</v>
      </c>
      <c r="AJ1028" s="5">
        <v>1</v>
      </c>
      <c r="AK1028" s="5">
        <v>1</v>
      </c>
      <c r="AL1028" s="5">
        <v>1</v>
      </c>
      <c r="AM1028" s="13">
        <v>2.5</v>
      </c>
      <c r="AN1028" s="13" t="s">
        <v>25</v>
      </c>
      <c r="AO1028" s="5"/>
      <c r="AP1028" s="5"/>
      <c r="AQ1028" s="5"/>
      <c r="AR1028" s="5">
        <v>0</v>
      </c>
      <c r="AS1028" s="5">
        <v>0</v>
      </c>
      <c r="AT1028" s="5"/>
      <c r="AU1028" s="5"/>
      <c r="AV1028" s="5"/>
      <c r="AW1028" s="5"/>
      <c r="AX1028" s="5">
        <v>0</v>
      </c>
      <c r="AY1028" s="5">
        <v>0</v>
      </c>
      <c r="AZ1028" s="5">
        <v>0</v>
      </c>
      <c r="BA1028" s="5">
        <v>0</v>
      </c>
    </row>
    <row r="1029" spans="1:53" s="41" customFormat="1" x14ac:dyDescent="0.2">
      <c r="B1029" s="14" t="str">
        <f t="shared" si="288"/>
        <v>Greenstone et al. 2013</v>
      </c>
      <c r="C1029" s="61">
        <f t="shared" si="289"/>
        <v>87</v>
      </c>
      <c r="D1029" s="58">
        <v>2013</v>
      </c>
      <c r="E1029" s="38"/>
      <c r="F1029" s="58">
        <v>1</v>
      </c>
      <c r="G1029" s="5">
        <v>2007</v>
      </c>
      <c r="H1029" s="44">
        <f>LOOKUP(G1029,CPI!A$69:A$100,CPI!O$69:O$100)</f>
        <v>1.0516730811895323</v>
      </c>
      <c r="I1029" s="5">
        <v>2020</v>
      </c>
      <c r="J1029" s="43"/>
      <c r="K1029" s="43"/>
      <c r="L1029" s="57"/>
      <c r="M1029" s="56"/>
      <c r="N1029" s="49">
        <f t="shared" si="295"/>
        <v>152.9</v>
      </c>
      <c r="O1029" s="41">
        <f>41.7*(44/12)</f>
        <v>152.9</v>
      </c>
      <c r="P1029" s="5">
        <v>1</v>
      </c>
      <c r="Q1029" s="5">
        <v>0</v>
      </c>
      <c r="R1029" s="5">
        <v>0</v>
      </c>
      <c r="T1029" s="56" t="str">
        <f t="shared" si="282"/>
        <v/>
      </c>
      <c r="U1029" s="56" t="str">
        <f t="shared" si="292"/>
        <v/>
      </c>
      <c r="V1029" s="56" t="str">
        <f t="shared" si="297"/>
        <v/>
      </c>
      <c r="AA1029" s="37">
        <f t="shared" si="294"/>
        <v>152.9</v>
      </c>
      <c r="AF1029" s="5">
        <v>0</v>
      </c>
      <c r="AG1029" s="5">
        <v>1</v>
      </c>
      <c r="AH1029" s="5">
        <v>1</v>
      </c>
      <c r="AI1029" s="5">
        <v>1</v>
      </c>
      <c r="AJ1029" s="5">
        <v>1</v>
      </c>
      <c r="AK1029" s="5">
        <v>1</v>
      </c>
      <c r="AL1029" s="5">
        <v>1</v>
      </c>
      <c r="AM1029" s="13">
        <v>2.5</v>
      </c>
      <c r="AN1029" s="13" t="s">
        <v>25</v>
      </c>
      <c r="AO1029" s="5"/>
      <c r="AP1029" s="5"/>
      <c r="AQ1029" s="5"/>
      <c r="AR1029" s="5">
        <v>0</v>
      </c>
      <c r="AS1029" s="5">
        <v>0</v>
      </c>
      <c r="AT1029" s="5"/>
      <c r="AU1029" s="5"/>
      <c r="AV1029" s="5"/>
      <c r="AW1029" s="5"/>
      <c r="AX1029" s="5">
        <v>0</v>
      </c>
      <c r="AY1029" s="5">
        <v>0</v>
      </c>
      <c r="AZ1029" s="5">
        <v>0</v>
      </c>
      <c r="BA1029" s="5">
        <v>0</v>
      </c>
    </row>
    <row r="1030" spans="1:53" s="41" customFormat="1" x14ac:dyDescent="0.2">
      <c r="B1030" s="14" t="str">
        <f t="shared" si="288"/>
        <v>Greenstone et al. 2013</v>
      </c>
      <c r="C1030" s="61">
        <f t="shared" si="289"/>
        <v>87</v>
      </c>
      <c r="D1030" s="58">
        <v>2013</v>
      </c>
      <c r="E1030" s="38"/>
      <c r="F1030" s="58">
        <v>1</v>
      </c>
      <c r="G1030" s="5">
        <v>2007</v>
      </c>
      <c r="H1030" s="44">
        <f>LOOKUP(G1030,CPI!A$69:A$100,CPI!O$69:O$100)</f>
        <v>1.0516730811895323</v>
      </c>
      <c r="I1030" s="5">
        <v>2025</v>
      </c>
      <c r="J1030" s="43"/>
      <c r="K1030" s="43"/>
      <c r="L1030" s="57"/>
      <c r="M1030" s="56"/>
      <c r="N1030" s="49">
        <f t="shared" si="295"/>
        <v>168.29999999999998</v>
      </c>
      <c r="O1030" s="41">
        <f>45.9*(44/12)</f>
        <v>168.29999999999998</v>
      </c>
      <c r="P1030" s="5">
        <v>1</v>
      </c>
      <c r="Q1030" s="5">
        <v>0</v>
      </c>
      <c r="R1030" s="5">
        <v>0</v>
      </c>
      <c r="T1030" s="56" t="str">
        <f t="shared" si="282"/>
        <v/>
      </c>
      <c r="U1030" s="56" t="str">
        <f t="shared" ref="U1030:U1035" si="298">+V1030</f>
        <v/>
      </c>
      <c r="V1030" s="56" t="str">
        <f t="shared" si="297"/>
        <v/>
      </c>
      <c r="AA1030" s="37">
        <f t="shared" si="294"/>
        <v>168.29999999999998</v>
      </c>
      <c r="AF1030" s="5">
        <v>0</v>
      </c>
      <c r="AG1030" s="5">
        <v>1</v>
      </c>
      <c r="AH1030" s="5">
        <v>1</v>
      </c>
      <c r="AI1030" s="5">
        <v>1</v>
      </c>
      <c r="AJ1030" s="5">
        <v>1</v>
      </c>
      <c r="AK1030" s="5">
        <v>1</v>
      </c>
      <c r="AL1030" s="5">
        <v>1</v>
      </c>
      <c r="AM1030" s="13">
        <v>2.5</v>
      </c>
      <c r="AN1030" s="13" t="s">
        <v>25</v>
      </c>
      <c r="AO1030" s="5"/>
      <c r="AP1030" s="5"/>
      <c r="AQ1030" s="5"/>
      <c r="AR1030" s="5">
        <v>0</v>
      </c>
      <c r="AS1030" s="5">
        <v>0</v>
      </c>
      <c r="AT1030" s="5"/>
      <c r="AU1030" s="5"/>
      <c r="AV1030" s="5"/>
      <c r="AW1030" s="5"/>
      <c r="AX1030" s="5">
        <v>0</v>
      </c>
      <c r="AY1030" s="5">
        <v>0</v>
      </c>
      <c r="AZ1030" s="5">
        <v>0</v>
      </c>
      <c r="BA1030" s="5">
        <v>0</v>
      </c>
    </row>
    <row r="1031" spans="1:53" s="41" customFormat="1" x14ac:dyDescent="0.2">
      <c r="B1031" s="14" t="str">
        <f t="shared" si="288"/>
        <v>Greenstone et al. 2013</v>
      </c>
      <c r="C1031" s="61">
        <f t="shared" si="289"/>
        <v>87</v>
      </c>
      <c r="D1031" s="58">
        <v>2013</v>
      </c>
      <c r="E1031" s="38"/>
      <c r="F1031" s="58">
        <v>1</v>
      </c>
      <c r="G1031" s="5">
        <v>2007</v>
      </c>
      <c r="H1031" s="44">
        <f>LOOKUP(G1031,CPI!A$69:A$100,CPI!O$69:O$100)</f>
        <v>1.0516730811895323</v>
      </c>
      <c r="I1031" s="5">
        <v>2030</v>
      </c>
      <c r="J1031" s="43"/>
      <c r="K1031" s="43"/>
      <c r="L1031" s="57"/>
      <c r="M1031" s="56"/>
      <c r="N1031" s="49">
        <f t="shared" si="295"/>
        <v>183.33333333333331</v>
      </c>
      <c r="O1031" s="41">
        <f>50*(44/12)</f>
        <v>183.33333333333331</v>
      </c>
      <c r="P1031" s="5">
        <v>1</v>
      </c>
      <c r="Q1031" s="5">
        <v>0</v>
      </c>
      <c r="R1031" s="5">
        <v>0</v>
      </c>
      <c r="T1031" s="56" t="str">
        <f t="shared" ref="T1031:T1035" si="299">IF(OR(M1031="",S1031=""),"",S1031*H1031*(1+$L$2)^(2015-I1031))</f>
        <v/>
      </c>
      <c r="U1031" s="56" t="str">
        <f t="shared" si="298"/>
        <v/>
      </c>
      <c r="V1031" s="56" t="str">
        <f t="shared" si="297"/>
        <v/>
      </c>
      <c r="AA1031" s="37">
        <f t="shared" ref="AA1031:AA1035" si="300">O1031</f>
        <v>183.33333333333331</v>
      </c>
      <c r="AF1031" s="5">
        <v>0</v>
      </c>
      <c r="AG1031" s="5">
        <v>1</v>
      </c>
      <c r="AH1031" s="5">
        <v>1</v>
      </c>
      <c r="AI1031" s="5">
        <v>1</v>
      </c>
      <c r="AJ1031" s="5">
        <v>1</v>
      </c>
      <c r="AK1031" s="5">
        <v>1</v>
      </c>
      <c r="AL1031" s="5">
        <v>1</v>
      </c>
      <c r="AM1031" s="13">
        <v>2.5</v>
      </c>
      <c r="AN1031" s="13" t="s">
        <v>25</v>
      </c>
      <c r="AO1031" s="5"/>
      <c r="AP1031" s="5"/>
      <c r="AQ1031" s="5"/>
      <c r="AR1031" s="5">
        <v>0</v>
      </c>
      <c r="AS1031" s="5">
        <v>0</v>
      </c>
      <c r="AT1031" s="5"/>
      <c r="AU1031" s="5"/>
      <c r="AV1031" s="5"/>
      <c r="AW1031" s="5"/>
      <c r="AX1031" s="5">
        <v>0</v>
      </c>
      <c r="AY1031" s="5">
        <v>0</v>
      </c>
      <c r="AZ1031" s="5">
        <v>0</v>
      </c>
      <c r="BA1031" s="5">
        <v>0</v>
      </c>
    </row>
    <row r="1032" spans="1:53" s="41" customFormat="1" x14ac:dyDescent="0.2">
      <c r="B1032" s="14" t="str">
        <f t="shared" si="288"/>
        <v>Greenstone et al. 2013</v>
      </c>
      <c r="C1032" s="61">
        <f t="shared" si="289"/>
        <v>87</v>
      </c>
      <c r="D1032" s="58">
        <v>2013</v>
      </c>
      <c r="E1032" s="38"/>
      <c r="F1032" s="58">
        <v>1</v>
      </c>
      <c r="G1032" s="5">
        <v>2007</v>
      </c>
      <c r="H1032" s="44">
        <f>LOOKUP(G1032,CPI!A$69:A$100,CPI!O$69:O$100)</f>
        <v>1.0516730811895323</v>
      </c>
      <c r="I1032" s="5">
        <v>2035</v>
      </c>
      <c r="J1032" s="43"/>
      <c r="K1032" s="43"/>
      <c r="L1032" s="57"/>
      <c r="M1032" s="56"/>
      <c r="N1032" s="49">
        <f t="shared" si="295"/>
        <v>198.73333333333335</v>
      </c>
      <c r="O1032" s="41">
        <f>54.2*(44/12)</f>
        <v>198.73333333333335</v>
      </c>
      <c r="P1032" s="5">
        <v>1</v>
      </c>
      <c r="Q1032" s="5">
        <v>0</v>
      </c>
      <c r="R1032" s="5">
        <v>0</v>
      </c>
      <c r="T1032" s="56" t="str">
        <f t="shared" si="299"/>
        <v/>
      </c>
      <c r="U1032" s="56" t="str">
        <f t="shared" si="298"/>
        <v/>
      </c>
      <c r="V1032" s="56" t="str">
        <f t="shared" si="297"/>
        <v/>
      </c>
      <c r="AA1032" s="37">
        <f t="shared" si="300"/>
        <v>198.73333333333335</v>
      </c>
      <c r="AF1032" s="5">
        <v>0</v>
      </c>
      <c r="AG1032" s="5">
        <v>1</v>
      </c>
      <c r="AH1032" s="5">
        <v>1</v>
      </c>
      <c r="AI1032" s="5">
        <v>1</v>
      </c>
      <c r="AJ1032" s="5">
        <v>1</v>
      </c>
      <c r="AK1032" s="5">
        <v>1</v>
      </c>
      <c r="AL1032" s="5">
        <v>1</v>
      </c>
      <c r="AM1032" s="13">
        <v>2.5</v>
      </c>
      <c r="AN1032" s="13" t="s">
        <v>25</v>
      </c>
      <c r="AO1032" s="5"/>
      <c r="AP1032" s="5"/>
      <c r="AQ1032" s="5"/>
      <c r="AR1032" s="5">
        <v>0</v>
      </c>
      <c r="AS1032" s="5">
        <v>0</v>
      </c>
      <c r="AT1032" s="5"/>
      <c r="AU1032" s="5"/>
      <c r="AV1032" s="5"/>
      <c r="AW1032" s="5"/>
      <c r="AX1032" s="5">
        <v>0</v>
      </c>
      <c r="AY1032" s="5">
        <v>0</v>
      </c>
      <c r="AZ1032" s="5">
        <v>0</v>
      </c>
      <c r="BA1032" s="5">
        <v>0</v>
      </c>
    </row>
    <row r="1033" spans="1:53" s="41" customFormat="1" x14ac:dyDescent="0.2">
      <c r="B1033" s="14" t="str">
        <f t="shared" si="288"/>
        <v>Greenstone et al. 2013</v>
      </c>
      <c r="C1033" s="61">
        <f t="shared" si="289"/>
        <v>87</v>
      </c>
      <c r="D1033" s="58">
        <v>2013</v>
      </c>
      <c r="E1033" s="38"/>
      <c r="F1033" s="58">
        <v>1</v>
      </c>
      <c r="G1033" s="5">
        <v>2007</v>
      </c>
      <c r="H1033" s="44">
        <f>LOOKUP(G1033,CPI!A$69:A$100,CPI!O$69:O$100)</f>
        <v>1.0516730811895323</v>
      </c>
      <c r="I1033" s="5">
        <v>2040</v>
      </c>
      <c r="J1033" s="43"/>
      <c r="K1033" s="43"/>
      <c r="L1033" s="57"/>
      <c r="M1033" s="56"/>
      <c r="N1033" s="49">
        <f t="shared" si="295"/>
        <v>214.13333333333333</v>
      </c>
      <c r="O1033" s="41">
        <f>58.4*(44/12)</f>
        <v>214.13333333333333</v>
      </c>
      <c r="P1033" s="5">
        <v>1</v>
      </c>
      <c r="Q1033" s="5">
        <v>0</v>
      </c>
      <c r="R1033" s="5">
        <v>0</v>
      </c>
      <c r="T1033" s="56" t="str">
        <f t="shared" si="299"/>
        <v/>
      </c>
      <c r="U1033" s="56" t="str">
        <f t="shared" si="298"/>
        <v/>
      </c>
      <c r="V1033" s="56" t="str">
        <f t="shared" si="297"/>
        <v/>
      </c>
      <c r="AA1033" s="37">
        <f t="shared" si="300"/>
        <v>214.13333333333333</v>
      </c>
      <c r="AF1033" s="5">
        <v>0</v>
      </c>
      <c r="AG1033" s="5">
        <v>1</v>
      </c>
      <c r="AH1033" s="5">
        <v>1</v>
      </c>
      <c r="AI1033" s="5">
        <v>1</v>
      </c>
      <c r="AJ1033" s="5">
        <v>1</v>
      </c>
      <c r="AK1033" s="5">
        <v>1</v>
      </c>
      <c r="AL1033" s="5">
        <v>1</v>
      </c>
      <c r="AM1033" s="13">
        <v>2.5</v>
      </c>
      <c r="AN1033" s="13" t="s">
        <v>25</v>
      </c>
      <c r="AO1033" s="5"/>
      <c r="AP1033" s="5"/>
      <c r="AQ1033" s="5"/>
      <c r="AR1033" s="5">
        <v>0</v>
      </c>
      <c r="AS1033" s="5">
        <v>0</v>
      </c>
      <c r="AT1033" s="5"/>
      <c r="AU1033" s="5"/>
      <c r="AV1033" s="5"/>
      <c r="AW1033" s="5"/>
      <c r="AX1033" s="5">
        <v>0</v>
      </c>
      <c r="AY1033" s="5">
        <v>0</v>
      </c>
      <c r="AZ1033" s="5">
        <v>0</v>
      </c>
      <c r="BA1033" s="5">
        <v>0</v>
      </c>
    </row>
    <row r="1034" spans="1:53" s="41" customFormat="1" x14ac:dyDescent="0.2">
      <c r="B1034" s="14" t="str">
        <f t="shared" ref="B1034:B1096" si="301">+IF(A1034="",B1033,A1034&amp;" "&amp;D1034)</f>
        <v>Greenstone et al. 2013</v>
      </c>
      <c r="C1034" s="61">
        <f t="shared" ref="C1034:C1097" si="302">+IF(A1034="",C1033,C1033+1)</f>
        <v>87</v>
      </c>
      <c r="D1034" s="58">
        <v>2013</v>
      </c>
      <c r="E1034" s="38"/>
      <c r="F1034" s="58">
        <v>1</v>
      </c>
      <c r="G1034" s="5">
        <v>2007</v>
      </c>
      <c r="H1034" s="44">
        <f>LOOKUP(G1034,CPI!A$69:A$100,CPI!O$69:O$100)</f>
        <v>1.0516730811895323</v>
      </c>
      <c r="I1034" s="5">
        <v>2045</v>
      </c>
      <c r="J1034" s="43"/>
      <c r="K1034" s="43"/>
      <c r="L1034" s="57"/>
      <c r="M1034" s="56"/>
      <c r="N1034" s="49">
        <f t="shared" si="295"/>
        <v>226.23333333333335</v>
      </c>
      <c r="O1034" s="41">
        <f>61.7*(44/12)</f>
        <v>226.23333333333335</v>
      </c>
      <c r="P1034" s="5">
        <v>1</v>
      </c>
      <c r="Q1034" s="5">
        <v>0</v>
      </c>
      <c r="R1034" s="5">
        <v>0</v>
      </c>
      <c r="T1034" s="56" t="str">
        <f t="shared" si="299"/>
        <v/>
      </c>
      <c r="U1034" s="56" t="str">
        <f t="shared" si="298"/>
        <v/>
      </c>
      <c r="V1034" s="56" t="str">
        <f t="shared" si="297"/>
        <v/>
      </c>
      <c r="AA1034" s="37">
        <f t="shared" si="300"/>
        <v>226.23333333333335</v>
      </c>
      <c r="AF1034" s="5">
        <v>0</v>
      </c>
      <c r="AG1034" s="5">
        <v>1</v>
      </c>
      <c r="AH1034" s="5">
        <v>1</v>
      </c>
      <c r="AI1034" s="5">
        <v>1</v>
      </c>
      <c r="AJ1034" s="5">
        <v>1</v>
      </c>
      <c r="AK1034" s="5">
        <v>1</v>
      </c>
      <c r="AL1034" s="5">
        <v>1</v>
      </c>
      <c r="AM1034" s="13">
        <v>2.5</v>
      </c>
      <c r="AN1034" s="13" t="s">
        <v>25</v>
      </c>
      <c r="AO1034" s="5"/>
      <c r="AP1034" s="5"/>
      <c r="AQ1034" s="5"/>
      <c r="AR1034" s="5">
        <v>0</v>
      </c>
      <c r="AS1034" s="5">
        <v>0</v>
      </c>
      <c r="AT1034" s="5"/>
      <c r="AU1034" s="5"/>
      <c r="AV1034" s="5"/>
      <c r="AW1034" s="5"/>
      <c r="AX1034" s="5">
        <v>0</v>
      </c>
      <c r="AY1034" s="5">
        <v>0</v>
      </c>
      <c r="AZ1034" s="5">
        <v>0</v>
      </c>
      <c r="BA1034" s="5">
        <v>0</v>
      </c>
    </row>
    <row r="1035" spans="1:53" s="41" customFormat="1" x14ac:dyDescent="0.2">
      <c r="B1035" s="14" t="str">
        <f t="shared" si="301"/>
        <v>Greenstone et al. 2013</v>
      </c>
      <c r="C1035" s="61">
        <f t="shared" si="302"/>
        <v>87</v>
      </c>
      <c r="D1035" s="58">
        <v>2013</v>
      </c>
      <c r="E1035" s="38"/>
      <c r="F1035" s="58">
        <v>1</v>
      </c>
      <c r="G1035" s="5">
        <v>2007</v>
      </c>
      <c r="H1035" s="44">
        <f>LOOKUP(G1035,CPI!A$69:A$100,CPI!O$69:O$100)</f>
        <v>1.0516730811895323</v>
      </c>
      <c r="I1035" s="5">
        <v>2050</v>
      </c>
      <c r="J1035" s="43"/>
      <c r="K1035" s="43"/>
      <c r="L1035" s="57"/>
      <c r="M1035" s="56"/>
      <c r="N1035" s="49">
        <f t="shared" si="295"/>
        <v>238.33333333333331</v>
      </c>
      <c r="O1035" s="41">
        <f>65*(44/12)</f>
        <v>238.33333333333331</v>
      </c>
      <c r="P1035" s="5">
        <v>1</v>
      </c>
      <c r="Q1035" s="5">
        <v>0</v>
      </c>
      <c r="R1035" s="5">
        <v>0</v>
      </c>
      <c r="T1035" s="56" t="str">
        <f t="shared" si="299"/>
        <v/>
      </c>
      <c r="U1035" s="56" t="str">
        <f t="shared" si="298"/>
        <v/>
      </c>
      <c r="V1035" s="56" t="str">
        <f t="shared" si="297"/>
        <v/>
      </c>
      <c r="AA1035" s="37">
        <f t="shared" si="300"/>
        <v>238.33333333333331</v>
      </c>
      <c r="AF1035" s="5">
        <v>0</v>
      </c>
      <c r="AG1035" s="5">
        <v>1</v>
      </c>
      <c r="AH1035" s="5">
        <v>1</v>
      </c>
      <c r="AI1035" s="5">
        <v>1</v>
      </c>
      <c r="AJ1035" s="5">
        <v>1</v>
      </c>
      <c r="AK1035" s="5">
        <v>1</v>
      </c>
      <c r="AL1035" s="5">
        <v>1</v>
      </c>
      <c r="AM1035" s="13">
        <v>2.5</v>
      </c>
      <c r="AN1035" s="13" t="s">
        <v>25</v>
      </c>
      <c r="AO1035" s="5"/>
      <c r="AP1035" s="5"/>
      <c r="AQ1035" s="5"/>
      <c r="AR1035" s="5">
        <v>0</v>
      </c>
      <c r="AS1035" s="5">
        <v>0</v>
      </c>
      <c r="AT1035" s="5"/>
      <c r="AU1035" s="5"/>
      <c r="AV1035" s="5"/>
      <c r="AW1035" s="5"/>
      <c r="AX1035" s="5">
        <v>0</v>
      </c>
      <c r="AY1035" s="5">
        <v>0</v>
      </c>
      <c r="AZ1035" s="5">
        <v>0</v>
      </c>
      <c r="BA1035" s="5">
        <v>0</v>
      </c>
    </row>
    <row r="1036" spans="1:53" s="41" customFormat="1" x14ac:dyDescent="0.2">
      <c r="A1036" s="41" t="s">
        <v>198</v>
      </c>
      <c r="B1036" s="14" t="str">
        <f>+IF(A1036="",#REF!,A1036&amp;" "&amp;D1036)</f>
        <v>Hwang et al. 2013</v>
      </c>
      <c r="C1036" s="61">
        <f t="shared" si="302"/>
        <v>88</v>
      </c>
      <c r="D1036" s="58">
        <v>2013</v>
      </c>
      <c r="E1036" s="38" t="s">
        <v>199</v>
      </c>
      <c r="F1036" s="58">
        <v>1</v>
      </c>
      <c r="G1036" s="5">
        <v>2005</v>
      </c>
      <c r="H1036" s="44">
        <f>LOOKUP(G1036,CPI!A$69:A$100,CPI!O$69:O$100)</f>
        <v>1.1165181771633383</v>
      </c>
      <c r="I1036" s="52">
        <v>2005</v>
      </c>
      <c r="J1036" s="43"/>
      <c r="K1036" s="43"/>
      <c r="L1036" s="57"/>
      <c r="M1036" s="56">
        <f t="shared" ref="M1036:M1047" si="303">AA1036*H1036*(1+$L$2)^(2015-I1036)</f>
        <v>48.538593034519891</v>
      </c>
      <c r="N1036" s="5">
        <v>32</v>
      </c>
      <c r="O1036" s="50">
        <f t="shared" ref="O1036:O1047" si="304">+N1036</f>
        <v>32</v>
      </c>
      <c r="P1036" s="5">
        <v>0</v>
      </c>
      <c r="Q1036" s="5">
        <v>1</v>
      </c>
      <c r="R1036" s="5">
        <v>0</v>
      </c>
      <c r="T1036" s="56"/>
      <c r="U1036" s="77"/>
      <c r="V1036" s="77"/>
      <c r="AA1036" s="37">
        <f t="shared" ref="AA1036:AA1047" si="305">+O1036</f>
        <v>32</v>
      </c>
      <c r="AF1036" s="5">
        <v>1</v>
      </c>
      <c r="AG1036" s="5">
        <v>1</v>
      </c>
      <c r="AH1036" s="5">
        <v>0</v>
      </c>
      <c r="AI1036" s="5">
        <v>1</v>
      </c>
      <c r="AJ1036" s="5">
        <v>0</v>
      </c>
      <c r="AK1036" s="5">
        <v>1</v>
      </c>
      <c r="AL1036" s="5">
        <v>0</v>
      </c>
      <c r="AM1036" s="13"/>
      <c r="AN1036" s="13"/>
      <c r="AO1036" s="3"/>
      <c r="AP1036" s="3">
        <v>0</v>
      </c>
      <c r="AQ1036" s="3"/>
      <c r="AR1036" s="5">
        <v>0</v>
      </c>
      <c r="AS1036" s="5">
        <v>0</v>
      </c>
      <c r="AT1036" s="5"/>
      <c r="AU1036" s="5"/>
      <c r="AV1036" s="5"/>
      <c r="AW1036" s="5"/>
      <c r="AX1036" s="5">
        <v>0</v>
      </c>
      <c r="AY1036" s="5">
        <v>0</v>
      </c>
      <c r="AZ1036" s="5">
        <v>1</v>
      </c>
      <c r="BA1036" s="5">
        <v>0</v>
      </c>
    </row>
    <row r="1037" spans="1:53" s="41" customFormat="1" x14ac:dyDescent="0.2">
      <c r="B1037" s="14" t="str">
        <f t="shared" si="301"/>
        <v>Hwang et al. 2013</v>
      </c>
      <c r="C1037" s="61">
        <f t="shared" si="302"/>
        <v>88</v>
      </c>
      <c r="D1037" s="58">
        <v>2013</v>
      </c>
      <c r="E1037" s="38"/>
      <c r="F1037" s="58">
        <v>1</v>
      </c>
      <c r="G1037" s="5">
        <v>2005</v>
      </c>
      <c r="H1037" s="44">
        <f>LOOKUP(G1037,CPI!A$69:A$100,CPI!O$69:O$100)</f>
        <v>1.1165181771633383</v>
      </c>
      <c r="I1037" s="52">
        <v>2005</v>
      </c>
      <c r="J1037" s="43"/>
      <c r="K1037" s="43"/>
      <c r="L1037" s="57"/>
      <c r="M1037" s="56">
        <f t="shared" si="303"/>
        <v>51.572255099177383</v>
      </c>
      <c r="N1037" s="3">
        <v>34</v>
      </c>
      <c r="O1037" s="50">
        <f t="shared" si="304"/>
        <v>34</v>
      </c>
      <c r="P1037" s="5">
        <v>0</v>
      </c>
      <c r="Q1037" s="5">
        <v>1</v>
      </c>
      <c r="R1037" s="5">
        <v>0</v>
      </c>
      <c r="T1037" s="56"/>
      <c r="U1037" s="77"/>
      <c r="V1037" s="77"/>
      <c r="AA1037" s="37">
        <f t="shared" si="305"/>
        <v>34</v>
      </c>
      <c r="AF1037" s="5">
        <v>1</v>
      </c>
      <c r="AG1037" s="5">
        <v>1</v>
      </c>
      <c r="AH1037" s="5">
        <v>0</v>
      </c>
      <c r="AI1037" s="5">
        <v>1</v>
      </c>
      <c r="AJ1037" s="5">
        <v>0</v>
      </c>
      <c r="AK1037" s="5">
        <v>1</v>
      </c>
      <c r="AL1037" s="5">
        <v>0</v>
      </c>
      <c r="AM1037" s="13"/>
      <c r="AN1037" s="13"/>
      <c r="AO1037" s="3"/>
      <c r="AP1037" s="3">
        <v>4</v>
      </c>
      <c r="AQ1037" s="3"/>
      <c r="AR1037" s="5">
        <v>0</v>
      </c>
      <c r="AS1037" s="5">
        <v>0</v>
      </c>
      <c r="AT1037" s="5"/>
      <c r="AU1037" s="5"/>
      <c r="AV1037" s="5"/>
      <c r="AW1037" s="5"/>
      <c r="AX1037" s="5">
        <v>0</v>
      </c>
      <c r="AY1037" s="5">
        <v>0</v>
      </c>
      <c r="AZ1037" s="5">
        <v>1</v>
      </c>
      <c r="BA1037" s="5">
        <v>0</v>
      </c>
    </row>
    <row r="1038" spans="1:53" s="41" customFormat="1" x14ac:dyDescent="0.2">
      <c r="B1038" s="14" t="str">
        <f t="shared" si="301"/>
        <v>Hwang et al. 2013</v>
      </c>
      <c r="C1038" s="61">
        <f t="shared" si="302"/>
        <v>88</v>
      </c>
      <c r="D1038" s="58">
        <v>2013</v>
      </c>
      <c r="E1038" s="38"/>
      <c r="F1038" s="58">
        <v>1</v>
      </c>
      <c r="G1038" s="5">
        <v>2005</v>
      </c>
      <c r="H1038" s="44">
        <f>LOOKUP(G1038,CPI!A$69:A$100,CPI!O$69:O$100)</f>
        <v>1.1165181771633383</v>
      </c>
      <c r="I1038" s="52">
        <v>2005</v>
      </c>
      <c r="J1038" s="43"/>
      <c r="K1038" s="43"/>
      <c r="L1038" s="57"/>
      <c r="M1038" s="56">
        <f t="shared" si="303"/>
        <v>63.706903357807356</v>
      </c>
      <c r="N1038" s="3">
        <v>42</v>
      </c>
      <c r="O1038" s="50">
        <f t="shared" si="304"/>
        <v>42</v>
      </c>
      <c r="P1038" s="5">
        <v>0</v>
      </c>
      <c r="Q1038" s="5">
        <v>1</v>
      </c>
      <c r="R1038" s="5">
        <v>0</v>
      </c>
      <c r="T1038" s="56"/>
      <c r="U1038" s="77"/>
      <c r="V1038" s="77"/>
      <c r="AA1038" s="37">
        <f t="shared" si="305"/>
        <v>42</v>
      </c>
      <c r="AF1038" s="5">
        <v>1</v>
      </c>
      <c r="AG1038" s="5">
        <v>1</v>
      </c>
      <c r="AH1038" s="5">
        <v>0</v>
      </c>
      <c r="AI1038" s="5">
        <v>1</v>
      </c>
      <c r="AJ1038" s="5">
        <v>0</v>
      </c>
      <c r="AK1038" s="5">
        <v>1</v>
      </c>
      <c r="AL1038" s="5">
        <v>0</v>
      </c>
      <c r="AM1038" s="13"/>
      <c r="AN1038" s="13"/>
      <c r="AO1038" s="3"/>
      <c r="AP1038" s="3">
        <v>0.2</v>
      </c>
      <c r="AQ1038" s="3"/>
      <c r="AR1038" s="5">
        <v>0</v>
      </c>
      <c r="AS1038" s="5">
        <v>0</v>
      </c>
      <c r="AT1038" s="5"/>
      <c r="AU1038" s="5"/>
      <c r="AV1038" s="5"/>
      <c r="AW1038" s="5"/>
      <c r="AX1038" s="5">
        <v>0</v>
      </c>
      <c r="AY1038" s="5">
        <v>0</v>
      </c>
      <c r="AZ1038" s="5">
        <v>1</v>
      </c>
      <c r="BA1038" s="5">
        <v>0</v>
      </c>
    </row>
    <row r="1039" spans="1:53" s="41" customFormat="1" x14ac:dyDescent="0.2">
      <c r="B1039" s="14" t="str">
        <f t="shared" si="301"/>
        <v>Hwang et al. 2013</v>
      </c>
      <c r="C1039" s="61">
        <f t="shared" si="302"/>
        <v>88</v>
      </c>
      <c r="D1039" s="58">
        <v>2013</v>
      </c>
      <c r="E1039" s="38"/>
      <c r="F1039" s="58">
        <v>1</v>
      </c>
      <c r="G1039" s="5">
        <v>2005</v>
      </c>
      <c r="H1039" s="44">
        <f>LOOKUP(G1039,CPI!A$69:A$100,CPI!O$69:O$100)</f>
        <v>1.1165181771633383</v>
      </c>
      <c r="I1039" s="52">
        <v>2005</v>
      </c>
      <c r="J1039" s="43"/>
      <c r="K1039" s="43"/>
      <c r="L1039" s="57"/>
      <c r="M1039" s="56">
        <f t="shared" si="303"/>
        <v>81.908875745752312</v>
      </c>
      <c r="N1039" s="3">
        <v>54</v>
      </c>
      <c r="O1039" s="50">
        <f t="shared" si="304"/>
        <v>54</v>
      </c>
      <c r="P1039" s="5">
        <v>0</v>
      </c>
      <c r="Q1039" s="5">
        <v>1</v>
      </c>
      <c r="R1039" s="5">
        <v>0</v>
      </c>
      <c r="T1039" s="56"/>
      <c r="U1039" s="77"/>
      <c r="V1039" s="77"/>
      <c r="AA1039" s="37">
        <f t="shared" si="305"/>
        <v>54</v>
      </c>
      <c r="AF1039" s="5">
        <v>1</v>
      </c>
      <c r="AG1039" s="5">
        <v>1</v>
      </c>
      <c r="AH1039" s="5">
        <v>0</v>
      </c>
      <c r="AI1039" s="5">
        <v>1</v>
      </c>
      <c r="AJ1039" s="5">
        <v>0</v>
      </c>
      <c r="AK1039" s="5">
        <v>1</v>
      </c>
      <c r="AL1039" s="5">
        <v>0</v>
      </c>
      <c r="AM1039" s="13"/>
      <c r="AN1039" s="13"/>
      <c r="AO1039" s="3"/>
      <c r="AP1039" s="3">
        <v>2.2000000000000002</v>
      </c>
      <c r="AQ1039" s="3"/>
      <c r="AR1039" s="5">
        <v>0</v>
      </c>
      <c r="AS1039" s="5">
        <v>0</v>
      </c>
      <c r="AT1039" s="5"/>
      <c r="AU1039" s="5"/>
      <c r="AV1039" s="5"/>
      <c r="AW1039" s="5"/>
      <c r="AX1039" s="5">
        <v>0</v>
      </c>
      <c r="AY1039" s="5">
        <v>0</v>
      </c>
      <c r="AZ1039" s="5">
        <v>1</v>
      </c>
      <c r="BA1039" s="5">
        <v>0</v>
      </c>
    </row>
    <row r="1040" spans="1:53" s="41" customFormat="1" x14ac:dyDescent="0.2">
      <c r="B1040" s="14" t="str">
        <f t="shared" si="301"/>
        <v>Hwang et al. 2013</v>
      </c>
      <c r="C1040" s="61">
        <f t="shared" si="302"/>
        <v>88</v>
      </c>
      <c r="D1040" s="58">
        <v>2013</v>
      </c>
      <c r="E1040" s="38"/>
      <c r="F1040" s="58">
        <v>1</v>
      </c>
      <c r="G1040" s="5">
        <v>2005</v>
      </c>
      <c r="H1040" s="44">
        <f>LOOKUP(G1040,CPI!A$69:A$100,CPI!O$69:O$100)</f>
        <v>1.1165181771633383</v>
      </c>
      <c r="I1040" s="52">
        <v>2005</v>
      </c>
      <c r="J1040" s="43"/>
      <c r="K1040" s="43"/>
      <c r="L1040" s="57"/>
      <c r="M1040" s="56">
        <f t="shared" si="303"/>
        <v>479.3186062158839</v>
      </c>
      <c r="N1040" s="3">
        <v>316</v>
      </c>
      <c r="O1040" s="50">
        <f t="shared" si="304"/>
        <v>316</v>
      </c>
      <c r="P1040" s="5">
        <v>0</v>
      </c>
      <c r="Q1040" s="5">
        <v>1</v>
      </c>
      <c r="R1040" s="5">
        <v>0</v>
      </c>
      <c r="T1040" s="56"/>
      <c r="U1040" s="77"/>
      <c r="V1040" s="77"/>
      <c r="AA1040" s="37">
        <f t="shared" si="305"/>
        <v>316</v>
      </c>
      <c r="AF1040" s="5">
        <v>1</v>
      </c>
      <c r="AG1040" s="5">
        <v>1</v>
      </c>
      <c r="AH1040" s="5">
        <v>0</v>
      </c>
      <c r="AI1040" s="5">
        <v>1</v>
      </c>
      <c r="AJ1040" s="5">
        <v>0</v>
      </c>
      <c r="AK1040" s="5">
        <v>1</v>
      </c>
      <c r="AL1040" s="5">
        <v>0</v>
      </c>
      <c r="AM1040" s="13"/>
      <c r="AN1040" s="13">
        <v>0</v>
      </c>
      <c r="AO1040" s="5"/>
      <c r="AP1040" s="5"/>
      <c r="AQ1040" s="5"/>
      <c r="AR1040" s="5">
        <v>0</v>
      </c>
      <c r="AS1040" s="5">
        <v>0</v>
      </c>
      <c r="AT1040" s="5"/>
      <c r="AU1040" s="5"/>
      <c r="AV1040" s="5"/>
      <c r="AW1040" s="5"/>
      <c r="AX1040" s="5">
        <v>0</v>
      </c>
      <c r="AY1040" s="5">
        <v>0</v>
      </c>
      <c r="AZ1040" s="5">
        <v>1</v>
      </c>
      <c r="BA1040" s="5">
        <v>0</v>
      </c>
    </row>
    <row r="1041" spans="1:53" s="41" customFormat="1" x14ac:dyDescent="0.2">
      <c r="B1041" s="14" t="str">
        <f t="shared" si="301"/>
        <v>Hwang et al. 2013</v>
      </c>
      <c r="C1041" s="61">
        <f t="shared" si="302"/>
        <v>88</v>
      </c>
      <c r="D1041" s="58">
        <v>2013</v>
      </c>
      <c r="E1041" s="38"/>
      <c r="F1041" s="58">
        <v>1</v>
      </c>
      <c r="G1041" s="5">
        <v>2005</v>
      </c>
      <c r="H1041" s="44">
        <f>LOOKUP(G1041,CPI!A$69:A$100,CPI!O$69:O$100)</f>
        <v>1.1165181771633383</v>
      </c>
      <c r="I1041" s="52">
        <v>2005</v>
      </c>
      <c r="J1041" s="43"/>
      <c r="K1041" s="43"/>
      <c r="L1041" s="57"/>
      <c r="M1041" s="56">
        <f t="shared" si="303"/>
        <v>215.39000659068202</v>
      </c>
      <c r="N1041" s="3">
        <v>142</v>
      </c>
      <c r="O1041" s="50">
        <f t="shared" si="304"/>
        <v>142</v>
      </c>
      <c r="P1041" s="5">
        <v>0</v>
      </c>
      <c r="Q1041" s="5">
        <v>1</v>
      </c>
      <c r="R1041" s="5">
        <v>0</v>
      </c>
      <c r="T1041" s="56"/>
      <c r="U1041" s="77"/>
      <c r="V1041" s="77"/>
      <c r="AA1041" s="37">
        <f t="shared" si="305"/>
        <v>142</v>
      </c>
      <c r="AF1041" s="5">
        <v>1</v>
      </c>
      <c r="AG1041" s="5">
        <v>1</v>
      </c>
      <c r="AH1041" s="5">
        <v>0</v>
      </c>
      <c r="AI1041" s="5">
        <v>1</v>
      </c>
      <c r="AJ1041" s="5">
        <v>0</v>
      </c>
      <c r="AK1041" s="5">
        <v>1</v>
      </c>
      <c r="AL1041" s="5">
        <v>0</v>
      </c>
      <c r="AM1041" s="13"/>
      <c r="AN1041" s="13">
        <v>1</v>
      </c>
      <c r="AO1041" s="5"/>
      <c r="AP1041" s="5"/>
      <c r="AQ1041" s="5"/>
      <c r="AR1041" s="5">
        <v>0</v>
      </c>
      <c r="AS1041" s="5">
        <v>0</v>
      </c>
      <c r="AT1041" s="5"/>
      <c r="AU1041" s="5"/>
      <c r="AV1041" s="5"/>
      <c r="AW1041" s="5"/>
      <c r="AX1041" s="5">
        <v>0</v>
      </c>
      <c r="AY1041" s="5">
        <v>0</v>
      </c>
      <c r="AZ1041" s="5">
        <v>1</v>
      </c>
      <c r="BA1041" s="5">
        <v>0</v>
      </c>
    </row>
    <row r="1042" spans="1:53" s="41" customFormat="1" x14ac:dyDescent="0.2">
      <c r="B1042" s="14" t="str">
        <f t="shared" si="301"/>
        <v>Hwang et al. 2013</v>
      </c>
      <c r="C1042" s="61">
        <f t="shared" si="302"/>
        <v>88</v>
      </c>
      <c r="D1042" s="58">
        <v>2013</v>
      </c>
      <c r="E1042" s="38"/>
      <c r="F1042" s="58">
        <v>1</v>
      </c>
      <c r="G1042" s="5">
        <v>2005</v>
      </c>
      <c r="H1042" s="44">
        <f>LOOKUP(G1042,CPI!A$69:A$100,CPI!O$69:O$100)</f>
        <v>1.1165181771633383</v>
      </c>
      <c r="I1042" s="52">
        <v>2005</v>
      </c>
      <c r="J1042" s="43"/>
      <c r="K1042" s="43"/>
      <c r="L1042" s="57"/>
      <c r="M1042" s="56">
        <f t="shared" si="303"/>
        <v>122.86331361862848</v>
      </c>
      <c r="N1042" s="3">
        <v>81</v>
      </c>
      <c r="O1042" s="50">
        <f t="shared" si="304"/>
        <v>81</v>
      </c>
      <c r="P1042" s="5">
        <v>0</v>
      </c>
      <c r="Q1042" s="5">
        <v>1</v>
      </c>
      <c r="R1042" s="5">
        <v>0</v>
      </c>
      <c r="T1042" s="56"/>
      <c r="U1042" s="77"/>
      <c r="V1042" s="77"/>
      <c r="AA1042" s="37">
        <f t="shared" si="305"/>
        <v>81</v>
      </c>
      <c r="AF1042" s="5">
        <v>1</v>
      </c>
      <c r="AG1042" s="5">
        <v>1</v>
      </c>
      <c r="AH1042" s="5">
        <v>0</v>
      </c>
      <c r="AI1042" s="5">
        <v>1</v>
      </c>
      <c r="AJ1042" s="5">
        <v>0</v>
      </c>
      <c r="AK1042" s="5">
        <v>1</v>
      </c>
      <c r="AL1042" s="5">
        <v>0</v>
      </c>
      <c r="AM1042" s="13"/>
      <c r="AN1042" s="13">
        <v>2</v>
      </c>
      <c r="AO1042" s="5"/>
      <c r="AP1042" s="5"/>
      <c r="AQ1042" s="5"/>
      <c r="AR1042" s="5">
        <v>0</v>
      </c>
      <c r="AS1042" s="5">
        <v>0</v>
      </c>
      <c r="AT1042" s="5"/>
      <c r="AU1042" s="5"/>
      <c r="AV1042" s="5"/>
      <c r="AW1042" s="5"/>
      <c r="AX1042" s="5">
        <v>0</v>
      </c>
      <c r="AY1042" s="5">
        <v>0</v>
      </c>
      <c r="AZ1042" s="5">
        <v>1</v>
      </c>
      <c r="BA1042" s="5">
        <v>0</v>
      </c>
    </row>
    <row r="1043" spans="1:53" s="41" customFormat="1" x14ac:dyDescent="0.2">
      <c r="B1043" s="14" t="str">
        <f t="shared" si="301"/>
        <v>Hwang et al. 2013</v>
      </c>
      <c r="C1043" s="61">
        <f t="shared" si="302"/>
        <v>88</v>
      </c>
      <c r="D1043" s="58">
        <v>2013</v>
      </c>
      <c r="E1043" s="38"/>
      <c r="F1043" s="58">
        <v>1</v>
      </c>
      <c r="G1043" s="5">
        <v>2005</v>
      </c>
      <c r="H1043" s="44">
        <f>LOOKUP(G1043,CPI!A$69:A$100,CPI!O$69:O$100)</f>
        <v>1.1165181771633383</v>
      </c>
      <c r="I1043" s="52">
        <v>2005</v>
      </c>
      <c r="J1043" s="43"/>
      <c r="K1043" s="43"/>
      <c r="L1043" s="57"/>
      <c r="M1043" s="56">
        <f t="shared" si="303"/>
        <v>78.87521368109482</v>
      </c>
      <c r="N1043" s="3">
        <v>52</v>
      </c>
      <c r="O1043" s="50">
        <f t="shared" si="304"/>
        <v>52</v>
      </c>
      <c r="P1043" s="5">
        <v>0</v>
      </c>
      <c r="Q1043" s="5">
        <v>1</v>
      </c>
      <c r="R1043" s="5">
        <v>0</v>
      </c>
      <c r="T1043" s="56"/>
      <c r="U1043" s="77"/>
      <c r="V1043" s="77"/>
      <c r="AA1043" s="37">
        <f t="shared" si="305"/>
        <v>52</v>
      </c>
      <c r="AF1043" s="5">
        <v>1</v>
      </c>
      <c r="AG1043" s="5">
        <v>1</v>
      </c>
      <c r="AH1043" s="5">
        <v>0</v>
      </c>
      <c r="AI1043" s="5">
        <v>1</v>
      </c>
      <c r="AJ1043" s="5">
        <v>0</v>
      </c>
      <c r="AK1043" s="5">
        <v>1</v>
      </c>
      <c r="AL1043" s="5">
        <v>0</v>
      </c>
      <c r="AM1043" s="13"/>
      <c r="AN1043" s="13">
        <v>3</v>
      </c>
      <c r="AO1043" s="5"/>
      <c r="AP1043" s="5"/>
      <c r="AQ1043" s="5"/>
      <c r="AR1043" s="5">
        <v>0</v>
      </c>
      <c r="AS1043" s="5">
        <v>0</v>
      </c>
      <c r="AT1043" s="5"/>
      <c r="AU1043" s="5"/>
      <c r="AV1043" s="5"/>
      <c r="AW1043" s="5"/>
      <c r="AX1043" s="5">
        <v>0</v>
      </c>
      <c r="AY1043" s="5">
        <v>0</v>
      </c>
      <c r="AZ1043" s="5">
        <v>1</v>
      </c>
      <c r="BA1043" s="5">
        <v>0</v>
      </c>
    </row>
    <row r="1044" spans="1:53" s="41" customFormat="1" x14ac:dyDescent="0.2">
      <c r="B1044" s="14" t="str">
        <f t="shared" si="301"/>
        <v>Hwang et al. 2013</v>
      </c>
      <c r="C1044" s="61">
        <f t="shared" si="302"/>
        <v>88</v>
      </c>
      <c r="D1044" s="58">
        <v>2013</v>
      </c>
      <c r="E1044" s="38"/>
      <c r="F1044" s="58">
        <v>1</v>
      </c>
      <c r="G1044" s="5">
        <v>2005</v>
      </c>
      <c r="H1044" s="44">
        <f>LOOKUP(G1044,CPI!A$69:A$100,CPI!O$69:O$100)</f>
        <v>1.1165181771633383</v>
      </c>
      <c r="I1044" s="52">
        <v>2005</v>
      </c>
      <c r="J1044" s="43"/>
      <c r="K1044" s="43"/>
      <c r="L1044" s="57"/>
      <c r="M1044" s="56">
        <f t="shared" si="303"/>
        <v>109.21183432766976</v>
      </c>
      <c r="N1044" s="3">
        <v>72</v>
      </c>
      <c r="O1044" s="50">
        <f t="shared" si="304"/>
        <v>72</v>
      </c>
      <c r="P1044" s="5">
        <v>0</v>
      </c>
      <c r="Q1044" s="5">
        <v>1</v>
      </c>
      <c r="R1044" s="5">
        <v>0</v>
      </c>
      <c r="T1044" s="56"/>
      <c r="U1044" s="77"/>
      <c r="V1044" s="77"/>
      <c r="AA1044" s="37">
        <f t="shared" si="305"/>
        <v>72</v>
      </c>
      <c r="AF1044" s="5">
        <v>1</v>
      </c>
      <c r="AG1044" s="5">
        <v>1</v>
      </c>
      <c r="AH1044" s="5">
        <v>0</v>
      </c>
      <c r="AI1044" s="5">
        <v>1</v>
      </c>
      <c r="AJ1044" s="5">
        <v>0</v>
      </c>
      <c r="AK1044" s="5">
        <v>1</v>
      </c>
      <c r="AL1044" s="5">
        <v>0</v>
      </c>
      <c r="AM1044" s="13"/>
      <c r="AN1044" s="13"/>
      <c r="AO1044" s="3">
        <v>1</v>
      </c>
      <c r="AP1044" s="5"/>
      <c r="AQ1044" s="5"/>
      <c r="AR1044" s="5">
        <v>0</v>
      </c>
      <c r="AS1044" s="5">
        <v>0</v>
      </c>
      <c r="AT1044" s="5"/>
      <c r="AU1044" s="5"/>
      <c r="AV1044" s="5"/>
      <c r="AW1044" s="5"/>
      <c r="AX1044" s="5">
        <v>0</v>
      </c>
      <c r="AY1044" s="5">
        <v>0</v>
      </c>
      <c r="AZ1044" s="5">
        <v>1</v>
      </c>
      <c r="BA1044" s="5">
        <v>0</v>
      </c>
    </row>
    <row r="1045" spans="1:53" s="41" customFormat="1" x14ac:dyDescent="0.2">
      <c r="B1045" s="14" t="str">
        <f t="shared" si="301"/>
        <v>Hwang et al. 2013</v>
      </c>
      <c r="C1045" s="61">
        <f t="shared" si="302"/>
        <v>88</v>
      </c>
      <c r="D1045" s="58">
        <v>2013</v>
      </c>
      <c r="E1045" s="38"/>
      <c r="F1045" s="58">
        <v>1</v>
      </c>
      <c r="G1045" s="5">
        <v>2005</v>
      </c>
      <c r="H1045" s="44">
        <f>LOOKUP(G1045,CPI!A$69:A$100,CPI!O$69:O$100)</f>
        <v>1.1165181771633383</v>
      </c>
      <c r="I1045" s="52">
        <v>2005</v>
      </c>
      <c r="J1045" s="43"/>
      <c r="K1045" s="43"/>
      <c r="L1045" s="57"/>
      <c r="M1045" s="56">
        <f t="shared" si="303"/>
        <v>48.538593034519891</v>
      </c>
      <c r="N1045" s="3">
        <v>32</v>
      </c>
      <c r="O1045" s="50">
        <f t="shared" si="304"/>
        <v>32</v>
      </c>
      <c r="P1045" s="5">
        <v>0</v>
      </c>
      <c r="Q1045" s="5">
        <v>1</v>
      </c>
      <c r="R1045" s="5">
        <v>0</v>
      </c>
      <c r="T1045" s="56"/>
      <c r="U1045" s="77"/>
      <c r="V1045" s="77"/>
      <c r="AA1045" s="37">
        <f t="shared" si="305"/>
        <v>32</v>
      </c>
      <c r="AF1045" s="5">
        <v>1</v>
      </c>
      <c r="AG1045" s="5">
        <v>1</v>
      </c>
      <c r="AH1045" s="5">
        <v>0</v>
      </c>
      <c r="AI1045" s="5">
        <v>1</v>
      </c>
      <c r="AJ1045" s="5">
        <v>0</v>
      </c>
      <c r="AK1045" s="5">
        <v>1</v>
      </c>
      <c r="AL1045" s="5">
        <v>0</v>
      </c>
      <c r="AM1045" s="13"/>
      <c r="AN1045" s="13"/>
      <c r="AO1045" s="3">
        <v>2</v>
      </c>
      <c r="AP1045" s="5"/>
      <c r="AQ1045" s="5"/>
      <c r="AR1045" s="5">
        <v>0</v>
      </c>
      <c r="AS1045" s="5">
        <v>0</v>
      </c>
      <c r="AT1045" s="5"/>
      <c r="AU1045" s="5"/>
      <c r="AV1045" s="5"/>
      <c r="AW1045" s="5"/>
      <c r="AX1045" s="5">
        <v>0</v>
      </c>
      <c r="AY1045" s="5">
        <v>0</v>
      </c>
      <c r="AZ1045" s="5">
        <v>1</v>
      </c>
      <c r="BA1045" s="5">
        <v>0</v>
      </c>
    </row>
    <row r="1046" spans="1:53" s="41" customFormat="1" x14ac:dyDescent="0.2">
      <c r="B1046" s="14" t="str">
        <f t="shared" si="301"/>
        <v>Hwang et al. 2013</v>
      </c>
      <c r="C1046" s="61">
        <f t="shared" si="302"/>
        <v>88</v>
      </c>
      <c r="D1046" s="58">
        <v>2013</v>
      </c>
      <c r="E1046" s="38"/>
      <c r="F1046" s="58">
        <v>1</v>
      </c>
      <c r="G1046" s="5">
        <v>2005</v>
      </c>
      <c r="H1046" s="44">
        <f>LOOKUP(G1046,CPI!A$69:A$100,CPI!O$69:O$100)</f>
        <v>1.1165181771633383</v>
      </c>
      <c r="I1046" s="52">
        <v>2005</v>
      </c>
      <c r="J1046" s="43"/>
      <c r="K1046" s="43"/>
      <c r="L1046" s="57"/>
      <c r="M1046" s="56">
        <f t="shared" si="303"/>
        <v>28.819789614246183</v>
      </c>
      <c r="N1046" s="3">
        <v>19</v>
      </c>
      <c r="O1046" s="50">
        <f t="shared" si="304"/>
        <v>19</v>
      </c>
      <c r="P1046" s="5">
        <v>0</v>
      </c>
      <c r="Q1046" s="5">
        <v>1</v>
      </c>
      <c r="R1046" s="5">
        <v>0</v>
      </c>
      <c r="T1046" s="56"/>
      <c r="U1046" s="77"/>
      <c r="V1046" s="77"/>
      <c r="AA1046" s="37">
        <f t="shared" si="305"/>
        <v>19</v>
      </c>
      <c r="AF1046" s="5">
        <v>1</v>
      </c>
      <c r="AG1046" s="5">
        <v>1</v>
      </c>
      <c r="AH1046" s="5">
        <v>0</v>
      </c>
      <c r="AI1046" s="5">
        <v>1</v>
      </c>
      <c r="AJ1046" s="5">
        <v>0</v>
      </c>
      <c r="AK1046" s="5">
        <v>1</v>
      </c>
      <c r="AL1046" s="5">
        <v>0</v>
      </c>
      <c r="AM1046" s="13"/>
      <c r="AN1046" s="13"/>
      <c r="AO1046" s="3">
        <v>3</v>
      </c>
      <c r="AP1046" s="5"/>
      <c r="AQ1046" s="5"/>
      <c r="AR1046" s="5">
        <v>0</v>
      </c>
      <c r="AS1046" s="5">
        <v>0</v>
      </c>
      <c r="AT1046" s="5"/>
      <c r="AU1046" s="5"/>
      <c r="AV1046" s="5"/>
      <c r="AW1046" s="5"/>
      <c r="AX1046" s="5">
        <v>0</v>
      </c>
      <c r="AY1046" s="5">
        <v>0</v>
      </c>
      <c r="AZ1046" s="5">
        <v>1</v>
      </c>
      <c r="BA1046" s="5">
        <v>0</v>
      </c>
    </row>
    <row r="1047" spans="1:53" s="41" customFormat="1" x14ac:dyDescent="0.2">
      <c r="B1047" s="14" t="str">
        <f t="shared" si="301"/>
        <v>Hwang et al. 2013</v>
      </c>
      <c r="C1047" s="61">
        <f t="shared" si="302"/>
        <v>88</v>
      </c>
      <c r="D1047" s="58">
        <v>2013</v>
      </c>
      <c r="E1047" s="38"/>
      <c r="F1047" s="58">
        <v>1</v>
      </c>
      <c r="G1047" s="5">
        <v>2005</v>
      </c>
      <c r="H1047" s="44">
        <f>LOOKUP(G1047,CPI!A$69:A$100,CPI!O$69:O$100)</f>
        <v>1.1165181771633383</v>
      </c>
      <c r="I1047" s="52">
        <v>2005</v>
      </c>
      <c r="J1047" s="43"/>
      <c r="K1047" s="43"/>
      <c r="L1047" s="57"/>
      <c r="M1047" s="56">
        <f t="shared" si="303"/>
        <v>21.235634452602451</v>
      </c>
      <c r="N1047" s="3">
        <v>14</v>
      </c>
      <c r="O1047" s="50">
        <f t="shared" si="304"/>
        <v>14</v>
      </c>
      <c r="P1047" s="5">
        <v>0</v>
      </c>
      <c r="Q1047" s="5">
        <v>1</v>
      </c>
      <c r="R1047" s="5">
        <v>0</v>
      </c>
      <c r="T1047" s="56"/>
      <c r="U1047" s="77"/>
      <c r="V1047" s="77"/>
      <c r="AA1047" s="37">
        <f t="shared" si="305"/>
        <v>14</v>
      </c>
      <c r="AF1047" s="5">
        <v>1</v>
      </c>
      <c r="AG1047" s="5">
        <v>1</v>
      </c>
      <c r="AH1047" s="5">
        <v>0</v>
      </c>
      <c r="AI1047" s="5">
        <v>1</v>
      </c>
      <c r="AJ1047" s="5">
        <v>0</v>
      </c>
      <c r="AK1047" s="5">
        <v>1</v>
      </c>
      <c r="AL1047" s="5">
        <v>0</v>
      </c>
      <c r="AM1047" s="13"/>
      <c r="AN1047" s="13"/>
      <c r="AO1047" s="3">
        <v>4</v>
      </c>
      <c r="AP1047" s="5"/>
      <c r="AQ1047" s="5"/>
      <c r="AR1047" s="5">
        <v>0</v>
      </c>
      <c r="AS1047" s="5">
        <v>0</v>
      </c>
      <c r="AT1047" s="5"/>
      <c r="AU1047" s="5"/>
      <c r="AV1047" s="5"/>
      <c r="AW1047" s="5"/>
      <c r="AX1047" s="5">
        <v>0</v>
      </c>
      <c r="AY1047" s="5">
        <v>0</v>
      </c>
      <c r="AZ1047" s="5">
        <v>1</v>
      </c>
      <c r="BA1047" s="5">
        <v>0</v>
      </c>
    </row>
    <row r="1048" spans="1:53" s="41" customFormat="1" x14ac:dyDescent="0.2">
      <c r="A1048" s="41" t="s">
        <v>203</v>
      </c>
      <c r="B1048" s="14" t="str">
        <f t="shared" si="301"/>
        <v>Jensen &amp; Traeger 2013</v>
      </c>
      <c r="C1048" s="61">
        <f t="shared" si="302"/>
        <v>89</v>
      </c>
      <c r="D1048" s="58">
        <v>2013</v>
      </c>
      <c r="E1048" s="38" t="s">
        <v>228</v>
      </c>
      <c r="F1048" s="58">
        <v>0</v>
      </c>
      <c r="G1048" s="5">
        <v>2005</v>
      </c>
      <c r="H1048" s="44">
        <f>LOOKUP(G1048,CPI!A$69:A$100,CPI!O$69:O$100)</f>
        <v>1.1165181771633383</v>
      </c>
      <c r="I1048" s="52">
        <v>2014</v>
      </c>
      <c r="J1048" s="43"/>
      <c r="K1048" s="43"/>
      <c r="L1048" s="57"/>
      <c r="M1048" s="56">
        <f>AA1048*H1048*(1+$L$2)^(2015-I1048)</f>
        <v>46.011974134695237</v>
      </c>
      <c r="N1048" s="41">
        <f>10.9*3.66666666666667</f>
        <v>39.966666666666704</v>
      </c>
      <c r="P1048" s="5">
        <v>0</v>
      </c>
      <c r="Q1048" s="5">
        <v>1</v>
      </c>
      <c r="R1048" s="5">
        <v>0</v>
      </c>
      <c r="T1048" s="56"/>
      <c r="U1048" s="77"/>
      <c r="V1048" s="77"/>
      <c r="AA1048" s="49">
        <f t="shared" ref="AA1048:AA1051" si="306">+N1048</f>
        <v>39.966666666666704</v>
      </c>
      <c r="AF1048" s="5">
        <v>1</v>
      </c>
      <c r="AG1048" s="5">
        <v>1</v>
      </c>
      <c r="AH1048" s="5">
        <v>1</v>
      </c>
      <c r="AI1048" s="5">
        <v>1</v>
      </c>
      <c r="AJ1048" s="5">
        <v>0</v>
      </c>
      <c r="AK1048" s="5">
        <v>1</v>
      </c>
      <c r="AL1048" s="5">
        <v>0</v>
      </c>
      <c r="AM1048" s="13"/>
      <c r="AN1048" s="13">
        <v>1.5</v>
      </c>
      <c r="AO1048" s="5">
        <v>2</v>
      </c>
      <c r="AP1048" s="5"/>
      <c r="AQ1048" s="5"/>
      <c r="AR1048" s="5">
        <v>0</v>
      </c>
      <c r="AS1048" s="5">
        <v>0</v>
      </c>
      <c r="AT1048" s="5"/>
      <c r="AU1048" s="5">
        <v>3</v>
      </c>
      <c r="AV1048" s="5"/>
      <c r="AW1048" s="5"/>
      <c r="AX1048" s="5">
        <v>0</v>
      </c>
      <c r="AY1048" s="5">
        <v>0</v>
      </c>
      <c r="AZ1048" s="5">
        <v>0</v>
      </c>
      <c r="BA1048" s="5">
        <v>1</v>
      </c>
    </row>
    <row r="1049" spans="1:53" s="41" customFormat="1" x14ac:dyDescent="0.2">
      <c r="A1049" s="41" t="s">
        <v>229</v>
      </c>
      <c r="B1049" s="14" t="str">
        <f t="shared" si="301"/>
        <v>Lintunen &amp; Vilmi 2013</v>
      </c>
      <c r="C1049" s="61">
        <f t="shared" si="302"/>
        <v>90</v>
      </c>
      <c r="D1049" s="58">
        <v>2013</v>
      </c>
      <c r="E1049" s="38" t="s">
        <v>230</v>
      </c>
      <c r="F1049" s="58">
        <v>0</v>
      </c>
      <c r="G1049" s="5">
        <v>2010</v>
      </c>
      <c r="H1049" s="44">
        <f>LOOKUP(G1049,CPI!A$69:A$100,CPI!O$69:O$100)</f>
        <v>1</v>
      </c>
      <c r="I1049" s="52">
        <v>2013</v>
      </c>
      <c r="J1049" s="43"/>
      <c r="K1049" s="43"/>
      <c r="L1049" s="57"/>
      <c r="M1049" s="56">
        <f>AA1049*H1049*(1+$L$2)^(2015-I1049)</f>
        <v>116.56197575383956</v>
      </c>
      <c r="N1049" s="41">
        <f>29.9*(44/12)</f>
        <v>109.63333333333333</v>
      </c>
      <c r="P1049" s="5">
        <v>0</v>
      </c>
      <c r="Q1049" s="5">
        <v>1</v>
      </c>
      <c r="R1049" s="5">
        <v>0</v>
      </c>
      <c r="T1049" s="56"/>
      <c r="U1049" s="77"/>
      <c r="V1049" s="77"/>
      <c r="AA1049" s="49">
        <f t="shared" si="306"/>
        <v>109.63333333333333</v>
      </c>
      <c r="AF1049" s="5">
        <v>1</v>
      </c>
      <c r="AG1049" s="5">
        <v>1</v>
      </c>
      <c r="AH1049" s="5">
        <v>1</v>
      </c>
      <c r="AI1049" s="5">
        <v>0</v>
      </c>
      <c r="AJ1049" s="5">
        <v>0</v>
      </c>
      <c r="AK1049" s="5">
        <v>0</v>
      </c>
      <c r="AL1049" s="5">
        <v>0</v>
      </c>
      <c r="AM1049" s="13"/>
      <c r="AN1049" s="13">
        <v>0.995</v>
      </c>
      <c r="AO1049" s="5"/>
      <c r="AP1049" s="5"/>
      <c r="AQ1049" s="3">
        <v>1</v>
      </c>
      <c r="AR1049" s="5"/>
      <c r="AS1049" s="5"/>
      <c r="AT1049" s="5"/>
      <c r="AU1049" s="5">
        <v>3</v>
      </c>
      <c r="AV1049" s="5"/>
      <c r="AW1049" s="5"/>
      <c r="AX1049" s="5">
        <v>0</v>
      </c>
      <c r="AY1049" s="5">
        <v>0</v>
      </c>
      <c r="AZ1049" s="5">
        <v>0</v>
      </c>
      <c r="BA1049" s="5">
        <v>1</v>
      </c>
    </row>
    <row r="1050" spans="1:53" s="41" customFormat="1" x14ac:dyDescent="0.2">
      <c r="A1050" s="41" t="s">
        <v>231</v>
      </c>
      <c r="B1050" s="14" t="str">
        <f t="shared" si="301"/>
        <v>Moyer et al. 2013</v>
      </c>
      <c r="C1050" s="61">
        <f t="shared" si="302"/>
        <v>91</v>
      </c>
      <c r="D1050" s="58">
        <v>2013</v>
      </c>
      <c r="E1050" s="38" t="s">
        <v>232</v>
      </c>
      <c r="F1050" s="58">
        <v>0</v>
      </c>
      <c r="G1050" s="5">
        <v>2007</v>
      </c>
      <c r="H1050" s="44">
        <f>LOOKUP(G1050,CPI!A$69:A$100,CPI!O$69:O$100)</f>
        <v>1.0516730811895323</v>
      </c>
      <c r="I1050" s="52">
        <v>2010</v>
      </c>
      <c r="J1050" s="43"/>
      <c r="K1050" s="43"/>
      <c r="L1050" s="57"/>
      <c r="M1050" s="56">
        <f>AA1050*H1050*(1+$L$2)^(2015-I1050)</f>
        <v>71.91307747711393</v>
      </c>
      <c r="N1050" s="41">
        <f>16*44/12</f>
        <v>58.666666666666664</v>
      </c>
      <c r="P1050" s="5">
        <v>0</v>
      </c>
      <c r="Q1050" s="5">
        <v>1</v>
      </c>
      <c r="R1050" s="5">
        <v>0</v>
      </c>
      <c r="T1050" s="56"/>
      <c r="U1050" s="77"/>
      <c r="V1050" s="77"/>
      <c r="AA1050" s="49">
        <f t="shared" si="306"/>
        <v>58.666666666666664</v>
      </c>
      <c r="AF1050" s="5">
        <v>0</v>
      </c>
      <c r="AG1050" s="5">
        <v>1</v>
      </c>
      <c r="AH1050" s="5">
        <v>0</v>
      </c>
      <c r="AI1050" s="5">
        <v>1</v>
      </c>
      <c r="AJ1050" s="5">
        <v>0</v>
      </c>
      <c r="AK1050" s="5">
        <v>1</v>
      </c>
      <c r="AL1050" s="5">
        <v>0</v>
      </c>
      <c r="AM1050" s="13"/>
      <c r="AN1050" s="13">
        <v>1</v>
      </c>
      <c r="AO1050" s="5">
        <v>2</v>
      </c>
      <c r="AP1050" s="5"/>
      <c r="AQ1050" s="3"/>
      <c r="AR1050" s="5"/>
      <c r="AS1050" s="5"/>
      <c r="AT1050" s="5"/>
      <c r="AU1050" s="5"/>
      <c r="AV1050" s="5"/>
      <c r="AW1050" s="5"/>
      <c r="AX1050" s="5">
        <v>0</v>
      </c>
      <c r="AY1050" s="5">
        <v>0</v>
      </c>
      <c r="AZ1050" s="5">
        <v>0</v>
      </c>
      <c r="BA1050" s="5">
        <v>0</v>
      </c>
    </row>
    <row r="1051" spans="1:53" s="41" customFormat="1" x14ac:dyDescent="0.2">
      <c r="B1051" s="14" t="str">
        <f t="shared" si="301"/>
        <v>Moyer et al. 2013</v>
      </c>
      <c r="C1051" s="61">
        <f t="shared" si="302"/>
        <v>91</v>
      </c>
      <c r="D1051" s="58">
        <v>2013</v>
      </c>
      <c r="E1051" s="38"/>
      <c r="F1051" s="58">
        <v>0</v>
      </c>
      <c r="G1051" s="5">
        <v>2007</v>
      </c>
      <c r="H1051" s="44">
        <f>LOOKUP(G1051,CPI!A$69:A$100,CPI!O$69:O$100)</f>
        <v>1.0516730811895323</v>
      </c>
      <c r="I1051" s="52">
        <v>2010</v>
      </c>
      <c r="J1051" s="43"/>
      <c r="K1051" s="43"/>
      <c r="L1051" s="57"/>
      <c r="M1051" s="56">
        <f>AA1051*H1051*(1+$L$2)^(2015-I1051)</f>
        <v>943.85914188712047</v>
      </c>
      <c r="N1051" s="41">
        <f>210*44/12</f>
        <v>770</v>
      </c>
      <c r="P1051" s="5">
        <v>0</v>
      </c>
      <c r="Q1051" s="5">
        <v>1</v>
      </c>
      <c r="R1051" s="5">
        <v>0</v>
      </c>
      <c r="T1051" s="56"/>
      <c r="U1051" s="77"/>
      <c r="V1051" s="77"/>
      <c r="AA1051" s="49">
        <f t="shared" si="306"/>
        <v>770</v>
      </c>
      <c r="AF1051" s="5">
        <v>0</v>
      </c>
      <c r="AG1051" s="5">
        <v>1</v>
      </c>
      <c r="AH1051" s="5">
        <v>0</v>
      </c>
      <c r="AI1051" s="5">
        <v>1</v>
      </c>
      <c r="AJ1051" s="5">
        <v>0</v>
      </c>
      <c r="AK1051" s="5">
        <v>1</v>
      </c>
      <c r="AL1051" s="5">
        <v>0</v>
      </c>
      <c r="AM1051" s="13"/>
      <c r="AN1051" s="13">
        <v>0.1</v>
      </c>
      <c r="AO1051" s="5">
        <v>1</v>
      </c>
      <c r="AP1051" s="5"/>
      <c r="AQ1051" s="3"/>
      <c r="AR1051" s="5"/>
      <c r="AS1051" s="5"/>
      <c r="AT1051" s="5"/>
      <c r="AU1051" s="5"/>
      <c r="AV1051" s="5"/>
      <c r="AW1051" s="5"/>
      <c r="AX1051" s="5">
        <v>0</v>
      </c>
      <c r="AY1051" s="5">
        <v>0</v>
      </c>
      <c r="AZ1051" s="5">
        <v>0</v>
      </c>
      <c r="BA1051" s="5">
        <v>0</v>
      </c>
    </row>
    <row r="1052" spans="1:53" s="41" customFormat="1" x14ac:dyDescent="0.2">
      <c r="A1052" s="41" t="s">
        <v>208</v>
      </c>
      <c r="B1052" s="14" t="str">
        <f t="shared" si="301"/>
        <v>Newbold et al. 2013</v>
      </c>
      <c r="C1052" s="61">
        <f t="shared" si="302"/>
        <v>92</v>
      </c>
      <c r="D1052" s="58">
        <v>2013</v>
      </c>
      <c r="E1052" s="38" t="s">
        <v>210</v>
      </c>
      <c r="F1052" s="58">
        <v>1</v>
      </c>
      <c r="G1052" s="5">
        <v>2005</v>
      </c>
      <c r="H1052" s="44">
        <f>LOOKUP(G1052,CPI!A$69:A$100,CPI!O$69:O$100)</f>
        <v>1.1165181771633383</v>
      </c>
      <c r="I1052" s="5">
        <v>2005</v>
      </c>
      <c r="J1052" s="43"/>
      <c r="K1052" s="43"/>
      <c r="L1052" s="57"/>
      <c r="M1052" s="56"/>
      <c r="N1052" s="49">
        <f>+O1052</f>
        <v>44</v>
      </c>
      <c r="O1052" s="41">
        <f>12*(44/12)</f>
        <v>44</v>
      </c>
      <c r="P1052" s="5">
        <v>0</v>
      </c>
      <c r="Q1052" s="5">
        <v>0</v>
      </c>
      <c r="R1052" s="5">
        <v>1</v>
      </c>
      <c r="T1052" s="56"/>
      <c r="U1052" s="77"/>
      <c r="V1052" s="77"/>
      <c r="AA1052" s="3">
        <f>12*(44/12)</f>
        <v>44</v>
      </c>
      <c r="AF1052" s="5">
        <v>1</v>
      </c>
      <c r="AG1052" s="5">
        <v>1</v>
      </c>
      <c r="AH1052" s="5">
        <v>1</v>
      </c>
      <c r="AI1052" s="5">
        <v>1</v>
      </c>
      <c r="AJ1052" s="5">
        <v>0</v>
      </c>
      <c r="AK1052" s="5">
        <v>0</v>
      </c>
      <c r="AL1052" s="5">
        <v>0</v>
      </c>
      <c r="AM1052" s="13">
        <v>4.7</v>
      </c>
      <c r="AN1052" s="13">
        <v>1.34</v>
      </c>
      <c r="AO1052" s="3">
        <v>1.71</v>
      </c>
      <c r="AP1052" s="5"/>
      <c r="AQ1052" s="5"/>
      <c r="AR1052" s="5"/>
      <c r="AS1052" s="5"/>
      <c r="AT1052" s="5"/>
      <c r="AU1052" s="5"/>
      <c r="AV1052" s="5"/>
      <c r="AW1052" s="5"/>
      <c r="AX1052" s="5">
        <v>0</v>
      </c>
      <c r="AY1052" s="5">
        <v>0</v>
      </c>
      <c r="AZ1052" s="5">
        <v>0</v>
      </c>
      <c r="BA1052" s="5">
        <v>0</v>
      </c>
    </row>
    <row r="1053" spans="1:53" s="41" customFormat="1" x14ac:dyDescent="0.2">
      <c r="B1053" s="14" t="str">
        <f t="shared" si="301"/>
        <v>Newbold et al. 2013</v>
      </c>
      <c r="C1053" s="61">
        <f t="shared" si="302"/>
        <v>92</v>
      </c>
      <c r="D1053" s="58">
        <v>2013</v>
      </c>
      <c r="E1053" s="38"/>
      <c r="F1053" s="58">
        <v>1</v>
      </c>
      <c r="G1053" s="5">
        <v>2005</v>
      </c>
      <c r="H1053" s="44">
        <f>LOOKUP(G1053,CPI!A$69:A$100,CPI!O$69:O$100)</f>
        <v>1.1165181771633383</v>
      </c>
      <c r="I1053" s="52">
        <v>2015</v>
      </c>
      <c r="J1053" s="43"/>
      <c r="K1053" s="43">
        <v>0.33333333333333331</v>
      </c>
      <c r="L1053" s="57">
        <v>0.02</v>
      </c>
      <c r="M1053" s="56">
        <f>AA1053*H1053*(1+$L$2)^(2015-I1053)</f>
        <v>61.408499743983612</v>
      </c>
      <c r="N1053" s="49">
        <f t="shared" ref="N1053:N1064" si="307">+O1053</f>
        <v>58.666666666666664</v>
      </c>
      <c r="O1053" s="41">
        <f>16*(44/12)</f>
        <v>58.666666666666664</v>
      </c>
      <c r="P1053" s="5">
        <v>0</v>
      </c>
      <c r="Q1053" s="5">
        <v>0</v>
      </c>
      <c r="R1053" s="5">
        <v>1</v>
      </c>
      <c r="T1053" s="56"/>
      <c r="U1053" s="77"/>
      <c r="V1053" s="77"/>
      <c r="AA1053" s="3">
        <f>15*(44/12)</f>
        <v>55</v>
      </c>
      <c r="AF1053" s="5">
        <v>1</v>
      </c>
      <c r="AG1053" s="5">
        <v>1</v>
      </c>
      <c r="AH1053" s="5">
        <v>1</v>
      </c>
      <c r="AI1053" s="5">
        <v>1</v>
      </c>
      <c r="AJ1053" s="5">
        <v>0</v>
      </c>
      <c r="AK1053" s="5">
        <v>0</v>
      </c>
      <c r="AL1053" s="5">
        <v>0</v>
      </c>
      <c r="AM1053" s="13">
        <v>4.7</v>
      </c>
      <c r="AN1053" s="13">
        <v>1.34</v>
      </c>
      <c r="AO1053" s="3">
        <v>1.71</v>
      </c>
      <c r="AP1053" s="5"/>
      <c r="AQ1053" s="5"/>
      <c r="AR1053" s="5"/>
      <c r="AS1053" s="5"/>
      <c r="AT1053" s="5"/>
      <c r="AU1053" s="5"/>
      <c r="AV1053" s="5"/>
      <c r="AW1053" s="5"/>
      <c r="AX1053" s="5">
        <v>0</v>
      </c>
      <c r="AY1053" s="5">
        <v>0</v>
      </c>
      <c r="AZ1053" s="5">
        <v>0</v>
      </c>
      <c r="BA1053" s="5">
        <v>0</v>
      </c>
    </row>
    <row r="1054" spans="1:53" s="41" customFormat="1" x14ac:dyDescent="0.2">
      <c r="B1054" s="14" t="str">
        <f t="shared" si="301"/>
        <v>Newbold et al. 2013</v>
      </c>
      <c r="C1054" s="61">
        <f t="shared" si="302"/>
        <v>92</v>
      </c>
      <c r="D1054" s="58">
        <v>2013</v>
      </c>
      <c r="E1054" s="38"/>
      <c r="F1054" s="58">
        <v>1</v>
      </c>
      <c r="G1054" s="5">
        <v>2005</v>
      </c>
      <c r="H1054" s="44">
        <f>LOOKUP(G1054,CPI!A$69:A$100,CPI!O$69:O$100)</f>
        <v>1.1165181771633383</v>
      </c>
      <c r="I1054" s="5">
        <v>2025</v>
      </c>
      <c r="J1054" s="43"/>
      <c r="K1054" s="43"/>
      <c r="L1054" s="57"/>
      <c r="M1054" s="56"/>
      <c r="N1054" s="49">
        <f t="shared" si="307"/>
        <v>73.333333333333329</v>
      </c>
      <c r="O1054" s="41">
        <f>20*(44/12)</f>
        <v>73.333333333333329</v>
      </c>
      <c r="P1054" s="5">
        <v>0</v>
      </c>
      <c r="Q1054" s="5">
        <v>0</v>
      </c>
      <c r="R1054" s="5">
        <v>1</v>
      </c>
      <c r="T1054" s="56"/>
      <c r="U1054" s="77"/>
      <c r="V1054" s="77"/>
      <c r="AA1054" s="3">
        <f>19*(44/12)</f>
        <v>69.666666666666657</v>
      </c>
      <c r="AF1054" s="5">
        <v>1</v>
      </c>
      <c r="AG1054" s="5">
        <v>1</v>
      </c>
      <c r="AH1054" s="5">
        <v>1</v>
      </c>
      <c r="AI1054" s="5">
        <v>1</v>
      </c>
      <c r="AJ1054" s="5">
        <v>0</v>
      </c>
      <c r="AK1054" s="5">
        <v>0</v>
      </c>
      <c r="AL1054" s="5">
        <v>0</v>
      </c>
      <c r="AM1054" s="13">
        <v>4.7</v>
      </c>
      <c r="AN1054" s="13">
        <v>1.34</v>
      </c>
      <c r="AO1054" s="3">
        <v>1.71</v>
      </c>
      <c r="AP1054" s="5"/>
      <c r="AQ1054" s="5"/>
      <c r="AR1054" s="5"/>
      <c r="AS1054" s="5"/>
      <c r="AT1054" s="5"/>
      <c r="AU1054" s="5"/>
      <c r="AV1054" s="5"/>
      <c r="AW1054" s="5"/>
      <c r="AX1054" s="5">
        <v>0</v>
      </c>
      <c r="AY1054" s="5">
        <v>0</v>
      </c>
      <c r="AZ1054" s="5">
        <v>0</v>
      </c>
      <c r="BA1054" s="5">
        <v>0</v>
      </c>
    </row>
    <row r="1055" spans="1:53" s="41" customFormat="1" x14ac:dyDescent="0.2">
      <c r="B1055" s="14" t="str">
        <f t="shared" si="301"/>
        <v>Newbold et al. 2013</v>
      </c>
      <c r="C1055" s="61">
        <f t="shared" si="302"/>
        <v>92</v>
      </c>
      <c r="D1055" s="58">
        <v>2013</v>
      </c>
      <c r="E1055" s="38"/>
      <c r="F1055" s="58">
        <v>1</v>
      </c>
      <c r="G1055" s="5">
        <v>2005</v>
      </c>
      <c r="H1055" s="44">
        <f>LOOKUP(G1055,CPI!A$69:A$100,CPI!O$69:O$100)</f>
        <v>1.1165181771633383</v>
      </c>
      <c r="I1055" s="5">
        <v>2035</v>
      </c>
      <c r="J1055" s="43"/>
      <c r="K1055" s="43"/>
      <c r="L1055" s="57"/>
      <c r="M1055" s="56"/>
      <c r="N1055" s="49">
        <f t="shared" si="307"/>
        <v>91.666666666666657</v>
      </c>
      <c r="O1055" s="41">
        <f>25*(44/12)</f>
        <v>91.666666666666657</v>
      </c>
      <c r="P1055" s="5">
        <v>0</v>
      </c>
      <c r="Q1055" s="5">
        <v>0</v>
      </c>
      <c r="R1055" s="5">
        <v>1</v>
      </c>
      <c r="T1055" s="56"/>
      <c r="U1055" s="77"/>
      <c r="V1055" s="77"/>
      <c r="AA1055" s="3">
        <f>24*(44/12)</f>
        <v>88</v>
      </c>
      <c r="AF1055" s="5">
        <v>1</v>
      </c>
      <c r="AG1055" s="5">
        <v>1</v>
      </c>
      <c r="AH1055" s="5">
        <v>1</v>
      </c>
      <c r="AI1055" s="5">
        <v>1</v>
      </c>
      <c r="AJ1055" s="5">
        <v>0</v>
      </c>
      <c r="AK1055" s="5">
        <v>0</v>
      </c>
      <c r="AL1055" s="5">
        <v>0</v>
      </c>
      <c r="AM1055" s="13">
        <v>4.5999999999999996</v>
      </c>
      <c r="AN1055" s="13">
        <v>1.34</v>
      </c>
      <c r="AO1055" s="3">
        <v>1.71</v>
      </c>
      <c r="AP1055" s="5"/>
      <c r="AQ1055" s="5"/>
      <c r="AR1055" s="5"/>
      <c r="AS1055" s="5"/>
      <c r="AT1055" s="5"/>
      <c r="AU1055" s="5"/>
      <c r="AV1055" s="5"/>
      <c r="AW1055" s="5"/>
      <c r="AX1055" s="5">
        <v>0</v>
      </c>
      <c r="AY1055" s="5">
        <v>0</v>
      </c>
      <c r="AZ1055" s="5">
        <v>0</v>
      </c>
      <c r="BA1055" s="5">
        <v>0</v>
      </c>
    </row>
    <row r="1056" spans="1:53" s="41" customFormat="1" x14ac:dyDescent="0.2">
      <c r="B1056" s="14" t="str">
        <f t="shared" si="301"/>
        <v>Newbold et al. 2013</v>
      </c>
      <c r="C1056" s="61">
        <f t="shared" si="302"/>
        <v>92</v>
      </c>
      <c r="D1056" s="58">
        <v>2013</v>
      </c>
      <c r="E1056" s="38"/>
      <c r="F1056" s="58">
        <v>1</v>
      </c>
      <c r="G1056" s="5">
        <v>2005</v>
      </c>
      <c r="H1056" s="44">
        <f>LOOKUP(G1056,CPI!A$69:A$100,CPI!O$69:O$100)</f>
        <v>1.1165181771633383</v>
      </c>
      <c r="I1056" s="5">
        <v>2045</v>
      </c>
      <c r="J1056" s="43"/>
      <c r="K1056" s="43"/>
      <c r="L1056" s="57"/>
      <c r="M1056" s="56"/>
      <c r="N1056" s="49">
        <f t="shared" si="307"/>
        <v>106.33333333333333</v>
      </c>
      <c r="O1056" s="41">
        <f>29*(44/12)</f>
        <v>106.33333333333333</v>
      </c>
      <c r="P1056" s="5">
        <v>0</v>
      </c>
      <c r="Q1056" s="5">
        <v>0</v>
      </c>
      <c r="R1056" s="5">
        <v>1</v>
      </c>
      <c r="T1056" s="56"/>
      <c r="U1056" s="77"/>
      <c r="V1056" s="77"/>
      <c r="AA1056" s="3">
        <f>28*(44/12)</f>
        <v>102.66666666666666</v>
      </c>
      <c r="AF1056" s="5">
        <v>1</v>
      </c>
      <c r="AG1056" s="5">
        <v>1</v>
      </c>
      <c r="AH1056" s="5">
        <v>1</v>
      </c>
      <c r="AI1056" s="5">
        <v>1</v>
      </c>
      <c r="AJ1056" s="5">
        <v>0</v>
      </c>
      <c r="AK1056" s="5">
        <v>0</v>
      </c>
      <c r="AL1056" s="5">
        <v>0</v>
      </c>
      <c r="AM1056" s="13">
        <v>4.5999999999999996</v>
      </c>
      <c r="AN1056" s="13">
        <v>1.34</v>
      </c>
      <c r="AO1056" s="3">
        <v>1.71</v>
      </c>
      <c r="AP1056" s="5"/>
      <c r="AQ1056" s="5"/>
      <c r="AR1056" s="5"/>
      <c r="AS1056" s="5"/>
      <c r="AT1056" s="5"/>
      <c r="AU1056" s="5"/>
      <c r="AV1056" s="5"/>
      <c r="AW1056" s="5"/>
      <c r="AX1056" s="5">
        <v>0</v>
      </c>
      <c r="AY1056" s="5">
        <v>0</v>
      </c>
      <c r="AZ1056" s="5">
        <v>0</v>
      </c>
      <c r="BA1056" s="5">
        <v>0</v>
      </c>
    </row>
    <row r="1057" spans="1:53" s="41" customFormat="1" x14ac:dyDescent="0.2">
      <c r="B1057" s="14" t="str">
        <f t="shared" si="301"/>
        <v>Newbold et al. 2013</v>
      </c>
      <c r="C1057" s="61">
        <f t="shared" si="302"/>
        <v>92</v>
      </c>
      <c r="D1057" s="58">
        <v>2013</v>
      </c>
      <c r="E1057" s="38"/>
      <c r="F1057" s="58">
        <v>1</v>
      </c>
      <c r="G1057" s="5">
        <v>2005</v>
      </c>
      <c r="H1057" s="44">
        <f>LOOKUP(G1057,CPI!A$69:A$100,CPI!O$69:O$100)</f>
        <v>1.1165181771633383</v>
      </c>
      <c r="I1057" s="5">
        <v>2055</v>
      </c>
      <c r="J1057" s="43"/>
      <c r="K1057" s="43"/>
      <c r="L1057" s="57"/>
      <c r="M1057" s="56"/>
      <c r="N1057" s="49">
        <f t="shared" si="307"/>
        <v>124.66666666666666</v>
      </c>
      <c r="O1057" s="41">
        <f>34*(44/12)</f>
        <v>124.66666666666666</v>
      </c>
      <c r="P1057" s="5">
        <v>0</v>
      </c>
      <c r="Q1057" s="5">
        <v>0</v>
      </c>
      <c r="R1057" s="5">
        <v>1</v>
      </c>
      <c r="T1057" s="56"/>
      <c r="U1057" s="77"/>
      <c r="V1057" s="77"/>
      <c r="AA1057" s="3">
        <f>34*(44/12)</f>
        <v>124.66666666666666</v>
      </c>
      <c r="AF1057" s="5">
        <v>1</v>
      </c>
      <c r="AG1057" s="5">
        <v>1</v>
      </c>
      <c r="AH1057" s="5">
        <v>1</v>
      </c>
      <c r="AI1057" s="5">
        <v>1</v>
      </c>
      <c r="AJ1057" s="5">
        <v>0</v>
      </c>
      <c r="AK1057" s="5">
        <v>0</v>
      </c>
      <c r="AL1057" s="5">
        <v>0</v>
      </c>
      <c r="AM1057" s="13">
        <v>4.5</v>
      </c>
      <c r="AN1057" s="13">
        <v>1.34</v>
      </c>
      <c r="AO1057" s="3">
        <v>1.71</v>
      </c>
      <c r="AP1057" s="5"/>
      <c r="AQ1057" s="5"/>
      <c r="AR1057" s="5"/>
      <c r="AS1057" s="5"/>
      <c r="AT1057" s="5"/>
      <c r="AU1057" s="5"/>
      <c r="AV1057" s="5"/>
      <c r="AW1057" s="5"/>
      <c r="AX1057" s="5">
        <v>0</v>
      </c>
      <c r="AY1057" s="5">
        <v>0</v>
      </c>
      <c r="AZ1057" s="5">
        <v>0</v>
      </c>
      <c r="BA1057" s="5">
        <v>0</v>
      </c>
    </row>
    <row r="1058" spans="1:53" s="41" customFormat="1" x14ac:dyDescent="0.2">
      <c r="B1058" s="14" t="str">
        <f t="shared" si="301"/>
        <v>Newbold et al. 2013</v>
      </c>
      <c r="C1058" s="61">
        <f t="shared" si="302"/>
        <v>92</v>
      </c>
      <c r="D1058" s="58">
        <v>2013</v>
      </c>
      <c r="E1058" s="38"/>
      <c r="F1058" s="58">
        <v>1</v>
      </c>
      <c r="G1058" s="5">
        <v>2005</v>
      </c>
      <c r="H1058" s="44">
        <f>LOOKUP(G1058,CPI!A$69:A$100,CPI!O$69:O$100)</f>
        <v>1.1165181771633383</v>
      </c>
      <c r="I1058" s="5">
        <v>2005</v>
      </c>
      <c r="J1058" s="43"/>
      <c r="K1058" s="43"/>
      <c r="L1058" s="57"/>
      <c r="M1058" s="56"/>
      <c r="N1058" s="49">
        <f t="shared" si="307"/>
        <v>319</v>
      </c>
      <c r="O1058" s="41">
        <f>87*(44/12)</f>
        <v>319</v>
      </c>
      <c r="P1058" s="5">
        <v>0</v>
      </c>
      <c r="Q1058" s="5">
        <v>0</v>
      </c>
      <c r="R1058" s="5">
        <v>1</v>
      </c>
      <c r="T1058" s="56"/>
      <c r="U1058" s="77"/>
      <c r="V1058" s="77"/>
      <c r="AA1058" s="3">
        <f t="shared" ref="AA1058:AA1063" si="308">+O105</f>
        <v>5.5</v>
      </c>
      <c r="AF1058" s="5">
        <v>1</v>
      </c>
      <c r="AG1058" s="5">
        <v>1</v>
      </c>
      <c r="AH1058" s="5">
        <v>1</v>
      </c>
      <c r="AI1058" s="5">
        <v>1</v>
      </c>
      <c r="AJ1058" s="5">
        <v>0</v>
      </c>
      <c r="AK1058" s="5">
        <v>0</v>
      </c>
      <c r="AL1058" s="5">
        <v>0</v>
      </c>
      <c r="AM1058" s="13">
        <v>2.8000000000000003</v>
      </c>
      <c r="AN1058" s="13">
        <v>1.34</v>
      </c>
      <c r="AO1058" s="3">
        <v>1.71</v>
      </c>
      <c r="AP1058" s="5"/>
      <c r="AQ1058" s="5"/>
      <c r="AR1058" s="5"/>
      <c r="AS1058" s="5"/>
      <c r="AT1058" s="5"/>
      <c r="AU1058" s="5"/>
      <c r="AV1058" s="5"/>
      <c r="AW1058" s="5"/>
      <c r="AX1058" s="5">
        <v>0</v>
      </c>
      <c r="AY1058" s="5">
        <v>0</v>
      </c>
      <c r="AZ1058" s="5">
        <v>0</v>
      </c>
      <c r="BA1058" s="5">
        <v>0</v>
      </c>
    </row>
    <row r="1059" spans="1:53" s="41" customFormat="1" x14ac:dyDescent="0.2">
      <c r="B1059" s="14" t="str">
        <f t="shared" si="301"/>
        <v>Newbold et al. 2013</v>
      </c>
      <c r="C1059" s="61">
        <f t="shared" si="302"/>
        <v>92</v>
      </c>
      <c r="D1059" s="58">
        <v>2013</v>
      </c>
      <c r="E1059" s="38"/>
      <c r="F1059" s="58">
        <v>1</v>
      </c>
      <c r="G1059" s="5">
        <v>2005</v>
      </c>
      <c r="H1059" s="44">
        <f>LOOKUP(G1059,CPI!A$69:A$100,CPI!O$69:O$100)</f>
        <v>1.1165181771633383</v>
      </c>
      <c r="I1059" s="52">
        <v>2015</v>
      </c>
      <c r="J1059" s="43"/>
      <c r="K1059" s="43">
        <v>0.33333333333333331</v>
      </c>
      <c r="L1059" s="57">
        <v>0.02</v>
      </c>
      <c r="M1059" s="56">
        <f>AA1059*H1059*(1+$L$2)^(2015-I1059)</f>
        <v>17.417683563748078</v>
      </c>
      <c r="N1059" s="49">
        <f t="shared" si="307"/>
        <v>403.33333333333331</v>
      </c>
      <c r="O1059" s="41">
        <f>110*(44/12)</f>
        <v>403.33333333333331</v>
      </c>
      <c r="P1059" s="5">
        <v>0</v>
      </c>
      <c r="Q1059" s="5">
        <v>0</v>
      </c>
      <c r="R1059" s="5">
        <v>1</v>
      </c>
      <c r="T1059" s="56"/>
      <c r="U1059" s="77"/>
      <c r="V1059" s="77"/>
      <c r="AA1059" s="3">
        <f t="shared" si="308"/>
        <v>15.6</v>
      </c>
      <c r="AF1059" s="5">
        <v>1</v>
      </c>
      <c r="AG1059" s="5">
        <v>1</v>
      </c>
      <c r="AH1059" s="5">
        <v>1</v>
      </c>
      <c r="AI1059" s="5">
        <v>1</v>
      </c>
      <c r="AJ1059" s="5">
        <v>0</v>
      </c>
      <c r="AK1059" s="5">
        <v>0</v>
      </c>
      <c r="AL1059" s="5">
        <v>0</v>
      </c>
      <c r="AM1059" s="13">
        <v>2.8000000000000003</v>
      </c>
      <c r="AN1059" s="13">
        <v>1.34</v>
      </c>
      <c r="AO1059" s="3">
        <v>1.71</v>
      </c>
      <c r="AP1059" s="5"/>
      <c r="AQ1059" s="5"/>
      <c r="AR1059" s="5"/>
      <c r="AS1059" s="5"/>
      <c r="AT1059" s="5"/>
      <c r="AU1059" s="5"/>
      <c r="AV1059" s="5"/>
      <c r="AW1059" s="5"/>
      <c r="AX1059" s="5">
        <v>0</v>
      </c>
      <c r="AY1059" s="5">
        <v>0</v>
      </c>
      <c r="AZ1059" s="5">
        <v>0</v>
      </c>
      <c r="BA1059" s="5">
        <v>0</v>
      </c>
    </row>
    <row r="1060" spans="1:53" s="41" customFormat="1" x14ac:dyDescent="0.2">
      <c r="B1060" s="14" t="str">
        <f t="shared" si="301"/>
        <v>Newbold et al. 2013</v>
      </c>
      <c r="C1060" s="61">
        <f t="shared" si="302"/>
        <v>92</v>
      </c>
      <c r="D1060" s="58">
        <v>2013</v>
      </c>
      <c r="E1060" s="38"/>
      <c r="F1060" s="58">
        <v>1</v>
      </c>
      <c r="G1060" s="5">
        <v>2005</v>
      </c>
      <c r="H1060" s="44">
        <f>LOOKUP(G1060,CPI!A$69:A$100,CPI!O$69:O$100)</f>
        <v>1.1165181771633383</v>
      </c>
      <c r="I1060" s="5">
        <v>2025</v>
      </c>
      <c r="J1060" s="43"/>
      <c r="K1060" s="43"/>
      <c r="L1060" s="57"/>
      <c r="M1060" s="56"/>
      <c r="N1060" s="49">
        <f t="shared" si="307"/>
        <v>513.33333333333326</v>
      </c>
      <c r="O1060" s="41">
        <f>140*(44/12)</f>
        <v>513.33333333333326</v>
      </c>
      <c r="P1060" s="5">
        <v>0</v>
      </c>
      <c r="Q1060" s="5">
        <v>0</v>
      </c>
      <c r="R1060" s="5">
        <v>1</v>
      </c>
      <c r="T1060" s="56"/>
      <c r="U1060" s="77"/>
      <c r="V1060" s="77"/>
      <c r="AA1060" s="3">
        <f t="shared" si="308"/>
        <v>12</v>
      </c>
      <c r="AF1060" s="5">
        <v>1</v>
      </c>
      <c r="AG1060" s="5">
        <v>1</v>
      </c>
      <c r="AH1060" s="5">
        <v>1</v>
      </c>
      <c r="AI1060" s="5">
        <v>1</v>
      </c>
      <c r="AJ1060" s="5">
        <v>0</v>
      </c>
      <c r="AK1060" s="5">
        <v>0</v>
      </c>
      <c r="AL1060" s="5">
        <v>0</v>
      </c>
      <c r="AM1060" s="13">
        <v>2.7</v>
      </c>
      <c r="AN1060" s="13">
        <v>1.34</v>
      </c>
      <c r="AO1060" s="3">
        <v>1.71</v>
      </c>
      <c r="AP1060" s="5"/>
      <c r="AQ1060" s="5"/>
      <c r="AR1060" s="5"/>
      <c r="AS1060" s="5"/>
      <c r="AT1060" s="5"/>
      <c r="AU1060" s="5"/>
      <c r="AV1060" s="5"/>
      <c r="AW1060" s="5"/>
      <c r="AX1060" s="5">
        <v>0</v>
      </c>
      <c r="AY1060" s="5">
        <v>0</v>
      </c>
      <c r="AZ1060" s="5">
        <v>0</v>
      </c>
      <c r="BA1060" s="5">
        <v>0</v>
      </c>
    </row>
    <row r="1061" spans="1:53" s="41" customFormat="1" x14ac:dyDescent="0.2">
      <c r="B1061" s="14" t="str">
        <f t="shared" si="301"/>
        <v>Newbold et al. 2013</v>
      </c>
      <c r="C1061" s="61">
        <f t="shared" si="302"/>
        <v>92</v>
      </c>
      <c r="D1061" s="58">
        <v>2013</v>
      </c>
      <c r="E1061" s="38"/>
      <c r="F1061" s="58">
        <v>1</v>
      </c>
      <c r="G1061" s="5">
        <v>2005</v>
      </c>
      <c r="H1061" s="44">
        <f>LOOKUP(G1061,CPI!A$69:A$100,CPI!O$69:O$100)</f>
        <v>1.1165181771633383</v>
      </c>
      <c r="I1061" s="5">
        <v>2035</v>
      </c>
      <c r="J1061" s="43"/>
      <c r="K1061" s="43"/>
      <c r="L1061" s="57"/>
      <c r="M1061" s="56"/>
      <c r="N1061" s="49">
        <f t="shared" si="307"/>
        <v>623.33333333333326</v>
      </c>
      <c r="O1061" s="41">
        <f>170*(44/12)</f>
        <v>623.33333333333326</v>
      </c>
      <c r="P1061" s="5">
        <v>0</v>
      </c>
      <c r="Q1061" s="5">
        <v>0</v>
      </c>
      <c r="R1061" s="5">
        <v>1</v>
      </c>
      <c r="T1061" s="56"/>
      <c r="U1061" s="77"/>
      <c r="V1061" s="77"/>
      <c r="AA1061" s="3">
        <f t="shared" si="308"/>
        <v>17.8</v>
      </c>
      <c r="AF1061" s="5">
        <v>1</v>
      </c>
      <c r="AG1061" s="5">
        <v>1</v>
      </c>
      <c r="AH1061" s="5">
        <v>1</v>
      </c>
      <c r="AI1061" s="5">
        <v>1</v>
      </c>
      <c r="AJ1061" s="5">
        <v>0</v>
      </c>
      <c r="AK1061" s="5">
        <v>0</v>
      </c>
      <c r="AL1061" s="5">
        <v>0</v>
      </c>
      <c r="AM1061" s="13">
        <v>2.7</v>
      </c>
      <c r="AN1061" s="13">
        <v>1.34</v>
      </c>
      <c r="AO1061" s="3">
        <v>1.71</v>
      </c>
      <c r="AP1061" s="5"/>
      <c r="AQ1061" s="5"/>
      <c r="AR1061" s="5"/>
      <c r="AS1061" s="5"/>
      <c r="AT1061" s="5"/>
      <c r="AU1061" s="5"/>
      <c r="AV1061" s="5"/>
      <c r="AW1061" s="5"/>
      <c r="AX1061" s="5">
        <v>0</v>
      </c>
      <c r="AY1061" s="5">
        <v>0</v>
      </c>
      <c r="AZ1061" s="5">
        <v>0</v>
      </c>
      <c r="BA1061" s="5">
        <v>0</v>
      </c>
    </row>
    <row r="1062" spans="1:53" s="41" customFormat="1" x14ac:dyDescent="0.2">
      <c r="B1062" s="14" t="str">
        <f t="shared" si="301"/>
        <v>Newbold et al. 2013</v>
      </c>
      <c r="C1062" s="61">
        <f t="shared" si="302"/>
        <v>92</v>
      </c>
      <c r="D1062" s="58">
        <v>2013</v>
      </c>
      <c r="E1062" s="38"/>
      <c r="F1062" s="58">
        <v>1</v>
      </c>
      <c r="G1062" s="5">
        <v>2005</v>
      </c>
      <c r="H1062" s="44">
        <f>LOOKUP(G1062,CPI!A$69:A$100,CPI!O$69:O$100)</f>
        <v>1.1165181771633383</v>
      </c>
      <c r="I1062" s="5">
        <v>2045</v>
      </c>
      <c r="J1062" s="43"/>
      <c r="K1062" s="43"/>
      <c r="L1062" s="57"/>
      <c r="M1062" s="56"/>
      <c r="N1062" s="49">
        <f t="shared" si="307"/>
        <v>770</v>
      </c>
      <c r="O1062" s="41">
        <f>210*(44/12)</f>
        <v>770</v>
      </c>
      <c r="P1062" s="5">
        <v>0</v>
      </c>
      <c r="Q1062" s="5">
        <v>0</v>
      </c>
      <c r="R1062" s="5">
        <v>1</v>
      </c>
      <c r="T1062" s="56"/>
      <c r="U1062" s="77"/>
      <c r="V1062" s="77"/>
      <c r="AA1062" s="3">
        <f t="shared" si="308"/>
        <v>10.7</v>
      </c>
      <c r="AF1062" s="5">
        <v>1</v>
      </c>
      <c r="AG1062" s="5">
        <v>1</v>
      </c>
      <c r="AH1062" s="5">
        <v>1</v>
      </c>
      <c r="AI1062" s="5">
        <v>1</v>
      </c>
      <c r="AJ1062" s="5">
        <v>0</v>
      </c>
      <c r="AK1062" s="5">
        <v>0</v>
      </c>
      <c r="AL1062" s="5">
        <v>0</v>
      </c>
      <c r="AM1062" s="13">
        <v>2.6</v>
      </c>
      <c r="AN1062" s="13">
        <v>1.34</v>
      </c>
      <c r="AO1062" s="3">
        <v>1.71</v>
      </c>
      <c r="AP1062" s="5"/>
      <c r="AQ1062" s="5"/>
      <c r="AR1062" s="5"/>
      <c r="AS1062" s="5"/>
      <c r="AT1062" s="5"/>
      <c r="AU1062" s="5"/>
      <c r="AV1062" s="5"/>
      <c r="AW1062" s="5"/>
      <c r="AX1062" s="5">
        <v>0</v>
      </c>
      <c r="AY1062" s="5">
        <v>0</v>
      </c>
      <c r="AZ1062" s="5">
        <v>0</v>
      </c>
      <c r="BA1062" s="5">
        <v>0</v>
      </c>
    </row>
    <row r="1063" spans="1:53" s="41" customFormat="1" x14ac:dyDescent="0.2">
      <c r="B1063" s="14" t="str">
        <f t="shared" si="301"/>
        <v>Newbold et al. 2013</v>
      </c>
      <c r="C1063" s="61">
        <f t="shared" si="302"/>
        <v>92</v>
      </c>
      <c r="D1063" s="58">
        <v>2013</v>
      </c>
      <c r="E1063" s="38"/>
      <c r="F1063" s="58">
        <v>1</v>
      </c>
      <c r="G1063" s="5">
        <v>2005</v>
      </c>
      <c r="H1063" s="44">
        <f>LOOKUP(G1063,CPI!A$69:A$100,CPI!O$69:O$100)</f>
        <v>1.1165181771633383</v>
      </c>
      <c r="I1063" s="5">
        <v>2055</v>
      </c>
      <c r="J1063" s="43"/>
      <c r="K1063" s="43"/>
      <c r="L1063" s="57"/>
      <c r="M1063" s="56"/>
      <c r="N1063" s="49">
        <f t="shared" si="307"/>
        <v>916.66666666666663</v>
      </c>
      <c r="O1063" s="41">
        <f>250*(44/12)</f>
        <v>916.66666666666663</v>
      </c>
      <c r="P1063" s="5">
        <v>0</v>
      </c>
      <c r="Q1063" s="5">
        <v>0</v>
      </c>
      <c r="R1063" s="5">
        <v>1</v>
      </c>
      <c r="T1063" s="56"/>
      <c r="U1063" s="77"/>
      <c r="V1063" s="77"/>
      <c r="AA1063" s="3">
        <f t="shared" si="308"/>
        <v>30.4</v>
      </c>
      <c r="AF1063" s="5">
        <v>1</v>
      </c>
      <c r="AG1063" s="5">
        <v>1</v>
      </c>
      <c r="AH1063" s="5">
        <v>1</v>
      </c>
      <c r="AI1063" s="5">
        <v>1</v>
      </c>
      <c r="AJ1063" s="5">
        <v>0</v>
      </c>
      <c r="AK1063" s="5">
        <v>0</v>
      </c>
      <c r="AL1063" s="5">
        <v>0</v>
      </c>
      <c r="AM1063" s="13">
        <v>2.6</v>
      </c>
      <c r="AN1063" s="13">
        <v>1.34</v>
      </c>
      <c r="AO1063" s="3">
        <v>1.71</v>
      </c>
      <c r="AP1063" s="5"/>
      <c r="AQ1063" s="5"/>
      <c r="AR1063" s="5"/>
      <c r="AS1063" s="5"/>
      <c r="AT1063" s="5"/>
      <c r="AU1063" s="5"/>
      <c r="AV1063" s="5"/>
      <c r="AW1063" s="5"/>
      <c r="AX1063" s="5">
        <v>0</v>
      </c>
      <c r="AY1063" s="5">
        <v>0</v>
      </c>
      <c r="AZ1063" s="5">
        <v>0</v>
      </c>
      <c r="BA1063" s="5">
        <v>0</v>
      </c>
    </row>
    <row r="1064" spans="1:53" s="41" customFormat="1" x14ac:dyDescent="0.2">
      <c r="B1064" s="14" t="str">
        <f t="shared" si="301"/>
        <v>Newbold et al. 2013</v>
      </c>
      <c r="C1064" s="61">
        <f t="shared" si="302"/>
        <v>92</v>
      </c>
      <c r="D1064" s="58">
        <v>2013</v>
      </c>
      <c r="E1064" s="38"/>
      <c r="F1064" s="58">
        <v>1</v>
      </c>
      <c r="G1064" s="5">
        <v>2005</v>
      </c>
      <c r="H1064" s="44">
        <f>LOOKUP(G1064,CPI!A$69:A$100,CPI!O$69:O$100)</f>
        <v>1.1165181771633383</v>
      </c>
      <c r="I1064" s="52">
        <v>2005</v>
      </c>
      <c r="J1064" s="43"/>
      <c r="K1064" s="43">
        <v>0.33333333333333331</v>
      </c>
      <c r="L1064" s="57">
        <v>0.02</v>
      </c>
      <c r="M1064" s="56">
        <f t="shared" ref="M1064:M1071" si="309">AA1064*H1064*(1+$L$2)^(2015-I1064)</f>
        <v>61.178851637259505</v>
      </c>
      <c r="N1064" s="49">
        <f t="shared" si="307"/>
        <v>73.3333333333334</v>
      </c>
      <c r="O1064" s="41">
        <f>20*3.66666666666667</f>
        <v>73.3333333333334</v>
      </c>
      <c r="P1064" s="5">
        <v>0</v>
      </c>
      <c r="Q1064" s="5">
        <v>0</v>
      </c>
      <c r="R1064" s="5">
        <v>1</v>
      </c>
      <c r="T1064" s="56"/>
      <c r="U1064" s="56">
        <f>+V1064</f>
        <v>136.20523555605084</v>
      </c>
      <c r="V1064" s="56">
        <f>+(AD1064-AA1064)/1.96*H1064*(1+$L$2)^(2015-I1064)</f>
        <v>136.20523555605084</v>
      </c>
      <c r="AA1064" s="3">
        <f>11*3.66666666666667</f>
        <v>40.333333333333371</v>
      </c>
      <c r="AC1064" s="41">
        <f>38*3.66666666666667</f>
        <v>139.33333333333346</v>
      </c>
      <c r="AD1064" s="41">
        <f>59*3.66666666666667</f>
        <v>216.33333333333354</v>
      </c>
      <c r="AE1064" s="41">
        <f>160*3.66666666666667</f>
        <v>586.6666666666672</v>
      </c>
      <c r="AF1064" s="5">
        <v>1</v>
      </c>
      <c r="AG1064" s="5">
        <v>1</v>
      </c>
      <c r="AH1064" s="5">
        <v>1</v>
      </c>
      <c r="AI1064" s="5">
        <v>1</v>
      </c>
      <c r="AJ1064" s="5">
        <v>0</v>
      </c>
      <c r="AK1064" s="5">
        <v>0</v>
      </c>
      <c r="AL1064" s="5">
        <v>0</v>
      </c>
      <c r="AM1064" s="13"/>
      <c r="AN1064" s="13">
        <v>1.34</v>
      </c>
      <c r="AO1064" s="3">
        <v>1.71</v>
      </c>
      <c r="AP1064" s="5"/>
      <c r="AQ1064" s="5"/>
      <c r="AR1064" s="5"/>
      <c r="AS1064" s="5"/>
      <c r="AT1064" s="5"/>
      <c r="AU1064" s="5"/>
      <c r="AV1064" s="5"/>
      <c r="AW1064" s="5"/>
      <c r="AX1064" s="5">
        <v>0</v>
      </c>
      <c r="AY1064" s="5">
        <v>0</v>
      </c>
      <c r="AZ1064" s="5">
        <v>0</v>
      </c>
      <c r="BA1064" s="5">
        <v>0</v>
      </c>
    </row>
    <row r="1065" spans="1:53" s="41" customFormat="1" x14ac:dyDescent="0.2">
      <c r="A1065" s="41" t="s">
        <v>233</v>
      </c>
      <c r="B1065" s="14" t="str">
        <f t="shared" si="301"/>
        <v>Nordhaus &amp; Sztorc 2013</v>
      </c>
      <c r="C1065" s="61">
        <f t="shared" si="302"/>
        <v>93</v>
      </c>
      <c r="D1065" s="58">
        <v>2013</v>
      </c>
      <c r="E1065" s="38" t="s">
        <v>234</v>
      </c>
      <c r="F1065" s="58">
        <v>0</v>
      </c>
      <c r="G1065" s="5">
        <v>2005</v>
      </c>
      <c r="H1065" s="44">
        <f>LOOKUP(G1065,CPI!A$69:A$100,CPI!O$69:O$100)</f>
        <v>1.1165181771633383</v>
      </c>
      <c r="I1065" s="52">
        <v>2015</v>
      </c>
      <c r="J1065" s="43"/>
      <c r="K1065" s="43"/>
      <c r="L1065" s="57"/>
      <c r="M1065" s="56">
        <f t="shared" si="309"/>
        <v>80.158561665813252</v>
      </c>
      <c r="N1065" s="41">
        <f>19.58*(44/12)</f>
        <v>71.793333333333322</v>
      </c>
      <c r="P1065" s="5">
        <v>0</v>
      </c>
      <c r="Q1065" s="5">
        <v>1</v>
      </c>
      <c r="R1065" s="5">
        <v>0</v>
      </c>
      <c r="T1065" s="56"/>
      <c r="U1065" s="77"/>
      <c r="V1065" s="77"/>
      <c r="AA1065" s="49">
        <f t="shared" ref="AA1065:AA1072" si="310">+N1065</f>
        <v>71.793333333333322</v>
      </c>
      <c r="AF1065" s="5">
        <v>1</v>
      </c>
      <c r="AG1065" s="5">
        <v>1</v>
      </c>
      <c r="AH1065" s="5">
        <v>0</v>
      </c>
      <c r="AI1065" s="5">
        <v>1</v>
      </c>
      <c r="AJ1065" s="5">
        <v>0</v>
      </c>
      <c r="AK1065" s="5">
        <v>1</v>
      </c>
      <c r="AL1065" s="5">
        <v>0</v>
      </c>
      <c r="AM1065" s="13">
        <v>5.16</v>
      </c>
      <c r="AN1065" s="13"/>
      <c r="AO1065" s="5"/>
      <c r="AP1065" s="5"/>
      <c r="AQ1065" s="3"/>
      <c r="AR1065" s="5">
        <v>1</v>
      </c>
      <c r="AS1065" s="5">
        <v>1</v>
      </c>
      <c r="AT1065" s="5"/>
      <c r="AU1065" s="5">
        <v>3.2</v>
      </c>
      <c r="AV1065" s="5"/>
      <c r="AW1065" s="5"/>
      <c r="AX1065" s="5">
        <v>0</v>
      </c>
      <c r="AY1065" s="5">
        <v>1</v>
      </c>
      <c r="AZ1065" s="5">
        <v>0</v>
      </c>
      <c r="BA1065" s="5">
        <v>1</v>
      </c>
    </row>
    <row r="1066" spans="1:53" s="41" customFormat="1" x14ac:dyDescent="0.2">
      <c r="B1066" s="14" t="str">
        <f t="shared" si="301"/>
        <v>Nordhaus &amp; Sztorc 2013</v>
      </c>
      <c r="C1066" s="61">
        <f t="shared" si="302"/>
        <v>93</v>
      </c>
      <c r="D1066" s="58">
        <v>2013</v>
      </c>
      <c r="E1066" s="38"/>
      <c r="F1066" s="58">
        <v>0</v>
      </c>
      <c r="G1066" s="5">
        <v>2005</v>
      </c>
      <c r="H1066" s="44">
        <f>LOOKUP(G1066,CPI!A$69:A$100,CPI!O$69:O$100)</f>
        <v>1.1165181771633383</v>
      </c>
      <c r="I1066" s="5">
        <v>2020</v>
      </c>
      <c r="J1066" s="43"/>
      <c r="K1066" s="43"/>
      <c r="L1066" s="57"/>
      <c r="M1066" s="56">
        <f t="shared" si="309"/>
        <v>82.224821312346208</v>
      </c>
      <c r="N1066" s="41">
        <f>23.41*(44/12)</f>
        <v>85.836666666666659</v>
      </c>
      <c r="P1066" s="5">
        <v>0</v>
      </c>
      <c r="Q1066" s="5">
        <v>1</v>
      </c>
      <c r="R1066" s="5">
        <v>0</v>
      </c>
      <c r="T1066" s="56"/>
      <c r="U1066" s="77"/>
      <c r="V1066" s="77"/>
      <c r="AA1066" s="49">
        <f t="shared" si="310"/>
        <v>85.836666666666659</v>
      </c>
      <c r="AF1066" s="5">
        <v>1</v>
      </c>
      <c r="AG1066" s="5">
        <v>1</v>
      </c>
      <c r="AH1066" s="5">
        <v>0</v>
      </c>
      <c r="AI1066" s="5">
        <v>1</v>
      </c>
      <c r="AJ1066" s="5">
        <v>0</v>
      </c>
      <c r="AK1066" s="5">
        <v>1</v>
      </c>
      <c r="AL1066" s="5">
        <v>0</v>
      </c>
      <c r="AM1066" s="13">
        <v>5.07</v>
      </c>
      <c r="AN1066" s="13"/>
      <c r="AO1066" s="5"/>
      <c r="AP1066" s="5"/>
      <c r="AQ1066" s="3"/>
      <c r="AR1066" s="5">
        <v>1</v>
      </c>
      <c r="AS1066" s="5">
        <v>1</v>
      </c>
      <c r="AT1066" s="5"/>
      <c r="AU1066" s="5">
        <v>3.2</v>
      </c>
      <c r="AV1066" s="5"/>
      <c r="AW1066" s="5"/>
      <c r="AX1066" s="5">
        <v>0</v>
      </c>
      <c r="AY1066" s="5">
        <v>1</v>
      </c>
      <c r="AZ1066" s="5">
        <v>0</v>
      </c>
      <c r="BA1066" s="5">
        <v>1</v>
      </c>
    </row>
    <row r="1067" spans="1:53" s="41" customFormat="1" x14ac:dyDescent="0.2">
      <c r="B1067" s="14" t="str">
        <f t="shared" si="301"/>
        <v>Nordhaus &amp; Sztorc 2013</v>
      </c>
      <c r="C1067" s="61">
        <f t="shared" si="302"/>
        <v>93</v>
      </c>
      <c r="D1067" s="58">
        <v>2013</v>
      </c>
      <c r="E1067" s="38"/>
      <c r="F1067" s="58">
        <v>0</v>
      </c>
      <c r="G1067" s="5">
        <v>2005</v>
      </c>
      <c r="H1067" s="44">
        <f>LOOKUP(G1067,CPI!A$69:A$100,CPI!O$69:O$100)</f>
        <v>1.1165181771633383</v>
      </c>
      <c r="I1067" s="5">
        <v>2030</v>
      </c>
      <c r="J1067" s="43"/>
      <c r="K1067" s="43"/>
      <c r="L1067" s="57"/>
      <c r="M1067" s="56">
        <f t="shared" si="309"/>
        <v>84.54304192609159</v>
      </c>
      <c r="N1067" s="41">
        <f>32.7*(44/12)</f>
        <v>119.9</v>
      </c>
      <c r="P1067" s="5">
        <v>0</v>
      </c>
      <c r="Q1067" s="5">
        <v>1</v>
      </c>
      <c r="R1067" s="5">
        <v>0</v>
      </c>
      <c r="T1067" s="56"/>
      <c r="U1067" s="77"/>
      <c r="V1067" s="77"/>
      <c r="AA1067" s="49">
        <f t="shared" si="310"/>
        <v>119.9</v>
      </c>
      <c r="AF1067" s="5">
        <v>1</v>
      </c>
      <c r="AG1067" s="5">
        <v>1</v>
      </c>
      <c r="AH1067" s="5">
        <v>0</v>
      </c>
      <c r="AI1067" s="5">
        <v>1</v>
      </c>
      <c r="AJ1067" s="5">
        <v>0</v>
      </c>
      <c r="AK1067" s="5">
        <v>1</v>
      </c>
      <c r="AL1067" s="5">
        <v>0</v>
      </c>
      <c r="AM1067" s="13">
        <v>4.8499999999999996</v>
      </c>
      <c r="AN1067" s="13"/>
      <c r="AO1067" s="5"/>
      <c r="AP1067" s="5"/>
      <c r="AQ1067" s="3"/>
      <c r="AR1067" s="5">
        <v>1</v>
      </c>
      <c r="AS1067" s="5">
        <v>1</v>
      </c>
      <c r="AT1067" s="5"/>
      <c r="AU1067" s="5">
        <v>3.2</v>
      </c>
      <c r="AV1067" s="5"/>
      <c r="AW1067" s="5"/>
      <c r="AX1067" s="5">
        <v>0</v>
      </c>
      <c r="AY1067" s="5">
        <v>1</v>
      </c>
      <c r="AZ1067" s="5">
        <v>0</v>
      </c>
      <c r="BA1067" s="5">
        <v>1</v>
      </c>
    </row>
    <row r="1068" spans="1:53" s="41" customFormat="1" x14ac:dyDescent="0.2">
      <c r="B1068" s="14" t="str">
        <f t="shared" si="301"/>
        <v>Nordhaus &amp; Sztorc 2013</v>
      </c>
      <c r="C1068" s="61">
        <f t="shared" si="302"/>
        <v>93</v>
      </c>
      <c r="D1068" s="58">
        <v>2013</v>
      </c>
      <c r="E1068" s="38"/>
      <c r="F1068" s="58">
        <v>0</v>
      </c>
      <c r="G1068" s="5">
        <v>2005</v>
      </c>
      <c r="H1068" s="44">
        <f>LOOKUP(G1068,CPI!A$69:A$100,CPI!O$69:O$100)</f>
        <v>1.1165181771633383</v>
      </c>
      <c r="I1068" s="5">
        <v>2050</v>
      </c>
      <c r="J1068" s="43"/>
      <c r="K1068" s="43"/>
      <c r="L1068" s="57"/>
      <c r="M1068" s="56">
        <f t="shared" si="309"/>
        <v>81.528656826636592</v>
      </c>
      <c r="N1068" s="41">
        <f>58.2*(44/12)</f>
        <v>213.4</v>
      </c>
      <c r="P1068" s="5">
        <v>0</v>
      </c>
      <c r="Q1068" s="5">
        <v>1</v>
      </c>
      <c r="R1068" s="5">
        <v>0</v>
      </c>
      <c r="T1068" s="56"/>
      <c r="U1068" s="77"/>
      <c r="V1068" s="77"/>
      <c r="AA1068" s="49">
        <f t="shared" si="310"/>
        <v>213.4</v>
      </c>
      <c r="AF1068" s="5">
        <v>1</v>
      </c>
      <c r="AG1068" s="5">
        <v>1</v>
      </c>
      <c r="AH1068" s="5">
        <v>0</v>
      </c>
      <c r="AI1068" s="5">
        <v>1</v>
      </c>
      <c r="AJ1068" s="5">
        <v>0</v>
      </c>
      <c r="AK1068" s="5">
        <v>1</v>
      </c>
      <c r="AL1068" s="5">
        <v>0</v>
      </c>
      <c r="AM1068" s="13">
        <v>4.4000000000000004</v>
      </c>
      <c r="AN1068" s="13"/>
      <c r="AO1068" s="5"/>
      <c r="AP1068" s="5"/>
      <c r="AQ1068" s="3"/>
      <c r="AR1068" s="5">
        <v>1</v>
      </c>
      <c r="AS1068" s="5">
        <v>1</v>
      </c>
      <c r="AT1068" s="5"/>
      <c r="AU1068" s="5">
        <v>3.2</v>
      </c>
      <c r="AV1068" s="5"/>
      <c r="AW1068" s="5"/>
      <c r="AX1068" s="5">
        <v>0</v>
      </c>
      <c r="AY1068" s="5">
        <v>1</v>
      </c>
      <c r="AZ1068" s="5">
        <v>0</v>
      </c>
      <c r="BA1068" s="5">
        <v>1</v>
      </c>
    </row>
    <row r="1069" spans="1:53" s="41" customFormat="1" x14ac:dyDescent="0.2">
      <c r="B1069" s="14" t="str">
        <f t="shared" si="301"/>
        <v>Nordhaus &amp; Sztorc 2013</v>
      </c>
      <c r="C1069" s="61">
        <f t="shared" si="302"/>
        <v>93</v>
      </c>
      <c r="D1069" s="58">
        <v>2013</v>
      </c>
      <c r="E1069" s="38"/>
      <c r="F1069" s="58">
        <v>0</v>
      </c>
      <c r="G1069" s="5">
        <v>2005</v>
      </c>
      <c r="H1069" s="44">
        <f>LOOKUP(G1069,CPI!A$69:A$100,CPI!O$69:O$100)</f>
        <v>1.1165181771633383</v>
      </c>
      <c r="I1069" s="5">
        <v>2100</v>
      </c>
      <c r="J1069" s="43"/>
      <c r="K1069" s="43"/>
      <c r="L1069" s="57"/>
      <c r="M1069" s="56">
        <f t="shared" si="309"/>
        <v>50.734604667061852</v>
      </c>
      <c r="N1069" s="41">
        <f>167.6*(44/12)</f>
        <v>614.5333333333333</v>
      </c>
      <c r="P1069" s="5">
        <v>0</v>
      </c>
      <c r="Q1069" s="5">
        <v>1</v>
      </c>
      <c r="R1069" s="5">
        <v>0</v>
      </c>
      <c r="T1069" s="56"/>
      <c r="U1069" s="77"/>
      <c r="V1069" s="77"/>
      <c r="AA1069" s="49">
        <f t="shared" si="310"/>
        <v>614.5333333333333</v>
      </c>
      <c r="AF1069" s="5">
        <v>1</v>
      </c>
      <c r="AG1069" s="5">
        <v>1</v>
      </c>
      <c r="AH1069" s="5">
        <v>0</v>
      </c>
      <c r="AI1069" s="5">
        <v>1</v>
      </c>
      <c r="AJ1069" s="5">
        <v>0</v>
      </c>
      <c r="AK1069" s="5">
        <v>1</v>
      </c>
      <c r="AL1069" s="5">
        <v>0</v>
      </c>
      <c r="AM1069" s="13"/>
      <c r="AN1069" s="13"/>
      <c r="AO1069" s="5"/>
      <c r="AP1069" s="5"/>
      <c r="AQ1069" s="3"/>
      <c r="AR1069" s="5">
        <v>1</v>
      </c>
      <c r="AS1069" s="5">
        <v>1</v>
      </c>
      <c r="AT1069" s="5"/>
      <c r="AU1069" s="5">
        <v>3.2</v>
      </c>
      <c r="AV1069" s="5"/>
      <c r="AW1069" s="5"/>
      <c r="AX1069" s="5">
        <v>0</v>
      </c>
      <c r="AY1069" s="5">
        <v>1</v>
      </c>
      <c r="AZ1069" s="5">
        <v>0</v>
      </c>
      <c r="BA1069" s="5">
        <v>1</v>
      </c>
    </row>
    <row r="1070" spans="1:53" s="41" customFormat="1" x14ac:dyDescent="0.2">
      <c r="B1070" s="14" t="str">
        <f t="shared" si="301"/>
        <v>Nordhaus &amp; Sztorc 2013</v>
      </c>
      <c r="C1070" s="61">
        <f t="shared" si="302"/>
        <v>93</v>
      </c>
      <c r="D1070" s="58">
        <v>2013</v>
      </c>
      <c r="E1070" s="38"/>
      <c r="F1070" s="58">
        <v>0</v>
      </c>
      <c r="G1070" s="5">
        <v>2005</v>
      </c>
      <c r="H1070" s="44">
        <f>LOOKUP(G1070,CPI!A$69:A$100,CPI!O$69:O$100)</f>
        <v>1.1165181771633383</v>
      </c>
      <c r="I1070" s="5">
        <v>2150</v>
      </c>
      <c r="J1070" s="43"/>
      <c r="K1070" s="43"/>
      <c r="L1070" s="57"/>
      <c r="M1070" s="56">
        <f t="shared" si="309"/>
        <v>11.07465454371836</v>
      </c>
      <c r="N1070" s="41">
        <f>169.3*(44/12)</f>
        <v>620.76666666666665</v>
      </c>
      <c r="P1070" s="5">
        <v>0</v>
      </c>
      <c r="Q1070" s="5">
        <v>1</v>
      </c>
      <c r="R1070" s="5">
        <v>0</v>
      </c>
      <c r="T1070" s="56"/>
      <c r="U1070" s="77"/>
      <c r="V1070" s="77"/>
      <c r="AA1070" s="49">
        <f t="shared" si="310"/>
        <v>620.76666666666665</v>
      </c>
      <c r="AF1070" s="5">
        <v>1</v>
      </c>
      <c r="AG1070" s="5">
        <v>1</v>
      </c>
      <c r="AH1070" s="5">
        <v>0</v>
      </c>
      <c r="AI1070" s="5">
        <v>1</v>
      </c>
      <c r="AJ1070" s="5">
        <v>0</v>
      </c>
      <c r="AK1070" s="5">
        <v>1</v>
      </c>
      <c r="AL1070" s="5">
        <v>0</v>
      </c>
      <c r="AM1070" s="13"/>
      <c r="AN1070" s="13"/>
      <c r="AO1070" s="5"/>
      <c r="AP1070" s="5"/>
      <c r="AQ1070" s="3"/>
      <c r="AR1070" s="5">
        <v>1</v>
      </c>
      <c r="AS1070" s="5">
        <v>1</v>
      </c>
      <c r="AT1070" s="5"/>
      <c r="AU1070" s="5">
        <v>3.2</v>
      </c>
      <c r="AV1070" s="5"/>
      <c r="AW1070" s="5"/>
      <c r="AX1070" s="5">
        <v>0</v>
      </c>
      <c r="AY1070" s="5">
        <v>1</v>
      </c>
      <c r="AZ1070" s="5">
        <v>0</v>
      </c>
      <c r="BA1070" s="5">
        <v>1</v>
      </c>
    </row>
    <row r="1071" spans="1:53" s="41" customFormat="1" x14ac:dyDescent="0.2">
      <c r="B1071" s="14" t="str">
        <f t="shared" si="301"/>
        <v>Nordhaus &amp; Sztorc 2013</v>
      </c>
      <c r="C1071" s="61">
        <f t="shared" si="302"/>
        <v>93</v>
      </c>
      <c r="D1071" s="58">
        <v>2013</v>
      </c>
      <c r="E1071" s="38"/>
      <c r="F1071" s="58">
        <v>0</v>
      </c>
      <c r="G1071" s="5">
        <v>2005</v>
      </c>
      <c r="H1071" s="44">
        <f>LOOKUP(G1071,CPI!A$69:A$100,CPI!O$69:O$100)</f>
        <v>1.1165181771633383</v>
      </c>
      <c r="I1071" s="5">
        <v>2200</v>
      </c>
      <c r="J1071" s="43"/>
      <c r="K1071" s="43"/>
      <c r="L1071" s="57"/>
      <c r="M1071" s="56">
        <f t="shared" si="309"/>
        <v>1.8574261633022027</v>
      </c>
      <c r="N1071" s="41">
        <f>131.4*(44/12)</f>
        <v>481.8</v>
      </c>
      <c r="P1071" s="5">
        <v>0</v>
      </c>
      <c r="Q1071" s="5">
        <v>1</v>
      </c>
      <c r="R1071" s="5">
        <v>0</v>
      </c>
      <c r="T1071" s="56"/>
      <c r="U1071" s="77"/>
      <c r="V1071" s="77"/>
      <c r="AA1071" s="49">
        <f t="shared" si="310"/>
        <v>481.8</v>
      </c>
      <c r="AF1071" s="5">
        <v>1</v>
      </c>
      <c r="AG1071" s="5">
        <v>1</v>
      </c>
      <c r="AH1071" s="5">
        <v>0</v>
      </c>
      <c r="AI1071" s="5">
        <v>1</v>
      </c>
      <c r="AJ1071" s="5">
        <v>0</v>
      </c>
      <c r="AK1071" s="5">
        <v>1</v>
      </c>
      <c r="AL1071" s="5">
        <v>0</v>
      </c>
      <c r="AM1071" s="13"/>
      <c r="AN1071" s="13">
        <v>0.1</v>
      </c>
      <c r="AO1071" s="5"/>
      <c r="AP1071" s="5"/>
      <c r="AQ1071" s="3">
        <v>2.1</v>
      </c>
      <c r="AR1071" s="5">
        <v>1</v>
      </c>
      <c r="AS1071" s="5">
        <v>1</v>
      </c>
      <c r="AT1071" s="5"/>
      <c r="AU1071" s="5">
        <v>3.2</v>
      </c>
      <c r="AV1071" s="5"/>
      <c r="AW1071" s="5"/>
      <c r="AX1071" s="5">
        <v>0</v>
      </c>
      <c r="AY1071" s="5">
        <v>1</v>
      </c>
      <c r="AZ1071" s="5">
        <v>0</v>
      </c>
      <c r="BA1071" s="5">
        <v>1</v>
      </c>
    </row>
    <row r="1072" spans="1:53" s="41" customFormat="1" x14ac:dyDescent="0.2">
      <c r="A1072" s="41" t="s">
        <v>0</v>
      </c>
      <c r="B1072" s="14" t="str">
        <f t="shared" si="301"/>
        <v>Tol 2013</v>
      </c>
      <c r="C1072" s="61">
        <f t="shared" si="302"/>
        <v>94</v>
      </c>
      <c r="D1072" s="58">
        <v>2013</v>
      </c>
      <c r="E1072" s="38" t="s">
        <v>213</v>
      </c>
      <c r="F1072" s="58">
        <v>1</v>
      </c>
      <c r="G1072" s="5">
        <v>2010</v>
      </c>
      <c r="H1072" s="44">
        <f>LOOKUP(G1072,CPI!A$69:A$100,CPI!O$69:O$100)</f>
        <v>1</v>
      </c>
      <c r="I1072" s="69">
        <v>2013</v>
      </c>
      <c r="J1072" s="43"/>
      <c r="K1072" s="43"/>
      <c r="L1072" s="57"/>
      <c r="M1072" s="56">
        <f t="shared" ref="M1072:M1085" si="311">AA1072*H1072*(1+$L$2)^(2015-I1072)</f>
        <v>0.10631983194330152</v>
      </c>
      <c r="N1072" s="3">
        <v>0.1</v>
      </c>
      <c r="P1072" s="5">
        <v>0</v>
      </c>
      <c r="Q1072" s="5">
        <v>1</v>
      </c>
      <c r="R1072" s="5">
        <v>0</v>
      </c>
      <c r="T1072" s="56"/>
      <c r="U1072" s="77"/>
      <c r="V1072" s="77"/>
      <c r="AA1072" s="49">
        <f t="shared" si="310"/>
        <v>0.1</v>
      </c>
      <c r="AF1072" s="5">
        <v>0</v>
      </c>
      <c r="AG1072" s="5">
        <v>1</v>
      </c>
      <c r="AH1072" s="5">
        <v>0</v>
      </c>
      <c r="AI1072" s="5">
        <v>0</v>
      </c>
      <c r="AJ1072" s="5">
        <v>0</v>
      </c>
      <c r="AK1072" s="5">
        <v>0</v>
      </c>
      <c r="AL1072" s="5">
        <v>0</v>
      </c>
      <c r="AM1072" s="13" t="s">
        <v>25</v>
      </c>
      <c r="AN1072" s="13" t="s">
        <v>25</v>
      </c>
      <c r="AO1072" s="3">
        <v>1.5</v>
      </c>
      <c r="AP1072" s="5"/>
      <c r="AQ1072" s="5"/>
      <c r="AR1072" s="5"/>
      <c r="AS1072" s="5"/>
      <c r="AT1072" s="5"/>
      <c r="AU1072" s="5">
        <v>3</v>
      </c>
      <c r="AV1072" s="5"/>
      <c r="AW1072" s="5"/>
      <c r="AX1072" s="5">
        <v>0</v>
      </c>
      <c r="AY1072" s="5">
        <v>0</v>
      </c>
      <c r="AZ1072" s="5">
        <v>1</v>
      </c>
      <c r="BA1072" s="5">
        <v>1</v>
      </c>
    </row>
    <row r="1073" spans="1:53" s="41" customFormat="1" x14ac:dyDescent="0.2">
      <c r="B1073" s="14" t="str">
        <f t="shared" si="301"/>
        <v>Tol 2013</v>
      </c>
      <c r="C1073" s="61">
        <f t="shared" si="302"/>
        <v>94</v>
      </c>
      <c r="D1073" s="58">
        <v>2013</v>
      </c>
      <c r="E1073" s="38"/>
      <c r="F1073" s="58">
        <v>1</v>
      </c>
      <c r="G1073" s="5">
        <v>2010</v>
      </c>
      <c r="H1073" s="44">
        <f>LOOKUP(G1073,CPI!A$69:A$100,CPI!O$69:O$100)</f>
        <v>1</v>
      </c>
      <c r="I1073" s="69">
        <v>2013</v>
      </c>
      <c r="J1073" s="43"/>
      <c r="K1073" s="43"/>
      <c r="L1073" s="57"/>
      <c r="M1073" s="56">
        <f t="shared" si="311"/>
        <v>0</v>
      </c>
      <c r="N1073" s="3">
        <v>0</v>
      </c>
      <c r="P1073" s="5">
        <v>0</v>
      </c>
      <c r="Q1073" s="5">
        <v>1</v>
      </c>
      <c r="R1073" s="5">
        <v>0</v>
      </c>
      <c r="T1073" s="56"/>
      <c r="U1073" s="77"/>
      <c r="V1073" s="77"/>
      <c r="AA1073" s="49">
        <f t="shared" ref="AA1073:AA1085" si="312">+N1073</f>
        <v>0</v>
      </c>
      <c r="AF1073" s="5">
        <v>0</v>
      </c>
      <c r="AG1073" s="5">
        <v>1</v>
      </c>
      <c r="AH1073" s="5">
        <v>0</v>
      </c>
      <c r="AI1073" s="5">
        <v>0</v>
      </c>
      <c r="AJ1073" s="5">
        <v>0</v>
      </c>
      <c r="AK1073" s="5">
        <v>0</v>
      </c>
      <c r="AL1073" s="5">
        <v>0</v>
      </c>
      <c r="AM1073" s="13"/>
      <c r="AN1073" s="13"/>
      <c r="AO1073" s="3">
        <v>1</v>
      </c>
      <c r="AP1073" s="5"/>
      <c r="AQ1073" s="5"/>
      <c r="AR1073" s="5"/>
      <c r="AS1073" s="5"/>
      <c r="AT1073" s="5"/>
      <c r="AU1073" s="5">
        <v>3</v>
      </c>
      <c r="AV1073" s="5"/>
      <c r="AW1073" s="5"/>
      <c r="AX1073" s="5">
        <v>0</v>
      </c>
      <c r="AY1073" s="5">
        <v>0</v>
      </c>
      <c r="AZ1073" s="5">
        <v>1</v>
      </c>
      <c r="BA1073" s="5">
        <v>1</v>
      </c>
    </row>
    <row r="1074" spans="1:53" s="41" customFormat="1" x14ac:dyDescent="0.2">
      <c r="B1074" s="14" t="str">
        <f t="shared" si="301"/>
        <v>Tol 2013</v>
      </c>
      <c r="C1074" s="61">
        <f t="shared" si="302"/>
        <v>94</v>
      </c>
      <c r="D1074" s="58">
        <v>2013</v>
      </c>
      <c r="E1074" s="38"/>
      <c r="F1074" s="58">
        <v>1</v>
      </c>
      <c r="G1074" s="5">
        <v>2010</v>
      </c>
      <c r="H1074" s="44">
        <f>LOOKUP(G1074,CPI!A$69:A$100,CPI!O$69:O$100)</f>
        <v>1</v>
      </c>
      <c r="I1074" s="69">
        <v>2013</v>
      </c>
      <c r="J1074" s="43"/>
      <c r="K1074" s="43"/>
      <c r="L1074" s="57"/>
      <c r="M1074" s="56">
        <f t="shared" si="311"/>
        <v>0.74423882360311067</v>
      </c>
      <c r="N1074" s="3">
        <v>0.7</v>
      </c>
      <c r="P1074" s="5">
        <v>0</v>
      </c>
      <c r="Q1074" s="5">
        <v>1</v>
      </c>
      <c r="R1074" s="5">
        <v>0</v>
      </c>
      <c r="T1074" s="56"/>
      <c r="U1074" s="77"/>
      <c r="V1074" s="77"/>
      <c r="AA1074" s="49">
        <f t="shared" si="312"/>
        <v>0.7</v>
      </c>
      <c r="AF1074" s="5">
        <v>0</v>
      </c>
      <c r="AG1074" s="5">
        <v>1</v>
      </c>
      <c r="AH1074" s="5">
        <v>0</v>
      </c>
      <c r="AI1074" s="5">
        <v>0</v>
      </c>
      <c r="AJ1074" s="5">
        <v>0</v>
      </c>
      <c r="AK1074" s="5">
        <v>0</v>
      </c>
      <c r="AL1074" s="5">
        <v>0</v>
      </c>
      <c r="AM1074" s="13"/>
      <c r="AN1074" s="13"/>
      <c r="AO1074" s="3">
        <v>2</v>
      </c>
      <c r="AP1074" s="5"/>
      <c r="AQ1074" s="5"/>
      <c r="AR1074" s="5"/>
      <c r="AS1074" s="5"/>
      <c r="AT1074" s="5"/>
      <c r="AU1074" s="5">
        <v>3</v>
      </c>
      <c r="AV1074" s="5"/>
      <c r="AW1074" s="5"/>
      <c r="AX1074" s="5">
        <v>0</v>
      </c>
      <c r="AY1074" s="5">
        <v>0</v>
      </c>
      <c r="AZ1074" s="5">
        <v>1</v>
      </c>
      <c r="BA1074" s="5">
        <v>1</v>
      </c>
    </row>
    <row r="1075" spans="1:53" s="41" customFormat="1" x14ac:dyDescent="0.2">
      <c r="B1075" s="14" t="str">
        <f t="shared" si="301"/>
        <v>Tol 2013</v>
      </c>
      <c r="C1075" s="61">
        <f t="shared" si="302"/>
        <v>94</v>
      </c>
      <c r="D1075" s="58">
        <v>2013</v>
      </c>
      <c r="E1075" s="38"/>
      <c r="F1075" s="58">
        <v>1</v>
      </c>
      <c r="G1075" s="5">
        <v>2010</v>
      </c>
      <c r="H1075" s="44">
        <f>LOOKUP(G1075,CPI!A$69:A$100,CPI!O$69:O$100)</f>
        <v>1</v>
      </c>
      <c r="I1075" s="69">
        <v>2013</v>
      </c>
      <c r="J1075" s="43"/>
      <c r="K1075" s="43"/>
      <c r="L1075" s="57"/>
      <c r="M1075" s="56">
        <f t="shared" si="311"/>
        <v>-0.53159915971650762</v>
      </c>
      <c r="N1075" s="3">
        <v>-0.5</v>
      </c>
      <c r="P1075" s="5">
        <v>0</v>
      </c>
      <c r="Q1075" s="5">
        <v>1</v>
      </c>
      <c r="R1075" s="5">
        <v>0</v>
      </c>
      <c r="T1075" s="56"/>
      <c r="U1075" s="77"/>
      <c r="V1075" s="77"/>
      <c r="AA1075" s="49">
        <f t="shared" si="312"/>
        <v>-0.5</v>
      </c>
      <c r="AF1075" s="5">
        <v>0</v>
      </c>
      <c r="AG1075" s="5">
        <v>1</v>
      </c>
      <c r="AH1075" s="5">
        <v>0</v>
      </c>
      <c r="AI1075" s="5">
        <v>0</v>
      </c>
      <c r="AJ1075" s="5">
        <v>0</v>
      </c>
      <c r="AK1075" s="5">
        <v>0</v>
      </c>
      <c r="AL1075" s="5">
        <v>0</v>
      </c>
      <c r="AM1075" s="13"/>
      <c r="AN1075" s="13"/>
      <c r="AO1075" s="3">
        <v>1.5</v>
      </c>
      <c r="AP1075" s="5"/>
      <c r="AQ1075" s="5"/>
      <c r="AR1075" s="5"/>
      <c r="AS1075" s="5"/>
      <c r="AT1075" s="5"/>
      <c r="AU1075" s="5">
        <v>3</v>
      </c>
      <c r="AV1075" s="5"/>
      <c r="AW1075" s="5"/>
      <c r="AX1075" s="5">
        <v>0</v>
      </c>
      <c r="AY1075" s="5">
        <v>0</v>
      </c>
      <c r="AZ1075" s="5">
        <v>1</v>
      </c>
      <c r="BA1075" s="5">
        <v>1</v>
      </c>
    </row>
    <row r="1076" spans="1:53" s="41" customFormat="1" x14ac:dyDescent="0.2">
      <c r="B1076" s="14" t="str">
        <f t="shared" si="301"/>
        <v>Tol 2013</v>
      </c>
      <c r="C1076" s="61">
        <f t="shared" si="302"/>
        <v>94</v>
      </c>
      <c r="D1076" s="58">
        <v>2013</v>
      </c>
      <c r="E1076" s="38"/>
      <c r="F1076" s="58">
        <v>1</v>
      </c>
      <c r="G1076" s="5">
        <v>2010</v>
      </c>
      <c r="H1076" s="44">
        <f>LOOKUP(G1076,CPI!A$69:A$100,CPI!O$69:O$100)</f>
        <v>1</v>
      </c>
      <c r="I1076" s="69">
        <v>2013</v>
      </c>
      <c r="J1076" s="43"/>
      <c r="K1076" s="43"/>
      <c r="L1076" s="57"/>
      <c r="M1076" s="56">
        <f t="shared" si="311"/>
        <v>0.4252793277732061</v>
      </c>
      <c r="N1076" s="3">
        <v>0.4</v>
      </c>
      <c r="P1076" s="5">
        <v>0</v>
      </c>
      <c r="Q1076" s="5">
        <v>1</v>
      </c>
      <c r="R1076" s="5">
        <v>0</v>
      </c>
      <c r="T1076" s="56"/>
      <c r="U1076" s="77"/>
      <c r="V1076" s="77"/>
      <c r="AA1076" s="49">
        <f t="shared" si="312"/>
        <v>0.4</v>
      </c>
      <c r="AF1076" s="5">
        <v>0</v>
      </c>
      <c r="AG1076" s="5">
        <v>1</v>
      </c>
      <c r="AH1076" s="5">
        <v>0</v>
      </c>
      <c r="AI1076" s="5">
        <v>0</v>
      </c>
      <c r="AJ1076" s="5">
        <v>0</v>
      </c>
      <c r="AK1076" s="5">
        <v>0</v>
      </c>
      <c r="AL1076" s="5">
        <v>0</v>
      </c>
      <c r="AM1076" s="13"/>
      <c r="AN1076" s="13"/>
      <c r="AO1076" s="3">
        <v>1.5</v>
      </c>
      <c r="AP1076" s="5"/>
      <c r="AQ1076" s="5"/>
      <c r="AR1076" s="5"/>
      <c r="AS1076" s="5"/>
      <c r="AT1076" s="5"/>
      <c r="AU1076" s="5">
        <v>3</v>
      </c>
      <c r="AV1076" s="5"/>
      <c r="AW1076" s="5"/>
      <c r="AX1076" s="5">
        <v>0</v>
      </c>
      <c r="AY1076" s="5">
        <v>0</v>
      </c>
      <c r="AZ1076" s="5">
        <v>1</v>
      </c>
      <c r="BA1076" s="5">
        <v>1</v>
      </c>
    </row>
    <row r="1077" spans="1:53" s="41" customFormat="1" x14ac:dyDescent="0.2">
      <c r="B1077" s="14" t="str">
        <f t="shared" si="301"/>
        <v>Tol 2013</v>
      </c>
      <c r="C1077" s="61">
        <f t="shared" si="302"/>
        <v>94</v>
      </c>
      <c r="D1077" s="58">
        <v>2013</v>
      </c>
      <c r="E1077" s="38"/>
      <c r="F1077" s="58">
        <v>1</v>
      </c>
      <c r="G1077" s="5">
        <v>2010</v>
      </c>
      <c r="H1077" s="44">
        <f>LOOKUP(G1077,CPI!A$69:A$100,CPI!O$69:O$100)</f>
        <v>1</v>
      </c>
      <c r="I1077" s="69">
        <v>2013</v>
      </c>
      <c r="J1077" s="43"/>
      <c r="K1077" s="43"/>
      <c r="L1077" s="57"/>
      <c r="M1077" s="56">
        <f t="shared" si="311"/>
        <v>-0.21263966388660305</v>
      </c>
      <c r="N1077" s="3">
        <v>-0.2</v>
      </c>
      <c r="P1077" s="5">
        <v>0</v>
      </c>
      <c r="Q1077" s="5">
        <v>1</v>
      </c>
      <c r="R1077" s="5">
        <v>0</v>
      </c>
      <c r="T1077" s="56"/>
      <c r="U1077" s="77"/>
      <c r="V1077" s="77"/>
      <c r="AA1077" s="49">
        <f t="shared" si="312"/>
        <v>-0.2</v>
      </c>
      <c r="AF1077" s="5">
        <v>0</v>
      </c>
      <c r="AG1077" s="5">
        <v>1</v>
      </c>
      <c r="AH1077" s="5">
        <v>0</v>
      </c>
      <c r="AI1077" s="5">
        <v>0</v>
      </c>
      <c r="AJ1077" s="5">
        <v>0</v>
      </c>
      <c r="AK1077" s="5">
        <v>0</v>
      </c>
      <c r="AL1077" s="5">
        <v>0</v>
      </c>
      <c r="AM1077" s="13"/>
      <c r="AN1077" s="13"/>
      <c r="AO1077" s="3">
        <v>1.5</v>
      </c>
      <c r="AP1077" s="5"/>
      <c r="AQ1077" s="5"/>
      <c r="AR1077" s="5"/>
      <c r="AS1077" s="5"/>
      <c r="AT1077" s="5"/>
      <c r="AU1077" s="5">
        <v>1.5</v>
      </c>
      <c r="AV1077" s="5"/>
      <c r="AW1077" s="5"/>
      <c r="AX1077" s="5">
        <v>0</v>
      </c>
      <c r="AY1077" s="5">
        <v>0</v>
      </c>
      <c r="AZ1077" s="5">
        <v>1</v>
      </c>
      <c r="BA1077" s="5">
        <v>1</v>
      </c>
    </row>
    <row r="1078" spans="1:53" s="41" customFormat="1" x14ac:dyDescent="0.2">
      <c r="B1078" s="14" t="str">
        <f t="shared" si="301"/>
        <v>Tol 2013</v>
      </c>
      <c r="C1078" s="61">
        <f t="shared" si="302"/>
        <v>94</v>
      </c>
      <c r="D1078" s="58">
        <v>2013</v>
      </c>
      <c r="E1078" s="38"/>
      <c r="F1078" s="58">
        <v>1</v>
      </c>
      <c r="G1078" s="5">
        <v>2010</v>
      </c>
      <c r="H1078" s="44">
        <f>LOOKUP(G1078,CPI!A$69:A$100,CPI!O$69:O$100)</f>
        <v>1</v>
      </c>
      <c r="I1078" s="69">
        <v>2013</v>
      </c>
      <c r="J1078" s="43"/>
      <c r="K1078" s="43"/>
      <c r="L1078" s="57"/>
      <c r="M1078" s="56">
        <f t="shared" si="311"/>
        <v>1.0631983194330152</v>
      </c>
      <c r="N1078" s="3">
        <v>1</v>
      </c>
      <c r="P1078" s="5">
        <v>0</v>
      </c>
      <c r="Q1078" s="5">
        <v>1</v>
      </c>
      <c r="R1078" s="5">
        <v>0</v>
      </c>
      <c r="T1078" s="56"/>
      <c r="U1078" s="77"/>
      <c r="V1078" s="77"/>
      <c r="AA1078" s="49">
        <f t="shared" si="312"/>
        <v>1</v>
      </c>
      <c r="AF1078" s="5">
        <v>0</v>
      </c>
      <c r="AG1078" s="5">
        <v>1</v>
      </c>
      <c r="AH1078" s="5">
        <v>0</v>
      </c>
      <c r="AI1078" s="5">
        <v>0</v>
      </c>
      <c r="AJ1078" s="5">
        <v>0</v>
      </c>
      <c r="AK1078" s="5">
        <v>0</v>
      </c>
      <c r="AL1078" s="5">
        <v>0</v>
      </c>
      <c r="AM1078" s="13"/>
      <c r="AN1078" s="13"/>
      <c r="AO1078" s="3">
        <v>1.5</v>
      </c>
      <c r="AP1078" s="5"/>
      <c r="AQ1078" s="5"/>
      <c r="AR1078" s="5"/>
      <c r="AS1078" s="5"/>
      <c r="AT1078" s="5"/>
      <c r="AU1078" s="5">
        <v>4.5</v>
      </c>
      <c r="AV1078" s="5"/>
      <c r="AW1078" s="5"/>
      <c r="AX1078" s="5">
        <v>0</v>
      </c>
      <c r="AY1078" s="5">
        <v>0</v>
      </c>
      <c r="AZ1078" s="5">
        <v>1</v>
      </c>
      <c r="BA1078" s="5">
        <v>1</v>
      </c>
    </row>
    <row r="1079" spans="1:53" s="41" customFormat="1" x14ac:dyDescent="0.2">
      <c r="B1079" s="14" t="str">
        <f t="shared" si="301"/>
        <v>Tol 2013</v>
      </c>
      <c r="C1079" s="61">
        <f t="shared" si="302"/>
        <v>94</v>
      </c>
      <c r="D1079" s="58">
        <v>2013</v>
      </c>
      <c r="E1079" s="38"/>
      <c r="F1079" s="58">
        <v>1</v>
      </c>
      <c r="G1079" s="5">
        <v>2010</v>
      </c>
      <c r="H1079" s="44">
        <f>LOOKUP(G1079,CPI!A$69:A$100,CPI!O$69:O$100)</f>
        <v>1</v>
      </c>
      <c r="I1079" s="69">
        <v>2013</v>
      </c>
      <c r="J1079" s="43"/>
      <c r="K1079" s="43"/>
      <c r="L1079" s="57"/>
      <c r="M1079" s="56">
        <f t="shared" si="311"/>
        <v>21.370286220603607</v>
      </c>
      <c r="N1079" s="3">
        <v>20.100000000000001</v>
      </c>
      <c r="P1079" s="5">
        <v>0</v>
      </c>
      <c r="Q1079" s="5">
        <v>1</v>
      </c>
      <c r="R1079" s="5">
        <v>0</v>
      </c>
      <c r="T1079" s="56"/>
      <c r="U1079" s="77"/>
      <c r="V1079" s="77"/>
      <c r="AA1079" s="49">
        <f t="shared" si="312"/>
        <v>20.100000000000001</v>
      </c>
      <c r="AF1079" s="5">
        <v>0</v>
      </c>
      <c r="AG1079" s="5">
        <v>1</v>
      </c>
      <c r="AH1079" s="5">
        <v>0</v>
      </c>
      <c r="AI1079" s="5">
        <v>0</v>
      </c>
      <c r="AJ1079" s="5">
        <v>0</v>
      </c>
      <c r="AK1079" s="5">
        <v>0</v>
      </c>
      <c r="AL1079" s="5">
        <v>0</v>
      </c>
      <c r="AM1079" s="13"/>
      <c r="AN1079" s="13"/>
      <c r="AO1079" s="3">
        <v>1.5</v>
      </c>
      <c r="AP1079" s="5"/>
      <c r="AQ1079" s="5"/>
      <c r="AR1079" s="5"/>
      <c r="AS1079" s="5"/>
      <c r="AT1079" s="5"/>
      <c r="AU1079" s="5">
        <v>3</v>
      </c>
      <c r="AV1079" s="5"/>
      <c r="AW1079" s="5"/>
      <c r="AX1079" s="5">
        <v>0</v>
      </c>
      <c r="AY1079" s="5">
        <v>0</v>
      </c>
      <c r="AZ1079" s="5">
        <v>1</v>
      </c>
      <c r="BA1079" s="5">
        <v>1</v>
      </c>
    </row>
    <row r="1080" spans="1:53" s="41" customFormat="1" x14ac:dyDescent="0.2">
      <c r="B1080" s="14" t="str">
        <f t="shared" si="301"/>
        <v>Tol 2013</v>
      </c>
      <c r="C1080" s="61">
        <f t="shared" si="302"/>
        <v>94</v>
      </c>
      <c r="D1080" s="58">
        <v>2013</v>
      </c>
      <c r="E1080" s="38"/>
      <c r="F1080" s="58">
        <v>1</v>
      </c>
      <c r="G1080" s="5">
        <v>2010</v>
      </c>
      <c r="H1080" s="44">
        <f>LOOKUP(G1080,CPI!A$69:A$100,CPI!O$69:O$100)</f>
        <v>1</v>
      </c>
      <c r="I1080" s="69">
        <v>2013</v>
      </c>
      <c r="J1080" s="43"/>
      <c r="K1080" s="43"/>
      <c r="L1080" s="57"/>
      <c r="M1080" s="56">
        <f t="shared" si="311"/>
        <v>4.7843924374485685</v>
      </c>
      <c r="N1080" s="3">
        <v>4.5</v>
      </c>
      <c r="P1080" s="5">
        <v>0</v>
      </c>
      <c r="Q1080" s="5">
        <v>1</v>
      </c>
      <c r="R1080" s="5">
        <v>0</v>
      </c>
      <c r="T1080" s="56"/>
      <c r="U1080" s="77"/>
      <c r="V1080" s="77"/>
      <c r="AA1080" s="49">
        <f t="shared" si="312"/>
        <v>4.5</v>
      </c>
      <c r="AF1080" s="5">
        <v>0</v>
      </c>
      <c r="AG1080" s="5">
        <v>1</v>
      </c>
      <c r="AH1080" s="5">
        <v>0</v>
      </c>
      <c r="AI1080" s="5">
        <v>0</v>
      </c>
      <c r="AJ1080" s="5">
        <v>0</v>
      </c>
      <c r="AK1080" s="5">
        <v>0</v>
      </c>
      <c r="AL1080" s="5">
        <v>0</v>
      </c>
      <c r="AM1080" s="13"/>
      <c r="AN1080" s="13"/>
      <c r="AO1080" s="3">
        <v>1</v>
      </c>
      <c r="AP1080" s="5"/>
      <c r="AQ1080" s="5"/>
      <c r="AR1080" s="5"/>
      <c r="AS1080" s="5"/>
      <c r="AT1080" s="5"/>
      <c r="AU1080" s="5">
        <v>3</v>
      </c>
      <c r="AV1080" s="5"/>
      <c r="AW1080" s="5"/>
      <c r="AX1080" s="5">
        <v>0</v>
      </c>
      <c r="AY1080" s="5">
        <v>0</v>
      </c>
      <c r="AZ1080" s="5">
        <v>1</v>
      </c>
      <c r="BA1080" s="5">
        <v>1</v>
      </c>
    </row>
    <row r="1081" spans="1:53" s="41" customFormat="1" x14ac:dyDescent="0.2">
      <c r="B1081" s="14" t="str">
        <f t="shared" si="301"/>
        <v>Tol 2013</v>
      </c>
      <c r="C1081" s="61">
        <f t="shared" si="302"/>
        <v>94</v>
      </c>
      <c r="D1081" s="58">
        <v>2013</v>
      </c>
      <c r="E1081" s="38"/>
      <c r="F1081" s="58">
        <v>1</v>
      </c>
      <c r="G1081" s="5">
        <v>2010</v>
      </c>
      <c r="H1081" s="44">
        <f>LOOKUP(G1081,CPI!A$69:A$100,CPI!O$69:O$100)</f>
        <v>1</v>
      </c>
      <c r="I1081" s="69">
        <v>2013</v>
      </c>
      <c r="J1081" s="43"/>
      <c r="K1081" s="43"/>
      <c r="L1081" s="57"/>
      <c r="M1081" s="56">
        <f t="shared" si="311"/>
        <v>95.794168580914672</v>
      </c>
      <c r="N1081" s="3">
        <v>90.1</v>
      </c>
      <c r="P1081" s="5">
        <v>0</v>
      </c>
      <c r="Q1081" s="5">
        <v>1</v>
      </c>
      <c r="R1081" s="5">
        <v>0</v>
      </c>
      <c r="T1081" s="56"/>
      <c r="U1081" s="77"/>
      <c r="V1081" s="77"/>
      <c r="AA1081" s="49">
        <f t="shared" si="312"/>
        <v>90.1</v>
      </c>
      <c r="AF1081" s="5">
        <v>0</v>
      </c>
      <c r="AG1081" s="5">
        <v>1</v>
      </c>
      <c r="AH1081" s="5">
        <v>0</v>
      </c>
      <c r="AI1081" s="5">
        <v>0</v>
      </c>
      <c r="AJ1081" s="5">
        <v>0</v>
      </c>
      <c r="AK1081" s="5">
        <v>0</v>
      </c>
      <c r="AL1081" s="5">
        <v>0</v>
      </c>
      <c r="AM1081" s="13"/>
      <c r="AN1081" s="13"/>
      <c r="AO1081" s="3">
        <v>2</v>
      </c>
      <c r="AP1081" s="5"/>
      <c r="AQ1081" s="5"/>
      <c r="AR1081" s="5"/>
      <c r="AS1081" s="5"/>
      <c r="AT1081" s="5"/>
      <c r="AU1081" s="5">
        <v>3</v>
      </c>
      <c r="AV1081" s="5"/>
      <c r="AW1081" s="5"/>
      <c r="AX1081" s="5">
        <v>0</v>
      </c>
      <c r="AY1081" s="5">
        <v>0</v>
      </c>
      <c r="AZ1081" s="5">
        <v>1</v>
      </c>
      <c r="BA1081" s="5">
        <v>1</v>
      </c>
    </row>
    <row r="1082" spans="1:53" s="41" customFormat="1" x14ac:dyDescent="0.2">
      <c r="B1082" s="14" t="str">
        <f t="shared" si="301"/>
        <v>Tol 2013</v>
      </c>
      <c r="C1082" s="61">
        <f t="shared" si="302"/>
        <v>94</v>
      </c>
      <c r="D1082" s="58">
        <v>2013</v>
      </c>
      <c r="E1082" s="38"/>
      <c r="F1082" s="58">
        <v>1</v>
      </c>
      <c r="G1082" s="5">
        <v>2010</v>
      </c>
      <c r="H1082" s="44">
        <f>LOOKUP(G1082,CPI!A$69:A$100,CPI!O$69:O$100)</f>
        <v>1</v>
      </c>
      <c r="I1082" s="69">
        <v>2013</v>
      </c>
      <c r="J1082" s="43"/>
      <c r="K1082" s="43"/>
      <c r="L1082" s="57"/>
      <c r="M1082" s="56">
        <f t="shared" si="311"/>
        <v>1.2758379833196183</v>
      </c>
      <c r="N1082" s="3">
        <v>1.2</v>
      </c>
      <c r="P1082" s="5">
        <v>0</v>
      </c>
      <c r="Q1082" s="5">
        <v>1</v>
      </c>
      <c r="R1082" s="5">
        <v>0</v>
      </c>
      <c r="T1082" s="56"/>
      <c r="U1082" s="77"/>
      <c r="V1082" s="77"/>
      <c r="AA1082" s="49">
        <f t="shared" si="312"/>
        <v>1.2</v>
      </c>
      <c r="AF1082" s="5">
        <v>0</v>
      </c>
      <c r="AG1082" s="5">
        <v>1</v>
      </c>
      <c r="AH1082" s="5">
        <v>0</v>
      </c>
      <c r="AI1082" s="5">
        <v>0</v>
      </c>
      <c r="AJ1082" s="5">
        <v>0</v>
      </c>
      <c r="AK1082" s="5">
        <v>0</v>
      </c>
      <c r="AL1082" s="5">
        <v>0</v>
      </c>
      <c r="AM1082" s="13"/>
      <c r="AN1082" s="13"/>
      <c r="AO1082" s="3">
        <v>1.5</v>
      </c>
      <c r="AP1082" s="5"/>
      <c r="AQ1082" s="5"/>
      <c r="AR1082" s="5"/>
      <c r="AS1082" s="5"/>
      <c r="AT1082" s="5"/>
      <c r="AU1082" s="5">
        <v>3</v>
      </c>
      <c r="AV1082" s="5"/>
      <c r="AW1082" s="5"/>
      <c r="AX1082" s="5">
        <v>0</v>
      </c>
      <c r="AY1082" s="5">
        <v>0</v>
      </c>
      <c r="AZ1082" s="5">
        <v>1</v>
      </c>
      <c r="BA1082" s="5">
        <v>1</v>
      </c>
    </row>
    <row r="1083" spans="1:53" s="41" customFormat="1" x14ac:dyDescent="0.2">
      <c r="B1083" s="14" t="str">
        <f t="shared" si="301"/>
        <v>Tol 2013</v>
      </c>
      <c r="C1083" s="61">
        <f t="shared" si="302"/>
        <v>94</v>
      </c>
      <c r="D1083" s="58">
        <v>2013</v>
      </c>
      <c r="E1083" s="38"/>
      <c r="F1083" s="58">
        <v>1</v>
      </c>
      <c r="G1083" s="5">
        <v>2010</v>
      </c>
      <c r="H1083" s="44">
        <f>LOOKUP(G1083,CPI!A$69:A$100,CPI!O$69:O$100)</f>
        <v>1</v>
      </c>
      <c r="I1083" s="69">
        <v>2013</v>
      </c>
      <c r="J1083" s="43"/>
      <c r="K1083" s="43"/>
      <c r="L1083" s="57"/>
      <c r="M1083" s="56">
        <f t="shared" si="311"/>
        <v>202.9645591797626</v>
      </c>
      <c r="N1083" s="3">
        <v>190.9</v>
      </c>
      <c r="P1083" s="5">
        <v>0</v>
      </c>
      <c r="Q1083" s="5">
        <v>1</v>
      </c>
      <c r="R1083" s="5">
        <v>0</v>
      </c>
      <c r="T1083" s="56"/>
      <c r="U1083" s="77"/>
      <c r="V1083" s="77"/>
      <c r="AA1083" s="49">
        <f t="shared" si="312"/>
        <v>190.9</v>
      </c>
      <c r="AF1083" s="5">
        <v>0</v>
      </c>
      <c r="AG1083" s="5">
        <v>1</v>
      </c>
      <c r="AH1083" s="5">
        <v>0</v>
      </c>
      <c r="AI1083" s="5">
        <v>0</v>
      </c>
      <c r="AJ1083" s="5">
        <v>0</v>
      </c>
      <c r="AK1083" s="5">
        <v>0</v>
      </c>
      <c r="AL1083" s="5">
        <v>0</v>
      </c>
      <c r="AM1083" s="13"/>
      <c r="AN1083" s="13"/>
      <c r="AO1083" s="3">
        <v>1.5</v>
      </c>
      <c r="AP1083" s="5"/>
      <c r="AQ1083" s="5"/>
      <c r="AR1083" s="5"/>
      <c r="AS1083" s="5"/>
      <c r="AT1083" s="5"/>
      <c r="AU1083" s="5">
        <v>3</v>
      </c>
      <c r="AV1083" s="5"/>
      <c r="AW1083" s="5"/>
      <c r="AX1083" s="5">
        <v>0</v>
      </c>
      <c r="AY1083" s="5">
        <v>0</v>
      </c>
      <c r="AZ1083" s="5">
        <v>1</v>
      </c>
      <c r="BA1083" s="5">
        <v>1</v>
      </c>
    </row>
    <row r="1084" spans="1:53" s="41" customFormat="1" x14ac:dyDescent="0.2">
      <c r="B1084" s="14" t="str">
        <f t="shared" si="301"/>
        <v>Tol 2013</v>
      </c>
      <c r="C1084" s="61">
        <f t="shared" si="302"/>
        <v>94</v>
      </c>
      <c r="D1084" s="58">
        <v>2013</v>
      </c>
      <c r="E1084" s="38"/>
      <c r="F1084" s="58">
        <v>1</v>
      </c>
      <c r="G1084" s="5">
        <v>2010</v>
      </c>
      <c r="H1084" s="44">
        <f>LOOKUP(G1084,CPI!A$69:A$100,CPI!O$69:O$100)</f>
        <v>1</v>
      </c>
      <c r="I1084" s="69">
        <v>2013</v>
      </c>
      <c r="J1084" s="43"/>
      <c r="K1084" s="43"/>
      <c r="L1084" s="57"/>
      <c r="M1084" s="56">
        <f t="shared" si="311"/>
        <v>0.21263966388660305</v>
      </c>
      <c r="N1084" s="3">
        <v>0.2</v>
      </c>
      <c r="P1084" s="5">
        <v>0</v>
      </c>
      <c r="Q1084" s="5">
        <v>1</v>
      </c>
      <c r="R1084" s="5">
        <v>0</v>
      </c>
      <c r="T1084" s="56"/>
      <c r="U1084" s="77"/>
      <c r="V1084" s="77"/>
      <c r="AA1084" s="49">
        <f t="shared" si="312"/>
        <v>0.2</v>
      </c>
      <c r="AF1084" s="5">
        <v>0</v>
      </c>
      <c r="AG1084" s="5">
        <v>1</v>
      </c>
      <c r="AH1084" s="5">
        <v>0</v>
      </c>
      <c r="AI1084" s="5">
        <v>0</v>
      </c>
      <c r="AJ1084" s="5">
        <v>0</v>
      </c>
      <c r="AK1084" s="5">
        <v>0</v>
      </c>
      <c r="AL1084" s="5">
        <v>0</v>
      </c>
      <c r="AM1084" s="13"/>
      <c r="AN1084" s="13"/>
      <c r="AO1084" s="3">
        <v>1.5</v>
      </c>
      <c r="AP1084" s="5"/>
      <c r="AQ1084" s="5"/>
      <c r="AR1084" s="5"/>
      <c r="AS1084" s="5"/>
      <c r="AT1084" s="5"/>
      <c r="AU1084" s="5">
        <v>1.5</v>
      </c>
      <c r="AV1084" s="5"/>
      <c r="AW1084" s="5"/>
      <c r="AX1084" s="5">
        <v>0</v>
      </c>
      <c r="AY1084" s="5">
        <v>0</v>
      </c>
      <c r="AZ1084" s="5">
        <v>1</v>
      </c>
      <c r="BA1084" s="5">
        <v>1</v>
      </c>
    </row>
    <row r="1085" spans="1:53" s="41" customFormat="1" x14ac:dyDescent="0.2">
      <c r="B1085" s="14" t="str">
        <f t="shared" si="301"/>
        <v>Tol 2013</v>
      </c>
      <c r="C1085" s="61">
        <f t="shared" si="302"/>
        <v>94</v>
      </c>
      <c r="D1085" s="58">
        <v>2013</v>
      </c>
      <c r="E1085" s="38"/>
      <c r="F1085" s="58">
        <v>1</v>
      </c>
      <c r="G1085" s="5">
        <v>2010</v>
      </c>
      <c r="H1085" s="44">
        <f>LOOKUP(G1085,CPI!A$69:A$100,CPI!O$69:O$100)</f>
        <v>1</v>
      </c>
      <c r="I1085" s="69">
        <v>2013</v>
      </c>
      <c r="J1085" s="43"/>
      <c r="K1085" s="43"/>
      <c r="L1085" s="57"/>
      <c r="M1085" s="56">
        <f t="shared" si="311"/>
        <v>249.95792489870189</v>
      </c>
      <c r="N1085" s="3">
        <v>235.1</v>
      </c>
      <c r="P1085" s="5">
        <v>0</v>
      </c>
      <c r="Q1085" s="5">
        <v>1</v>
      </c>
      <c r="R1085" s="5">
        <v>0</v>
      </c>
      <c r="T1085" s="56"/>
      <c r="U1085" s="77"/>
      <c r="V1085" s="77"/>
      <c r="AA1085" s="49">
        <f t="shared" si="312"/>
        <v>235.1</v>
      </c>
      <c r="AF1085" s="5">
        <v>0</v>
      </c>
      <c r="AG1085" s="5">
        <v>1</v>
      </c>
      <c r="AH1085" s="5">
        <v>0</v>
      </c>
      <c r="AI1085" s="5">
        <v>0</v>
      </c>
      <c r="AJ1085" s="5">
        <v>0</v>
      </c>
      <c r="AK1085" s="5">
        <v>0</v>
      </c>
      <c r="AL1085" s="5">
        <v>0</v>
      </c>
      <c r="AM1085" s="13"/>
      <c r="AN1085" s="13"/>
      <c r="AO1085" s="3">
        <v>1.5</v>
      </c>
      <c r="AP1085" s="5"/>
      <c r="AQ1085" s="5"/>
      <c r="AR1085" s="5"/>
      <c r="AS1085" s="5"/>
      <c r="AT1085" s="5"/>
      <c r="AU1085" s="5">
        <v>4.5</v>
      </c>
      <c r="AV1085" s="5"/>
      <c r="AW1085" s="5"/>
      <c r="AX1085" s="5">
        <v>0</v>
      </c>
      <c r="AY1085" s="5">
        <v>0</v>
      </c>
      <c r="AZ1085" s="5">
        <v>1</v>
      </c>
      <c r="BA1085" s="5">
        <v>1</v>
      </c>
    </row>
    <row r="1086" spans="1:53" s="41" customFormat="1" x14ac:dyDescent="0.2">
      <c r="A1086" s="41" t="s">
        <v>164</v>
      </c>
      <c r="B1086" s="14" t="str">
        <f t="shared" si="301"/>
        <v>Weitzman 2013</v>
      </c>
      <c r="C1086" s="61">
        <f t="shared" si="302"/>
        <v>95</v>
      </c>
      <c r="D1086" s="58">
        <v>2013</v>
      </c>
      <c r="E1086" s="38" t="s">
        <v>165</v>
      </c>
      <c r="F1086" s="58">
        <v>1</v>
      </c>
      <c r="G1086" s="5">
        <v>2007</v>
      </c>
      <c r="H1086" s="44">
        <f>LOOKUP(G1086,CPI!A$69:A$100,CPI!O$69:O$100)</f>
        <v>1.0516730811895323</v>
      </c>
      <c r="I1086" s="52">
        <v>2010</v>
      </c>
      <c r="J1086" s="43"/>
      <c r="K1086" s="43"/>
      <c r="L1086" s="57"/>
      <c r="M1086" s="56">
        <f t="shared" ref="M1086:M1098" si="313">AA1086*H1086*(1+$L$2)^(2015-I1086)</f>
        <v>4.4945673423196206</v>
      </c>
      <c r="N1086" s="3">
        <f>1*(44/12)</f>
        <v>3.6666666666666665</v>
      </c>
      <c r="O1086" s="50">
        <f>+N1086</f>
        <v>3.6666666666666665</v>
      </c>
      <c r="P1086" s="5">
        <v>0</v>
      </c>
      <c r="Q1086" s="5">
        <v>1</v>
      </c>
      <c r="R1086" s="5">
        <v>0</v>
      </c>
      <c r="T1086" s="56" t="str">
        <f t="shared" ref="T1086:T1099" si="314">IF(OR(M1086="",S1086=""),"",S1086*H1086*(1+$L$2)^(2015-I1086))</f>
        <v/>
      </c>
      <c r="U1086" s="56" t="str">
        <f t="shared" ref="U1086:U1099" si="315">+V1086</f>
        <v/>
      </c>
      <c r="V1086" s="56" t="str">
        <f t="shared" ref="V1086:V1099" si="316">+T1086</f>
        <v/>
      </c>
      <c r="AA1086" s="37">
        <f t="shared" ref="AA1086:AA1099" si="317">O1086</f>
        <v>3.6666666666666665</v>
      </c>
      <c r="AF1086" s="5">
        <v>0</v>
      </c>
      <c r="AG1086" s="5">
        <v>1</v>
      </c>
      <c r="AH1086" s="5">
        <v>1</v>
      </c>
      <c r="AI1086" s="5">
        <v>1</v>
      </c>
      <c r="AJ1086" s="5">
        <v>1</v>
      </c>
      <c r="AK1086" s="5">
        <v>1</v>
      </c>
      <c r="AL1086" s="5">
        <v>1</v>
      </c>
      <c r="AM1086" s="13">
        <v>7.0000000000000009</v>
      </c>
      <c r="AN1086" s="13"/>
      <c r="AO1086" s="5"/>
      <c r="AP1086" s="5" t="s">
        <v>25</v>
      </c>
      <c r="AQ1086" s="5"/>
      <c r="AR1086" s="5">
        <v>0</v>
      </c>
      <c r="AS1086" s="5">
        <v>0</v>
      </c>
      <c r="AT1086" s="5"/>
      <c r="AU1086" s="5"/>
      <c r="AV1086" s="5"/>
      <c r="AW1086" s="5"/>
      <c r="AX1086" s="5">
        <v>0</v>
      </c>
      <c r="AY1086" s="5">
        <v>0</v>
      </c>
      <c r="AZ1086" s="5">
        <v>0</v>
      </c>
      <c r="BA1086" s="5">
        <v>0</v>
      </c>
    </row>
    <row r="1087" spans="1:53" s="41" customFormat="1" x14ac:dyDescent="0.2">
      <c r="B1087" s="14" t="str">
        <f t="shared" si="301"/>
        <v>Weitzman 2013</v>
      </c>
      <c r="C1087" s="61">
        <f t="shared" si="302"/>
        <v>95</v>
      </c>
      <c r="D1087" s="58">
        <v>2013</v>
      </c>
      <c r="E1087" s="38"/>
      <c r="F1087" s="58">
        <v>1</v>
      </c>
      <c r="G1087" s="5">
        <v>2007</v>
      </c>
      <c r="H1087" s="44">
        <f>LOOKUP(G1087,CPI!A$69:A$100,CPI!O$69:O$100)</f>
        <v>1.0516730811895323</v>
      </c>
      <c r="I1087" s="52">
        <v>2010</v>
      </c>
      <c r="J1087" s="43"/>
      <c r="K1087" s="43"/>
      <c r="L1087" s="57"/>
      <c r="M1087" s="56">
        <f t="shared" si="313"/>
        <v>22.472836711598106</v>
      </c>
      <c r="N1087" s="3">
        <f>5*(44/12)</f>
        <v>18.333333333333332</v>
      </c>
      <c r="O1087" s="50">
        <f t="shared" ref="O1087:O1099" si="318">+N1087</f>
        <v>18.333333333333332</v>
      </c>
      <c r="P1087" s="5">
        <v>0</v>
      </c>
      <c r="Q1087" s="5">
        <v>1</v>
      </c>
      <c r="R1087" s="5">
        <v>0</v>
      </c>
      <c r="T1087" s="56" t="str">
        <f t="shared" si="314"/>
        <v/>
      </c>
      <c r="U1087" s="56" t="str">
        <f t="shared" si="315"/>
        <v/>
      </c>
      <c r="V1087" s="56" t="str">
        <f t="shared" si="316"/>
        <v/>
      </c>
      <c r="AA1087" s="37">
        <f t="shared" si="317"/>
        <v>18.333333333333332</v>
      </c>
      <c r="AF1087" s="5">
        <v>0</v>
      </c>
      <c r="AG1087" s="5">
        <v>1</v>
      </c>
      <c r="AH1087" s="5">
        <v>1</v>
      </c>
      <c r="AI1087" s="5">
        <v>1</v>
      </c>
      <c r="AJ1087" s="5">
        <v>1</v>
      </c>
      <c r="AK1087" s="5">
        <v>1</v>
      </c>
      <c r="AL1087" s="5">
        <v>1</v>
      </c>
      <c r="AM1087" s="13">
        <v>5</v>
      </c>
      <c r="AN1087" s="13"/>
      <c r="AO1087" s="5"/>
      <c r="AP1087" s="5" t="s">
        <v>25</v>
      </c>
      <c r="AQ1087" s="5"/>
      <c r="AR1087" s="5">
        <v>0</v>
      </c>
      <c r="AS1087" s="5">
        <v>0</v>
      </c>
      <c r="AT1087" s="5"/>
      <c r="AU1087" s="5"/>
      <c r="AV1087" s="5"/>
      <c r="AW1087" s="5"/>
      <c r="AX1087" s="5">
        <v>0</v>
      </c>
      <c r="AY1087" s="5">
        <v>0</v>
      </c>
      <c r="AZ1087" s="5">
        <v>0</v>
      </c>
      <c r="BA1087" s="5">
        <v>0</v>
      </c>
    </row>
    <row r="1088" spans="1:53" s="41" customFormat="1" x14ac:dyDescent="0.2">
      <c r="B1088" s="14" t="str">
        <f t="shared" si="301"/>
        <v>Weitzman 2013</v>
      </c>
      <c r="C1088" s="61">
        <f t="shared" si="302"/>
        <v>95</v>
      </c>
      <c r="D1088" s="58">
        <v>2013</v>
      </c>
      <c r="E1088" s="38"/>
      <c r="F1088" s="58">
        <v>1</v>
      </c>
      <c r="G1088" s="5">
        <v>2007</v>
      </c>
      <c r="H1088" s="44">
        <f>LOOKUP(G1088,CPI!A$69:A$100,CPI!O$69:O$100)</f>
        <v>1.0516730811895323</v>
      </c>
      <c r="I1088" s="52">
        <v>2010</v>
      </c>
      <c r="J1088" s="43"/>
      <c r="K1088" s="43"/>
      <c r="L1088" s="57"/>
      <c r="M1088" s="56">
        <f t="shared" si="313"/>
        <v>94.38591418871205</v>
      </c>
      <c r="N1088" s="3">
        <f>21*(44/12)</f>
        <v>77</v>
      </c>
      <c r="O1088" s="50">
        <f t="shared" si="318"/>
        <v>77</v>
      </c>
      <c r="P1088" s="5">
        <v>0</v>
      </c>
      <c r="Q1088" s="5">
        <v>1</v>
      </c>
      <c r="R1088" s="5">
        <v>0</v>
      </c>
      <c r="T1088" s="56" t="str">
        <f t="shared" si="314"/>
        <v/>
      </c>
      <c r="U1088" s="56" t="str">
        <f t="shared" si="315"/>
        <v/>
      </c>
      <c r="V1088" s="56" t="str">
        <f t="shared" si="316"/>
        <v/>
      </c>
      <c r="AA1088" s="37">
        <f t="shared" si="317"/>
        <v>77</v>
      </c>
      <c r="AF1088" s="5">
        <v>0</v>
      </c>
      <c r="AG1088" s="5">
        <v>1</v>
      </c>
      <c r="AH1088" s="5">
        <v>1</v>
      </c>
      <c r="AI1088" s="5">
        <v>1</v>
      </c>
      <c r="AJ1088" s="5">
        <v>1</v>
      </c>
      <c r="AK1088" s="5">
        <v>1</v>
      </c>
      <c r="AL1088" s="5">
        <v>1</v>
      </c>
      <c r="AM1088" s="13">
        <v>3</v>
      </c>
      <c r="AN1088" s="13"/>
      <c r="AO1088" s="5"/>
      <c r="AP1088" s="5" t="s">
        <v>25</v>
      </c>
      <c r="AQ1088" s="5"/>
      <c r="AR1088" s="5">
        <v>0</v>
      </c>
      <c r="AS1088" s="5">
        <v>0</v>
      </c>
      <c r="AT1088" s="5"/>
      <c r="AU1088" s="5"/>
      <c r="AV1088" s="5"/>
      <c r="AW1088" s="5"/>
      <c r="AX1088" s="5">
        <v>0</v>
      </c>
      <c r="AY1088" s="5">
        <v>0</v>
      </c>
      <c r="AZ1088" s="5">
        <v>0</v>
      </c>
      <c r="BA1088" s="5">
        <v>0</v>
      </c>
    </row>
    <row r="1089" spans="1:53" s="41" customFormat="1" x14ac:dyDescent="0.2">
      <c r="B1089" s="14" t="str">
        <f t="shared" si="301"/>
        <v>Weitzman 2013</v>
      </c>
      <c r="C1089" s="61">
        <f t="shared" si="302"/>
        <v>95</v>
      </c>
      <c r="D1089" s="58">
        <v>2013</v>
      </c>
      <c r="E1089" s="38"/>
      <c r="F1089" s="58">
        <v>1</v>
      </c>
      <c r="G1089" s="5">
        <v>2007</v>
      </c>
      <c r="H1089" s="44">
        <f>LOOKUP(G1089,CPI!A$69:A$100,CPI!O$69:O$100)</f>
        <v>1.0516730811895323</v>
      </c>
      <c r="I1089" s="52">
        <v>2010</v>
      </c>
      <c r="J1089" s="43"/>
      <c r="K1089" s="43"/>
      <c r="L1089" s="57"/>
      <c r="M1089" s="56">
        <f t="shared" si="313"/>
        <v>157.30985698118673</v>
      </c>
      <c r="N1089" s="3">
        <f>35*(44/12)</f>
        <v>128.33333333333331</v>
      </c>
      <c r="O1089" s="50">
        <f t="shared" si="318"/>
        <v>128.33333333333331</v>
      </c>
      <c r="P1089" s="5">
        <v>0</v>
      </c>
      <c r="Q1089" s="5">
        <v>1</v>
      </c>
      <c r="R1089" s="5">
        <v>0</v>
      </c>
      <c r="T1089" s="56" t="str">
        <f t="shared" si="314"/>
        <v/>
      </c>
      <c r="U1089" s="56" t="str">
        <f t="shared" si="315"/>
        <v/>
      </c>
      <c r="V1089" s="56" t="str">
        <f t="shared" si="316"/>
        <v/>
      </c>
      <c r="AA1089" s="37">
        <f t="shared" si="317"/>
        <v>128.33333333333331</v>
      </c>
      <c r="AF1089" s="5">
        <v>0</v>
      </c>
      <c r="AG1089" s="5">
        <v>1</v>
      </c>
      <c r="AH1089" s="5">
        <v>1</v>
      </c>
      <c r="AI1089" s="5">
        <v>1</v>
      </c>
      <c r="AJ1089" s="5">
        <v>1</v>
      </c>
      <c r="AK1089" s="5">
        <v>1</v>
      </c>
      <c r="AL1089" s="5">
        <v>1</v>
      </c>
      <c r="AM1089" s="13">
        <v>2.5</v>
      </c>
      <c r="AN1089" s="13"/>
      <c r="AO1089" s="5"/>
      <c r="AP1089" s="5" t="s">
        <v>25</v>
      </c>
      <c r="AQ1089" s="5"/>
      <c r="AR1089" s="5">
        <v>0</v>
      </c>
      <c r="AS1089" s="5">
        <v>0</v>
      </c>
      <c r="AT1089" s="5"/>
      <c r="AU1089" s="5"/>
      <c r="AV1089" s="5"/>
      <c r="AW1089" s="5"/>
      <c r="AX1089" s="5">
        <v>0</v>
      </c>
      <c r="AY1089" s="5">
        <v>0</v>
      </c>
      <c r="AZ1089" s="5">
        <v>0</v>
      </c>
      <c r="BA1089" s="5">
        <v>0</v>
      </c>
    </row>
    <row r="1090" spans="1:53" s="41" customFormat="1" x14ac:dyDescent="0.2">
      <c r="B1090" s="14" t="str">
        <f t="shared" si="301"/>
        <v>Weitzman 2013</v>
      </c>
      <c r="C1090" s="61">
        <f t="shared" si="302"/>
        <v>95</v>
      </c>
      <c r="D1090" s="58">
        <v>2013</v>
      </c>
      <c r="E1090" s="38"/>
      <c r="F1090" s="58">
        <v>1</v>
      </c>
      <c r="G1090" s="5">
        <v>2007</v>
      </c>
      <c r="H1090" s="44">
        <f>LOOKUP(G1090,CPI!A$69:A$100,CPI!O$69:O$100)</f>
        <v>1.0516730811895323</v>
      </c>
      <c r="I1090" s="52">
        <v>2010</v>
      </c>
      <c r="J1090" s="43"/>
      <c r="K1090" s="43"/>
      <c r="L1090" s="57"/>
      <c r="M1090" s="56">
        <f t="shared" si="313"/>
        <v>278.66317522381649</v>
      </c>
      <c r="N1090" s="3">
        <f>62*(44/12)</f>
        <v>227.33333333333331</v>
      </c>
      <c r="O1090" s="50">
        <f t="shared" si="318"/>
        <v>227.33333333333331</v>
      </c>
      <c r="P1090" s="5">
        <v>0</v>
      </c>
      <c r="Q1090" s="5">
        <v>1</v>
      </c>
      <c r="R1090" s="5">
        <v>0</v>
      </c>
      <c r="T1090" s="56" t="str">
        <f t="shared" si="314"/>
        <v/>
      </c>
      <c r="U1090" s="56" t="str">
        <f t="shared" si="315"/>
        <v/>
      </c>
      <c r="V1090" s="56" t="str">
        <f t="shared" si="316"/>
        <v/>
      </c>
      <c r="AA1090" s="37">
        <f t="shared" si="317"/>
        <v>227.33333333333331</v>
      </c>
      <c r="AF1090" s="5">
        <v>0</v>
      </c>
      <c r="AG1090" s="5">
        <v>1</v>
      </c>
      <c r="AH1090" s="5">
        <v>1</v>
      </c>
      <c r="AI1090" s="5">
        <v>1</v>
      </c>
      <c r="AJ1090" s="5">
        <v>1</v>
      </c>
      <c r="AK1090" s="5">
        <v>1</v>
      </c>
      <c r="AL1090" s="5">
        <v>1</v>
      </c>
      <c r="AM1090" s="13">
        <v>2</v>
      </c>
      <c r="AN1090" s="13"/>
      <c r="AO1090" s="5"/>
      <c r="AP1090" s="5" t="s">
        <v>25</v>
      </c>
      <c r="AQ1090" s="5"/>
      <c r="AR1090" s="5">
        <v>0</v>
      </c>
      <c r="AS1090" s="5">
        <v>0</v>
      </c>
      <c r="AT1090" s="5"/>
      <c r="AU1090" s="5"/>
      <c r="AV1090" s="5"/>
      <c r="AW1090" s="5"/>
      <c r="AX1090" s="5">
        <v>0</v>
      </c>
      <c r="AY1090" s="5">
        <v>0</v>
      </c>
      <c r="AZ1090" s="5">
        <v>0</v>
      </c>
      <c r="BA1090" s="5">
        <v>0</v>
      </c>
    </row>
    <row r="1091" spans="1:53" s="41" customFormat="1" x14ac:dyDescent="0.2">
      <c r="B1091" s="14" t="str">
        <f t="shared" si="301"/>
        <v>Weitzman 2013</v>
      </c>
      <c r="C1091" s="61">
        <f t="shared" si="302"/>
        <v>95</v>
      </c>
      <c r="D1091" s="58">
        <v>2013</v>
      </c>
      <c r="E1091" s="38"/>
      <c r="F1091" s="58">
        <v>1</v>
      </c>
      <c r="G1091" s="5">
        <v>2007</v>
      </c>
      <c r="H1091" s="44">
        <f>LOOKUP(G1091,CPI!A$69:A$100,CPI!O$69:O$100)</f>
        <v>1.0516730811895323</v>
      </c>
      <c r="I1091" s="52">
        <v>2010</v>
      </c>
      <c r="J1091" s="43"/>
      <c r="K1091" s="43"/>
      <c r="L1091" s="57"/>
      <c r="M1091" s="56">
        <f t="shared" si="313"/>
        <v>548.33721576299376</v>
      </c>
      <c r="N1091" s="3">
        <f>122*(44/12)</f>
        <v>447.33333333333331</v>
      </c>
      <c r="O1091" s="50">
        <f t="shared" si="318"/>
        <v>447.33333333333331</v>
      </c>
      <c r="P1091" s="5">
        <v>0</v>
      </c>
      <c r="Q1091" s="5">
        <v>1</v>
      </c>
      <c r="R1091" s="5">
        <v>0</v>
      </c>
      <c r="T1091" s="56" t="str">
        <f t="shared" si="314"/>
        <v/>
      </c>
      <c r="U1091" s="56" t="str">
        <f t="shared" si="315"/>
        <v/>
      </c>
      <c r="V1091" s="56" t="str">
        <f t="shared" si="316"/>
        <v/>
      </c>
      <c r="AA1091" s="37">
        <f t="shared" si="317"/>
        <v>447.33333333333331</v>
      </c>
      <c r="AF1091" s="5">
        <v>0</v>
      </c>
      <c r="AG1091" s="5">
        <v>1</v>
      </c>
      <c r="AH1091" s="5">
        <v>1</v>
      </c>
      <c r="AI1091" s="5">
        <v>1</v>
      </c>
      <c r="AJ1091" s="5">
        <v>1</v>
      </c>
      <c r="AK1091" s="5">
        <v>1</v>
      </c>
      <c r="AL1091" s="5">
        <v>1</v>
      </c>
      <c r="AM1091" s="13">
        <v>1.5</v>
      </c>
      <c r="AN1091" s="13"/>
      <c r="AO1091" s="5"/>
      <c r="AP1091" s="5" t="s">
        <v>25</v>
      </c>
      <c r="AQ1091" s="5"/>
      <c r="AR1091" s="5">
        <v>0</v>
      </c>
      <c r="AS1091" s="5">
        <v>0</v>
      </c>
      <c r="AT1091" s="5"/>
      <c r="AU1091" s="5"/>
      <c r="AV1091" s="5"/>
      <c r="AW1091" s="5"/>
      <c r="AX1091" s="5">
        <v>0</v>
      </c>
      <c r="AY1091" s="5">
        <v>0</v>
      </c>
      <c r="AZ1091" s="5">
        <v>0</v>
      </c>
      <c r="BA1091" s="5">
        <v>0</v>
      </c>
    </row>
    <row r="1092" spans="1:53" s="41" customFormat="1" x14ac:dyDescent="0.2">
      <c r="B1092" s="14" t="str">
        <f t="shared" si="301"/>
        <v>Weitzman 2013</v>
      </c>
      <c r="C1092" s="61">
        <f t="shared" si="302"/>
        <v>95</v>
      </c>
      <c r="D1092" s="58">
        <v>2013</v>
      </c>
      <c r="E1092" s="38"/>
      <c r="F1092" s="58">
        <v>1</v>
      </c>
      <c r="G1092" s="5">
        <v>2007</v>
      </c>
      <c r="H1092" s="44">
        <f>LOOKUP(G1092,CPI!A$69:A$100,CPI!O$69:O$100)</f>
        <v>1.0516730811895323</v>
      </c>
      <c r="I1092" s="52">
        <v>2010</v>
      </c>
      <c r="J1092" s="43"/>
      <c r="K1092" s="43"/>
      <c r="L1092" s="57"/>
      <c r="M1092" s="56">
        <f t="shared" si="313"/>
        <v>1195.5549130570193</v>
      </c>
      <c r="N1092" s="3">
        <f>266*(44/12)</f>
        <v>975.33333333333326</v>
      </c>
      <c r="O1092" s="50">
        <f t="shared" si="318"/>
        <v>975.33333333333326</v>
      </c>
      <c r="P1092" s="5">
        <v>0</v>
      </c>
      <c r="Q1092" s="5">
        <v>1</v>
      </c>
      <c r="R1092" s="5">
        <v>0</v>
      </c>
      <c r="T1092" s="56" t="str">
        <f t="shared" si="314"/>
        <v/>
      </c>
      <c r="U1092" s="56" t="str">
        <f t="shared" si="315"/>
        <v/>
      </c>
      <c r="V1092" s="56" t="str">
        <f t="shared" si="316"/>
        <v/>
      </c>
      <c r="AA1092" s="37">
        <f t="shared" si="317"/>
        <v>975.33333333333326</v>
      </c>
      <c r="AF1092" s="5">
        <v>0</v>
      </c>
      <c r="AG1092" s="5">
        <v>1</v>
      </c>
      <c r="AH1092" s="5">
        <v>1</v>
      </c>
      <c r="AI1092" s="5">
        <v>1</v>
      </c>
      <c r="AJ1092" s="5">
        <v>1</v>
      </c>
      <c r="AK1092" s="5">
        <v>1</v>
      </c>
      <c r="AL1092" s="5">
        <v>1</v>
      </c>
      <c r="AM1092" s="13">
        <v>1</v>
      </c>
      <c r="AN1092" s="13"/>
      <c r="AO1092" s="5"/>
      <c r="AP1092" s="5" t="s">
        <v>25</v>
      </c>
      <c r="AQ1092" s="5"/>
      <c r="AR1092" s="5">
        <v>0</v>
      </c>
      <c r="AS1092" s="5">
        <v>0</v>
      </c>
      <c r="AT1092" s="5"/>
      <c r="AU1092" s="5"/>
      <c r="AV1092" s="5"/>
      <c r="AW1092" s="5"/>
      <c r="AX1092" s="5">
        <v>0</v>
      </c>
      <c r="AY1092" s="5">
        <v>0</v>
      </c>
      <c r="AZ1092" s="5">
        <v>0</v>
      </c>
      <c r="BA1092" s="5">
        <v>0</v>
      </c>
    </row>
    <row r="1093" spans="1:53" s="41" customFormat="1" x14ac:dyDescent="0.2">
      <c r="B1093" s="14" t="str">
        <f t="shared" si="301"/>
        <v>Weitzman 2013</v>
      </c>
      <c r="C1093" s="61">
        <f t="shared" si="302"/>
        <v>95</v>
      </c>
      <c r="D1093" s="58">
        <v>2013</v>
      </c>
      <c r="E1093" s="38"/>
      <c r="F1093" s="58">
        <v>1</v>
      </c>
      <c r="G1093" s="5">
        <v>2007</v>
      </c>
      <c r="H1093" s="44">
        <f>LOOKUP(G1093,CPI!A$69:A$100,CPI!O$69:O$100)</f>
        <v>1.0516730811895323</v>
      </c>
      <c r="I1093" s="52">
        <v>2010</v>
      </c>
      <c r="J1093" s="43"/>
      <c r="K1093" s="43"/>
      <c r="L1093" s="57"/>
      <c r="M1093" s="56">
        <f t="shared" si="313"/>
        <v>1195.5549130570193</v>
      </c>
      <c r="N1093" s="3">
        <f>266*(44/12)</f>
        <v>975.33333333333326</v>
      </c>
      <c r="O1093" s="50">
        <f t="shared" si="318"/>
        <v>975.33333333333326</v>
      </c>
      <c r="P1093" s="5">
        <v>0</v>
      </c>
      <c r="Q1093" s="5">
        <v>1</v>
      </c>
      <c r="R1093" s="5">
        <v>0</v>
      </c>
      <c r="T1093" s="56" t="str">
        <f t="shared" si="314"/>
        <v/>
      </c>
      <c r="U1093" s="56" t="str">
        <f t="shared" si="315"/>
        <v/>
      </c>
      <c r="V1093" s="56" t="str">
        <f t="shared" si="316"/>
        <v/>
      </c>
      <c r="AA1093" s="37">
        <f t="shared" si="317"/>
        <v>975.33333333333326</v>
      </c>
      <c r="AF1093" s="5">
        <v>0</v>
      </c>
      <c r="AG1093" s="5">
        <v>1</v>
      </c>
      <c r="AH1093" s="5">
        <v>1</v>
      </c>
      <c r="AI1093" s="5">
        <v>1</v>
      </c>
      <c r="AJ1093" s="5">
        <v>1</v>
      </c>
      <c r="AK1093" s="5">
        <v>1</v>
      </c>
      <c r="AL1093" s="5">
        <v>1</v>
      </c>
      <c r="AM1093" s="13">
        <v>1</v>
      </c>
      <c r="AN1093" s="13"/>
      <c r="AO1093" s="5"/>
      <c r="AP1093" s="5" t="s">
        <v>25</v>
      </c>
      <c r="AQ1093" s="5"/>
      <c r="AR1093" s="5">
        <v>0</v>
      </c>
      <c r="AS1093" s="5">
        <v>0</v>
      </c>
      <c r="AT1093" s="5"/>
      <c r="AU1093" s="5"/>
      <c r="AV1093" s="5"/>
      <c r="AW1093" s="5"/>
      <c r="AX1093" s="5">
        <v>0</v>
      </c>
      <c r="AY1093" s="5">
        <v>0</v>
      </c>
      <c r="AZ1093" s="5">
        <v>0</v>
      </c>
      <c r="BA1093" s="5">
        <v>0</v>
      </c>
    </row>
    <row r="1094" spans="1:53" s="41" customFormat="1" x14ac:dyDescent="0.2">
      <c r="B1094" s="14" t="str">
        <f t="shared" si="301"/>
        <v>Weitzman 2013</v>
      </c>
      <c r="C1094" s="61">
        <f t="shared" si="302"/>
        <v>95</v>
      </c>
      <c r="D1094" s="58">
        <v>2013</v>
      </c>
      <c r="E1094" s="38"/>
      <c r="F1094" s="58">
        <v>1</v>
      </c>
      <c r="G1094" s="5">
        <v>2007</v>
      </c>
      <c r="H1094" s="44">
        <f>LOOKUP(G1094,CPI!A$69:A$100,CPI!O$69:O$100)</f>
        <v>1.0516730811895323</v>
      </c>
      <c r="I1094" s="52">
        <v>2010</v>
      </c>
      <c r="J1094" s="43"/>
      <c r="K1094" s="43"/>
      <c r="L1094" s="57"/>
      <c r="M1094" s="56">
        <f t="shared" si="313"/>
        <v>1024.7613540488737</v>
      </c>
      <c r="N1094" s="3">
        <f>228*(44/12)</f>
        <v>836</v>
      </c>
      <c r="O1094" s="50">
        <f t="shared" si="318"/>
        <v>836</v>
      </c>
      <c r="P1094" s="5">
        <v>0</v>
      </c>
      <c r="Q1094" s="5">
        <v>1</v>
      </c>
      <c r="R1094" s="5">
        <v>0</v>
      </c>
      <c r="T1094" s="56" t="str">
        <f t="shared" si="314"/>
        <v/>
      </c>
      <c r="U1094" s="56" t="str">
        <f t="shared" si="315"/>
        <v/>
      </c>
      <c r="V1094" s="56" t="str">
        <f t="shared" si="316"/>
        <v/>
      </c>
      <c r="AA1094" s="37">
        <f t="shared" si="317"/>
        <v>836</v>
      </c>
      <c r="AF1094" s="5">
        <v>0</v>
      </c>
      <c r="AG1094" s="5">
        <v>1</v>
      </c>
      <c r="AH1094" s="5">
        <v>1</v>
      </c>
      <c r="AI1094" s="5">
        <v>1</v>
      </c>
      <c r="AJ1094" s="5">
        <v>1</v>
      </c>
      <c r="AK1094" s="5">
        <v>1</v>
      </c>
      <c r="AL1094" s="5">
        <v>1</v>
      </c>
      <c r="AM1094" s="13">
        <v>1</v>
      </c>
      <c r="AN1094" s="13"/>
      <c r="AO1094" s="5"/>
      <c r="AP1094" s="5" t="s">
        <v>25</v>
      </c>
      <c r="AQ1094" s="5"/>
      <c r="AR1094" s="5">
        <v>0</v>
      </c>
      <c r="AS1094" s="5">
        <v>0</v>
      </c>
      <c r="AT1094" s="5"/>
      <c r="AU1094" s="5"/>
      <c r="AV1094" s="5"/>
      <c r="AW1094" s="5"/>
      <c r="AX1094" s="5">
        <v>0</v>
      </c>
      <c r="AY1094" s="5">
        <v>0</v>
      </c>
      <c r="AZ1094" s="5">
        <v>0</v>
      </c>
      <c r="BA1094" s="5">
        <v>0</v>
      </c>
    </row>
    <row r="1095" spans="1:53" s="41" customFormat="1" x14ac:dyDescent="0.2">
      <c r="B1095" s="14" t="str">
        <f t="shared" si="301"/>
        <v>Weitzman 2013</v>
      </c>
      <c r="C1095" s="61">
        <f t="shared" si="302"/>
        <v>95</v>
      </c>
      <c r="D1095" s="58">
        <v>2013</v>
      </c>
      <c r="E1095" s="38"/>
      <c r="F1095" s="58">
        <v>1</v>
      </c>
      <c r="G1095" s="5">
        <v>2007</v>
      </c>
      <c r="H1095" s="44">
        <f>LOOKUP(G1095,CPI!A$69:A$100,CPI!O$69:O$100)</f>
        <v>1.0516730811895323</v>
      </c>
      <c r="I1095" s="52">
        <v>2010</v>
      </c>
      <c r="J1095" s="43"/>
      <c r="K1095" s="43"/>
      <c r="L1095" s="57"/>
      <c r="M1095" s="56">
        <f t="shared" si="313"/>
        <v>822.50582364449076</v>
      </c>
      <c r="N1095" s="3">
        <f>183*(44/12)</f>
        <v>671</v>
      </c>
      <c r="O1095" s="50">
        <f t="shared" si="318"/>
        <v>671</v>
      </c>
      <c r="P1095" s="5">
        <v>0</v>
      </c>
      <c r="Q1095" s="5">
        <v>1</v>
      </c>
      <c r="R1095" s="5">
        <v>0</v>
      </c>
      <c r="T1095" s="56" t="str">
        <f t="shared" si="314"/>
        <v/>
      </c>
      <c r="U1095" s="56" t="str">
        <f t="shared" si="315"/>
        <v/>
      </c>
      <c r="V1095" s="56" t="str">
        <f t="shared" si="316"/>
        <v/>
      </c>
      <c r="AA1095" s="37">
        <f t="shared" si="317"/>
        <v>671</v>
      </c>
      <c r="AF1095" s="5">
        <v>0</v>
      </c>
      <c r="AG1095" s="5">
        <v>1</v>
      </c>
      <c r="AH1095" s="5">
        <v>1</v>
      </c>
      <c r="AI1095" s="5">
        <v>1</v>
      </c>
      <c r="AJ1095" s="5">
        <v>1</v>
      </c>
      <c r="AK1095" s="5">
        <v>1</v>
      </c>
      <c r="AL1095" s="5">
        <v>1</v>
      </c>
      <c r="AM1095" s="13">
        <v>1</v>
      </c>
      <c r="AN1095" s="13"/>
      <c r="AO1095" s="5"/>
      <c r="AP1095" s="5" t="s">
        <v>25</v>
      </c>
      <c r="AQ1095" s="5"/>
      <c r="AR1095" s="5">
        <v>0</v>
      </c>
      <c r="AS1095" s="5">
        <v>0</v>
      </c>
      <c r="AT1095" s="5"/>
      <c r="AU1095" s="5"/>
      <c r="AV1095" s="5"/>
      <c r="AW1095" s="5"/>
      <c r="AX1095" s="5">
        <v>0</v>
      </c>
      <c r="AY1095" s="5">
        <v>0</v>
      </c>
      <c r="AZ1095" s="5">
        <v>0</v>
      </c>
      <c r="BA1095" s="5">
        <v>0</v>
      </c>
    </row>
    <row r="1096" spans="1:53" s="41" customFormat="1" x14ac:dyDescent="0.2">
      <c r="B1096" s="14" t="str">
        <f t="shared" si="301"/>
        <v>Weitzman 2013</v>
      </c>
      <c r="C1096" s="61">
        <f t="shared" si="302"/>
        <v>95</v>
      </c>
      <c r="D1096" s="58">
        <v>2013</v>
      </c>
      <c r="E1096" s="38"/>
      <c r="F1096" s="58">
        <v>1</v>
      </c>
      <c r="G1096" s="5">
        <v>2007</v>
      </c>
      <c r="H1096" s="44">
        <f>LOOKUP(G1096,CPI!A$69:A$100,CPI!O$69:O$100)</f>
        <v>1.0516730811895323</v>
      </c>
      <c r="I1096" s="52">
        <v>2010</v>
      </c>
      <c r="J1096" s="43"/>
      <c r="K1096" s="43"/>
      <c r="L1096" s="57"/>
      <c r="M1096" s="56">
        <f t="shared" si="313"/>
        <v>629.23942792474691</v>
      </c>
      <c r="N1096" s="3">
        <f>140*(44/12)</f>
        <v>513.33333333333326</v>
      </c>
      <c r="O1096" s="50">
        <f t="shared" si="318"/>
        <v>513.33333333333326</v>
      </c>
      <c r="P1096" s="5">
        <v>0</v>
      </c>
      <c r="Q1096" s="5">
        <v>1</v>
      </c>
      <c r="R1096" s="5">
        <v>0</v>
      </c>
      <c r="T1096" s="56" t="str">
        <f t="shared" si="314"/>
        <v/>
      </c>
      <c r="U1096" s="56" t="str">
        <f t="shared" si="315"/>
        <v/>
      </c>
      <c r="V1096" s="56" t="str">
        <f t="shared" si="316"/>
        <v/>
      </c>
      <c r="AA1096" s="37">
        <f t="shared" si="317"/>
        <v>513.33333333333326</v>
      </c>
      <c r="AF1096" s="5">
        <v>0</v>
      </c>
      <c r="AG1096" s="5">
        <v>1</v>
      </c>
      <c r="AH1096" s="5">
        <v>1</v>
      </c>
      <c r="AI1096" s="5">
        <v>1</v>
      </c>
      <c r="AJ1096" s="5">
        <v>1</v>
      </c>
      <c r="AK1096" s="5">
        <v>1</v>
      </c>
      <c r="AL1096" s="5">
        <v>1</v>
      </c>
      <c r="AM1096" s="13">
        <v>1</v>
      </c>
      <c r="AN1096" s="13"/>
      <c r="AO1096" s="5"/>
      <c r="AP1096" s="5" t="s">
        <v>25</v>
      </c>
      <c r="AQ1096" s="5"/>
      <c r="AR1096" s="5">
        <v>0</v>
      </c>
      <c r="AS1096" s="5">
        <v>0</v>
      </c>
      <c r="AT1096" s="5"/>
      <c r="AU1096" s="5"/>
      <c r="AV1096" s="5"/>
      <c r="AW1096" s="5"/>
      <c r="AX1096" s="5">
        <v>0</v>
      </c>
      <c r="AY1096" s="5">
        <v>0</v>
      </c>
      <c r="AZ1096" s="5">
        <v>0</v>
      </c>
      <c r="BA1096" s="5">
        <v>0</v>
      </c>
    </row>
    <row r="1097" spans="1:53" s="41" customFormat="1" x14ac:dyDescent="0.2">
      <c r="B1097" s="14" t="str">
        <f t="shared" ref="B1097:B1135" si="319">+IF(A1097="",B1096,A1097&amp;" "&amp;D1097)</f>
        <v>Weitzman 2013</v>
      </c>
      <c r="C1097" s="61">
        <f t="shared" si="302"/>
        <v>95</v>
      </c>
      <c r="D1097" s="58">
        <v>2013</v>
      </c>
      <c r="E1097" s="38"/>
      <c r="F1097" s="58">
        <v>1</v>
      </c>
      <c r="G1097" s="5">
        <v>2007</v>
      </c>
      <c r="H1097" s="44">
        <f>LOOKUP(G1097,CPI!A$69:A$100,CPI!O$69:O$100)</f>
        <v>1.0516730811895323</v>
      </c>
      <c r="I1097" s="52">
        <v>2010</v>
      </c>
      <c r="J1097" s="43"/>
      <c r="K1097" s="43"/>
      <c r="L1097" s="57"/>
      <c r="M1097" s="56">
        <f t="shared" si="313"/>
        <v>413.50019549340516</v>
      </c>
      <c r="N1097" s="3">
        <f>92*(44/12)</f>
        <v>337.33333333333331</v>
      </c>
      <c r="O1097" s="50">
        <f t="shared" si="318"/>
        <v>337.33333333333331</v>
      </c>
      <c r="P1097" s="5">
        <v>0</v>
      </c>
      <c r="Q1097" s="5">
        <v>1</v>
      </c>
      <c r="R1097" s="5">
        <v>0</v>
      </c>
      <c r="T1097" s="56" t="str">
        <f t="shared" si="314"/>
        <v/>
      </c>
      <c r="U1097" s="56" t="str">
        <f t="shared" si="315"/>
        <v/>
      </c>
      <c r="V1097" s="56" t="str">
        <f t="shared" si="316"/>
        <v/>
      </c>
      <c r="AA1097" s="37">
        <f t="shared" si="317"/>
        <v>337.33333333333331</v>
      </c>
      <c r="AF1097" s="5">
        <v>0</v>
      </c>
      <c r="AG1097" s="5">
        <v>1</v>
      </c>
      <c r="AH1097" s="5">
        <v>1</v>
      </c>
      <c r="AI1097" s="5">
        <v>1</v>
      </c>
      <c r="AJ1097" s="5">
        <v>1</v>
      </c>
      <c r="AK1097" s="5">
        <v>1</v>
      </c>
      <c r="AL1097" s="5">
        <v>1</v>
      </c>
      <c r="AM1097" s="13">
        <v>1</v>
      </c>
      <c r="AN1097" s="13"/>
      <c r="AO1097" s="5"/>
      <c r="AP1097" s="5" t="s">
        <v>25</v>
      </c>
      <c r="AQ1097" s="5"/>
      <c r="AR1097" s="5">
        <v>0</v>
      </c>
      <c r="AS1097" s="5">
        <v>0</v>
      </c>
      <c r="AT1097" s="5"/>
      <c r="AU1097" s="5"/>
      <c r="AV1097" s="5"/>
      <c r="AW1097" s="5"/>
      <c r="AX1097" s="5">
        <v>0</v>
      </c>
      <c r="AY1097" s="5">
        <v>0</v>
      </c>
      <c r="AZ1097" s="5">
        <v>0</v>
      </c>
      <c r="BA1097" s="5">
        <v>0</v>
      </c>
    </row>
    <row r="1098" spans="1:53" s="41" customFormat="1" x14ac:dyDescent="0.2">
      <c r="B1098" s="14" t="str">
        <f t="shared" si="319"/>
        <v>Weitzman 2013</v>
      </c>
      <c r="C1098" s="61">
        <f t="shared" ref="C1098:C1135" si="320">+IF(A1098="",C1097,C1097+1)</f>
        <v>95</v>
      </c>
      <c r="D1098" s="58">
        <v>2013</v>
      </c>
      <c r="E1098" s="38"/>
      <c r="F1098" s="58">
        <v>1</v>
      </c>
      <c r="G1098" s="5">
        <v>2007</v>
      </c>
      <c r="H1098" s="44">
        <f>LOOKUP(G1098,CPI!A$69:A$100,CPI!O$69:O$100)</f>
        <v>1.0516730811895323</v>
      </c>
      <c r="I1098" s="52">
        <v>2010</v>
      </c>
      <c r="J1098" s="43"/>
      <c r="K1098" s="43"/>
      <c r="L1098" s="57"/>
      <c r="M1098" s="56">
        <f t="shared" si="313"/>
        <v>202.25553040438294</v>
      </c>
      <c r="N1098" s="3">
        <f>45*(44/12)</f>
        <v>165</v>
      </c>
      <c r="O1098" s="50">
        <f t="shared" si="318"/>
        <v>165</v>
      </c>
      <c r="P1098" s="5">
        <v>0</v>
      </c>
      <c r="Q1098" s="5">
        <v>1</v>
      </c>
      <c r="R1098" s="5">
        <v>0</v>
      </c>
      <c r="T1098" s="56" t="str">
        <f t="shared" si="314"/>
        <v/>
      </c>
      <c r="U1098" s="56" t="str">
        <f t="shared" si="315"/>
        <v/>
      </c>
      <c r="V1098" s="56" t="str">
        <f t="shared" si="316"/>
        <v/>
      </c>
      <c r="AA1098" s="37">
        <f t="shared" si="317"/>
        <v>165</v>
      </c>
      <c r="AF1098" s="5">
        <v>0</v>
      </c>
      <c r="AG1098" s="5">
        <v>1</v>
      </c>
      <c r="AH1098" s="5">
        <v>1</v>
      </c>
      <c r="AI1098" s="5">
        <v>1</v>
      </c>
      <c r="AJ1098" s="5">
        <v>1</v>
      </c>
      <c r="AK1098" s="5">
        <v>1</v>
      </c>
      <c r="AL1098" s="5">
        <v>1</v>
      </c>
      <c r="AM1098" s="13">
        <v>1</v>
      </c>
      <c r="AN1098" s="13"/>
      <c r="AO1098" s="5"/>
      <c r="AP1098" s="5" t="s">
        <v>25</v>
      </c>
      <c r="AQ1098" s="5"/>
      <c r="AR1098" s="5">
        <v>0</v>
      </c>
      <c r="AS1098" s="5">
        <v>0</v>
      </c>
      <c r="AT1098" s="5"/>
      <c r="AU1098" s="5"/>
      <c r="AV1098" s="5"/>
      <c r="AW1098" s="5"/>
      <c r="AX1098" s="5">
        <v>0</v>
      </c>
      <c r="AY1098" s="5">
        <v>0</v>
      </c>
      <c r="AZ1098" s="5">
        <v>0</v>
      </c>
      <c r="BA1098" s="5">
        <v>0</v>
      </c>
    </row>
    <row r="1099" spans="1:53" s="41" customFormat="1" x14ac:dyDescent="0.2">
      <c r="B1099" s="14" t="str">
        <f t="shared" si="319"/>
        <v>Weitzman 2013</v>
      </c>
      <c r="C1099" s="61">
        <f t="shared" si="320"/>
        <v>95</v>
      </c>
      <c r="D1099" s="58">
        <v>2013</v>
      </c>
      <c r="E1099" s="38"/>
      <c r="F1099" s="58">
        <v>1</v>
      </c>
      <c r="G1099" s="5">
        <v>2007</v>
      </c>
      <c r="H1099" s="44">
        <f>LOOKUP(G1099,CPI!A$69:A$100,CPI!O$69:O$100)</f>
        <v>1.0516730811895323</v>
      </c>
      <c r="I1099" s="52">
        <v>2010</v>
      </c>
      <c r="J1099" s="43"/>
      <c r="K1099" s="43"/>
      <c r="L1099" s="57"/>
      <c r="M1099" s="56">
        <f>AA1099*H1099*(1+$L$2)^(2015-I1099)</f>
        <v>4.4945673423196206</v>
      </c>
      <c r="N1099" s="3">
        <f>1*(44/12)</f>
        <v>3.6666666666666665</v>
      </c>
      <c r="O1099" s="50">
        <f t="shared" si="318"/>
        <v>3.6666666666666665</v>
      </c>
      <c r="P1099" s="5">
        <v>0</v>
      </c>
      <c r="Q1099" s="5">
        <v>1</v>
      </c>
      <c r="R1099" s="5">
        <v>0</v>
      </c>
      <c r="T1099" s="56" t="str">
        <f t="shared" si="314"/>
        <v/>
      </c>
      <c r="U1099" s="56" t="str">
        <f t="shared" si="315"/>
        <v/>
      </c>
      <c r="V1099" s="56" t="str">
        <f t="shared" si="316"/>
        <v/>
      </c>
      <c r="AA1099" s="37">
        <f t="shared" si="317"/>
        <v>3.6666666666666665</v>
      </c>
      <c r="AF1099" s="5">
        <v>0</v>
      </c>
      <c r="AG1099" s="5">
        <v>1</v>
      </c>
      <c r="AH1099" s="5">
        <v>1</v>
      </c>
      <c r="AI1099" s="5">
        <v>1</v>
      </c>
      <c r="AJ1099" s="5">
        <v>1</v>
      </c>
      <c r="AK1099" s="5">
        <v>1</v>
      </c>
      <c r="AL1099" s="5">
        <v>1</v>
      </c>
      <c r="AM1099" s="13">
        <v>1</v>
      </c>
      <c r="AN1099" s="13"/>
      <c r="AO1099" s="5"/>
      <c r="AP1099" s="5" t="s">
        <v>25</v>
      </c>
      <c r="AQ1099" s="5"/>
      <c r="AR1099" s="5">
        <v>0</v>
      </c>
      <c r="AS1099" s="5">
        <v>0</v>
      </c>
      <c r="AT1099" s="5"/>
      <c r="AU1099" s="5"/>
      <c r="AV1099" s="5"/>
      <c r="AW1099" s="5"/>
      <c r="AX1099" s="5">
        <v>0</v>
      </c>
      <c r="AY1099" s="5">
        <v>0</v>
      </c>
      <c r="AZ1099" s="5">
        <v>0</v>
      </c>
      <c r="BA1099" s="5">
        <v>0</v>
      </c>
    </row>
    <row r="1100" spans="1:53" s="41" customFormat="1" x14ac:dyDescent="0.2">
      <c r="A1100" s="41" t="s">
        <v>214</v>
      </c>
      <c r="B1100" s="14" t="str">
        <f t="shared" si="319"/>
        <v>Golosov 2014</v>
      </c>
      <c r="C1100" s="61">
        <f t="shared" si="320"/>
        <v>96</v>
      </c>
      <c r="D1100" s="58">
        <v>2014</v>
      </c>
      <c r="E1100" s="38" t="s">
        <v>216</v>
      </c>
      <c r="F1100" s="58">
        <v>1</v>
      </c>
      <c r="G1100" s="48">
        <v>2013</v>
      </c>
      <c r="H1100" s="44">
        <f>LOOKUP(G1100,CPI!A$69:A$100,CPI!O$69:O$100)</f>
        <v>0.9694005930496713</v>
      </c>
      <c r="I1100" s="69">
        <v>2013</v>
      </c>
      <c r="J1100" s="43"/>
      <c r="K1100" s="43"/>
      <c r="L1100" s="57"/>
      <c r="M1100" s="56">
        <f>AA1100*H1100*(1+$L$2)^(2015-I1100)</f>
        <v>58.644843130964617</v>
      </c>
      <c r="N1100" s="3"/>
      <c r="O1100" s="41">
        <v>56.9</v>
      </c>
      <c r="P1100" s="5">
        <v>1</v>
      </c>
      <c r="Q1100" s="5">
        <v>0</v>
      </c>
      <c r="R1100" s="5">
        <v>0</v>
      </c>
      <c r="T1100" s="56"/>
      <c r="U1100" s="77"/>
      <c r="V1100" s="77"/>
      <c r="AA1100" s="49">
        <f>+O1100</f>
        <v>56.9</v>
      </c>
      <c r="AF1100" s="5">
        <v>1</v>
      </c>
      <c r="AG1100" s="5">
        <v>1</v>
      </c>
      <c r="AH1100" s="5">
        <v>0</v>
      </c>
      <c r="AI1100" s="5">
        <v>0</v>
      </c>
      <c r="AJ1100" s="5">
        <v>0</v>
      </c>
      <c r="AK1100" s="5">
        <v>0</v>
      </c>
      <c r="AL1100" s="5">
        <v>0</v>
      </c>
      <c r="AM1100" s="13"/>
      <c r="AN1100" s="13">
        <v>0.1</v>
      </c>
      <c r="AO1100" s="5"/>
      <c r="AP1100" s="5"/>
      <c r="AQ1100" s="3">
        <v>0.5</v>
      </c>
      <c r="AR1100" s="5">
        <v>0</v>
      </c>
      <c r="AS1100" s="5">
        <v>0</v>
      </c>
      <c r="AT1100" s="5"/>
      <c r="AU1100" s="5"/>
      <c r="AV1100" s="5"/>
      <c r="AW1100" s="5"/>
      <c r="AX1100" s="5">
        <v>0</v>
      </c>
      <c r="AY1100" s="5">
        <v>0</v>
      </c>
      <c r="AZ1100" s="5">
        <v>0</v>
      </c>
      <c r="BA1100" s="5">
        <v>1</v>
      </c>
    </row>
    <row r="1101" spans="1:53" s="41" customFormat="1" x14ac:dyDescent="0.2">
      <c r="B1101" s="14" t="str">
        <f t="shared" si="319"/>
        <v>Golosov 2014</v>
      </c>
      <c r="C1101" s="61">
        <f t="shared" si="320"/>
        <v>96</v>
      </c>
      <c r="D1101" s="58">
        <v>2014</v>
      </c>
      <c r="E1101" s="38"/>
      <c r="F1101" s="58">
        <v>1</v>
      </c>
      <c r="G1101" s="48">
        <v>2013</v>
      </c>
      <c r="H1101" s="44">
        <f>LOOKUP(G1101,CPI!A$69:A$100,CPI!O$69:O$100)</f>
        <v>0.9694005930496713</v>
      </c>
      <c r="I1101" s="69">
        <v>2013</v>
      </c>
      <c r="J1101" s="43"/>
      <c r="K1101" s="43"/>
      <c r="L1101" s="57"/>
      <c r="M1101" s="56">
        <f>AA1101*H1101*(1+$L$2)^(2015-I1101)</f>
        <v>511.2098803683383</v>
      </c>
      <c r="N1101" s="3"/>
      <c r="O1101" s="41">
        <v>496</v>
      </c>
      <c r="P1101" s="5">
        <v>1</v>
      </c>
      <c r="Q1101" s="5">
        <v>0</v>
      </c>
      <c r="R1101" s="5">
        <v>0</v>
      </c>
      <c r="T1101" s="56"/>
      <c r="U1101" s="77"/>
      <c r="V1101" s="77"/>
      <c r="AA1101" s="49">
        <f>+O1101</f>
        <v>496</v>
      </c>
      <c r="AF1101" s="5">
        <v>1</v>
      </c>
      <c r="AG1101" s="5">
        <v>1</v>
      </c>
      <c r="AH1101" s="5">
        <v>0</v>
      </c>
      <c r="AI1101" s="5">
        <v>0</v>
      </c>
      <c r="AJ1101" s="5">
        <v>0</v>
      </c>
      <c r="AK1101" s="5">
        <v>0</v>
      </c>
      <c r="AL1101" s="5">
        <v>0</v>
      </c>
      <c r="AM1101" s="13"/>
      <c r="AN1101" s="13">
        <v>2.7</v>
      </c>
      <c r="AO1101" s="5"/>
      <c r="AP1101" s="5"/>
      <c r="AQ1101" s="3">
        <v>0.5</v>
      </c>
      <c r="AR1101" s="5">
        <v>0</v>
      </c>
      <c r="AS1101" s="5">
        <v>0</v>
      </c>
      <c r="AT1101" s="5"/>
      <c r="AU1101" s="5"/>
      <c r="AV1101" s="5"/>
      <c r="AW1101" s="5"/>
      <c r="AX1101" s="5">
        <v>0</v>
      </c>
      <c r="AY1101" s="5">
        <v>0</v>
      </c>
      <c r="AZ1101" s="5">
        <v>0</v>
      </c>
      <c r="BA1101" s="5">
        <v>1</v>
      </c>
    </row>
    <row r="1102" spans="1:53" s="41" customFormat="1" x14ac:dyDescent="0.2">
      <c r="B1102" s="14" t="str">
        <f t="shared" si="319"/>
        <v>Golosov 2014</v>
      </c>
      <c r="C1102" s="61">
        <f t="shared" si="320"/>
        <v>96</v>
      </c>
      <c r="D1102" s="58">
        <v>2014</v>
      </c>
      <c r="E1102" s="38"/>
      <c r="F1102" s="58">
        <v>1</v>
      </c>
      <c r="G1102" s="48">
        <v>2013</v>
      </c>
      <c r="H1102" s="44">
        <f>LOOKUP(G1102,CPI!A$69:A$100,CPI!O$69:O$100)</f>
        <v>0.9694005930496713</v>
      </c>
      <c r="I1102" s="69">
        <v>2013</v>
      </c>
      <c r="J1102" s="43"/>
      <c r="K1102" s="43"/>
      <c r="L1102" s="57"/>
      <c r="M1102" s="56">
        <f>AA1102*H1102*(1+$L$2)^(2015-I1102)</f>
        <v>26.075826559110805</v>
      </c>
      <c r="N1102" s="3"/>
      <c r="O1102" s="41">
        <v>25.3</v>
      </c>
      <c r="P1102" s="5">
        <v>1</v>
      </c>
      <c r="Q1102" s="5">
        <v>0</v>
      </c>
      <c r="R1102" s="5">
        <v>0</v>
      </c>
      <c r="T1102" s="56"/>
      <c r="U1102" s="77"/>
      <c r="V1102" s="77"/>
      <c r="AA1102" s="49">
        <f t="shared" ref="AA1102:AA1106" si="321">+O1102</f>
        <v>25.3</v>
      </c>
      <c r="AF1102" s="5">
        <v>1</v>
      </c>
      <c r="AG1102" s="5">
        <v>1</v>
      </c>
      <c r="AH1102" s="5">
        <v>0</v>
      </c>
      <c r="AI1102" s="5">
        <v>0</v>
      </c>
      <c r="AJ1102" s="5">
        <v>0</v>
      </c>
      <c r="AK1102" s="5">
        <v>0</v>
      </c>
      <c r="AL1102" s="5">
        <v>0</v>
      </c>
      <c r="AM1102" s="13"/>
      <c r="AN1102" s="13">
        <v>0.1</v>
      </c>
      <c r="AO1102" s="5"/>
      <c r="AP1102" s="5"/>
      <c r="AQ1102" s="3">
        <v>0.5</v>
      </c>
      <c r="AR1102" s="5">
        <v>0</v>
      </c>
      <c r="AS1102" s="5">
        <v>0</v>
      </c>
      <c r="AT1102" s="5"/>
      <c r="AU1102" s="5"/>
      <c r="AV1102" s="5"/>
      <c r="AW1102" s="5"/>
      <c r="AX1102" s="5">
        <v>0</v>
      </c>
      <c r="AY1102" s="5">
        <v>0</v>
      </c>
      <c r="AZ1102" s="5">
        <v>0</v>
      </c>
      <c r="BA1102" s="5">
        <v>1</v>
      </c>
    </row>
    <row r="1103" spans="1:53" s="41" customFormat="1" x14ac:dyDescent="0.2">
      <c r="B1103" s="14" t="str">
        <f t="shared" si="319"/>
        <v>Golosov 2014</v>
      </c>
      <c r="C1103" s="61">
        <f t="shared" si="320"/>
        <v>96</v>
      </c>
      <c r="D1103" s="58">
        <v>2014</v>
      </c>
      <c r="E1103" s="38"/>
      <c r="F1103" s="58">
        <v>1</v>
      </c>
      <c r="G1103" s="48">
        <v>2013</v>
      </c>
      <c r="H1103" s="44">
        <f>LOOKUP(G1103,CPI!A$69:A$100,CPI!O$69:O$100)</f>
        <v>0.9694005930496713</v>
      </c>
      <c r="I1103" s="69">
        <v>2013</v>
      </c>
      <c r="J1103" s="43"/>
      <c r="K1103" s="43"/>
      <c r="L1103" s="57"/>
      <c r="M1103" s="56">
        <f t="shared" ref="M1103:M1106" si="322">AA1103*H1103*(1+$L$2)^(2015-I1103)</f>
        <v>503.99522479862389</v>
      </c>
      <c r="N1103" s="3"/>
      <c r="O1103" s="41">
        <v>489</v>
      </c>
      <c r="P1103" s="5">
        <v>1</v>
      </c>
      <c r="Q1103" s="5">
        <v>0</v>
      </c>
      <c r="R1103" s="5">
        <v>0</v>
      </c>
      <c r="T1103" s="56"/>
      <c r="U1103" s="77"/>
      <c r="V1103" s="77"/>
      <c r="AA1103" s="49">
        <f t="shared" si="321"/>
        <v>489</v>
      </c>
      <c r="AF1103" s="5">
        <v>1</v>
      </c>
      <c r="AG1103" s="5">
        <v>1</v>
      </c>
      <c r="AH1103" s="5">
        <v>0</v>
      </c>
      <c r="AI1103" s="5">
        <v>0</v>
      </c>
      <c r="AJ1103" s="5">
        <v>0</v>
      </c>
      <c r="AK1103" s="5">
        <v>0</v>
      </c>
      <c r="AL1103" s="5">
        <v>0</v>
      </c>
      <c r="AM1103" s="13"/>
      <c r="AN1103" s="13">
        <v>2.7</v>
      </c>
      <c r="AO1103" s="5"/>
      <c r="AP1103" s="5"/>
      <c r="AQ1103" s="3">
        <v>0.5</v>
      </c>
      <c r="AR1103" s="5">
        <v>0</v>
      </c>
      <c r="AS1103" s="5">
        <v>0</v>
      </c>
      <c r="AT1103" s="5"/>
      <c r="AU1103" s="5"/>
      <c r="AV1103" s="5"/>
      <c r="AW1103" s="5"/>
      <c r="AX1103" s="5">
        <v>0</v>
      </c>
      <c r="AY1103" s="5">
        <v>0</v>
      </c>
      <c r="AZ1103" s="5">
        <v>0</v>
      </c>
      <c r="BA1103" s="5">
        <v>1</v>
      </c>
    </row>
    <row r="1104" spans="1:53" s="41" customFormat="1" x14ac:dyDescent="0.2">
      <c r="B1104" s="14" t="str">
        <f t="shared" si="319"/>
        <v>Golosov 2014</v>
      </c>
      <c r="C1104" s="61">
        <f t="shared" si="320"/>
        <v>96</v>
      </c>
      <c r="D1104" s="58">
        <v>2014</v>
      </c>
      <c r="E1104" s="38"/>
      <c r="F1104" s="58">
        <v>1</v>
      </c>
      <c r="G1104" s="48">
        <v>2013</v>
      </c>
      <c r="H1104" s="44">
        <f>LOOKUP(G1104,CPI!A$69:A$100,CPI!O$69:O$100)</f>
        <v>0.9694005930496713</v>
      </c>
      <c r="I1104" s="69">
        <v>2013</v>
      </c>
      <c r="J1104" s="43"/>
      <c r="K1104" s="43"/>
      <c r="L1104" s="57"/>
      <c r="M1104" s="56">
        <f t="shared" si="322"/>
        <v>227.7769829866991</v>
      </c>
      <c r="N1104" s="3"/>
      <c r="O1104" s="41">
        <v>221</v>
      </c>
      <c r="P1104" s="5">
        <v>1</v>
      </c>
      <c r="Q1104" s="5">
        <v>0</v>
      </c>
      <c r="R1104" s="5">
        <v>0</v>
      </c>
      <c r="T1104" s="56"/>
      <c r="U1104" s="77"/>
      <c r="V1104" s="77"/>
      <c r="AA1104" s="49">
        <f t="shared" si="321"/>
        <v>221</v>
      </c>
      <c r="AF1104" s="5">
        <v>1</v>
      </c>
      <c r="AG1104" s="5">
        <v>1</v>
      </c>
      <c r="AH1104" s="5">
        <v>0</v>
      </c>
      <c r="AI1104" s="5">
        <v>0</v>
      </c>
      <c r="AJ1104" s="5">
        <v>0</v>
      </c>
      <c r="AK1104" s="5">
        <v>0</v>
      </c>
      <c r="AL1104" s="5">
        <v>0</v>
      </c>
      <c r="AM1104" s="13"/>
      <c r="AN1104" s="13">
        <v>0.1</v>
      </c>
      <c r="AO1104" s="5"/>
      <c r="AP1104" s="5"/>
      <c r="AQ1104" s="3">
        <v>0.5</v>
      </c>
      <c r="AR1104" s="5">
        <v>0</v>
      </c>
      <c r="AS1104" s="5">
        <v>0</v>
      </c>
      <c r="AT1104" s="5"/>
      <c r="AU1104" s="5"/>
      <c r="AV1104" s="5"/>
      <c r="AW1104" s="5"/>
      <c r="AX1104" s="5">
        <v>0</v>
      </c>
      <c r="AY1104" s="5">
        <v>0</v>
      </c>
      <c r="AZ1104" s="5">
        <v>0</v>
      </c>
      <c r="BA1104" s="5">
        <v>1</v>
      </c>
    </row>
    <row r="1105" spans="1:53" s="41" customFormat="1" x14ac:dyDescent="0.2">
      <c r="B1105" s="14" t="str">
        <f t="shared" si="319"/>
        <v>Golosov 2014</v>
      </c>
      <c r="C1105" s="61">
        <f t="shared" si="320"/>
        <v>96</v>
      </c>
      <c r="D1105" s="58">
        <v>2014</v>
      </c>
      <c r="E1105" s="38"/>
      <c r="F1105" s="58">
        <v>1</v>
      </c>
      <c r="G1105" s="48">
        <v>2013</v>
      </c>
      <c r="H1105" s="44">
        <f>LOOKUP(G1105,CPI!A$69:A$100,CPI!O$69:O$100)</f>
        <v>0.9694005930496713</v>
      </c>
      <c r="I1105" s="69">
        <v>2013</v>
      </c>
      <c r="J1105" s="43"/>
      <c r="K1105" s="43"/>
      <c r="L1105" s="57"/>
      <c r="M1105" s="56">
        <f t="shared" si="322"/>
        <v>4393.7252419561009</v>
      </c>
      <c r="N1105" s="3"/>
      <c r="O1105" s="41">
        <v>4263</v>
      </c>
      <c r="P1105" s="5">
        <v>1</v>
      </c>
      <c r="Q1105" s="5">
        <v>0</v>
      </c>
      <c r="R1105" s="5">
        <v>0</v>
      </c>
      <c r="T1105" s="56"/>
      <c r="U1105" s="77"/>
      <c r="V1105" s="77"/>
      <c r="AA1105" s="49">
        <f t="shared" si="321"/>
        <v>4263</v>
      </c>
      <c r="AF1105" s="5">
        <v>1</v>
      </c>
      <c r="AG1105" s="5">
        <v>1</v>
      </c>
      <c r="AH1105" s="5">
        <v>0</v>
      </c>
      <c r="AI1105" s="5">
        <v>0</v>
      </c>
      <c r="AJ1105" s="5">
        <v>0</v>
      </c>
      <c r="AK1105" s="5">
        <v>0</v>
      </c>
      <c r="AL1105" s="5">
        <v>0</v>
      </c>
      <c r="AM1105" s="13"/>
      <c r="AN1105" s="13">
        <v>2.7</v>
      </c>
      <c r="AO1105" s="5"/>
      <c r="AP1105" s="5"/>
      <c r="AQ1105" s="3">
        <v>0.5</v>
      </c>
      <c r="AR1105" s="5">
        <v>0</v>
      </c>
      <c r="AS1105" s="5">
        <v>0</v>
      </c>
      <c r="AT1105" s="5"/>
      <c r="AU1105" s="5"/>
      <c r="AV1105" s="5"/>
      <c r="AW1105" s="5"/>
      <c r="AX1105" s="5">
        <v>0</v>
      </c>
      <c r="AY1105" s="5">
        <v>0</v>
      </c>
      <c r="AZ1105" s="5">
        <v>0</v>
      </c>
      <c r="BA1105" s="5">
        <v>1</v>
      </c>
    </row>
    <row r="1106" spans="1:53" s="41" customFormat="1" x14ac:dyDescent="0.2">
      <c r="B1106" s="14" t="str">
        <f t="shared" si="319"/>
        <v>Golosov 2014</v>
      </c>
      <c r="C1106" s="61">
        <f t="shared" si="320"/>
        <v>96</v>
      </c>
      <c r="D1106" s="58">
        <v>2014</v>
      </c>
      <c r="E1106" s="38"/>
      <c r="F1106" s="58">
        <v>1</v>
      </c>
      <c r="G1106" s="48">
        <v>2013</v>
      </c>
      <c r="H1106" s="44">
        <f>LOOKUP(G1106,CPI!A$69:A$100,CPI!O$69:O$100)</f>
        <v>0.9694005930496713</v>
      </c>
      <c r="I1106" s="69">
        <v>2013</v>
      </c>
      <c r="J1106" s="43"/>
      <c r="K1106" s="43"/>
      <c r="L1106" s="57"/>
      <c r="M1106" s="56">
        <f t="shared" si="322"/>
        <v>32.981282604408925</v>
      </c>
      <c r="N1106" s="3"/>
      <c r="O1106" s="41">
        <v>32</v>
      </c>
      <c r="P1106" s="5">
        <v>1</v>
      </c>
      <c r="Q1106" s="5">
        <v>0</v>
      </c>
      <c r="R1106" s="5">
        <v>0</v>
      </c>
      <c r="T1106" s="56"/>
      <c r="U1106" s="77"/>
      <c r="V1106" s="77"/>
      <c r="AA1106" s="49">
        <f t="shared" si="321"/>
        <v>32</v>
      </c>
      <c r="AF1106" s="5">
        <v>1</v>
      </c>
      <c r="AG1106" s="5">
        <v>1</v>
      </c>
      <c r="AH1106" s="5">
        <v>0</v>
      </c>
      <c r="AI1106" s="5">
        <v>0</v>
      </c>
      <c r="AJ1106" s="5">
        <v>0</v>
      </c>
      <c r="AK1106" s="5">
        <v>0</v>
      </c>
      <c r="AL1106" s="5">
        <v>0</v>
      </c>
      <c r="AM1106" s="13"/>
      <c r="AN1106" s="13">
        <v>3</v>
      </c>
      <c r="AO1106" s="5"/>
      <c r="AP1106" s="3">
        <v>1.5</v>
      </c>
      <c r="AQ1106" s="3">
        <v>0.5</v>
      </c>
      <c r="AR1106" s="5">
        <v>0</v>
      </c>
      <c r="AS1106" s="5">
        <v>0</v>
      </c>
      <c r="AT1106" s="5"/>
      <c r="AU1106" s="5"/>
      <c r="AV1106" s="5"/>
      <c r="AW1106" s="5"/>
      <c r="AX1106" s="5">
        <v>0</v>
      </c>
      <c r="AY1106" s="5">
        <v>0</v>
      </c>
      <c r="AZ1106" s="5">
        <v>0</v>
      </c>
      <c r="BA1106" s="5">
        <v>1</v>
      </c>
    </row>
    <row r="1107" spans="1:53" s="41" customFormat="1" x14ac:dyDescent="0.2">
      <c r="A1107" s="41" t="s">
        <v>196</v>
      </c>
      <c r="B1107" s="14" t="str">
        <f t="shared" si="319"/>
        <v>Howarth et al. 2014</v>
      </c>
      <c r="C1107" s="61">
        <f t="shared" si="320"/>
        <v>97</v>
      </c>
      <c r="D1107" s="58">
        <v>2014</v>
      </c>
      <c r="E1107" s="38" t="s">
        <v>197</v>
      </c>
      <c r="F1107" s="58">
        <v>1</v>
      </c>
      <c r="G1107" s="5">
        <v>2005</v>
      </c>
      <c r="H1107" s="44">
        <f>LOOKUP(G1107,CPI!A$69:A$100,CPI!O$69:O$100)</f>
        <v>1.1165181771633383</v>
      </c>
      <c r="I1107" s="52">
        <v>2010</v>
      </c>
      <c r="J1107" s="43"/>
      <c r="K1107" s="43"/>
      <c r="L1107" s="57"/>
      <c r="M1107" s="56">
        <f t="shared" ref="M1107:M1115" si="323">AA1107*H1107*(1+$L$2)^(2015-I1107)</f>
        <v>47.716978079428308</v>
      </c>
      <c r="N1107" s="5">
        <f>10*44/12</f>
        <v>36.666666666666664</v>
      </c>
      <c r="O1107" s="50">
        <f>+N1107</f>
        <v>36.666666666666664</v>
      </c>
      <c r="P1107" s="5">
        <v>0</v>
      </c>
      <c r="Q1107" s="5">
        <v>1</v>
      </c>
      <c r="R1107" s="5">
        <v>0</v>
      </c>
      <c r="T1107" s="56"/>
      <c r="U1107" s="77"/>
      <c r="V1107" s="77"/>
      <c r="AA1107" s="37">
        <f>+O1107</f>
        <v>36.666666666666664</v>
      </c>
      <c r="AF1107" s="5">
        <v>0</v>
      </c>
      <c r="AG1107" s="5">
        <v>1</v>
      </c>
      <c r="AH1107" s="5">
        <v>0</v>
      </c>
      <c r="AI1107" s="5">
        <v>1</v>
      </c>
      <c r="AJ1107" s="5">
        <v>0</v>
      </c>
      <c r="AK1107" s="5">
        <v>1</v>
      </c>
      <c r="AL1107" s="5">
        <v>0</v>
      </c>
      <c r="AM1107" s="13"/>
      <c r="AN1107" s="13"/>
      <c r="AO1107" s="3">
        <v>2</v>
      </c>
      <c r="AP1107" s="5"/>
      <c r="AQ1107" s="5"/>
      <c r="AR1107" s="5">
        <v>0</v>
      </c>
      <c r="AS1107" s="5">
        <v>0</v>
      </c>
      <c r="AT1107" s="5"/>
      <c r="AU1107" s="5"/>
      <c r="AV1107" s="5"/>
      <c r="AW1107" s="5"/>
      <c r="AX1107" s="5">
        <v>0</v>
      </c>
      <c r="AY1107" s="5">
        <v>0</v>
      </c>
      <c r="AZ1107" s="5">
        <v>0</v>
      </c>
      <c r="BA1107" s="5">
        <v>0</v>
      </c>
    </row>
    <row r="1108" spans="1:53" s="41" customFormat="1" x14ac:dyDescent="0.2">
      <c r="B1108" s="14" t="str">
        <f t="shared" si="319"/>
        <v>Howarth et al. 2014</v>
      </c>
      <c r="C1108" s="61">
        <f t="shared" si="320"/>
        <v>97</v>
      </c>
      <c r="D1108" s="58">
        <v>2014</v>
      </c>
      <c r="E1108" s="38"/>
      <c r="F1108" s="58">
        <v>1</v>
      </c>
      <c r="G1108" s="5">
        <v>2005</v>
      </c>
      <c r="H1108" s="44">
        <f>LOOKUP(G1108,CPI!A$69:A$100,CPI!O$69:O$100)</f>
        <v>1.1165181771633383</v>
      </c>
      <c r="I1108" s="52">
        <v>2010</v>
      </c>
      <c r="J1108" s="43"/>
      <c r="K1108" s="43"/>
      <c r="L1108" s="57"/>
      <c r="M1108" s="56">
        <f t="shared" si="323"/>
        <v>209.95470354948455</v>
      </c>
      <c r="N1108" s="5">
        <f>44*44/12</f>
        <v>161.33333333333334</v>
      </c>
      <c r="O1108" s="50">
        <f>+N1108</f>
        <v>161.33333333333334</v>
      </c>
      <c r="P1108" s="5">
        <v>0</v>
      </c>
      <c r="Q1108" s="5">
        <v>1</v>
      </c>
      <c r="R1108" s="5">
        <v>0</v>
      </c>
      <c r="T1108" s="56"/>
      <c r="U1108" s="77"/>
      <c r="V1108" s="77"/>
      <c r="AA1108" s="37">
        <f>+O1108</f>
        <v>161.33333333333334</v>
      </c>
      <c r="AF1108" s="5">
        <v>0</v>
      </c>
      <c r="AG1108" s="5">
        <v>1</v>
      </c>
      <c r="AH1108" s="5">
        <v>0</v>
      </c>
      <c r="AI1108" s="5">
        <v>1</v>
      </c>
      <c r="AJ1108" s="5">
        <v>0</v>
      </c>
      <c r="AK1108" s="5">
        <v>1</v>
      </c>
      <c r="AL1108" s="5">
        <v>0</v>
      </c>
      <c r="AM1108" s="13"/>
      <c r="AN1108" s="13"/>
      <c r="AO1108" s="3">
        <v>3.5</v>
      </c>
      <c r="AP1108" s="5"/>
      <c r="AQ1108" s="5"/>
      <c r="AR1108" s="5">
        <v>0</v>
      </c>
      <c r="AS1108" s="5">
        <v>0</v>
      </c>
      <c r="AT1108" s="5"/>
      <c r="AU1108" s="5"/>
      <c r="AV1108" s="5"/>
      <c r="AW1108" s="5"/>
      <c r="AX1108" s="5">
        <v>0</v>
      </c>
      <c r="AY1108" s="5">
        <v>0</v>
      </c>
      <c r="AZ1108" s="5">
        <v>0</v>
      </c>
      <c r="BA1108" s="5">
        <v>0</v>
      </c>
    </row>
    <row r="1109" spans="1:53" s="41" customFormat="1" x14ac:dyDescent="0.2">
      <c r="A1109" s="41" t="s">
        <v>203</v>
      </c>
      <c r="B1109" s="14" t="str">
        <f t="shared" si="319"/>
        <v>Jensen &amp; Traeger 2014</v>
      </c>
      <c r="C1109" s="61">
        <f t="shared" si="320"/>
        <v>98</v>
      </c>
      <c r="D1109" s="58">
        <v>2014</v>
      </c>
      <c r="E1109" s="38" t="s">
        <v>206</v>
      </c>
      <c r="F1109" s="58">
        <v>1</v>
      </c>
      <c r="G1109" s="48">
        <v>2012</v>
      </c>
      <c r="H1109" s="44">
        <f>LOOKUP(G1109,CPI!A$69:A$100,CPI!O$69:O$100)</f>
        <v>0.9694005930496713</v>
      </c>
      <c r="I1109" s="52">
        <v>2012</v>
      </c>
      <c r="J1109" s="43"/>
      <c r="K1109" s="43"/>
      <c r="L1109" s="57"/>
      <c r="M1109" s="56">
        <f t="shared" si="323"/>
        <v>37.195700971125198</v>
      </c>
      <c r="N1109" s="3">
        <v>35</v>
      </c>
      <c r="O1109" s="50">
        <f t="shared" ref="O1109:O1124" si="324">+N1109</f>
        <v>35</v>
      </c>
      <c r="P1109" s="5">
        <v>0</v>
      </c>
      <c r="Q1109" s="5">
        <v>1</v>
      </c>
      <c r="R1109" s="5">
        <v>0</v>
      </c>
      <c r="T1109" s="56"/>
      <c r="U1109" s="77"/>
      <c r="V1109" s="77"/>
      <c r="AA1109" s="37">
        <f t="shared" ref="AA1109:AA1124" si="325">+O1109</f>
        <v>35</v>
      </c>
      <c r="AF1109" s="5">
        <v>0</v>
      </c>
      <c r="AG1109" s="5">
        <v>1</v>
      </c>
      <c r="AH1109" s="5">
        <v>0</v>
      </c>
      <c r="AI1109" s="5">
        <v>0</v>
      </c>
      <c r="AJ1109" s="5">
        <v>0</v>
      </c>
      <c r="AK1109" s="5">
        <v>1</v>
      </c>
      <c r="AL1109" s="5">
        <v>0</v>
      </c>
      <c r="AM1109" s="13"/>
      <c r="AN1109" s="13"/>
      <c r="AO1109" s="5">
        <v>2</v>
      </c>
      <c r="AP1109" s="5"/>
      <c r="AQ1109" s="3">
        <f>1/2</f>
        <v>0.5</v>
      </c>
      <c r="AR1109" s="5">
        <v>0</v>
      </c>
      <c r="AS1109" s="5">
        <v>0</v>
      </c>
      <c r="AT1109" s="5"/>
      <c r="AU1109" s="5">
        <v>3</v>
      </c>
      <c r="AV1109" s="5"/>
      <c r="AW1109" s="5"/>
      <c r="AX1109" s="5">
        <v>0</v>
      </c>
      <c r="AY1109" s="5">
        <v>0</v>
      </c>
      <c r="AZ1109" s="5">
        <v>0</v>
      </c>
      <c r="BA1109" s="5">
        <v>0</v>
      </c>
    </row>
    <row r="1110" spans="1:53" s="41" customFormat="1" x14ac:dyDescent="0.2">
      <c r="B1110" s="14" t="str">
        <f t="shared" si="319"/>
        <v>Jensen &amp; Traeger 2014</v>
      </c>
      <c r="C1110" s="61">
        <f t="shared" si="320"/>
        <v>98</v>
      </c>
      <c r="D1110" s="58">
        <v>2014</v>
      </c>
      <c r="E1110" s="38"/>
      <c r="F1110" s="58">
        <v>1</v>
      </c>
      <c r="G1110" s="48">
        <v>2012</v>
      </c>
      <c r="H1110" s="44">
        <f>LOOKUP(G1110,CPI!A$69:A$100,CPI!O$69:O$100)</f>
        <v>0.9694005930496713</v>
      </c>
      <c r="I1110" s="52">
        <v>2012</v>
      </c>
      <c r="J1110" s="43"/>
      <c r="K1110" s="43"/>
      <c r="L1110" s="57"/>
      <c r="M1110" s="56">
        <f t="shared" si="323"/>
        <v>45.697575478810961</v>
      </c>
      <c r="N1110" s="3">
        <v>43</v>
      </c>
      <c r="O1110" s="50">
        <f t="shared" si="324"/>
        <v>43</v>
      </c>
      <c r="P1110" s="5">
        <v>0</v>
      </c>
      <c r="Q1110" s="5">
        <v>1</v>
      </c>
      <c r="R1110" s="5">
        <v>0</v>
      </c>
      <c r="T1110" s="56"/>
      <c r="U1110" s="77"/>
      <c r="V1110" s="77"/>
      <c r="AA1110" s="37">
        <f t="shared" si="325"/>
        <v>43</v>
      </c>
      <c r="AF1110" s="5">
        <v>0</v>
      </c>
      <c r="AG1110" s="5">
        <v>1</v>
      </c>
      <c r="AH1110" s="5">
        <v>0</v>
      </c>
      <c r="AI1110" s="5">
        <v>0</v>
      </c>
      <c r="AJ1110" s="5">
        <v>0</v>
      </c>
      <c r="AK1110" s="5">
        <v>1</v>
      </c>
      <c r="AL1110" s="5">
        <v>0</v>
      </c>
      <c r="AM1110" s="13"/>
      <c r="AN1110" s="13"/>
      <c r="AO1110" s="5">
        <v>10</v>
      </c>
      <c r="AP1110" s="5"/>
      <c r="AQ1110" s="3">
        <f>1/2</f>
        <v>0.5</v>
      </c>
      <c r="AR1110" s="5">
        <v>0</v>
      </c>
      <c r="AS1110" s="5">
        <v>0</v>
      </c>
      <c r="AT1110" s="5"/>
      <c r="AU1110" s="5">
        <v>3</v>
      </c>
      <c r="AV1110" s="5"/>
      <c r="AW1110" s="5"/>
      <c r="AX1110" s="5">
        <v>0</v>
      </c>
      <c r="AY1110" s="5">
        <v>0</v>
      </c>
      <c r="AZ1110" s="5">
        <v>0</v>
      </c>
      <c r="BA1110" s="5">
        <v>0</v>
      </c>
    </row>
    <row r="1111" spans="1:53" s="41" customFormat="1" x14ac:dyDescent="0.2">
      <c r="B1111" s="14" t="str">
        <f t="shared" si="319"/>
        <v>Jensen &amp; Traeger 2014</v>
      </c>
      <c r="C1111" s="61">
        <f t="shared" si="320"/>
        <v>98</v>
      </c>
      <c r="D1111" s="58">
        <v>2014</v>
      </c>
      <c r="E1111" s="38"/>
      <c r="F1111" s="58">
        <v>1</v>
      </c>
      <c r="G1111" s="48">
        <v>2012</v>
      </c>
      <c r="H1111" s="44">
        <f>LOOKUP(G1111,CPI!A$69:A$100,CPI!O$69:O$100)</f>
        <v>0.9694005930496713</v>
      </c>
      <c r="I1111" s="52">
        <v>2012</v>
      </c>
      <c r="J1111" s="43"/>
      <c r="K1111" s="43"/>
      <c r="L1111" s="57"/>
      <c r="M1111" s="56">
        <f t="shared" si="323"/>
        <v>47.823044105732407</v>
      </c>
      <c r="N1111" s="3">
        <v>45</v>
      </c>
      <c r="O1111" s="50">
        <f t="shared" si="324"/>
        <v>45</v>
      </c>
      <c r="P1111" s="5">
        <v>0</v>
      </c>
      <c r="Q1111" s="5">
        <v>1</v>
      </c>
      <c r="R1111" s="5">
        <v>0</v>
      </c>
      <c r="T1111" s="56"/>
      <c r="U1111" s="77"/>
      <c r="V1111" s="77"/>
      <c r="AA1111" s="37">
        <f t="shared" si="325"/>
        <v>45</v>
      </c>
      <c r="AF1111" s="5">
        <v>0</v>
      </c>
      <c r="AG1111" s="5">
        <v>1</v>
      </c>
      <c r="AH1111" s="5">
        <v>0</v>
      </c>
      <c r="AI1111" s="5">
        <v>0</v>
      </c>
      <c r="AJ1111" s="5">
        <v>0</v>
      </c>
      <c r="AK1111" s="5">
        <v>1</v>
      </c>
      <c r="AL1111" s="5">
        <v>0</v>
      </c>
      <c r="AM1111" s="13"/>
      <c r="AN1111" s="13"/>
      <c r="AO1111" s="5">
        <v>10</v>
      </c>
      <c r="AP1111" s="5"/>
      <c r="AQ1111" s="3">
        <f>1/2</f>
        <v>0.5</v>
      </c>
      <c r="AR1111" s="5">
        <v>0</v>
      </c>
      <c r="AS1111" s="5">
        <v>0</v>
      </c>
      <c r="AT1111" s="5"/>
      <c r="AU1111" s="5">
        <v>3</v>
      </c>
      <c r="AV1111" s="5"/>
      <c r="AW1111" s="5"/>
      <c r="AX1111" s="5">
        <v>0</v>
      </c>
      <c r="AY1111" s="5">
        <v>0</v>
      </c>
      <c r="AZ1111" s="5">
        <v>0</v>
      </c>
      <c r="BA1111" s="5">
        <v>0</v>
      </c>
    </row>
    <row r="1112" spans="1:53" s="41" customFormat="1" x14ac:dyDescent="0.2">
      <c r="B1112" s="14" t="str">
        <f t="shared" si="319"/>
        <v>Jensen &amp; Traeger 2014</v>
      </c>
      <c r="C1112" s="61">
        <f t="shared" si="320"/>
        <v>98</v>
      </c>
      <c r="D1112" s="58">
        <v>2014</v>
      </c>
      <c r="E1112" s="38"/>
      <c r="F1112" s="58">
        <v>1</v>
      </c>
      <c r="G1112" s="48">
        <v>2012</v>
      </c>
      <c r="H1112" s="44">
        <f>LOOKUP(G1112,CPI!A$69:A$100,CPI!O$69:O$100)</f>
        <v>0.9694005930496713</v>
      </c>
      <c r="I1112" s="52">
        <v>2012</v>
      </c>
      <c r="J1112" s="43"/>
      <c r="K1112" s="43"/>
      <c r="L1112" s="57"/>
      <c r="M1112" s="56">
        <f t="shared" si="323"/>
        <v>90.332416644161199</v>
      </c>
      <c r="N1112" s="3">
        <v>85</v>
      </c>
      <c r="O1112" s="50">
        <f t="shared" si="324"/>
        <v>85</v>
      </c>
      <c r="P1112" s="5">
        <v>0</v>
      </c>
      <c r="Q1112" s="5">
        <v>1</v>
      </c>
      <c r="R1112" s="5">
        <v>0</v>
      </c>
      <c r="T1112" s="56"/>
      <c r="U1112" s="77"/>
      <c r="V1112" s="77"/>
      <c r="AA1112" s="37">
        <f t="shared" si="325"/>
        <v>85</v>
      </c>
      <c r="AF1112" s="5">
        <v>0</v>
      </c>
      <c r="AG1112" s="5">
        <v>1</v>
      </c>
      <c r="AH1112" s="5">
        <v>0</v>
      </c>
      <c r="AI1112" s="5">
        <v>0</v>
      </c>
      <c r="AJ1112" s="5">
        <v>0</v>
      </c>
      <c r="AK1112" s="5">
        <v>1</v>
      </c>
      <c r="AL1112" s="5">
        <v>0</v>
      </c>
      <c r="AM1112" s="13"/>
      <c r="AN1112" s="13"/>
      <c r="AO1112" s="5">
        <v>2</v>
      </c>
      <c r="AP1112" s="5"/>
      <c r="AQ1112" s="3">
        <f>3/2</f>
        <v>1.5</v>
      </c>
      <c r="AR1112" s="5">
        <v>0</v>
      </c>
      <c r="AS1112" s="5">
        <v>0</v>
      </c>
      <c r="AT1112" s="5"/>
      <c r="AU1112" s="5">
        <v>3</v>
      </c>
      <c r="AV1112" s="5"/>
      <c r="AW1112" s="5"/>
      <c r="AX1112" s="5">
        <v>0</v>
      </c>
      <c r="AY1112" s="5">
        <v>0</v>
      </c>
      <c r="AZ1112" s="5">
        <v>0</v>
      </c>
      <c r="BA1112" s="5">
        <v>0</v>
      </c>
    </row>
    <row r="1113" spans="1:53" s="41" customFormat="1" x14ac:dyDescent="0.2">
      <c r="B1113" s="14" t="str">
        <f t="shared" si="319"/>
        <v>Jensen &amp; Traeger 2014</v>
      </c>
      <c r="C1113" s="61">
        <f t="shared" si="320"/>
        <v>98</v>
      </c>
      <c r="D1113" s="58">
        <v>2014</v>
      </c>
      <c r="E1113" s="38"/>
      <c r="F1113" s="58">
        <v>1</v>
      </c>
      <c r="G1113" s="48">
        <v>2012</v>
      </c>
      <c r="H1113" s="44">
        <f>LOOKUP(G1113,CPI!A$69:A$100,CPI!O$69:O$100)</f>
        <v>0.9694005930496713</v>
      </c>
      <c r="I1113" s="52">
        <v>2012</v>
      </c>
      <c r="J1113" s="43"/>
      <c r="K1113" s="43"/>
      <c r="L1113" s="57"/>
      <c r="M1113" s="56">
        <f t="shared" si="323"/>
        <v>75.45413625571112</v>
      </c>
      <c r="N1113" s="3">
        <v>71</v>
      </c>
      <c r="O1113" s="50">
        <f t="shared" si="324"/>
        <v>71</v>
      </c>
      <c r="P1113" s="5">
        <v>0</v>
      </c>
      <c r="Q1113" s="5">
        <v>1</v>
      </c>
      <c r="R1113" s="5">
        <v>0</v>
      </c>
      <c r="T1113" s="56"/>
      <c r="U1113" s="77"/>
      <c r="V1113" s="77"/>
      <c r="AA1113" s="37">
        <f t="shared" si="325"/>
        <v>71</v>
      </c>
      <c r="AF1113" s="5">
        <v>0</v>
      </c>
      <c r="AG1113" s="5">
        <v>1</v>
      </c>
      <c r="AH1113" s="5">
        <v>0</v>
      </c>
      <c r="AI1113" s="5">
        <v>0</v>
      </c>
      <c r="AJ1113" s="5">
        <v>0</v>
      </c>
      <c r="AK1113" s="5">
        <v>1</v>
      </c>
      <c r="AL1113" s="5">
        <v>0</v>
      </c>
      <c r="AM1113" s="13"/>
      <c r="AN1113" s="13"/>
      <c r="AO1113" s="5">
        <v>10</v>
      </c>
      <c r="AP1113" s="5"/>
      <c r="AQ1113" s="3">
        <f>3/2</f>
        <v>1.5</v>
      </c>
      <c r="AR1113" s="5">
        <v>0</v>
      </c>
      <c r="AS1113" s="5">
        <v>0</v>
      </c>
      <c r="AT1113" s="5"/>
      <c r="AU1113" s="5">
        <v>3</v>
      </c>
      <c r="AV1113" s="5"/>
      <c r="AW1113" s="5"/>
      <c r="AX1113" s="5">
        <v>0</v>
      </c>
      <c r="AY1113" s="5">
        <v>0</v>
      </c>
      <c r="AZ1113" s="5">
        <v>0</v>
      </c>
      <c r="BA1113" s="5">
        <v>0</v>
      </c>
    </row>
    <row r="1114" spans="1:53" s="41" customFormat="1" x14ac:dyDescent="0.2">
      <c r="B1114" s="14" t="str">
        <f t="shared" si="319"/>
        <v>Jensen &amp; Traeger 2014</v>
      </c>
      <c r="C1114" s="61">
        <f t="shared" si="320"/>
        <v>98</v>
      </c>
      <c r="D1114" s="58">
        <v>2014</v>
      </c>
      <c r="E1114" s="38"/>
      <c r="F1114" s="58">
        <v>1</v>
      </c>
      <c r="G1114" s="48">
        <v>2012</v>
      </c>
      <c r="H1114" s="44">
        <f>LOOKUP(G1114,CPI!A$69:A$100,CPI!O$69:O$100)</f>
        <v>0.9694005930496713</v>
      </c>
      <c r="I1114" s="52">
        <v>2012</v>
      </c>
      <c r="J1114" s="43"/>
      <c r="K1114" s="43"/>
      <c r="L1114" s="57"/>
      <c r="M1114" s="56">
        <f t="shared" si="323"/>
        <v>59.513121553800325</v>
      </c>
      <c r="N1114" s="3">
        <v>56</v>
      </c>
      <c r="O1114" s="50">
        <f t="shared" si="324"/>
        <v>56</v>
      </c>
      <c r="P1114" s="5">
        <v>0</v>
      </c>
      <c r="Q1114" s="5">
        <v>1</v>
      </c>
      <c r="R1114" s="5">
        <v>0</v>
      </c>
      <c r="T1114" s="56"/>
      <c r="U1114" s="77"/>
      <c r="V1114" s="77"/>
      <c r="AA1114" s="37">
        <f t="shared" si="325"/>
        <v>56</v>
      </c>
      <c r="AF1114" s="5">
        <v>0</v>
      </c>
      <c r="AG1114" s="5">
        <v>1</v>
      </c>
      <c r="AH1114" s="5">
        <v>0</v>
      </c>
      <c r="AI1114" s="5">
        <v>0</v>
      </c>
      <c r="AJ1114" s="5">
        <v>0</v>
      </c>
      <c r="AK1114" s="5">
        <v>1</v>
      </c>
      <c r="AL1114" s="5">
        <v>0</v>
      </c>
      <c r="AM1114" s="13"/>
      <c r="AN1114" s="13"/>
      <c r="AO1114" s="5">
        <v>10</v>
      </c>
      <c r="AP1114" s="5"/>
      <c r="AQ1114" s="3">
        <f>3/2</f>
        <v>1.5</v>
      </c>
      <c r="AR1114" s="5">
        <v>0</v>
      </c>
      <c r="AS1114" s="5">
        <v>0</v>
      </c>
      <c r="AT1114" s="5"/>
      <c r="AU1114" s="5">
        <v>3</v>
      </c>
      <c r="AV1114" s="5"/>
      <c r="AW1114" s="5"/>
      <c r="AX1114" s="5">
        <v>0</v>
      </c>
      <c r="AY1114" s="5">
        <v>0</v>
      </c>
      <c r="AZ1114" s="5">
        <v>0</v>
      </c>
      <c r="BA1114" s="5">
        <v>0</v>
      </c>
    </row>
    <row r="1115" spans="1:53" s="41" customFormat="1" x14ac:dyDescent="0.2">
      <c r="A1115" s="41" t="s">
        <v>205</v>
      </c>
      <c r="B1115" s="14" t="str">
        <f t="shared" si="319"/>
        <v>Lemoine &amp; Traeger 2014</v>
      </c>
      <c r="C1115" s="61">
        <f t="shared" si="320"/>
        <v>99</v>
      </c>
      <c r="D1115" s="58">
        <v>2014</v>
      </c>
      <c r="E1115" s="38" t="s">
        <v>207</v>
      </c>
      <c r="F1115" s="58">
        <v>1</v>
      </c>
      <c r="G1115" s="48">
        <v>2005</v>
      </c>
      <c r="H1115" s="44">
        <f>LOOKUP(G1115,CPI!A$69:A$100,CPI!O$69:O$100)</f>
        <v>1.1165181771633383</v>
      </c>
      <c r="I1115" s="52">
        <v>2015</v>
      </c>
      <c r="J1115" s="43"/>
      <c r="K1115" s="44">
        <v>0.2</v>
      </c>
      <c r="L1115" s="57">
        <f>(AA1115/AA1116)^(1/(I1115-I1116))-1</f>
        <v>2.4082821289717504E-2</v>
      </c>
      <c r="M1115" s="56">
        <f t="shared" si="323"/>
        <v>40.938999829322405</v>
      </c>
      <c r="N1115" s="3">
        <f>10*(44/12)</f>
        <v>36.666666666666664</v>
      </c>
      <c r="O1115" s="50">
        <f t="shared" si="324"/>
        <v>36.666666666666664</v>
      </c>
      <c r="P1115" s="5">
        <v>0</v>
      </c>
      <c r="Q1115" s="5">
        <v>1</v>
      </c>
      <c r="R1115" s="5">
        <v>0</v>
      </c>
      <c r="T1115" s="56"/>
      <c r="U1115" s="77"/>
      <c r="V1115" s="77"/>
      <c r="AA1115" s="49">
        <f t="shared" si="325"/>
        <v>36.666666666666664</v>
      </c>
      <c r="AF1115" s="5">
        <v>1</v>
      </c>
      <c r="AG1115" s="5">
        <v>1</v>
      </c>
      <c r="AH1115" s="5">
        <v>1</v>
      </c>
      <c r="AI1115" s="5">
        <v>0</v>
      </c>
      <c r="AJ1115" s="5">
        <v>0</v>
      </c>
      <c r="AK1115" s="5">
        <v>1</v>
      </c>
      <c r="AL1115" s="5">
        <v>0</v>
      </c>
      <c r="AM1115" s="13"/>
      <c r="AN1115" s="13"/>
      <c r="AO1115" s="3">
        <v>2</v>
      </c>
      <c r="AP1115" s="3"/>
      <c r="AQ1115" s="3">
        <v>0.5</v>
      </c>
      <c r="AR1115" s="5">
        <v>0</v>
      </c>
      <c r="AS1115" s="5">
        <v>0</v>
      </c>
      <c r="AT1115" s="5"/>
      <c r="AU1115" s="5">
        <v>3</v>
      </c>
      <c r="AV1115" s="5"/>
      <c r="AW1115" s="5"/>
      <c r="AX1115" s="5">
        <v>0</v>
      </c>
      <c r="AY1115" s="5">
        <v>0</v>
      </c>
      <c r="AZ1115" s="5">
        <v>0</v>
      </c>
      <c r="BA1115" s="5">
        <v>1</v>
      </c>
    </row>
    <row r="1116" spans="1:53" s="41" customFormat="1" x14ac:dyDescent="0.2">
      <c r="B1116" s="14" t="str">
        <f t="shared" si="319"/>
        <v>Lemoine &amp; Traeger 2014</v>
      </c>
      <c r="C1116" s="61">
        <f t="shared" si="320"/>
        <v>99</v>
      </c>
      <c r="D1116" s="58">
        <v>2014</v>
      </c>
      <c r="E1116" s="38"/>
      <c r="F1116" s="58">
        <v>1</v>
      </c>
      <c r="G1116" s="48">
        <v>2005</v>
      </c>
      <c r="H1116" s="44">
        <f>LOOKUP(G1116,CPI!A$69:A$100,CPI!O$69:O$100)</f>
        <v>1.1165181771633383</v>
      </c>
      <c r="I1116" s="5">
        <v>2050</v>
      </c>
      <c r="J1116" s="43"/>
      <c r="K1116" s="43"/>
      <c r="L1116" s="57"/>
      <c r="M1116" s="56"/>
      <c r="N1116" s="3">
        <f>23*(44/12)</f>
        <v>84.333333333333329</v>
      </c>
      <c r="O1116" s="50">
        <f t="shared" si="324"/>
        <v>84.333333333333329</v>
      </c>
      <c r="P1116" s="5">
        <v>0</v>
      </c>
      <c r="Q1116" s="5">
        <v>1</v>
      </c>
      <c r="R1116" s="5">
        <v>0</v>
      </c>
      <c r="T1116" s="56"/>
      <c r="U1116" s="77"/>
      <c r="V1116" s="77"/>
      <c r="AA1116" s="49">
        <f t="shared" si="325"/>
        <v>84.333333333333329</v>
      </c>
      <c r="AF1116" s="5">
        <v>1</v>
      </c>
      <c r="AG1116" s="5">
        <v>1</v>
      </c>
      <c r="AH1116" s="5">
        <v>1</v>
      </c>
      <c r="AI1116" s="5">
        <v>0</v>
      </c>
      <c r="AJ1116" s="5">
        <v>0</v>
      </c>
      <c r="AK1116" s="5">
        <v>1</v>
      </c>
      <c r="AL1116" s="5">
        <v>0</v>
      </c>
      <c r="AM1116" s="13"/>
      <c r="AN1116" s="13"/>
      <c r="AO1116" s="3">
        <v>2</v>
      </c>
      <c r="AP1116" s="3"/>
      <c r="AQ1116" s="3">
        <v>0.5</v>
      </c>
      <c r="AR1116" s="5">
        <v>0</v>
      </c>
      <c r="AS1116" s="5">
        <v>0</v>
      </c>
      <c r="AT1116" s="5"/>
      <c r="AU1116" s="5">
        <v>3</v>
      </c>
      <c r="AV1116" s="5"/>
      <c r="AW1116" s="5"/>
      <c r="AX1116" s="5">
        <v>0</v>
      </c>
      <c r="AY1116" s="5">
        <v>0</v>
      </c>
      <c r="AZ1116" s="5">
        <v>0</v>
      </c>
      <c r="BA1116" s="5">
        <v>1</v>
      </c>
    </row>
    <row r="1117" spans="1:53" s="41" customFormat="1" x14ac:dyDescent="0.2">
      <c r="B1117" s="14" t="str">
        <f t="shared" si="319"/>
        <v>Lemoine &amp; Traeger 2014</v>
      </c>
      <c r="C1117" s="61">
        <f t="shared" si="320"/>
        <v>99</v>
      </c>
      <c r="D1117" s="58">
        <v>2014</v>
      </c>
      <c r="E1117" s="38"/>
      <c r="F1117" s="58">
        <v>1</v>
      </c>
      <c r="G1117" s="48">
        <v>2005</v>
      </c>
      <c r="H1117" s="44">
        <f>LOOKUP(G1117,CPI!A$69:A$100,CPI!O$69:O$100)</f>
        <v>1.1165181771633383</v>
      </c>
      <c r="I1117" s="52">
        <v>2015</v>
      </c>
      <c r="J1117" s="43"/>
      <c r="K1117" s="44">
        <v>0.2</v>
      </c>
      <c r="L1117" s="57">
        <f>(AA1117/AA1118)^(1/(I1117-I1118))-1</f>
        <v>2.9324624897659302E-2</v>
      </c>
      <c r="M1117" s="56">
        <f>AA1117*H1117*(1+$L$2)^(2015-I1117)</f>
        <v>49.126799795186884</v>
      </c>
      <c r="N1117" s="3">
        <f>12*(44/12)</f>
        <v>44</v>
      </c>
      <c r="O1117" s="50">
        <f t="shared" si="324"/>
        <v>44</v>
      </c>
      <c r="P1117" s="5">
        <v>0</v>
      </c>
      <c r="Q1117" s="5">
        <v>1</v>
      </c>
      <c r="R1117" s="5">
        <v>0</v>
      </c>
      <c r="T1117" s="56"/>
      <c r="U1117" s="77"/>
      <c r="V1117" s="77"/>
      <c r="AA1117" s="49">
        <f t="shared" si="325"/>
        <v>44</v>
      </c>
      <c r="AF1117" s="5">
        <v>1</v>
      </c>
      <c r="AG1117" s="5">
        <v>1</v>
      </c>
      <c r="AH1117" s="5">
        <v>1</v>
      </c>
      <c r="AI1117" s="5">
        <v>0</v>
      </c>
      <c r="AJ1117" s="5">
        <v>0</v>
      </c>
      <c r="AK1117" s="5">
        <v>1</v>
      </c>
      <c r="AL1117" s="5">
        <v>0</v>
      </c>
      <c r="AM1117" s="13"/>
      <c r="AN1117" s="13"/>
      <c r="AO1117" s="3">
        <v>2</v>
      </c>
      <c r="AP1117" s="3"/>
      <c r="AQ1117" s="3">
        <v>0.5</v>
      </c>
      <c r="AR1117" s="5">
        <v>0</v>
      </c>
      <c r="AS1117" s="5">
        <v>0</v>
      </c>
      <c r="AT1117" s="5"/>
      <c r="AU1117" s="5">
        <v>3</v>
      </c>
      <c r="AV1117" s="5"/>
      <c r="AW1117" s="5"/>
      <c r="AX1117" s="5">
        <v>0</v>
      </c>
      <c r="AY1117" s="5">
        <v>0</v>
      </c>
      <c r="AZ1117" s="5">
        <v>0</v>
      </c>
      <c r="BA1117" s="5">
        <v>1</v>
      </c>
    </row>
    <row r="1118" spans="1:53" s="41" customFormat="1" x14ac:dyDescent="0.2">
      <c r="B1118" s="14" t="str">
        <f t="shared" si="319"/>
        <v>Lemoine &amp; Traeger 2014</v>
      </c>
      <c r="C1118" s="61">
        <f t="shared" si="320"/>
        <v>99</v>
      </c>
      <c r="D1118" s="58">
        <v>2014</v>
      </c>
      <c r="E1118" s="38"/>
      <c r="F1118" s="58">
        <v>1</v>
      </c>
      <c r="G1118" s="48">
        <v>2005</v>
      </c>
      <c r="H1118" s="44">
        <f>LOOKUP(G1118,CPI!A$69:A$100,CPI!O$69:O$100)</f>
        <v>1.1165181771633383</v>
      </c>
      <c r="I1118" s="5">
        <v>2050</v>
      </c>
      <c r="J1118" s="43"/>
      <c r="K1118" s="43"/>
      <c r="L1118" s="57"/>
      <c r="M1118" s="56"/>
      <c r="N1118" s="3">
        <f>33*(44/12)</f>
        <v>121</v>
      </c>
      <c r="O1118" s="50">
        <f t="shared" si="324"/>
        <v>121</v>
      </c>
      <c r="P1118" s="5">
        <v>0</v>
      </c>
      <c r="Q1118" s="5">
        <v>1</v>
      </c>
      <c r="R1118" s="5">
        <v>0</v>
      </c>
      <c r="T1118" s="56"/>
      <c r="U1118" s="77"/>
      <c r="V1118" s="77"/>
      <c r="AA1118" s="49">
        <f t="shared" si="325"/>
        <v>121</v>
      </c>
      <c r="AF1118" s="5">
        <v>1</v>
      </c>
      <c r="AG1118" s="5">
        <v>1</v>
      </c>
      <c r="AH1118" s="5">
        <v>1</v>
      </c>
      <c r="AI1118" s="5">
        <v>0</v>
      </c>
      <c r="AJ1118" s="5">
        <v>0</v>
      </c>
      <c r="AK1118" s="5">
        <v>1</v>
      </c>
      <c r="AL1118" s="5">
        <v>0</v>
      </c>
      <c r="AM1118" s="13"/>
      <c r="AN1118" s="13"/>
      <c r="AO1118" s="3">
        <v>2</v>
      </c>
      <c r="AP1118" s="3"/>
      <c r="AQ1118" s="3">
        <v>0.5</v>
      </c>
      <c r="AR1118" s="5">
        <v>0</v>
      </c>
      <c r="AS1118" s="5">
        <v>0</v>
      </c>
      <c r="AT1118" s="5"/>
      <c r="AU1118" s="5">
        <v>3</v>
      </c>
      <c r="AV1118" s="5"/>
      <c r="AW1118" s="5"/>
      <c r="AX1118" s="5">
        <v>0</v>
      </c>
      <c r="AY1118" s="5">
        <v>0</v>
      </c>
      <c r="AZ1118" s="5">
        <v>0</v>
      </c>
      <c r="BA1118" s="5">
        <v>1</v>
      </c>
    </row>
    <row r="1119" spans="1:53" s="41" customFormat="1" x14ac:dyDescent="0.2">
      <c r="B1119" s="14" t="str">
        <f t="shared" si="319"/>
        <v>Lemoine &amp; Traeger 2014</v>
      </c>
      <c r="C1119" s="61">
        <f t="shared" si="320"/>
        <v>99</v>
      </c>
      <c r="D1119" s="58">
        <v>2014</v>
      </c>
      <c r="E1119" s="38"/>
      <c r="F1119" s="58">
        <v>1</v>
      </c>
      <c r="G1119" s="48">
        <v>2005</v>
      </c>
      <c r="H1119" s="44">
        <f>LOOKUP(G1119,CPI!A$69:A$100,CPI!O$69:O$100)</f>
        <v>1.1165181771633383</v>
      </c>
      <c r="I1119" s="52">
        <v>2015</v>
      </c>
      <c r="J1119" s="43"/>
      <c r="K1119" s="44">
        <v>0.2</v>
      </c>
      <c r="L1119" s="57">
        <f>(AA1119/AA1120)^(1/(I1119-I1120))-1</f>
        <v>2.5531607324075001E-2</v>
      </c>
      <c r="M1119" s="56">
        <f>AA1119*H1119*(1+$L$2)^(2015-I1119)</f>
        <v>49.126799795186884</v>
      </c>
      <c r="N1119" s="3">
        <f>12*(44/12)</f>
        <v>44</v>
      </c>
      <c r="O1119" s="50">
        <f t="shared" si="324"/>
        <v>44</v>
      </c>
      <c r="P1119" s="5">
        <v>0</v>
      </c>
      <c r="Q1119" s="5">
        <v>1</v>
      </c>
      <c r="R1119" s="5">
        <v>0</v>
      </c>
      <c r="T1119" s="56"/>
      <c r="U1119" s="77"/>
      <c r="V1119" s="77"/>
      <c r="AA1119" s="49">
        <f t="shared" si="325"/>
        <v>44</v>
      </c>
      <c r="AF1119" s="5">
        <v>1</v>
      </c>
      <c r="AG1119" s="5">
        <v>1</v>
      </c>
      <c r="AH1119" s="5">
        <v>1</v>
      </c>
      <c r="AI1119" s="5">
        <v>0</v>
      </c>
      <c r="AJ1119" s="5">
        <v>0</v>
      </c>
      <c r="AK1119" s="5">
        <v>1</v>
      </c>
      <c r="AL1119" s="5">
        <v>0</v>
      </c>
      <c r="AM1119" s="13"/>
      <c r="AN1119" s="13"/>
      <c r="AO1119" s="3">
        <v>2</v>
      </c>
      <c r="AP1119" s="3"/>
      <c r="AQ1119" s="3">
        <v>0.5</v>
      </c>
      <c r="AR1119" s="5">
        <v>0</v>
      </c>
      <c r="AS1119" s="5">
        <v>0</v>
      </c>
      <c r="AT1119" s="5"/>
      <c r="AU1119" s="5">
        <v>3</v>
      </c>
      <c r="AV1119" s="5"/>
      <c r="AW1119" s="5"/>
      <c r="AX1119" s="5">
        <v>0</v>
      </c>
      <c r="AY1119" s="5">
        <v>0</v>
      </c>
      <c r="AZ1119" s="5">
        <v>0</v>
      </c>
      <c r="BA1119" s="5">
        <v>1</v>
      </c>
    </row>
    <row r="1120" spans="1:53" s="41" customFormat="1" x14ac:dyDescent="0.2">
      <c r="B1120" s="14" t="str">
        <f t="shared" si="319"/>
        <v>Lemoine &amp; Traeger 2014</v>
      </c>
      <c r="C1120" s="61">
        <f t="shared" si="320"/>
        <v>99</v>
      </c>
      <c r="D1120" s="58">
        <v>2014</v>
      </c>
      <c r="E1120" s="38"/>
      <c r="F1120" s="58">
        <v>1</v>
      </c>
      <c r="G1120" s="48">
        <v>2005</v>
      </c>
      <c r="H1120" s="44">
        <f>LOOKUP(G1120,CPI!A$69:A$100,CPI!O$69:O$100)</f>
        <v>1.1165181771633383</v>
      </c>
      <c r="I1120" s="5">
        <v>2050</v>
      </c>
      <c r="J1120" s="43"/>
      <c r="K1120" s="43"/>
      <c r="L1120" s="57"/>
      <c r="M1120" s="56"/>
      <c r="N1120" s="3">
        <f>29*(44/12)</f>
        <v>106.33333333333333</v>
      </c>
      <c r="O1120" s="50">
        <f t="shared" si="324"/>
        <v>106.33333333333333</v>
      </c>
      <c r="P1120" s="5">
        <v>0</v>
      </c>
      <c r="Q1120" s="5">
        <v>1</v>
      </c>
      <c r="R1120" s="5">
        <v>0</v>
      </c>
      <c r="T1120" s="56"/>
      <c r="U1120" s="77"/>
      <c r="V1120" s="77"/>
      <c r="AA1120" s="49">
        <f t="shared" si="325"/>
        <v>106.33333333333333</v>
      </c>
      <c r="AF1120" s="5">
        <v>1</v>
      </c>
      <c r="AG1120" s="5">
        <v>1</v>
      </c>
      <c r="AH1120" s="5">
        <v>1</v>
      </c>
      <c r="AI1120" s="5">
        <v>0</v>
      </c>
      <c r="AJ1120" s="5">
        <v>0</v>
      </c>
      <c r="AK1120" s="5">
        <v>1</v>
      </c>
      <c r="AL1120" s="5">
        <v>0</v>
      </c>
      <c r="AM1120" s="13"/>
      <c r="AN1120" s="13"/>
      <c r="AO1120" s="3">
        <v>2</v>
      </c>
      <c r="AP1120" s="3"/>
      <c r="AQ1120" s="3">
        <v>0.5</v>
      </c>
      <c r="AR1120" s="5">
        <v>0</v>
      </c>
      <c r="AS1120" s="5">
        <v>0</v>
      </c>
      <c r="AT1120" s="5"/>
      <c r="AU1120" s="5">
        <v>3</v>
      </c>
      <c r="AV1120" s="5"/>
      <c r="AW1120" s="5"/>
      <c r="AX1120" s="5">
        <v>0</v>
      </c>
      <c r="AY1120" s="5">
        <v>0</v>
      </c>
      <c r="AZ1120" s="5">
        <v>0</v>
      </c>
      <c r="BA1120" s="5">
        <v>1</v>
      </c>
    </row>
    <row r="1121" spans="1:53" s="41" customFormat="1" x14ac:dyDescent="0.2">
      <c r="B1121" s="14" t="str">
        <f t="shared" si="319"/>
        <v>Lemoine &amp; Traeger 2014</v>
      </c>
      <c r="C1121" s="61">
        <f t="shared" si="320"/>
        <v>99</v>
      </c>
      <c r="D1121" s="58">
        <v>2014</v>
      </c>
      <c r="E1121" s="38"/>
      <c r="F1121" s="58">
        <v>1</v>
      </c>
      <c r="G1121" s="48">
        <v>2005</v>
      </c>
      <c r="H1121" s="44">
        <f>LOOKUP(G1121,CPI!A$69:A$100,CPI!O$69:O$100)</f>
        <v>1.1165181771633383</v>
      </c>
      <c r="I1121" s="52">
        <v>2015</v>
      </c>
      <c r="J1121" s="43"/>
      <c r="K1121" s="44">
        <v>0.2</v>
      </c>
      <c r="L1121" s="57">
        <f>(AA1121/AA1122)^(1/(I1121-I1122))-1</f>
        <v>2.4503915236640195E-2</v>
      </c>
      <c r="M1121" s="56">
        <f>AA1121*H1121*(1+$L$2)^(2015-I1121)</f>
        <v>61.408499743983612</v>
      </c>
      <c r="N1121" s="3">
        <f>15*(44/12)</f>
        <v>55</v>
      </c>
      <c r="O1121" s="50">
        <f t="shared" si="324"/>
        <v>55</v>
      </c>
      <c r="P1121" s="5">
        <v>0</v>
      </c>
      <c r="Q1121" s="5">
        <v>1</v>
      </c>
      <c r="R1121" s="5">
        <v>0</v>
      </c>
      <c r="T1121" s="56"/>
      <c r="U1121" s="77"/>
      <c r="V1121" s="77"/>
      <c r="AA1121" s="49">
        <f t="shared" si="325"/>
        <v>55</v>
      </c>
      <c r="AF1121" s="5">
        <v>1</v>
      </c>
      <c r="AG1121" s="5">
        <v>1</v>
      </c>
      <c r="AH1121" s="5">
        <v>1</v>
      </c>
      <c r="AI1121" s="5">
        <v>0</v>
      </c>
      <c r="AJ1121" s="5">
        <v>0</v>
      </c>
      <c r="AK1121" s="5">
        <v>1</v>
      </c>
      <c r="AL1121" s="5">
        <v>0</v>
      </c>
      <c r="AM1121" s="13"/>
      <c r="AN1121" s="13"/>
      <c r="AO1121" s="3">
        <v>2</v>
      </c>
      <c r="AP1121" s="3"/>
      <c r="AQ1121" s="3">
        <v>0.5</v>
      </c>
      <c r="AR1121" s="5">
        <v>0</v>
      </c>
      <c r="AS1121" s="5">
        <v>0</v>
      </c>
      <c r="AT1121" s="5"/>
      <c r="AU1121" s="5">
        <v>3</v>
      </c>
      <c r="AV1121" s="5"/>
      <c r="AW1121" s="5"/>
      <c r="AX1121" s="5">
        <v>0</v>
      </c>
      <c r="AY1121" s="5">
        <v>0</v>
      </c>
      <c r="AZ1121" s="5">
        <v>0</v>
      </c>
      <c r="BA1121" s="5">
        <v>1</v>
      </c>
    </row>
    <row r="1122" spans="1:53" s="41" customFormat="1" x14ac:dyDescent="0.2">
      <c r="B1122" s="14" t="str">
        <f t="shared" si="319"/>
        <v>Lemoine &amp; Traeger 2014</v>
      </c>
      <c r="C1122" s="61">
        <f t="shared" si="320"/>
        <v>99</v>
      </c>
      <c r="D1122" s="58">
        <v>2014</v>
      </c>
      <c r="E1122" s="38"/>
      <c r="F1122" s="58">
        <v>1</v>
      </c>
      <c r="G1122" s="48">
        <v>2005</v>
      </c>
      <c r="H1122" s="44">
        <f>LOOKUP(G1122,CPI!A$69:A$100,CPI!O$69:O$100)</f>
        <v>1.1165181771633383</v>
      </c>
      <c r="I1122" s="5">
        <v>2050</v>
      </c>
      <c r="J1122" s="43"/>
      <c r="K1122" s="43"/>
      <c r="L1122" s="57"/>
      <c r="M1122" s="56"/>
      <c r="N1122" s="3">
        <f>35*(44/12)</f>
        <v>128.33333333333331</v>
      </c>
      <c r="O1122" s="50">
        <f t="shared" si="324"/>
        <v>128.33333333333331</v>
      </c>
      <c r="P1122" s="5">
        <v>0</v>
      </c>
      <c r="Q1122" s="5">
        <v>1</v>
      </c>
      <c r="R1122" s="5">
        <v>0</v>
      </c>
      <c r="T1122" s="56"/>
      <c r="U1122" s="77"/>
      <c r="V1122" s="77"/>
      <c r="AA1122" s="49">
        <f t="shared" si="325"/>
        <v>128.33333333333331</v>
      </c>
      <c r="AF1122" s="5">
        <v>1</v>
      </c>
      <c r="AG1122" s="5">
        <v>1</v>
      </c>
      <c r="AH1122" s="5">
        <v>1</v>
      </c>
      <c r="AI1122" s="5">
        <v>0</v>
      </c>
      <c r="AJ1122" s="5">
        <v>0</v>
      </c>
      <c r="AK1122" s="5">
        <v>1</v>
      </c>
      <c r="AL1122" s="5">
        <v>0</v>
      </c>
      <c r="AM1122" s="13"/>
      <c r="AN1122" s="13"/>
      <c r="AO1122" s="3">
        <v>2</v>
      </c>
      <c r="AP1122" s="3"/>
      <c r="AQ1122" s="3">
        <v>0.5</v>
      </c>
      <c r="AR1122" s="5">
        <v>0</v>
      </c>
      <c r="AS1122" s="5">
        <v>0</v>
      </c>
      <c r="AT1122" s="5"/>
      <c r="AU1122" s="5">
        <v>3</v>
      </c>
      <c r="AV1122" s="5"/>
      <c r="AW1122" s="5"/>
      <c r="AX1122" s="5">
        <v>0</v>
      </c>
      <c r="AY1122" s="5">
        <v>0</v>
      </c>
      <c r="AZ1122" s="5">
        <v>0</v>
      </c>
      <c r="BA1122" s="5">
        <v>1</v>
      </c>
    </row>
    <row r="1123" spans="1:53" s="41" customFormat="1" x14ac:dyDescent="0.2">
      <c r="B1123" s="14" t="str">
        <f t="shared" si="319"/>
        <v>Lemoine &amp; Traeger 2014</v>
      </c>
      <c r="C1123" s="61">
        <f t="shared" si="320"/>
        <v>99</v>
      </c>
      <c r="D1123" s="58">
        <v>2014</v>
      </c>
      <c r="E1123" s="38"/>
      <c r="F1123" s="58">
        <v>1</v>
      </c>
      <c r="G1123" s="48">
        <v>2005</v>
      </c>
      <c r="H1123" s="44">
        <f>LOOKUP(G1123,CPI!A$69:A$100,CPI!O$69:O$100)</f>
        <v>1.1165181771633383</v>
      </c>
      <c r="I1123" s="52">
        <v>2015</v>
      </c>
      <c r="J1123" s="43"/>
      <c r="K1123" s="44">
        <v>0.2</v>
      </c>
      <c r="L1123" s="57">
        <f>(AA1123/AA1124)^(1/(I1123-I1124))-1</f>
        <v>2.1024785192012008E-2</v>
      </c>
      <c r="M1123" s="56">
        <f>AA1123*H1123*(1+$L$2)^(2015-I1123)</f>
        <v>57.314599761051362</v>
      </c>
      <c r="N1123" s="3">
        <f>14*(44/12)</f>
        <v>51.333333333333329</v>
      </c>
      <c r="O1123" s="50">
        <f t="shared" si="324"/>
        <v>51.333333333333329</v>
      </c>
      <c r="P1123" s="5">
        <v>0</v>
      </c>
      <c r="Q1123" s="5">
        <v>1</v>
      </c>
      <c r="R1123" s="5">
        <v>0</v>
      </c>
      <c r="T1123" s="56"/>
      <c r="U1123" s="77"/>
      <c r="V1123" s="77"/>
      <c r="AA1123" s="49">
        <f t="shared" si="325"/>
        <v>51.333333333333329</v>
      </c>
      <c r="AF1123" s="5">
        <v>1</v>
      </c>
      <c r="AG1123" s="5">
        <v>1</v>
      </c>
      <c r="AH1123" s="5">
        <v>1</v>
      </c>
      <c r="AI1123" s="5">
        <v>0</v>
      </c>
      <c r="AJ1123" s="5">
        <v>0</v>
      </c>
      <c r="AK1123" s="5">
        <v>1</v>
      </c>
      <c r="AL1123" s="5">
        <v>0</v>
      </c>
      <c r="AM1123" s="13"/>
      <c r="AN1123" s="13"/>
      <c r="AO1123" s="3">
        <v>2</v>
      </c>
      <c r="AP1123" s="3"/>
      <c r="AQ1123" s="3">
        <v>0.5</v>
      </c>
      <c r="AR1123" s="5">
        <v>0</v>
      </c>
      <c r="AS1123" s="5">
        <v>0</v>
      </c>
      <c r="AT1123" s="5"/>
      <c r="AU1123" s="5">
        <v>3</v>
      </c>
      <c r="AV1123" s="5"/>
      <c r="AW1123" s="5"/>
      <c r="AX1123" s="5">
        <v>0</v>
      </c>
      <c r="AY1123" s="5">
        <v>0</v>
      </c>
      <c r="AZ1123" s="5">
        <v>0</v>
      </c>
      <c r="BA1123" s="5">
        <v>1</v>
      </c>
    </row>
    <row r="1124" spans="1:53" s="41" customFormat="1" x14ac:dyDescent="0.2">
      <c r="B1124" s="14" t="str">
        <f t="shared" si="319"/>
        <v>Lemoine &amp; Traeger 2014</v>
      </c>
      <c r="C1124" s="61">
        <f t="shared" si="320"/>
        <v>99</v>
      </c>
      <c r="D1124" s="58">
        <v>2014</v>
      </c>
      <c r="E1124" s="38"/>
      <c r="F1124" s="58">
        <v>1</v>
      </c>
      <c r="G1124" s="48">
        <v>2005</v>
      </c>
      <c r="H1124" s="44">
        <f>LOOKUP(G1124,CPI!A$69:A$100,CPI!O$69:O$100)</f>
        <v>1.1165181771633383</v>
      </c>
      <c r="I1124" s="5">
        <v>2050</v>
      </c>
      <c r="J1124" s="43"/>
      <c r="K1124" s="43"/>
      <c r="L1124" s="57"/>
      <c r="M1124" s="56"/>
      <c r="N1124" s="3">
        <f>29*(44/12)</f>
        <v>106.33333333333333</v>
      </c>
      <c r="O1124" s="50">
        <f t="shared" si="324"/>
        <v>106.33333333333333</v>
      </c>
      <c r="P1124" s="5">
        <v>0</v>
      </c>
      <c r="Q1124" s="5">
        <v>1</v>
      </c>
      <c r="R1124" s="5">
        <v>0</v>
      </c>
      <c r="T1124" s="56"/>
      <c r="U1124" s="77"/>
      <c r="V1124" s="77"/>
      <c r="AA1124" s="49">
        <f t="shared" si="325"/>
        <v>106.33333333333333</v>
      </c>
      <c r="AF1124" s="5">
        <v>1</v>
      </c>
      <c r="AG1124" s="5">
        <v>1</v>
      </c>
      <c r="AH1124" s="5">
        <v>1</v>
      </c>
      <c r="AI1124" s="5">
        <v>0</v>
      </c>
      <c r="AJ1124" s="5">
        <v>0</v>
      </c>
      <c r="AK1124" s="5">
        <v>1</v>
      </c>
      <c r="AL1124" s="5">
        <v>0</v>
      </c>
      <c r="AM1124" s="13"/>
      <c r="AN1124" s="13"/>
      <c r="AO1124" s="3">
        <v>2</v>
      </c>
      <c r="AP1124" s="3"/>
      <c r="AQ1124" s="3">
        <v>0.5</v>
      </c>
      <c r="AR1124" s="5">
        <v>0</v>
      </c>
      <c r="AS1124" s="5">
        <v>0</v>
      </c>
      <c r="AT1124" s="5"/>
      <c r="AU1124" s="5">
        <v>3</v>
      </c>
      <c r="AV1124" s="5"/>
      <c r="AW1124" s="5"/>
      <c r="AX1124" s="5">
        <v>0</v>
      </c>
      <c r="AY1124" s="5">
        <v>0</v>
      </c>
      <c r="AZ1124" s="5">
        <v>0</v>
      </c>
      <c r="BA1124" s="5">
        <v>1</v>
      </c>
    </row>
    <row r="1125" spans="1:53" s="41" customFormat="1" x14ac:dyDescent="0.2">
      <c r="A1125" s="41" t="s">
        <v>208</v>
      </c>
      <c r="B1125" s="14" t="str">
        <f t="shared" si="319"/>
        <v>Newbold et al. 2014</v>
      </c>
      <c r="C1125" s="61">
        <f t="shared" si="320"/>
        <v>100</v>
      </c>
      <c r="D1125" s="58">
        <v>2014</v>
      </c>
      <c r="E1125" s="38" t="s">
        <v>215</v>
      </c>
      <c r="F1125" s="58">
        <v>1</v>
      </c>
      <c r="G1125" s="5">
        <v>2005</v>
      </c>
      <c r="H1125" s="44">
        <f>LOOKUP(G1125,CPI!A$69:A$100,CPI!O$69:O$100)</f>
        <v>1.1165181771633383</v>
      </c>
      <c r="I1125" s="52">
        <v>2015</v>
      </c>
      <c r="J1125" s="43"/>
      <c r="K1125" s="43"/>
      <c r="L1125" s="57"/>
      <c r="M1125" s="56">
        <f t="shared" ref="M1125:M1133" si="326">AA1125*H1125*(1+$L$2)^(2015-I1125)</f>
        <v>49.126799795186884</v>
      </c>
      <c r="N1125" s="3">
        <f>12*44/12</f>
        <v>44</v>
      </c>
      <c r="P1125" s="5">
        <v>0</v>
      </c>
      <c r="Q1125" s="5">
        <v>1</v>
      </c>
      <c r="R1125" s="5">
        <v>1</v>
      </c>
      <c r="T1125" s="56"/>
      <c r="U1125" s="77"/>
      <c r="V1125" s="77"/>
      <c r="AA1125" s="49">
        <f>+N1125</f>
        <v>44</v>
      </c>
      <c r="AF1125" s="5">
        <v>1</v>
      </c>
      <c r="AG1125" s="5">
        <v>1</v>
      </c>
      <c r="AH1125" s="5">
        <v>1</v>
      </c>
      <c r="AI1125" s="5">
        <v>1</v>
      </c>
      <c r="AJ1125" s="5">
        <v>0</v>
      </c>
      <c r="AK1125" s="5">
        <v>0</v>
      </c>
      <c r="AL1125" s="5">
        <v>0</v>
      </c>
      <c r="AM1125" s="13"/>
      <c r="AN1125" s="13"/>
      <c r="AO1125" s="5"/>
      <c r="AP1125" s="5"/>
      <c r="AQ1125" s="5"/>
      <c r="AR1125" s="5">
        <v>0</v>
      </c>
      <c r="AS1125" s="5">
        <v>0</v>
      </c>
      <c r="AT1125" s="5"/>
      <c r="AU1125" s="5"/>
      <c r="AV1125" s="5"/>
      <c r="AW1125" s="5"/>
      <c r="AX1125" s="5">
        <v>0</v>
      </c>
      <c r="AY1125" s="5">
        <v>0</v>
      </c>
      <c r="AZ1125" s="5">
        <v>0</v>
      </c>
      <c r="BA1125" s="5">
        <v>0</v>
      </c>
    </row>
    <row r="1126" spans="1:53" s="41" customFormat="1" x14ac:dyDescent="0.2">
      <c r="A1126" s="41" t="s">
        <v>155</v>
      </c>
      <c r="B1126" s="14" t="str">
        <f t="shared" si="319"/>
        <v>Pycroft et al. 2014</v>
      </c>
      <c r="C1126" s="61">
        <f t="shared" si="320"/>
        <v>101</v>
      </c>
      <c r="D1126" s="58">
        <v>2014</v>
      </c>
      <c r="E1126" s="38" t="s">
        <v>212</v>
      </c>
      <c r="F1126" s="58">
        <v>1</v>
      </c>
      <c r="G1126" s="5">
        <v>2005</v>
      </c>
      <c r="H1126" s="44">
        <f>LOOKUP(G1126,CPI!A$69:A$100,CPI!O$69:O$100)</f>
        <v>1.1165181771633383</v>
      </c>
      <c r="I1126" s="52">
        <v>2009</v>
      </c>
      <c r="J1126" s="43"/>
      <c r="K1126" s="43"/>
      <c r="L1126" s="57"/>
      <c r="M1126" s="56">
        <f t="shared" si="326"/>
        <v>236.16814046191016</v>
      </c>
      <c r="N1126" s="3"/>
      <c r="O1126" s="41">
        <v>76</v>
      </c>
      <c r="P1126" s="5">
        <v>1</v>
      </c>
      <c r="Q1126" s="5">
        <v>0</v>
      </c>
      <c r="R1126" s="5">
        <v>0</v>
      </c>
      <c r="T1126" s="56"/>
      <c r="U1126" s="56">
        <f t="shared" ref="U1126" si="327">+(AA1126-X1126)/1.96*H1126*(1+$L$2)^(2015-I1126)</f>
        <v>92.880752520096493</v>
      </c>
      <c r="V1126" s="56">
        <f t="shared" ref="V1126" si="328">+(AD1126-AA1126)/1.96*H1126*(1+$L$2)^(2015-I1126)</f>
        <v>446.83172833992353</v>
      </c>
      <c r="X1126" s="41">
        <f>11*(44/12)</f>
        <v>40.333333333333329</v>
      </c>
      <c r="AA1126" s="3">
        <f>48*(44/12)</f>
        <v>176</v>
      </c>
      <c r="AD1126" s="41">
        <f>226*(44/12)</f>
        <v>828.66666666666663</v>
      </c>
      <c r="AF1126" s="5">
        <v>0</v>
      </c>
      <c r="AG1126" s="5">
        <v>1</v>
      </c>
      <c r="AH1126" s="5">
        <v>0</v>
      </c>
      <c r="AI1126" s="5">
        <v>1</v>
      </c>
      <c r="AJ1126" s="5">
        <v>0</v>
      </c>
      <c r="AK1126" s="5">
        <v>0</v>
      </c>
      <c r="AL1126" s="5">
        <v>1</v>
      </c>
      <c r="AM1126" s="13" t="s">
        <v>25</v>
      </c>
      <c r="AN1126" s="13" t="s">
        <v>25</v>
      </c>
      <c r="AO1126" s="5"/>
      <c r="AP1126" s="5"/>
      <c r="AQ1126" s="5"/>
      <c r="AR1126" s="5">
        <v>1</v>
      </c>
      <c r="AS1126" s="5">
        <v>0</v>
      </c>
      <c r="AT1126" s="5"/>
      <c r="AU1126" s="5"/>
      <c r="AV1126" s="5"/>
      <c r="AW1126" s="5"/>
      <c r="AX1126" s="5">
        <v>1</v>
      </c>
      <c r="AY1126" s="5">
        <v>0</v>
      </c>
      <c r="AZ1126" s="5">
        <v>0</v>
      </c>
      <c r="BA1126" s="5">
        <v>0</v>
      </c>
    </row>
    <row r="1127" spans="1:53" s="41" customFormat="1" x14ac:dyDescent="0.2">
      <c r="B1127" s="14" t="str">
        <f t="shared" si="319"/>
        <v>Pycroft et al. 2014</v>
      </c>
      <c r="C1127" s="61">
        <f t="shared" si="320"/>
        <v>101</v>
      </c>
      <c r="D1127" s="58">
        <v>2014</v>
      </c>
      <c r="E1127" s="38"/>
      <c r="F1127" s="58">
        <v>1</v>
      </c>
      <c r="G1127" s="5">
        <v>2005</v>
      </c>
      <c r="H1127" s="44">
        <f>LOOKUP(G1127,CPI!A$69:A$100,CPI!O$69:O$100)</f>
        <v>1.1165181771633383</v>
      </c>
      <c r="I1127" s="52">
        <v>2009</v>
      </c>
      <c r="J1127" s="43"/>
      <c r="K1127" s="43"/>
      <c r="L1127" s="57"/>
      <c r="M1127" s="56">
        <f t="shared" si="326"/>
        <v>285.36983639147473</v>
      </c>
      <c r="N1127" s="3"/>
      <c r="O1127" s="41">
        <v>135</v>
      </c>
      <c r="P1127" s="5">
        <v>1</v>
      </c>
      <c r="Q1127" s="5">
        <v>0</v>
      </c>
      <c r="R1127" s="5">
        <v>0</v>
      </c>
      <c r="T1127" s="56"/>
      <c r="U1127" s="56">
        <f t="shared" ref="U1127:U1133" si="329">+(AA1127-X1127)/1.96*H1127*(1+$L$2)^(2015-I1127)</f>
        <v>115.47336799795778</v>
      </c>
      <c r="V1127" s="56">
        <f t="shared" ref="V1127:V1133" si="330">+(AD1127-AA1127)/1.96*H1127*(1+$L$2)^(2015-I1127)</f>
        <v>1081.9352523286911</v>
      </c>
      <c r="X1127" s="41">
        <f>12*(44/12)</f>
        <v>44</v>
      </c>
      <c r="AA1127" s="3">
        <f>58*(44/12)</f>
        <v>212.66666666666666</v>
      </c>
      <c r="AD1127" s="41">
        <f>489*(44/12)</f>
        <v>1793</v>
      </c>
      <c r="AF1127" s="5">
        <v>0</v>
      </c>
      <c r="AG1127" s="5">
        <v>1</v>
      </c>
      <c r="AH1127" s="5">
        <v>0</v>
      </c>
      <c r="AI1127" s="5">
        <v>1</v>
      </c>
      <c r="AJ1127" s="5">
        <v>0</v>
      </c>
      <c r="AK1127" s="5">
        <v>0</v>
      </c>
      <c r="AL1127" s="5">
        <v>1</v>
      </c>
      <c r="AM1127" s="13" t="s">
        <v>25</v>
      </c>
      <c r="AN1127" s="13" t="s">
        <v>25</v>
      </c>
      <c r="AO1127" s="5"/>
      <c r="AP1127" s="5"/>
      <c r="AQ1127" s="5"/>
      <c r="AR1127" s="5">
        <v>1</v>
      </c>
      <c r="AS1127" s="5">
        <v>0</v>
      </c>
      <c r="AT1127" s="5"/>
      <c r="AU1127" s="5"/>
      <c r="AV1127" s="5"/>
      <c r="AW1127" s="5"/>
      <c r="AX1127" s="5">
        <v>1</v>
      </c>
      <c r="AY1127" s="5">
        <v>0</v>
      </c>
      <c r="AZ1127" s="5">
        <v>0</v>
      </c>
      <c r="BA1127" s="5">
        <v>0</v>
      </c>
    </row>
    <row r="1128" spans="1:53" s="41" customFormat="1" x14ac:dyDescent="0.2">
      <c r="B1128" s="14" t="str">
        <f t="shared" si="319"/>
        <v>Pycroft et al. 2014</v>
      </c>
      <c r="C1128" s="61">
        <f t="shared" si="320"/>
        <v>101</v>
      </c>
      <c r="D1128" s="58">
        <v>2014</v>
      </c>
      <c r="E1128" s="38"/>
      <c r="F1128" s="58">
        <v>1</v>
      </c>
      <c r="G1128" s="5">
        <v>2005</v>
      </c>
      <c r="H1128" s="44">
        <f>LOOKUP(G1128,CPI!A$69:A$100,CPI!O$69:O$100)</f>
        <v>1.1165181771633383</v>
      </c>
      <c r="I1128" s="52">
        <v>2009</v>
      </c>
      <c r="J1128" s="43"/>
      <c r="K1128" s="43"/>
      <c r="L1128" s="57"/>
      <c r="M1128" s="56">
        <f t="shared" si="326"/>
        <v>280.44966679851831</v>
      </c>
      <c r="N1128" s="3"/>
      <c r="O1128" s="41">
        <v>147</v>
      </c>
      <c r="P1128" s="5">
        <v>1</v>
      </c>
      <c r="Q1128" s="5">
        <v>0</v>
      </c>
      <c r="R1128" s="5">
        <v>0</v>
      </c>
      <c r="T1128" s="56"/>
      <c r="U1128" s="56">
        <f t="shared" si="329"/>
        <v>112.96307738930652</v>
      </c>
      <c r="V1128" s="56">
        <f t="shared" si="330"/>
        <v>1240.0835606737205</v>
      </c>
      <c r="X1128" s="41">
        <f>12*(44/12)</f>
        <v>44</v>
      </c>
      <c r="AA1128" s="3">
        <f>57*(44/12)</f>
        <v>209</v>
      </c>
      <c r="AD1128" s="41">
        <f>551*(44/12)</f>
        <v>2020.3333333333333</v>
      </c>
      <c r="AF1128" s="5">
        <v>0</v>
      </c>
      <c r="AG1128" s="5">
        <v>1</v>
      </c>
      <c r="AH1128" s="5">
        <v>0</v>
      </c>
      <c r="AI1128" s="5">
        <v>1</v>
      </c>
      <c r="AJ1128" s="5">
        <v>0</v>
      </c>
      <c r="AK1128" s="5">
        <v>0</v>
      </c>
      <c r="AL1128" s="5">
        <v>1</v>
      </c>
      <c r="AM1128" s="13" t="s">
        <v>25</v>
      </c>
      <c r="AN1128" s="13" t="s">
        <v>25</v>
      </c>
      <c r="AO1128" s="5"/>
      <c r="AP1128" s="5"/>
      <c r="AQ1128" s="5"/>
      <c r="AR1128" s="5">
        <v>1</v>
      </c>
      <c r="AS1128" s="5">
        <v>0</v>
      </c>
      <c r="AT1128" s="5"/>
      <c r="AU1128" s="5"/>
      <c r="AV1128" s="5"/>
      <c r="AW1128" s="5"/>
      <c r="AX1128" s="5">
        <v>1</v>
      </c>
      <c r="AY1128" s="5">
        <v>0</v>
      </c>
      <c r="AZ1128" s="5">
        <v>0</v>
      </c>
      <c r="BA1128" s="5">
        <v>0</v>
      </c>
    </row>
    <row r="1129" spans="1:53" s="41" customFormat="1" x14ac:dyDescent="0.2">
      <c r="B1129" s="14" t="str">
        <f t="shared" si="319"/>
        <v>Pycroft et al. 2014</v>
      </c>
      <c r="C1129" s="61">
        <f t="shared" si="320"/>
        <v>101</v>
      </c>
      <c r="D1129" s="58">
        <v>2014</v>
      </c>
      <c r="E1129" s="38"/>
      <c r="F1129" s="58">
        <v>1</v>
      </c>
      <c r="G1129" s="5">
        <v>2005</v>
      </c>
      <c r="H1129" s="44">
        <f>LOOKUP(G1129,CPI!A$69:A$100,CPI!O$69:O$100)</f>
        <v>1.1165181771633383</v>
      </c>
      <c r="I1129" s="52">
        <v>2009</v>
      </c>
      <c r="J1129" s="43"/>
      <c r="K1129" s="43"/>
      <c r="L1129" s="57"/>
      <c r="M1129" s="56">
        <f t="shared" si="326"/>
        <v>270.6093276126054</v>
      </c>
      <c r="N1129" s="3"/>
      <c r="O1129" s="41">
        <v>218</v>
      </c>
      <c r="P1129" s="5">
        <v>1</v>
      </c>
      <c r="Q1129" s="5">
        <v>0</v>
      </c>
      <c r="R1129" s="5">
        <v>0</v>
      </c>
      <c r="T1129" s="56"/>
      <c r="U1129" s="56">
        <f t="shared" si="329"/>
        <v>110.45278678065525</v>
      </c>
      <c r="V1129" s="56">
        <f t="shared" si="330"/>
        <v>1968.0678371825845</v>
      </c>
      <c r="X1129" s="41">
        <f>11*(44/12)</f>
        <v>40.333333333333329</v>
      </c>
      <c r="AA1129" s="3">
        <f>55*(44/12)</f>
        <v>201.66666666666666</v>
      </c>
      <c r="AD1129" s="41">
        <f>839*(44/12)</f>
        <v>3076.333333333333</v>
      </c>
      <c r="AF1129" s="5">
        <v>0</v>
      </c>
      <c r="AG1129" s="5">
        <v>1</v>
      </c>
      <c r="AH1129" s="5">
        <v>0</v>
      </c>
      <c r="AI1129" s="5">
        <v>1</v>
      </c>
      <c r="AJ1129" s="5">
        <v>0</v>
      </c>
      <c r="AK1129" s="5">
        <v>0</v>
      </c>
      <c r="AL1129" s="5">
        <v>1</v>
      </c>
      <c r="AM1129" s="13" t="s">
        <v>25</v>
      </c>
      <c r="AN1129" s="13" t="s">
        <v>25</v>
      </c>
      <c r="AO1129" s="5"/>
      <c r="AP1129" s="5"/>
      <c r="AQ1129" s="5"/>
      <c r="AR1129" s="5">
        <v>1</v>
      </c>
      <c r="AS1129" s="5">
        <v>0</v>
      </c>
      <c r="AT1129" s="5"/>
      <c r="AU1129" s="5"/>
      <c r="AV1129" s="5"/>
      <c r="AW1129" s="5"/>
      <c r="AX1129" s="5">
        <v>1</v>
      </c>
      <c r="AY1129" s="5">
        <v>0</v>
      </c>
      <c r="AZ1129" s="5">
        <v>0</v>
      </c>
      <c r="BA1129" s="5">
        <v>0</v>
      </c>
    </row>
    <row r="1130" spans="1:53" s="41" customFormat="1" x14ac:dyDescent="0.2">
      <c r="B1130" s="14" t="str">
        <f t="shared" si="319"/>
        <v>Pycroft et al. 2014</v>
      </c>
      <c r="C1130" s="61">
        <f t="shared" si="320"/>
        <v>101</v>
      </c>
      <c r="D1130" s="58">
        <v>2014</v>
      </c>
      <c r="E1130" s="38"/>
      <c r="F1130" s="58">
        <v>1</v>
      </c>
      <c r="G1130" s="5">
        <v>2005</v>
      </c>
      <c r="H1130" s="44">
        <f>LOOKUP(G1130,CPI!A$69:A$100,CPI!O$69:O$100)</f>
        <v>1.1165181771633383</v>
      </c>
      <c r="I1130" s="52">
        <v>2009</v>
      </c>
      <c r="J1130" s="43"/>
      <c r="K1130" s="43"/>
      <c r="L1130" s="57"/>
      <c r="M1130" s="56">
        <f t="shared" si="326"/>
        <v>300.13034517034413</v>
      </c>
      <c r="N1130" s="3"/>
      <c r="O1130" s="41">
        <v>89</v>
      </c>
      <c r="P1130" s="5">
        <v>1</v>
      </c>
      <c r="Q1130" s="5">
        <v>0</v>
      </c>
      <c r="R1130" s="5">
        <v>0</v>
      </c>
      <c r="T1130" s="56"/>
      <c r="U1130" s="56">
        <f t="shared" si="329"/>
        <v>110.45278678065525</v>
      </c>
      <c r="V1130" s="56">
        <f t="shared" si="330"/>
        <v>481.9757968610412</v>
      </c>
      <c r="X1130" s="41">
        <f>17*(44/12)</f>
        <v>62.333333333333329</v>
      </c>
      <c r="AA1130" s="3">
        <f>61*(44/12)</f>
        <v>223.66666666666666</v>
      </c>
      <c r="AD1130" s="41">
        <f>253*(44/12)</f>
        <v>927.66666666666663</v>
      </c>
      <c r="AF1130" s="5">
        <v>0</v>
      </c>
      <c r="AG1130" s="5">
        <v>1</v>
      </c>
      <c r="AH1130" s="5">
        <v>0</v>
      </c>
      <c r="AI1130" s="5">
        <v>1</v>
      </c>
      <c r="AJ1130" s="5">
        <v>0</v>
      </c>
      <c r="AK1130" s="5">
        <v>0</v>
      </c>
      <c r="AL1130" s="5">
        <v>1</v>
      </c>
      <c r="AM1130" s="13" t="s">
        <v>25</v>
      </c>
      <c r="AN1130" s="13" t="s">
        <v>25</v>
      </c>
      <c r="AO1130" s="5"/>
      <c r="AP1130" s="5"/>
      <c r="AQ1130" s="5"/>
      <c r="AR1130" s="5">
        <v>1</v>
      </c>
      <c r="AS1130" s="5">
        <v>0</v>
      </c>
      <c r="AT1130" s="5"/>
      <c r="AU1130" s="5"/>
      <c r="AV1130" s="5"/>
      <c r="AW1130" s="5"/>
      <c r="AX1130" s="5">
        <v>1</v>
      </c>
      <c r="AY1130" s="5">
        <v>0</v>
      </c>
      <c r="AZ1130" s="5">
        <v>0</v>
      </c>
      <c r="BA1130" s="5">
        <v>0</v>
      </c>
    </row>
    <row r="1131" spans="1:53" s="41" customFormat="1" x14ac:dyDescent="0.2">
      <c r="B1131" s="14" t="str">
        <f t="shared" si="319"/>
        <v>Pycroft et al. 2014</v>
      </c>
      <c r="C1131" s="61">
        <f t="shared" si="320"/>
        <v>101</v>
      </c>
      <c r="D1131" s="58">
        <v>2014</v>
      </c>
      <c r="E1131" s="38"/>
      <c r="F1131" s="58">
        <v>1</v>
      </c>
      <c r="G1131" s="5">
        <v>2005</v>
      </c>
      <c r="H1131" s="44">
        <f>LOOKUP(G1131,CPI!A$69:A$100,CPI!O$69:O$100)</f>
        <v>1.1165181771633383</v>
      </c>
      <c r="I1131" s="52">
        <v>2009</v>
      </c>
      <c r="J1131" s="43"/>
      <c r="K1131" s="43"/>
      <c r="L1131" s="57"/>
      <c r="M1131" s="56">
        <f t="shared" si="326"/>
        <v>339.49170191399588</v>
      </c>
      <c r="N1131" s="3"/>
      <c r="O1131" s="41">
        <v>149</v>
      </c>
      <c r="P1131" s="5">
        <v>1</v>
      </c>
      <c r="Q1131" s="5">
        <v>0</v>
      </c>
      <c r="R1131" s="5">
        <v>0</v>
      </c>
      <c r="T1131" s="56"/>
      <c r="U1131" s="56">
        <f t="shared" si="329"/>
        <v>130.53511164986534</v>
      </c>
      <c r="V1131" s="56">
        <f t="shared" si="330"/>
        <v>1167.2851330228341</v>
      </c>
      <c r="X1131" s="41">
        <f>17*(44/12)</f>
        <v>62.333333333333329</v>
      </c>
      <c r="AA1131" s="3">
        <f>69*(44/12)</f>
        <v>253</v>
      </c>
      <c r="AD1131" s="41">
        <f>534*(44/12)</f>
        <v>1958</v>
      </c>
      <c r="AF1131" s="5">
        <v>0</v>
      </c>
      <c r="AG1131" s="5">
        <v>1</v>
      </c>
      <c r="AH1131" s="5">
        <v>0</v>
      </c>
      <c r="AI1131" s="5">
        <v>1</v>
      </c>
      <c r="AJ1131" s="5">
        <v>0</v>
      </c>
      <c r="AK1131" s="5">
        <v>0</v>
      </c>
      <c r="AL1131" s="5">
        <v>1</v>
      </c>
      <c r="AM1131" s="13" t="s">
        <v>25</v>
      </c>
      <c r="AN1131" s="13" t="s">
        <v>25</v>
      </c>
      <c r="AO1131" s="5"/>
      <c r="AP1131" s="5"/>
      <c r="AQ1131" s="5"/>
      <c r="AR1131" s="5">
        <v>1</v>
      </c>
      <c r="AS1131" s="5">
        <v>0</v>
      </c>
      <c r="AT1131" s="5"/>
      <c r="AU1131" s="5"/>
      <c r="AV1131" s="5"/>
      <c r="AW1131" s="5"/>
      <c r="AX1131" s="5">
        <v>1</v>
      </c>
      <c r="AY1131" s="5">
        <v>0</v>
      </c>
      <c r="AZ1131" s="5">
        <v>0</v>
      </c>
      <c r="BA1131" s="5">
        <v>0</v>
      </c>
    </row>
    <row r="1132" spans="1:53" s="41" customFormat="1" x14ac:dyDescent="0.2">
      <c r="B1132" s="14" t="str">
        <f t="shared" si="319"/>
        <v>Pycroft et al. 2014</v>
      </c>
      <c r="C1132" s="61">
        <f t="shared" si="320"/>
        <v>101</v>
      </c>
      <c r="D1132" s="58">
        <v>2014</v>
      </c>
      <c r="E1132" s="38"/>
      <c r="F1132" s="58">
        <v>1</v>
      </c>
      <c r="G1132" s="5">
        <v>2005</v>
      </c>
      <c r="H1132" s="44">
        <f>LOOKUP(G1132,CPI!A$69:A$100,CPI!O$69:O$100)</f>
        <v>1.1165181771633383</v>
      </c>
      <c r="I1132" s="52">
        <v>2009</v>
      </c>
      <c r="J1132" s="43"/>
      <c r="K1132" s="43"/>
      <c r="L1132" s="57"/>
      <c r="M1132" s="56">
        <f t="shared" si="326"/>
        <v>334.57153232103934</v>
      </c>
      <c r="N1132" s="3"/>
      <c r="O1132" s="41">
        <v>161</v>
      </c>
      <c r="P1132" s="5">
        <v>1</v>
      </c>
      <c r="Q1132" s="5">
        <v>0</v>
      </c>
      <c r="R1132" s="5">
        <v>0</v>
      </c>
      <c r="T1132" s="56"/>
      <c r="U1132" s="56">
        <f t="shared" si="329"/>
        <v>128.02482104121407</v>
      </c>
      <c r="V1132" s="56">
        <f t="shared" si="330"/>
        <v>1267.6967573688844</v>
      </c>
      <c r="X1132" s="41">
        <f>17*(44/12)</f>
        <v>62.333333333333329</v>
      </c>
      <c r="AA1132" s="3">
        <f>68*(44/12)</f>
        <v>249.33333333333331</v>
      </c>
      <c r="AD1132" s="41">
        <f>573*(44/12)</f>
        <v>2101</v>
      </c>
      <c r="AF1132" s="5">
        <v>0</v>
      </c>
      <c r="AG1132" s="5">
        <v>1</v>
      </c>
      <c r="AH1132" s="5">
        <v>0</v>
      </c>
      <c r="AI1132" s="5">
        <v>1</v>
      </c>
      <c r="AJ1132" s="5">
        <v>0</v>
      </c>
      <c r="AK1132" s="5">
        <v>0</v>
      </c>
      <c r="AL1132" s="5">
        <v>1</v>
      </c>
      <c r="AM1132" s="13" t="s">
        <v>25</v>
      </c>
      <c r="AN1132" s="13" t="s">
        <v>25</v>
      </c>
      <c r="AO1132" s="5"/>
      <c r="AP1132" s="5"/>
      <c r="AQ1132" s="5"/>
      <c r="AR1132" s="5">
        <v>1</v>
      </c>
      <c r="AS1132" s="5">
        <v>0</v>
      </c>
      <c r="AT1132" s="5"/>
      <c r="AU1132" s="5"/>
      <c r="AV1132" s="5"/>
      <c r="AW1132" s="5"/>
      <c r="AX1132" s="5">
        <v>1</v>
      </c>
      <c r="AY1132" s="5">
        <v>0</v>
      </c>
      <c r="AZ1132" s="5">
        <v>0</v>
      </c>
      <c r="BA1132" s="5">
        <v>0</v>
      </c>
    </row>
    <row r="1133" spans="1:53" s="41" customFormat="1" x14ac:dyDescent="0.2">
      <c r="B1133" s="14" t="str">
        <f t="shared" si="319"/>
        <v>Pycroft et al. 2014</v>
      </c>
      <c r="C1133" s="61">
        <f t="shared" si="320"/>
        <v>101</v>
      </c>
      <c r="D1133" s="58">
        <v>2014</v>
      </c>
      <c r="E1133" s="38"/>
      <c r="F1133" s="58">
        <v>1</v>
      </c>
      <c r="G1133" s="5">
        <v>2005</v>
      </c>
      <c r="H1133" s="44">
        <f>LOOKUP(G1133,CPI!A$69:A$100,CPI!O$69:O$100)</f>
        <v>1.1165181771633383</v>
      </c>
      <c r="I1133" s="52">
        <v>2009</v>
      </c>
      <c r="J1133" s="43"/>
      <c r="K1133" s="43"/>
      <c r="L1133" s="57"/>
      <c r="M1133" s="56">
        <f t="shared" si="326"/>
        <v>324.73119313512649</v>
      </c>
      <c r="N1133" s="3"/>
      <c r="O1133" s="41">
        <v>228</v>
      </c>
      <c r="P1133" s="5">
        <v>1</v>
      </c>
      <c r="Q1133" s="5">
        <v>0</v>
      </c>
      <c r="R1133" s="5">
        <v>0</v>
      </c>
      <c r="T1133" s="56"/>
      <c r="U1133" s="56">
        <f t="shared" si="329"/>
        <v>123.00423982391156</v>
      </c>
      <c r="V1133" s="56">
        <f t="shared" si="330"/>
        <v>2076.010333354589</v>
      </c>
      <c r="X1133" s="41">
        <f>17*(44/12)</f>
        <v>62.333333333333329</v>
      </c>
      <c r="AA1133" s="3">
        <f>66*(44/12)</f>
        <v>242</v>
      </c>
      <c r="AD1133" s="41">
        <f>893*(44/12)</f>
        <v>3274.333333333333</v>
      </c>
      <c r="AF1133" s="5">
        <v>0</v>
      </c>
      <c r="AG1133" s="5">
        <v>1</v>
      </c>
      <c r="AH1133" s="5">
        <v>0</v>
      </c>
      <c r="AI1133" s="5">
        <v>1</v>
      </c>
      <c r="AJ1133" s="5">
        <v>0</v>
      </c>
      <c r="AK1133" s="5">
        <v>0</v>
      </c>
      <c r="AL1133" s="5">
        <v>1</v>
      </c>
      <c r="AM1133" s="13" t="s">
        <v>25</v>
      </c>
      <c r="AN1133" s="13" t="s">
        <v>25</v>
      </c>
      <c r="AO1133" s="5"/>
      <c r="AP1133" s="5"/>
      <c r="AQ1133" s="5"/>
      <c r="AR1133" s="5">
        <v>1</v>
      </c>
      <c r="AS1133" s="5">
        <v>0</v>
      </c>
      <c r="AT1133" s="5"/>
      <c r="AU1133" s="5"/>
      <c r="AV1133" s="5"/>
      <c r="AW1133" s="5"/>
      <c r="AX1133" s="5">
        <v>1</v>
      </c>
      <c r="AY1133" s="5">
        <v>0</v>
      </c>
      <c r="AZ1133" s="5">
        <v>0</v>
      </c>
      <c r="BA1133" s="5">
        <v>0</v>
      </c>
    </row>
    <row r="1134" spans="1:53" s="41" customFormat="1" x14ac:dyDescent="0.2">
      <c r="A1134" s="41" t="s">
        <v>236</v>
      </c>
      <c r="B1134" s="14" t="str">
        <f t="shared" si="319"/>
        <v>Rezai &amp; vd Ploeg 2014</v>
      </c>
      <c r="C1134" s="61">
        <f t="shared" si="320"/>
        <v>102</v>
      </c>
      <c r="D1134" s="58">
        <v>2014</v>
      </c>
      <c r="E1134" s="38" t="s">
        <v>235</v>
      </c>
      <c r="F1134" s="58">
        <v>0</v>
      </c>
      <c r="G1134" s="48">
        <v>2010</v>
      </c>
      <c r="H1134" s="44">
        <f>LOOKUP(G1134,CPI!A$69:A$100,CPI!O$69:O$100)</f>
        <v>1</v>
      </c>
      <c r="I1134" s="52">
        <v>2010</v>
      </c>
      <c r="J1134" s="43"/>
      <c r="K1134" s="43"/>
      <c r="L1134" s="57"/>
      <c r="M1134" s="56">
        <f t="shared" ref="M1134:M1135" si="331">AA1134*H1134*(1+$L$2)^(2015-I1134)</f>
        <v>87.417215146371007</v>
      </c>
      <c r="N1134" s="3">
        <v>75</v>
      </c>
      <c r="P1134" s="5">
        <v>0</v>
      </c>
      <c r="Q1134" s="5">
        <v>1</v>
      </c>
      <c r="R1134" s="5">
        <v>0</v>
      </c>
      <c r="T1134" s="56"/>
      <c r="U1134" s="77"/>
      <c r="V1134" s="77"/>
      <c r="AA1134" s="49">
        <f t="shared" ref="AA1134:AA1135" si="332">+N1134</f>
        <v>75</v>
      </c>
      <c r="AF1134" s="5">
        <v>1</v>
      </c>
      <c r="AG1134" s="5">
        <v>1</v>
      </c>
      <c r="AH1134" s="5">
        <v>0</v>
      </c>
      <c r="AI1134" s="5">
        <v>0</v>
      </c>
      <c r="AJ1134" s="5">
        <v>0</v>
      </c>
      <c r="AK1134" s="5">
        <v>0</v>
      </c>
      <c r="AL1134" s="5">
        <v>0</v>
      </c>
      <c r="AM1134" s="13"/>
      <c r="AN1134" s="13">
        <v>0.96</v>
      </c>
      <c r="AO1134" s="5">
        <v>2</v>
      </c>
      <c r="AP1134" s="5"/>
      <c r="AQ1134" s="3">
        <v>0.5</v>
      </c>
      <c r="AR1134" s="5">
        <v>0</v>
      </c>
      <c r="AS1134" s="5">
        <v>0</v>
      </c>
      <c r="AT1134" s="5"/>
      <c r="AU1134" s="5">
        <v>2.2999999999999998</v>
      </c>
      <c r="AV1134" s="5"/>
      <c r="AW1134" s="5"/>
      <c r="AX1134" s="5">
        <v>0</v>
      </c>
      <c r="AY1134" s="5">
        <v>0</v>
      </c>
      <c r="AZ1134" s="5">
        <v>0</v>
      </c>
      <c r="BA1134" s="5">
        <v>1</v>
      </c>
    </row>
    <row r="1135" spans="1:53" s="41" customFormat="1" x14ac:dyDescent="0.2">
      <c r="B1135" s="14" t="str">
        <f t="shared" si="319"/>
        <v>Rezai &amp; vd Ploeg 2014</v>
      </c>
      <c r="C1135" s="61">
        <f t="shared" si="320"/>
        <v>102</v>
      </c>
      <c r="D1135" s="58">
        <v>2014</v>
      </c>
      <c r="E1135" s="38"/>
      <c r="F1135" s="58">
        <v>0</v>
      </c>
      <c r="G1135" s="48">
        <v>2010</v>
      </c>
      <c r="H1135" s="44">
        <f>LOOKUP(G1135,CPI!A$69:A$100,CPI!O$69:O$100)</f>
        <v>1</v>
      </c>
      <c r="I1135" s="52">
        <v>2010</v>
      </c>
      <c r="J1135" s="43"/>
      <c r="K1135" s="43"/>
      <c r="L1135" s="57"/>
      <c r="M1135" s="56">
        <f t="shared" si="331"/>
        <v>110.72847251873662</v>
      </c>
      <c r="N1135" s="3">
        <v>95</v>
      </c>
      <c r="P1135" s="5">
        <v>0</v>
      </c>
      <c r="Q1135" s="5">
        <v>1</v>
      </c>
      <c r="R1135" s="5">
        <v>0</v>
      </c>
      <c r="T1135" s="56"/>
      <c r="U1135" s="77"/>
      <c r="V1135" s="77"/>
      <c r="AA1135" s="49">
        <f t="shared" si="332"/>
        <v>95</v>
      </c>
      <c r="AF1135" s="5">
        <v>1</v>
      </c>
      <c r="AG1135" s="5">
        <v>1</v>
      </c>
      <c r="AH1135" s="5">
        <v>0</v>
      </c>
      <c r="AI1135" s="5">
        <v>0</v>
      </c>
      <c r="AJ1135" s="5">
        <v>0</v>
      </c>
      <c r="AK1135" s="5">
        <v>0</v>
      </c>
      <c r="AL1135" s="5">
        <v>0</v>
      </c>
      <c r="AM1135" s="13"/>
      <c r="AN1135" s="13">
        <v>0.96</v>
      </c>
      <c r="AO1135" s="5">
        <v>2</v>
      </c>
      <c r="AP1135" s="5"/>
      <c r="AQ1135" s="3">
        <v>0.5</v>
      </c>
      <c r="AR1135" s="5">
        <v>0</v>
      </c>
      <c r="AS1135" s="5">
        <v>0</v>
      </c>
      <c r="AT1135" s="5"/>
      <c r="AU1135" s="5">
        <v>2.2999999999999998</v>
      </c>
      <c r="AV1135" s="5"/>
      <c r="AW1135" s="5"/>
      <c r="AX1135" s="5">
        <v>0</v>
      </c>
      <c r="AY1135" s="5">
        <v>0</v>
      </c>
      <c r="AZ1135" s="5">
        <v>0</v>
      </c>
      <c r="BA1135" s="5">
        <v>1</v>
      </c>
    </row>
    <row r="1136" spans="1:53" s="41" customFormat="1" x14ac:dyDescent="0.2">
      <c r="B1136" s="3"/>
      <c r="C1136" s="61"/>
      <c r="D1136" s="58"/>
      <c r="E1136" s="38"/>
      <c r="F1136" s="58"/>
      <c r="G1136" s="48"/>
      <c r="H1136" s="44"/>
      <c r="I1136" s="5"/>
      <c r="J1136" s="43"/>
      <c r="K1136" s="43"/>
      <c r="L1136" s="57"/>
      <c r="M1136" s="56"/>
      <c r="N1136" s="3"/>
      <c r="P1136" s="5"/>
      <c r="Q1136" s="5"/>
      <c r="R1136" s="5"/>
      <c r="T1136" s="56"/>
      <c r="U1136" s="77"/>
      <c r="V1136" s="77"/>
      <c r="AA1136" s="49"/>
      <c r="AF1136" s="5"/>
      <c r="AG1136" s="5"/>
      <c r="AH1136" s="5"/>
      <c r="AI1136" s="5"/>
      <c r="AJ1136" s="5"/>
      <c r="AK1136" s="5"/>
      <c r="AL1136" s="5"/>
      <c r="AM1136" s="13"/>
      <c r="AN1136" s="13"/>
      <c r="AO1136" s="5"/>
      <c r="AP1136" s="5"/>
      <c r="AQ1136" s="5"/>
      <c r="AR1136" s="5"/>
      <c r="AS1136" s="5"/>
      <c r="AT1136" s="5"/>
      <c r="AU1136" s="5"/>
      <c r="AV1136" s="5"/>
      <c r="AW1136" s="5"/>
      <c r="AX1136" s="5"/>
      <c r="AY1136" s="5"/>
      <c r="AZ1136" s="5"/>
      <c r="BA1136" s="5"/>
    </row>
    <row r="1137" spans="2:53" s="41" customFormat="1" x14ac:dyDescent="0.2">
      <c r="B1137" s="3"/>
      <c r="C1137" s="61"/>
      <c r="D1137" s="58"/>
      <c r="E1137" s="38"/>
      <c r="F1137" s="58"/>
      <c r="G1137" s="48"/>
      <c r="H1137" s="44"/>
      <c r="I1137" s="5"/>
      <c r="J1137" s="43"/>
      <c r="K1137" s="43"/>
      <c r="L1137" s="57"/>
      <c r="M1137" s="56"/>
      <c r="N1137" s="3"/>
      <c r="P1137" s="5"/>
      <c r="Q1137" s="5"/>
      <c r="R1137" s="5"/>
      <c r="T1137" s="56"/>
      <c r="U1137" s="77"/>
      <c r="V1137" s="77"/>
      <c r="AA1137" s="49"/>
      <c r="AF1137" s="5"/>
      <c r="AG1137" s="5"/>
      <c r="AH1137" s="5"/>
      <c r="AI1137" s="5"/>
      <c r="AJ1137" s="5"/>
      <c r="AK1137" s="5"/>
      <c r="AL1137" s="5"/>
      <c r="AM1137" s="13"/>
      <c r="AN1137" s="13"/>
      <c r="AO1137" s="5"/>
      <c r="AP1137" s="5"/>
      <c r="AQ1137" s="5"/>
      <c r="AR1137" s="5"/>
      <c r="AS1137" s="5"/>
      <c r="AT1137" s="5"/>
      <c r="AU1137" s="5"/>
      <c r="AV1137" s="5"/>
      <c r="AW1137" s="5"/>
      <c r="AX1137" s="5"/>
      <c r="AY1137" s="5"/>
      <c r="AZ1137" s="5"/>
      <c r="BA1137" s="5"/>
    </row>
    <row r="1138" spans="2:53" s="41" customFormat="1" x14ac:dyDescent="0.2">
      <c r="B1138" s="3"/>
      <c r="C1138" s="61"/>
      <c r="D1138" s="58"/>
      <c r="E1138" s="38"/>
      <c r="F1138" s="58"/>
      <c r="G1138" s="48"/>
      <c r="H1138" s="44"/>
      <c r="I1138" s="5"/>
      <c r="J1138" s="43"/>
      <c r="K1138" s="43"/>
      <c r="L1138" s="57"/>
      <c r="M1138" s="56"/>
      <c r="N1138" s="3"/>
      <c r="P1138" s="5"/>
      <c r="Q1138" s="5"/>
      <c r="R1138" s="5"/>
      <c r="T1138" s="56"/>
      <c r="U1138" s="77"/>
      <c r="V1138" s="77"/>
      <c r="AA1138" s="49"/>
      <c r="AF1138" s="5"/>
      <c r="AG1138" s="5"/>
      <c r="AH1138" s="5"/>
      <c r="AI1138" s="5"/>
      <c r="AJ1138" s="5"/>
      <c r="AK1138" s="5"/>
      <c r="AL1138" s="5"/>
      <c r="AM1138" s="13"/>
      <c r="AN1138" s="13"/>
      <c r="AO1138" s="5"/>
      <c r="AP1138" s="5"/>
      <c r="AQ1138" s="5"/>
      <c r="AR1138" s="5"/>
      <c r="AS1138" s="5"/>
      <c r="AT1138" s="5"/>
      <c r="AU1138" s="5"/>
      <c r="AV1138" s="5"/>
      <c r="AW1138" s="5"/>
      <c r="AX1138" s="5"/>
      <c r="AY1138" s="5"/>
      <c r="AZ1138" s="5"/>
      <c r="BA1138" s="5"/>
    </row>
    <row r="1139" spans="2:53" s="41" customFormat="1" x14ac:dyDescent="0.2">
      <c r="B1139" s="3"/>
      <c r="C1139" s="61"/>
      <c r="D1139" s="58"/>
      <c r="E1139" s="38"/>
      <c r="F1139" s="58"/>
      <c r="G1139" s="48"/>
      <c r="H1139" s="44"/>
      <c r="I1139" s="5"/>
      <c r="J1139" s="43"/>
      <c r="K1139" s="43"/>
      <c r="L1139" s="57"/>
      <c r="M1139" s="56"/>
      <c r="N1139" s="3"/>
      <c r="P1139" s="5"/>
      <c r="Q1139" s="5"/>
      <c r="R1139" s="5"/>
      <c r="T1139" s="56"/>
      <c r="U1139" s="77"/>
      <c r="V1139" s="77"/>
      <c r="AA1139" s="49"/>
      <c r="AF1139" s="5"/>
      <c r="AG1139" s="5"/>
      <c r="AH1139" s="5"/>
      <c r="AI1139" s="5"/>
      <c r="AJ1139" s="5"/>
      <c r="AK1139" s="5"/>
      <c r="AL1139" s="5"/>
      <c r="AM1139" s="13"/>
      <c r="AN1139" s="13"/>
      <c r="AO1139" s="5"/>
      <c r="AP1139" s="5"/>
      <c r="AQ1139" s="5"/>
      <c r="AR1139" s="5"/>
      <c r="AS1139" s="5"/>
      <c r="AT1139" s="5"/>
      <c r="AU1139" s="5"/>
      <c r="AV1139" s="5"/>
      <c r="AW1139" s="5"/>
      <c r="AX1139" s="5"/>
      <c r="AY1139" s="5"/>
      <c r="AZ1139" s="5"/>
      <c r="BA1139" s="5"/>
    </row>
    <row r="1140" spans="2:53" s="41" customFormat="1" x14ac:dyDescent="0.2">
      <c r="B1140" s="3"/>
      <c r="C1140" s="61"/>
      <c r="D1140" s="58"/>
      <c r="E1140" s="38"/>
      <c r="F1140" s="58"/>
      <c r="G1140" s="48"/>
      <c r="H1140" s="44"/>
      <c r="I1140" s="5"/>
      <c r="J1140" s="43"/>
      <c r="K1140" s="43"/>
      <c r="L1140" s="57"/>
      <c r="M1140" s="56"/>
      <c r="N1140" s="3"/>
      <c r="P1140" s="5"/>
      <c r="Q1140" s="5"/>
      <c r="R1140" s="5"/>
      <c r="T1140" s="56"/>
      <c r="U1140" s="77"/>
      <c r="V1140" s="77"/>
      <c r="AA1140" s="49"/>
      <c r="AF1140" s="5"/>
      <c r="AG1140" s="5"/>
      <c r="AH1140" s="5"/>
      <c r="AI1140" s="5"/>
      <c r="AJ1140" s="5"/>
      <c r="AK1140" s="5"/>
      <c r="AL1140" s="5"/>
      <c r="AM1140" s="13"/>
      <c r="AN1140" s="13"/>
      <c r="AO1140" s="5"/>
      <c r="AP1140" s="5"/>
      <c r="AQ1140" s="5"/>
      <c r="AR1140" s="5"/>
      <c r="AS1140" s="5"/>
      <c r="AT1140" s="5"/>
      <c r="AU1140" s="5"/>
      <c r="AV1140" s="5"/>
      <c r="AW1140" s="5"/>
      <c r="AX1140" s="5"/>
      <c r="AY1140" s="5"/>
      <c r="AZ1140" s="5"/>
      <c r="BA1140" s="5"/>
    </row>
    <row r="1141" spans="2:53" s="41" customFormat="1" x14ac:dyDescent="0.2">
      <c r="B1141" s="3"/>
      <c r="C1141" s="61"/>
      <c r="D1141" s="58"/>
      <c r="E1141" s="38"/>
      <c r="F1141" s="58"/>
      <c r="G1141" s="48"/>
      <c r="H1141" s="44"/>
      <c r="I1141" s="5"/>
      <c r="J1141" s="43"/>
      <c r="K1141" s="43"/>
      <c r="L1141" s="57"/>
      <c r="M1141" s="56"/>
      <c r="N1141" s="3"/>
      <c r="P1141" s="5"/>
      <c r="Q1141" s="5"/>
      <c r="R1141" s="5"/>
      <c r="T1141" s="56"/>
      <c r="U1141" s="77"/>
      <c r="V1141" s="77"/>
      <c r="AA1141" s="49"/>
      <c r="AF1141" s="5"/>
      <c r="AG1141" s="5"/>
      <c r="AH1141" s="5"/>
      <c r="AI1141" s="5"/>
      <c r="AJ1141" s="5"/>
      <c r="AK1141" s="5"/>
      <c r="AL1141" s="5"/>
      <c r="AM1141" s="13"/>
      <c r="AN1141" s="13"/>
      <c r="AO1141" s="5"/>
      <c r="AP1141" s="5"/>
      <c r="AQ1141" s="5"/>
      <c r="AR1141" s="5"/>
      <c r="AS1141" s="5"/>
      <c r="AT1141" s="5"/>
      <c r="AU1141" s="5"/>
      <c r="AV1141" s="5"/>
      <c r="AW1141" s="5"/>
      <c r="AX1141" s="5"/>
      <c r="AY1141" s="5"/>
      <c r="AZ1141" s="5"/>
      <c r="BA1141" s="5"/>
    </row>
    <row r="1142" spans="2:53" s="41" customFormat="1" x14ac:dyDescent="0.2">
      <c r="B1142" s="3"/>
      <c r="C1142" s="61"/>
      <c r="D1142" s="58"/>
      <c r="E1142" s="38"/>
      <c r="F1142" s="58"/>
      <c r="G1142" s="48"/>
      <c r="H1142" s="44"/>
      <c r="I1142" s="5"/>
      <c r="J1142" s="43"/>
      <c r="K1142" s="43"/>
      <c r="L1142" s="57"/>
      <c r="M1142" s="56"/>
      <c r="N1142" s="3"/>
      <c r="P1142" s="5"/>
      <c r="Q1142" s="5"/>
      <c r="R1142" s="5"/>
      <c r="T1142" s="56"/>
      <c r="U1142" s="77"/>
      <c r="V1142" s="77"/>
      <c r="AA1142" s="49"/>
      <c r="AF1142" s="5"/>
      <c r="AG1142" s="5"/>
      <c r="AH1142" s="5"/>
      <c r="AI1142" s="5"/>
      <c r="AJ1142" s="5"/>
      <c r="AK1142" s="5"/>
      <c r="AL1142" s="5"/>
      <c r="AM1142" s="13"/>
      <c r="AN1142" s="13"/>
      <c r="AO1142" s="5"/>
      <c r="AP1142" s="5"/>
      <c r="AQ1142" s="5"/>
      <c r="AR1142" s="5"/>
      <c r="AS1142" s="5"/>
      <c r="AT1142" s="5"/>
      <c r="AU1142" s="5"/>
      <c r="AV1142" s="5"/>
      <c r="AW1142" s="5"/>
      <c r="AX1142" s="5"/>
      <c r="AY1142" s="5"/>
      <c r="AZ1142" s="5"/>
      <c r="BA1142" s="5"/>
    </row>
    <row r="1143" spans="2:53" s="41" customFormat="1" x14ac:dyDescent="0.2">
      <c r="B1143" s="3"/>
      <c r="C1143" s="61"/>
      <c r="D1143" s="58"/>
      <c r="E1143" s="38"/>
      <c r="F1143" s="58"/>
      <c r="G1143" s="48"/>
      <c r="H1143" s="44"/>
      <c r="I1143" s="5"/>
      <c r="J1143" s="43"/>
      <c r="K1143" s="43"/>
      <c r="L1143" s="57"/>
      <c r="M1143" s="56"/>
      <c r="N1143" s="3"/>
      <c r="P1143" s="5"/>
      <c r="Q1143" s="5"/>
      <c r="R1143" s="5"/>
      <c r="T1143" s="56"/>
      <c r="U1143" s="77"/>
      <c r="V1143" s="77"/>
      <c r="AA1143" s="49"/>
      <c r="AF1143" s="5"/>
      <c r="AG1143" s="5"/>
      <c r="AH1143" s="5"/>
      <c r="AI1143" s="5"/>
      <c r="AJ1143" s="5"/>
      <c r="AK1143" s="5"/>
      <c r="AL1143" s="5"/>
      <c r="AM1143" s="13"/>
      <c r="AN1143" s="13"/>
      <c r="AO1143" s="5"/>
      <c r="AP1143" s="5"/>
      <c r="AQ1143" s="5"/>
      <c r="AR1143" s="5"/>
      <c r="AS1143" s="5"/>
      <c r="AT1143" s="5"/>
      <c r="AU1143" s="5"/>
      <c r="AV1143" s="5"/>
      <c r="AW1143" s="5"/>
      <c r="AX1143" s="5"/>
      <c r="AY1143" s="5"/>
      <c r="AZ1143" s="5"/>
      <c r="BA1143" s="5"/>
    </row>
    <row r="1144" spans="2:53" s="41" customFormat="1" x14ac:dyDescent="0.2">
      <c r="B1144" s="3"/>
      <c r="C1144" s="61"/>
      <c r="D1144" s="58"/>
      <c r="E1144" s="38"/>
      <c r="F1144" s="58"/>
      <c r="G1144" s="48"/>
      <c r="H1144" s="44"/>
      <c r="I1144" s="5"/>
      <c r="J1144" s="43"/>
      <c r="K1144" s="43"/>
      <c r="L1144" s="57"/>
      <c r="M1144" s="56"/>
      <c r="N1144" s="3"/>
      <c r="P1144" s="5"/>
      <c r="Q1144" s="5"/>
      <c r="R1144" s="5"/>
      <c r="T1144" s="56"/>
      <c r="U1144" s="77"/>
      <c r="V1144" s="77"/>
      <c r="AA1144" s="49"/>
      <c r="AF1144" s="5"/>
      <c r="AG1144" s="5"/>
      <c r="AH1144" s="5"/>
      <c r="AI1144" s="5"/>
      <c r="AJ1144" s="5"/>
      <c r="AK1144" s="5"/>
      <c r="AL1144" s="5"/>
      <c r="AM1144" s="13"/>
      <c r="AN1144" s="13"/>
      <c r="AO1144" s="5"/>
      <c r="AP1144" s="5"/>
      <c r="AQ1144" s="5"/>
      <c r="AR1144" s="5"/>
      <c r="AS1144" s="5"/>
      <c r="AT1144" s="5"/>
      <c r="AU1144" s="5"/>
      <c r="AV1144" s="5"/>
      <c r="AW1144" s="5"/>
      <c r="AX1144" s="5"/>
      <c r="AY1144" s="5"/>
      <c r="AZ1144" s="5"/>
      <c r="BA1144" s="5"/>
    </row>
    <row r="1145" spans="2:53" s="41" customFormat="1" x14ac:dyDescent="0.2">
      <c r="B1145" s="3"/>
      <c r="C1145" s="61"/>
      <c r="D1145" s="58"/>
      <c r="E1145" s="38"/>
      <c r="F1145" s="58"/>
      <c r="G1145" s="48"/>
      <c r="H1145" s="44"/>
      <c r="I1145" s="5"/>
      <c r="J1145" s="43"/>
      <c r="K1145" s="43"/>
      <c r="L1145" s="57"/>
      <c r="M1145" s="56"/>
      <c r="N1145" s="3"/>
      <c r="P1145" s="5"/>
      <c r="Q1145" s="5"/>
      <c r="R1145" s="5"/>
      <c r="T1145" s="56"/>
      <c r="U1145" s="77"/>
      <c r="V1145" s="77"/>
      <c r="AA1145" s="49"/>
      <c r="AF1145" s="5"/>
      <c r="AG1145" s="5"/>
      <c r="AH1145" s="5"/>
      <c r="AI1145" s="5"/>
      <c r="AJ1145" s="5"/>
      <c r="AK1145" s="5"/>
      <c r="AL1145" s="5"/>
      <c r="AM1145" s="13"/>
      <c r="AN1145" s="13"/>
      <c r="AO1145" s="5"/>
      <c r="AP1145" s="5"/>
      <c r="AQ1145" s="5"/>
      <c r="AR1145" s="5"/>
      <c r="AS1145" s="5"/>
      <c r="AT1145" s="5"/>
      <c r="AU1145" s="5"/>
      <c r="AV1145" s="5"/>
      <c r="AW1145" s="5"/>
      <c r="AX1145" s="5"/>
      <c r="AY1145" s="5"/>
      <c r="AZ1145" s="5"/>
      <c r="BA1145" s="5"/>
    </row>
    <row r="1146" spans="2:53" s="41" customFormat="1" x14ac:dyDescent="0.2">
      <c r="B1146" s="3"/>
      <c r="C1146" s="61"/>
      <c r="D1146" s="58"/>
      <c r="E1146" s="38"/>
      <c r="F1146" s="58"/>
      <c r="G1146" s="48"/>
      <c r="H1146" s="44"/>
      <c r="I1146" s="5"/>
      <c r="J1146" s="43"/>
      <c r="K1146" s="43"/>
      <c r="L1146" s="57"/>
      <c r="M1146" s="56"/>
      <c r="N1146" s="3"/>
      <c r="P1146" s="5"/>
      <c r="Q1146" s="5"/>
      <c r="R1146" s="5"/>
      <c r="T1146" s="56"/>
      <c r="U1146" s="77"/>
      <c r="V1146" s="77"/>
      <c r="AA1146" s="49"/>
      <c r="AF1146" s="5"/>
      <c r="AG1146" s="5"/>
      <c r="AH1146" s="5"/>
      <c r="AI1146" s="5"/>
      <c r="AJ1146" s="5"/>
      <c r="AK1146" s="5"/>
      <c r="AL1146" s="5"/>
      <c r="AM1146" s="13"/>
      <c r="AN1146" s="13"/>
      <c r="AO1146" s="5"/>
      <c r="AP1146" s="5"/>
      <c r="AQ1146" s="5"/>
      <c r="AR1146" s="5"/>
      <c r="AS1146" s="5"/>
      <c r="AT1146" s="5"/>
      <c r="AU1146" s="5"/>
      <c r="AV1146" s="5"/>
      <c r="AW1146" s="5"/>
      <c r="AX1146" s="5"/>
      <c r="AY1146" s="5"/>
      <c r="AZ1146" s="5"/>
      <c r="BA1146" s="5"/>
    </row>
    <row r="1147" spans="2:53" s="41" customFormat="1" x14ac:dyDescent="0.2">
      <c r="B1147" s="3"/>
      <c r="C1147" s="61"/>
      <c r="D1147" s="58"/>
      <c r="E1147" s="38"/>
      <c r="F1147" s="58"/>
      <c r="G1147" s="48"/>
      <c r="H1147" s="44"/>
      <c r="I1147" s="5"/>
      <c r="J1147" s="43"/>
      <c r="K1147" s="43"/>
      <c r="L1147" s="57"/>
      <c r="M1147" s="56"/>
      <c r="N1147" s="3"/>
      <c r="P1147" s="5"/>
      <c r="Q1147" s="5"/>
      <c r="R1147" s="5"/>
      <c r="T1147" s="56"/>
      <c r="U1147" s="77"/>
      <c r="V1147" s="77"/>
      <c r="AA1147" s="49"/>
      <c r="AF1147" s="5"/>
      <c r="AG1147" s="5"/>
      <c r="AH1147" s="5"/>
      <c r="AI1147" s="5"/>
      <c r="AJ1147" s="5"/>
      <c r="AK1147" s="5"/>
      <c r="AL1147" s="5"/>
      <c r="AM1147" s="13"/>
      <c r="AN1147" s="13"/>
      <c r="AO1147" s="5"/>
      <c r="AP1147" s="5"/>
      <c r="AQ1147" s="5"/>
      <c r="AR1147" s="5"/>
      <c r="AS1147" s="5"/>
      <c r="AT1147" s="5"/>
      <c r="AU1147" s="5"/>
      <c r="AV1147" s="5"/>
      <c r="AW1147" s="5"/>
      <c r="AX1147" s="5"/>
      <c r="AY1147" s="5"/>
      <c r="AZ1147" s="5"/>
      <c r="BA1147" s="5"/>
    </row>
    <row r="1148" spans="2:53" s="41" customFormat="1" x14ac:dyDescent="0.2">
      <c r="B1148" s="3"/>
      <c r="C1148" s="61"/>
      <c r="D1148" s="58"/>
      <c r="E1148" s="38"/>
      <c r="F1148" s="58"/>
      <c r="G1148" s="48"/>
      <c r="H1148" s="44"/>
      <c r="I1148" s="5"/>
      <c r="J1148" s="43"/>
      <c r="K1148" s="43"/>
      <c r="L1148" s="57"/>
      <c r="M1148" s="56"/>
      <c r="N1148" s="3"/>
      <c r="P1148" s="5"/>
      <c r="Q1148" s="5"/>
      <c r="R1148" s="5"/>
      <c r="T1148" s="56"/>
      <c r="U1148" s="77"/>
      <c r="V1148" s="77"/>
      <c r="AA1148" s="49"/>
      <c r="AF1148" s="5"/>
      <c r="AG1148" s="5"/>
      <c r="AH1148" s="5"/>
      <c r="AI1148" s="5"/>
      <c r="AJ1148" s="5"/>
      <c r="AK1148" s="5"/>
      <c r="AL1148" s="5"/>
      <c r="AM1148" s="13"/>
      <c r="AN1148" s="13"/>
      <c r="AO1148" s="5"/>
      <c r="AP1148" s="5"/>
      <c r="AQ1148" s="5"/>
      <c r="AR1148" s="5"/>
      <c r="AS1148" s="5"/>
      <c r="AT1148" s="5"/>
      <c r="AU1148" s="5"/>
      <c r="AV1148" s="5"/>
      <c r="AW1148" s="5"/>
      <c r="AX1148" s="5"/>
      <c r="AY1148" s="5"/>
      <c r="AZ1148" s="5"/>
      <c r="BA1148" s="5"/>
    </row>
    <row r="1149" spans="2:53" s="41" customFormat="1" x14ac:dyDescent="0.2">
      <c r="B1149" s="3"/>
      <c r="C1149" s="61"/>
      <c r="D1149" s="58"/>
      <c r="E1149" s="38"/>
      <c r="F1149" s="58"/>
      <c r="G1149" s="48"/>
      <c r="H1149" s="44"/>
      <c r="I1149" s="5"/>
      <c r="J1149" s="43"/>
      <c r="K1149" s="43"/>
      <c r="L1149" s="57"/>
      <c r="M1149" s="56"/>
      <c r="N1149" s="3"/>
      <c r="P1149" s="5"/>
      <c r="Q1149" s="5"/>
      <c r="R1149" s="5"/>
      <c r="T1149" s="56"/>
      <c r="U1149" s="77"/>
      <c r="V1149" s="77"/>
      <c r="AA1149" s="49"/>
      <c r="AF1149" s="5"/>
      <c r="AG1149" s="5"/>
      <c r="AH1149" s="5"/>
      <c r="AI1149" s="5"/>
      <c r="AJ1149" s="5"/>
      <c r="AK1149" s="5"/>
      <c r="AL1149" s="5"/>
      <c r="AM1149" s="13"/>
      <c r="AN1149" s="13"/>
      <c r="AO1149" s="5"/>
      <c r="AP1149" s="5"/>
      <c r="AQ1149" s="5"/>
      <c r="AR1149" s="5"/>
      <c r="AS1149" s="5"/>
      <c r="AT1149" s="5"/>
      <c r="AU1149" s="5"/>
      <c r="AV1149" s="5"/>
      <c r="AW1149" s="5"/>
      <c r="AX1149" s="5"/>
      <c r="AY1149" s="5"/>
      <c r="AZ1149" s="5"/>
      <c r="BA1149" s="5"/>
    </row>
    <row r="1150" spans="2:53" s="41" customFormat="1" x14ac:dyDescent="0.2">
      <c r="B1150" s="3"/>
      <c r="C1150" s="61"/>
      <c r="D1150" s="58"/>
      <c r="E1150" s="38"/>
      <c r="F1150" s="58"/>
      <c r="G1150" s="48"/>
      <c r="H1150" s="44"/>
      <c r="I1150" s="5"/>
      <c r="J1150" s="43"/>
      <c r="K1150" s="43"/>
      <c r="L1150" s="57"/>
      <c r="M1150" s="56"/>
      <c r="N1150" s="3"/>
      <c r="P1150" s="5"/>
      <c r="Q1150" s="5"/>
      <c r="R1150" s="5"/>
      <c r="T1150" s="56"/>
      <c r="U1150" s="77"/>
      <c r="V1150" s="77"/>
      <c r="AA1150" s="49"/>
      <c r="AF1150" s="5"/>
      <c r="AG1150" s="5"/>
      <c r="AH1150" s="5"/>
      <c r="AI1150" s="5"/>
      <c r="AJ1150" s="5"/>
      <c r="AK1150" s="5"/>
      <c r="AL1150" s="5"/>
      <c r="AM1150" s="13"/>
      <c r="AN1150" s="13"/>
      <c r="AO1150" s="5"/>
      <c r="AP1150" s="5"/>
      <c r="AQ1150" s="5"/>
      <c r="AR1150" s="5"/>
      <c r="AS1150" s="5"/>
      <c r="AT1150" s="5"/>
      <c r="AU1150" s="5"/>
      <c r="AV1150" s="5"/>
      <c r="AW1150" s="5"/>
      <c r="AX1150" s="5"/>
      <c r="AY1150" s="5"/>
      <c r="AZ1150" s="5"/>
      <c r="BA1150" s="5"/>
    </row>
    <row r="1151" spans="2:53" s="41" customFormat="1" x14ac:dyDescent="0.2">
      <c r="B1151" s="3"/>
      <c r="C1151" s="61"/>
      <c r="D1151" s="58"/>
      <c r="E1151" s="38"/>
      <c r="F1151" s="58"/>
      <c r="G1151" s="48"/>
      <c r="H1151" s="44"/>
      <c r="I1151" s="5"/>
      <c r="J1151" s="43"/>
      <c r="K1151" s="43"/>
      <c r="L1151" s="57"/>
      <c r="M1151" s="56"/>
      <c r="N1151" s="3"/>
      <c r="P1151" s="5"/>
      <c r="Q1151" s="5"/>
      <c r="R1151" s="5"/>
      <c r="T1151" s="56"/>
      <c r="U1151" s="77"/>
      <c r="V1151" s="77"/>
      <c r="AA1151" s="49"/>
      <c r="AF1151" s="5"/>
      <c r="AG1151" s="5"/>
      <c r="AH1151" s="5"/>
      <c r="AI1151" s="5"/>
      <c r="AJ1151" s="5"/>
      <c r="AK1151" s="5"/>
      <c r="AL1151" s="5"/>
      <c r="AM1151" s="13"/>
      <c r="AN1151" s="13"/>
      <c r="AO1151" s="5"/>
      <c r="AP1151" s="5"/>
      <c r="AQ1151" s="5"/>
      <c r="AR1151" s="5"/>
      <c r="AS1151" s="5"/>
      <c r="AT1151" s="5"/>
      <c r="AU1151" s="5"/>
      <c r="AV1151" s="5"/>
      <c r="AW1151" s="5"/>
      <c r="AX1151" s="5"/>
      <c r="AY1151" s="5"/>
      <c r="AZ1151" s="5"/>
      <c r="BA1151" s="5"/>
    </row>
    <row r="1152" spans="2:53" s="41" customFormat="1" x14ac:dyDescent="0.2">
      <c r="B1152" s="3"/>
      <c r="C1152" s="61"/>
      <c r="D1152" s="58"/>
      <c r="E1152" s="38"/>
      <c r="F1152" s="58"/>
      <c r="G1152" s="48"/>
      <c r="H1152" s="44"/>
      <c r="I1152" s="5"/>
      <c r="J1152" s="43"/>
      <c r="K1152" s="43"/>
      <c r="L1152" s="57"/>
      <c r="M1152" s="56"/>
      <c r="N1152" s="3"/>
      <c r="P1152" s="5"/>
      <c r="Q1152" s="5"/>
      <c r="R1152" s="5"/>
      <c r="T1152" s="56"/>
      <c r="U1152" s="77"/>
      <c r="V1152" s="77"/>
      <c r="AA1152" s="49"/>
      <c r="AF1152" s="5"/>
      <c r="AG1152" s="5"/>
      <c r="AH1152" s="5"/>
      <c r="AI1152" s="5"/>
      <c r="AJ1152" s="5"/>
      <c r="AK1152" s="5"/>
      <c r="AL1152" s="5"/>
      <c r="AM1152" s="13"/>
      <c r="AN1152" s="13"/>
      <c r="AO1152" s="5"/>
      <c r="AP1152" s="5"/>
      <c r="AQ1152" s="5"/>
      <c r="AR1152" s="5"/>
      <c r="AS1152" s="5"/>
      <c r="AT1152" s="5"/>
      <c r="AU1152" s="5"/>
      <c r="AV1152" s="5"/>
      <c r="AW1152" s="5"/>
      <c r="AX1152" s="5"/>
      <c r="AY1152" s="5"/>
      <c r="AZ1152" s="5"/>
      <c r="BA1152" s="5"/>
    </row>
    <row r="1153" spans="2:53" s="41" customFormat="1" x14ac:dyDescent="0.2">
      <c r="B1153" s="3"/>
      <c r="C1153" s="61"/>
      <c r="D1153" s="58"/>
      <c r="E1153" s="38"/>
      <c r="F1153" s="58"/>
      <c r="G1153" s="48"/>
      <c r="H1153" s="44"/>
      <c r="I1153" s="5"/>
      <c r="J1153" s="43"/>
      <c r="K1153" s="43"/>
      <c r="L1153" s="57"/>
      <c r="M1153" s="56"/>
      <c r="N1153" s="3"/>
      <c r="P1153" s="5"/>
      <c r="Q1153" s="5"/>
      <c r="R1153" s="5"/>
      <c r="T1153" s="56"/>
      <c r="U1153" s="77"/>
      <c r="V1153" s="77"/>
      <c r="AA1153" s="49"/>
      <c r="AF1153" s="5"/>
      <c r="AG1153" s="5"/>
      <c r="AH1153" s="5"/>
      <c r="AI1153" s="5"/>
      <c r="AJ1153" s="5"/>
      <c r="AK1153" s="5"/>
      <c r="AL1153" s="5"/>
      <c r="AM1153" s="13"/>
      <c r="AN1153" s="13"/>
      <c r="AO1153" s="5"/>
      <c r="AP1153" s="5"/>
      <c r="AQ1153" s="5"/>
      <c r="AR1153" s="5"/>
      <c r="AS1153" s="5"/>
      <c r="AT1153" s="5"/>
      <c r="AU1153" s="5"/>
      <c r="AV1153" s="5"/>
      <c r="AW1153" s="5"/>
      <c r="AX1153" s="5"/>
      <c r="AY1153" s="5"/>
      <c r="AZ1153" s="5"/>
      <c r="BA1153" s="5"/>
    </row>
    <row r="1154" spans="2:53" s="41" customFormat="1" x14ac:dyDescent="0.2">
      <c r="B1154" s="3"/>
      <c r="C1154" s="61"/>
      <c r="D1154" s="58"/>
      <c r="E1154" s="38"/>
      <c r="F1154" s="58"/>
      <c r="G1154" s="48"/>
      <c r="H1154" s="44"/>
      <c r="I1154" s="5"/>
      <c r="J1154" s="43"/>
      <c r="K1154" s="43"/>
      <c r="L1154" s="57"/>
      <c r="M1154" s="56"/>
      <c r="N1154" s="3"/>
      <c r="P1154" s="5"/>
      <c r="Q1154" s="5"/>
      <c r="R1154" s="5"/>
      <c r="T1154" s="56"/>
      <c r="U1154" s="77"/>
      <c r="V1154" s="77"/>
      <c r="AA1154" s="49"/>
      <c r="AF1154" s="5"/>
      <c r="AG1154" s="5"/>
      <c r="AH1154" s="5"/>
      <c r="AI1154" s="5"/>
      <c r="AJ1154" s="5"/>
      <c r="AK1154" s="5"/>
      <c r="AL1154" s="5"/>
      <c r="AM1154" s="13"/>
      <c r="AN1154" s="13"/>
      <c r="AO1154" s="5"/>
      <c r="AP1154" s="5"/>
      <c r="AQ1154" s="5"/>
      <c r="AR1154" s="5"/>
      <c r="AS1154" s="5"/>
      <c r="AT1154" s="5"/>
      <c r="AU1154" s="5"/>
      <c r="AV1154" s="5"/>
      <c r="AW1154" s="5"/>
      <c r="AX1154" s="5"/>
      <c r="AY1154" s="5"/>
      <c r="AZ1154" s="5"/>
      <c r="BA1154" s="5"/>
    </row>
    <row r="1155" spans="2:53" s="41" customFormat="1" x14ac:dyDescent="0.2">
      <c r="B1155" s="3"/>
      <c r="C1155" s="61"/>
      <c r="D1155" s="58"/>
      <c r="E1155" s="38"/>
      <c r="F1155" s="58"/>
      <c r="G1155" s="48"/>
      <c r="H1155" s="44"/>
      <c r="I1155" s="5"/>
      <c r="J1155" s="43"/>
      <c r="K1155" s="43"/>
      <c r="L1155" s="57"/>
      <c r="M1155" s="56"/>
      <c r="N1155" s="3"/>
      <c r="P1155" s="5"/>
      <c r="Q1155" s="5"/>
      <c r="R1155" s="5"/>
      <c r="T1155" s="56"/>
      <c r="U1155" s="77"/>
      <c r="V1155" s="77"/>
      <c r="AA1155" s="49"/>
      <c r="AF1155" s="5"/>
      <c r="AG1155" s="5"/>
      <c r="AH1155" s="5"/>
      <c r="AI1155" s="5"/>
      <c r="AJ1155" s="5"/>
      <c r="AK1155" s="5"/>
      <c r="AL1155" s="5"/>
      <c r="AM1155" s="13"/>
      <c r="AN1155" s="13"/>
      <c r="AO1155" s="5"/>
      <c r="AP1155" s="5"/>
      <c r="AQ1155" s="5"/>
      <c r="AR1155" s="5"/>
      <c r="AS1155" s="5"/>
      <c r="AT1155" s="5"/>
      <c r="AU1155" s="5"/>
      <c r="AV1155" s="5"/>
      <c r="AW1155" s="5"/>
      <c r="AX1155" s="5"/>
      <c r="AY1155" s="5"/>
      <c r="AZ1155" s="5"/>
      <c r="BA1155" s="5"/>
    </row>
    <row r="1156" spans="2:53" s="41" customFormat="1" x14ac:dyDescent="0.2">
      <c r="B1156" s="3"/>
      <c r="C1156" s="61"/>
      <c r="D1156" s="58"/>
      <c r="E1156" s="38"/>
      <c r="F1156" s="58"/>
      <c r="G1156" s="48"/>
      <c r="H1156" s="44"/>
      <c r="I1156" s="5"/>
      <c r="J1156" s="43"/>
      <c r="K1156" s="43"/>
      <c r="L1156" s="57"/>
      <c r="M1156" s="56"/>
      <c r="N1156" s="3"/>
      <c r="P1156" s="5"/>
      <c r="Q1156" s="5"/>
      <c r="R1156" s="5"/>
      <c r="T1156" s="56"/>
      <c r="U1156" s="77"/>
      <c r="V1156" s="77"/>
      <c r="AA1156" s="49"/>
      <c r="AF1156" s="5"/>
      <c r="AG1156" s="5"/>
      <c r="AH1156" s="5"/>
      <c r="AI1156" s="5"/>
      <c r="AJ1156" s="5"/>
      <c r="AK1156" s="5"/>
      <c r="AL1156" s="5"/>
      <c r="AM1156" s="13"/>
      <c r="AN1156" s="13"/>
      <c r="AO1156" s="5"/>
      <c r="AP1156" s="5"/>
      <c r="AQ1156" s="5"/>
      <c r="AR1156" s="5"/>
      <c r="AS1156" s="5"/>
      <c r="AT1156" s="5"/>
      <c r="AU1156" s="5"/>
      <c r="AV1156" s="5"/>
      <c r="AW1156" s="5"/>
      <c r="AX1156" s="5"/>
      <c r="AY1156" s="5"/>
      <c r="AZ1156" s="5"/>
      <c r="BA1156" s="5"/>
    </row>
    <row r="1157" spans="2:53" s="41" customFormat="1" x14ac:dyDescent="0.2">
      <c r="B1157" s="3"/>
      <c r="C1157" s="61"/>
      <c r="D1157" s="58"/>
      <c r="E1157" s="38"/>
      <c r="F1157" s="58"/>
      <c r="G1157" s="48"/>
      <c r="H1157" s="44"/>
      <c r="I1157" s="5"/>
      <c r="J1157" s="43"/>
      <c r="K1157" s="43"/>
      <c r="L1157" s="57"/>
      <c r="M1157" s="56"/>
      <c r="N1157" s="3"/>
      <c r="P1157" s="5"/>
      <c r="Q1157" s="5"/>
      <c r="R1157" s="5"/>
      <c r="T1157" s="56"/>
      <c r="U1157" s="77"/>
      <c r="V1157" s="77"/>
      <c r="AA1157" s="49"/>
      <c r="AF1157" s="5"/>
      <c r="AG1157" s="5"/>
      <c r="AH1157" s="5"/>
      <c r="AI1157" s="5"/>
      <c r="AJ1157" s="5"/>
      <c r="AK1157" s="5"/>
      <c r="AL1157" s="5"/>
      <c r="AM1157" s="13"/>
      <c r="AN1157" s="13"/>
      <c r="AO1157" s="5"/>
      <c r="AP1157" s="5"/>
      <c r="AQ1157" s="5"/>
      <c r="AR1157" s="5"/>
      <c r="AS1157" s="5"/>
      <c r="AT1157" s="5"/>
      <c r="AU1157" s="5"/>
      <c r="AV1157" s="5"/>
      <c r="AW1157" s="5"/>
      <c r="AX1157" s="5"/>
      <c r="AY1157" s="5"/>
      <c r="AZ1157" s="5"/>
      <c r="BA1157" s="5"/>
    </row>
    <row r="1158" spans="2:53" s="41" customFormat="1" x14ac:dyDescent="0.2">
      <c r="B1158" s="3"/>
      <c r="C1158" s="61"/>
      <c r="D1158" s="58"/>
      <c r="E1158" s="38"/>
      <c r="F1158" s="58"/>
      <c r="G1158" s="48"/>
      <c r="H1158" s="44"/>
      <c r="I1158" s="5"/>
      <c r="J1158" s="43"/>
      <c r="K1158" s="43"/>
      <c r="L1158" s="57"/>
      <c r="M1158" s="56"/>
      <c r="N1158" s="3"/>
      <c r="P1158" s="5"/>
      <c r="Q1158" s="5"/>
      <c r="R1158" s="5"/>
      <c r="T1158" s="56"/>
      <c r="U1158" s="77"/>
      <c r="V1158" s="77"/>
      <c r="AA1158" s="49"/>
      <c r="AF1158" s="5"/>
      <c r="AG1158" s="5"/>
      <c r="AH1158" s="5"/>
      <c r="AI1158" s="5"/>
      <c r="AJ1158" s="5"/>
      <c r="AK1158" s="5"/>
      <c r="AL1158" s="5"/>
      <c r="AM1158" s="13"/>
      <c r="AN1158" s="13"/>
      <c r="AO1158" s="5"/>
      <c r="AP1158" s="5"/>
      <c r="AQ1158" s="5"/>
      <c r="AR1158" s="5"/>
      <c r="AS1158" s="5"/>
      <c r="AT1158" s="5"/>
      <c r="AU1158" s="5"/>
      <c r="AV1158" s="5"/>
      <c r="AW1158" s="5"/>
      <c r="AX1158" s="5"/>
      <c r="AY1158" s="5"/>
      <c r="AZ1158" s="5"/>
      <c r="BA1158" s="5"/>
    </row>
    <row r="1159" spans="2:53" s="41" customFormat="1" x14ac:dyDescent="0.2">
      <c r="B1159" s="3"/>
      <c r="C1159" s="61"/>
      <c r="D1159" s="58"/>
      <c r="E1159" s="38"/>
      <c r="F1159" s="58"/>
      <c r="G1159" s="48"/>
      <c r="H1159" s="44"/>
      <c r="I1159" s="5"/>
      <c r="J1159" s="43"/>
      <c r="K1159" s="43"/>
      <c r="L1159" s="57"/>
      <c r="M1159" s="56"/>
      <c r="N1159" s="3"/>
      <c r="P1159" s="5"/>
      <c r="Q1159" s="5"/>
      <c r="R1159" s="5"/>
      <c r="T1159" s="56"/>
      <c r="U1159" s="77"/>
      <c r="V1159" s="77"/>
      <c r="AA1159" s="49"/>
      <c r="AF1159" s="5"/>
      <c r="AG1159" s="5"/>
      <c r="AH1159" s="5"/>
      <c r="AI1159" s="5"/>
      <c r="AJ1159" s="5"/>
      <c r="AK1159" s="5"/>
      <c r="AL1159" s="5"/>
      <c r="AM1159" s="13"/>
      <c r="AN1159" s="13"/>
      <c r="AO1159" s="5"/>
      <c r="AP1159" s="5"/>
      <c r="AQ1159" s="5"/>
      <c r="AR1159" s="5"/>
      <c r="AS1159" s="5"/>
      <c r="AT1159" s="5"/>
      <c r="AU1159" s="5"/>
      <c r="AV1159" s="5"/>
      <c r="AW1159" s="5"/>
      <c r="AX1159" s="5"/>
      <c r="AY1159" s="5"/>
      <c r="AZ1159" s="5"/>
      <c r="BA1159" s="5"/>
    </row>
    <row r="1160" spans="2:53" s="41" customFormat="1" x14ac:dyDescent="0.2">
      <c r="B1160" s="3"/>
      <c r="C1160" s="61"/>
      <c r="D1160" s="58"/>
      <c r="E1160" s="38"/>
      <c r="F1160" s="58"/>
      <c r="G1160" s="48"/>
      <c r="H1160" s="44"/>
      <c r="I1160" s="5"/>
      <c r="J1160" s="43"/>
      <c r="K1160" s="43"/>
      <c r="L1160" s="57"/>
      <c r="M1160" s="56"/>
      <c r="N1160" s="3"/>
      <c r="P1160" s="5"/>
      <c r="Q1160" s="5"/>
      <c r="R1160" s="5"/>
      <c r="T1160" s="56"/>
      <c r="U1160" s="77"/>
      <c r="V1160" s="77"/>
      <c r="AA1160" s="49"/>
      <c r="AF1160" s="5"/>
      <c r="AG1160" s="5"/>
      <c r="AH1160" s="5"/>
      <c r="AI1160" s="5"/>
      <c r="AJ1160" s="5"/>
      <c r="AK1160" s="5"/>
      <c r="AL1160" s="5"/>
      <c r="AM1160" s="13"/>
      <c r="AN1160" s="13"/>
      <c r="AO1160" s="5"/>
      <c r="AP1160" s="5"/>
      <c r="AQ1160" s="5"/>
      <c r="AR1160" s="5"/>
      <c r="AS1160" s="5"/>
      <c r="AT1160" s="5"/>
      <c r="AU1160" s="5"/>
      <c r="AV1160" s="5"/>
      <c r="AW1160" s="5"/>
      <c r="AX1160" s="5"/>
      <c r="AY1160" s="5"/>
      <c r="AZ1160" s="5"/>
      <c r="BA1160" s="5"/>
    </row>
    <row r="1161" spans="2:53" s="41" customFormat="1" x14ac:dyDescent="0.2">
      <c r="B1161" s="3"/>
      <c r="C1161" s="61"/>
      <c r="D1161" s="58"/>
      <c r="E1161" s="38"/>
      <c r="F1161" s="58"/>
      <c r="G1161" s="48"/>
      <c r="H1161" s="44"/>
      <c r="I1161" s="5"/>
      <c r="J1161" s="43"/>
      <c r="K1161" s="43"/>
      <c r="L1161" s="57"/>
      <c r="M1161" s="56"/>
      <c r="N1161" s="3"/>
      <c r="P1161" s="5"/>
      <c r="Q1161" s="5"/>
      <c r="R1161" s="5"/>
      <c r="T1161" s="56"/>
      <c r="U1161" s="77"/>
      <c r="V1161" s="77"/>
      <c r="AA1161" s="49"/>
      <c r="AF1161" s="5"/>
      <c r="AG1161" s="5"/>
      <c r="AH1161" s="5"/>
      <c r="AI1161" s="5"/>
      <c r="AJ1161" s="5"/>
      <c r="AK1161" s="5"/>
      <c r="AL1161" s="5"/>
      <c r="AM1161" s="13"/>
      <c r="AN1161" s="13"/>
      <c r="AO1161" s="5"/>
      <c r="AP1161" s="5"/>
      <c r="AQ1161" s="5"/>
      <c r="AR1161" s="5"/>
      <c r="AS1161" s="5"/>
      <c r="AT1161" s="5"/>
      <c r="AU1161" s="5"/>
      <c r="AV1161" s="5"/>
      <c r="AW1161" s="5"/>
      <c r="AX1161" s="5"/>
      <c r="AY1161" s="5"/>
      <c r="AZ1161" s="5"/>
      <c r="BA1161" s="5"/>
    </row>
    <row r="1162" spans="2:53" s="41" customFormat="1" x14ac:dyDescent="0.2">
      <c r="B1162" s="3"/>
      <c r="C1162" s="61"/>
      <c r="D1162" s="58"/>
      <c r="E1162" s="38"/>
      <c r="F1162" s="58"/>
      <c r="G1162" s="48"/>
      <c r="H1162" s="44"/>
      <c r="I1162" s="5"/>
      <c r="J1162" s="43"/>
      <c r="K1162" s="43"/>
      <c r="L1162" s="57"/>
      <c r="M1162" s="56"/>
      <c r="N1162" s="3"/>
      <c r="P1162" s="5"/>
      <c r="Q1162" s="5"/>
      <c r="R1162" s="5"/>
      <c r="T1162" s="56"/>
      <c r="U1162" s="77"/>
      <c r="V1162" s="77"/>
      <c r="AA1162" s="49"/>
      <c r="AF1162" s="5"/>
      <c r="AG1162" s="5"/>
      <c r="AH1162" s="5"/>
      <c r="AI1162" s="5"/>
      <c r="AJ1162" s="5"/>
      <c r="AK1162" s="5"/>
      <c r="AL1162" s="5"/>
      <c r="AM1162" s="13"/>
      <c r="AN1162" s="13"/>
      <c r="AO1162" s="5"/>
      <c r="AP1162" s="5"/>
      <c r="AQ1162" s="5"/>
      <c r="AR1162" s="5"/>
      <c r="AS1162" s="5"/>
      <c r="AT1162" s="5"/>
      <c r="AU1162" s="5"/>
      <c r="AV1162" s="5"/>
      <c r="AW1162" s="5"/>
      <c r="AX1162" s="5"/>
      <c r="AY1162" s="5"/>
      <c r="AZ1162" s="5"/>
      <c r="BA1162" s="5"/>
    </row>
    <row r="1163" spans="2:53" s="41" customFormat="1" x14ac:dyDescent="0.2">
      <c r="B1163" s="3"/>
      <c r="C1163" s="61"/>
      <c r="D1163" s="58"/>
      <c r="E1163" s="38"/>
      <c r="F1163" s="58"/>
      <c r="G1163" s="48"/>
      <c r="H1163" s="44"/>
      <c r="I1163" s="5"/>
      <c r="J1163" s="43"/>
      <c r="K1163" s="43"/>
      <c r="L1163" s="57"/>
      <c r="M1163" s="56"/>
      <c r="N1163" s="3"/>
      <c r="P1163" s="5"/>
      <c r="Q1163" s="5"/>
      <c r="R1163" s="5"/>
      <c r="T1163" s="56"/>
      <c r="U1163" s="77"/>
      <c r="V1163" s="77"/>
      <c r="AA1163" s="49"/>
      <c r="AF1163" s="5"/>
      <c r="AG1163" s="5"/>
      <c r="AH1163" s="5"/>
      <c r="AI1163" s="5"/>
      <c r="AJ1163" s="5"/>
      <c r="AK1163" s="5"/>
      <c r="AL1163" s="5"/>
      <c r="AM1163" s="13"/>
      <c r="AN1163" s="13"/>
      <c r="AO1163" s="5"/>
      <c r="AP1163" s="5"/>
      <c r="AQ1163" s="5"/>
      <c r="AR1163" s="5"/>
      <c r="AS1163" s="5"/>
      <c r="AT1163" s="5"/>
      <c r="AU1163" s="5"/>
      <c r="AV1163" s="5"/>
      <c r="AW1163" s="5"/>
      <c r="AX1163" s="5"/>
      <c r="AY1163" s="5"/>
      <c r="AZ1163" s="5"/>
      <c r="BA1163" s="5"/>
    </row>
    <row r="1164" spans="2:53" s="41" customFormat="1" x14ac:dyDescent="0.2">
      <c r="B1164" s="3"/>
      <c r="C1164" s="61"/>
      <c r="D1164" s="58"/>
      <c r="E1164" s="38"/>
      <c r="F1164" s="58"/>
      <c r="G1164" s="48"/>
      <c r="H1164" s="44"/>
      <c r="I1164" s="5"/>
      <c r="J1164" s="43"/>
      <c r="K1164" s="43"/>
      <c r="L1164" s="57"/>
      <c r="M1164" s="56"/>
      <c r="N1164" s="3"/>
      <c r="P1164" s="5"/>
      <c r="Q1164" s="5"/>
      <c r="R1164" s="5"/>
      <c r="T1164" s="56"/>
      <c r="U1164" s="77"/>
      <c r="V1164" s="77"/>
      <c r="AA1164" s="49"/>
      <c r="AF1164" s="5"/>
      <c r="AG1164" s="5"/>
      <c r="AH1164" s="5"/>
      <c r="AI1164" s="5"/>
      <c r="AJ1164" s="5"/>
      <c r="AK1164" s="5"/>
      <c r="AL1164" s="5"/>
      <c r="AM1164" s="13"/>
      <c r="AN1164" s="13"/>
      <c r="AO1164" s="5"/>
      <c r="AP1164" s="5"/>
      <c r="AQ1164" s="5"/>
      <c r="AR1164" s="5"/>
      <c r="AS1164" s="5"/>
      <c r="AT1164" s="5"/>
      <c r="AU1164" s="5"/>
      <c r="AV1164" s="5"/>
      <c r="AW1164" s="5"/>
      <c r="AX1164" s="5"/>
      <c r="AY1164" s="5"/>
      <c r="AZ1164" s="5"/>
      <c r="BA1164" s="5"/>
    </row>
    <row r="1165" spans="2:53" s="41" customFormat="1" x14ac:dyDescent="0.2">
      <c r="B1165" s="3"/>
      <c r="C1165" s="61"/>
      <c r="D1165" s="58"/>
      <c r="E1165" s="38"/>
      <c r="F1165" s="58"/>
      <c r="G1165" s="48"/>
      <c r="H1165" s="44"/>
      <c r="I1165" s="5"/>
      <c r="J1165" s="43"/>
      <c r="K1165" s="43"/>
      <c r="L1165" s="57"/>
      <c r="M1165" s="56"/>
      <c r="N1165" s="3"/>
      <c r="P1165" s="5"/>
      <c r="Q1165" s="5"/>
      <c r="R1165" s="5"/>
      <c r="T1165" s="56"/>
      <c r="U1165" s="77"/>
      <c r="V1165" s="77"/>
      <c r="AA1165" s="49"/>
      <c r="AF1165" s="5"/>
      <c r="AG1165" s="5"/>
      <c r="AH1165" s="5"/>
      <c r="AI1165" s="5"/>
      <c r="AJ1165" s="5"/>
      <c r="AK1165" s="5"/>
      <c r="AL1165" s="5"/>
      <c r="AM1165" s="13"/>
      <c r="AN1165" s="13"/>
      <c r="AO1165" s="5"/>
      <c r="AP1165" s="5"/>
      <c r="AQ1165" s="5"/>
      <c r="AR1165" s="5"/>
      <c r="AS1165" s="5"/>
      <c r="AT1165" s="5"/>
      <c r="AU1165" s="5"/>
      <c r="AV1165" s="5"/>
      <c r="AW1165" s="5"/>
      <c r="AX1165" s="5"/>
      <c r="AY1165" s="5"/>
      <c r="AZ1165" s="5"/>
      <c r="BA1165" s="5"/>
    </row>
    <row r="1166" spans="2:53" s="41" customFormat="1" x14ac:dyDescent="0.2">
      <c r="B1166" s="3"/>
      <c r="C1166" s="61"/>
      <c r="D1166" s="58"/>
      <c r="E1166" s="38"/>
      <c r="F1166" s="58"/>
      <c r="G1166" s="48"/>
      <c r="H1166" s="44"/>
      <c r="I1166" s="5"/>
      <c r="J1166" s="43"/>
      <c r="K1166" s="43"/>
      <c r="L1166" s="57"/>
      <c r="M1166" s="56"/>
      <c r="N1166" s="3"/>
      <c r="P1166" s="5"/>
      <c r="Q1166" s="5"/>
      <c r="R1166" s="5"/>
      <c r="T1166" s="56"/>
      <c r="U1166" s="77"/>
      <c r="V1166" s="77"/>
      <c r="AA1166" s="49"/>
      <c r="AF1166" s="5"/>
      <c r="AG1166" s="5"/>
      <c r="AH1166" s="5"/>
      <c r="AI1166" s="5"/>
      <c r="AJ1166" s="5"/>
      <c r="AK1166" s="5"/>
      <c r="AL1166" s="5"/>
      <c r="AM1166" s="13"/>
      <c r="AN1166" s="13"/>
      <c r="AO1166" s="5"/>
      <c r="AP1166" s="5"/>
      <c r="AQ1166" s="5"/>
      <c r="AR1166" s="5"/>
      <c r="AS1166" s="5"/>
      <c r="AT1166" s="5"/>
      <c r="AU1166" s="5"/>
      <c r="AV1166" s="5"/>
      <c r="AW1166" s="5"/>
      <c r="AX1166" s="5"/>
      <c r="AY1166" s="5"/>
      <c r="AZ1166" s="5"/>
      <c r="BA1166" s="5"/>
    </row>
    <row r="1167" spans="2:53" s="41" customFormat="1" x14ac:dyDescent="0.2">
      <c r="B1167" s="3"/>
      <c r="C1167" s="61"/>
      <c r="D1167" s="58"/>
      <c r="E1167" s="38"/>
      <c r="F1167" s="58"/>
      <c r="G1167" s="48"/>
      <c r="H1167" s="44"/>
      <c r="I1167" s="5"/>
      <c r="J1167" s="43"/>
      <c r="K1167" s="43"/>
      <c r="L1167" s="57"/>
      <c r="M1167" s="56"/>
      <c r="N1167" s="3"/>
      <c r="P1167" s="5"/>
      <c r="Q1167" s="5"/>
      <c r="R1167" s="5"/>
      <c r="T1167" s="56"/>
      <c r="U1167" s="77"/>
      <c r="V1167" s="77"/>
      <c r="AA1167" s="49"/>
      <c r="AF1167" s="5"/>
      <c r="AG1167" s="5"/>
      <c r="AH1167" s="5"/>
      <c r="AI1167" s="5"/>
      <c r="AJ1167" s="5"/>
      <c r="AK1167" s="5"/>
      <c r="AL1167" s="5"/>
      <c r="AM1167" s="13"/>
      <c r="AN1167" s="13"/>
      <c r="AO1167" s="5"/>
      <c r="AP1167" s="5"/>
      <c r="AQ1167" s="5"/>
      <c r="AR1167" s="5"/>
      <c r="AS1167" s="5"/>
      <c r="AT1167" s="5"/>
      <c r="AU1167" s="5"/>
      <c r="AV1167" s="5"/>
      <c r="AW1167" s="5"/>
      <c r="AX1167" s="5"/>
      <c r="AY1167" s="5"/>
      <c r="AZ1167" s="5"/>
      <c r="BA1167" s="5"/>
    </row>
    <row r="1168" spans="2:53" s="41" customFormat="1" x14ac:dyDescent="0.2">
      <c r="B1168" s="3"/>
      <c r="C1168" s="61"/>
      <c r="D1168" s="58"/>
      <c r="E1168" s="38"/>
      <c r="F1168" s="58"/>
      <c r="G1168" s="48"/>
      <c r="H1168" s="44"/>
      <c r="I1168" s="5"/>
      <c r="J1168" s="43"/>
      <c r="K1168" s="43"/>
      <c r="L1168" s="57"/>
      <c r="M1168" s="56"/>
      <c r="N1168" s="3"/>
      <c r="P1168" s="5"/>
      <c r="Q1168" s="5"/>
      <c r="R1168" s="5"/>
      <c r="T1168" s="56"/>
      <c r="U1168" s="77"/>
      <c r="V1168" s="77"/>
      <c r="AA1168" s="49"/>
      <c r="AF1168" s="5"/>
      <c r="AG1168" s="5"/>
      <c r="AH1168" s="5"/>
      <c r="AI1168" s="5"/>
      <c r="AJ1168" s="5"/>
      <c r="AK1168" s="5"/>
      <c r="AL1168" s="5"/>
      <c r="AM1168" s="13"/>
      <c r="AN1168" s="13"/>
      <c r="AO1168" s="5"/>
      <c r="AP1168" s="5"/>
      <c r="AQ1168" s="5"/>
      <c r="AR1168" s="5"/>
      <c r="AS1168" s="5"/>
      <c r="AT1168" s="5"/>
      <c r="AU1168" s="5"/>
      <c r="AV1168" s="5"/>
      <c r="AW1168" s="5"/>
      <c r="AX1168" s="5"/>
      <c r="AY1168" s="5"/>
      <c r="AZ1168" s="5"/>
      <c r="BA1168" s="5"/>
    </row>
    <row r="1169" spans="2:53" s="41" customFormat="1" x14ac:dyDescent="0.2">
      <c r="B1169" s="3"/>
      <c r="C1169" s="61"/>
      <c r="D1169" s="58"/>
      <c r="E1169" s="38"/>
      <c r="F1169" s="58"/>
      <c r="G1169" s="48"/>
      <c r="H1169" s="44"/>
      <c r="I1169" s="5"/>
      <c r="J1169" s="43"/>
      <c r="K1169" s="43"/>
      <c r="L1169" s="57"/>
      <c r="M1169" s="56"/>
      <c r="N1169" s="3"/>
      <c r="P1169" s="5"/>
      <c r="Q1169" s="5"/>
      <c r="R1169" s="5"/>
      <c r="T1169" s="56"/>
      <c r="U1169" s="77"/>
      <c r="V1169" s="77"/>
      <c r="AA1169" s="49"/>
      <c r="AF1169" s="5"/>
      <c r="AG1169" s="5"/>
      <c r="AH1169" s="5"/>
      <c r="AI1169" s="5"/>
      <c r="AJ1169" s="5"/>
      <c r="AK1169" s="5"/>
      <c r="AL1169" s="5"/>
      <c r="AM1169" s="13"/>
      <c r="AN1169" s="13"/>
      <c r="AO1169" s="5"/>
      <c r="AP1169" s="5"/>
      <c r="AQ1169" s="5"/>
      <c r="AR1169" s="5"/>
      <c r="AS1169" s="5"/>
      <c r="AT1169" s="5"/>
      <c r="AU1169" s="5"/>
      <c r="AV1169" s="5"/>
      <c r="AW1169" s="5"/>
      <c r="AX1169" s="5"/>
      <c r="AY1169" s="5"/>
      <c r="AZ1169" s="5"/>
      <c r="BA1169" s="5"/>
    </row>
    <row r="1170" spans="2:53" s="41" customFormat="1" x14ac:dyDescent="0.2">
      <c r="B1170" s="3"/>
      <c r="C1170" s="61"/>
      <c r="D1170" s="58"/>
      <c r="E1170" s="38"/>
      <c r="F1170" s="58"/>
      <c r="G1170" s="48"/>
      <c r="H1170" s="44"/>
      <c r="I1170" s="5"/>
      <c r="J1170" s="43"/>
      <c r="K1170" s="43"/>
      <c r="L1170" s="57"/>
      <c r="M1170" s="56"/>
      <c r="N1170" s="3"/>
      <c r="P1170" s="5"/>
      <c r="Q1170" s="5"/>
      <c r="R1170" s="5"/>
      <c r="T1170" s="56"/>
      <c r="U1170" s="77"/>
      <c r="V1170" s="77"/>
      <c r="AA1170" s="49"/>
      <c r="AF1170" s="5"/>
      <c r="AG1170" s="5"/>
      <c r="AH1170" s="5"/>
      <c r="AI1170" s="5"/>
      <c r="AJ1170" s="5"/>
      <c r="AK1170" s="5"/>
      <c r="AL1170" s="5"/>
      <c r="AM1170" s="13"/>
      <c r="AN1170" s="13"/>
      <c r="AO1170" s="5"/>
      <c r="AP1170" s="5"/>
      <c r="AQ1170" s="5"/>
      <c r="AR1170" s="5"/>
      <c r="AS1170" s="5"/>
      <c r="AT1170" s="5"/>
      <c r="AU1170" s="5"/>
      <c r="AV1170" s="5"/>
      <c r="AW1170" s="5"/>
      <c r="AX1170" s="5"/>
      <c r="AY1170" s="5"/>
      <c r="AZ1170" s="5"/>
      <c r="BA1170" s="5"/>
    </row>
    <row r="1171" spans="2:53" s="41" customFormat="1" x14ac:dyDescent="0.2">
      <c r="B1171" s="3"/>
      <c r="C1171" s="61"/>
      <c r="D1171" s="58"/>
      <c r="E1171" s="38"/>
      <c r="F1171" s="58"/>
      <c r="G1171" s="48"/>
      <c r="H1171" s="44"/>
      <c r="I1171" s="5"/>
      <c r="J1171" s="43"/>
      <c r="K1171" s="43"/>
      <c r="L1171" s="57"/>
      <c r="M1171" s="56"/>
      <c r="N1171" s="3"/>
      <c r="P1171" s="5"/>
      <c r="Q1171" s="5"/>
      <c r="R1171" s="5"/>
      <c r="T1171" s="56"/>
      <c r="U1171" s="77"/>
      <c r="V1171" s="77"/>
      <c r="AA1171" s="49"/>
      <c r="AF1171" s="5"/>
      <c r="AG1171" s="5"/>
      <c r="AH1171" s="5"/>
      <c r="AI1171" s="5"/>
      <c r="AJ1171" s="5"/>
      <c r="AK1171" s="5"/>
      <c r="AL1171" s="5"/>
      <c r="AM1171" s="13"/>
      <c r="AN1171" s="13"/>
      <c r="AO1171" s="5"/>
      <c r="AP1171" s="5"/>
      <c r="AQ1171" s="5"/>
      <c r="AR1171" s="5"/>
      <c r="AS1171" s="5"/>
      <c r="AT1171" s="5"/>
      <c r="AU1171" s="5"/>
      <c r="AV1171" s="5"/>
      <c r="AW1171" s="5"/>
      <c r="AX1171" s="5"/>
      <c r="AY1171" s="5"/>
      <c r="AZ1171" s="5"/>
      <c r="BA1171" s="5"/>
    </row>
    <row r="1172" spans="2:53" s="41" customFormat="1" x14ac:dyDescent="0.2">
      <c r="B1172" s="3"/>
      <c r="C1172" s="61"/>
      <c r="D1172" s="58"/>
      <c r="E1172" s="38"/>
      <c r="F1172" s="58"/>
      <c r="G1172" s="48"/>
      <c r="H1172" s="44"/>
      <c r="I1172" s="5"/>
      <c r="J1172" s="43"/>
      <c r="K1172" s="43"/>
      <c r="L1172" s="57"/>
      <c r="M1172" s="56"/>
      <c r="N1172" s="3"/>
      <c r="P1172" s="5"/>
      <c r="Q1172" s="5"/>
      <c r="R1172" s="5"/>
      <c r="T1172" s="56"/>
      <c r="U1172" s="77"/>
      <c r="V1172" s="77"/>
      <c r="AA1172" s="49"/>
      <c r="AF1172" s="5"/>
      <c r="AG1172" s="5"/>
      <c r="AH1172" s="5"/>
      <c r="AI1172" s="5"/>
      <c r="AJ1172" s="5"/>
      <c r="AK1172" s="5"/>
      <c r="AL1172" s="5"/>
      <c r="AM1172" s="13"/>
      <c r="AN1172" s="13"/>
      <c r="AO1172" s="5"/>
      <c r="AP1172" s="5"/>
      <c r="AQ1172" s="5"/>
      <c r="AR1172" s="5"/>
      <c r="AS1172" s="5"/>
      <c r="AT1172" s="5"/>
      <c r="AU1172" s="5"/>
      <c r="AV1172" s="5"/>
      <c r="AW1172" s="5"/>
      <c r="AX1172" s="5"/>
      <c r="AY1172" s="5"/>
      <c r="AZ1172" s="5"/>
      <c r="BA1172" s="5"/>
    </row>
    <row r="1173" spans="2:53" s="41" customFormat="1" x14ac:dyDescent="0.2">
      <c r="B1173" s="3"/>
      <c r="C1173" s="61"/>
      <c r="D1173" s="58"/>
      <c r="E1173" s="38"/>
      <c r="F1173" s="58"/>
      <c r="G1173" s="48"/>
      <c r="H1173" s="44"/>
      <c r="I1173" s="5"/>
      <c r="J1173" s="43"/>
      <c r="K1173" s="43"/>
      <c r="L1173" s="57"/>
      <c r="M1173" s="56"/>
      <c r="N1173" s="3"/>
      <c r="P1173" s="5"/>
      <c r="Q1173" s="5"/>
      <c r="R1173" s="5"/>
      <c r="T1173" s="56"/>
      <c r="U1173" s="77"/>
      <c r="V1173" s="77"/>
      <c r="AA1173" s="49"/>
      <c r="AF1173" s="5"/>
      <c r="AG1173" s="5"/>
      <c r="AH1173" s="5"/>
      <c r="AI1173" s="5"/>
      <c r="AJ1173" s="5"/>
      <c r="AK1173" s="5"/>
      <c r="AL1173" s="5"/>
      <c r="AM1173" s="13"/>
      <c r="AN1173" s="13"/>
      <c r="AO1173" s="5"/>
      <c r="AP1173" s="5"/>
      <c r="AQ1173" s="5"/>
      <c r="AR1173" s="5"/>
      <c r="AS1173" s="5"/>
      <c r="AT1173" s="5"/>
      <c r="AU1173" s="5"/>
      <c r="AV1173" s="5"/>
      <c r="AW1173" s="5"/>
      <c r="AX1173" s="5"/>
      <c r="AY1173" s="5"/>
      <c r="AZ1173" s="5"/>
      <c r="BA1173" s="5"/>
    </row>
    <row r="1174" spans="2:53" s="41" customFormat="1" x14ac:dyDescent="0.2">
      <c r="C1174" s="71"/>
      <c r="D1174" s="58"/>
      <c r="E1174" s="38"/>
      <c r="F1174" s="58"/>
      <c r="G1174" s="5"/>
      <c r="H1174" s="44"/>
      <c r="I1174" s="5"/>
      <c r="J1174" s="43"/>
      <c r="K1174" s="43"/>
      <c r="L1174" s="57"/>
      <c r="M1174" s="56"/>
      <c r="N1174" s="3"/>
      <c r="P1174" s="5"/>
      <c r="Q1174" s="5"/>
      <c r="R1174" s="5"/>
      <c r="T1174" s="56"/>
      <c r="U1174" s="77"/>
      <c r="V1174" s="77"/>
      <c r="AA1174" s="3"/>
      <c r="AF1174" s="5"/>
      <c r="AG1174" s="5"/>
      <c r="AH1174" s="5"/>
      <c r="AI1174" s="5"/>
      <c r="AJ1174" s="5"/>
      <c r="AK1174" s="5"/>
      <c r="AL1174" s="5"/>
      <c r="AM1174" s="13"/>
      <c r="AN1174" s="13"/>
      <c r="AO1174" s="5"/>
      <c r="AP1174" s="5"/>
      <c r="AQ1174" s="5"/>
      <c r="AR1174" s="5"/>
      <c r="AS1174" s="5"/>
      <c r="AT1174" s="5"/>
      <c r="AU1174" s="5"/>
      <c r="AV1174" s="5"/>
      <c r="AW1174" s="5"/>
      <c r="AX1174" s="5"/>
      <c r="AY1174" s="5"/>
      <c r="AZ1174" s="5"/>
      <c r="BA1174" s="5"/>
    </row>
    <row r="1175" spans="2:53" s="41" customFormat="1" x14ac:dyDescent="0.2">
      <c r="C1175" s="71"/>
      <c r="D1175" s="58"/>
      <c r="E1175" s="38"/>
      <c r="F1175" s="58"/>
      <c r="G1175" s="5"/>
      <c r="H1175" s="44"/>
      <c r="I1175" s="5"/>
      <c r="J1175" s="43"/>
      <c r="K1175" s="43"/>
      <c r="L1175" s="57"/>
      <c r="M1175" s="56"/>
      <c r="N1175" s="3"/>
      <c r="P1175" s="5"/>
      <c r="Q1175" s="5"/>
      <c r="R1175" s="5"/>
      <c r="T1175" s="56"/>
      <c r="U1175" s="77"/>
      <c r="V1175" s="77"/>
      <c r="AA1175" s="3"/>
      <c r="AF1175" s="5"/>
      <c r="AG1175" s="5"/>
      <c r="AH1175" s="5"/>
      <c r="AI1175" s="5"/>
      <c r="AJ1175" s="5"/>
      <c r="AK1175" s="5"/>
      <c r="AL1175" s="5"/>
      <c r="AM1175" s="13"/>
      <c r="AN1175" s="13"/>
      <c r="AO1175" s="5"/>
      <c r="AP1175" s="5"/>
      <c r="AQ1175" s="5"/>
      <c r="AR1175" s="5"/>
      <c r="AS1175" s="5"/>
      <c r="AT1175" s="5"/>
      <c r="AU1175" s="5"/>
      <c r="AV1175" s="5"/>
      <c r="AW1175" s="5"/>
      <c r="AX1175" s="5"/>
      <c r="AY1175" s="5"/>
      <c r="AZ1175" s="5"/>
      <c r="BA1175" s="5"/>
    </row>
    <row r="1176" spans="2:53" s="41" customFormat="1" x14ac:dyDescent="0.2">
      <c r="C1176" s="71"/>
      <c r="D1176" s="58"/>
      <c r="E1176" s="38"/>
      <c r="F1176" s="58"/>
      <c r="G1176" s="5"/>
      <c r="H1176" s="44"/>
      <c r="I1176" s="5"/>
      <c r="J1176" s="43"/>
      <c r="K1176" s="43"/>
      <c r="L1176" s="57"/>
      <c r="M1176" s="56"/>
      <c r="N1176" s="3"/>
      <c r="P1176" s="5"/>
      <c r="Q1176" s="5"/>
      <c r="R1176" s="5"/>
      <c r="T1176" s="56"/>
      <c r="U1176" s="77"/>
      <c r="V1176" s="77"/>
      <c r="AA1176" s="3"/>
      <c r="AF1176" s="5"/>
      <c r="AG1176" s="5"/>
      <c r="AH1176" s="5"/>
      <c r="AI1176" s="5"/>
      <c r="AJ1176" s="5"/>
      <c r="AK1176" s="5"/>
      <c r="AL1176" s="5"/>
      <c r="AM1176" s="13"/>
      <c r="AN1176" s="13"/>
      <c r="AO1176" s="5"/>
      <c r="AP1176" s="5"/>
      <c r="AQ1176" s="5"/>
      <c r="AR1176" s="5"/>
      <c r="AS1176" s="5"/>
      <c r="AT1176" s="5"/>
      <c r="AU1176" s="5"/>
      <c r="AV1176" s="5"/>
      <c r="AW1176" s="5"/>
      <c r="AX1176" s="5"/>
      <c r="AY1176" s="5"/>
      <c r="AZ1176" s="5"/>
      <c r="BA1176" s="5"/>
    </row>
    <row r="1177" spans="2:53" s="41" customFormat="1" x14ac:dyDescent="0.2">
      <c r="C1177" s="71"/>
      <c r="D1177" s="58"/>
      <c r="E1177" s="38"/>
      <c r="F1177" s="58"/>
      <c r="G1177" s="5"/>
      <c r="H1177" s="44"/>
      <c r="I1177" s="5"/>
      <c r="J1177" s="43"/>
      <c r="K1177" s="43"/>
      <c r="L1177" s="57"/>
      <c r="M1177" s="56"/>
      <c r="N1177" s="3"/>
      <c r="P1177" s="5"/>
      <c r="Q1177" s="5"/>
      <c r="R1177" s="5"/>
      <c r="T1177" s="56"/>
      <c r="U1177" s="77"/>
      <c r="V1177" s="77"/>
      <c r="AA1177" s="3"/>
      <c r="AF1177" s="5"/>
      <c r="AG1177" s="5"/>
      <c r="AH1177" s="5"/>
      <c r="AI1177" s="5"/>
      <c r="AJ1177" s="5"/>
      <c r="AK1177" s="5"/>
      <c r="AL1177" s="5"/>
      <c r="AM1177" s="13"/>
      <c r="AN1177" s="13"/>
      <c r="AO1177" s="5"/>
      <c r="AP1177" s="5"/>
      <c r="AQ1177" s="5"/>
      <c r="AR1177" s="5"/>
      <c r="AS1177" s="5"/>
      <c r="AT1177" s="5"/>
      <c r="AU1177" s="5"/>
      <c r="AV1177" s="5"/>
      <c r="AW1177" s="5"/>
      <c r="AX1177" s="5"/>
      <c r="AY1177" s="5"/>
      <c r="AZ1177" s="5"/>
      <c r="BA1177" s="5"/>
    </row>
    <row r="1178" spans="2:53" s="41" customFormat="1" x14ac:dyDescent="0.2">
      <c r="C1178" s="71"/>
      <c r="D1178" s="58"/>
      <c r="E1178" s="38"/>
      <c r="F1178" s="58"/>
      <c r="G1178" s="5"/>
      <c r="H1178" s="44"/>
      <c r="I1178" s="5"/>
      <c r="J1178" s="43"/>
      <c r="K1178" s="43"/>
      <c r="L1178" s="57"/>
      <c r="M1178" s="56"/>
      <c r="N1178" s="3"/>
      <c r="P1178" s="5"/>
      <c r="Q1178" s="5"/>
      <c r="R1178" s="5"/>
      <c r="T1178" s="56"/>
      <c r="U1178" s="77"/>
      <c r="V1178" s="77"/>
      <c r="AA1178" s="3"/>
      <c r="AF1178" s="5"/>
      <c r="AG1178" s="5"/>
      <c r="AH1178" s="5"/>
      <c r="AI1178" s="5"/>
      <c r="AJ1178" s="5"/>
      <c r="AK1178" s="5"/>
      <c r="AL1178" s="5"/>
      <c r="AM1178" s="13"/>
      <c r="AN1178" s="13"/>
      <c r="AO1178" s="5"/>
      <c r="AP1178" s="5"/>
      <c r="AQ1178" s="5"/>
      <c r="AR1178" s="5"/>
      <c r="AS1178" s="5"/>
      <c r="AT1178" s="5"/>
      <c r="AU1178" s="5"/>
      <c r="AV1178" s="5"/>
      <c r="AW1178" s="5"/>
      <c r="AX1178" s="5"/>
      <c r="AY1178" s="5"/>
      <c r="AZ1178" s="5"/>
      <c r="BA1178" s="5"/>
    </row>
    <row r="1179" spans="2:53" s="41" customFormat="1" x14ac:dyDescent="0.2">
      <c r="C1179" s="71"/>
      <c r="D1179" s="58"/>
      <c r="E1179" s="38"/>
      <c r="F1179" s="58"/>
      <c r="G1179" s="5"/>
      <c r="H1179" s="44"/>
      <c r="I1179" s="5"/>
      <c r="J1179" s="43"/>
      <c r="K1179" s="43"/>
      <c r="L1179" s="57"/>
      <c r="M1179" s="56"/>
      <c r="N1179" s="3"/>
      <c r="P1179" s="5"/>
      <c r="Q1179" s="5"/>
      <c r="R1179" s="5"/>
      <c r="T1179" s="56"/>
      <c r="U1179" s="77"/>
      <c r="V1179" s="77"/>
      <c r="AA1179" s="3"/>
      <c r="AF1179" s="5"/>
      <c r="AG1179" s="5"/>
      <c r="AH1179" s="5"/>
      <c r="AI1179" s="5"/>
      <c r="AJ1179" s="5"/>
      <c r="AK1179" s="5"/>
      <c r="AL1179" s="5"/>
      <c r="AM1179" s="13"/>
      <c r="AN1179" s="13"/>
      <c r="AO1179" s="5"/>
      <c r="AP1179" s="5"/>
      <c r="AQ1179" s="5"/>
      <c r="AR1179" s="5"/>
      <c r="AS1179" s="5"/>
      <c r="AT1179" s="5"/>
      <c r="AU1179" s="5"/>
      <c r="AV1179" s="5"/>
      <c r="AW1179" s="5"/>
      <c r="AX1179" s="5"/>
      <c r="AY1179" s="5"/>
      <c r="AZ1179" s="5"/>
      <c r="BA1179" s="5"/>
    </row>
    <row r="1180" spans="2:53" s="41" customFormat="1" x14ac:dyDescent="0.2">
      <c r="C1180" s="71"/>
      <c r="D1180" s="58"/>
      <c r="E1180" s="38"/>
      <c r="F1180" s="58"/>
      <c r="G1180" s="5"/>
      <c r="H1180" s="44"/>
      <c r="I1180" s="5"/>
      <c r="J1180" s="43"/>
      <c r="K1180" s="43"/>
      <c r="L1180" s="57"/>
      <c r="M1180" s="56"/>
      <c r="N1180" s="3"/>
      <c r="P1180" s="5"/>
      <c r="Q1180" s="5"/>
      <c r="R1180" s="5"/>
      <c r="T1180" s="56"/>
      <c r="U1180" s="77"/>
      <c r="V1180" s="77"/>
      <c r="AA1180" s="3"/>
      <c r="AF1180" s="5"/>
      <c r="AG1180" s="5"/>
      <c r="AH1180" s="5"/>
      <c r="AI1180" s="5"/>
      <c r="AJ1180" s="5"/>
      <c r="AK1180" s="5"/>
      <c r="AL1180" s="5"/>
      <c r="AM1180" s="13"/>
      <c r="AN1180" s="13"/>
      <c r="AO1180" s="5"/>
      <c r="AP1180" s="5"/>
      <c r="AQ1180" s="5"/>
      <c r="AR1180" s="5"/>
      <c r="AS1180" s="5"/>
      <c r="AT1180" s="5"/>
      <c r="AU1180" s="5"/>
      <c r="AV1180" s="5"/>
      <c r="AW1180" s="5"/>
      <c r="AX1180" s="5"/>
      <c r="AY1180" s="5"/>
      <c r="AZ1180" s="5"/>
      <c r="BA1180" s="5"/>
    </row>
    <row r="1181" spans="2:53" s="41" customFormat="1" x14ac:dyDescent="0.2">
      <c r="C1181" s="71"/>
      <c r="D1181" s="58"/>
      <c r="E1181" s="38"/>
      <c r="F1181" s="58"/>
      <c r="G1181" s="5"/>
      <c r="H1181" s="44"/>
      <c r="I1181" s="5"/>
      <c r="J1181" s="43"/>
      <c r="K1181" s="43"/>
      <c r="L1181" s="57"/>
      <c r="M1181" s="56"/>
      <c r="N1181" s="3"/>
      <c r="P1181" s="5"/>
      <c r="Q1181" s="5"/>
      <c r="R1181" s="5"/>
      <c r="T1181" s="56"/>
      <c r="U1181" s="77"/>
      <c r="V1181" s="77"/>
      <c r="AA1181" s="3"/>
      <c r="AF1181" s="5"/>
      <c r="AG1181" s="5"/>
      <c r="AH1181" s="5"/>
      <c r="AI1181" s="5"/>
      <c r="AJ1181" s="5"/>
      <c r="AK1181" s="5"/>
      <c r="AL1181" s="5"/>
      <c r="AM1181" s="13"/>
      <c r="AN1181" s="13"/>
      <c r="AO1181" s="5"/>
      <c r="AP1181" s="5"/>
      <c r="AQ1181" s="5"/>
      <c r="AR1181" s="5"/>
      <c r="AS1181" s="5"/>
      <c r="AT1181" s="5"/>
      <c r="AU1181" s="5"/>
      <c r="AV1181" s="5"/>
      <c r="AW1181" s="5"/>
      <c r="AX1181" s="5"/>
      <c r="AY1181" s="5"/>
      <c r="AZ1181" s="5"/>
      <c r="BA1181" s="5"/>
    </row>
    <row r="1182" spans="2:53" s="41" customFormat="1" x14ac:dyDescent="0.2">
      <c r="C1182" s="71"/>
      <c r="D1182" s="58"/>
      <c r="E1182" s="38"/>
      <c r="F1182" s="58"/>
      <c r="G1182" s="5"/>
      <c r="H1182" s="44"/>
      <c r="I1182" s="5"/>
      <c r="J1182" s="43"/>
      <c r="K1182" s="43"/>
      <c r="L1182" s="57"/>
      <c r="M1182" s="56"/>
      <c r="N1182" s="3"/>
      <c r="P1182" s="5"/>
      <c r="Q1182" s="5"/>
      <c r="R1182" s="5"/>
      <c r="T1182" s="56"/>
      <c r="U1182" s="77"/>
      <c r="V1182" s="77"/>
      <c r="AA1182" s="3"/>
      <c r="AF1182" s="5"/>
      <c r="AG1182" s="5"/>
      <c r="AH1182" s="5"/>
      <c r="AI1182" s="5"/>
      <c r="AJ1182" s="5"/>
      <c r="AK1182" s="5"/>
      <c r="AL1182" s="5"/>
      <c r="AM1182" s="13"/>
      <c r="AN1182" s="13"/>
      <c r="AO1182" s="5"/>
      <c r="AP1182" s="5"/>
      <c r="AQ1182" s="5"/>
      <c r="AR1182" s="5"/>
      <c r="AS1182" s="5"/>
      <c r="AT1182" s="5"/>
      <c r="AU1182" s="5"/>
      <c r="AV1182" s="5"/>
      <c r="AW1182" s="5"/>
      <c r="AX1182" s="5"/>
      <c r="AY1182" s="5"/>
      <c r="AZ1182" s="5"/>
      <c r="BA1182" s="5"/>
    </row>
    <row r="1183" spans="2:53" s="41" customFormat="1" x14ac:dyDescent="0.2">
      <c r="C1183" s="71"/>
      <c r="D1183" s="58"/>
      <c r="E1183" s="38"/>
      <c r="F1183" s="58"/>
      <c r="G1183" s="5"/>
      <c r="H1183" s="44"/>
      <c r="I1183" s="5"/>
      <c r="J1183" s="43"/>
      <c r="K1183" s="43"/>
      <c r="L1183" s="57"/>
      <c r="M1183" s="56"/>
      <c r="N1183" s="3"/>
      <c r="P1183" s="5"/>
      <c r="Q1183" s="5"/>
      <c r="R1183" s="5"/>
      <c r="T1183" s="56"/>
      <c r="U1183" s="77"/>
      <c r="V1183" s="77"/>
      <c r="AA1183" s="3"/>
      <c r="AF1183" s="5"/>
      <c r="AG1183" s="5"/>
      <c r="AH1183" s="5"/>
      <c r="AI1183" s="5"/>
      <c r="AJ1183" s="5"/>
      <c r="AK1183" s="5"/>
      <c r="AL1183" s="5"/>
      <c r="AM1183" s="13"/>
      <c r="AN1183" s="13"/>
      <c r="AO1183" s="5"/>
      <c r="AP1183" s="5"/>
      <c r="AQ1183" s="5"/>
      <c r="AR1183" s="5"/>
      <c r="AS1183" s="5"/>
      <c r="AT1183" s="5"/>
      <c r="AU1183" s="5"/>
      <c r="AV1183" s="5"/>
      <c r="AW1183" s="5"/>
      <c r="AX1183" s="5"/>
      <c r="AY1183" s="5"/>
      <c r="AZ1183" s="5"/>
      <c r="BA1183" s="5"/>
    </row>
    <row r="1184" spans="2:53" s="41" customFormat="1" x14ac:dyDescent="0.2">
      <c r="C1184" s="71"/>
      <c r="D1184" s="58"/>
      <c r="E1184" s="38"/>
      <c r="F1184" s="58"/>
      <c r="G1184" s="5"/>
      <c r="H1184" s="44"/>
      <c r="I1184" s="5"/>
      <c r="J1184" s="43"/>
      <c r="K1184" s="43"/>
      <c r="L1184" s="57"/>
      <c r="M1184" s="56"/>
      <c r="N1184" s="3"/>
      <c r="P1184" s="5"/>
      <c r="Q1184" s="5"/>
      <c r="R1184" s="5"/>
      <c r="T1184" s="56"/>
      <c r="U1184" s="77"/>
      <c r="V1184" s="77"/>
      <c r="AA1184" s="3"/>
      <c r="AF1184" s="5"/>
      <c r="AG1184" s="5"/>
      <c r="AH1184" s="5"/>
      <c r="AI1184" s="5"/>
      <c r="AJ1184" s="5"/>
      <c r="AK1184" s="5"/>
      <c r="AL1184" s="5"/>
      <c r="AM1184" s="13"/>
      <c r="AN1184" s="13"/>
      <c r="AO1184" s="5"/>
      <c r="AP1184" s="5"/>
      <c r="AQ1184" s="5"/>
      <c r="AR1184" s="5"/>
      <c r="AS1184" s="5"/>
      <c r="AT1184" s="5"/>
      <c r="AU1184" s="5"/>
      <c r="AV1184" s="5"/>
      <c r="AW1184" s="5"/>
      <c r="AX1184" s="5"/>
      <c r="AY1184" s="5"/>
      <c r="AZ1184" s="5"/>
      <c r="BA1184" s="5"/>
    </row>
    <row r="1185" spans="3:53" s="41" customFormat="1" x14ac:dyDescent="0.2">
      <c r="C1185" s="71"/>
      <c r="D1185" s="58"/>
      <c r="E1185" s="38"/>
      <c r="F1185" s="58"/>
      <c r="G1185" s="5"/>
      <c r="H1185" s="44"/>
      <c r="I1185" s="5"/>
      <c r="J1185" s="43"/>
      <c r="K1185" s="43"/>
      <c r="L1185" s="57"/>
      <c r="M1185" s="56"/>
      <c r="N1185" s="3"/>
      <c r="P1185" s="5"/>
      <c r="Q1185" s="5"/>
      <c r="R1185" s="5"/>
      <c r="T1185" s="56"/>
      <c r="U1185" s="77"/>
      <c r="V1185" s="77"/>
      <c r="AA1185" s="3"/>
      <c r="AF1185" s="5"/>
      <c r="AG1185" s="5"/>
      <c r="AH1185" s="5"/>
      <c r="AI1185" s="5"/>
      <c r="AJ1185" s="5"/>
      <c r="AK1185" s="5"/>
      <c r="AL1185" s="5"/>
      <c r="AM1185" s="13"/>
      <c r="AN1185" s="13"/>
      <c r="AO1185" s="5"/>
      <c r="AP1185" s="5"/>
      <c r="AQ1185" s="5"/>
      <c r="AR1185" s="5"/>
      <c r="AS1185" s="5"/>
      <c r="AT1185" s="5"/>
      <c r="AU1185" s="5"/>
      <c r="AV1185" s="5"/>
      <c r="AW1185" s="5"/>
      <c r="AX1185" s="5"/>
      <c r="AY1185" s="5"/>
      <c r="AZ1185" s="5"/>
      <c r="BA1185" s="5"/>
    </row>
    <row r="1186" spans="3:53" s="41" customFormat="1" x14ac:dyDescent="0.2">
      <c r="C1186" s="71"/>
      <c r="D1186" s="58"/>
      <c r="E1186" s="38"/>
      <c r="F1186" s="58"/>
      <c r="G1186" s="5"/>
      <c r="H1186" s="44"/>
      <c r="I1186" s="5"/>
      <c r="J1186" s="43"/>
      <c r="K1186" s="43"/>
      <c r="L1186" s="57"/>
      <c r="M1186" s="56"/>
      <c r="N1186" s="3"/>
      <c r="P1186" s="5"/>
      <c r="Q1186" s="5"/>
      <c r="R1186" s="5"/>
      <c r="T1186" s="56"/>
      <c r="U1186" s="77"/>
      <c r="V1186" s="77"/>
      <c r="AA1186" s="3"/>
      <c r="AF1186" s="5"/>
      <c r="AG1186" s="5"/>
      <c r="AH1186" s="5"/>
      <c r="AI1186" s="5"/>
      <c r="AJ1186" s="5"/>
      <c r="AK1186" s="5"/>
      <c r="AL1186" s="5"/>
      <c r="AM1186" s="13"/>
      <c r="AN1186" s="13"/>
      <c r="AO1186" s="5"/>
      <c r="AP1186" s="5"/>
      <c r="AQ1186" s="5"/>
      <c r="AR1186" s="5"/>
      <c r="AS1186" s="5"/>
      <c r="AT1186" s="5"/>
      <c r="AU1186" s="5"/>
      <c r="AV1186" s="5"/>
      <c r="AW1186" s="5"/>
      <c r="AX1186" s="5"/>
      <c r="AY1186" s="5"/>
      <c r="AZ1186" s="5"/>
      <c r="BA1186" s="5"/>
    </row>
    <row r="1187" spans="3:53" s="41" customFormat="1" x14ac:dyDescent="0.2">
      <c r="C1187" s="71"/>
      <c r="D1187" s="58"/>
      <c r="E1187" s="38"/>
      <c r="F1187" s="58"/>
      <c r="G1187" s="5"/>
      <c r="H1187" s="44"/>
      <c r="I1187" s="5"/>
      <c r="J1187" s="43"/>
      <c r="K1187" s="43"/>
      <c r="L1187" s="57"/>
      <c r="M1187" s="56"/>
      <c r="N1187" s="3"/>
      <c r="P1187" s="5"/>
      <c r="Q1187" s="5"/>
      <c r="R1187" s="5"/>
      <c r="T1187" s="56"/>
      <c r="U1187" s="77"/>
      <c r="V1187" s="77"/>
      <c r="AA1187" s="3"/>
      <c r="AF1187" s="5"/>
      <c r="AG1187" s="5"/>
      <c r="AH1187" s="5"/>
      <c r="AI1187" s="5"/>
      <c r="AJ1187" s="5"/>
      <c r="AK1187" s="5"/>
      <c r="AL1187" s="5"/>
      <c r="AM1187" s="13"/>
      <c r="AN1187" s="13"/>
      <c r="AO1187" s="5"/>
      <c r="AP1187" s="5"/>
      <c r="AQ1187" s="5"/>
      <c r="AR1187" s="5"/>
      <c r="AS1187" s="5"/>
      <c r="AT1187" s="5"/>
      <c r="AU1187" s="5"/>
      <c r="AV1187" s="5"/>
      <c r="AW1187" s="5"/>
      <c r="AX1187" s="5"/>
      <c r="AY1187" s="5"/>
      <c r="AZ1187" s="5"/>
      <c r="BA1187" s="5"/>
    </row>
    <row r="1188" spans="3:53" s="41" customFormat="1" x14ac:dyDescent="0.2">
      <c r="C1188" s="71"/>
      <c r="D1188" s="58"/>
      <c r="E1188" s="38"/>
      <c r="F1188" s="58"/>
      <c r="G1188" s="5"/>
      <c r="H1188" s="44"/>
      <c r="I1188" s="5"/>
      <c r="J1188" s="43"/>
      <c r="K1188" s="43"/>
      <c r="L1188" s="57"/>
      <c r="M1188" s="56"/>
      <c r="N1188" s="3"/>
      <c r="P1188" s="5"/>
      <c r="Q1188" s="5"/>
      <c r="R1188" s="5"/>
      <c r="T1188" s="56"/>
      <c r="U1188" s="77"/>
      <c r="V1188" s="77"/>
      <c r="AA1188" s="3"/>
      <c r="AF1188" s="5"/>
      <c r="AG1188" s="5"/>
      <c r="AH1188" s="5"/>
      <c r="AI1188" s="5"/>
      <c r="AJ1188" s="5"/>
      <c r="AK1188" s="5"/>
      <c r="AL1188" s="5"/>
      <c r="AM1188" s="13"/>
      <c r="AN1188" s="13"/>
      <c r="AO1188" s="5"/>
      <c r="AP1188" s="5"/>
      <c r="AQ1188" s="5"/>
      <c r="AR1188" s="5"/>
      <c r="AS1188" s="5"/>
      <c r="AT1188" s="5"/>
      <c r="AU1188" s="5"/>
      <c r="AV1188" s="5"/>
      <c r="AW1188" s="5"/>
      <c r="AX1188" s="5"/>
      <c r="AY1188" s="5"/>
      <c r="AZ1188" s="5"/>
      <c r="BA1188" s="5"/>
    </row>
    <row r="1189" spans="3:53" s="41" customFormat="1" x14ac:dyDescent="0.2">
      <c r="C1189" s="71"/>
      <c r="D1189" s="58"/>
      <c r="E1189" s="38"/>
      <c r="F1189" s="58"/>
      <c r="G1189" s="5"/>
      <c r="H1189" s="44"/>
      <c r="I1189" s="5"/>
      <c r="J1189" s="43"/>
      <c r="K1189" s="43"/>
      <c r="L1189" s="57"/>
      <c r="M1189" s="56"/>
      <c r="N1189" s="3"/>
      <c r="P1189" s="5"/>
      <c r="Q1189" s="5"/>
      <c r="R1189" s="5"/>
      <c r="T1189" s="56"/>
      <c r="U1189" s="77"/>
      <c r="V1189" s="77"/>
      <c r="AA1189" s="3"/>
      <c r="AF1189" s="5"/>
      <c r="AG1189" s="5"/>
      <c r="AH1189" s="5"/>
      <c r="AI1189" s="5"/>
      <c r="AJ1189" s="5"/>
      <c r="AK1189" s="5"/>
      <c r="AL1189" s="5"/>
      <c r="AM1189" s="13"/>
      <c r="AN1189" s="13"/>
      <c r="AO1189" s="5"/>
      <c r="AP1189" s="5"/>
      <c r="AQ1189" s="5"/>
      <c r="AR1189" s="5"/>
      <c r="AS1189" s="5"/>
      <c r="AT1189" s="5"/>
      <c r="AU1189" s="5"/>
      <c r="AV1189" s="5"/>
      <c r="AW1189" s="5"/>
      <c r="AX1189" s="5"/>
      <c r="AY1189" s="5"/>
      <c r="AZ1189" s="5"/>
      <c r="BA1189" s="5"/>
    </row>
    <row r="1190" spans="3:53" s="41" customFormat="1" x14ac:dyDescent="0.2">
      <c r="C1190" s="71"/>
      <c r="D1190" s="58"/>
      <c r="E1190" s="38"/>
      <c r="F1190" s="58"/>
      <c r="G1190" s="5"/>
      <c r="H1190" s="44"/>
      <c r="I1190" s="5"/>
      <c r="J1190" s="43"/>
      <c r="K1190" s="43"/>
      <c r="L1190" s="57"/>
      <c r="M1190" s="56"/>
      <c r="N1190" s="3"/>
      <c r="P1190" s="5"/>
      <c r="Q1190" s="5"/>
      <c r="R1190" s="5"/>
      <c r="T1190" s="56"/>
      <c r="U1190" s="77"/>
      <c r="V1190" s="77"/>
      <c r="AA1190" s="3"/>
      <c r="AF1190" s="5"/>
      <c r="AG1190" s="5"/>
      <c r="AH1190" s="5"/>
      <c r="AI1190" s="5"/>
      <c r="AJ1190" s="5"/>
      <c r="AK1190" s="5"/>
      <c r="AL1190" s="5"/>
      <c r="AM1190" s="13"/>
      <c r="AN1190" s="13"/>
      <c r="AO1190" s="5"/>
      <c r="AP1190" s="5"/>
      <c r="AQ1190" s="5"/>
      <c r="AR1190" s="5"/>
      <c r="AS1190" s="5"/>
      <c r="AT1190" s="5"/>
      <c r="AU1190" s="5"/>
      <c r="AV1190" s="5"/>
      <c r="AW1190" s="5"/>
      <c r="AX1190" s="5"/>
      <c r="AY1190" s="5"/>
      <c r="AZ1190" s="5"/>
      <c r="BA1190" s="5"/>
    </row>
    <row r="1191" spans="3:53" s="41" customFormat="1" x14ac:dyDescent="0.2">
      <c r="C1191" s="71"/>
      <c r="D1191" s="58"/>
      <c r="E1191" s="38"/>
      <c r="F1191" s="58"/>
      <c r="G1191" s="5"/>
      <c r="H1191" s="44"/>
      <c r="I1191" s="5"/>
      <c r="J1191" s="43"/>
      <c r="K1191" s="43"/>
      <c r="L1191" s="57"/>
      <c r="M1191" s="56"/>
      <c r="N1191" s="3"/>
      <c r="P1191" s="5"/>
      <c r="Q1191" s="5"/>
      <c r="R1191" s="5"/>
      <c r="T1191" s="56"/>
      <c r="U1191" s="77"/>
      <c r="V1191" s="77"/>
      <c r="AA1191" s="3"/>
      <c r="AF1191" s="5"/>
      <c r="AG1191" s="5"/>
      <c r="AH1191" s="5"/>
      <c r="AI1191" s="5"/>
      <c r="AJ1191" s="5"/>
      <c r="AK1191" s="5"/>
      <c r="AL1191" s="5"/>
      <c r="AM1191" s="13"/>
      <c r="AN1191" s="13"/>
      <c r="AO1191" s="5"/>
      <c r="AP1191" s="5"/>
      <c r="AQ1191" s="5"/>
      <c r="AR1191" s="5"/>
      <c r="AS1191" s="5"/>
      <c r="AT1191" s="5"/>
      <c r="AU1191" s="5"/>
      <c r="AV1191" s="5"/>
      <c r="AW1191" s="5"/>
      <c r="AX1191" s="5"/>
      <c r="AY1191" s="5"/>
      <c r="AZ1191" s="5"/>
      <c r="BA1191" s="5"/>
    </row>
    <row r="1192" spans="3:53" s="41" customFormat="1" x14ac:dyDescent="0.2">
      <c r="C1192" s="71"/>
      <c r="D1192" s="58"/>
      <c r="E1192" s="38"/>
      <c r="F1192" s="58"/>
      <c r="G1192" s="5"/>
      <c r="H1192" s="44"/>
      <c r="I1192" s="5"/>
      <c r="J1192" s="43"/>
      <c r="K1192" s="43"/>
      <c r="L1192" s="57"/>
      <c r="M1192" s="56"/>
      <c r="N1192" s="3"/>
      <c r="P1192" s="5"/>
      <c r="Q1192" s="5"/>
      <c r="R1192" s="5"/>
      <c r="T1192" s="56"/>
      <c r="U1192" s="77"/>
      <c r="V1192" s="77"/>
      <c r="AA1192" s="3"/>
      <c r="AF1192" s="5"/>
      <c r="AG1192" s="5"/>
      <c r="AH1192" s="5"/>
      <c r="AI1192" s="5"/>
      <c r="AJ1192" s="5"/>
      <c r="AK1192" s="5"/>
      <c r="AL1192" s="5"/>
      <c r="AM1192" s="13"/>
      <c r="AN1192" s="13"/>
      <c r="AO1192" s="5"/>
      <c r="AP1192" s="5"/>
      <c r="AQ1192" s="5"/>
      <c r="AR1192" s="5"/>
      <c r="AS1192" s="5"/>
      <c r="AT1192" s="5"/>
      <c r="AU1192" s="5"/>
      <c r="AV1192" s="5"/>
      <c r="AW1192" s="5"/>
      <c r="AX1192" s="5"/>
      <c r="AY1192" s="5"/>
      <c r="AZ1192" s="5"/>
      <c r="BA1192" s="5"/>
    </row>
    <row r="1193" spans="3:53" s="41" customFormat="1" x14ac:dyDescent="0.2">
      <c r="C1193" s="71"/>
      <c r="D1193" s="58"/>
      <c r="E1193" s="38"/>
      <c r="F1193" s="58"/>
      <c r="G1193" s="5"/>
      <c r="H1193" s="44"/>
      <c r="I1193" s="5"/>
      <c r="J1193" s="43"/>
      <c r="K1193" s="43"/>
      <c r="L1193" s="57"/>
      <c r="M1193" s="56"/>
      <c r="N1193" s="3"/>
      <c r="P1193" s="5"/>
      <c r="Q1193" s="5"/>
      <c r="R1193" s="5"/>
      <c r="T1193" s="56"/>
      <c r="U1193" s="77"/>
      <c r="V1193" s="77"/>
      <c r="AA1193" s="3"/>
      <c r="AF1193" s="5"/>
      <c r="AG1193" s="5"/>
      <c r="AH1193" s="5"/>
      <c r="AI1193" s="5"/>
      <c r="AJ1193" s="5"/>
      <c r="AK1193" s="5"/>
      <c r="AL1193" s="5"/>
      <c r="AM1193" s="13"/>
      <c r="AN1193" s="13"/>
      <c r="AO1193" s="5"/>
      <c r="AP1193" s="5"/>
      <c r="AQ1193" s="5"/>
      <c r="AR1193" s="5"/>
      <c r="AS1193" s="5"/>
      <c r="AT1193" s="5"/>
      <c r="AU1193" s="5"/>
      <c r="AV1193" s="5"/>
      <c r="AW1193" s="5"/>
      <c r="AX1193" s="5"/>
      <c r="AY1193" s="5"/>
      <c r="AZ1193" s="5"/>
      <c r="BA1193" s="5"/>
    </row>
    <row r="1194" spans="3:53" s="41" customFormat="1" x14ac:dyDescent="0.2">
      <c r="C1194" s="71"/>
      <c r="D1194" s="58"/>
      <c r="E1194" s="38"/>
      <c r="F1194" s="58"/>
      <c r="G1194" s="5"/>
      <c r="H1194" s="44"/>
      <c r="I1194" s="5"/>
      <c r="J1194" s="43"/>
      <c r="K1194" s="43"/>
      <c r="L1194" s="57"/>
      <c r="M1194" s="56"/>
      <c r="N1194" s="3"/>
      <c r="P1194" s="5"/>
      <c r="Q1194" s="5"/>
      <c r="R1194" s="5"/>
      <c r="T1194" s="56"/>
      <c r="U1194" s="77"/>
      <c r="V1194" s="77"/>
      <c r="AA1194" s="3"/>
      <c r="AF1194" s="5"/>
      <c r="AG1194" s="5"/>
      <c r="AH1194" s="5"/>
      <c r="AI1194" s="5"/>
      <c r="AJ1194" s="5"/>
      <c r="AK1194" s="5"/>
      <c r="AL1194" s="5"/>
      <c r="AM1194" s="13"/>
      <c r="AN1194" s="13"/>
      <c r="AO1194" s="5"/>
      <c r="AP1194" s="5"/>
      <c r="AQ1194" s="5"/>
      <c r="AR1194" s="5"/>
      <c r="AS1194" s="5"/>
      <c r="AT1194" s="5"/>
      <c r="AU1194" s="5"/>
      <c r="AV1194" s="5"/>
      <c r="AW1194" s="5"/>
      <c r="AX1194" s="5"/>
      <c r="AY1194" s="5"/>
      <c r="AZ1194" s="5"/>
      <c r="BA1194" s="5"/>
    </row>
    <row r="1195" spans="3:53" s="41" customFormat="1" x14ac:dyDescent="0.2">
      <c r="C1195" s="71"/>
      <c r="D1195" s="58"/>
      <c r="E1195" s="38"/>
      <c r="F1195" s="58"/>
      <c r="G1195" s="5"/>
      <c r="H1195" s="44"/>
      <c r="I1195" s="5"/>
      <c r="J1195" s="43"/>
      <c r="K1195" s="43"/>
      <c r="L1195" s="57"/>
      <c r="M1195" s="56"/>
      <c r="N1195" s="3"/>
      <c r="P1195" s="5"/>
      <c r="Q1195" s="5"/>
      <c r="R1195" s="5"/>
      <c r="T1195" s="56"/>
      <c r="U1195" s="77"/>
      <c r="V1195" s="77"/>
      <c r="AA1195" s="3"/>
      <c r="AF1195" s="5"/>
      <c r="AG1195" s="5"/>
      <c r="AH1195" s="5"/>
      <c r="AI1195" s="5"/>
      <c r="AJ1195" s="5"/>
      <c r="AK1195" s="5"/>
      <c r="AL1195" s="5"/>
      <c r="AM1195" s="13"/>
      <c r="AN1195" s="13"/>
      <c r="AO1195" s="5"/>
      <c r="AP1195" s="5"/>
      <c r="AQ1195" s="5"/>
      <c r="AR1195" s="5"/>
      <c r="AS1195" s="5"/>
      <c r="AT1195" s="5"/>
      <c r="AU1195" s="5"/>
      <c r="AV1195" s="5"/>
      <c r="AW1195" s="5"/>
      <c r="AX1195" s="5"/>
      <c r="AY1195" s="5"/>
      <c r="AZ1195" s="5"/>
      <c r="BA1195" s="5"/>
    </row>
    <row r="1196" spans="3:53" s="41" customFormat="1" x14ac:dyDescent="0.2">
      <c r="C1196" s="71"/>
      <c r="D1196" s="58"/>
      <c r="E1196" s="38"/>
      <c r="F1196" s="58"/>
      <c r="G1196" s="5"/>
      <c r="H1196" s="44"/>
      <c r="I1196" s="5"/>
      <c r="J1196" s="43"/>
      <c r="K1196" s="43"/>
      <c r="L1196" s="57"/>
      <c r="M1196" s="56"/>
      <c r="N1196" s="3"/>
      <c r="P1196" s="5"/>
      <c r="Q1196" s="5"/>
      <c r="R1196" s="5"/>
      <c r="T1196" s="56"/>
      <c r="U1196" s="77"/>
      <c r="V1196" s="77"/>
      <c r="AA1196" s="3"/>
      <c r="AF1196" s="5"/>
      <c r="AG1196" s="5"/>
      <c r="AH1196" s="5"/>
      <c r="AI1196" s="5"/>
      <c r="AJ1196" s="5"/>
      <c r="AK1196" s="5"/>
      <c r="AL1196" s="5"/>
      <c r="AM1196" s="13"/>
      <c r="AN1196" s="13"/>
      <c r="AO1196" s="5"/>
      <c r="AP1196" s="5"/>
      <c r="AQ1196" s="5"/>
      <c r="AR1196" s="5"/>
      <c r="AS1196" s="5"/>
      <c r="AT1196" s="5"/>
      <c r="AU1196" s="5"/>
      <c r="AV1196" s="5"/>
      <c r="AW1196" s="5"/>
      <c r="AX1196" s="5"/>
      <c r="AY1196" s="5"/>
      <c r="AZ1196" s="5"/>
      <c r="BA1196" s="5"/>
    </row>
    <row r="1197" spans="3:53" s="41" customFormat="1" x14ac:dyDescent="0.2">
      <c r="C1197" s="71"/>
      <c r="D1197" s="58"/>
      <c r="E1197" s="38"/>
      <c r="F1197" s="58"/>
      <c r="G1197" s="5"/>
      <c r="H1197" s="44"/>
      <c r="I1197" s="5"/>
      <c r="J1197" s="43"/>
      <c r="K1197" s="43"/>
      <c r="L1197" s="57"/>
      <c r="M1197" s="56"/>
      <c r="N1197" s="3"/>
      <c r="P1197" s="5"/>
      <c r="Q1197" s="5"/>
      <c r="R1197" s="5"/>
      <c r="T1197" s="56"/>
      <c r="U1197" s="77"/>
      <c r="V1197" s="77"/>
      <c r="AA1197" s="3"/>
      <c r="AF1197" s="5"/>
      <c r="AG1197" s="5"/>
      <c r="AH1197" s="5"/>
      <c r="AI1197" s="5"/>
      <c r="AJ1197" s="5"/>
      <c r="AK1197" s="5"/>
      <c r="AL1197" s="5"/>
      <c r="AM1197" s="13"/>
      <c r="AN1197" s="13"/>
      <c r="AO1197" s="5"/>
      <c r="AP1197" s="5"/>
      <c r="AQ1197" s="5"/>
      <c r="AR1197" s="5"/>
      <c r="AS1197" s="5"/>
      <c r="AT1197" s="5"/>
      <c r="AU1197" s="5"/>
      <c r="AV1197" s="5"/>
      <c r="AW1197" s="5"/>
      <c r="AX1197" s="5"/>
      <c r="AY1197" s="5"/>
      <c r="AZ1197" s="5"/>
      <c r="BA1197" s="5"/>
    </row>
    <row r="1198" spans="3:53" s="41" customFormat="1" x14ac:dyDescent="0.2">
      <c r="C1198" s="71"/>
      <c r="D1198" s="58"/>
      <c r="E1198" s="38"/>
      <c r="F1198" s="58"/>
      <c r="G1198" s="5"/>
      <c r="H1198" s="44"/>
      <c r="I1198" s="5"/>
      <c r="J1198" s="43"/>
      <c r="K1198" s="43"/>
      <c r="L1198" s="57"/>
      <c r="M1198" s="56"/>
      <c r="N1198" s="3"/>
      <c r="P1198" s="5"/>
      <c r="Q1198" s="5"/>
      <c r="R1198" s="5"/>
      <c r="T1198" s="56"/>
      <c r="U1198" s="77"/>
      <c r="V1198" s="77"/>
      <c r="AA1198" s="3"/>
      <c r="AF1198" s="5"/>
      <c r="AG1198" s="5"/>
      <c r="AH1198" s="5"/>
      <c r="AI1198" s="5"/>
      <c r="AJ1198" s="5"/>
      <c r="AK1198" s="5"/>
      <c r="AL1198" s="5"/>
      <c r="AM1198" s="13"/>
      <c r="AN1198" s="13"/>
      <c r="AO1198" s="5"/>
      <c r="AP1198" s="5"/>
      <c r="AQ1198" s="5"/>
      <c r="AR1198" s="5"/>
      <c r="AS1198" s="5"/>
      <c r="AT1198" s="5"/>
      <c r="AU1198" s="5"/>
      <c r="AV1198" s="5"/>
      <c r="AW1198" s="5"/>
      <c r="AX1198" s="5"/>
      <c r="AY1198" s="5"/>
      <c r="AZ1198" s="5"/>
      <c r="BA1198" s="5"/>
    </row>
    <row r="1199" spans="3:53" s="41" customFormat="1" x14ac:dyDescent="0.2">
      <c r="C1199" s="71"/>
      <c r="D1199" s="58"/>
      <c r="E1199" s="38"/>
      <c r="F1199" s="58"/>
      <c r="G1199" s="5"/>
      <c r="H1199" s="44"/>
      <c r="I1199" s="5"/>
      <c r="J1199" s="43"/>
      <c r="K1199" s="43"/>
      <c r="L1199" s="57"/>
      <c r="M1199" s="56"/>
      <c r="N1199" s="3"/>
      <c r="P1199" s="5"/>
      <c r="Q1199" s="5"/>
      <c r="R1199" s="5"/>
      <c r="T1199" s="56"/>
      <c r="U1199" s="77"/>
      <c r="V1199" s="77"/>
      <c r="AA1199" s="3"/>
      <c r="AF1199" s="5"/>
      <c r="AG1199" s="5"/>
      <c r="AH1199" s="5"/>
      <c r="AI1199" s="5"/>
      <c r="AJ1199" s="5"/>
      <c r="AK1199" s="5"/>
      <c r="AL1199" s="5"/>
      <c r="AM1199" s="13"/>
      <c r="AN1199" s="13"/>
      <c r="AO1199" s="5"/>
      <c r="AP1199" s="5"/>
      <c r="AQ1199" s="5"/>
      <c r="AR1199" s="5"/>
      <c r="AS1199" s="5"/>
      <c r="AT1199" s="5"/>
      <c r="AU1199" s="5"/>
      <c r="AV1199" s="5"/>
      <c r="AW1199" s="5"/>
      <c r="AX1199" s="5"/>
      <c r="AY1199" s="5"/>
      <c r="AZ1199" s="5"/>
      <c r="BA1199" s="5"/>
    </row>
    <row r="1200" spans="3:53" s="41" customFormat="1" x14ac:dyDescent="0.2">
      <c r="C1200" s="71"/>
      <c r="D1200" s="58"/>
      <c r="E1200" s="38"/>
      <c r="F1200" s="58"/>
      <c r="G1200" s="5"/>
      <c r="H1200" s="44"/>
      <c r="I1200" s="5"/>
      <c r="J1200" s="43"/>
      <c r="K1200" s="43"/>
      <c r="L1200" s="57"/>
      <c r="M1200" s="56"/>
      <c r="N1200" s="3"/>
      <c r="P1200" s="5"/>
      <c r="Q1200" s="5"/>
      <c r="R1200" s="5"/>
      <c r="T1200" s="56"/>
      <c r="U1200" s="77"/>
      <c r="V1200" s="77"/>
      <c r="AA1200" s="3"/>
      <c r="AF1200" s="5"/>
      <c r="AG1200" s="5"/>
      <c r="AH1200" s="5"/>
      <c r="AI1200" s="5"/>
      <c r="AJ1200" s="5"/>
      <c r="AK1200" s="5"/>
      <c r="AL1200" s="5"/>
      <c r="AM1200" s="13"/>
      <c r="AN1200" s="13"/>
      <c r="AO1200" s="5"/>
      <c r="AP1200" s="5"/>
      <c r="AQ1200" s="5"/>
      <c r="AR1200" s="5"/>
      <c r="AS1200" s="5"/>
      <c r="AT1200" s="5"/>
      <c r="AU1200" s="5"/>
      <c r="AV1200" s="5"/>
      <c r="AW1200" s="5"/>
      <c r="AX1200" s="5"/>
      <c r="AY1200" s="5"/>
      <c r="AZ1200" s="5"/>
      <c r="BA1200" s="5"/>
    </row>
    <row r="1201" spans="3:53" s="41" customFormat="1" x14ac:dyDescent="0.2">
      <c r="C1201" s="71"/>
      <c r="D1201" s="58"/>
      <c r="E1201" s="38"/>
      <c r="F1201" s="58"/>
      <c r="G1201" s="5"/>
      <c r="H1201" s="44"/>
      <c r="I1201" s="5"/>
      <c r="J1201" s="43"/>
      <c r="K1201" s="43"/>
      <c r="L1201" s="57"/>
      <c r="M1201" s="56"/>
      <c r="N1201" s="3"/>
      <c r="P1201" s="5"/>
      <c r="Q1201" s="5"/>
      <c r="R1201" s="5"/>
      <c r="T1201" s="56"/>
      <c r="U1201" s="77"/>
      <c r="V1201" s="77"/>
      <c r="AA1201" s="3"/>
      <c r="AF1201" s="5"/>
      <c r="AG1201" s="5"/>
      <c r="AH1201" s="5"/>
      <c r="AI1201" s="5"/>
      <c r="AJ1201" s="5"/>
      <c r="AK1201" s="5"/>
      <c r="AL1201" s="5"/>
      <c r="AM1201" s="13"/>
      <c r="AN1201" s="13"/>
      <c r="AO1201" s="5"/>
      <c r="AP1201" s="5"/>
      <c r="AQ1201" s="5"/>
      <c r="AR1201" s="5"/>
      <c r="AS1201" s="5"/>
      <c r="AT1201" s="5"/>
      <c r="AU1201" s="5"/>
      <c r="AV1201" s="5"/>
      <c r="AW1201" s="5"/>
      <c r="AX1201" s="5"/>
      <c r="AY1201" s="5"/>
      <c r="AZ1201" s="5"/>
      <c r="BA1201" s="5"/>
    </row>
    <row r="1202" spans="3:53" s="41" customFormat="1" x14ac:dyDescent="0.2">
      <c r="C1202" s="71"/>
      <c r="D1202" s="58"/>
      <c r="E1202" s="38"/>
      <c r="F1202" s="58"/>
      <c r="G1202" s="5"/>
      <c r="H1202" s="44"/>
      <c r="I1202" s="5"/>
      <c r="J1202" s="43"/>
      <c r="K1202" s="43"/>
      <c r="L1202" s="57"/>
      <c r="M1202" s="56"/>
      <c r="N1202" s="3"/>
      <c r="P1202" s="5"/>
      <c r="Q1202" s="5"/>
      <c r="R1202" s="5"/>
      <c r="T1202" s="56"/>
      <c r="U1202" s="77"/>
      <c r="V1202" s="77"/>
      <c r="AA1202" s="3"/>
      <c r="AF1202" s="5"/>
      <c r="AG1202" s="5"/>
      <c r="AH1202" s="5"/>
      <c r="AI1202" s="5"/>
      <c r="AJ1202" s="5"/>
      <c r="AK1202" s="5"/>
      <c r="AL1202" s="5"/>
      <c r="AM1202" s="13"/>
      <c r="AN1202" s="13"/>
      <c r="AO1202" s="5"/>
      <c r="AP1202" s="5"/>
      <c r="AQ1202" s="5"/>
      <c r="AR1202" s="5"/>
      <c r="AS1202" s="5"/>
      <c r="AT1202" s="5"/>
      <c r="AU1202" s="5"/>
      <c r="AV1202" s="5"/>
      <c r="AW1202" s="5"/>
      <c r="AX1202" s="5"/>
      <c r="AY1202" s="5"/>
      <c r="AZ1202" s="5"/>
      <c r="BA1202" s="5"/>
    </row>
    <row r="1203" spans="3:53" s="41" customFormat="1" x14ac:dyDescent="0.2">
      <c r="C1203" s="71"/>
      <c r="D1203" s="58"/>
      <c r="E1203" s="38"/>
      <c r="F1203" s="58"/>
      <c r="G1203" s="5"/>
      <c r="H1203" s="44"/>
      <c r="I1203" s="5"/>
      <c r="J1203" s="43"/>
      <c r="K1203" s="43"/>
      <c r="L1203" s="57"/>
      <c r="M1203" s="56"/>
      <c r="N1203" s="3"/>
      <c r="P1203" s="5"/>
      <c r="Q1203" s="5"/>
      <c r="R1203" s="5"/>
      <c r="T1203" s="56"/>
      <c r="U1203" s="77"/>
      <c r="V1203" s="77"/>
      <c r="AA1203" s="3"/>
      <c r="AF1203" s="5"/>
      <c r="AG1203" s="5"/>
      <c r="AH1203" s="5"/>
      <c r="AI1203" s="5"/>
      <c r="AJ1203" s="5"/>
      <c r="AK1203" s="5"/>
      <c r="AL1203" s="5"/>
      <c r="AM1203" s="13"/>
      <c r="AN1203" s="13"/>
      <c r="AO1203" s="5"/>
      <c r="AP1203" s="5"/>
      <c r="AQ1203" s="5"/>
      <c r="AR1203" s="5"/>
      <c r="AS1203" s="5"/>
      <c r="AT1203" s="5"/>
      <c r="AU1203" s="5"/>
      <c r="AV1203" s="5"/>
      <c r="AW1203" s="5"/>
      <c r="AX1203" s="5"/>
      <c r="AY1203" s="5"/>
      <c r="AZ1203" s="5"/>
      <c r="BA1203" s="5"/>
    </row>
    <row r="1204" spans="3:53" s="41" customFormat="1" x14ac:dyDescent="0.2">
      <c r="C1204" s="71"/>
      <c r="D1204" s="58"/>
      <c r="E1204" s="38"/>
      <c r="F1204" s="58"/>
      <c r="G1204" s="5"/>
      <c r="H1204" s="44"/>
      <c r="I1204" s="5"/>
      <c r="J1204" s="43"/>
      <c r="K1204" s="43"/>
      <c r="L1204" s="57"/>
      <c r="M1204" s="56"/>
      <c r="N1204" s="3"/>
      <c r="P1204" s="5"/>
      <c r="Q1204" s="5"/>
      <c r="R1204" s="5"/>
      <c r="T1204" s="56"/>
      <c r="U1204" s="77"/>
      <c r="V1204" s="77"/>
      <c r="AA1204" s="3"/>
      <c r="AF1204" s="5"/>
      <c r="AG1204" s="5"/>
      <c r="AH1204" s="5"/>
      <c r="AI1204" s="5"/>
      <c r="AJ1204" s="5"/>
      <c r="AK1204" s="5"/>
      <c r="AL1204" s="5"/>
      <c r="AM1204" s="13"/>
      <c r="AN1204" s="13"/>
      <c r="AO1204" s="5"/>
      <c r="AP1204" s="5"/>
      <c r="AQ1204" s="5"/>
      <c r="AR1204" s="5"/>
      <c r="AS1204" s="5"/>
      <c r="AT1204" s="5"/>
      <c r="AU1204" s="5"/>
      <c r="AV1204" s="5"/>
      <c r="AW1204" s="5"/>
      <c r="AX1204" s="5"/>
      <c r="AY1204" s="5"/>
      <c r="AZ1204" s="5"/>
      <c r="BA1204" s="5"/>
    </row>
    <row r="1205" spans="3:53" s="41" customFormat="1" x14ac:dyDescent="0.2">
      <c r="C1205" s="71"/>
      <c r="D1205" s="58"/>
      <c r="E1205" s="38"/>
      <c r="F1205" s="58"/>
      <c r="G1205" s="5"/>
      <c r="H1205" s="44"/>
      <c r="I1205" s="5"/>
      <c r="J1205" s="43"/>
      <c r="K1205" s="43"/>
      <c r="L1205" s="57"/>
      <c r="M1205" s="56"/>
      <c r="N1205" s="3"/>
      <c r="P1205" s="5"/>
      <c r="Q1205" s="5"/>
      <c r="R1205" s="5"/>
      <c r="T1205" s="56"/>
      <c r="U1205" s="77"/>
      <c r="V1205" s="77"/>
      <c r="AA1205" s="3"/>
      <c r="AF1205" s="5"/>
      <c r="AG1205" s="5"/>
      <c r="AH1205" s="5"/>
      <c r="AI1205" s="5"/>
      <c r="AJ1205" s="5"/>
      <c r="AK1205" s="5"/>
      <c r="AL1205" s="5"/>
      <c r="AM1205" s="13"/>
      <c r="AN1205" s="13"/>
      <c r="AO1205" s="5"/>
      <c r="AP1205" s="5"/>
      <c r="AQ1205" s="5"/>
      <c r="AR1205" s="5"/>
      <c r="AS1205" s="5"/>
      <c r="AT1205" s="5"/>
      <c r="AU1205" s="5"/>
      <c r="AV1205" s="5"/>
      <c r="AW1205" s="5"/>
      <c r="AX1205" s="5"/>
      <c r="AY1205" s="5"/>
      <c r="AZ1205" s="5"/>
      <c r="BA1205" s="5"/>
    </row>
    <row r="1206" spans="3:53" s="41" customFormat="1" x14ac:dyDescent="0.2">
      <c r="C1206" s="71"/>
      <c r="D1206" s="58"/>
      <c r="E1206" s="38"/>
      <c r="F1206" s="58"/>
      <c r="G1206" s="5"/>
      <c r="H1206" s="44"/>
      <c r="I1206" s="5"/>
      <c r="J1206" s="43"/>
      <c r="K1206" s="43"/>
      <c r="L1206" s="57"/>
      <c r="M1206" s="56"/>
      <c r="N1206" s="3"/>
      <c r="P1206" s="5"/>
      <c r="Q1206" s="5"/>
      <c r="R1206" s="5"/>
      <c r="T1206" s="56"/>
      <c r="U1206" s="77"/>
      <c r="V1206" s="77"/>
      <c r="AA1206" s="3"/>
      <c r="AF1206" s="5"/>
      <c r="AG1206" s="5"/>
      <c r="AH1206" s="5"/>
      <c r="AI1206" s="5"/>
      <c r="AJ1206" s="5"/>
      <c r="AK1206" s="5"/>
      <c r="AL1206" s="5"/>
      <c r="AM1206" s="13"/>
      <c r="AN1206" s="13"/>
      <c r="AO1206" s="5"/>
      <c r="AP1206" s="5"/>
      <c r="AQ1206" s="5"/>
      <c r="AR1206" s="5"/>
      <c r="AS1206" s="5"/>
      <c r="AT1206" s="5"/>
      <c r="AU1206" s="5"/>
      <c r="AV1206" s="5"/>
      <c r="AW1206" s="5"/>
      <c r="AX1206" s="5"/>
      <c r="AY1206" s="5"/>
      <c r="AZ1206" s="5"/>
      <c r="BA1206" s="5"/>
    </row>
    <row r="1207" spans="3:53" s="41" customFormat="1" x14ac:dyDescent="0.2">
      <c r="C1207" s="71"/>
      <c r="D1207" s="58"/>
      <c r="E1207" s="38"/>
      <c r="F1207" s="58"/>
      <c r="G1207" s="5"/>
      <c r="H1207" s="44"/>
      <c r="I1207" s="5"/>
      <c r="J1207" s="43"/>
      <c r="K1207" s="43"/>
      <c r="L1207" s="57"/>
      <c r="M1207" s="56"/>
      <c r="N1207" s="3"/>
      <c r="P1207" s="5"/>
      <c r="Q1207" s="5"/>
      <c r="R1207" s="5"/>
      <c r="T1207" s="56"/>
      <c r="U1207" s="77"/>
      <c r="V1207" s="77"/>
      <c r="AA1207" s="3"/>
      <c r="AF1207" s="5"/>
      <c r="AG1207" s="5"/>
      <c r="AH1207" s="5"/>
      <c r="AI1207" s="5"/>
      <c r="AJ1207" s="5"/>
      <c r="AK1207" s="5"/>
      <c r="AL1207" s="5"/>
      <c r="AM1207" s="13"/>
      <c r="AN1207" s="13"/>
      <c r="AO1207" s="5"/>
      <c r="AP1207" s="5"/>
      <c r="AQ1207" s="5"/>
      <c r="AR1207" s="5"/>
      <c r="AS1207" s="5"/>
      <c r="AT1207" s="5"/>
      <c r="AU1207" s="5"/>
      <c r="AV1207" s="5"/>
      <c r="AW1207" s="5"/>
      <c r="AX1207" s="5"/>
      <c r="AY1207" s="5"/>
      <c r="AZ1207" s="5"/>
      <c r="BA1207" s="5"/>
    </row>
    <row r="1208" spans="3:53" s="41" customFormat="1" x14ac:dyDescent="0.2">
      <c r="C1208" s="71"/>
      <c r="D1208" s="58"/>
      <c r="E1208" s="38"/>
      <c r="F1208" s="58"/>
      <c r="G1208" s="5"/>
      <c r="H1208" s="44"/>
      <c r="I1208" s="5"/>
      <c r="J1208" s="43"/>
      <c r="K1208" s="43"/>
      <c r="L1208" s="57"/>
      <c r="M1208" s="56"/>
      <c r="N1208" s="3"/>
      <c r="P1208" s="5"/>
      <c r="Q1208" s="5"/>
      <c r="R1208" s="5"/>
      <c r="T1208" s="56"/>
      <c r="U1208" s="77"/>
      <c r="V1208" s="77"/>
      <c r="AA1208" s="3"/>
      <c r="AF1208" s="5"/>
      <c r="AG1208" s="5"/>
      <c r="AH1208" s="5"/>
      <c r="AI1208" s="5"/>
      <c r="AJ1208" s="5"/>
      <c r="AK1208" s="5"/>
      <c r="AL1208" s="5"/>
      <c r="AM1208" s="13"/>
      <c r="AN1208" s="13"/>
      <c r="AO1208" s="5"/>
      <c r="AP1208" s="5"/>
      <c r="AQ1208" s="5"/>
      <c r="AR1208" s="5"/>
      <c r="AS1208" s="5"/>
      <c r="AT1208" s="5"/>
      <c r="AU1208" s="5"/>
      <c r="AV1208" s="5"/>
      <c r="AW1208" s="5"/>
      <c r="AX1208" s="5"/>
      <c r="AY1208" s="5"/>
      <c r="AZ1208" s="5"/>
      <c r="BA1208" s="5"/>
    </row>
    <row r="1209" spans="3:53" s="41" customFormat="1" x14ac:dyDescent="0.2">
      <c r="C1209" s="71"/>
      <c r="D1209" s="58"/>
      <c r="E1209" s="38"/>
      <c r="F1209" s="58"/>
      <c r="G1209" s="5"/>
      <c r="H1209" s="44"/>
      <c r="I1209" s="5"/>
      <c r="J1209" s="43"/>
      <c r="K1209" s="43"/>
      <c r="L1209" s="57"/>
      <c r="M1209" s="56"/>
      <c r="N1209" s="3"/>
      <c r="P1209" s="5"/>
      <c r="Q1209" s="5"/>
      <c r="R1209" s="5"/>
      <c r="T1209" s="56"/>
      <c r="U1209" s="77"/>
      <c r="V1209" s="77"/>
      <c r="AA1209" s="3"/>
      <c r="AF1209" s="5"/>
      <c r="AG1209" s="5"/>
      <c r="AH1209" s="5"/>
      <c r="AI1209" s="5"/>
      <c r="AJ1209" s="5"/>
      <c r="AK1209" s="5"/>
      <c r="AL1209" s="5"/>
      <c r="AM1209" s="13"/>
      <c r="AN1209" s="13"/>
      <c r="AO1209" s="5"/>
      <c r="AP1209" s="5"/>
      <c r="AQ1209" s="5"/>
      <c r="AR1209" s="5"/>
      <c r="AS1209" s="5"/>
      <c r="AT1209" s="5"/>
      <c r="AU1209" s="5"/>
      <c r="AV1209" s="5"/>
      <c r="AW1209" s="5"/>
      <c r="AX1209" s="5"/>
      <c r="AY1209" s="5"/>
      <c r="AZ1209" s="5"/>
      <c r="BA1209" s="5"/>
    </row>
    <row r="1210" spans="3:53" s="41" customFormat="1" x14ac:dyDescent="0.2">
      <c r="C1210" s="71"/>
      <c r="D1210" s="58"/>
      <c r="E1210" s="38"/>
      <c r="F1210" s="58"/>
      <c r="G1210" s="5"/>
      <c r="H1210" s="44"/>
      <c r="I1210" s="5"/>
      <c r="J1210" s="43"/>
      <c r="K1210" s="43"/>
      <c r="L1210" s="57"/>
      <c r="M1210" s="56"/>
      <c r="N1210" s="3"/>
      <c r="P1210" s="5"/>
      <c r="Q1210" s="5"/>
      <c r="R1210" s="5"/>
      <c r="T1210" s="56"/>
      <c r="U1210" s="77"/>
      <c r="V1210" s="77"/>
      <c r="AA1210" s="3"/>
      <c r="AF1210" s="5"/>
      <c r="AG1210" s="5"/>
      <c r="AH1210" s="5"/>
      <c r="AI1210" s="5"/>
      <c r="AJ1210" s="5"/>
      <c r="AK1210" s="5"/>
      <c r="AL1210" s="5"/>
      <c r="AM1210" s="13"/>
      <c r="AN1210" s="13"/>
      <c r="AO1210" s="5"/>
      <c r="AP1210" s="5"/>
      <c r="AQ1210" s="5"/>
      <c r="AR1210" s="5"/>
      <c r="AS1210" s="5"/>
      <c r="AT1210" s="5"/>
      <c r="AU1210" s="5"/>
      <c r="AV1210" s="5"/>
      <c r="AW1210" s="5"/>
      <c r="AX1210" s="5"/>
      <c r="AY1210" s="5"/>
      <c r="AZ1210" s="5"/>
      <c r="BA1210" s="5"/>
    </row>
    <row r="1211" spans="3:53" s="41" customFormat="1" x14ac:dyDescent="0.2">
      <c r="C1211" s="71"/>
      <c r="D1211" s="58"/>
      <c r="E1211" s="38"/>
      <c r="F1211" s="58"/>
      <c r="G1211" s="5"/>
      <c r="H1211" s="44"/>
      <c r="I1211" s="5"/>
      <c r="J1211" s="43"/>
      <c r="K1211" s="43"/>
      <c r="L1211" s="57"/>
      <c r="M1211" s="56"/>
      <c r="N1211" s="3"/>
      <c r="P1211" s="5"/>
      <c r="Q1211" s="5"/>
      <c r="R1211" s="5"/>
      <c r="T1211" s="56"/>
      <c r="U1211" s="77"/>
      <c r="V1211" s="77"/>
      <c r="AA1211" s="3"/>
      <c r="AF1211" s="5"/>
      <c r="AG1211" s="5"/>
      <c r="AH1211" s="5"/>
      <c r="AI1211" s="5"/>
      <c r="AJ1211" s="5"/>
      <c r="AK1211" s="5"/>
      <c r="AL1211" s="5"/>
      <c r="AM1211" s="13"/>
      <c r="AN1211" s="13"/>
      <c r="AO1211" s="5"/>
      <c r="AP1211" s="5"/>
      <c r="AQ1211" s="5"/>
      <c r="AR1211" s="5"/>
      <c r="AS1211" s="5"/>
      <c r="AT1211" s="5"/>
      <c r="AU1211" s="5"/>
      <c r="AV1211" s="5"/>
      <c r="AW1211" s="5"/>
      <c r="AX1211" s="5"/>
      <c r="AY1211" s="5"/>
      <c r="AZ1211" s="5"/>
      <c r="BA1211" s="5"/>
    </row>
    <row r="1212" spans="3:53" s="41" customFormat="1" x14ac:dyDescent="0.2">
      <c r="C1212" s="71"/>
      <c r="D1212" s="58"/>
      <c r="E1212" s="38"/>
      <c r="F1212" s="58"/>
      <c r="G1212" s="5"/>
      <c r="H1212" s="44"/>
      <c r="I1212" s="5"/>
      <c r="J1212" s="43"/>
      <c r="K1212" s="43"/>
      <c r="L1212" s="57"/>
      <c r="M1212" s="56"/>
      <c r="N1212" s="3"/>
      <c r="P1212" s="5"/>
      <c r="Q1212" s="5"/>
      <c r="R1212" s="5"/>
      <c r="T1212" s="56"/>
      <c r="U1212" s="77"/>
      <c r="V1212" s="77"/>
      <c r="AA1212" s="3"/>
      <c r="AF1212" s="5"/>
      <c r="AG1212" s="5"/>
      <c r="AH1212" s="5"/>
      <c r="AI1212" s="5"/>
      <c r="AJ1212" s="5"/>
      <c r="AK1212" s="5"/>
      <c r="AL1212" s="5"/>
      <c r="AM1212" s="13"/>
      <c r="AN1212" s="13"/>
      <c r="AO1212" s="5"/>
      <c r="AP1212" s="5"/>
      <c r="AQ1212" s="5"/>
      <c r="AR1212" s="5"/>
      <c r="AS1212" s="5"/>
      <c r="AT1212" s="5"/>
      <c r="AU1212" s="5"/>
      <c r="AV1212" s="5"/>
      <c r="AW1212" s="5"/>
      <c r="AX1212" s="5"/>
      <c r="AY1212" s="5"/>
      <c r="AZ1212" s="5"/>
      <c r="BA1212" s="5"/>
    </row>
    <row r="1213" spans="3:53" s="41" customFormat="1" x14ac:dyDescent="0.2">
      <c r="C1213" s="71"/>
      <c r="D1213" s="58"/>
      <c r="E1213" s="38"/>
      <c r="F1213" s="58"/>
      <c r="G1213" s="5"/>
      <c r="H1213" s="44"/>
      <c r="I1213" s="5"/>
      <c r="J1213" s="43"/>
      <c r="K1213" s="43"/>
      <c r="L1213" s="57"/>
      <c r="M1213" s="56"/>
      <c r="N1213" s="3"/>
      <c r="P1213" s="5"/>
      <c r="Q1213" s="5"/>
      <c r="R1213" s="5"/>
      <c r="T1213" s="56"/>
      <c r="U1213" s="77"/>
      <c r="V1213" s="77"/>
      <c r="AA1213" s="3"/>
      <c r="AF1213" s="5"/>
      <c r="AG1213" s="5"/>
      <c r="AH1213" s="5"/>
      <c r="AI1213" s="5"/>
      <c r="AJ1213" s="5"/>
      <c r="AK1213" s="5"/>
      <c r="AL1213" s="5"/>
      <c r="AM1213" s="13"/>
      <c r="AN1213" s="13"/>
      <c r="AO1213" s="5"/>
      <c r="AP1213" s="5"/>
      <c r="AQ1213" s="5"/>
      <c r="AR1213" s="5"/>
      <c r="AS1213" s="5"/>
      <c r="AT1213" s="5"/>
      <c r="AU1213" s="5"/>
      <c r="AV1213" s="5"/>
      <c r="AW1213" s="5"/>
      <c r="AX1213" s="5"/>
      <c r="AY1213" s="5"/>
      <c r="AZ1213" s="5"/>
      <c r="BA1213" s="5"/>
    </row>
    <row r="1214" spans="3:53" s="41" customFormat="1" x14ac:dyDescent="0.2">
      <c r="C1214" s="71"/>
      <c r="D1214" s="58"/>
      <c r="E1214" s="38"/>
      <c r="F1214" s="58"/>
      <c r="G1214" s="5"/>
      <c r="H1214" s="44"/>
      <c r="I1214" s="5"/>
      <c r="J1214" s="43"/>
      <c r="K1214" s="43"/>
      <c r="L1214" s="57"/>
      <c r="M1214" s="56"/>
      <c r="N1214" s="3"/>
      <c r="P1214" s="5"/>
      <c r="Q1214" s="5"/>
      <c r="R1214" s="5"/>
      <c r="T1214" s="56"/>
      <c r="U1214" s="77"/>
      <c r="V1214" s="77"/>
      <c r="AA1214" s="3"/>
      <c r="AF1214" s="5"/>
      <c r="AG1214" s="5"/>
      <c r="AH1214" s="5"/>
      <c r="AI1214" s="5"/>
      <c r="AJ1214" s="5"/>
      <c r="AK1214" s="5"/>
      <c r="AL1214" s="5"/>
      <c r="AM1214" s="13"/>
      <c r="AN1214" s="13"/>
      <c r="AO1214" s="5"/>
      <c r="AP1214" s="5"/>
      <c r="AQ1214" s="5"/>
      <c r="AR1214" s="5"/>
      <c r="AS1214" s="5"/>
      <c r="AT1214" s="5"/>
      <c r="AU1214" s="5"/>
      <c r="AV1214" s="5"/>
      <c r="AW1214" s="5"/>
      <c r="AX1214" s="5"/>
      <c r="AY1214" s="5"/>
      <c r="AZ1214" s="5"/>
      <c r="BA1214" s="5"/>
    </row>
    <row r="1215" spans="3:53" s="41" customFormat="1" x14ac:dyDescent="0.2">
      <c r="C1215" s="71"/>
      <c r="D1215" s="58"/>
      <c r="E1215" s="38"/>
      <c r="F1215" s="58"/>
      <c r="G1215" s="5"/>
      <c r="H1215" s="44"/>
      <c r="I1215" s="5"/>
      <c r="J1215" s="43"/>
      <c r="K1215" s="43"/>
      <c r="L1215" s="57"/>
      <c r="M1215" s="56"/>
      <c r="N1215" s="3"/>
      <c r="P1215" s="5"/>
      <c r="Q1215" s="5"/>
      <c r="R1215" s="5"/>
      <c r="T1215" s="56"/>
      <c r="U1215" s="77"/>
      <c r="V1215" s="77"/>
      <c r="AA1215" s="3"/>
      <c r="AF1215" s="5"/>
      <c r="AG1215" s="5"/>
      <c r="AH1215" s="5"/>
      <c r="AI1215" s="5"/>
      <c r="AJ1215" s="5"/>
      <c r="AK1215" s="5"/>
      <c r="AL1215" s="5"/>
      <c r="AM1215" s="13"/>
      <c r="AN1215" s="13"/>
      <c r="AO1215" s="5"/>
      <c r="AP1215" s="5"/>
      <c r="AQ1215" s="5"/>
      <c r="AR1215" s="5"/>
      <c r="AS1215" s="5"/>
      <c r="AT1215" s="5"/>
      <c r="AU1215" s="5"/>
      <c r="AV1215" s="5"/>
      <c r="AW1215" s="5"/>
      <c r="AX1215" s="5"/>
      <c r="AY1215" s="5"/>
      <c r="AZ1215" s="5"/>
      <c r="BA1215" s="5"/>
    </row>
    <row r="1216" spans="3:53" s="41" customFormat="1" x14ac:dyDescent="0.2">
      <c r="C1216" s="71"/>
      <c r="D1216" s="58"/>
      <c r="E1216" s="38"/>
      <c r="F1216" s="58"/>
      <c r="G1216" s="5"/>
      <c r="H1216" s="44"/>
      <c r="I1216" s="5"/>
      <c r="J1216" s="43"/>
      <c r="K1216" s="43"/>
      <c r="L1216" s="57"/>
      <c r="M1216" s="56"/>
      <c r="N1216" s="3"/>
      <c r="P1216" s="5"/>
      <c r="Q1216" s="5"/>
      <c r="R1216" s="5"/>
      <c r="T1216" s="56"/>
      <c r="U1216" s="77"/>
      <c r="V1216" s="77"/>
      <c r="AA1216" s="3"/>
      <c r="AF1216" s="5"/>
      <c r="AG1216" s="5"/>
      <c r="AH1216" s="5"/>
      <c r="AI1216" s="5"/>
      <c r="AJ1216" s="5"/>
      <c r="AK1216" s="5"/>
      <c r="AL1216" s="5"/>
      <c r="AM1216" s="13"/>
      <c r="AN1216" s="13"/>
      <c r="AO1216" s="5"/>
      <c r="AP1216" s="5"/>
      <c r="AQ1216" s="5"/>
      <c r="AR1216" s="5"/>
      <c r="AS1216" s="5"/>
      <c r="AT1216" s="5"/>
      <c r="AU1216" s="5"/>
      <c r="AV1216" s="5"/>
      <c r="AW1216" s="5"/>
      <c r="AX1216" s="5"/>
      <c r="AY1216" s="5"/>
      <c r="AZ1216" s="5"/>
      <c r="BA1216" s="5"/>
    </row>
    <row r="1217" spans="3:53" s="41" customFormat="1" x14ac:dyDescent="0.2">
      <c r="C1217" s="71"/>
      <c r="D1217" s="58"/>
      <c r="E1217" s="38"/>
      <c r="F1217" s="58"/>
      <c r="G1217" s="5"/>
      <c r="H1217" s="44"/>
      <c r="I1217" s="5"/>
      <c r="J1217" s="43"/>
      <c r="K1217" s="43"/>
      <c r="L1217" s="57"/>
      <c r="M1217" s="56"/>
      <c r="N1217" s="3"/>
      <c r="P1217" s="5"/>
      <c r="Q1217" s="5"/>
      <c r="R1217" s="5"/>
      <c r="T1217" s="56"/>
      <c r="U1217" s="77"/>
      <c r="V1217" s="77"/>
      <c r="AA1217" s="3"/>
      <c r="AF1217" s="5"/>
      <c r="AG1217" s="5"/>
      <c r="AH1217" s="5"/>
      <c r="AI1217" s="5"/>
      <c r="AJ1217" s="5"/>
      <c r="AK1217" s="5"/>
      <c r="AL1217" s="5"/>
      <c r="AM1217" s="13"/>
      <c r="AN1217" s="13"/>
      <c r="AO1217" s="5"/>
      <c r="AP1217" s="5"/>
      <c r="AQ1217" s="5"/>
      <c r="AR1217" s="5"/>
      <c r="AS1217" s="5"/>
      <c r="AT1217" s="5"/>
      <c r="AU1217" s="5"/>
      <c r="AV1217" s="5"/>
      <c r="AW1217" s="5"/>
      <c r="AX1217" s="5"/>
      <c r="AY1217" s="5"/>
      <c r="AZ1217" s="5"/>
      <c r="BA1217" s="5"/>
    </row>
    <row r="1218" spans="3:53" s="41" customFormat="1" x14ac:dyDescent="0.2">
      <c r="C1218" s="71"/>
      <c r="D1218" s="58"/>
      <c r="E1218" s="38"/>
      <c r="F1218" s="58"/>
      <c r="G1218" s="5"/>
      <c r="H1218" s="44"/>
      <c r="I1218" s="5"/>
      <c r="J1218" s="43"/>
      <c r="K1218" s="43"/>
      <c r="L1218" s="57"/>
      <c r="M1218" s="56"/>
      <c r="N1218" s="3"/>
      <c r="P1218" s="5"/>
      <c r="Q1218" s="5"/>
      <c r="R1218" s="5"/>
      <c r="T1218" s="56"/>
      <c r="U1218" s="77"/>
      <c r="V1218" s="77"/>
      <c r="AA1218" s="3"/>
      <c r="AF1218" s="5"/>
      <c r="AG1218" s="5"/>
      <c r="AH1218" s="5"/>
      <c r="AI1218" s="5"/>
      <c r="AJ1218" s="5"/>
      <c r="AK1218" s="5"/>
      <c r="AL1218" s="5"/>
      <c r="AM1218" s="13"/>
      <c r="AN1218" s="13"/>
      <c r="AO1218" s="5"/>
      <c r="AP1218" s="5"/>
      <c r="AQ1218" s="5"/>
      <c r="AR1218" s="5"/>
      <c r="AS1218" s="5"/>
      <c r="AT1218" s="5"/>
      <c r="AU1218" s="5"/>
      <c r="AV1218" s="5"/>
      <c r="AW1218" s="5"/>
      <c r="AX1218" s="5"/>
      <c r="AY1218" s="5"/>
      <c r="AZ1218" s="5"/>
      <c r="BA1218" s="5"/>
    </row>
    <row r="1219" spans="3:53" s="41" customFormat="1" x14ac:dyDescent="0.2">
      <c r="C1219" s="71"/>
      <c r="D1219" s="58"/>
      <c r="E1219" s="38"/>
      <c r="F1219" s="58"/>
      <c r="G1219" s="5"/>
      <c r="H1219" s="44"/>
      <c r="I1219" s="5"/>
      <c r="J1219" s="43"/>
      <c r="K1219" s="43"/>
      <c r="L1219" s="57"/>
      <c r="M1219" s="56"/>
      <c r="N1219" s="3"/>
      <c r="P1219" s="5"/>
      <c r="Q1219" s="5"/>
      <c r="R1219" s="5"/>
      <c r="T1219" s="56"/>
      <c r="U1219" s="77"/>
      <c r="V1219" s="77"/>
      <c r="AA1219" s="3"/>
      <c r="AF1219" s="5"/>
      <c r="AG1219" s="5"/>
      <c r="AH1219" s="5"/>
      <c r="AI1219" s="5"/>
      <c r="AJ1219" s="5"/>
      <c r="AK1219" s="5"/>
      <c r="AL1219" s="5"/>
      <c r="AM1219" s="13"/>
      <c r="AN1219" s="13"/>
      <c r="AO1219" s="5"/>
      <c r="AP1219" s="5"/>
      <c r="AQ1219" s="5"/>
      <c r="AR1219" s="5"/>
      <c r="AS1219" s="5"/>
      <c r="AT1219" s="5"/>
      <c r="AU1219" s="5"/>
      <c r="AV1219" s="5"/>
      <c r="AW1219" s="5"/>
      <c r="AX1219" s="5"/>
      <c r="AY1219" s="5"/>
      <c r="AZ1219" s="5"/>
      <c r="BA1219" s="5"/>
    </row>
    <row r="1220" spans="3:53" s="41" customFormat="1" x14ac:dyDescent="0.2">
      <c r="C1220" s="71"/>
      <c r="D1220" s="58"/>
      <c r="E1220" s="38"/>
      <c r="F1220" s="58"/>
      <c r="G1220" s="5"/>
      <c r="H1220" s="44"/>
      <c r="I1220" s="5"/>
      <c r="J1220" s="43"/>
      <c r="K1220" s="43"/>
      <c r="L1220" s="57"/>
      <c r="M1220" s="56"/>
      <c r="N1220" s="3"/>
      <c r="P1220" s="5"/>
      <c r="Q1220" s="5"/>
      <c r="R1220" s="5"/>
      <c r="T1220" s="56"/>
      <c r="U1220" s="77"/>
      <c r="V1220" s="77"/>
      <c r="AA1220" s="3"/>
      <c r="AF1220" s="5"/>
      <c r="AG1220" s="5"/>
      <c r="AH1220" s="5"/>
      <c r="AI1220" s="5"/>
      <c r="AJ1220" s="5"/>
      <c r="AK1220" s="5"/>
      <c r="AL1220" s="5"/>
      <c r="AM1220" s="13"/>
      <c r="AN1220" s="13"/>
      <c r="AO1220" s="5"/>
      <c r="AP1220" s="5"/>
      <c r="AQ1220" s="5"/>
      <c r="AR1220" s="5"/>
      <c r="AS1220" s="5"/>
      <c r="AT1220" s="5"/>
      <c r="AU1220" s="5"/>
      <c r="AV1220" s="5"/>
      <c r="AW1220" s="5"/>
      <c r="AX1220" s="5"/>
      <c r="AY1220" s="5"/>
      <c r="AZ1220" s="5"/>
      <c r="BA1220" s="5"/>
    </row>
    <row r="1221" spans="3:53" s="41" customFormat="1" x14ac:dyDescent="0.2">
      <c r="C1221" s="71"/>
      <c r="D1221" s="58"/>
      <c r="E1221" s="38"/>
      <c r="F1221" s="58"/>
      <c r="G1221" s="5"/>
      <c r="H1221" s="44"/>
      <c r="I1221" s="5"/>
      <c r="J1221" s="43"/>
      <c r="K1221" s="43"/>
      <c r="L1221" s="57"/>
      <c r="M1221" s="56"/>
      <c r="N1221" s="3"/>
      <c r="P1221" s="5"/>
      <c r="Q1221" s="5"/>
      <c r="R1221" s="5"/>
      <c r="T1221" s="56"/>
      <c r="U1221" s="77"/>
      <c r="V1221" s="77"/>
      <c r="AA1221" s="3"/>
      <c r="AF1221" s="5"/>
      <c r="AG1221" s="5"/>
      <c r="AH1221" s="5"/>
      <c r="AI1221" s="5"/>
      <c r="AJ1221" s="5"/>
      <c r="AK1221" s="5"/>
      <c r="AL1221" s="5"/>
      <c r="AM1221" s="13"/>
      <c r="AN1221" s="13"/>
      <c r="AO1221" s="5"/>
      <c r="AP1221" s="5"/>
      <c r="AQ1221" s="5"/>
      <c r="AR1221" s="5"/>
      <c r="AS1221" s="5"/>
      <c r="AT1221" s="5"/>
      <c r="AU1221" s="5"/>
      <c r="AV1221" s="5"/>
      <c r="AW1221" s="5"/>
      <c r="AX1221" s="5"/>
      <c r="AY1221" s="5"/>
      <c r="AZ1221" s="5"/>
      <c r="BA1221" s="5"/>
    </row>
    <row r="1222" spans="3:53" s="41" customFormat="1" x14ac:dyDescent="0.2">
      <c r="C1222" s="71"/>
      <c r="D1222" s="58"/>
      <c r="E1222" s="38"/>
      <c r="F1222" s="58"/>
      <c r="G1222" s="5"/>
      <c r="H1222" s="44"/>
      <c r="I1222" s="5"/>
      <c r="J1222" s="43"/>
      <c r="K1222" s="43"/>
      <c r="L1222" s="57"/>
      <c r="M1222" s="56"/>
      <c r="N1222" s="3"/>
      <c r="P1222" s="5"/>
      <c r="Q1222" s="5"/>
      <c r="R1222" s="5"/>
      <c r="T1222" s="56"/>
      <c r="U1222" s="77"/>
      <c r="V1222" s="77"/>
      <c r="AA1222" s="3"/>
      <c r="AF1222" s="5"/>
      <c r="AG1222" s="5"/>
      <c r="AH1222" s="5"/>
      <c r="AI1222" s="5"/>
      <c r="AJ1222" s="5"/>
      <c r="AK1222" s="5"/>
      <c r="AL1222" s="5"/>
      <c r="AM1222" s="13"/>
      <c r="AN1222" s="13"/>
      <c r="AO1222" s="5"/>
      <c r="AP1222" s="5"/>
      <c r="AQ1222" s="5"/>
      <c r="AR1222" s="5"/>
      <c r="AS1222" s="5"/>
      <c r="AT1222" s="5"/>
      <c r="AU1222" s="5"/>
      <c r="AV1222" s="5"/>
      <c r="AW1222" s="5"/>
      <c r="AX1222" s="5"/>
      <c r="AY1222" s="5"/>
      <c r="AZ1222" s="5"/>
      <c r="BA1222" s="5"/>
    </row>
    <row r="1223" spans="3:53" s="41" customFormat="1" x14ac:dyDescent="0.2">
      <c r="C1223" s="71"/>
      <c r="D1223" s="58"/>
      <c r="E1223" s="38"/>
      <c r="F1223" s="58"/>
      <c r="G1223" s="5"/>
      <c r="H1223" s="44"/>
      <c r="I1223" s="5"/>
      <c r="J1223" s="43"/>
      <c r="K1223" s="43"/>
      <c r="L1223" s="57"/>
      <c r="M1223" s="56"/>
      <c r="N1223" s="3"/>
      <c r="P1223" s="5"/>
      <c r="Q1223" s="5"/>
      <c r="R1223" s="5"/>
      <c r="T1223" s="56"/>
      <c r="U1223" s="77"/>
      <c r="V1223" s="77"/>
      <c r="AA1223" s="3"/>
      <c r="AF1223" s="5"/>
      <c r="AG1223" s="5"/>
      <c r="AH1223" s="5"/>
      <c r="AI1223" s="5"/>
      <c r="AJ1223" s="5"/>
      <c r="AK1223" s="5"/>
      <c r="AL1223" s="5"/>
      <c r="AM1223" s="13"/>
      <c r="AN1223" s="13"/>
      <c r="AO1223" s="5"/>
      <c r="AP1223" s="5"/>
      <c r="AQ1223" s="5"/>
      <c r="AR1223" s="5"/>
      <c r="AS1223" s="5"/>
      <c r="AT1223" s="5"/>
      <c r="AU1223" s="5"/>
      <c r="AV1223" s="5"/>
      <c r="AW1223" s="5"/>
      <c r="AX1223" s="5"/>
      <c r="AY1223" s="5"/>
      <c r="AZ1223" s="5"/>
      <c r="BA1223" s="5"/>
    </row>
    <row r="1224" spans="3:53" s="41" customFormat="1" x14ac:dyDescent="0.2">
      <c r="C1224" s="71"/>
      <c r="D1224" s="58"/>
      <c r="E1224" s="38"/>
      <c r="F1224" s="58"/>
      <c r="G1224" s="5"/>
      <c r="H1224" s="44"/>
      <c r="I1224" s="5"/>
      <c r="J1224" s="43"/>
      <c r="K1224" s="43"/>
      <c r="L1224" s="57"/>
      <c r="M1224" s="56"/>
      <c r="N1224" s="3"/>
      <c r="P1224" s="5"/>
      <c r="Q1224" s="5"/>
      <c r="R1224" s="5"/>
      <c r="T1224" s="56"/>
      <c r="U1224" s="77"/>
      <c r="V1224" s="77"/>
      <c r="AA1224" s="3"/>
      <c r="AF1224" s="5"/>
      <c r="AG1224" s="5"/>
      <c r="AH1224" s="5"/>
      <c r="AI1224" s="5"/>
      <c r="AJ1224" s="5"/>
      <c r="AK1224" s="5"/>
      <c r="AL1224" s="5"/>
      <c r="AM1224" s="13"/>
      <c r="AN1224" s="13"/>
      <c r="AO1224" s="5"/>
      <c r="AP1224" s="5"/>
      <c r="AQ1224" s="5"/>
      <c r="AR1224" s="5"/>
      <c r="AS1224" s="5"/>
      <c r="AT1224" s="5"/>
      <c r="AU1224" s="5"/>
      <c r="AV1224" s="5"/>
      <c r="AW1224" s="5"/>
      <c r="AX1224" s="5"/>
      <c r="AY1224" s="5"/>
      <c r="AZ1224" s="5"/>
      <c r="BA1224" s="5"/>
    </row>
    <row r="1225" spans="3:53" s="41" customFormat="1" x14ac:dyDescent="0.2">
      <c r="C1225" s="71"/>
      <c r="D1225" s="58"/>
      <c r="E1225" s="38"/>
      <c r="F1225" s="58"/>
      <c r="G1225" s="5"/>
      <c r="H1225" s="44"/>
      <c r="I1225" s="5"/>
      <c r="J1225" s="43"/>
      <c r="K1225" s="43"/>
      <c r="L1225" s="57"/>
      <c r="M1225" s="56"/>
      <c r="N1225" s="3"/>
      <c r="P1225" s="5"/>
      <c r="Q1225" s="5"/>
      <c r="R1225" s="5"/>
      <c r="T1225" s="56"/>
      <c r="U1225" s="77"/>
      <c r="V1225" s="77"/>
      <c r="AA1225" s="3"/>
      <c r="AF1225" s="5"/>
      <c r="AG1225" s="5"/>
      <c r="AH1225" s="5"/>
      <c r="AI1225" s="5"/>
      <c r="AJ1225" s="5"/>
      <c r="AK1225" s="5"/>
      <c r="AL1225" s="5"/>
      <c r="AM1225" s="13"/>
      <c r="AN1225" s="13"/>
      <c r="AO1225" s="5"/>
      <c r="AP1225" s="5"/>
      <c r="AQ1225" s="5"/>
      <c r="AR1225" s="5"/>
      <c r="AS1225" s="5"/>
      <c r="AT1225" s="5"/>
      <c r="AU1225" s="5"/>
      <c r="AV1225" s="5"/>
      <c r="AW1225" s="5"/>
      <c r="AX1225" s="5"/>
      <c r="AY1225" s="5"/>
      <c r="AZ1225" s="5"/>
      <c r="BA1225" s="5"/>
    </row>
    <row r="1226" spans="3:53" s="41" customFormat="1" x14ac:dyDescent="0.2">
      <c r="C1226" s="71"/>
      <c r="D1226" s="58"/>
      <c r="E1226" s="38"/>
      <c r="F1226" s="58"/>
      <c r="G1226" s="5"/>
      <c r="H1226" s="44"/>
      <c r="I1226" s="5"/>
      <c r="J1226" s="43"/>
      <c r="K1226" s="43"/>
      <c r="L1226" s="57"/>
      <c r="M1226" s="56"/>
      <c r="N1226" s="3"/>
      <c r="P1226" s="5"/>
      <c r="Q1226" s="5"/>
      <c r="R1226" s="5"/>
      <c r="T1226" s="56"/>
      <c r="U1226" s="77"/>
      <c r="V1226" s="77"/>
      <c r="AA1226" s="3"/>
      <c r="AF1226" s="5"/>
      <c r="AG1226" s="5"/>
      <c r="AH1226" s="5"/>
      <c r="AI1226" s="5"/>
      <c r="AJ1226" s="5"/>
      <c r="AK1226" s="5"/>
      <c r="AL1226" s="5"/>
      <c r="AM1226" s="13"/>
      <c r="AN1226" s="13"/>
      <c r="AO1226" s="5"/>
      <c r="AP1226" s="5"/>
      <c r="AQ1226" s="5"/>
      <c r="AR1226" s="5"/>
      <c r="AS1226" s="5"/>
      <c r="AT1226" s="5"/>
      <c r="AU1226" s="5"/>
      <c r="AV1226" s="5"/>
      <c r="AW1226" s="5"/>
      <c r="AX1226" s="5"/>
      <c r="AY1226" s="5"/>
      <c r="AZ1226" s="5"/>
      <c r="BA1226" s="5"/>
    </row>
    <row r="1227" spans="3:53" s="41" customFormat="1" x14ac:dyDescent="0.2">
      <c r="C1227" s="71"/>
      <c r="D1227" s="58"/>
      <c r="E1227" s="38"/>
      <c r="F1227" s="58"/>
      <c r="G1227" s="5"/>
      <c r="H1227" s="44"/>
      <c r="I1227" s="5"/>
      <c r="J1227" s="43"/>
      <c r="K1227" s="43"/>
      <c r="L1227" s="57"/>
      <c r="M1227" s="56"/>
      <c r="N1227" s="3"/>
      <c r="P1227" s="5"/>
      <c r="Q1227" s="5"/>
      <c r="R1227" s="5"/>
      <c r="T1227" s="56"/>
      <c r="U1227" s="77"/>
      <c r="V1227" s="77"/>
      <c r="AA1227" s="3"/>
      <c r="AF1227" s="5"/>
      <c r="AG1227" s="5"/>
      <c r="AH1227" s="5"/>
      <c r="AI1227" s="5"/>
      <c r="AJ1227" s="5"/>
      <c r="AK1227" s="5"/>
      <c r="AL1227" s="5"/>
      <c r="AM1227" s="13"/>
      <c r="AN1227" s="13"/>
      <c r="AO1227" s="5"/>
      <c r="AP1227" s="5"/>
      <c r="AQ1227" s="5"/>
      <c r="AR1227" s="5"/>
      <c r="AS1227" s="5"/>
      <c r="AT1227" s="5"/>
      <c r="AU1227" s="5"/>
      <c r="AV1227" s="5"/>
      <c r="AW1227" s="5"/>
      <c r="AX1227" s="5"/>
      <c r="AY1227" s="5"/>
      <c r="AZ1227" s="5"/>
      <c r="BA1227" s="5"/>
    </row>
    <row r="1228" spans="3:53" s="41" customFormat="1" x14ac:dyDescent="0.2">
      <c r="C1228" s="71"/>
      <c r="D1228" s="58"/>
      <c r="E1228" s="38"/>
      <c r="F1228" s="58"/>
      <c r="G1228" s="5"/>
      <c r="H1228" s="44"/>
      <c r="I1228" s="5"/>
      <c r="J1228" s="43"/>
      <c r="K1228" s="43"/>
      <c r="L1228" s="57"/>
      <c r="M1228" s="56"/>
      <c r="N1228" s="3"/>
      <c r="P1228" s="5"/>
      <c r="Q1228" s="5"/>
      <c r="R1228" s="5"/>
      <c r="T1228" s="56"/>
      <c r="U1228" s="77"/>
      <c r="V1228" s="77"/>
      <c r="AA1228" s="3"/>
      <c r="AF1228" s="5"/>
      <c r="AG1228" s="5"/>
      <c r="AH1228" s="5"/>
      <c r="AI1228" s="5"/>
      <c r="AJ1228" s="5"/>
      <c r="AK1228" s="5"/>
      <c r="AL1228" s="5"/>
      <c r="AM1228" s="13"/>
      <c r="AN1228" s="13"/>
      <c r="AO1228" s="5"/>
      <c r="AP1228" s="5"/>
      <c r="AQ1228" s="5"/>
      <c r="AR1228" s="5"/>
      <c r="AS1228" s="5"/>
      <c r="AT1228" s="5"/>
      <c r="AU1228" s="5"/>
      <c r="AV1228" s="5"/>
      <c r="AW1228" s="5"/>
      <c r="AX1228" s="5"/>
      <c r="AY1228" s="5"/>
      <c r="AZ1228" s="5"/>
      <c r="BA1228" s="5"/>
    </row>
    <row r="1229" spans="3:53" s="41" customFormat="1" x14ac:dyDescent="0.2">
      <c r="C1229" s="71"/>
      <c r="D1229" s="58"/>
      <c r="E1229" s="38"/>
      <c r="F1229" s="58"/>
      <c r="G1229" s="5"/>
      <c r="H1229" s="44"/>
      <c r="I1229" s="5"/>
      <c r="J1229" s="43"/>
      <c r="K1229" s="43"/>
      <c r="L1229" s="57"/>
      <c r="M1229" s="56"/>
      <c r="N1229" s="3"/>
      <c r="P1229" s="5"/>
      <c r="Q1229" s="5"/>
      <c r="R1229" s="5"/>
      <c r="T1229" s="56"/>
      <c r="U1229" s="77"/>
      <c r="V1229" s="77"/>
      <c r="AA1229" s="3"/>
      <c r="AF1229" s="5"/>
      <c r="AG1229" s="5"/>
      <c r="AH1229" s="5"/>
      <c r="AI1229" s="5"/>
      <c r="AJ1229" s="5"/>
      <c r="AK1229" s="5"/>
      <c r="AL1229" s="5"/>
      <c r="AM1229" s="13"/>
      <c r="AN1229" s="13"/>
      <c r="AO1229" s="5"/>
      <c r="AP1229" s="5"/>
      <c r="AQ1229" s="5"/>
      <c r="AR1229" s="5"/>
      <c r="AS1229" s="5"/>
      <c r="AT1229" s="5"/>
      <c r="AU1229" s="5"/>
      <c r="AV1229" s="5"/>
      <c r="AW1229" s="5"/>
      <c r="AX1229" s="5"/>
      <c r="AY1229" s="5"/>
      <c r="AZ1229" s="5"/>
      <c r="BA1229" s="5"/>
    </row>
    <row r="1230" spans="3:53" s="41" customFormat="1" x14ac:dyDescent="0.2">
      <c r="C1230" s="71"/>
      <c r="D1230" s="58"/>
      <c r="E1230" s="38"/>
      <c r="F1230" s="58"/>
      <c r="G1230" s="5"/>
      <c r="H1230" s="44"/>
      <c r="I1230" s="5"/>
      <c r="J1230" s="43"/>
      <c r="K1230" s="43"/>
      <c r="L1230" s="57"/>
      <c r="M1230" s="56"/>
      <c r="N1230" s="3"/>
      <c r="P1230" s="5"/>
      <c r="Q1230" s="5"/>
      <c r="R1230" s="5"/>
      <c r="T1230" s="56"/>
      <c r="U1230" s="77"/>
      <c r="V1230" s="77"/>
      <c r="AA1230" s="3"/>
      <c r="AF1230" s="5"/>
      <c r="AG1230" s="5"/>
      <c r="AH1230" s="5"/>
      <c r="AI1230" s="5"/>
      <c r="AJ1230" s="5"/>
      <c r="AK1230" s="5"/>
      <c r="AL1230" s="5"/>
      <c r="AM1230" s="13"/>
      <c r="AN1230" s="13"/>
      <c r="AO1230" s="5"/>
      <c r="AP1230" s="5"/>
      <c r="AQ1230" s="5"/>
      <c r="AR1230" s="5"/>
      <c r="AS1230" s="5"/>
      <c r="AT1230" s="5"/>
      <c r="AU1230" s="5"/>
      <c r="AV1230" s="5"/>
      <c r="AW1230" s="5"/>
      <c r="AX1230" s="5"/>
      <c r="AY1230" s="5"/>
      <c r="AZ1230" s="5"/>
      <c r="BA1230" s="5"/>
    </row>
    <row r="1231" spans="3:53" s="41" customFormat="1" x14ac:dyDescent="0.2">
      <c r="C1231" s="71"/>
      <c r="D1231" s="58"/>
      <c r="E1231" s="38"/>
      <c r="F1231" s="58"/>
      <c r="G1231" s="5"/>
      <c r="H1231" s="44"/>
      <c r="I1231" s="5"/>
      <c r="J1231" s="43"/>
      <c r="K1231" s="43"/>
      <c r="L1231" s="57"/>
      <c r="M1231" s="56"/>
      <c r="N1231" s="3"/>
      <c r="P1231" s="5"/>
      <c r="Q1231" s="5"/>
      <c r="R1231" s="5"/>
      <c r="T1231" s="56"/>
      <c r="U1231" s="77"/>
      <c r="V1231" s="77"/>
      <c r="AA1231" s="3"/>
      <c r="AF1231" s="5"/>
      <c r="AG1231" s="5"/>
      <c r="AH1231" s="5"/>
      <c r="AI1231" s="5"/>
      <c r="AJ1231" s="5"/>
      <c r="AK1231" s="5"/>
      <c r="AL1231" s="5"/>
      <c r="AM1231" s="13"/>
      <c r="AN1231" s="13"/>
      <c r="AO1231" s="5"/>
      <c r="AP1231" s="5"/>
      <c r="AQ1231" s="5"/>
      <c r="AR1231" s="5"/>
      <c r="AS1231" s="5"/>
      <c r="AT1231" s="5"/>
      <c r="AU1231" s="5"/>
      <c r="AV1231" s="5"/>
      <c r="AW1231" s="5"/>
      <c r="AX1231" s="5"/>
      <c r="AY1231" s="5"/>
      <c r="AZ1231" s="5"/>
      <c r="BA1231" s="5"/>
    </row>
    <row r="1232" spans="3:53" s="41" customFormat="1" x14ac:dyDescent="0.2">
      <c r="C1232" s="71"/>
      <c r="D1232" s="58"/>
      <c r="E1232" s="38"/>
      <c r="F1232" s="58"/>
      <c r="G1232" s="5"/>
      <c r="H1232" s="44"/>
      <c r="I1232" s="5"/>
      <c r="J1232" s="43"/>
      <c r="K1232" s="43"/>
      <c r="L1232" s="57"/>
      <c r="M1232" s="56"/>
      <c r="N1232" s="3"/>
      <c r="P1232" s="5"/>
      <c r="Q1232" s="5"/>
      <c r="R1232" s="5"/>
      <c r="T1232" s="56"/>
      <c r="U1232" s="77"/>
      <c r="V1232" s="77"/>
      <c r="AA1232" s="3"/>
      <c r="AF1232" s="5"/>
      <c r="AG1232" s="5"/>
      <c r="AH1232" s="5"/>
      <c r="AI1232" s="5"/>
      <c r="AJ1232" s="5"/>
      <c r="AK1232" s="5"/>
      <c r="AL1232" s="5"/>
      <c r="AM1232" s="13"/>
      <c r="AN1232" s="13"/>
      <c r="AO1232" s="5"/>
      <c r="AP1232" s="5"/>
      <c r="AQ1232" s="5"/>
      <c r="AR1232" s="5"/>
      <c r="AS1232" s="5"/>
      <c r="AT1232" s="5"/>
      <c r="AU1232" s="5"/>
      <c r="AV1232" s="5"/>
      <c r="AW1232" s="5"/>
      <c r="AX1232" s="5"/>
      <c r="AY1232" s="5"/>
      <c r="AZ1232" s="5"/>
      <c r="BA1232" s="5"/>
    </row>
    <row r="1233" spans="3:53" s="41" customFormat="1" x14ac:dyDescent="0.2">
      <c r="C1233" s="71"/>
      <c r="D1233" s="58"/>
      <c r="E1233" s="38"/>
      <c r="F1233" s="58"/>
      <c r="G1233" s="5"/>
      <c r="H1233" s="44"/>
      <c r="I1233" s="5"/>
      <c r="J1233" s="43"/>
      <c r="K1233" s="43"/>
      <c r="L1233" s="57"/>
      <c r="M1233" s="56"/>
      <c r="N1233" s="3"/>
      <c r="P1233" s="5"/>
      <c r="Q1233" s="5"/>
      <c r="R1233" s="5"/>
      <c r="T1233" s="56"/>
      <c r="U1233" s="77"/>
      <c r="V1233" s="77"/>
      <c r="AA1233" s="3"/>
      <c r="AF1233" s="5"/>
      <c r="AG1233" s="5"/>
      <c r="AH1233" s="5"/>
      <c r="AI1233" s="5"/>
      <c r="AJ1233" s="5"/>
      <c r="AK1233" s="5"/>
      <c r="AL1233" s="5"/>
      <c r="AM1233" s="13"/>
      <c r="AN1233" s="13"/>
      <c r="AO1233" s="5"/>
      <c r="AP1233" s="5"/>
      <c r="AQ1233" s="5"/>
      <c r="AR1233" s="5"/>
      <c r="AS1233" s="5"/>
      <c r="AT1233" s="5"/>
      <c r="AU1233" s="5"/>
      <c r="AV1233" s="5"/>
      <c r="AW1233" s="5"/>
      <c r="AX1233" s="5"/>
      <c r="AY1233" s="5"/>
      <c r="AZ1233" s="5"/>
      <c r="BA1233" s="5"/>
    </row>
    <row r="1234" spans="3:53" s="41" customFormat="1" x14ac:dyDescent="0.2">
      <c r="C1234" s="71"/>
      <c r="D1234" s="58"/>
      <c r="E1234" s="38"/>
      <c r="F1234" s="58"/>
      <c r="G1234" s="5"/>
      <c r="H1234" s="44"/>
      <c r="I1234" s="5"/>
      <c r="J1234" s="43"/>
      <c r="K1234" s="43"/>
      <c r="L1234" s="57"/>
      <c r="M1234" s="56"/>
      <c r="N1234" s="3"/>
      <c r="P1234" s="5"/>
      <c r="Q1234" s="5"/>
      <c r="R1234" s="5"/>
      <c r="T1234" s="56"/>
      <c r="U1234" s="77"/>
      <c r="V1234" s="77"/>
      <c r="AA1234" s="3"/>
      <c r="AF1234" s="5"/>
      <c r="AG1234" s="5"/>
      <c r="AH1234" s="5"/>
      <c r="AI1234" s="5"/>
      <c r="AJ1234" s="5"/>
      <c r="AK1234" s="5"/>
      <c r="AL1234" s="5"/>
      <c r="AM1234" s="13"/>
      <c r="AN1234" s="13"/>
      <c r="AO1234" s="5"/>
      <c r="AP1234" s="5"/>
      <c r="AQ1234" s="5"/>
      <c r="AR1234" s="5"/>
      <c r="AS1234" s="5"/>
      <c r="AT1234" s="5"/>
      <c r="AU1234" s="5"/>
      <c r="AV1234" s="5"/>
      <c r="AW1234" s="5"/>
      <c r="AX1234" s="5"/>
      <c r="AY1234" s="5"/>
      <c r="AZ1234" s="5"/>
      <c r="BA1234" s="5"/>
    </row>
    <row r="1235" spans="3:53" s="41" customFormat="1" x14ac:dyDescent="0.2">
      <c r="C1235" s="71"/>
      <c r="D1235" s="58"/>
      <c r="E1235" s="38"/>
      <c r="F1235" s="58"/>
      <c r="G1235" s="5"/>
      <c r="H1235" s="44"/>
      <c r="I1235" s="5"/>
      <c r="J1235" s="43"/>
      <c r="K1235" s="43"/>
      <c r="L1235" s="57"/>
      <c r="M1235" s="56"/>
      <c r="N1235" s="3"/>
      <c r="P1235" s="5"/>
      <c r="Q1235" s="5"/>
      <c r="R1235" s="5"/>
      <c r="T1235" s="56"/>
      <c r="U1235" s="77"/>
      <c r="V1235" s="77"/>
      <c r="AA1235" s="3"/>
      <c r="AF1235" s="5"/>
      <c r="AG1235" s="5"/>
      <c r="AH1235" s="5"/>
      <c r="AI1235" s="5"/>
      <c r="AJ1235" s="5"/>
      <c r="AK1235" s="5"/>
      <c r="AL1235" s="5"/>
      <c r="AM1235" s="13"/>
      <c r="AN1235" s="13"/>
      <c r="AO1235" s="5"/>
      <c r="AP1235" s="5"/>
      <c r="AQ1235" s="5"/>
      <c r="AR1235" s="5"/>
      <c r="AS1235" s="5"/>
      <c r="AT1235" s="5"/>
      <c r="AU1235" s="5"/>
      <c r="AV1235" s="5"/>
      <c r="AW1235" s="5"/>
      <c r="AX1235" s="5"/>
      <c r="AY1235" s="5"/>
      <c r="AZ1235" s="5"/>
      <c r="BA1235" s="5"/>
    </row>
    <row r="1236" spans="3:53" s="41" customFormat="1" x14ac:dyDescent="0.2">
      <c r="C1236" s="71"/>
      <c r="D1236" s="58"/>
      <c r="E1236" s="38"/>
      <c r="F1236" s="58"/>
      <c r="G1236" s="5"/>
      <c r="H1236" s="44"/>
      <c r="I1236" s="5"/>
      <c r="J1236" s="43"/>
      <c r="K1236" s="43"/>
      <c r="L1236" s="57"/>
      <c r="M1236" s="56"/>
      <c r="N1236" s="3"/>
      <c r="P1236" s="5"/>
      <c r="Q1236" s="5"/>
      <c r="R1236" s="5"/>
      <c r="T1236" s="56"/>
      <c r="U1236" s="77"/>
      <c r="V1236" s="77"/>
      <c r="AA1236" s="3"/>
      <c r="AF1236" s="5"/>
      <c r="AG1236" s="5"/>
      <c r="AH1236" s="5"/>
      <c r="AI1236" s="5"/>
      <c r="AJ1236" s="5"/>
      <c r="AK1236" s="5"/>
      <c r="AL1236" s="5"/>
      <c r="AM1236" s="13"/>
      <c r="AN1236" s="13"/>
      <c r="AO1236" s="5"/>
      <c r="AP1236" s="5"/>
      <c r="AQ1236" s="5"/>
      <c r="AR1236" s="5"/>
      <c r="AS1236" s="5"/>
      <c r="AT1236" s="5"/>
      <c r="AU1236" s="5"/>
      <c r="AV1236" s="5"/>
      <c r="AW1236" s="5"/>
      <c r="AX1236" s="5"/>
      <c r="AY1236" s="5"/>
      <c r="AZ1236" s="5"/>
      <c r="BA1236" s="5"/>
    </row>
    <row r="1237" spans="3:53" s="41" customFormat="1" x14ac:dyDescent="0.2">
      <c r="C1237" s="71"/>
      <c r="D1237" s="58"/>
      <c r="E1237" s="38"/>
      <c r="F1237" s="58"/>
      <c r="G1237" s="5"/>
      <c r="H1237" s="44"/>
      <c r="I1237" s="5"/>
      <c r="J1237" s="43"/>
      <c r="K1237" s="43"/>
      <c r="L1237" s="57"/>
      <c r="M1237" s="56"/>
      <c r="N1237" s="3"/>
      <c r="P1237" s="5"/>
      <c r="Q1237" s="5"/>
      <c r="R1237" s="5"/>
      <c r="T1237" s="56"/>
      <c r="U1237" s="77"/>
      <c r="V1237" s="77"/>
      <c r="AA1237" s="3"/>
      <c r="AF1237" s="5"/>
      <c r="AG1237" s="5"/>
      <c r="AH1237" s="5"/>
      <c r="AI1237" s="5"/>
      <c r="AJ1237" s="5"/>
      <c r="AK1237" s="5"/>
      <c r="AL1237" s="5"/>
      <c r="AM1237" s="13"/>
      <c r="AN1237" s="13"/>
      <c r="AO1237" s="5"/>
      <c r="AP1237" s="5"/>
      <c r="AQ1237" s="5"/>
      <c r="AR1237" s="5"/>
      <c r="AS1237" s="5"/>
      <c r="AT1237" s="5"/>
      <c r="AU1237" s="5"/>
      <c r="AV1237" s="5"/>
      <c r="AW1237" s="5"/>
      <c r="AX1237" s="5"/>
      <c r="AY1237" s="5"/>
      <c r="AZ1237" s="5"/>
      <c r="BA1237" s="5"/>
    </row>
    <row r="1238" spans="3:53" s="41" customFormat="1" x14ac:dyDescent="0.2">
      <c r="C1238" s="71"/>
      <c r="D1238" s="58"/>
      <c r="E1238" s="38"/>
      <c r="F1238" s="58"/>
      <c r="G1238" s="5"/>
      <c r="H1238" s="44"/>
      <c r="I1238" s="5"/>
      <c r="J1238" s="43"/>
      <c r="K1238" s="43"/>
      <c r="L1238" s="57"/>
      <c r="M1238" s="56"/>
      <c r="N1238" s="3"/>
      <c r="P1238" s="5"/>
      <c r="Q1238" s="5"/>
      <c r="R1238" s="5"/>
      <c r="T1238" s="56"/>
      <c r="U1238" s="77"/>
      <c r="V1238" s="77"/>
      <c r="AA1238" s="3"/>
      <c r="AF1238" s="5"/>
      <c r="AG1238" s="5"/>
      <c r="AH1238" s="5"/>
      <c r="AI1238" s="5"/>
      <c r="AJ1238" s="5"/>
      <c r="AK1238" s="5"/>
      <c r="AL1238" s="5"/>
      <c r="AM1238" s="13"/>
      <c r="AN1238" s="13"/>
      <c r="AO1238" s="5"/>
      <c r="AP1238" s="5"/>
      <c r="AQ1238" s="5"/>
      <c r="AR1238" s="5"/>
      <c r="AS1238" s="5"/>
      <c r="AT1238" s="5"/>
      <c r="AU1238" s="5"/>
      <c r="AV1238" s="5"/>
      <c r="AW1238" s="5"/>
      <c r="AX1238" s="5"/>
      <c r="AY1238" s="5"/>
      <c r="AZ1238" s="5"/>
      <c r="BA1238" s="5"/>
    </row>
    <row r="1239" spans="3:53" s="41" customFormat="1" x14ac:dyDescent="0.2">
      <c r="C1239" s="71"/>
      <c r="D1239" s="58"/>
      <c r="E1239" s="38"/>
      <c r="F1239" s="58"/>
      <c r="G1239" s="5"/>
      <c r="H1239" s="44"/>
      <c r="I1239" s="5"/>
      <c r="J1239" s="43"/>
      <c r="K1239" s="43"/>
      <c r="L1239" s="57"/>
      <c r="M1239" s="56"/>
      <c r="N1239" s="3"/>
      <c r="P1239" s="5"/>
      <c r="Q1239" s="5"/>
      <c r="R1239" s="5"/>
      <c r="T1239" s="56"/>
      <c r="U1239" s="77"/>
      <c r="V1239" s="77"/>
      <c r="AA1239" s="3"/>
      <c r="AF1239" s="5"/>
      <c r="AG1239" s="5"/>
      <c r="AH1239" s="5"/>
      <c r="AI1239" s="5"/>
      <c r="AJ1239" s="5"/>
      <c r="AK1239" s="5"/>
      <c r="AL1239" s="5"/>
      <c r="AM1239" s="13"/>
      <c r="AN1239" s="13"/>
      <c r="AO1239" s="5"/>
      <c r="AP1239" s="5"/>
      <c r="AQ1239" s="5"/>
      <c r="AR1239" s="5"/>
      <c r="AS1239" s="5"/>
      <c r="AT1239" s="5"/>
      <c r="AU1239" s="5"/>
      <c r="AV1239" s="5"/>
      <c r="AW1239" s="5"/>
      <c r="AX1239" s="5"/>
      <c r="AY1239" s="5"/>
      <c r="AZ1239" s="5"/>
      <c r="BA1239" s="5"/>
    </row>
    <row r="1240" spans="3:53" s="41" customFormat="1" x14ac:dyDescent="0.2">
      <c r="C1240" s="71"/>
      <c r="D1240" s="58"/>
      <c r="E1240" s="38"/>
      <c r="F1240" s="58"/>
      <c r="G1240" s="5"/>
      <c r="H1240" s="44"/>
      <c r="I1240" s="5"/>
      <c r="J1240" s="43"/>
      <c r="K1240" s="43"/>
      <c r="L1240" s="57"/>
      <c r="M1240" s="56"/>
      <c r="N1240" s="3"/>
      <c r="P1240" s="5"/>
      <c r="Q1240" s="5"/>
      <c r="R1240" s="5"/>
      <c r="T1240" s="56"/>
      <c r="U1240" s="77"/>
      <c r="V1240" s="77"/>
      <c r="AA1240" s="3"/>
      <c r="AF1240" s="5"/>
      <c r="AG1240" s="5"/>
      <c r="AH1240" s="5"/>
      <c r="AI1240" s="5"/>
      <c r="AJ1240" s="5"/>
      <c r="AK1240" s="5"/>
      <c r="AL1240" s="5"/>
      <c r="AM1240" s="13"/>
      <c r="AN1240" s="13"/>
      <c r="AO1240" s="5"/>
      <c r="AP1240" s="5"/>
      <c r="AQ1240" s="5"/>
      <c r="AR1240" s="5"/>
      <c r="AS1240" s="5"/>
      <c r="AT1240" s="5"/>
      <c r="AU1240" s="5"/>
      <c r="AV1240" s="5"/>
      <c r="AW1240" s="5"/>
      <c r="AX1240" s="5"/>
      <c r="AY1240" s="5"/>
      <c r="AZ1240" s="5"/>
      <c r="BA1240" s="5"/>
    </row>
    <row r="1241" spans="3:53" s="41" customFormat="1" x14ac:dyDescent="0.2">
      <c r="C1241" s="71"/>
      <c r="D1241" s="58"/>
      <c r="E1241" s="38"/>
      <c r="F1241" s="58"/>
      <c r="G1241" s="5"/>
      <c r="H1241" s="44"/>
      <c r="I1241" s="5"/>
      <c r="J1241" s="43"/>
      <c r="K1241" s="43"/>
      <c r="L1241" s="57"/>
      <c r="M1241" s="56"/>
      <c r="N1241" s="3"/>
      <c r="P1241" s="5"/>
      <c r="Q1241" s="5"/>
      <c r="R1241" s="5"/>
      <c r="T1241" s="56"/>
      <c r="U1241" s="77"/>
      <c r="V1241" s="77"/>
      <c r="AA1241" s="3"/>
      <c r="AF1241" s="5"/>
      <c r="AG1241" s="5"/>
      <c r="AH1241" s="5"/>
      <c r="AI1241" s="5"/>
      <c r="AJ1241" s="5"/>
      <c r="AK1241" s="5"/>
      <c r="AL1241" s="5"/>
      <c r="AM1241" s="13"/>
      <c r="AN1241" s="13"/>
      <c r="AO1241" s="5"/>
      <c r="AP1241" s="5"/>
      <c r="AQ1241" s="5"/>
      <c r="AR1241" s="5"/>
      <c r="AS1241" s="5"/>
      <c r="AT1241" s="5"/>
      <c r="AU1241" s="5"/>
      <c r="AV1241" s="5"/>
      <c r="AW1241" s="5"/>
      <c r="AX1241" s="5"/>
      <c r="AY1241" s="5"/>
      <c r="AZ1241" s="5"/>
      <c r="BA1241" s="5"/>
    </row>
    <row r="1242" spans="3:53" s="41" customFormat="1" x14ac:dyDescent="0.2">
      <c r="C1242" s="71"/>
      <c r="D1242" s="58"/>
      <c r="E1242" s="38"/>
      <c r="F1242" s="58"/>
      <c r="G1242" s="5"/>
      <c r="H1242" s="44"/>
      <c r="I1242" s="5"/>
      <c r="J1242" s="43"/>
      <c r="K1242" s="43"/>
      <c r="L1242" s="57"/>
      <c r="M1242" s="56"/>
      <c r="N1242" s="3"/>
      <c r="P1242" s="5"/>
      <c r="Q1242" s="5"/>
      <c r="R1242" s="5"/>
      <c r="T1242" s="56"/>
      <c r="U1242" s="77"/>
      <c r="V1242" s="77"/>
      <c r="AA1242" s="3"/>
      <c r="AF1242" s="5"/>
      <c r="AG1242" s="5"/>
      <c r="AH1242" s="5"/>
      <c r="AI1242" s="5"/>
      <c r="AJ1242" s="5"/>
      <c r="AK1242" s="5"/>
      <c r="AL1242" s="5"/>
      <c r="AM1242" s="13"/>
      <c r="AN1242" s="13"/>
      <c r="AO1242" s="5"/>
      <c r="AP1242" s="5"/>
      <c r="AQ1242" s="5"/>
      <c r="AR1242" s="5"/>
      <c r="AS1242" s="5"/>
      <c r="AT1242" s="5"/>
      <c r="AU1242" s="5"/>
      <c r="AV1242" s="5"/>
      <c r="AW1242" s="5"/>
      <c r="AX1242" s="5"/>
      <c r="AY1242" s="5"/>
      <c r="AZ1242" s="5"/>
      <c r="BA1242" s="5"/>
    </row>
    <row r="1243" spans="3:53" s="41" customFormat="1" x14ac:dyDescent="0.2">
      <c r="C1243" s="71"/>
      <c r="D1243" s="58"/>
      <c r="E1243" s="38"/>
      <c r="F1243" s="58"/>
      <c r="G1243" s="5"/>
      <c r="H1243" s="44"/>
      <c r="I1243" s="5"/>
      <c r="J1243" s="43"/>
      <c r="K1243" s="43"/>
      <c r="L1243" s="57"/>
      <c r="M1243" s="56"/>
      <c r="N1243" s="3"/>
      <c r="P1243" s="5"/>
      <c r="Q1243" s="5"/>
      <c r="R1243" s="5"/>
      <c r="T1243" s="56"/>
      <c r="U1243" s="77"/>
      <c r="V1243" s="77"/>
      <c r="AA1243" s="3"/>
      <c r="AF1243" s="5"/>
      <c r="AG1243" s="5"/>
      <c r="AH1243" s="5"/>
      <c r="AI1243" s="5"/>
      <c r="AJ1243" s="5"/>
      <c r="AK1243" s="5"/>
      <c r="AL1243" s="5"/>
      <c r="AM1243" s="13"/>
      <c r="AN1243" s="13"/>
      <c r="AO1243" s="5"/>
      <c r="AP1243" s="5"/>
      <c r="AQ1243" s="5"/>
      <c r="AR1243" s="5"/>
      <c r="AS1243" s="5"/>
      <c r="AT1243" s="5"/>
      <c r="AU1243" s="5"/>
      <c r="AV1243" s="5"/>
      <c r="AW1243" s="5"/>
      <c r="AX1243" s="5"/>
      <c r="AY1243" s="5"/>
      <c r="AZ1243" s="5"/>
      <c r="BA1243" s="5"/>
    </row>
    <row r="1244" spans="3:53" s="41" customFormat="1" x14ac:dyDescent="0.2">
      <c r="C1244" s="71"/>
      <c r="D1244" s="58"/>
      <c r="E1244" s="38"/>
      <c r="F1244" s="58"/>
      <c r="G1244" s="5"/>
      <c r="H1244" s="44"/>
      <c r="I1244" s="5"/>
      <c r="J1244" s="43"/>
      <c r="K1244" s="43"/>
      <c r="L1244" s="57"/>
      <c r="M1244" s="56"/>
      <c r="N1244" s="3"/>
      <c r="P1244" s="5"/>
      <c r="Q1244" s="5"/>
      <c r="R1244" s="5"/>
      <c r="T1244" s="56"/>
      <c r="U1244" s="77"/>
      <c r="V1244" s="77"/>
      <c r="AA1244" s="3"/>
      <c r="AF1244" s="5"/>
      <c r="AG1244" s="5"/>
      <c r="AH1244" s="5"/>
      <c r="AI1244" s="5"/>
      <c r="AJ1244" s="5"/>
      <c r="AK1244" s="5"/>
      <c r="AL1244" s="5"/>
      <c r="AM1244" s="13"/>
      <c r="AN1244" s="13"/>
      <c r="AO1244" s="5"/>
      <c r="AP1244" s="5"/>
      <c r="AQ1244" s="5"/>
      <c r="AR1244" s="5"/>
      <c r="AS1244" s="5"/>
      <c r="AT1244" s="5"/>
      <c r="AU1244" s="5"/>
      <c r="AV1244" s="5"/>
      <c r="AW1244" s="5"/>
      <c r="AX1244" s="5"/>
      <c r="AY1244" s="5"/>
      <c r="AZ1244" s="5"/>
      <c r="BA1244" s="5"/>
    </row>
    <row r="1245" spans="3:53" s="41" customFormat="1" x14ac:dyDescent="0.2">
      <c r="C1245" s="71"/>
      <c r="D1245" s="58"/>
      <c r="E1245" s="38"/>
      <c r="F1245" s="58"/>
      <c r="G1245" s="5"/>
      <c r="H1245" s="44"/>
      <c r="I1245" s="5"/>
      <c r="J1245" s="43"/>
      <c r="K1245" s="43"/>
      <c r="L1245" s="57"/>
      <c r="M1245" s="56"/>
      <c r="N1245" s="3"/>
      <c r="P1245" s="5"/>
      <c r="Q1245" s="5"/>
      <c r="R1245" s="5"/>
      <c r="T1245" s="56"/>
      <c r="U1245" s="77"/>
      <c r="V1245" s="77"/>
      <c r="AA1245" s="3"/>
      <c r="AF1245" s="5"/>
      <c r="AG1245" s="5"/>
      <c r="AH1245" s="5"/>
      <c r="AI1245" s="5"/>
      <c r="AJ1245" s="5"/>
      <c r="AK1245" s="5"/>
      <c r="AL1245" s="5"/>
      <c r="AM1245" s="13"/>
      <c r="AN1245" s="13"/>
      <c r="AO1245" s="5"/>
      <c r="AP1245" s="5"/>
      <c r="AQ1245" s="5"/>
      <c r="AR1245" s="5"/>
      <c r="AS1245" s="5"/>
      <c r="AT1245" s="5"/>
      <c r="AU1245" s="5"/>
      <c r="AV1245" s="5"/>
      <c r="AW1245" s="5"/>
      <c r="AX1245" s="5"/>
      <c r="AY1245" s="5"/>
      <c r="AZ1245" s="5"/>
      <c r="BA1245" s="5"/>
    </row>
    <row r="1246" spans="3:53" s="41" customFormat="1" x14ac:dyDescent="0.2">
      <c r="C1246" s="71"/>
      <c r="D1246" s="58"/>
      <c r="E1246" s="38"/>
      <c r="F1246" s="58"/>
      <c r="G1246" s="5"/>
      <c r="H1246" s="44"/>
      <c r="I1246" s="5"/>
      <c r="J1246" s="43"/>
      <c r="K1246" s="43"/>
      <c r="L1246" s="57"/>
      <c r="M1246" s="56"/>
      <c r="N1246" s="3"/>
      <c r="P1246" s="5"/>
      <c r="Q1246" s="5"/>
      <c r="R1246" s="5"/>
      <c r="T1246" s="56"/>
      <c r="U1246" s="77"/>
      <c r="V1246" s="77"/>
      <c r="AA1246" s="3"/>
      <c r="AF1246" s="5"/>
      <c r="AG1246" s="5"/>
      <c r="AH1246" s="5"/>
      <c r="AI1246" s="5"/>
      <c r="AJ1246" s="5"/>
      <c r="AK1246" s="5"/>
      <c r="AL1246" s="5"/>
      <c r="AM1246" s="13"/>
      <c r="AN1246" s="13"/>
      <c r="AO1246" s="5"/>
      <c r="AP1246" s="5"/>
      <c r="AQ1246" s="5"/>
      <c r="AR1246" s="5"/>
      <c r="AS1246" s="5"/>
      <c r="AT1246" s="5"/>
      <c r="AU1246" s="5"/>
      <c r="AV1246" s="5"/>
      <c r="AW1246" s="5"/>
      <c r="AX1246" s="5"/>
      <c r="AY1246" s="5"/>
      <c r="AZ1246" s="5"/>
      <c r="BA1246" s="5"/>
    </row>
    <row r="1247" spans="3:53" s="41" customFormat="1" x14ac:dyDescent="0.2">
      <c r="C1247" s="71"/>
      <c r="D1247" s="58"/>
      <c r="E1247" s="38"/>
      <c r="F1247" s="58"/>
      <c r="G1247" s="5"/>
      <c r="H1247" s="44"/>
      <c r="I1247" s="5"/>
      <c r="J1247" s="43"/>
      <c r="K1247" s="43"/>
      <c r="L1247" s="57"/>
      <c r="M1247" s="56"/>
      <c r="N1247" s="3"/>
      <c r="P1247" s="5"/>
      <c r="Q1247" s="5"/>
      <c r="R1247" s="5"/>
      <c r="T1247" s="56"/>
      <c r="U1247" s="77"/>
      <c r="V1247" s="77"/>
      <c r="AA1247" s="3"/>
      <c r="AF1247" s="5"/>
      <c r="AG1247" s="5"/>
      <c r="AH1247" s="5"/>
      <c r="AI1247" s="5"/>
      <c r="AJ1247" s="5"/>
      <c r="AK1247" s="5"/>
      <c r="AL1247" s="5"/>
      <c r="AM1247" s="13"/>
      <c r="AN1247" s="13"/>
      <c r="AO1247" s="5"/>
      <c r="AP1247" s="5"/>
      <c r="AQ1247" s="5"/>
      <c r="AR1247" s="5"/>
      <c r="AS1247" s="5"/>
      <c r="AT1247" s="5"/>
      <c r="AU1247" s="5"/>
      <c r="AV1247" s="5"/>
      <c r="AW1247" s="5"/>
      <c r="AX1247" s="5"/>
      <c r="AY1247" s="5"/>
      <c r="AZ1247" s="5"/>
      <c r="BA1247" s="5"/>
    </row>
    <row r="1248" spans="3:53" s="41" customFormat="1" x14ac:dyDescent="0.2">
      <c r="C1248" s="71"/>
      <c r="D1248" s="58"/>
      <c r="E1248" s="38"/>
      <c r="F1248" s="58"/>
      <c r="G1248" s="5"/>
      <c r="H1248" s="44"/>
      <c r="I1248" s="5"/>
      <c r="J1248" s="43"/>
      <c r="K1248" s="43"/>
      <c r="L1248" s="57"/>
      <c r="M1248" s="56"/>
      <c r="N1248" s="3"/>
      <c r="P1248" s="5"/>
      <c r="Q1248" s="5"/>
      <c r="R1248" s="5"/>
      <c r="T1248" s="56"/>
      <c r="U1248" s="77"/>
      <c r="V1248" s="77"/>
      <c r="AA1248" s="3"/>
      <c r="AF1248" s="5"/>
      <c r="AG1248" s="5"/>
      <c r="AH1248" s="5"/>
      <c r="AI1248" s="5"/>
      <c r="AJ1248" s="5"/>
      <c r="AK1248" s="5"/>
      <c r="AL1248" s="5"/>
      <c r="AM1248" s="13"/>
      <c r="AN1248" s="13"/>
      <c r="AO1248" s="5"/>
      <c r="AP1248" s="5"/>
      <c r="AQ1248" s="5"/>
      <c r="AR1248" s="5"/>
      <c r="AS1248" s="5"/>
      <c r="AT1248" s="5"/>
      <c r="AU1248" s="5"/>
      <c r="AV1248" s="5"/>
      <c r="AW1248" s="5"/>
      <c r="AX1248" s="5"/>
      <c r="AY1248" s="5"/>
      <c r="AZ1248" s="5"/>
      <c r="BA1248" s="5"/>
    </row>
    <row r="1249" spans="3:53" s="41" customFormat="1" x14ac:dyDescent="0.2">
      <c r="C1249" s="71"/>
      <c r="D1249" s="58"/>
      <c r="E1249" s="38"/>
      <c r="F1249" s="58"/>
      <c r="G1249" s="5"/>
      <c r="H1249" s="44"/>
      <c r="I1249" s="5"/>
      <c r="J1249" s="43"/>
      <c r="K1249" s="43"/>
      <c r="L1249" s="57"/>
      <c r="M1249" s="56"/>
      <c r="N1249" s="3"/>
      <c r="P1249" s="5"/>
      <c r="Q1249" s="5"/>
      <c r="R1249" s="5"/>
      <c r="T1249" s="56"/>
      <c r="U1249" s="77"/>
      <c r="V1249" s="77"/>
      <c r="AA1249" s="3"/>
      <c r="AF1249" s="5"/>
      <c r="AG1249" s="5"/>
      <c r="AH1249" s="5"/>
      <c r="AI1249" s="5"/>
      <c r="AJ1249" s="5"/>
      <c r="AK1249" s="5"/>
      <c r="AL1249" s="5"/>
      <c r="AM1249" s="13"/>
      <c r="AN1249" s="13"/>
      <c r="AO1249" s="5"/>
      <c r="AP1249" s="5"/>
      <c r="AQ1249" s="5"/>
      <c r="AR1249" s="5"/>
      <c r="AS1249" s="5"/>
      <c r="AT1249" s="5"/>
      <c r="AU1249" s="5"/>
      <c r="AV1249" s="5"/>
      <c r="AW1249" s="5"/>
      <c r="AX1249" s="5"/>
      <c r="AY1249" s="5"/>
      <c r="AZ1249" s="5"/>
      <c r="BA1249" s="5"/>
    </row>
    <row r="1250" spans="3:53" s="41" customFormat="1" x14ac:dyDescent="0.2">
      <c r="C1250" s="71"/>
      <c r="D1250" s="58"/>
      <c r="E1250" s="38"/>
      <c r="F1250" s="58"/>
      <c r="G1250" s="5"/>
      <c r="H1250" s="44"/>
      <c r="I1250" s="5"/>
      <c r="J1250" s="43"/>
      <c r="K1250" s="43"/>
      <c r="L1250" s="57"/>
      <c r="M1250" s="56"/>
      <c r="N1250" s="3"/>
      <c r="P1250" s="5"/>
      <c r="Q1250" s="5"/>
      <c r="R1250" s="5"/>
      <c r="T1250" s="56"/>
      <c r="U1250" s="77"/>
      <c r="V1250" s="77"/>
      <c r="AA1250" s="3"/>
      <c r="AF1250" s="5"/>
      <c r="AG1250" s="5"/>
      <c r="AH1250" s="5"/>
      <c r="AI1250" s="5"/>
      <c r="AJ1250" s="5"/>
      <c r="AK1250" s="5"/>
      <c r="AL1250" s="5"/>
      <c r="AM1250" s="13"/>
      <c r="AN1250" s="13"/>
      <c r="AO1250" s="5"/>
      <c r="AP1250" s="5"/>
      <c r="AQ1250" s="5"/>
      <c r="AR1250" s="5"/>
      <c r="AS1250" s="5"/>
      <c r="AT1250" s="5"/>
      <c r="AU1250" s="5"/>
      <c r="AV1250" s="5"/>
      <c r="AW1250" s="5"/>
      <c r="AX1250" s="5"/>
      <c r="AY1250" s="5"/>
      <c r="AZ1250" s="5"/>
      <c r="BA1250" s="5"/>
    </row>
    <row r="1251" spans="3:53" s="41" customFormat="1" x14ac:dyDescent="0.2">
      <c r="C1251" s="71"/>
      <c r="D1251" s="58"/>
      <c r="E1251" s="38"/>
      <c r="F1251" s="58"/>
      <c r="G1251" s="5"/>
      <c r="H1251" s="44"/>
      <c r="I1251" s="5"/>
      <c r="J1251" s="43"/>
      <c r="K1251" s="43"/>
      <c r="L1251" s="57"/>
      <c r="M1251" s="56"/>
      <c r="N1251" s="3"/>
      <c r="P1251" s="5"/>
      <c r="Q1251" s="5"/>
      <c r="R1251" s="5"/>
      <c r="T1251" s="56"/>
      <c r="U1251" s="77"/>
      <c r="V1251" s="77"/>
      <c r="AA1251" s="3"/>
      <c r="AF1251" s="5"/>
      <c r="AG1251" s="5"/>
      <c r="AH1251" s="5"/>
      <c r="AI1251" s="5"/>
      <c r="AJ1251" s="5"/>
      <c r="AK1251" s="5"/>
      <c r="AL1251" s="5"/>
      <c r="AM1251" s="13"/>
      <c r="AN1251" s="13"/>
      <c r="AO1251" s="5"/>
      <c r="AP1251" s="5"/>
      <c r="AQ1251" s="5"/>
      <c r="AR1251" s="5"/>
      <c r="AS1251" s="5"/>
      <c r="AT1251" s="5"/>
      <c r="AU1251" s="5"/>
      <c r="AV1251" s="5"/>
      <c r="AW1251" s="5"/>
      <c r="AX1251" s="5"/>
      <c r="AY1251" s="5"/>
      <c r="AZ1251" s="5"/>
      <c r="BA1251" s="5"/>
    </row>
    <row r="1252" spans="3:53" s="41" customFormat="1" x14ac:dyDescent="0.2">
      <c r="C1252" s="71"/>
      <c r="D1252" s="58"/>
      <c r="E1252" s="38"/>
      <c r="F1252" s="58"/>
      <c r="G1252" s="5"/>
      <c r="H1252" s="44"/>
      <c r="I1252" s="5"/>
      <c r="J1252" s="43"/>
      <c r="K1252" s="43"/>
      <c r="L1252" s="57"/>
      <c r="M1252" s="56"/>
      <c r="N1252" s="3"/>
      <c r="P1252" s="5"/>
      <c r="Q1252" s="5"/>
      <c r="R1252" s="5"/>
      <c r="T1252" s="56"/>
      <c r="U1252" s="77"/>
      <c r="V1252" s="77"/>
      <c r="AA1252" s="3"/>
      <c r="AF1252" s="5"/>
      <c r="AG1252" s="5"/>
      <c r="AH1252" s="5"/>
      <c r="AI1252" s="5"/>
      <c r="AJ1252" s="5"/>
      <c r="AK1252" s="5"/>
      <c r="AL1252" s="5"/>
      <c r="AM1252" s="13"/>
      <c r="AN1252" s="13"/>
      <c r="AO1252" s="5"/>
      <c r="AP1252" s="5"/>
      <c r="AQ1252" s="5"/>
      <c r="AR1252" s="5"/>
      <c r="AS1252" s="5"/>
      <c r="AT1252" s="5"/>
      <c r="AU1252" s="5"/>
      <c r="AV1252" s="5"/>
      <c r="AW1252" s="5"/>
      <c r="AX1252" s="5"/>
      <c r="AY1252" s="5"/>
      <c r="AZ1252" s="5"/>
      <c r="BA1252" s="5"/>
    </row>
    <row r="1253" spans="3:53" s="41" customFormat="1" x14ac:dyDescent="0.2">
      <c r="C1253" s="71"/>
      <c r="D1253" s="58"/>
      <c r="E1253" s="38"/>
      <c r="F1253" s="58"/>
      <c r="G1253" s="5"/>
      <c r="H1253" s="44"/>
      <c r="I1253" s="5"/>
      <c r="J1253" s="43"/>
      <c r="K1253" s="43"/>
      <c r="L1253" s="57"/>
      <c r="M1253" s="56"/>
      <c r="N1253" s="3"/>
      <c r="P1253" s="5"/>
      <c r="Q1253" s="5"/>
      <c r="R1253" s="5"/>
      <c r="T1253" s="56"/>
      <c r="U1253" s="77"/>
      <c r="V1253" s="77"/>
      <c r="AA1253" s="3"/>
      <c r="AF1253" s="5"/>
      <c r="AG1253" s="5"/>
      <c r="AH1253" s="5"/>
      <c r="AI1253" s="5"/>
      <c r="AJ1253" s="5"/>
      <c r="AK1253" s="5"/>
      <c r="AL1253" s="5"/>
      <c r="AM1253" s="13"/>
      <c r="AN1253" s="13"/>
      <c r="AO1253" s="5"/>
      <c r="AP1253" s="5"/>
      <c r="AQ1253" s="5"/>
      <c r="AR1253" s="5"/>
      <c r="AS1253" s="5"/>
      <c r="AT1253" s="5"/>
      <c r="AU1253" s="5"/>
      <c r="AV1253" s="5"/>
      <c r="AW1253" s="5"/>
      <c r="AX1253" s="5"/>
      <c r="AY1253" s="5"/>
      <c r="AZ1253" s="5"/>
      <c r="BA1253" s="5"/>
    </row>
    <row r="1254" spans="3:53" s="41" customFormat="1" x14ac:dyDescent="0.2">
      <c r="C1254" s="71"/>
      <c r="D1254" s="58"/>
      <c r="E1254" s="38"/>
      <c r="F1254" s="58"/>
      <c r="G1254" s="5"/>
      <c r="H1254" s="44"/>
      <c r="I1254" s="5"/>
      <c r="J1254" s="43"/>
      <c r="K1254" s="43"/>
      <c r="L1254" s="57"/>
      <c r="M1254" s="56"/>
      <c r="N1254" s="3"/>
      <c r="P1254" s="5"/>
      <c r="Q1254" s="5"/>
      <c r="R1254" s="5"/>
      <c r="T1254" s="56"/>
      <c r="U1254" s="77"/>
      <c r="V1254" s="77"/>
      <c r="AA1254" s="3"/>
      <c r="AF1254" s="5"/>
      <c r="AG1254" s="5"/>
      <c r="AH1254" s="5"/>
      <c r="AI1254" s="5"/>
      <c r="AJ1254" s="5"/>
      <c r="AK1254" s="5"/>
      <c r="AL1254" s="5"/>
      <c r="AM1254" s="13"/>
      <c r="AN1254" s="13"/>
      <c r="AO1254" s="5"/>
      <c r="AP1254" s="5"/>
      <c r="AQ1254" s="5"/>
      <c r="AR1254" s="5"/>
      <c r="AS1254" s="5"/>
      <c r="AT1254" s="5"/>
      <c r="AU1254" s="5"/>
      <c r="AV1254" s="5"/>
      <c r="AW1254" s="5"/>
      <c r="AX1254" s="5"/>
      <c r="AY1254" s="5"/>
      <c r="AZ1254" s="5"/>
      <c r="BA1254" s="5"/>
    </row>
    <row r="1255" spans="3:53" s="41" customFormat="1" x14ac:dyDescent="0.2">
      <c r="C1255" s="71"/>
      <c r="D1255" s="58"/>
      <c r="E1255" s="38"/>
      <c r="F1255" s="58"/>
      <c r="G1255" s="5"/>
      <c r="H1255" s="44"/>
      <c r="I1255" s="5"/>
      <c r="J1255" s="43"/>
      <c r="K1255" s="43"/>
      <c r="L1255" s="57"/>
      <c r="M1255" s="56"/>
      <c r="N1255" s="3"/>
      <c r="P1255" s="5"/>
      <c r="Q1255" s="5"/>
      <c r="R1255" s="5"/>
      <c r="T1255" s="56"/>
      <c r="U1255" s="77"/>
      <c r="V1255" s="77"/>
      <c r="AA1255" s="3"/>
      <c r="AF1255" s="5"/>
      <c r="AG1255" s="5"/>
      <c r="AH1255" s="5"/>
      <c r="AI1255" s="5"/>
      <c r="AJ1255" s="5"/>
      <c r="AK1255" s="5"/>
      <c r="AL1255" s="5"/>
      <c r="AM1255" s="13"/>
      <c r="AN1255" s="13"/>
      <c r="AO1255" s="5"/>
      <c r="AP1255" s="5"/>
      <c r="AQ1255" s="5"/>
      <c r="AR1255" s="5"/>
      <c r="AS1255" s="5"/>
      <c r="AT1255" s="5"/>
      <c r="AU1255" s="5"/>
      <c r="AV1255" s="5"/>
      <c r="AW1255" s="5"/>
      <c r="AX1255" s="5"/>
      <c r="AY1255" s="5"/>
      <c r="AZ1255" s="5"/>
      <c r="BA1255" s="5"/>
    </row>
    <row r="1256" spans="3:53" s="41" customFormat="1" x14ac:dyDescent="0.2">
      <c r="C1256" s="71"/>
      <c r="D1256" s="58"/>
      <c r="E1256" s="38"/>
      <c r="F1256" s="58"/>
      <c r="G1256" s="5"/>
      <c r="H1256" s="44"/>
      <c r="I1256" s="5"/>
      <c r="J1256" s="43"/>
      <c r="K1256" s="43"/>
      <c r="L1256" s="57"/>
      <c r="M1256" s="56"/>
      <c r="N1256" s="3"/>
      <c r="P1256" s="5"/>
      <c r="Q1256" s="5"/>
      <c r="R1256" s="5"/>
      <c r="T1256" s="56"/>
      <c r="U1256" s="77"/>
      <c r="V1256" s="77"/>
      <c r="AA1256" s="3"/>
      <c r="AF1256" s="5"/>
      <c r="AG1256" s="5"/>
      <c r="AH1256" s="5"/>
      <c r="AI1256" s="5"/>
      <c r="AJ1256" s="5"/>
      <c r="AK1256" s="5"/>
      <c r="AL1256" s="5"/>
      <c r="AM1256" s="13"/>
      <c r="AN1256" s="13"/>
      <c r="AO1256" s="5"/>
      <c r="AP1256" s="5"/>
      <c r="AQ1256" s="5"/>
      <c r="AR1256" s="5"/>
      <c r="AS1256" s="5"/>
      <c r="AT1256" s="5"/>
      <c r="AU1256" s="5"/>
      <c r="AV1256" s="5"/>
      <c r="AW1256" s="5"/>
      <c r="AX1256" s="5"/>
      <c r="AY1256" s="5"/>
      <c r="AZ1256" s="5"/>
      <c r="BA1256" s="5"/>
    </row>
    <row r="1257" spans="3:53" s="41" customFormat="1" x14ac:dyDescent="0.2">
      <c r="C1257" s="71"/>
      <c r="D1257" s="58"/>
      <c r="E1257" s="38"/>
      <c r="F1257" s="58"/>
      <c r="G1257" s="5"/>
      <c r="H1257" s="44"/>
      <c r="I1257" s="5"/>
      <c r="J1257" s="43"/>
      <c r="K1257" s="43"/>
      <c r="L1257" s="57"/>
      <c r="M1257" s="56"/>
      <c r="N1257" s="3"/>
      <c r="P1257" s="5"/>
      <c r="Q1257" s="5"/>
      <c r="R1257" s="5"/>
      <c r="T1257" s="56"/>
      <c r="U1257" s="77"/>
      <c r="V1257" s="77"/>
      <c r="AA1257" s="3"/>
      <c r="AF1257" s="5"/>
      <c r="AG1257" s="5"/>
      <c r="AH1257" s="5"/>
      <c r="AI1257" s="5"/>
      <c r="AJ1257" s="5"/>
      <c r="AK1257" s="5"/>
      <c r="AL1257" s="5"/>
      <c r="AM1257" s="13"/>
      <c r="AN1257" s="13"/>
      <c r="AO1257" s="5"/>
      <c r="AP1257" s="5"/>
      <c r="AQ1257" s="5"/>
      <c r="AR1257" s="5"/>
      <c r="AS1257" s="5"/>
      <c r="AT1257" s="5"/>
      <c r="AU1257" s="5"/>
      <c r="AV1257" s="5"/>
      <c r="AW1257" s="5"/>
      <c r="AX1257" s="5"/>
      <c r="AY1257" s="5"/>
      <c r="AZ1257" s="5"/>
      <c r="BA1257" s="5"/>
    </row>
    <row r="1258" spans="3:53" s="41" customFormat="1" x14ac:dyDescent="0.2">
      <c r="C1258" s="71"/>
      <c r="D1258" s="58"/>
      <c r="E1258" s="38"/>
      <c r="F1258" s="58"/>
      <c r="G1258" s="5"/>
      <c r="H1258" s="44"/>
      <c r="I1258" s="5"/>
      <c r="J1258" s="43"/>
      <c r="K1258" s="43"/>
      <c r="L1258" s="57"/>
      <c r="M1258" s="56"/>
      <c r="N1258" s="3"/>
      <c r="P1258" s="5"/>
      <c r="Q1258" s="5"/>
      <c r="R1258" s="5"/>
      <c r="T1258" s="56"/>
      <c r="U1258" s="77"/>
      <c r="V1258" s="77"/>
      <c r="AA1258" s="3"/>
      <c r="AF1258" s="5"/>
      <c r="AG1258" s="5"/>
      <c r="AH1258" s="5"/>
      <c r="AI1258" s="5"/>
      <c r="AJ1258" s="5"/>
      <c r="AK1258" s="5"/>
      <c r="AL1258" s="5"/>
      <c r="AM1258" s="13"/>
      <c r="AN1258" s="13"/>
      <c r="AO1258" s="5"/>
      <c r="AP1258" s="5"/>
      <c r="AQ1258" s="5"/>
      <c r="AR1258" s="5"/>
      <c r="AS1258" s="5"/>
      <c r="AT1258" s="5"/>
      <c r="AU1258" s="5"/>
      <c r="AV1258" s="5"/>
      <c r="AW1258" s="5"/>
      <c r="AX1258" s="5"/>
      <c r="AY1258" s="5"/>
      <c r="AZ1258" s="5"/>
      <c r="BA1258" s="5"/>
    </row>
    <row r="1259" spans="3:53" s="41" customFormat="1" x14ac:dyDescent="0.2">
      <c r="C1259" s="71"/>
      <c r="D1259" s="58"/>
      <c r="E1259" s="38"/>
      <c r="F1259" s="58"/>
      <c r="G1259" s="5"/>
      <c r="H1259" s="44"/>
      <c r="I1259" s="5"/>
      <c r="J1259" s="43"/>
      <c r="K1259" s="43"/>
      <c r="L1259" s="57"/>
      <c r="M1259" s="56"/>
      <c r="N1259" s="3"/>
      <c r="P1259" s="5"/>
      <c r="Q1259" s="5"/>
      <c r="R1259" s="5"/>
      <c r="T1259" s="56"/>
      <c r="U1259" s="77"/>
      <c r="V1259" s="77"/>
      <c r="AA1259" s="3"/>
      <c r="AF1259" s="5"/>
      <c r="AG1259" s="5"/>
      <c r="AH1259" s="5"/>
      <c r="AI1259" s="5"/>
      <c r="AJ1259" s="5"/>
      <c r="AK1259" s="5"/>
      <c r="AL1259" s="5"/>
      <c r="AM1259" s="13"/>
      <c r="AN1259" s="13"/>
      <c r="AO1259" s="5"/>
      <c r="AP1259" s="5"/>
      <c r="AQ1259" s="5"/>
      <c r="AR1259" s="5"/>
      <c r="AS1259" s="5"/>
      <c r="AT1259" s="5"/>
      <c r="AU1259" s="5"/>
      <c r="AV1259" s="5"/>
      <c r="AW1259" s="5"/>
      <c r="AX1259" s="5"/>
      <c r="AY1259" s="5"/>
      <c r="AZ1259" s="5"/>
      <c r="BA1259" s="5"/>
    </row>
    <row r="1260" spans="3:53" s="41" customFormat="1" x14ac:dyDescent="0.2">
      <c r="C1260" s="71"/>
      <c r="D1260" s="58"/>
      <c r="E1260" s="38"/>
      <c r="F1260" s="58"/>
      <c r="G1260" s="5"/>
      <c r="H1260" s="44"/>
      <c r="I1260" s="5"/>
      <c r="J1260" s="43"/>
      <c r="K1260" s="43"/>
      <c r="L1260" s="57"/>
      <c r="M1260" s="56"/>
      <c r="N1260" s="3"/>
      <c r="P1260" s="5"/>
      <c r="Q1260" s="5"/>
      <c r="R1260" s="5"/>
      <c r="T1260" s="56"/>
      <c r="U1260" s="77"/>
      <c r="V1260" s="77"/>
      <c r="AA1260" s="3"/>
      <c r="AF1260" s="5"/>
      <c r="AG1260" s="5"/>
      <c r="AH1260" s="5"/>
      <c r="AI1260" s="5"/>
      <c r="AJ1260" s="5"/>
      <c r="AK1260" s="5"/>
      <c r="AL1260" s="5"/>
      <c r="AM1260" s="13"/>
      <c r="AN1260" s="13"/>
      <c r="AO1260" s="5"/>
      <c r="AP1260" s="5"/>
      <c r="AQ1260" s="5"/>
      <c r="AR1260" s="5"/>
      <c r="AS1260" s="5"/>
      <c r="AT1260" s="5"/>
      <c r="AU1260" s="5"/>
      <c r="AV1260" s="5"/>
      <c r="AW1260" s="5"/>
      <c r="AX1260" s="5"/>
      <c r="AY1260" s="5"/>
      <c r="AZ1260" s="5"/>
      <c r="BA1260" s="5"/>
    </row>
    <row r="1261" spans="3:53" s="41" customFormat="1" x14ac:dyDescent="0.2">
      <c r="C1261" s="71"/>
      <c r="D1261" s="58"/>
      <c r="E1261" s="38"/>
      <c r="F1261" s="58"/>
      <c r="G1261" s="5"/>
      <c r="H1261" s="44"/>
      <c r="I1261" s="5"/>
      <c r="J1261" s="43"/>
      <c r="K1261" s="43"/>
      <c r="L1261" s="57"/>
      <c r="M1261" s="56"/>
      <c r="N1261" s="3"/>
      <c r="P1261" s="5"/>
      <c r="Q1261" s="5"/>
      <c r="R1261" s="5"/>
      <c r="T1261" s="56"/>
      <c r="U1261" s="77"/>
      <c r="V1261" s="77"/>
      <c r="AA1261" s="3"/>
      <c r="AF1261" s="5"/>
      <c r="AG1261" s="5"/>
      <c r="AH1261" s="5"/>
      <c r="AI1261" s="5"/>
      <c r="AJ1261" s="5"/>
      <c r="AK1261" s="5"/>
      <c r="AL1261" s="5"/>
      <c r="AM1261" s="13"/>
      <c r="AN1261" s="13"/>
      <c r="AO1261" s="5"/>
      <c r="AP1261" s="5"/>
      <c r="AQ1261" s="5"/>
      <c r="AR1261" s="5"/>
      <c r="AS1261" s="5"/>
      <c r="AT1261" s="5"/>
      <c r="AU1261" s="5"/>
      <c r="AV1261" s="5"/>
      <c r="AW1261" s="5"/>
      <c r="AX1261" s="5"/>
      <c r="AY1261" s="5"/>
      <c r="AZ1261" s="5"/>
      <c r="BA1261" s="5"/>
    </row>
    <row r="1262" spans="3:53" s="41" customFormat="1" x14ac:dyDescent="0.2">
      <c r="C1262" s="71"/>
      <c r="D1262" s="58"/>
      <c r="E1262" s="38"/>
      <c r="F1262" s="58"/>
      <c r="G1262" s="5"/>
      <c r="H1262" s="44"/>
      <c r="I1262" s="5"/>
      <c r="J1262" s="43"/>
      <c r="K1262" s="43"/>
      <c r="L1262" s="57"/>
      <c r="M1262" s="56"/>
      <c r="N1262" s="3"/>
      <c r="P1262" s="5"/>
      <c r="Q1262" s="5"/>
      <c r="R1262" s="5"/>
      <c r="T1262" s="56"/>
      <c r="U1262" s="77"/>
      <c r="V1262" s="77"/>
      <c r="AA1262" s="3"/>
      <c r="AF1262" s="5"/>
      <c r="AG1262" s="5"/>
      <c r="AH1262" s="5"/>
      <c r="AI1262" s="5"/>
      <c r="AJ1262" s="5"/>
      <c r="AK1262" s="5"/>
      <c r="AL1262" s="5"/>
      <c r="AM1262" s="13"/>
      <c r="AN1262" s="13"/>
      <c r="AO1262" s="5"/>
      <c r="AP1262" s="5"/>
      <c r="AQ1262" s="5"/>
      <c r="AR1262" s="5"/>
      <c r="AS1262" s="5"/>
      <c r="AT1262" s="5"/>
      <c r="AU1262" s="5"/>
      <c r="AV1262" s="5"/>
      <c r="AW1262" s="5"/>
      <c r="AX1262" s="5"/>
      <c r="AY1262" s="5"/>
      <c r="AZ1262" s="5"/>
      <c r="BA1262" s="5"/>
    </row>
    <row r="1263" spans="3:53" s="41" customFormat="1" x14ac:dyDescent="0.2">
      <c r="C1263" s="71"/>
      <c r="D1263" s="58"/>
      <c r="E1263" s="38"/>
      <c r="F1263" s="58"/>
      <c r="G1263" s="5"/>
      <c r="H1263" s="44"/>
      <c r="I1263" s="5"/>
      <c r="J1263" s="43"/>
      <c r="K1263" s="43"/>
      <c r="L1263" s="57"/>
      <c r="M1263" s="56"/>
      <c r="N1263" s="3"/>
      <c r="P1263" s="5"/>
      <c r="Q1263" s="5"/>
      <c r="R1263" s="5"/>
      <c r="T1263" s="56"/>
      <c r="U1263" s="77"/>
      <c r="V1263" s="77"/>
      <c r="AA1263" s="3"/>
      <c r="AF1263" s="5"/>
      <c r="AG1263" s="5"/>
      <c r="AH1263" s="5"/>
      <c r="AI1263" s="5"/>
      <c r="AJ1263" s="5"/>
      <c r="AK1263" s="5"/>
      <c r="AL1263" s="5"/>
      <c r="AM1263" s="13"/>
      <c r="AN1263" s="13"/>
      <c r="AO1263" s="5"/>
      <c r="AP1263" s="5"/>
      <c r="AQ1263" s="5"/>
      <c r="AR1263" s="5"/>
      <c r="AS1263" s="5"/>
      <c r="AT1263" s="5"/>
      <c r="AU1263" s="5"/>
      <c r="AV1263" s="5"/>
      <c r="AW1263" s="5"/>
      <c r="AX1263" s="5"/>
      <c r="AY1263" s="5"/>
      <c r="AZ1263" s="5"/>
      <c r="BA1263" s="5"/>
    </row>
    <row r="1264" spans="3:53" s="41" customFormat="1" x14ac:dyDescent="0.2">
      <c r="C1264" s="71"/>
      <c r="D1264" s="58"/>
      <c r="E1264" s="38"/>
      <c r="F1264" s="58"/>
      <c r="G1264" s="5"/>
      <c r="H1264" s="44"/>
      <c r="I1264" s="5"/>
      <c r="J1264" s="43"/>
      <c r="K1264" s="43"/>
      <c r="L1264" s="57"/>
      <c r="M1264" s="56"/>
      <c r="N1264" s="3"/>
      <c r="P1264" s="5"/>
      <c r="Q1264" s="5"/>
      <c r="R1264" s="5"/>
      <c r="T1264" s="56"/>
      <c r="U1264" s="77"/>
      <c r="V1264" s="77"/>
      <c r="AA1264" s="3"/>
      <c r="AF1264" s="5"/>
      <c r="AG1264" s="5"/>
      <c r="AH1264" s="5"/>
      <c r="AI1264" s="5"/>
      <c r="AJ1264" s="5"/>
      <c r="AK1264" s="5"/>
      <c r="AL1264" s="5"/>
      <c r="AM1264" s="13"/>
      <c r="AN1264" s="13"/>
      <c r="AO1264" s="5"/>
      <c r="AP1264" s="5"/>
      <c r="AQ1264" s="5"/>
      <c r="AR1264" s="5"/>
      <c r="AS1264" s="5"/>
      <c r="AT1264" s="5"/>
      <c r="AU1264" s="5"/>
      <c r="AV1264" s="5"/>
      <c r="AW1264" s="5"/>
      <c r="AX1264" s="5"/>
      <c r="AY1264" s="5"/>
      <c r="AZ1264" s="5"/>
      <c r="BA1264" s="5"/>
    </row>
    <row r="1265" spans="3:53" s="41" customFormat="1" x14ac:dyDescent="0.2">
      <c r="C1265" s="71"/>
      <c r="D1265" s="58"/>
      <c r="E1265" s="38"/>
      <c r="F1265" s="58"/>
      <c r="G1265" s="5"/>
      <c r="H1265" s="44"/>
      <c r="I1265" s="5"/>
      <c r="J1265" s="43"/>
      <c r="K1265" s="43"/>
      <c r="L1265" s="57"/>
      <c r="M1265" s="56"/>
      <c r="N1265" s="3"/>
      <c r="P1265" s="5"/>
      <c r="Q1265" s="5"/>
      <c r="R1265" s="5"/>
      <c r="T1265" s="56"/>
      <c r="U1265" s="77"/>
      <c r="V1265" s="77"/>
      <c r="AA1265" s="3"/>
      <c r="AF1265" s="5"/>
      <c r="AG1265" s="5"/>
      <c r="AH1265" s="5"/>
      <c r="AI1265" s="5"/>
      <c r="AJ1265" s="5"/>
      <c r="AK1265" s="5"/>
      <c r="AL1265" s="5"/>
      <c r="AM1265" s="13"/>
      <c r="AN1265" s="13"/>
      <c r="AO1265" s="5"/>
      <c r="AP1265" s="5"/>
      <c r="AQ1265" s="5"/>
      <c r="AR1265" s="5"/>
      <c r="AS1265" s="5"/>
      <c r="AT1265" s="5"/>
      <c r="AU1265" s="5"/>
      <c r="AV1265" s="5"/>
      <c r="AW1265" s="5"/>
      <c r="AX1265" s="5"/>
      <c r="AY1265" s="5"/>
      <c r="AZ1265" s="5"/>
      <c r="BA1265" s="5"/>
    </row>
    <row r="1266" spans="3:53" s="41" customFormat="1" x14ac:dyDescent="0.2">
      <c r="C1266" s="71"/>
      <c r="D1266" s="58"/>
      <c r="E1266" s="38"/>
      <c r="F1266" s="58"/>
      <c r="G1266" s="5"/>
      <c r="H1266" s="44"/>
      <c r="I1266" s="5"/>
      <c r="J1266" s="43"/>
      <c r="K1266" s="43"/>
      <c r="L1266" s="57"/>
      <c r="M1266" s="56"/>
      <c r="N1266" s="3"/>
      <c r="P1266" s="5"/>
      <c r="Q1266" s="5"/>
      <c r="R1266" s="5"/>
      <c r="T1266" s="56"/>
      <c r="U1266" s="77"/>
      <c r="V1266" s="77"/>
      <c r="AA1266" s="3"/>
      <c r="AF1266" s="5"/>
      <c r="AG1266" s="5"/>
      <c r="AH1266" s="5"/>
      <c r="AI1266" s="5"/>
      <c r="AJ1266" s="5"/>
      <c r="AK1266" s="5"/>
      <c r="AL1266" s="5"/>
      <c r="AM1266" s="13"/>
      <c r="AN1266" s="13"/>
      <c r="AO1266" s="5"/>
      <c r="AP1266" s="5"/>
      <c r="AQ1266" s="5"/>
      <c r="AR1266" s="5"/>
      <c r="AS1266" s="5"/>
      <c r="AT1266" s="5"/>
      <c r="AU1266" s="5"/>
      <c r="AV1266" s="5"/>
      <c r="AW1266" s="5"/>
      <c r="AX1266" s="5"/>
      <c r="AY1266" s="5"/>
      <c r="AZ1266" s="5"/>
      <c r="BA1266" s="5"/>
    </row>
    <row r="1267" spans="3:53" s="41" customFormat="1" x14ac:dyDescent="0.2">
      <c r="C1267" s="71"/>
      <c r="D1267" s="58"/>
      <c r="E1267" s="38"/>
      <c r="F1267" s="58"/>
      <c r="G1267" s="5"/>
      <c r="H1267" s="44"/>
      <c r="I1267" s="5"/>
      <c r="J1267" s="43"/>
      <c r="K1267" s="43"/>
      <c r="L1267" s="57"/>
      <c r="M1267" s="56"/>
      <c r="N1267" s="3"/>
      <c r="P1267" s="5"/>
      <c r="Q1267" s="5"/>
      <c r="R1267" s="5"/>
      <c r="T1267" s="56"/>
      <c r="U1267" s="77"/>
      <c r="V1267" s="77"/>
      <c r="AA1267" s="3"/>
      <c r="AF1267" s="5"/>
      <c r="AG1267" s="5"/>
      <c r="AH1267" s="5"/>
      <c r="AI1267" s="5"/>
      <c r="AJ1267" s="5"/>
      <c r="AK1267" s="5"/>
      <c r="AL1267" s="5"/>
      <c r="AM1267" s="13"/>
      <c r="AN1267" s="13"/>
      <c r="AO1267" s="5"/>
      <c r="AP1267" s="5"/>
      <c r="AQ1267" s="5"/>
      <c r="AR1267" s="5"/>
      <c r="AS1267" s="5"/>
      <c r="AT1267" s="5"/>
      <c r="AU1267" s="5"/>
      <c r="AV1267" s="5"/>
      <c r="AW1267" s="5"/>
      <c r="AX1267" s="5"/>
      <c r="AY1267" s="5"/>
      <c r="AZ1267" s="5"/>
      <c r="BA1267" s="5"/>
    </row>
    <row r="1268" spans="3:53" s="41" customFormat="1" x14ac:dyDescent="0.2">
      <c r="C1268" s="71"/>
      <c r="D1268" s="58"/>
      <c r="E1268" s="38"/>
      <c r="F1268" s="58"/>
      <c r="G1268" s="5"/>
      <c r="H1268" s="44"/>
      <c r="I1268" s="5"/>
      <c r="J1268" s="43"/>
      <c r="K1268" s="43"/>
      <c r="L1268" s="57"/>
      <c r="M1268" s="56"/>
      <c r="N1268" s="3"/>
      <c r="P1268" s="5"/>
      <c r="Q1268" s="5"/>
      <c r="R1268" s="5"/>
      <c r="T1268" s="56"/>
      <c r="U1268" s="77"/>
      <c r="V1268" s="77"/>
      <c r="AA1268" s="3"/>
      <c r="AF1268" s="5"/>
      <c r="AG1268" s="5"/>
      <c r="AH1268" s="5"/>
      <c r="AI1268" s="5"/>
      <c r="AJ1268" s="5"/>
      <c r="AK1268" s="5"/>
      <c r="AL1268" s="5"/>
      <c r="AM1268" s="13"/>
      <c r="AN1268" s="13"/>
      <c r="AO1268" s="5"/>
      <c r="AP1268" s="5"/>
      <c r="AQ1268" s="5"/>
      <c r="AR1268" s="5"/>
      <c r="AS1268" s="5"/>
      <c r="AT1268" s="5"/>
      <c r="AU1268" s="5"/>
      <c r="AV1268" s="5"/>
      <c r="AW1268" s="5"/>
      <c r="AX1268" s="5"/>
      <c r="AY1268" s="5"/>
      <c r="AZ1268" s="5"/>
      <c r="BA1268" s="5"/>
    </row>
    <row r="1269" spans="3:53" s="41" customFormat="1" x14ac:dyDescent="0.2">
      <c r="C1269" s="71"/>
      <c r="D1269" s="58"/>
      <c r="E1269" s="38"/>
      <c r="F1269" s="58"/>
      <c r="G1269" s="5"/>
      <c r="H1269" s="44"/>
      <c r="I1269" s="5"/>
      <c r="J1269" s="43"/>
      <c r="K1269" s="43"/>
      <c r="L1269" s="57"/>
      <c r="M1269" s="56"/>
      <c r="N1269" s="3"/>
      <c r="P1269" s="5"/>
      <c r="Q1269" s="5"/>
      <c r="R1269" s="5"/>
      <c r="T1269" s="56"/>
      <c r="U1269" s="77"/>
      <c r="V1269" s="77"/>
      <c r="AA1269" s="3"/>
      <c r="AF1269" s="5"/>
      <c r="AG1269" s="5"/>
      <c r="AH1269" s="5"/>
      <c r="AI1269" s="5"/>
      <c r="AJ1269" s="5"/>
      <c r="AK1269" s="5"/>
      <c r="AL1269" s="5"/>
      <c r="AM1269" s="13"/>
      <c r="AN1269" s="13"/>
      <c r="AO1269" s="5"/>
      <c r="AP1269" s="5"/>
      <c r="AQ1269" s="5"/>
      <c r="AR1269" s="5"/>
      <c r="AS1269" s="5"/>
      <c r="AT1269" s="5"/>
      <c r="AU1269" s="5"/>
      <c r="AV1269" s="5"/>
      <c r="AW1269" s="5"/>
      <c r="AX1269" s="5"/>
      <c r="AY1269" s="5"/>
      <c r="AZ1269" s="5"/>
      <c r="BA1269" s="5"/>
    </row>
    <row r="1270" spans="3:53" s="41" customFormat="1" x14ac:dyDescent="0.2">
      <c r="C1270" s="71"/>
      <c r="D1270" s="58"/>
      <c r="E1270" s="38"/>
      <c r="F1270" s="58"/>
      <c r="G1270" s="5"/>
      <c r="H1270" s="44"/>
      <c r="I1270" s="5"/>
      <c r="J1270" s="43"/>
      <c r="K1270" s="43"/>
      <c r="L1270" s="57"/>
      <c r="M1270" s="56"/>
      <c r="N1270" s="3"/>
      <c r="P1270" s="5"/>
      <c r="Q1270" s="5"/>
      <c r="R1270" s="5"/>
      <c r="T1270" s="56"/>
      <c r="U1270" s="77"/>
      <c r="V1270" s="77"/>
      <c r="AA1270" s="3"/>
      <c r="AF1270" s="5"/>
      <c r="AG1270" s="5"/>
      <c r="AH1270" s="5"/>
      <c r="AI1270" s="5"/>
      <c r="AJ1270" s="5"/>
      <c r="AK1270" s="5"/>
      <c r="AL1270" s="5"/>
      <c r="AM1270" s="13"/>
      <c r="AN1270" s="13"/>
      <c r="AO1270" s="5"/>
      <c r="AP1270" s="5"/>
      <c r="AQ1270" s="5"/>
      <c r="AR1270" s="5"/>
      <c r="AS1270" s="5"/>
      <c r="AT1270" s="5"/>
      <c r="AU1270" s="5"/>
      <c r="AV1270" s="5"/>
      <c r="AW1270" s="5"/>
      <c r="AX1270" s="5"/>
      <c r="AY1270" s="5"/>
      <c r="AZ1270" s="5"/>
      <c r="BA1270" s="5"/>
    </row>
    <row r="1271" spans="3:53" s="41" customFormat="1" x14ac:dyDescent="0.2">
      <c r="C1271" s="71"/>
      <c r="D1271" s="58"/>
      <c r="E1271" s="38"/>
      <c r="F1271" s="58"/>
      <c r="G1271" s="5"/>
      <c r="H1271" s="44"/>
      <c r="I1271" s="5"/>
      <c r="J1271" s="43"/>
      <c r="K1271" s="43"/>
      <c r="L1271" s="57"/>
      <c r="M1271" s="56"/>
      <c r="N1271" s="3"/>
      <c r="P1271" s="5"/>
      <c r="Q1271" s="5"/>
      <c r="R1271" s="5"/>
      <c r="T1271" s="56"/>
      <c r="U1271" s="77"/>
      <c r="V1271" s="77"/>
      <c r="AA1271" s="3"/>
      <c r="AF1271" s="5"/>
      <c r="AG1271" s="5"/>
      <c r="AH1271" s="5"/>
      <c r="AI1271" s="5"/>
      <c r="AJ1271" s="5"/>
      <c r="AK1271" s="5"/>
      <c r="AL1271" s="5"/>
      <c r="AM1271" s="13"/>
      <c r="AN1271" s="13"/>
      <c r="AO1271" s="5"/>
      <c r="AP1271" s="5"/>
      <c r="AQ1271" s="5"/>
      <c r="AR1271" s="5"/>
      <c r="AS1271" s="5"/>
      <c r="AT1271" s="5"/>
      <c r="AU1271" s="5"/>
      <c r="AV1271" s="5"/>
      <c r="AW1271" s="5"/>
      <c r="AX1271" s="5"/>
      <c r="AY1271" s="5"/>
      <c r="AZ1271" s="5"/>
      <c r="BA1271" s="5"/>
    </row>
    <row r="1272" spans="3:53" s="41" customFormat="1" x14ac:dyDescent="0.2">
      <c r="C1272" s="71"/>
      <c r="D1272" s="58"/>
      <c r="E1272" s="38"/>
      <c r="F1272" s="58"/>
      <c r="G1272" s="5"/>
      <c r="H1272" s="44"/>
      <c r="I1272" s="5"/>
      <c r="J1272" s="43"/>
      <c r="K1272" s="43"/>
      <c r="L1272" s="57"/>
      <c r="M1272" s="56"/>
      <c r="N1272" s="3"/>
      <c r="P1272" s="5"/>
      <c r="Q1272" s="5"/>
      <c r="R1272" s="5"/>
      <c r="T1272" s="56"/>
      <c r="U1272" s="77"/>
      <c r="V1272" s="77"/>
      <c r="AA1272" s="3"/>
      <c r="AF1272" s="5"/>
      <c r="AG1272" s="5"/>
      <c r="AH1272" s="5"/>
      <c r="AI1272" s="5"/>
      <c r="AJ1272" s="5"/>
      <c r="AK1272" s="5"/>
      <c r="AL1272" s="5"/>
      <c r="AM1272" s="13"/>
      <c r="AN1272" s="13"/>
      <c r="AO1272" s="5"/>
      <c r="AP1272" s="5"/>
      <c r="AQ1272" s="5"/>
      <c r="AR1272" s="5"/>
      <c r="AS1272" s="5"/>
      <c r="AT1272" s="5"/>
      <c r="AU1272" s="5"/>
      <c r="AV1272" s="5"/>
      <c r="AW1272" s="5"/>
      <c r="AX1272" s="5"/>
      <c r="AY1272" s="5"/>
      <c r="AZ1272" s="5"/>
      <c r="BA1272" s="5"/>
    </row>
    <row r="1273" spans="3:53" s="41" customFormat="1" x14ac:dyDescent="0.2">
      <c r="C1273" s="71"/>
      <c r="D1273" s="58"/>
      <c r="E1273" s="38"/>
      <c r="F1273" s="58"/>
      <c r="G1273" s="5"/>
      <c r="H1273" s="44"/>
      <c r="I1273" s="5"/>
      <c r="J1273" s="43"/>
      <c r="K1273" s="43"/>
      <c r="L1273" s="57"/>
      <c r="M1273" s="56"/>
      <c r="N1273" s="3"/>
      <c r="P1273" s="5"/>
      <c r="Q1273" s="5"/>
      <c r="R1273" s="5"/>
      <c r="T1273" s="56"/>
      <c r="U1273" s="77"/>
      <c r="V1273" s="77"/>
      <c r="AA1273" s="3"/>
      <c r="AF1273" s="5"/>
      <c r="AG1273" s="5"/>
      <c r="AH1273" s="5"/>
      <c r="AI1273" s="5"/>
      <c r="AJ1273" s="5"/>
      <c r="AK1273" s="5"/>
      <c r="AL1273" s="5"/>
      <c r="AM1273" s="13"/>
      <c r="AN1273" s="13"/>
      <c r="AO1273" s="5"/>
      <c r="AP1273" s="5"/>
      <c r="AQ1273" s="5"/>
      <c r="AR1273" s="5"/>
      <c r="AS1273" s="5"/>
      <c r="AT1273" s="5"/>
      <c r="AU1273" s="5"/>
      <c r="AV1273" s="5"/>
      <c r="AW1273" s="5"/>
      <c r="AX1273" s="5"/>
      <c r="AY1273" s="5"/>
      <c r="AZ1273" s="5"/>
      <c r="BA1273" s="5"/>
    </row>
    <row r="1274" spans="3:53" s="41" customFormat="1" x14ac:dyDescent="0.2">
      <c r="C1274" s="71"/>
      <c r="D1274" s="58"/>
      <c r="E1274" s="38"/>
      <c r="F1274" s="58"/>
      <c r="G1274" s="5"/>
      <c r="H1274" s="44"/>
      <c r="I1274" s="5"/>
      <c r="J1274" s="43"/>
      <c r="K1274" s="43"/>
      <c r="L1274" s="57"/>
      <c r="M1274" s="56"/>
      <c r="N1274" s="3"/>
      <c r="P1274" s="5"/>
      <c r="Q1274" s="5"/>
      <c r="R1274" s="5"/>
      <c r="T1274" s="56"/>
      <c r="U1274" s="77"/>
      <c r="V1274" s="77"/>
      <c r="AA1274" s="3"/>
      <c r="AF1274" s="5"/>
      <c r="AG1274" s="5"/>
      <c r="AH1274" s="5"/>
      <c r="AI1274" s="5"/>
      <c r="AJ1274" s="5"/>
      <c r="AK1274" s="5"/>
      <c r="AL1274" s="5"/>
      <c r="AM1274" s="13"/>
      <c r="AN1274" s="13"/>
      <c r="AO1274" s="5"/>
      <c r="AP1274" s="5"/>
      <c r="AQ1274" s="5"/>
      <c r="AR1274" s="5"/>
      <c r="AS1274" s="5"/>
      <c r="AT1274" s="5"/>
      <c r="AU1274" s="5"/>
      <c r="AV1274" s="5"/>
      <c r="AW1274" s="5"/>
      <c r="AX1274" s="5"/>
      <c r="AY1274" s="5"/>
      <c r="AZ1274" s="5"/>
      <c r="BA1274" s="5"/>
    </row>
    <row r="1275" spans="3:53" s="41" customFormat="1" x14ac:dyDescent="0.2">
      <c r="C1275" s="71"/>
      <c r="D1275" s="58"/>
      <c r="E1275" s="38"/>
      <c r="F1275" s="58"/>
      <c r="G1275" s="5"/>
      <c r="H1275" s="44"/>
      <c r="I1275" s="5"/>
      <c r="J1275" s="43"/>
      <c r="K1275" s="43"/>
      <c r="L1275" s="57"/>
      <c r="M1275" s="56"/>
      <c r="N1275" s="3"/>
      <c r="P1275" s="5"/>
      <c r="Q1275" s="5"/>
      <c r="R1275" s="5"/>
      <c r="T1275" s="56"/>
      <c r="U1275" s="77"/>
      <c r="V1275" s="77"/>
      <c r="AA1275" s="3"/>
      <c r="AF1275" s="5"/>
      <c r="AG1275" s="5"/>
      <c r="AH1275" s="5"/>
      <c r="AI1275" s="5"/>
      <c r="AJ1275" s="5"/>
      <c r="AK1275" s="5"/>
      <c r="AL1275" s="5"/>
      <c r="AM1275" s="13"/>
      <c r="AN1275" s="13"/>
      <c r="AO1275" s="5"/>
      <c r="AP1275" s="5"/>
      <c r="AQ1275" s="5"/>
      <c r="AR1275" s="5"/>
      <c r="AS1275" s="5"/>
      <c r="AT1275" s="5"/>
      <c r="AU1275" s="5"/>
      <c r="AV1275" s="5"/>
      <c r="AW1275" s="5"/>
      <c r="AX1275" s="5"/>
      <c r="AY1275" s="5"/>
      <c r="AZ1275" s="5"/>
      <c r="BA1275" s="5"/>
    </row>
    <row r="1276" spans="3:53" s="41" customFormat="1" x14ac:dyDescent="0.2">
      <c r="C1276" s="71"/>
      <c r="D1276" s="58"/>
      <c r="E1276" s="38"/>
      <c r="F1276" s="58"/>
      <c r="G1276" s="5"/>
      <c r="H1276" s="44"/>
      <c r="I1276" s="5"/>
      <c r="J1276" s="43"/>
      <c r="K1276" s="43"/>
      <c r="L1276" s="57"/>
      <c r="M1276" s="56"/>
      <c r="N1276" s="3"/>
      <c r="P1276" s="5"/>
      <c r="Q1276" s="5"/>
      <c r="R1276" s="5"/>
      <c r="T1276" s="56"/>
      <c r="U1276" s="77"/>
      <c r="V1276" s="77"/>
      <c r="AA1276" s="3"/>
      <c r="AF1276" s="5"/>
      <c r="AG1276" s="5"/>
      <c r="AH1276" s="5"/>
      <c r="AI1276" s="5"/>
      <c r="AJ1276" s="5"/>
      <c r="AK1276" s="5"/>
      <c r="AL1276" s="5"/>
      <c r="AM1276" s="13"/>
      <c r="AN1276" s="13"/>
      <c r="AO1276" s="5"/>
      <c r="AP1276" s="5"/>
      <c r="AQ1276" s="5"/>
      <c r="AR1276" s="5"/>
      <c r="AS1276" s="5"/>
      <c r="AT1276" s="5"/>
      <c r="AU1276" s="5"/>
      <c r="AV1276" s="5"/>
      <c r="AW1276" s="5"/>
      <c r="AX1276" s="5"/>
      <c r="AY1276" s="5"/>
      <c r="AZ1276" s="5"/>
      <c r="BA1276" s="5"/>
    </row>
    <row r="1277" spans="3:53" s="41" customFormat="1" x14ac:dyDescent="0.2">
      <c r="C1277" s="71"/>
      <c r="D1277" s="58"/>
      <c r="E1277" s="38"/>
      <c r="F1277" s="58"/>
      <c r="G1277" s="5"/>
      <c r="H1277" s="44"/>
      <c r="I1277" s="5"/>
      <c r="J1277" s="43"/>
      <c r="K1277" s="43"/>
      <c r="L1277" s="57"/>
      <c r="M1277" s="56"/>
      <c r="N1277" s="3"/>
      <c r="P1277" s="5"/>
      <c r="Q1277" s="5"/>
      <c r="R1277" s="5"/>
      <c r="T1277" s="56"/>
      <c r="U1277" s="77"/>
      <c r="V1277" s="77"/>
      <c r="AA1277" s="3"/>
      <c r="AF1277" s="5"/>
      <c r="AG1277" s="5"/>
      <c r="AH1277" s="5"/>
      <c r="AI1277" s="5"/>
      <c r="AJ1277" s="5"/>
      <c r="AK1277" s="5"/>
      <c r="AL1277" s="5"/>
      <c r="AM1277" s="13"/>
      <c r="AN1277" s="13"/>
      <c r="AO1277" s="5"/>
      <c r="AP1277" s="5"/>
      <c r="AQ1277" s="5"/>
      <c r="AR1277" s="5"/>
      <c r="AS1277" s="5"/>
      <c r="AT1277" s="5"/>
      <c r="AU1277" s="5"/>
      <c r="AV1277" s="5"/>
      <c r="AW1277" s="5"/>
      <c r="AX1277" s="5"/>
      <c r="AY1277" s="5"/>
      <c r="AZ1277" s="5"/>
      <c r="BA1277" s="5"/>
    </row>
    <row r="1278" spans="3:53" s="41" customFormat="1" x14ac:dyDescent="0.2">
      <c r="C1278" s="71"/>
      <c r="D1278" s="58"/>
      <c r="E1278" s="38"/>
      <c r="F1278" s="58"/>
      <c r="G1278" s="5"/>
      <c r="H1278" s="44"/>
      <c r="I1278" s="5"/>
      <c r="J1278" s="43"/>
      <c r="K1278" s="43"/>
      <c r="L1278" s="57"/>
      <c r="M1278" s="56"/>
      <c r="N1278" s="3"/>
      <c r="P1278" s="5"/>
      <c r="Q1278" s="5"/>
      <c r="R1278" s="5"/>
      <c r="T1278" s="56"/>
      <c r="U1278" s="77"/>
      <c r="V1278" s="77"/>
      <c r="AA1278" s="3"/>
      <c r="AF1278" s="5"/>
      <c r="AG1278" s="5"/>
      <c r="AH1278" s="5"/>
      <c r="AI1278" s="5"/>
      <c r="AJ1278" s="5"/>
      <c r="AK1278" s="5"/>
      <c r="AL1278" s="5"/>
      <c r="AM1278" s="13"/>
      <c r="AN1278" s="13"/>
      <c r="AO1278" s="5"/>
      <c r="AP1278" s="5"/>
      <c r="AQ1278" s="5"/>
      <c r="AR1278" s="5"/>
      <c r="AS1278" s="5"/>
      <c r="AT1278" s="5"/>
      <c r="AU1278" s="5"/>
      <c r="AV1278" s="5"/>
      <c r="AW1278" s="5"/>
      <c r="AX1278" s="5"/>
      <c r="AY1278" s="5"/>
      <c r="AZ1278" s="5"/>
      <c r="BA1278" s="5"/>
    </row>
    <row r="1279" spans="3:53" s="41" customFormat="1" x14ac:dyDescent="0.2">
      <c r="C1279" s="71"/>
      <c r="D1279" s="58"/>
      <c r="E1279" s="38"/>
      <c r="F1279" s="58"/>
      <c r="G1279" s="5"/>
      <c r="H1279" s="44"/>
      <c r="I1279" s="5"/>
      <c r="J1279" s="43"/>
      <c r="K1279" s="43"/>
      <c r="L1279" s="57"/>
      <c r="M1279" s="56"/>
      <c r="N1279" s="3"/>
      <c r="P1279" s="5"/>
      <c r="Q1279" s="5"/>
      <c r="R1279" s="5"/>
      <c r="T1279" s="56"/>
      <c r="U1279" s="77"/>
      <c r="V1279" s="77"/>
      <c r="AA1279" s="3"/>
      <c r="AF1279" s="5"/>
      <c r="AG1279" s="5"/>
      <c r="AH1279" s="5"/>
      <c r="AI1279" s="5"/>
      <c r="AJ1279" s="5"/>
      <c r="AK1279" s="5"/>
      <c r="AL1279" s="5"/>
      <c r="AM1279" s="13"/>
      <c r="AN1279" s="13"/>
      <c r="AO1279" s="5"/>
      <c r="AP1279" s="5"/>
      <c r="AQ1279" s="5"/>
      <c r="AR1279" s="5"/>
      <c r="AS1279" s="5"/>
      <c r="AT1279" s="5"/>
      <c r="AU1279" s="5"/>
      <c r="AV1279" s="5"/>
      <c r="AW1279" s="5"/>
      <c r="AX1279" s="5"/>
      <c r="AY1279" s="5"/>
      <c r="AZ1279" s="5"/>
      <c r="BA1279" s="5"/>
    </row>
    <row r="1280" spans="3:53" s="41" customFormat="1" x14ac:dyDescent="0.2">
      <c r="C1280" s="71"/>
      <c r="D1280" s="58"/>
      <c r="E1280" s="38"/>
      <c r="F1280" s="58"/>
      <c r="G1280" s="5"/>
      <c r="H1280" s="44"/>
      <c r="I1280" s="5"/>
      <c r="J1280" s="43"/>
      <c r="K1280" s="43"/>
      <c r="L1280" s="57"/>
      <c r="M1280" s="56"/>
      <c r="N1280" s="3"/>
      <c r="P1280" s="5"/>
      <c r="Q1280" s="5"/>
      <c r="R1280" s="5"/>
      <c r="T1280" s="56"/>
      <c r="U1280" s="77"/>
      <c r="V1280" s="77"/>
      <c r="AA1280" s="3"/>
      <c r="AF1280" s="5"/>
      <c r="AG1280" s="5"/>
      <c r="AH1280" s="5"/>
      <c r="AI1280" s="5"/>
      <c r="AJ1280" s="5"/>
      <c r="AK1280" s="5"/>
      <c r="AL1280" s="5"/>
      <c r="AM1280" s="13"/>
      <c r="AN1280" s="13"/>
      <c r="AO1280" s="5"/>
      <c r="AP1280" s="5"/>
      <c r="AQ1280" s="5"/>
      <c r="AR1280" s="5"/>
      <c r="AS1280" s="5"/>
      <c r="AT1280" s="5"/>
      <c r="AU1280" s="5"/>
      <c r="AV1280" s="5"/>
      <c r="AW1280" s="5"/>
      <c r="AX1280" s="5"/>
      <c r="AY1280" s="5"/>
      <c r="AZ1280" s="5"/>
      <c r="BA1280" s="5"/>
    </row>
    <row r="1281" spans="3:53" s="41" customFormat="1" x14ac:dyDescent="0.2">
      <c r="C1281" s="71"/>
      <c r="D1281" s="58"/>
      <c r="E1281" s="38"/>
      <c r="F1281" s="58"/>
      <c r="G1281" s="5"/>
      <c r="H1281" s="44"/>
      <c r="I1281" s="5"/>
      <c r="J1281" s="43"/>
      <c r="K1281" s="43"/>
      <c r="L1281" s="57"/>
      <c r="M1281" s="56"/>
      <c r="N1281" s="3"/>
      <c r="P1281" s="5"/>
      <c r="Q1281" s="5"/>
      <c r="R1281" s="5"/>
      <c r="T1281" s="56"/>
      <c r="U1281" s="77"/>
      <c r="V1281" s="77"/>
      <c r="AA1281" s="3"/>
      <c r="AF1281" s="5"/>
      <c r="AG1281" s="5"/>
      <c r="AH1281" s="5"/>
      <c r="AI1281" s="5"/>
      <c r="AJ1281" s="5"/>
      <c r="AK1281" s="5"/>
      <c r="AL1281" s="5"/>
      <c r="AM1281" s="13"/>
      <c r="AN1281" s="13"/>
      <c r="AO1281" s="5"/>
      <c r="AP1281" s="5"/>
      <c r="AQ1281" s="5"/>
      <c r="AR1281" s="5"/>
      <c r="AS1281" s="5"/>
      <c r="AT1281" s="5"/>
      <c r="AU1281" s="5"/>
      <c r="AV1281" s="5"/>
      <c r="AW1281" s="5"/>
      <c r="AX1281" s="5"/>
      <c r="AY1281" s="5"/>
      <c r="AZ1281" s="5"/>
      <c r="BA1281" s="5"/>
    </row>
    <row r="1282" spans="3:53" s="41" customFormat="1" x14ac:dyDescent="0.2">
      <c r="C1282" s="71"/>
      <c r="D1282" s="58"/>
      <c r="E1282" s="38"/>
      <c r="F1282" s="58"/>
      <c r="G1282" s="5"/>
      <c r="H1282" s="44"/>
      <c r="I1282" s="5"/>
      <c r="J1282" s="43"/>
      <c r="K1282" s="43"/>
      <c r="L1282" s="57"/>
      <c r="M1282" s="56"/>
      <c r="N1282" s="3"/>
      <c r="P1282" s="5"/>
      <c r="Q1282" s="5"/>
      <c r="R1282" s="5"/>
      <c r="T1282" s="56"/>
      <c r="U1282" s="77"/>
      <c r="V1282" s="77"/>
      <c r="AA1282" s="3"/>
      <c r="AF1282" s="5"/>
      <c r="AG1282" s="5"/>
      <c r="AH1282" s="5"/>
      <c r="AI1282" s="5"/>
      <c r="AJ1282" s="5"/>
      <c r="AK1282" s="5"/>
      <c r="AL1282" s="5"/>
      <c r="AM1282" s="13"/>
      <c r="AN1282" s="13"/>
      <c r="AO1282" s="5"/>
      <c r="AP1282" s="5"/>
      <c r="AQ1282" s="5"/>
      <c r="AR1282" s="5"/>
      <c r="AS1282" s="5"/>
      <c r="AT1282" s="5"/>
      <c r="AU1282" s="5"/>
      <c r="AV1282" s="5"/>
      <c r="AW1282" s="5"/>
      <c r="AX1282" s="5"/>
      <c r="AY1282" s="5"/>
      <c r="AZ1282" s="5"/>
      <c r="BA1282" s="5"/>
    </row>
    <row r="1283" spans="3:53" s="41" customFormat="1" x14ac:dyDescent="0.2">
      <c r="C1283" s="71"/>
      <c r="D1283" s="58"/>
      <c r="E1283" s="38"/>
      <c r="F1283" s="58"/>
      <c r="G1283" s="5"/>
      <c r="H1283" s="44"/>
      <c r="I1283" s="5"/>
      <c r="J1283" s="43"/>
      <c r="K1283" s="43"/>
      <c r="L1283" s="57"/>
      <c r="M1283" s="56"/>
      <c r="N1283" s="3"/>
      <c r="P1283" s="5"/>
      <c r="Q1283" s="5"/>
      <c r="R1283" s="5"/>
      <c r="T1283" s="56"/>
      <c r="U1283" s="77"/>
      <c r="V1283" s="77"/>
      <c r="AA1283" s="3"/>
      <c r="AF1283" s="5"/>
      <c r="AG1283" s="5"/>
      <c r="AH1283" s="5"/>
      <c r="AI1283" s="5"/>
      <c r="AJ1283" s="5"/>
      <c r="AK1283" s="5"/>
      <c r="AL1283" s="5"/>
      <c r="AM1283" s="13"/>
      <c r="AN1283" s="13"/>
      <c r="AO1283" s="5"/>
      <c r="AP1283" s="5"/>
      <c r="AQ1283" s="5"/>
      <c r="AR1283" s="5"/>
      <c r="AS1283" s="5"/>
      <c r="AT1283" s="5"/>
      <c r="AU1283" s="5"/>
      <c r="AV1283" s="5"/>
      <c r="AW1283" s="5"/>
      <c r="AX1283" s="5"/>
      <c r="AY1283" s="5"/>
      <c r="AZ1283" s="5"/>
      <c r="BA1283" s="5"/>
    </row>
    <row r="1284" spans="3:53" s="41" customFormat="1" x14ac:dyDescent="0.2">
      <c r="C1284" s="71"/>
      <c r="D1284" s="58"/>
      <c r="E1284" s="38"/>
      <c r="F1284" s="58"/>
      <c r="G1284" s="5"/>
      <c r="H1284" s="44"/>
      <c r="I1284" s="5"/>
      <c r="J1284" s="43"/>
      <c r="K1284" s="43"/>
      <c r="L1284" s="57"/>
      <c r="M1284" s="56"/>
      <c r="N1284" s="3"/>
      <c r="P1284" s="5"/>
      <c r="Q1284" s="5"/>
      <c r="R1284" s="5"/>
      <c r="T1284" s="56"/>
      <c r="U1284" s="77"/>
      <c r="V1284" s="77"/>
      <c r="AA1284" s="3"/>
      <c r="AF1284" s="5"/>
      <c r="AG1284" s="5"/>
      <c r="AH1284" s="5"/>
      <c r="AI1284" s="5"/>
      <c r="AJ1284" s="5"/>
      <c r="AK1284" s="5"/>
      <c r="AL1284" s="5"/>
      <c r="AM1284" s="13"/>
      <c r="AN1284" s="13"/>
      <c r="AO1284" s="5"/>
      <c r="AP1284" s="5"/>
      <c r="AQ1284" s="5"/>
      <c r="AR1284" s="5"/>
      <c r="AS1284" s="5"/>
      <c r="AT1284" s="5"/>
      <c r="AU1284" s="5"/>
      <c r="AV1284" s="5"/>
      <c r="AW1284" s="5"/>
      <c r="AX1284" s="5"/>
      <c r="AY1284" s="5"/>
      <c r="AZ1284" s="5"/>
      <c r="BA1284" s="5"/>
    </row>
    <row r="1285" spans="3:53" s="41" customFormat="1" x14ac:dyDescent="0.2">
      <c r="C1285" s="71"/>
      <c r="D1285" s="58"/>
      <c r="E1285" s="38"/>
      <c r="F1285" s="58"/>
      <c r="G1285" s="5"/>
      <c r="H1285" s="44"/>
      <c r="I1285" s="5"/>
      <c r="J1285" s="43"/>
      <c r="K1285" s="43"/>
      <c r="L1285" s="57"/>
      <c r="M1285" s="56"/>
      <c r="N1285" s="3"/>
      <c r="P1285" s="5"/>
      <c r="Q1285" s="5"/>
      <c r="R1285" s="5"/>
      <c r="T1285" s="56"/>
      <c r="U1285" s="77"/>
      <c r="V1285" s="77"/>
      <c r="AA1285" s="3"/>
      <c r="AF1285" s="5"/>
      <c r="AG1285" s="5"/>
      <c r="AH1285" s="5"/>
      <c r="AI1285" s="5"/>
      <c r="AJ1285" s="5"/>
      <c r="AK1285" s="5"/>
      <c r="AL1285" s="5"/>
      <c r="AM1285" s="13"/>
      <c r="AN1285" s="13"/>
      <c r="AO1285" s="5"/>
      <c r="AP1285" s="5"/>
      <c r="AQ1285" s="5"/>
      <c r="AR1285" s="5"/>
      <c r="AS1285" s="5"/>
      <c r="AT1285" s="5"/>
      <c r="AU1285" s="5"/>
      <c r="AV1285" s="5"/>
      <c r="AW1285" s="5"/>
      <c r="AX1285" s="5"/>
      <c r="AY1285" s="5"/>
      <c r="AZ1285" s="5"/>
      <c r="BA1285" s="5"/>
    </row>
    <row r="1286" spans="3:53" s="41" customFormat="1" x14ac:dyDescent="0.2">
      <c r="C1286" s="71"/>
      <c r="D1286" s="58"/>
      <c r="E1286" s="38"/>
      <c r="F1286" s="58"/>
      <c r="G1286" s="5"/>
      <c r="H1286" s="44"/>
      <c r="I1286" s="5"/>
      <c r="J1286" s="43"/>
      <c r="K1286" s="43"/>
      <c r="L1286" s="57"/>
      <c r="M1286" s="56"/>
      <c r="N1286" s="3"/>
      <c r="P1286" s="5"/>
      <c r="Q1286" s="5"/>
      <c r="R1286" s="5"/>
      <c r="T1286" s="56"/>
      <c r="U1286" s="77"/>
      <c r="V1286" s="77"/>
      <c r="AA1286" s="3"/>
      <c r="AF1286" s="5"/>
      <c r="AG1286" s="5"/>
      <c r="AH1286" s="5"/>
      <c r="AI1286" s="5"/>
      <c r="AJ1286" s="5"/>
      <c r="AK1286" s="5"/>
      <c r="AL1286" s="5"/>
      <c r="AM1286" s="13"/>
      <c r="AN1286" s="13"/>
      <c r="AO1286" s="5"/>
      <c r="AP1286" s="5"/>
      <c r="AQ1286" s="5"/>
      <c r="AR1286" s="5"/>
      <c r="AS1286" s="5"/>
      <c r="AT1286" s="5"/>
      <c r="AU1286" s="5"/>
      <c r="AV1286" s="5"/>
      <c r="AW1286" s="5"/>
      <c r="AX1286" s="5"/>
      <c r="AY1286" s="5"/>
      <c r="AZ1286" s="5"/>
      <c r="BA1286" s="5"/>
    </row>
    <row r="1287" spans="3:53" s="41" customFormat="1" x14ac:dyDescent="0.2">
      <c r="C1287" s="71"/>
      <c r="D1287" s="58"/>
      <c r="E1287" s="38"/>
      <c r="F1287" s="58"/>
      <c r="G1287" s="5"/>
      <c r="H1287" s="44"/>
      <c r="I1287" s="5"/>
      <c r="J1287" s="43"/>
      <c r="K1287" s="43"/>
      <c r="L1287" s="57"/>
      <c r="M1287" s="56"/>
      <c r="N1287" s="3"/>
      <c r="P1287" s="5"/>
      <c r="Q1287" s="5"/>
      <c r="R1287" s="5"/>
      <c r="T1287" s="56"/>
      <c r="U1287" s="77"/>
      <c r="V1287" s="77"/>
      <c r="AA1287" s="3"/>
      <c r="AF1287" s="5"/>
      <c r="AG1287" s="5"/>
      <c r="AH1287" s="5"/>
      <c r="AI1287" s="5"/>
      <c r="AJ1287" s="5"/>
      <c r="AK1287" s="5"/>
      <c r="AL1287" s="5"/>
      <c r="AM1287" s="13"/>
      <c r="AN1287" s="13"/>
      <c r="AO1287" s="5"/>
      <c r="AP1287" s="5"/>
      <c r="AQ1287" s="5"/>
      <c r="AR1287" s="5"/>
      <c r="AS1287" s="5"/>
      <c r="AT1287" s="5"/>
      <c r="AU1287" s="5"/>
      <c r="AV1287" s="5"/>
      <c r="AW1287" s="5"/>
      <c r="AX1287" s="5"/>
      <c r="AY1287" s="5"/>
      <c r="AZ1287" s="5"/>
      <c r="BA1287" s="5"/>
    </row>
    <row r="1288" spans="3:53" s="41" customFormat="1" x14ac:dyDescent="0.2">
      <c r="C1288" s="71"/>
      <c r="D1288" s="58"/>
      <c r="E1288" s="38"/>
      <c r="F1288" s="58"/>
      <c r="G1288" s="5"/>
      <c r="H1288" s="44"/>
      <c r="I1288" s="5"/>
      <c r="J1288" s="43"/>
      <c r="K1288" s="43"/>
      <c r="L1288" s="57"/>
      <c r="M1288" s="56"/>
      <c r="N1288" s="3"/>
      <c r="P1288" s="5"/>
      <c r="Q1288" s="5"/>
      <c r="R1288" s="5"/>
      <c r="T1288" s="56"/>
      <c r="U1288" s="77"/>
      <c r="V1288" s="77"/>
      <c r="AA1288" s="3"/>
      <c r="AF1288" s="5"/>
      <c r="AG1288" s="5"/>
      <c r="AH1288" s="5"/>
      <c r="AI1288" s="5"/>
      <c r="AJ1288" s="5"/>
      <c r="AK1288" s="5"/>
      <c r="AL1288" s="5"/>
      <c r="AM1288" s="13"/>
      <c r="AN1288" s="13"/>
      <c r="AO1288" s="5"/>
      <c r="AP1288" s="5"/>
      <c r="AQ1288" s="5"/>
      <c r="AR1288" s="5"/>
      <c r="AS1288" s="5"/>
      <c r="AT1288" s="5"/>
      <c r="AU1288" s="5"/>
      <c r="AV1288" s="5"/>
      <c r="AW1288" s="5"/>
      <c r="AX1288" s="5"/>
      <c r="AY1288" s="5"/>
      <c r="AZ1288" s="5"/>
      <c r="BA1288" s="5"/>
    </row>
    <row r="1289" spans="3:53" s="41" customFormat="1" x14ac:dyDescent="0.2">
      <c r="C1289" s="71"/>
      <c r="D1289" s="58"/>
      <c r="E1289" s="38"/>
      <c r="F1289" s="58"/>
      <c r="G1289" s="5"/>
      <c r="H1289" s="44"/>
      <c r="I1289" s="5"/>
      <c r="J1289" s="43"/>
      <c r="K1289" s="43"/>
      <c r="L1289" s="57"/>
      <c r="M1289" s="56"/>
      <c r="N1289" s="3"/>
      <c r="P1289" s="5"/>
      <c r="Q1289" s="5"/>
      <c r="R1289" s="5"/>
      <c r="T1289" s="56"/>
      <c r="U1289" s="77"/>
      <c r="V1289" s="77"/>
      <c r="AA1289" s="3"/>
      <c r="AF1289" s="5"/>
      <c r="AG1289" s="5"/>
      <c r="AH1289" s="5"/>
      <c r="AI1289" s="5"/>
      <c r="AJ1289" s="5"/>
      <c r="AK1289" s="5"/>
      <c r="AL1289" s="5"/>
      <c r="AM1289" s="13"/>
      <c r="AN1289" s="13"/>
      <c r="AO1289" s="5"/>
      <c r="AP1289" s="5"/>
      <c r="AQ1289" s="5"/>
      <c r="AR1289" s="5"/>
      <c r="AS1289" s="5"/>
      <c r="AT1289" s="5"/>
      <c r="AU1289" s="5"/>
      <c r="AV1289" s="5"/>
      <c r="AW1289" s="5"/>
      <c r="AX1289" s="5"/>
      <c r="AY1289" s="5"/>
      <c r="AZ1289" s="5"/>
      <c r="BA1289" s="5"/>
    </row>
    <row r="1290" spans="3:53" s="41" customFormat="1" x14ac:dyDescent="0.2">
      <c r="C1290" s="71"/>
      <c r="D1290" s="58"/>
      <c r="E1290" s="38"/>
      <c r="F1290" s="58"/>
      <c r="G1290" s="5"/>
      <c r="H1290" s="44"/>
      <c r="I1290" s="5"/>
      <c r="J1290" s="43"/>
      <c r="K1290" s="43"/>
      <c r="L1290" s="57"/>
      <c r="M1290" s="56"/>
      <c r="N1290" s="3"/>
      <c r="P1290" s="5"/>
      <c r="Q1290" s="5"/>
      <c r="R1290" s="5"/>
      <c r="T1290" s="56"/>
      <c r="U1290" s="77"/>
      <c r="V1290" s="77"/>
      <c r="AA1290" s="3"/>
      <c r="AF1290" s="5"/>
      <c r="AG1290" s="5"/>
      <c r="AH1290" s="5"/>
      <c r="AI1290" s="5"/>
      <c r="AJ1290" s="5"/>
      <c r="AK1290" s="5"/>
      <c r="AL1290" s="5"/>
      <c r="AM1290" s="13"/>
      <c r="AN1290" s="13"/>
      <c r="AO1290" s="5"/>
      <c r="AP1290" s="5"/>
      <c r="AQ1290" s="5"/>
      <c r="AR1290" s="5"/>
      <c r="AS1290" s="5"/>
      <c r="AT1290" s="5"/>
      <c r="AU1290" s="5"/>
      <c r="AV1290" s="5"/>
      <c r="AW1290" s="5"/>
      <c r="AX1290" s="5"/>
      <c r="AY1290" s="5"/>
      <c r="AZ1290" s="5"/>
      <c r="BA1290" s="5"/>
    </row>
    <row r="1291" spans="3:53" s="41" customFormat="1" x14ac:dyDescent="0.2">
      <c r="C1291" s="71"/>
      <c r="D1291" s="58"/>
      <c r="E1291" s="38"/>
      <c r="F1291" s="58"/>
      <c r="G1291" s="5"/>
      <c r="H1291" s="44"/>
      <c r="I1291" s="5"/>
      <c r="J1291" s="43"/>
      <c r="K1291" s="43"/>
      <c r="L1291" s="57"/>
      <c r="M1291" s="56"/>
      <c r="N1291" s="3"/>
      <c r="P1291" s="5"/>
      <c r="Q1291" s="5"/>
      <c r="R1291" s="5"/>
      <c r="T1291" s="56"/>
      <c r="U1291" s="77"/>
      <c r="V1291" s="77"/>
      <c r="AA1291" s="3"/>
      <c r="AF1291" s="5"/>
      <c r="AG1291" s="5"/>
      <c r="AH1291" s="5"/>
      <c r="AI1291" s="5"/>
      <c r="AJ1291" s="5"/>
      <c r="AK1291" s="5"/>
      <c r="AL1291" s="5"/>
      <c r="AM1291" s="13"/>
      <c r="AN1291" s="13"/>
      <c r="AO1291" s="5"/>
      <c r="AP1291" s="5"/>
      <c r="AQ1291" s="5"/>
      <c r="AR1291" s="5"/>
      <c r="AS1291" s="5"/>
      <c r="AT1291" s="5"/>
      <c r="AU1291" s="5"/>
      <c r="AV1291" s="5"/>
      <c r="AW1291" s="5"/>
      <c r="AX1291" s="5"/>
      <c r="AY1291" s="5"/>
      <c r="AZ1291" s="5"/>
      <c r="BA1291" s="5"/>
    </row>
    <row r="1292" spans="3:53" s="41" customFormat="1" x14ac:dyDescent="0.2">
      <c r="C1292" s="71"/>
      <c r="D1292" s="58"/>
      <c r="E1292" s="38"/>
      <c r="F1292" s="58"/>
      <c r="G1292" s="5"/>
      <c r="H1292" s="44"/>
      <c r="I1292" s="5"/>
      <c r="J1292" s="43"/>
      <c r="K1292" s="43"/>
      <c r="L1292" s="57"/>
      <c r="M1292" s="56"/>
      <c r="N1292" s="3"/>
      <c r="P1292" s="5"/>
      <c r="Q1292" s="5"/>
      <c r="R1292" s="5"/>
      <c r="T1292" s="56"/>
      <c r="U1292" s="77"/>
      <c r="V1292" s="77"/>
      <c r="AA1292" s="3"/>
      <c r="AF1292" s="5"/>
      <c r="AG1292" s="5"/>
      <c r="AH1292" s="5"/>
      <c r="AI1292" s="5"/>
      <c r="AJ1292" s="5"/>
      <c r="AK1292" s="5"/>
      <c r="AL1292" s="5"/>
      <c r="AM1292" s="13"/>
      <c r="AN1292" s="13"/>
      <c r="AO1292" s="5"/>
      <c r="AP1292" s="5"/>
      <c r="AQ1292" s="5"/>
      <c r="AR1292" s="5"/>
      <c r="AS1292" s="5"/>
      <c r="AT1292" s="5"/>
      <c r="AU1292" s="5"/>
      <c r="AV1292" s="5"/>
      <c r="AW1292" s="5"/>
      <c r="AX1292" s="5"/>
      <c r="AY1292" s="5"/>
      <c r="AZ1292" s="5"/>
      <c r="BA1292" s="5"/>
    </row>
    <row r="1293" spans="3:53" s="41" customFormat="1" x14ac:dyDescent="0.2">
      <c r="C1293" s="71"/>
      <c r="D1293" s="58"/>
      <c r="E1293" s="38"/>
      <c r="F1293" s="58"/>
      <c r="G1293" s="5"/>
      <c r="H1293" s="44"/>
      <c r="I1293" s="5"/>
      <c r="J1293" s="43"/>
      <c r="K1293" s="43"/>
      <c r="L1293" s="57"/>
      <c r="M1293" s="56"/>
      <c r="N1293" s="3"/>
      <c r="P1293" s="5"/>
      <c r="Q1293" s="5"/>
      <c r="R1293" s="5"/>
      <c r="T1293" s="56"/>
      <c r="U1293" s="77"/>
      <c r="V1293" s="77"/>
      <c r="AA1293" s="3"/>
      <c r="AF1293" s="5"/>
      <c r="AG1293" s="5"/>
      <c r="AH1293" s="5"/>
      <c r="AI1293" s="5"/>
      <c r="AJ1293" s="5"/>
      <c r="AK1293" s="5"/>
      <c r="AL1293" s="5"/>
      <c r="AM1293" s="13"/>
      <c r="AN1293" s="13"/>
      <c r="AO1293" s="5"/>
      <c r="AP1293" s="5"/>
      <c r="AQ1293" s="5"/>
      <c r="AR1293" s="5"/>
      <c r="AS1293" s="5"/>
      <c r="AT1293" s="5"/>
      <c r="AU1293" s="5"/>
      <c r="AV1293" s="5"/>
      <c r="AW1293" s="5"/>
      <c r="AX1293" s="5"/>
      <c r="AY1293" s="5"/>
      <c r="AZ1293" s="5"/>
      <c r="BA1293" s="5"/>
    </row>
    <row r="1294" spans="3:53" s="41" customFormat="1" x14ac:dyDescent="0.2">
      <c r="C1294" s="71"/>
      <c r="D1294" s="58"/>
      <c r="E1294" s="38"/>
      <c r="F1294" s="58"/>
      <c r="G1294" s="5"/>
      <c r="H1294" s="44"/>
      <c r="I1294" s="5"/>
      <c r="J1294" s="43"/>
      <c r="K1294" s="43"/>
      <c r="L1294" s="57"/>
      <c r="M1294" s="56"/>
      <c r="N1294" s="3"/>
      <c r="P1294" s="5"/>
      <c r="Q1294" s="5"/>
      <c r="R1294" s="5"/>
      <c r="T1294" s="56"/>
      <c r="U1294" s="77"/>
      <c r="V1294" s="77"/>
      <c r="AA1294" s="3"/>
      <c r="AF1294" s="5"/>
      <c r="AG1294" s="5"/>
      <c r="AH1294" s="5"/>
      <c r="AI1294" s="5"/>
      <c r="AJ1294" s="5"/>
      <c r="AK1294" s="5"/>
      <c r="AL1294" s="5"/>
      <c r="AM1294" s="13"/>
      <c r="AN1294" s="13"/>
      <c r="AO1294" s="5"/>
      <c r="AP1294" s="5"/>
      <c r="AQ1294" s="5"/>
      <c r="AR1294" s="5"/>
      <c r="AS1294" s="5"/>
      <c r="AT1294" s="5"/>
      <c r="AU1294" s="5"/>
      <c r="AV1294" s="5"/>
      <c r="AW1294" s="5"/>
      <c r="AX1294" s="5"/>
      <c r="AY1294" s="5"/>
      <c r="AZ1294" s="5"/>
      <c r="BA1294" s="5"/>
    </row>
    <row r="1295" spans="3:53" s="41" customFormat="1" x14ac:dyDescent="0.2">
      <c r="C1295" s="71"/>
      <c r="D1295" s="58"/>
      <c r="E1295" s="38"/>
      <c r="F1295" s="58"/>
      <c r="G1295" s="5"/>
      <c r="H1295" s="44"/>
      <c r="I1295" s="5"/>
      <c r="J1295" s="43"/>
      <c r="K1295" s="43"/>
      <c r="L1295" s="57"/>
      <c r="M1295" s="56"/>
      <c r="N1295" s="3"/>
      <c r="P1295" s="5"/>
      <c r="Q1295" s="5"/>
      <c r="R1295" s="5"/>
      <c r="T1295" s="56"/>
      <c r="U1295" s="77"/>
      <c r="V1295" s="77"/>
      <c r="AA1295" s="3"/>
      <c r="AF1295" s="5"/>
      <c r="AG1295" s="5"/>
      <c r="AH1295" s="5"/>
      <c r="AI1295" s="5"/>
      <c r="AJ1295" s="5"/>
      <c r="AK1295" s="5"/>
      <c r="AL1295" s="5"/>
      <c r="AM1295" s="13"/>
      <c r="AN1295" s="13"/>
      <c r="AO1295" s="5"/>
      <c r="AP1295" s="5"/>
      <c r="AQ1295" s="5"/>
      <c r="AR1295" s="5"/>
      <c r="AS1295" s="5"/>
      <c r="AT1295" s="5"/>
      <c r="AU1295" s="5"/>
      <c r="AV1295" s="5"/>
      <c r="AW1295" s="5"/>
      <c r="AX1295" s="5"/>
      <c r="AY1295" s="5"/>
      <c r="AZ1295" s="5"/>
      <c r="BA1295" s="5"/>
    </row>
    <row r="1296" spans="3:53" s="41" customFormat="1" x14ac:dyDescent="0.2">
      <c r="C1296" s="71"/>
      <c r="D1296" s="58"/>
      <c r="E1296" s="38"/>
      <c r="F1296" s="58"/>
      <c r="G1296" s="5"/>
      <c r="H1296" s="44"/>
      <c r="I1296" s="5"/>
      <c r="J1296" s="43"/>
      <c r="K1296" s="43"/>
      <c r="L1296" s="57"/>
      <c r="M1296" s="56"/>
      <c r="N1296" s="3"/>
      <c r="P1296" s="5"/>
      <c r="Q1296" s="5"/>
      <c r="R1296" s="5"/>
      <c r="T1296" s="56"/>
      <c r="U1296" s="77"/>
      <c r="V1296" s="77"/>
      <c r="AA1296" s="3"/>
      <c r="AF1296" s="5"/>
      <c r="AG1296" s="5"/>
      <c r="AH1296" s="5"/>
      <c r="AI1296" s="5"/>
      <c r="AJ1296" s="5"/>
      <c r="AK1296" s="5"/>
      <c r="AL1296" s="5"/>
      <c r="AM1296" s="13"/>
      <c r="AN1296" s="13"/>
      <c r="AO1296" s="5"/>
      <c r="AP1296" s="5"/>
      <c r="AQ1296" s="5"/>
      <c r="AR1296" s="5"/>
      <c r="AS1296" s="5"/>
      <c r="AT1296" s="5"/>
      <c r="AU1296" s="5"/>
      <c r="AV1296" s="5"/>
      <c r="AW1296" s="5"/>
      <c r="AX1296" s="5"/>
      <c r="AY1296" s="5"/>
      <c r="AZ1296" s="5"/>
      <c r="BA1296" s="5"/>
    </row>
    <row r="1297" spans="3:53" s="41" customFormat="1" x14ac:dyDescent="0.2">
      <c r="C1297" s="71"/>
      <c r="D1297" s="58"/>
      <c r="E1297" s="38"/>
      <c r="F1297" s="58"/>
      <c r="G1297" s="5"/>
      <c r="H1297" s="44"/>
      <c r="I1297" s="5"/>
      <c r="J1297" s="43"/>
      <c r="K1297" s="43"/>
      <c r="L1297" s="57"/>
      <c r="M1297" s="56"/>
      <c r="N1297" s="3"/>
      <c r="P1297" s="5"/>
      <c r="Q1297" s="5"/>
      <c r="R1297" s="5"/>
      <c r="T1297" s="56"/>
      <c r="U1297" s="77"/>
      <c r="V1297" s="77"/>
      <c r="AA1297" s="3"/>
      <c r="AF1297" s="5"/>
      <c r="AG1297" s="5"/>
      <c r="AH1297" s="5"/>
      <c r="AI1297" s="5"/>
      <c r="AJ1297" s="5"/>
      <c r="AK1297" s="5"/>
      <c r="AL1297" s="5"/>
      <c r="AM1297" s="13"/>
      <c r="AN1297" s="13"/>
      <c r="AO1297" s="5"/>
      <c r="AP1297" s="5"/>
      <c r="AQ1297" s="5"/>
      <c r="AR1297" s="5"/>
      <c r="AS1297" s="5"/>
      <c r="AT1297" s="5"/>
      <c r="AU1297" s="5"/>
      <c r="AV1297" s="5"/>
      <c r="AW1297" s="5"/>
      <c r="AX1297" s="5"/>
      <c r="AY1297" s="5"/>
      <c r="AZ1297" s="5"/>
      <c r="BA1297" s="5"/>
    </row>
    <row r="1298" spans="3:53" s="41" customFormat="1" x14ac:dyDescent="0.2">
      <c r="C1298" s="71"/>
      <c r="D1298" s="58"/>
      <c r="E1298" s="38"/>
      <c r="F1298" s="58"/>
      <c r="G1298" s="5"/>
      <c r="H1298" s="44"/>
      <c r="I1298" s="5"/>
      <c r="J1298" s="43"/>
      <c r="K1298" s="43"/>
      <c r="L1298" s="57"/>
      <c r="M1298" s="56"/>
      <c r="N1298" s="3"/>
      <c r="P1298" s="5"/>
      <c r="Q1298" s="5"/>
      <c r="R1298" s="5"/>
      <c r="T1298" s="56"/>
      <c r="U1298" s="77"/>
      <c r="V1298" s="77"/>
      <c r="AA1298" s="3"/>
      <c r="AF1298" s="5"/>
      <c r="AG1298" s="5"/>
      <c r="AH1298" s="5"/>
      <c r="AI1298" s="5"/>
      <c r="AJ1298" s="5"/>
      <c r="AK1298" s="5"/>
      <c r="AL1298" s="5"/>
      <c r="AM1298" s="13"/>
      <c r="AN1298" s="13"/>
      <c r="AO1298" s="5"/>
      <c r="AP1298" s="5"/>
      <c r="AQ1298" s="5"/>
      <c r="AR1298" s="5"/>
      <c r="AS1298" s="5"/>
      <c r="AT1298" s="5"/>
      <c r="AU1298" s="5"/>
      <c r="AV1298" s="5"/>
      <c r="AW1298" s="5"/>
      <c r="AX1298" s="5"/>
      <c r="AY1298" s="5"/>
      <c r="AZ1298" s="5"/>
      <c r="BA1298" s="5"/>
    </row>
    <row r="1299" spans="3:53" s="41" customFormat="1" x14ac:dyDescent="0.2">
      <c r="C1299" s="71"/>
      <c r="D1299" s="58"/>
      <c r="E1299" s="38"/>
      <c r="F1299" s="58"/>
      <c r="G1299" s="5"/>
      <c r="H1299" s="44"/>
      <c r="I1299" s="5"/>
      <c r="J1299" s="43"/>
      <c r="K1299" s="43"/>
      <c r="L1299" s="57"/>
      <c r="M1299" s="56"/>
      <c r="N1299" s="3"/>
      <c r="P1299" s="5"/>
      <c r="Q1299" s="5"/>
      <c r="R1299" s="5"/>
      <c r="T1299" s="56"/>
      <c r="U1299" s="77"/>
      <c r="V1299" s="77"/>
      <c r="AA1299" s="3"/>
      <c r="AF1299" s="5"/>
      <c r="AG1299" s="5"/>
      <c r="AH1299" s="5"/>
      <c r="AI1299" s="5"/>
      <c r="AJ1299" s="5"/>
      <c r="AK1299" s="5"/>
      <c r="AL1299" s="5"/>
      <c r="AM1299" s="13"/>
      <c r="AN1299" s="13"/>
      <c r="AO1299" s="5"/>
      <c r="AP1299" s="5"/>
      <c r="AQ1299" s="5"/>
      <c r="AR1299" s="5"/>
      <c r="AS1299" s="5"/>
      <c r="AT1299" s="5"/>
      <c r="AU1299" s="5"/>
      <c r="AV1299" s="5"/>
      <c r="AW1299" s="5"/>
      <c r="AX1299" s="5"/>
      <c r="AY1299" s="5"/>
      <c r="AZ1299" s="5"/>
      <c r="BA1299" s="5"/>
    </row>
    <row r="1300" spans="3:53" s="41" customFormat="1" x14ac:dyDescent="0.2">
      <c r="C1300" s="71"/>
      <c r="D1300" s="58"/>
      <c r="E1300" s="38"/>
      <c r="F1300" s="58"/>
      <c r="G1300" s="5"/>
      <c r="H1300" s="44"/>
      <c r="I1300" s="5"/>
      <c r="J1300" s="43"/>
      <c r="K1300" s="43"/>
      <c r="L1300" s="57"/>
      <c r="M1300" s="56"/>
      <c r="N1300" s="3"/>
      <c r="P1300" s="5"/>
      <c r="Q1300" s="5"/>
      <c r="R1300" s="5"/>
      <c r="T1300" s="56"/>
      <c r="U1300" s="77"/>
      <c r="V1300" s="77"/>
      <c r="AA1300" s="3"/>
      <c r="AF1300" s="5"/>
      <c r="AG1300" s="5"/>
      <c r="AH1300" s="5"/>
      <c r="AI1300" s="5"/>
      <c r="AJ1300" s="5"/>
      <c r="AK1300" s="5"/>
      <c r="AL1300" s="5"/>
      <c r="AM1300" s="13"/>
      <c r="AN1300" s="13"/>
      <c r="AO1300" s="5"/>
      <c r="AP1300" s="5"/>
      <c r="AQ1300" s="5"/>
      <c r="AR1300" s="5"/>
      <c r="AS1300" s="5"/>
      <c r="AT1300" s="5"/>
      <c r="AU1300" s="5"/>
      <c r="AV1300" s="5"/>
      <c r="AW1300" s="5"/>
      <c r="AX1300" s="5"/>
      <c r="AY1300" s="5"/>
      <c r="AZ1300" s="5"/>
      <c r="BA1300" s="5"/>
    </row>
    <row r="1301" spans="3:53" s="41" customFormat="1" x14ac:dyDescent="0.2">
      <c r="C1301" s="71"/>
      <c r="D1301" s="58"/>
      <c r="E1301" s="38"/>
      <c r="F1301" s="58"/>
      <c r="G1301" s="5"/>
      <c r="H1301" s="44"/>
      <c r="I1301" s="5"/>
      <c r="J1301" s="43"/>
      <c r="K1301" s="43"/>
      <c r="L1301" s="57"/>
      <c r="M1301" s="56"/>
      <c r="N1301" s="3"/>
      <c r="P1301" s="5"/>
      <c r="Q1301" s="5"/>
      <c r="R1301" s="5"/>
      <c r="T1301" s="56"/>
      <c r="U1301" s="77"/>
      <c r="V1301" s="77"/>
      <c r="AA1301" s="3"/>
      <c r="AF1301" s="5"/>
      <c r="AG1301" s="5"/>
      <c r="AH1301" s="5"/>
      <c r="AI1301" s="5"/>
      <c r="AJ1301" s="5"/>
      <c r="AK1301" s="5"/>
      <c r="AL1301" s="5"/>
      <c r="AM1301" s="13"/>
      <c r="AN1301" s="13"/>
      <c r="AO1301" s="5"/>
      <c r="AP1301" s="5"/>
      <c r="AQ1301" s="5"/>
      <c r="AR1301" s="5"/>
      <c r="AS1301" s="5"/>
      <c r="AT1301" s="5"/>
      <c r="AU1301" s="5"/>
      <c r="AV1301" s="5"/>
      <c r="AW1301" s="5"/>
      <c r="AX1301" s="5"/>
      <c r="AY1301" s="5"/>
      <c r="AZ1301" s="5"/>
      <c r="BA1301" s="5"/>
    </row>
    <row r="1302" spans="3:53" s="41" customFormat="1" x14ac:dyDescent="0.2">
      <c r="C1302" s="71"/>
      <c r="D1302" s="58"/>
      <c r="E1302" s="38"/>
      <c r="F1302" s="58"/>
      <c r="G1302" s="5"/>
      <c r="H1302" s="44"/>
      <c r="I1302" s="5"/>
      <c r="J1302" s="43"/>
      <c r="K1302" s="43"/>
      <c r="L1302" s="57"/>
      <c r="M1302" s="56"/>
      <c r="N1302" s="3"/>
      <c r="P1302" s="5"/>
      <c r="Q1302" s="5"/>
      <c r="R1302" s="5"/>
      <c r="T1302" s="56"/>
      <c r="U1302" s="77"/>
      <c r="V1302" s="77"/>
      <c r="AA1302" s="3"/>
      <c r="AF1302" s="5"/>
      <c r="AG1302" s="5"/>
      <c r="AH1302" s="5"/>
      <c r="AI1302" s="5"/>
      <c r="AJ1302" s="5"/>
      <c r="AK1302" s="5"/>
      <c r="AL1302" s="5"/>
      <c r="AM1302" s="13"/>
      <c r="AN1302" s="13"/>
      <c r="AO1302" s="5"/>
      <c r="AP1302" s="5"/>
      <c r="AQ1302" s="5"/>
      <c r="AR1302" s="5"/>
      <c r="AS1302" s="5"/>
      <c r="AT1302" s="5"/>
      <c r="AU1302" s="5"/>
      <c r="AV1302" s="5"/>
      <c r="AW1302" s="5"/>
      <c r="AX1302" s="5"/>
      <c r="AY1302" s="5"/>
      <c r="AZ1302" s="5"/>
      <c r="BA1302" s="5"/>
    </row>
    <row r="1303" spans="3:53" s="41" customFormat="1" x14ac:dyDescent="0.2">
      <c r="C1303" s="71"/>
      <c r="D1303" s="58"/>
      <c r="E1303" s="38"/>
      <c r="F1303" s="58"/>
      <c r="G1303" s="5"/>
      <c r="H1303" s="44"/>
      <c r="I1303" s="5"/>
      <c r="J1303" s="43"/>
      <c r="K1303" s="43"/>
      <c r="L1303" s="57"/>
      <c r="M1303" s="56"/>
      <c r="N1303" s="3"/>
      <c r="P1303" s="5"/>
      <c r="Q1303" s="5"/>
      <c r="R1303" s="5"/>
      <c r="T1303" s="56"/>
      <c r="U1303" s="77"/>
      <c r="V1303" s="77"/>
      <c r="AA1303" s="3"/>
      <c r="AF1303" s="5"/>
      <c r="AG1303" s="5"/>
      <c r="AH1303" s="5"/>
      <c r="AI1303" s="5"/>
      <c r="AJ1303" s="5"/>
      <c r="AK1303" s="5"/>
      <c r="AL1303" s="5"/>
      <c r="AM1303" s="13"/>
      <c r="AN1303" s="13"/>
      <c r="AO1303" s="5"/>
      <c r="AP1303" s="5"/>
      <c r="AQ1303" s="5"/>
      <c r="AR1303" s="5"/>
      <c r="AS1303" s="5"/>
      <c r="AT1303" s="5"/>
      <c r="AU1303" s="5"/>
      <c r="AV1303" s="5"/>
      <c r="AW1303" s="5"/>
      <c r="AX1303" s="5"/>
      <c r="AY1303" s="5"/>
      <c r="AZ1303" s="5"/>
      <c r="BA1303" s="5"/>
    </row>
    <row r="1304" spans="3:53" s="41" customFormat="1" x14ac:dyDescent="0.2">
      <c r="C1304" s="71"/>
      <c r="D1304" s="58"/>
      <c r="E1304" s="38"/>
      <c r="F1304" s="58"/>
      <c r="G1304" s="5"/>
      <c r="H1304" s="44"/>
      <c r="I1304" s="5"/>
      <c r="J1304" s="43"/>
      <c r="K1304" s="43"/>
      <c r="L1304" s="57"/>
      <c r="M1304" s="56"/>
      <c r="N1304" s="3"/>
      <c r="P1304" s="5"/>
      <c r="Q1304" s="5"/>
      <c r="R1304" s="5"/>
      <c r="T1304" s="56"/>
      <c r="U1304" s="77"/>
      <c r="V1304" s="77"/>
      <c r="AA1304" s="3"/>
      <c r="AF1304" s="5"/>
      <c r="AG1304" s="5"/>
      <c r="AH1304" s="5"/>
      <c r="AI1304" s="5"/>
      <c r="AJ1304" s="5"/>
      <c r="AK1304" s="5"/>
      <c r="AL1304" s="5"/>
      <c r="AM1304" s="13"/>
      <c r="AN1304" s="13"/>
      <c r="AO1304" s="5"/>
      <c r="AP1304" s="5"/>
      <c r="AQ1304" s="5"/>
      <c r="AR1304" s="5"/>
      <c r="AS1304" s="5"/>
      <c r="AT1304" s="5"/>
      <c r="AU1304" s="5"/>
      <c r="AV1304" s="5"/>
      <c r="AW1304" s="5"/>
      <c r="AX1304" s="5"/>
      <c r="AY1304" s="5"/>
      <c r="AZ1304" s="5"/>
      <c r="BA1304" s="5"/>
    </row>
    <row r="1305" spans="3:53" s="41" customFormat="1" x14ac:dyDescent="0.2">
      <c r="C1305" s="71"/>
      <c r="D1305" s="58"/>
      <c r="E1305" s="38"/>
      <c r="F1305" s="58"/>
      <c r="G1305" s="5"/>
      <c r="H1305" s="44"/>
      <c r="I1305" s="5"/>
      <c r="J1305" s="43"/>
      <c r="K1305" s="43"/>
      <c r="L1305" s="57"/>
      <c r="M1305" s="56"/>
      <c r="N1305" s="3"/>
      <c r="P1305" s="5"/>
      <c r="Q1305" s="5"/>
      <c r="R1305" s="5"/>
      <c r="T1305" s="56"/>
      <c r="U1305" s="77"/>
      <c r="V1305" s="77"/>
      <c r="AA1305" s="3"/>
      <c r="AF1305" s="5"/>
      <c r="AG1305" s="5"/>
      <c r="AH1305" s="5"/>
      <c r="AI1305" s="5"/>
      <c r="AJ1305" s="5"/>
      <c r="AK1305" s="5"/>
      <c r="AL1305" s="5"/>
      <c r="AM1305" s="13"/>
      <c r="AN1305" s="13"/>
      <c r="AO1305" s="5"/>
      <c r="AP1305" s="5"/>
      <c r="AQ1305" s="5"/>
      <c r="AR1305" s="5"/>
      <c r="AS1305" s="5"/>
      <c r="AT1305" s="5"/>
      <c r="AU1305" s="5"/>
      <c r="AV1305" s="5"/>
      <c r="AW1305" s="5"/>
      <c r="AX1305" s="5"/>
      <c r="AY1305" s="5"/>
      <c r="AZ1305" s="5"/>
      <c r="BA1305" s="5"/>
    </row>
    <row r="1306" spans="3:53" s="41" customFormat="1" x14ac:dyDescent="0.2">
      <c r="C1306" s="71"/>
      <c r="D1306" s="58"/>
      <c r="E1306" s="38"/>
      <c r="F1306" s="58"/>
      <c r="G1306" s="5"/>
      <c r="H1306" s="44"/>
      <c r="I1306" s="5"/>
      <c r="J1306" s="43"/>
      <c r="K1306" s="43"/>
      <c r="L1306" s="57"/>
      <c r="M1306" s="56"/>
      <c r="N1306" s="3"/>
      <c r="P1306" s="5"/>
      <c r="Q1306" s="5"/>
      <c r="R1306" s="5"/>
      <c r="T1306" s="56"/>
      <c r="U1306" s="77"/>
      <c r="V1306" s="77"/>
      <c r="AA1306" s="3"/>
      <c r="AF1306" s="5"/>
      <c r="AG1306" s="5"/>
      <c r="AH1306" s="5"/>
      <c r="AI1306" s="5"/>
      <c r="AJ1306" s="5"/>
      <c r="AK1306" s="5"/>
      <c r="AL1306" s="5"/>
      <c r="AM1306" s="13"/>
      <c r="AN1306" s="13"/>
      <c r="AO1306" s="5"/>
      <c r="AP1306" s="5"/>
      <c r="AQ1306" s="5"/>
      <c r="AR1306" s="5"/>
      <c r="AS1306" s="5"/>
      <c r="AT1306" s="5"/>
      <c r="AU1306" s="5"/>
      <c r="AV1306" s="5"/>
      <c r="AW1306" s="5"/>
      <c r="AX1306" s="5"/>
      <c r="AY1306" s="5"/>
      <c r="AZ1306" s="5"/>
      <c r="BA1306" s="5"/>
    </row>
    <row r="1307" spans="3:53" s="41" customFormat="1" x14ac:dyDescent="0.2">
      <c r="C1307" s="71"/>
      <c r="D1307" s="58"/>
      <c r="E1307" s="38"/>
      <c r="F1307" s="58"/>
      <c r="G1307" s="5"/>
      <c r="H1307" s="44"/>
      <c r="I1307" s="5"/>
      <c r="J1307" s="43"/>
      <c r="K1307" s="43"/>
      <c r="L1307" s="57"/>
      <c r="M1307" s="56"/>
      <c r="N1307" s="3"/>
      <c r="P1307" s="5"/>
      <c r="Q1307" s="5"/>
      <c r="R1307" s="5"/>
      <c r="T1307" s="56"/>
      <c r="U1307" s="77"/>
      <c r="V1307" s="77"/>
      <c r="AA1307" s="3"/>
      <c r="AF1307" s="5"/>
      <c r="AG1307" s="5"/>
      <c r="AH1307" s="5"/>
      <c r="AI1307" s="5"/>
      <c r="AJ1307" s="5"/>
      <c r="AK1307" s="5"/>
      <c r="AL1307" s="5"/>
      <c r="AM1307" s="13"/>
      <c r="AN1307" s="13"/>
      <c r="AO1307" s="5"/>
      <c r="AP1307" s="5"/>
      <c r="AQ1307" s="5"/>
      <c r="AR1307" s="5"/>
      <c r="AS1307" s="5"/>
      <c r="AT1307" s="5"/>
      <c r="AU1307" s="5"/>
      <c r="AV1307" s="5"/>
      <c r="AW1307" s="5"/>
      <c r="AX1307" s="5"/>
      <c r="AY1307" s="5"/>
      <c r="AZ1307" s="5"/>
      <c r="BA1307" s="5"/>
    </row>
    <row r="1308" spans="3:53" s="41" customFormat="1" x14ac:dyDescent="0.2">
      <c r="C1308" s="71"/>
      <c r="D1308" s="58"/>
      <c r="E1308" s="38"/>
      <c r="F1308" s="58"/>
      <c r="G1308" s="5"/>
      <c r="H1308" s="44"/>
      <c r="I1308" s="5"/>
      <c r="J1308" s="43"/>
      <c r="K1308" s="43"/>
      <c r="L1308" s="57"/>
      <c r="M1308" s="56"/>
      <c r="N1308" s="3"/>
      <c r="P1308" s="5"/>
      <c r="Q1308" s="5"/>
      <c r="R1308" s="5"/>
      <c r="T1308" s="56"/>
      <c r="U1308" s="77"/>
      <c r="V1308" s="77"/>
      <c r="AA1308" s="3"/>
      <c r="AF1308" s="5"/>
      <c r="AG1308" s="5"/>
      <c r="AH1308" s="5"/>
      <c r="AI1308" s="5"/>
      <c r="AJ1308" s="5"/>
      <c r="AK1308" s="5"/>
      <c r="AL1308" s="5"/>
      <c r="AM1308" s="13"/>
      <c r="AN1308" s="13"/>
      <c r="AO1308" s="5"/>
      <c r="AP1308" s="5"/>
      <c r="AQ1308" s="5"/>
      <c r="AR1308" s="5"/>
      <c r="AS1308" s="5"/>
      <c r="AT1308" s="5"/>
      <c r="AU1308" s="5"/>
      <c r="AV1308" s="5"/>
      <c r="AW1308" s="5"/>
      <c r="AX1308" s="5"/>
      <c r="AY1308" s="5"/>
      <c r="AZ1308" s="5"/>
      <c r="BA1308" s="5"/>
    </row>
    <row r="1309" spans="3:53" s="41" customFormat="1" x14ac:dyDescent="0.2">
      <c r="C1309" s="71"/>
      <c r="D1309" s="58"/>
      <c r="E1309" s="38"/>
      <c r="F1309" s="58"/>
      <c r="G1309" s="5"/>
      <c r="H1309" s="44"/>
      <c r="I1309" s="5"/>
      <c r="J1309" s="43"/>
      <c r="K1309" s="43"/>
      <c r="L1309" s="57"/>
      <c r="M1309" s="56"/>
      <c r="N1309" s="3"/>
      <c r="P1309" s="5"/>
      <c r="Q1309" s="5"/>
      <c r="R1309" s="5"/>
      <c r="T1309" s="56"/>
      <c r="U1309" s="77"/>
      <c r="V1309" s="77"/>
      <c r="AA1309" s="3"/>
      <c r="AF1309" s="5"/>
      <c r="AG1309" s="5"/>
      <c r="AH1309" s="5"/>
      <c r="AI1309" s="5"/>
      <c r="AJ1309" s="5"/>
      <c r="AK1309" s="5"/>
      <c r="AL1309" s="5"/>
      <c r="AM1309" s="13"/>
      <c r="AN1309" s="13"/>
      <c r="AO1309" s="5"/>
      <c r="AP1309" s="5"/>
      <c r="AQ1309" s="5"/>
      <c r="AR1309" s="5"/>
      <c r="AS1309" s="5"/>
      <c r="AT1309" s="5"/>
      <c r="AU1309" s="5"/>
      <c r="AV1309" s="5"/>
      <c r="AW1309" s="5"/>
      <c r="AX1309" s="5"/>
      <c r="AY1309" s="5"/>
      <c r="AZ1309" s="5"/>
      <c r="BA1309" s="5"/>
    </row>
    <row r="1310" spans="3:53" s="41" customFormat="1" x14ac:dyDescent="0.2">
      <c r="C1310" s="71"/>
      <c r="D1310" s="58"/>
      <c r="E1310" s="38"/>
      <c r="F1310" s="58"/>
      <c r="G1310" s="5"/>
      <c r="H1310" s="44"/>
      <c r="I1310" s="5"/>
      <c r="J1310" s="43"/>
      <c r="K1310" s="43"/>
      <c r="L1310" s="57"/>
      <c r="M1310" s="56"/>
      <c r="N1310" s="3"/>
      <c r="P1310" s="5"/>
      <c r="Q1310" s="5"/>
      <c r="R1310" s="5"/>
      <c r="T1310" s="56"/>
      <c r="U1310" s="77"/>
      <c r="V1310" s="77"/>
      <c r="AA1310" s="3"/>
      <c r="AF1310" s="5"/>
      <c r="AG1310" s="5"/>
      <c r="AH1310" s="5"/>
      <c r="AI1310" s="5"/>
      <c r="AJ1310" s="5"/>
      <c r="AK1310" s="5"/>
      <c r="AL1310" s="5"/>
      <c r="AM1310" s="13"/>
      <c r="AN1310" s="13"/>
      <c r="AO1310" s="5"/>
      <c r="AP1310" s="5"/>
      <c r="AQ1310" s="5"/>
      <c r="AR1310" s="5"/>
      <c r="AS1310" s="5"/>
      <c r="AT1310" s="5"/>
      <c r="AU1310" s="5"/>
      <c r="AV1310" s="5"/>
      <c r="AW1310" s="5"/>
      <c r="AX1310" s="5"/>
      <c r="AY1310" s="5"/>
      <c r="AZ1310" s="5"/>
      <c r="BA1310" s="5"/>
    </row>
    <row r="1311" spans="3:53" s="41" customFormat="1" x14ac:dyDescent="0.2">
      <c r="C1311" s="71"/>
      <c r="D1311" s="58"/>
      <c r="E1311" s="38"/>
      <c r="F1311" s="58"/>
      <c r="G1311" s="5"/>
      <c r="H1311" s="44"/>
      <c r="I1311" s="5"/>
      <c r="J1311" s="43"/>
      <c r="K1311" s="43"/>
      <c r="L1311" s="57"/>
      <c r="M1311" s="56"/>
      <c r="N1311" s="3"/>
      <c r="P1311" s="5"/>
      <c r="Q1311" s="5"/>
      <c r="R1311" s="5"/>
      <c r="T1311" s="56"/>
      <c r="U1311" s="77"/>
      <c r="V1311" s="77"/>
      <c r="AA1311" s="3"/>
      <c r="AF1311" s="5"/>
      <c r="AG1311" s="5"/>
      <c r="AH1311" s="5"/>
      <c r="AI1311" s="5"/>
      <c r="AJ1311" s="5"/>
      <c r="AK1311" s="5"/>
      <c r="AL1311" s="5"/>
      <c r="AM1311" s="13"/>
      <c r="AN1311" s="13"/>
      <c r="AO1311" s="5"/>
      <c r="AP1311" s="5"/>
      <c r="AQ1311" s="5"/>
      <c r="AR1311" s="5"/>
      <c r="AS1311" s="5"/>
      <c r="AT1311" s="5"/>
      <c r="AU1311" s="5"/>
      <c r="AV1311" s="5"/>
      <c r="AW1311" s="5"/>
      <c r="AX1311" s="5"/>
      <c r="AY1311" s="5"/>
      <c r="AZ1311" s="5"/>
      <c r="BA1311" s="5"/>
    </row>
    <row r="1312" spans="3:53" s="41" customFormat="1" x14ac:dyDescent="0.2">
      <c r="C1312" s="71"/>
      <c r="D1312" s="58"/>
      <c r="E1312" s="38"/>
      <c r="F1312" s="58"/>
      <c r="G1312" s="5"/>
      <c r="H1312" s="44"/>
      <c r="I1312" s="5"/>
      <c r="J1312" s="43"/>
      <c r="K1312" s="43"/>
      <c r="L1312" s="57"/>
      <c r="M1312" s="56"/>
      <c r="N1312" s="3"/>
      <c r="P1312" s="5"/>
      <c r="Q1312" s="5"/>
      <c r="R1312" s="5"/>
      <c r="T1312" s="56"/>
      <c r="U1312" s="77"/>
      <c r="V1312" s="77"/>
      <c r="AA1312" s="3"/>
      <c r="AF1312" s="5"/>
      <c r="AG1312" s="5"/>
      <c r="AH1312" s="5"/>
      <c r="AI1312" s="5"/>
      <c r="AJ1312" s="5"/>
      <c r="AK1312" s="5"/>
      <c r="AL1312" s="5"/>
      <c r="AM1312" s="13"/>
      <c r="AN1312" s="13"/>
      <c r="AO1312" s="5"/>
      <c r="AP1312" s="5"/>
      <c r="AQ1312" s="5"/>
      <c r="AR1312" s="5"/>
      <c r="AS1312" s="5"/>
      <c r="AT1312" s="5"/>
      <c r="AU1312" s="5"/>
      <c r="AV1312" s="5"/>
      <c r="AW1312" s="5"/>
      <c r="AX1312" s="5"/>
      <c r="AY1312" s="5"/>
      <c r="AZ1312" s="5"/>
      <c r="BA1312" s="5"/>
    </row>
    <row r="1313" spans="3:53" s="41" customFormat="1" x14ac:dyDescent="0.2">
      <c r="C1313" s="71"/>
      <c r="D1313" s="58"/>
      <c r="E1313" s="38"/>
      <c r="F1313" s="58"/>
      <c r="G1313" s="5"/>
      <c r="H1313" s="44"/>
      <c r="I1313" s="5"/>
      <c r="J1313" s="43"/>
      <c r="K1313" s="43"/>
      <c r="L1313" s="57"/>
      <c r="M1313" s="56"/>
      <c r="N1313" s="3"/>
      <c r="P1313" s="5"/>
      <c r="Q1313" s="5"/>
      <c r="R1313" s="5"/>
      <c r="T1313" s="56"/>
      <c r="U1313" s="77"/>
      <c r="V1313" s="77"/>
      <c r="AA1313" s="3"/>
      <c r="AF1313" s="5"/>
      <c r="AG1313" s="5"/>
      <c r="AH1313" s="5"/>
      <c r="AI1313" s="5"/>
      <c r="AJ1313" s="5"/>
      <c r="AK1313" s="5"/>
      <c r="AL1313" s="5"/>
      <c r="AM1313" s="13"/>
      <c r="AN1313" s="13"/>
      <c r="AO1313" s="5"/>
      <c r="AP1313" s="5"/>
      <c r="AQ1313" s="5"/>
      <c r="AR1313" s="5"/>
      <c r="AS1313" s="5"/>
      <c r="AT1313" s="5"/>
      <c r="AU1313" s="5"/>
      <c r="AV1313" s="5"/>
      <c r="AW1313" s="5"/>
      <c r="AX1313" s="5"/>
      <c r="AY1313" s="5"/>
      <c r="AZ1313" s="5"/>
      <c r="BA1313" s="5"/>
    </row>
    <row r="1314" spans="3:53" s="41" customFormat="1" x14ac:dyDescent="0.2">
      <c r="C1314" s="71"/>
      <c r="D1314" s="58"/>
      <c r="E1314" s="38"/>
      <c r="F1314" s="58"/>
      <c r="G1314" s="5"/>
      <c r="H1314" s="44"/>
      <c r="I1314" s="5"/>
      <c r="J1314" s="43"/>
      <c r="K1314" s="43"/>
      <c r="L1314" s="57"/>
      <c r="M1314" s="56"/>
      <c r="N1314" s="3"/>
      <c r="P1314" s="5"/>
      <c r="Q1314" s="5"/>
      <c r="R1314" s="5"/>
      <c r="T1314" s="56"/>
      <c r="U1314" s="77"/>
      <c r="V1314" s="77"/>
      <c r="AA1314" s="3"/>
      <c r="AF1314" s="5"/>
      <c r="AG1314" s="5"/>
      <c r="AH1314" s="5"/>
      <c r="AI1314" s="5"/>
      <c r="AJ1314" s="5"/>
      <c r="AK1314" s="5"/>
      <c r="AL1314" s="5"/>
      <c r="AM1314" s="13"/>
      <c r="AN1314" s="13"/>
      <c r="AO1314" s="5"/>
      <c r="AP1314" s="5"/>
      <c r="AQ1314" s="5"/>
      <c r="AR1314" s="5"/>
      <c r="AS1314" s="5"/>
      <c r="AT1314" s="5"/>
      <c r="AU1314" s="5"/>
      <c r="AV1314" s="5"/>
      <c r="AW1314" s="5"/>
      <c r="AX1314" s="5"/>
      <c r="AY1314" s="5"/>
      <c r="AZ1314" s="5"/>
      <c r="BA1314" s="5"/>
    </row>
    <row r="1315" spans="3:53" s="41" customFormat="1" x14ac:dyDescent="0.2">
      <c r="C1315" s="71"/>
      <c r="D1315" s="58"/>
      <c r="E1315" s="38"/>
      <c r="F1315" s="58"/>
      <c r="G1315" s="5"/>
      <c r="H1315" s="44"/>
      <c r="I1315" s="5"/>
      <c r="J1315" s="43"/>
      <c r="K1315" s="43"/>
      <c r="L1315" s="57"/>
      <c r="M1315" s="56"/>
      <c r="N1315" s="3"/>
      <c r="P1315" s="5"/>
      <c r="Q1315" s="5"/>
      <c r="R1315" s="5"/>
      <c r="T1315" s="56"/>
      <c r="U1315" s="77"/>
      <c r="V1315" s="77"/>
      <c r="AA1315" s="3"/>
      <c r="AF1315" s="5"/>
      <c r="AG1315" s="5"/>
      <c r="AH1315" s="5"/>
      <c r="AI1315" s="5"/>
      <c r="AJ1315" s="5"/>
      <c r="AK1315" s="5"/>
      <c r="AL1315" s="5"/>
      <c r="AM1315" s="13"/>
      <c r="AN1315" s="13"/>
      <c r="AO1315" s="5"/>
      <c r="AP1315" s="5"/>
      <c r="AQ1315" s="5"/>
      <c r="AR1315" s="5"/>
      <c r="AS1315" s="5"/>
      <c r="AT1315" s="5"/>
      <c r="AU1315" s="5"/>
      <c r="AV1315" s="5"/>
      <c r="AW1315" s="5"/>
      <c r="AX1315" s="5"/>
      <c r="AY1315" s="5"/>
      <c r="AZ1315" s="5"/>
      <c r="BA1315" s="5"/>
    </row>
    <row r="1316" spans="3:53" s="41" customFormat="1" x14ac:dyDescent="0.2">
      <c r="C1316" s="71"/>
      <c r="D1316" s="58"/>
      <c r="E1316" s="38"/>
      <c r="F1316" s="58"/>
      <c r="G1316" s="5"/>
      <c r="H1316" s="44"/>
      <c r="I1316" s="5"/>
      <c r="J1316" s="43"/>
      <c r="K1316" s="43"/>
      <c r="L1316" s="57"/>
      <c r="M1316" s="56"/>
      <c r="N1316" s="3"/>
      <c r="P1316" s="5"/>
      <c r="Q1316" s="5"/>
      <c r="R1316" s="5"/>
      <c r="T1316" s="56"/>
      <c r="U1316" s="77"/>
      <c r="V1316" s="77"/>
      <c r="AA1316" s="3"/>
      <c r="AF1316" s="5"/>
      <c r="AG1316" s="5"/>
      <c r="AH1316" s="5"/>
      <c r="AI1316" s="5"/>
      <c r="AJ1316" s="5"/>
      <c r="AK1316" s="5"/>
      <c r="AL1316" s="5"/>
      <c r="AM1316" s="13"/>
      <c r="AN1316" s="13"/>
      <c r="AO1316" s="5"/>
      <c r="AP1316" s="5"/>
      <c r="AQ1316" s="5"/>
      <c r="AR1316" s="5"/>
      <c r="AS1316" s="5"/>
      <c r="AT1316" s="5"/>
      <c r="AU1316" s="5"/>
      <c r="AV1316" s="5"/>
      <c r="AW1316" s="5"/>
      <c r="AX1316" s="5"/>
      <c r="AY1316" s="5"/>
      <c r="AZ1316" s="5"/>
      <c r="BA1316" s="5"/>
    </row>
    <row r="1317" spans="3:53" s="41" customFormat="1" x14ac:dyDescent="0.2">
      <c r="C1317" s="71"/>
      <c r="D1317" s="58"/>
      <c r="E1317" s="38"/>
      <c r="F1317" s="58"/>
      <c r="G1317" s="5"/>
      <c r="H1317" s="44"/>
      <c r="I1317" s="5"/>
      <c r="J1317" s="43"/>
      <c r="K1317" s="43"/>
      <c r="L1317" s="57"/>
      <c r="M1317" s="56"/>
      <c r="N1317" s="3"/>
      <c r="P1317" s="5"/>
      <c r="Q1317" s="5"/>
      <c r="R1317" s="5"/>
      <c r="T1317" s="56"/>
      <c r="U1317" s="77"/>
      <c r="V1317" s="77"/>
      <c r="AA1317" s="3"/>
      <c r="AF1317" s="5"/>
      <c r="AG1317" s="5"/>
      <c r="AH1317" s="5"/>
      <c r="AI1317" s="5"/>
      <c r="AJ1317" s="5"/>
      <c r="AK1317" s="5"/>
      <c r="AL1317" s="5"/>
      <c r="AM1317" s="13"/>
      <c r="AN1317" s="13"/>
      <c r="AO1317" s="5"/>
      <c r="AP1317" s="5"/>
      <c r="AQ1317" s="5"/>
      <c r="AR1317" s="5"/>
      <c r="AS1317" s="5"/>
      <c r="AT1317" s="5"/>
      <c r="AU1317" s="5"/>
      <c r="AV1317" s="5"/>
      <c r="AW1317" s="5"/>
      <c r="AX1317" s="5"/>
      <c r="AY1317" s="5"/>
      <c r="AZ1317" s="5"/>
      <c r="BA1317" s="5"/>
    </row>
    <row r="1318" spans="3:53" s="41" customFormat="1" x14ac:dyDescent="0.2">
      <c r="C1318" s="71"/>
      <c r="D1318" s="58"/>
      <c r="E1318" s="38"/>
      <c r="F1318" s="58"/>
      <c r="G1318" s="5"/>
      <c r="H1318" s="44"/>
      <c r="I1318" s="5"/>
      <c r="J1318" s="43"/>
      <c r="K1318" s="43"/>
      <c r="L1318" s="57"/>
      <c r="M1318" s="56"/>
      <c r="N1318" s="3"/>
      <c r="P1318" s="5"/>
      <c r="Q1318" s="5"/>
      <c r="R1318" s="5"/>
      <c r="T1318" s="56"/>
      <c r="U1318" s="77"/>
      <c r="V1318" s="77"/>
      <c r="AA1318" s="3"/>
      <c r="AF1318" s="5"/>
      <c r="AG1318" s="5"/>
      <c r="AH1318" s="5"/>
      <c r="AI1318" s="5"/>
      <c r="AJ1318" s="5"/>
      <c r="AK1318" s="5"/>
      <c r="AL1318" s="5"/>
      <c r="AM1318" s="13"/>
      <c r="AN1318" s="13"/>
      <c r="AO1318" s="5"/>
      <c r="AP1318" s="5"/>
      <c r="AQ1318" s="5"/>
      <c r="AR1318" s="5"/>
      <c r="AS1318" s="5"/>
      <c r="AT1318" s="5"/>
      <c r="AU1318" s="5"/>
      <c r="AV1318" s="5"/>
      <c r="AW1318" s="5"/>
      <c r="AX1318" s="5"/>
      <c r="AY1318" s="5"/>
      <c r="AZ1318" s="5"/>
      <c r="BA1318" s="5"/>
    </row>
    <row r="1319" spans="3:53" s="41" customFormat="1" x14ac:dyDescent="0.2">
      <c r="C1319" s="71"/>
      <c r="D1319" s="58"/>
      <c r="E1319" s="38"/>
      <c r="F1319" s="58"/>
      <c r="G1319" s="5"/>
      <c r="H1319" s="44"/>
      <c r="I1319" s="5"/>
      <c r="J1319" s="43"/>
      <c r="K1319" s="43"/>
      <c r="L1319" s="57"/>
      <c r="M1319" s="56"/>
      <c r="N1319" s="3"/>
      <c r="P1319" s="5"/>
      <c r="Q1319" s="5"/>
      <c r="R1319" s="5"/>
      <c r="T1319" s="56"/>
      <c r="U1319" s="77"/>
      <c r="V1319" s="77"/>
      <c r="AA1319" s="3"/>
      <c r="AF1319" s="5"/>
      <c r="AG1319" s="5"/>
      <c r="AH1319" s="5"/>
      <c r="AI1319" s="5"/>
      <c r="AJ1319" s="5"/>
      <c r="AK1319" s="5"/>
      <c r="AL1319" s="5"/>
      <c r="AM1319" s="13"/>
      <c r="AN1319" s="13"/>
      <c r="AO1319" s="5"/>
      <c r="AP1319" s="5"/>
      <c r="AQ1319" s="5"/>
      <c r="AR1319" s="5"/>
      <c r="AS1319" s="5"/>
      <c r="AT1319" s="5"/>
      <c r="AU1319" s="5"/>
      <c r="AV1319" s="5"/>
      <c r="AW1319" s="5"/>
      <c r="AX1319" s="5"/>
      <c r="AY1319" s="5"/>
      <c r="AZ1319" s="5"/>
      <c r="BA1319" s="5"/>
    </row>
    <row r="1320" spans="3:53" s="41" customFormat="1" x14ac:dyDescent="0.2">
      <c r="C1320" s="71"/>
      <c r="D1320" s="58"/>
      <c r="E1320" s="38"/>
      <c r="F1320" s="58"/>
      <c r="G1320" s="5"/>
      <c r="H1320" s="44"/>
      <c r="I1320" s="5"/>
      <c r="J1320" s="43"/>
      <c r="K1320" s="43"/>
      <c r="L1320" s="57"/>
      <c r="M1320" s="56"/>
      <c r="N1320" s="3"/>
      <c r="P1320" s="5"/>
      <c r="Q1320" s="5"/>
      <c r="R1320" s="5"/>
      <c r="T1320" s="56"/>
      <c r="U1320" s="77"/>
      <c r="V1320" s="77"/>
      <c r="AA1320" s="3"/>
      <c r="AF1320" s="5"/>
      <c r="AG1320" s="5"/>
      <c r="AH1320" s="5"/>
      <c r="AI1320" s="5"/>
      <c r="AJ1320" s="5"/>
      <c r="AK1320" s="5"/>
      <c r="AL1320" s="5"/>
      <c r="AM1320" s="13"/>
      <c r="AN1320" s="13"/>
      <c r="AO1320" s="5"/>
      <c r="AP1320" s="5"/>
      <c r="AQ1320" s="5"/>
      <c r="AR1320" s="5"/>
      <c r="AS1320" s="5"/>
      <c r="AT1320" s="5"/>
      <c r="AU1320" s="5"/>
      <c r="AV1320" s="5"/>
      <c r="AW1320" s="5"/>
      <c r="AX1320" s="5"/>
      <c r="AY1320" s="5"/>
      <c r="AZ1320" s="5"/>
      <c r="BA1320" s="5"/>
    </row>
    <row r="1321" spans="3:53" s="41" customFormat="1" x14ac:dyDescent="0.2">
      <c r="C1321" s="71"/>
      <c r="D1321" s="58"/>
      <c r="E1321" s="38"/>
      <c r="F1321" s="58"/>
      <c r="G1321" s="5"/>
      <c r="H1321" s="44"/>
      <c r="I1321" s="5"/>
      <c r="J1321" s="43"/>
      <c r="K1321" s="43"/>
      <c r="L1321" s="57"/>
      <c r="M1321" s="56"/>
      <c r="N1321" s="3"/>
      <c r="P1321" s="5"/>
      <c r="Q1321" s="5"/>
      <c r="R1321" s="5"/>
      <c r="T1321" s="56"/>
      <c r="U1321" s="77"/>
      <c r="V1321" s="77"/>
      <c r="AA1321" s="3"/>
      <c r="AF1321" s="5"/>
      <c r="AG1321" s="5"/>
      <c r="AH1321" s="5"/>
      <c r="AI1321" s="5"/>
      <c r="AJ1321" s="5"/>
      <c r="AK1321" s="5"/>
      <c r="AL1321" s="5"/>
      <c r="AM1321" s="13"/>
      <c r="AN1321" s="13"/>
      <c r="AO1321" s="5"/>
      <c r="AP1321" s="5"/>
      <c r="AQ1321" s="5"/>
      <c r="AR1321" s="5"/>
      <c r="AS1321" s="5"/>
      <c r="AT1321" s="5"/>
      <c r="AU1321" s="5"/>
      <c r="AV1321" s="5"/>
      <c r="AW1321" s="5"/>
      <c r="AX1321" s="5"/>
      <c r="AY1321" s="5"/>
      <c r="AZ1321" s="5"/>
      <c r="BA1321" s="5"/>
    </row>
    <row r="1322" spans="3:53" s="41" customFormat="1" x14ac:dyDescent="0.2">
      <c r="C1322" s="71"/>
      <c r="D1322" s="58"/>
      <c r="E1322" s="38"/>
      <c r="F1322" s="58"/>
      <c r="G1322" s="5"/>
      <c r="H1322" s="44"/>
      <c r="I1322" s="5"/>
      <c r="J1322" s="43"/>
      <c r="K1322" s="43"/>
      <c r="L1322" s="57"/>
      <c r="M1322" s="56"/>
      <c r="N1322" s="3"/>
      <c r="P1322" s="5"/>
      <c r="Q1322" s="5"/>
      <c r="R1322" s="5"/>
      <c r="T1322" s="56"/>
      <c r="U1322" s="77"/>
      <c r="V1322" s="77"/>
      <c r="AA1322" s="3"/>
      <c r="AF1322" s="5"/>
      <c r="AG1322" s="5"/>
      <c r="AH1322" s="5"/>
      <c r="AI1322" s="5"/>
      <c r="AJ1322" s="5"/>
      <c r="AK1322" s="5"/>
      <c r="AL1322" s="5"/>
      <c r="AM1322" s="13"/>
      <c r="AN1322" s="13"/>
      <c r="AO1322" s="5"/>
      <c r="AP1322" s="5"/>
      <c r="AQ1322" s="5"/>
      <c r="AR1322" s="5"/>
      <c r="AS1322" s="5"/>
      <c r="AT1322" s="5"/>
      <c r="AU1322" s="5"/>
      <c r="AV1322" s="5"/>
      <c r="AW1322" s="5"/>
      <c r="AX1322" s="5"/>
      <c r="AY1322" s="5"/>
      <c r="AZ1322" s="5"/>
      <c r="BA1322" s="5"/>
    </row>
    <row r="1323" spans="3:53" s="41" customFormat="1" x14ac:dyDescent="0.2">
      <c r="C1323" s="71"/>
      <c r="D1323" s="58"/>
      <c r="E1323" s="38"/>
      <c r="F1323" s="58"/>
      <c r="G1323" s="5"/>
      <c r="H1323" s="44"/>
      <c r="I1323" s="5"/>
      <c r="J1323" s="43"/>
      <c r="K1323" s="43"/>
      <c r="L1323" s="57"/>
      <c r="M1323" s="56"/>
      <c r="N1323" s="3"/>
      <c r="P1323" s="5"/>
      <c r="Q1323" s="5"/>
      <c r="R1323" s="5"/>
      <c r="T1323" s="56"/>
      <c r="U1323" s="77"/>
      <c r="V1323" s="77"/>
      <c r="AA1323" s="3"/>
      <c r="AF1323" s="5"/>
      <c r="AG1323" s="5"/>
      <c r="AH1323" s="5"/>
      <c r="AI1323" s="5"/>
      <c r="AJ1323" s="5"/>
      <c r="AK1323" s="5"/>
      <c r="AL1323" s="5"/>
      <c r="AM1323" s="13"/>
      <c r="AN1323" s="13"/>
      <c r="AO1323" s="5"/>
      <c r="AP1323" s="5"/>
      <c r="AQ1323" s="5"/>
      <c r="AR1323" s="5"/>
      <c r="AS1323" s="5"/>
      <c r="AT1323" s="5"/>
      <c r="AU1323" s="5"/>
      <c r="AV1323" s="5"/>
      <c r="AW1323" s="5"/>
      <c r="AX1323" s="5"/>
      <c r="AY1323" s="5"/>
      <c r="AZ1323" s="5"/>
      <c r="BA1323" s="5"/>
    </row>
    <row r="1324" spans="3:53" s="41" customFormat="1" x14ac:dyDescent="0.2">
      <c r="C1324" s="71"/>
      <c r="D1324" s="58"/>
      <c r="E1324" s="38"/>
      <c r="F1324" s="58"/>
      <c r="G1324" s="5"/>
      <c r="H1324" s="44"/>
      <c r="I1324" s="5"/>
      <c r="J1324" s="43"/>
      <c r="K1324" s="43"/>
      <c r="L1324" s="57"/>
      <c r="M1324" s="56"/>
      <c r="N1324" s="3"/>
      <c r="P1324" s="5"/>
      <c r="Q1324" s="5"/>
      <c r="R1324" s="5"/>
      <c r="T1324" s="56"/>
      <c r="U1324" s="77"/>
      <c r="V1324" s="77"/>
      <c r="AA1324" s="3"/>
      <c r="AF1324" s="5"/>
      <c r="AG1324" s="5"/>
      <c r="AH1324" s="5"/>
      <c r="AI1324" s="5"/>
      <c r="AJ1324" s="5"/>
      <c r="AK1324" s="5"/>
      <c r="AL1324" s="5"/>
      <c r="AM1324" s="13"/>
      <c r="AN1324" s="13"/>
      <c r="AO1324" s="5"/>
      <c r="AP1324" s="5"/>
      <c r="AQ1324" s="5"/>
      <c r="AR1324" s="5"/>
      <c r="AS1324" s="5"/>
      <c r="AT1324" s="5"/>
      <c r="AU1324" s="5"/>
      <c r="AV1324" s="5"/>
      <c r="AW1324" s="5"/>
      <c r="AX1324" s="5"/>
      <c r="AY1324" s="5"/>
      <c r="AZ1324" s="5"/>
      <c r="BA1324" s="5"/>
    </row>
    <row r="1325" spans="3:53" s="41" customFormat="1" x14ac:dyDescent="0.2">
      <c r="C1325" s="71"/>
      <c r="D1325" s="58"/>
      <c r="E1325" s="38"/>
      <c r="F1325" s="58"/>
      <c r="G1325" s="5"/>
      <c r="H1325" s="44"/>
      <c r="I1325" s="5"/>
      <c r="J1325" s="43"/>
      <c r="K1325" s="43"/>
      <c r="L1325" s="57"/>
      <c r="M1325" s="56"/>
      <c r="N1325" s="3"/>
      <c r="P1325" s="5"/>
      <c r="Q1325" s="5"/>
      <c r="R1325" s="5"/>
      <c r="T1325" s="56"/>
      <c r="U1325" s="77"/>
      <c r="V1325" s="77"/>
      <c r="AA1325" s="3"/>
      <c r="AF1325" s="5"/>
      <c r="AG1325" s="5"/>
      <c r="AH1325" s="5"/>
      <c r="AI1325" s="5"/>
      <c r="AJ1325" s="5"/>
      <c r="AK1325" s="5"/>
      <c r="AL1325" s="5"/>
      <c r="AM1325" s="13"/>
      <c r="AN1325" s="13"/>
      <c r="AO1325" s="5"/>
      <c r="AP1325" s="5"/>
      <c r="AQ1325" s="5"/>
      <c r="AR1325" s="5"/>
      <c r="AS1325" s="5"/>
      <c r="AT1325" s="5"/>
      <c r="AU1325" s="5"/>
      <c r="AV1325" s="5"/>
      <c r="AW1325" s="5"/>
      <c r="AX1325" s="5"/>
      <c r="AY1325" s="5"/>
      <c r="AZ1325" s="5"/>
      <c r="BA1325" s="5"/>
    </row>
    <row r="1326" spans="3:53" s="41" customFormat="1" x14ac:dyDescent="0.2">
      <c r="C1326" s="71"/>
      <c r="D1326" s="58"/>
      <c r="E1326" s="38"/>
      <c r="F1326" s="58"/>
      <c r="G1326" s="5"/>
      <c r="H1326" s="44"/>
      <c r="I1326" s="5"/>
      <c r="J1326" s="43"/>
      <c r="K1326" s="43"/>
      <c r="L1326" s="57"/>
      <c r="M1326" s="56"/>
      <c r="N1326" s="3"/>
      <c r="P1326" s="5"/>
      <c r="Q1326" s="5"/>
      <c r="R1326" s="5"/>
      <c r="T1326" s="56"/>
      <c r="U1326" s="77"/>
      <c r="V1326" s="77"/>
      <c r="AA1326" s="3"/>
      <c r="AF1326" s="5"/>
      <c r="AG1326" s="5"/>
      <c r="AH1326" s="5"/>
      <c r="AI1326" s="5"/>
      <c r="AJ1326" s="5"/>
      <c r="AK1326" s="5"/>
      <c r="AL1326" s="5"/>
      <c r="AM1326" s="13"/>
      <c r="AN1326" s="13"/>
      <c r="AO1326" s="5"/>
      <c r="AP1326" s="5"/>
      <c r="AQ1326" s="5"/>
      <c r="AR1326" s="5"/>
      <c r="AS1326" s="5"/>
      <c r="AT1326" s="5"/>
      <c r="AU1326" s="5"/>
      <c r="AV1326" s="5"/>
      <c r="AW1326" s="5"/>
      <c r="AX1326" s="5"/>
      <c r="AY1326" s="5"/>
      <c r="AZ1326" s="5"/>
      <c r="BA1326" s="5"/>
    </row>
    <row r="1327" spans="3:53" s="41" customFormat="1" x14ac:dyDescent="0.2">
      <c r="C1327" s="71"/>
      <c r="D1327" s="58"/>
      <c r="E1327" s="38"/>
      <c r="F1327" s="58"/>
      <c r="G1327" s="5"/>
      <c r="H1327" s="44"/>
      <c r="I1327" s="5"/>
      <c r="J1327" s="43"/>
      <c r="K1327" s="43"/>
      <c r="L1327" s="57"/>
      <c r="M1327" s="56"/>
      <c r="N1327" s="3"/>
      <c r="P1327" s="5"/>
      <c r="Q1327" s="5"/>
      <c r="R1327" s="5"/>
      <c r="T1327" s="56"/>
      <c r="U1327" s="77"/>
      <c r="V1327" s="77"/>
      <c r="AA1327" s="3"/>
      <c r="AF1327" s="5"/>
      <c r="AG1327" s="5"/>
      <c r="AH1327" s="5"/>
      <c r="AI1327" s="5"/>
      <c r="AJ1327" s="5"/>
      <c r="AK1327" s="5"/>
      <c r="AL1327" s="5"/>
      <c r="AM1327" s="13"/>
      <c r="AN1327" s="13"/>
      <c r="AO1327" s="5"/>
      <c r="AP1327" s="5"/>
      <c r="AQ1327" s="5"/>
      <c r="AR1327" s="5"/>
      <c r="AS1327" s="5"/>
      <c r="AT1327" s="5"/>
      <c r="AU1327" s="5"/>
      <c r="AV1327" s="5"/>
      <c r="AW1327" s="5"/>
      <c r="AX1327" s="5"/>
      <c r="AY1327" s="5"/>
      <c r="AZ1327" s="5"/>
      <c r="BA1327" s="5"/>
    </row>
    <row r="1328" spans="3:53" s="41" customFormat="1" x14ac:dyDescent="0.2">
      <c r="C1328" s="71"/>
      <c r="D1328" s="58"/>
      <c r="E1328" s="38"/>
      <c r="F1328" s="58"/>
      <c r="G1328" s="5"/>
      <c r="H1328" s="44"/>
      <c r="I1328" s="5"/>
      <c r="J1328" s="43"/>
      <c r="K1328" s="43"/>
      <c r="L1328" s="57"/>
      <c r="M1328" s="56"/>
      <c r="N1328" s="3"/>
      <c r="P1328" s="5"/>
      <c r="Q1328" s="5"/>
      <c r="R1328" s="5"/>
      <c r="T1328" s="56"/>
      <c r="U1328" s="77"/>
      <c r="V1328" s="77"/>
      <c r="AA1328" s="3"/>
      <c r="AF1328" s="5"/>
      <c r="AG1328" s="5"/>
      <c r="AH1328" s="5"/>
      <c r="AI1328" s="5"/>
      <c r="AJ1328" s="5"/>
      <c r="AK1328" s="5"/>
      <c r="AL1328" s="5"/>
      <c r="AM1328" s="13"/>
      <c r="AN1328" s="13"/>
      <c r="AO1328" s="5"/>
      <c r="AP1328" s="5"/>
      <c r="AQ1328" s="5"/>
      <c r="AR1328" s="5"/>
      <c r="AS1328" s="5"/>
      <c r="AT1328" s="5"/>
      <c r="AU1328" s="5"/>
      <c r="AV1328" s="5"/>
      <c r="AW1328" s="5"/>
      <c r="AX1328" s="5"/>
      <c r="AY1328" s="5"/>
      <c r="AZ1328" s="5"/>
      <c r="BA1328" s="5"/>
    </row>
    <row r="1329" spans="3:53" s="41" customFormat="1" x14ac:dyDescent="0.2">
      <c r="C1329" s="71"/>
      <c r="D1329" s="58"/>
      <c r="E1329" s="38"/>
      <c r="F1329" s="58"/>
      <c r="G1329" s="5"/>
      <c r="H1329" s="44"/>
      <c r="I1329" s="5"/>
      <c r="J1329" s="43"/>
      <c r="K1329" s="43"/>
      <c r="L1329" s="57"/>
      <c r="M1329" s="56"/>
      <c r="N1329" s="3"/>
      <c r="P1329" s="5"/>
      <c r="Q1329" s="5"/>
      <c r="R1329" s="5"/>
      <c r="T1329" s="56"/>
      <c r="U1329" s="77"/>
      <c r="V1329" s="77"/>
      <c r="AA1329" s="3"/>
      <c r="AF1329" s="5"/>
      <c r="AG1329" s="5"/>
      <c r="AH1329" s="5"/>
      <c r="AI1329" s="5"/>
      <c r="AJ1329" s="5"/>
      <c r="AK1329" s="5"/>
      <c r="AL1329" s="5"/>
      <c r="AM1329" s="13"/>
      <c r="AN1329" s="13"/>
      <c r="AO1329" s="5"/>
      <c r="AP1329" s="5"/>
      <c r="AQ1329" s="5"/>
      <c r="AR1329" s="5"/>
      <c r="AS1329" s="5"/>
      <c r="AT1329" s="5"/>
      <c r="AU1329" s="5"/>
      <c r="AV1329" s="5"/>
      <c r="AW1329" s="5"/>
      <c r="AX1329" s="5"/>
      <c r="AY1329" s="5"/>
      <c r="AZ1329" s="5"/>
      <c r="BA1329" s="5"/>
    </row>
    <row r="1330" spans="3:53" s="41" customFormat="1" x14ac:dyDescent="0.2">
      <c r="C1330" s="71"/>
      <c r="D1330" s="58"/>
      <c r="E1330" s="38"/>
      <c r="F1330" s="58"/>
      <c r="G1330" s="5"/>
      <c r="H1330" s="44"/>
      <c r="I1330" s="5"/>
      <c r="J1330" s="43"/>
      <c r="K1330" s="43"/>
      <c r="L1330" s="57"/>
      <c r="M1330" s="56"/>
      <c r="N1330" s="3"/>
      <c r="P1330" s="5"/>
      <c r="Q1330" s="5"/>
      <c r="R1330" s="5"/>
      <c r="T1330" s="56"/>
      <c r="U1330" s="77"/>
      <c r="V1330" s="77"/>
      <c r="AA1330" s="3"/>
      <c r="AF1330" s="5"/>
      <c r="AG1330" s="5"/>
      <c r="AH1330" s="5"/>
      <c r="AI1330" s="5"/>
      <c r="AJ1330" s="5"/>
      <c r="AK1330" s="5"/>
      <c r="AL1330" s="5"/>
      <c r="AM1330" s="13"/>
      <c r="AN1330" s="13"/>
      <c r="AO1330" s="5"/>
      <c r="AP1330" s="5"/>
      <c r="AQ1330" s="5"/>
      <c r="AR1330" s="5"/>
      <c r="AS1330" s="5"/>
      <c r="AT1330" s="5"/>
      <c r="AU1330" s="5"/>
      <c r="AV1330" s="5"/>
      <c r="AW1330" s="5"/>
      <c r="AX1330" s="5"/>
      <c r="AY1330" s="5"/>
      <c r="AZ1330" s="5"/>
      <c r="BA1330" s="5"/>
    </row>
    <row r="1331" spans="3:53" s="41" customFormat="1" x14ac:dyDescent="0.2">
      <c r="C1331" s="71"/>
      <c r="D1331" s="58"/>
      <c r="E1331" s="38"/>
      <c r="F1331" s="58"/>
      <c r="G1331" s="5"/>
      <c r="H1331" s="44"/>
      <c r="I1331" s="5"/>
      <c r="J1331" s="43"/>
      <c r="K1331" s="43"/>
      <c r="L1331" s="57"/>
      <c r="M1331" s="56"/>
      <c r="N1331" s="3"/>
      <c r="P1331" s="5"/>
      <c r="Q1331" s="5"/>
      <c r="R1331" s="5"/>
      <c r="T1331" s="56"/>
      <c r="U1331" s="77"/>
      <c r="V1331" s="77"/>
      <c r="AA1331" s="3"/>
      <c r="AF1331" s="5"/>
      <c r="AG1331" s="5"/>
      <c r="AH1331" s="5"/>
      <c r="AI1331" s="5"/>
      <c r="AJ1331" s="5"/>
      <c r="AK1331" s="5"/>
      <c r="AL1331" s="5"/>
      <c r="AM1331" s="13"/>
      <c r="AN1331" s="13"/>
      <c r="AO1331" s="5"/>
      <c r="AP1331" s="5"/>
      <c r="AQ1331" s="5"/>
      <c r="AR1331" s="5"/>
      <c r="AS1331" s="5"/>
      <c r="AT1331" s="5"/>
      <c r="AU1331" s="5"/>
      <c r="AV1331" s="5"/>
      <c r="AW1331" s="5"/>
      <c r="AX1331" s="5"/>
      <c r="AY1331" s="5"/>
      <c r="AZ1331" s="5"/>
      <c r="BA1331" s="5"/>
    </row>
    <row r="1332" spans="3:53" s="41" customFormat="1" x14ac:dyDescent="0.2">
      <c r="C1332" s="71"/>
      <c r="D1332" s="58"/>
      <c r="E1332" s="38"/>
      <c r="F1332" s="58"/>
      <c r="G1332" s="5"/>
      <c r="H1332" s="44"/>
      <c r="I1332" s="5"/>
      <c r="J1332" s="43"/>
      <c r="K1332" s="43"/>
      <c r="L1332" s="57"/>
      <c r="M1332" s="56"/>
      <c r="N1332" s="3"/>
      <c r="P1332" s="5"/>
      <c r="Q1332" s="5"/>
      <c r="R1332" s="5"/>
      <c r="T1332" s="56"/>
      <c r="U1332" s="77"/>
      <c r="V1332" s="77"/>
      <c r="AA1332" s="3"/>
      <c r="AF1332" s="5"/>
      <c r="AG1332" s="5"/>
      <c r="AH1332" s="5"/>
      <c r="AI1332" s="5"/>
      <c r="AJ1332" s="5"/>
      <c r="AK1332" s="5"/>
      <c r="AL1332" s="5"/>
      <c r="AM1332" s="13"/>
      <c r="AN1332" s="13"/>
      <c r="AO1332" s="5"/>
      <c r="AP1332" s="5"/>
      <c r="AQ1332" s="5"/>
      <c r="AR1332" s="5"/>
      <c r="AS1332" s="5"/>
      <c r="AT1332" s="5"/>
      <c r="AU1332" s="5"/>
      <c r="AV1332" s="5"/>
      <c r="AW1332" s="5"/>
      <c r="AX1332" s="5"/>
      <c r="AY1332" s="5"/>
      <c r="AZ1332" s="5"/>
      <c r="BA1332" s="5"/>
    </row>
    <row r="1333" spans="3:53" s="41" customFormat="1" x14ac:dyDescent="0.2">
      <c r="C1333" s="71"/>
      <c r="D1333" s="58"/>
      <c r="E1333" s="38"/>
      <c r="F1333" s="58"/>
      <c r="G1333" s="5"/>
      <c r="H1333" s="44"/>
      <c r="I1333" s="5"/>
      <c r="J1333" s="43"/>
      <c r="K1333" s="43"/>
      <c r="L1333" s="57"/>
      <c r="M1333" s="56"/>
      <c r="N1333" s="3"/>
      <c r="P1333" s="5"/>
      <c r="Q1333" s="5"/>
      <c r="R1333" s="5"/>
      <c r="T1333" s="56"/>
      <c r="U1333" s="77"/>
      <c r="V1333" s="77"/>
      <c r="AA1333" s="3"/>
      <c r="AF1333" s="5"/>
      <c r="AG1333" s="5"/>
      <c r="AH1333" s="5"/>
      <c r="AI1333" s="5"/>
      <c r="AJ1333" s="5"/>
      <c r="AK1333" s="5"/>
      <c r="AL1333" s="5"/>
      <c r="AM1333" s="13"/>
      <c r="AN1333" s="13"/>
      <c r="AO1333" s="5"/>
      <c r="AP1333" s="5"/>
      <c r="AQ1333" s="5"/>
      <c r="AR1333" s="5"/>
      <c r="AS1333" s="5"/>
      <c r="AT1333" s="5"/>
      <c r="AU1333" s="5"/>
      <c r="AV1333" s="5"/>
      <c r="AW1333" s="5"/>
      <c r="AX1333" s="5"/>
      <c r="AY1333" s="5"/>
      <c r="AZ1333" s="5"/>
      <c r="BA1333" s="5"/>
    </row>
    <row r="1334" spans="3:53" s="41" customFormat="1" x14ac:dyDescent="0.2">
      <c r="C1334" s="71"/>
      <c r="D1334" s="58"/>
      <c r="E1334" s="38"/>
      <c r="F1334" s="58"/>
      <c r="G1334" s="5"/>
      <c r="H1334" s="44"/>
      <c r="I1334" s="5"/>
      <c r="J1334" s="43"/>
      <c r="K1334" s="43"/>
      <c r="L1334" s="57"/>
      <c r="M1334" s="56"/>
      <c r="N1334" s="3"/>
      <c r="P1334" s="5"/>
      <c r="Q1334" s="5"/>
      <c r="R1334" s="5"/>
      <c r="T1334" s="56"/>
      <c r="U1334" s="77"/>
      <c r="V1334" s="77"/>
      <c r="AA1334" s="3"/>
      <c r="AF1334" s="5"/>
      <c r="AG1334" s="5"/>
      <c r="AH1334" s="5"/>
      <c r="AI1334" s="5"/>
      <c r="AJ1334" s="5"/>
      <c r="AK1334" s="5"/>
      <c r="AL1334" s="5"/>
      <c r="AM1334" s="13"/>
      <c r="AN1334" s="13"/>
      <c r="AO1334" s="5"/>
      <c r="AP1334" s="5"/>
      <c r="AQ1334" s="5"/>
      <c r="AR1334" s="5"/>
      <c r="AS1334" s="5"/>
      <c r="AT1334" s="5"/>
      <c r="AU1334" s="5"/>
      <c r="AV1334" s="5"/>
      <c r="AW1334" s="5"/>
      <c r="AX1334" s="5"/>
      <c r="AY1334" s="5"/>
      <c r="AZ1334" s="5"/>
      <c r="BA1334" s="5"/>
    </row>
    <row r="1335" spans="3:53" s="41" customFormat="1" x14ac:dyDescent="0.2">
      <c r="C1335" s="71"/>
      <c r="D1335" s="58"/>
      <c r="E1335" s="38"/>
      <c r="F1335" s="58"/>
      <c r="G1335" s="5"/>
      <c r="H1335" s="44"/>
      <c r="I1335" s="5"/>
      <c r="J1335" s="43"/>
      <c r="K1335" s="43"/>
      <c r="L1335" s="57"/>
      <c r="M1335" s="56"/>
      <c r="N1335" s="3"/>
      <c r="P1335" s="5"/>
      <c r="Q1335" s="5"/>
      <c r="R1335" s="5"/>
      <c r="T1335" s="56"/>
      <c r="U1335" s="77"/>
      <c r="V1335" s="77"/>
      <c r="AA1335" s="3"/>
      <c r="AF1335" s="5"/>
      <c r="AG1335" s="5"/>
      <c r="AH1335" s="5"/>
      <c r="AI1335" s="5"/>
      <c r="AJ1335" s="5"/>
      <c r="AK1335" s="5"/>
      <c r="AL1335" s="5"/>
      <c r="AM1335" s="13"/>
      <c r="AN1335" s="13"/>
      <c r="AO1335" s="5"/>
      <c r="AP1335" s="5"/>
      <c r="AQ1335" s="5"/>
      <c r="AR1335" s="5"/>
      <c r="AS1335" s="5"/>
      <c r="AT1335" s="5"/>
      <c r="AU1335" s="5"/>
      <c r="AV1335" s="5"/>
      <c r="AW1335" s="5"/>
      <c r="AX1335" s="5"/>
      <c r="AY1335" s="5"/>
      <c r="AZ1335" s="5"/>
      <c r="BA1335" s="5"/>
    </row>
    <row r="1336" spans="3:53" s="41" customFormat="1" x14ac:dyDescent="0.2">
      <c r="C1336" s="71"/>
      <c r="D1336" s="58"/>
      <c r="E1336" s="38"/>
      <c r="F1336" s="58"/>
      <c r="G1336" s="5"/>
      <c r="H1336" s="44"/>
      <c r="I1336" s="5"/>
      <c r="J1336" s="43"/>
      <c r="K1336" s="43"/>
      <c r="L1336" s="57"/>
      <c r="M1336" s="56"/>
      <c r="N1336" s="3"/>
      <c r="P1336" s="5"/>
      <c r="Q1336" s="5"/>
      <c r="R1336" s="5"/>
      <c r="T1336" s="56"/>
      <c r="U1336" s="77"/>
      <c r="V1336" s="77"/>
      <c r="AA1336" s="3"/>
      <c r="AF1336" s="5"/>
      <c r="AG1336" s="5"/>
      <c r="AH1336" s="5"/>
      <c r="AI1336" s="5"/>
      <c r="AJ1336" s="5"/>
      <c r="AK1336" s="5"/>
      <c r="AL1336" s="5"/>
      <c r="AM1336" s="13"/>
      <c r="AN1336" s="13"/>
      <c r="AO1336" s="5"/>
      <c r="AP1336" s="5"/>
      <c r="AQ1336" s="5"/>
      <c r="AR1336" s="5"/>
      <c r="AS1336" s="5"/>
      <c r="AT1336" s="5"/>
      <c r="AU1336" s="5"/>
      <c r="AV1336" s="5"/>
      <c r="AW1336" s="5"/>
      <c r="AX1336" s="5"/>
      <c r="AY1336" s="5"/>
      <c r="AZ1336" s="5"/>
      <c r="BA1336" s="5"/>
    </row>
    <row r="1337" spans="3:53" s="41" customFormat="1" x14ac:dyDescent="0.2">
      <c r="C1337" s="71"/>
      <c r="D1337" s="58"/>
      <c r="E1337" s="38"/>
      <c r="F1337" s="58"/>
      <c r="G1337" s="5"/>
      <c r="H1337" s="44"/>
      <c r="I1337" s="5"/>
      <c r="J1337" s="43"/>
      <c r="K1337" s="43"/>
      <c r="L1337" s="57"/>
      <c r="M1337" s="56"/>
      <c r="N1337" s="3"/>
      <c r="P1337" s="5"/>
      <c r="Q1337" s="5"/>
      <c r="R1337" s="5"/>
      <c r="T1337" s="56"/>
      <c r="U1337" s="77"/>
      <c r="V1337" s="77"/>
      <c r="AA1337" s="3"/>
      <c r="AF1337" s="5"/>
      <c r="AG1337" s="5"/>
      <c r="AH1337" s="5"/>
      <c r="AI1337" s="5"/>
      <c r="AJ1337" s="5"/>
      <c r="AK1337" s="5"/>
      <c r="AL1337" s="5"/>
      <c r="AM1337" s="13"/>
      <c r="AN1337" s="13"/>
      <c r="AO1337" s="5"/>
      <c r="AP1337" s="5"/>
      <c r="AQ1337" s="5"/>
      <c r="AR1337" s="5"/>
      <c r="AS1337" s="5"/>
      <c r="AT1337" s="5"/>
      <c r="AU1337" s="5"/>
      <c r="AV1337" s="5"/>
      <c r="AW1337" s="5"/>
      <c r="AX1337" s="5"/>
      <c r="AY1337" s="5"/>
      <c r="AZ1337" s="5"/>
      <c r="BA1337" s="5"/>
    </row>
    <row r="1338" spans="3:53" s="41" customFormat="1" x14ac:dyDescent="0.2">
      <c r="C1338" s="71"/>
      <c r="D1338" s="58"/>
      <c r="E1338" s="38"/>
      <c r="F1338" s="58"/>
      <c r="G1338" s="5"/>
      <c r="H1338" s="44"/>
      <c r="I1338" s="5"/>
      <c r="J1338" s="43"/>
      <c r="K1338" s="43"/>
      <c r="L1338" s="57"/>
      <c r="M1338" s="56"/>
      <c r="N1338" s="3"/>
      <c r="P1338" s="5"/>
      <c r="Q1338" s="5"/>
      <c r="R1338" s="5"/>
      <c r="T1338" s="56"/>
      <c r="U1338" s="77"/>
      <c r="V1338" s="77"/>
      <c r="AA1338" s="3"/>
      <c r="AF1338" s="5"/>
      <c r="AG1338" s="5"/>
      <c r="AH1338" s="5"/>
      <c r="AI1338" s="5"/>
      <c r="AJ1338" s="5"/>
      <c r="AK1338" s="5"/>
      <c r="AL1338" s="5"/>
      <c r="AM1338" s="13"/>
      <c r="AN1338" s="13"/>
      <c r="AO1338" s="5"/>
      <c r="AP1338" s="5"/>
      <c r="AQ1338" s="5"/>
      <c r="AR1338" s="5"/>
      <c r="AS1338" s="5"/>
      <c r="AT1338" s="5"/>
      <c r="AU1338" s="5"/>
      <c r="AV1338" s="5"/>
      <c r="AW1338" s="5"/>
      <c r="AX1338" s="5"/>
      <c r="AY1338" s="5"/>
      <c r="AZ1338" s="5"/>
      <c r="BA1338" s="5"/>
    </row>
    <row r="1339" spans="3:53" s="41" customFormat="1" x14ac:dyDescent="0.2">
      <c r="C1339" s="71"/>
      <c r="D1339" s="58"/>
      <c r="E1339" s="38"/>
      <c r="F1339" s="58"/>
      <c r="G1339" s="5"/>
      <c r="H1339" s="44"/>
      <c r="I1339" s="5"/>
      <c r="J1339" s="43"/>
      <c r="K1339" s="43"/>
      <c r="L1339" s="57"/>
      <c r="M1339" s="56"/>
      <c r="N1339" s="3"/>
      <c r="P1339" s="5"/>
      <c r="Q1339" s="5"/>
      <c r="R1339" s="5"/>
      <c r="T1339" s="56"/>
      <c r="U1339" s="77"/>
      <c r="V1339" s="77"/>
      <c r="AA1339" s="3"/>
      <c r="AF1339" s="5"/>
      <c r="AG1339" s="5"/>
      <c r="AH1339" s="5"/>
      <c r="AI1339" s="5"/>
      <c r="AJ1339" s="5"/>
      <c r="AK1339" s="5"/>
      <c r="AL1339" s="5"/>
      <c r="AM1339" s="13"/>
      <c r="AN1339" s="13"/>
      <c r="AO1339" s="5"/>
      <c r="AP1339" s="5"/>
      <c r="AQ1339" s="5"/>
      <c r="AR1339" s="5"/>
      <c r="AS1339" s="5"/>
      <c r="AT1339" s="5"/>
      <c r="AU1339" s="5"/>
      <c r="AV1339" s="5"/>
      <c r="AW1339" s="5"/>
      <c r="AX1339" s="5"/>
      <c r="AY1339" s="5"/>
      <c r="AZ1339" s="5"/>
      <c r="BA1339" s="5"/>
    </row>
    <row r="1340" spans="3:53" s="41" customFormat="1" x14ac:dyDescent="0.2">
      <c r="C1340" s="71"/>
      <c r="D1340" s="58"/>
      <c r="E1340" s="38"/>
      <c r="F1340" s="58"/>
      <c r="G1340" s="5"/>
      <c r="H1340" s="44"/>
      <c r="I1340" s="5"/>
      <c r="J1340" s="43"/>
      <c r="K1340" s="43"/>
      <c r="L1340" s="57"/>
      <c r="M1340" s="56"/>
      <c r="N1340" s="3"/>
      <c r="P1340" s="5"/>
      <c r="Q1340" s="5"/>
      <c r="R1340" s="5"/>
      <c r="T1340" s="56"/>
      <c r="U1340" s="77"/>
      <c r="V1340" s="77"/>
      <c r="AA1340" s="3"/>
      <c r="AF1340" s="5"/>
      <c r="AG1340" s="5"/>
      <c r="AH1340" s="5"/>
      <c r="AI1340" s="5"/>
      <c r="AJ1340" s="5"/>
      <c r="AK1340" s="5"/>
      <c r="AL1340" s="5"/>
      <c r="AM1340" s="13"/>
      <c r="AN1340" s="13"/>
      <c r="AO1340" s="5"/>
      <c r="AP1340" s="5"/>
      <c r="AQ1340" s="5"/>
      <c r="AR1340" s="5"/>
      <c r="AS1340" s="5"/>
      <c r="AT1340" s="5"/>
      <c r="AU1340" s="5"/>
      <c r="AV1340" s="5"/>
      <c r="AW1340" s="5"/>
      <c r="AX1340" s="5"/>
      <c r="AY1340" s="5"/>
      <c r="AZ1340" s="5"/>
      <c r="BA1340" s="5"/>
    </row>
    <row r="1341" spans="3:53" s="41" customFormat="1" x14ac:dyDescent="0.2">
      <c r="C1341" s="71"/>
      <c r="D1341" s="58"/>
      <c r="E1341" s="38"/>
      <c r="F1341" s="58"/>
      <c r="G1341" s="5"/>
      <c r="H1341" s="44"/>
      <c r="I1341" s="5"/>
      <c r="J1341" s="43"/>
      <c r="K1341" s="43"/>
      <c r="L1341" s="57"/>
      <c r="M1341" s="56"/>
      <c r="N1341" s="3"/>
      <c r="P1341" s="5"/>
      <c r="Q1341" s="5"/>
      <c r="R1341" s="5"/>
      <c r="T1341" s="56"/>
      <c r="U1341" s="77"/>
      <c r="V1341" s="77"/>
      <c r="AA1341" s="3"/>
      <c r="AF1341" s="5"/>
      <c r="AG1341" s="5"/>
      <c r="AH1341" s="5"/>
      <c r="AI1341" s="5"/>
      <c r="AJ1341" s="5"/>
      <c r="AK1341" s="5"/>
      <c r="AL1341" s="5"/>
      <c r="AM1341" s="13"/>
      <c r="AN1341" s="13"/>
      <c r="AO1341" s="5"/>
      <c r="AP1341" s="5"/>
      <c r="AQ1341" s="5"/>
      <c r="AR1341" s="5"/>
      <c r="AS1341" s="5"/>
      <c r="AT1341" s="5"/>
      <c r="AU1341" s="5"/>
      <c r="AV1341" s="5"/>
      <c r="AW1341" s="5"/>
      <c r="AX1341" s="5"/>
      <c r="AY1341" s="5"/>
      <c r="AZ1341" s="5"/>
      <c r="BA1341" s="5"/>
    </row>
    <row r="1342" spans="3:53" s="41" customFormat="1" x14ac:dyDescent="0.2">
      <c r="C1342" s="71"/>
      <c r="D1342" s="58"/>
      <c r="E1342" s="38"/>
      <c r="F1342" s="58"/>
      <c r="G1342" s="5"/>
      <c r="H1342" s="44"/>
      <c r="I1342" s="5"/>
      <c r="J1342" s="43"/>
      <c r="K1342" s="43"/>
      <c r="L1342" s="57"/>
      <c r="M1342" s="56"/>
      <c r="N1342" s="3"/>
      <c r="P1342" s="5"/>
      <c r="Q1342" s="5"/>
      <c r="R1342" s="5"/>
      <c r="T1342" s="56"/>
      <c r="U1342" s="77"/>
      <c r="V1342" s="77"/>
      <c r="AA1342" s="3"/>
      <c r="AF1342" s="5"/>
      <c r="AG1342" s="5"/>
      <c r="AH1342" s="5"/>
      <c r="AI1342" s="5"/>
      <c r="AJ1342" s="5"/>
      <c r="AK1342" s="5"/>
      <c r="AL1342" s="5"/>
      <c r="AM1342" s="13"/>
      <c r="AN1342" s="13"/>
      <c r="AO1342" s="5"/>
      <c r="AP1342" s="5"/>
      <c r="AQ1342" s="5"/>
      <c r="AR1342" s="5"/>
      <c r="AS1342" s="5"/>
      <c r="AT1342" s="5"/>
      <c r="AU1342" s="5"/>
      <c r="AV1342" s="5"/>
      <c r="AW1342" s="5"/>
      <c r="AX1342" s="5"/>
      <c r="AY1342" s="5"/>
      <c r="AZ1342" s="5"/>
      <c r="BA1342" s="5"/>
    </row>
    <row r="1343" spans="3:53" s="41" customFormat="1" x14ac:dyDescent="0.2">
      <c r="C1343" s="71"/>
      <c r="D1343" s="58"/>
      <c r="E1343" s="38"/>
      <c r="F1343" s="58"/>
      <c r="G1343" s="5"/>
      <c r="H1343" s="44"/>
      <c r="I1343" s="5"/>
      <c r="J1343" s="43"/>
      <c r="K1343" s="43"/>
      <c r="L1343" s="57"/>
      <c r="M1343" s="56"/>
      <c r="N1343" s="3"/>
      <c r="P1343" s="5"/>
      <c r="Q1343" s="5"/>
      <c r="R1343" s="5"/>
      <c r="T1343" s="56"/>
      <c r="U1343" s="77"/>
      <c r="V1343" s="77"/>
      <c r="AA1343" s="3"/>
      <c r="AF1343" s="5"/>
      <c r="AG1343" s="5"/>
      <c r="AH1343" s="5"/>
      <c r="AI1343" s="5"/>
      <c r="AJ1343" s="5"/>
      <c r="AK1343" s="5"/>
      <c r="AL1343" s="5"/>
      <c r="AM1343" s="13"/>
      <c r="AN1343" s="13"/>
      <c r="AO1343" s="5"/>
      <c r="AP1343" s="5"/>
      <c r="AQ1343" s="5"/>
      <c r="AR1343" s="5"/>
      <c r="AS1343" s="5"/>
      <c r="AT1343" s="5"/>
      <c r="AU1343" s="5"/>
      <c r="AV1343" s="5"/>
      <c r="AW1343" s="5"/>
      <c r="AX1343" s="5"/>
      <c r="AY1343" s="5"/>
      <c r="AZ1343" s="5"/>
      <c r="BA1343" s="5"/>
    </row>
    <row r="1344" spans="3:53" s="41" customFormat="1" x14ac:dyDescent="0.2">
      <c r="C1344" s="71"/>
      <c r="D1344" s="58"/>
      <c r="E1344" s="38"/>
      <c r="F1344" s="58"/>
      <c r="G1344" s="5"/>
      <c r="H1344" s="44"/>
      <c r="I1344" s="5"/>
      <c r="J1344" s="43"/>
      <c r="K1344" s="43"/>
      <c r="L1344" s="57"/>
      <c r="M1344" s="56"/>
      <c r="N1344" s="3"/>
      <c r="P1344" s="5"/>
      <c r="Q1344" s="5"/>
      <c r="R1344" s="5"/>
      <c r="T1344" s="56"/>
      <c r="U1344" s="77"/>
      <c r="V1344" s="77"/>
      <c r="AA1344" s="3"/>
      <c r="AF1344" s="5"/>
      <c r="AG1344" s="5"/>
      <c r="AH1344" s="5"/>
      <c r="AI1344" s="5"/>
      <c r="AJ1344" s="5"/>
      <c r="AK1344" s="5"/>
      <c r="AL1344" s="5"/>
      <c r="AM1344" s="13"/>
      <c r="AN1344" s="13"/>
      <c r="AO1344" s="5"/>
      <c r="AP1344" s="5"/>
      <c r="AQ1344" s="5"/>
      <c r="AR1344" s="5"/>
      <c r="AS1344" s="5"/>
      <c r="AT1344" s="5"/>
      <c r="AU1344" s="5"/>
      <c r="AV1344" s="5"/>
      <c r="AW1344" s="5"/>
      <c r="AX1344" s="5"/>
      <c r="AY1344" s="5"/>
      <c r="AZ1344" s="5"/>
      <c r="BA1344" s="5"/>
    </row>
    <row r="1345" spans="3:53" s="41" customFormat="1" x14ac:dyDescent="0.2">
      <c r="C1345" s="71"/>
      <c r="D1345" s="58"/>
      <c r="E1345" s="38"/>
      <c r="F1345" s="58"/>
      <c r="G1345" s="5"/>
      <c r="H1345" s="44"/>
      <c r="I1345" s="5"/>
      <c r="J1345" s="43"/>
      <c r="K1345" s="43"/>
      <c r="L1345" s="57"/>
      <c r="M1345" s="56"/>
      <c r="N1345" s="3"/>
      <c r="P1345" s="5"/>
      <c r="Q1345" s="5"/>
      <c r="R1345" s="5"/>
      <c r="T1345" s="56"/>
      <c r="U1345" s="77"/>
      <c r="V1345" s="77"/>
      <c r="AA1345" s="3"/>
      <c r="AF1345" s="5"/>
      <c r="AG1345" s="5"/>
      <c r="AH1345" s="5"/>
      <c r="AI1345" s="5"/>
      <c r="AJ1345" s="5"/>
      <c r="AK1345" s="5"/>
      <c r="AL1345" s="5"/>
      <c r="AM1345" s="13"/>
      <c r="AN1345" s="13"/>
      <c r="AO1345" s="5"/>
      <c r="AP1345" s="5"/>
      <c r="AQ1345" s="5"/>
      <c r="AR1345" s="5"/>
      <c r="AS1345" s="5"/>
      <c r="AT1345" s="5"/>
      <c r="AU1345" s="5"/>
      <c r="AV1345" s="5"/>
      <c r="AW1345" s="5"/>
      <c r="AX1345" s="5"/>
      <c r="AY1345" s="5"/>
      <c r="AZ1345" s="5"/>
      <c r="BA1345" s="5"/>
    </row>
    <row r="1346" spans="3:53" s="41" customFormat="1" x14ac:dyDescent="0.2">
      <c r="C1346" s="71"/>
      <c r="D1346" s="58"/>
      <c r="E1346" s="38"/>
      <c r="F1346" s="58"/>
      <c r="G1346" s="5"/>
      <c r="H1346" s="44"/>
      <c r="I1346" s="5"/>
      <c r="J1346" s="43"/>
      <c r="K1346" s="43"/>
      <c r="L1346" s="57"/>
      <c r="M1346" s="56"/>
      <c r="N1346" s="3"/>
      <c r="P1346" s="5"/>
      <c r="Q1346" s="5"/>
      <c r="R1346" s="5"/>
      <c r="T1346" s="56"/>
      <c r="U1346" s="77"/>
      <c r="V1346" s="77"/>
      <c r="AA1346" s="3"/>
      <c r="AF1346" s="5"/>
      <c r="AG1346" s="5"/>
      <c r="AH1346" s="5"/>
      <c r="AI1346" s="5"/>
      <c r="AJ1346" s="5"/>
      <c r="AK1346" s="5"/>
      <c r="AL1346" s="5"/>
      <c r="AM1346" s="13"/>
      <c r="AN1346" s="13"/>
      <c r="AO1346" s="5"/>
      <c r="AP1346" s="5"/>
      <c r="AQ1346" s="5"/>
      <c r="AR1346" s="5"/>
      <c r="AS1346" s="5"/>
      <c r="AT1346" s="5"/>
      <c r="AU1346" s="5"/>
      <c r="AV1346" s="5"/>
      <c r="AW1346" s="5"/>
      <c r="AX1346" s="5"/>
      <c r="AY1346" s="5"/>
      <c r="AZ1346" s="5"/>
      <c r="BA1346" s="5"/>
    </row>
    <row r="1347" spans="3:53" s="41" customFormat="1" x14ac:dyDescent="0.2">
      <c r="C1347" s="71"/>
      <c r="D1347" s="58"/>
      <c r="E1347" s="38"/>
      <c r="F1347" s="58"/>
      <c r="G1347" s="5"/>
      <c r="H1347" s="44"/>
      <c r="I1347" s="5"/>
      <c r="J1347" s="43"/>
      <c r="K1347" s="43"/>
      <c r="L1347" s="57"/>
      <c r="M1347" s="56"/>
      <c r="N1347" s="3"/>
      <c r="P1347" s="5"/>
      <c r="Q1347" s="5"/>
      <c r="R1347" s="5"/>
      <c r="T1347" s="56"/>
      <c r="U1347" s="77"/>
      <c r="V1347" s="77"/>
      <c r="AA1347" s="3"/>
      <c r="AF1347" s="5"/>
      <c r="AG1347" s="5"/>
      <c r="AH1347" s="5"/>
      <c r="AI1347" s="5"/>
      <c r="AJ1347" s="5"/>
      <c r="AK1347" s="5"/>
      <c r="AL1347" s="5"/>
      <c r="AM1347" s="13"/>
      <c r="AN1347" s="13"/>
      <c r="AO1347" s="5"/>
      <c r="AP1347" s="5"/>
      <c r="AQ1347" s="5"/>
      <c r="AR1347" s="5"/>
      <c r="AS1347" s="5"/>
      <c r="AT1347" s="5"/>
      <c r="AU1347" s="5"/>
      <c r="AV1347" s="5"/>
      <c r="AW1347" s="5"/>
      <c r="AX1347" s="5"/>
      <c r="AY1347" s="5"/>
      <c r="AZ1347" s="5"/>
      <c r="BA1347" s="5"/>
    </row>
    <row r="1348" spans="3:53" s="41" customFormat="1" x14ac:dyDescent="0.2">
      <c r="C1348" s="71"/>
      <c r="D1348" s="58"/>
      <c r="E1348" s="38"/>
      <c r="F1348" s="58"/>
      <c r="G1348" s="5"/>
      <c r="H1348" s="44"/>
      <c r="I1348" s="5"/>
      <c r="J1348" s="43"/>
      <c r="K1348" s="43"/>
      <c r="L1348" s="57"/>
      <c r="M1348" s="56"/>
      <c r="N1348" s="3"/>
      <c r="P1348" s="5"/>
      <c r="Q1348" s="5"/>
      <c r="R1348" s="5"/>
      <c r="T1348" s="56"/>
      <c r="U1348" s="77"/>
      <c r="V1348" s="77"/>
      <c r="AA1348" s="3"/>
      <c r="AF1348" s="5"/>
      <c r="AG1348" s="5"/>
      <c r="AH1348" s="5"/>
      <c r="AI1348" s="5"/>
      <c r="AJ1348" s="5"/>
      <c r="AK1348" s="5"/>
      <c r="AL1348" s="5"/>
      <c r="AM1348" s="13"/>
      <c r="AN1348" s="13"/>
      <c r="AO1348" s="5"/>
      <c r="AP1348" s="5"/>
      <c r="AQ1348" s="5"/>
      <c r="AR1348" s="5"/>
      <c r="AS1348" s="5"/>
      <c r="AT1348" s="5"/>
      <c r="AU1348" s="5"/>
      <c r="AV1348" s="5"/>
      <c r="AW1348" s="5"/>
      <c r="AX1348" s="5"/>
      <c r="AY1348" s="5"/>
      <c r="AZ1348" s="5"/>
      <c r="BA1348" s="5"/>
    </row>
    <row r="1349" spans="3:53" s="41" customFormat="1" x14ac:dyDescent="0.2">
      <c r="C1349" s="71"/>
      <c r="D1349" s="58"/>
      <c r="E1349" s="38"/>
      <c r="F1349" s="58"/>
      <c r="G1349" s="5"/>
      <c r="H1349" s="44"/>
      <c r="I1349" s="5"/>
      <c r="J1349" s="43"/>
      <c r="K1349" s="43"/>
      <c r="L1349" s="57"/>
      <c r="M1349" s="56"/>
      <c r="N1349" s="3"/>
      <c r="P1349" s="5"/>
      <c r="Q1349" s="5"/>
      <c r="R1349" s="5"/>
      <c r="T1349" s="56"/>
      <c r="U1349" s="77"/>
      <c r="V1349" s="77"/>
      <c r="AA1349" s="3"/>
      <c r="AF1349" s="5"/>
      <c r="AG1349" s="5"/>
      <c r="AH1349" s="5"/>
      <c r="AI1349" s="5"/>
      <c r="AJ1349" s="5"/>
      <c r="AK1349" s="5"/>
      <c r="AL1349" s="5"/>
      <c r="AM1349" s="13"/>
      <c r="AN1349" s="13"/>
      <c r="AO1349" s="5"/>
      <c r="AP1349" s="5"/>
      <c r="AQ1349" s="5"/>
      <c r="AR1349" s="5"/>
      <c r="AS1349" s="5"/>
      <c r="AT1349" s="5"/>
      <c r="AU1349" s="5"/>
      <c r="AV1349" s="5"/>
      <c r="AW1349" s="5"/>
      <c r="AX1349" s="5"/>
      <c r="AY1349" s="5"/>
      <c r="AZ1349" s="5"/>
      <c r="BA1349" s="5"/>
    </row>
    <row r="1350" spans="3:53" s="41" customFormat="1" x14ac:dyDescent="0.2">
      <c r="C1350" s="71"/>
      <c r="D1350" s="58"/>
      <c r="E1350" s="38"/>
      <c r="F1350" s="58"/>
      <c r="G1350" s="5"/>
      <c r="H1350" s="44"/>
      <c r="I1350" s="5"/>
      <c r="J1350" s="43"/>
      <c r="K1350" s="43"/>
      <c r="L1350" s="57"/>
      <c r="M1350" s="56"/>
      <c r="N1350" s="3"/>
      <c r="P1350" s="5"/>
      <c r="Q1350" s="5"/>
      <c r="R1350" s="5"/>
      <c r="T1350" s="56"/>
      <c r="U1350" s="77"/>
      <c r="V1350" s="77"/>
      <c r="AA1350" s="3"/>
      <c r="AF1350" s="5"/>
      <c r="AG1350" s="5"/>
      <c r="AH1350" s="5"/>
      <c r="AI1350" s="5"/>
      <c r="AJ1350" s="5"/>
      <c r="AK1350" s="5"/>
      <c r="AL1350" s="5"/>
      <c r="AM1350" s="13"/>
      <c r="AN1350" s="13"/>
      <c r="AO1350" s="5"/>
      <c r="AP1350" s="5"/>
      <c r="AQ1350" s="5"/>
      <c r="AR1350" s="5"/>
      <c r="AS1350" s="5"/>
      <c r="AT1350" s="5"/>
      <c r="AU1350" s="5"/>
      <c r="AV1350" s="5"/>
      <c r="AW1350" s="5"/>
      <c r="AX1350" s="5"/>
      <c r="AY1350" s="5"/>
      <c r="AZ1350" s="5"/>
      <c r="BA1350" s="5"/>
    </row>
    <row r="1351" spans="3:53" s="41" customFormat="1" x14ac:dyDescent="0.2">
      <c r="C1351" s="71"/>
      <c r="D1351" s="58"/>
      <c r="E1351" s="38"/>
      <c r="F1351" s="58"/>
      <c r="G1351" s="5"/>
      <c r="H1351" s="44"/>
      <c r="I1351" s="5"/>
      <c r="J1351" s="43"/>
      <c r="K1351" s="43"/>
      <c r="L1351" s="57"/>
      <c r="M1351" s="56"/>
      <c r="N1351" s="3"/>
      <c r="P1351" s="5"/>
      <c r="Q1351" s="5"/>
      <c r="R1351" s="5"/>
      <c r="T1351" s="56"/>
      <c r="U1351" s="77"/>
      <c r="V1351" s="77"/>
      <c r="AA1351" s="3"/>
      <c r="AF1351" s="5"/>
      <c r="AG1351" s="5"/>
      <c r="AH1351" s="5"/>
      <c r="AI1351" s="5"/>
      <c r="AJ1351" s="5"/>
      <c r="AK1351" s="5"/>
      <c r="AL1351" s="5"/>
      <c r="AM1351" s="13"/>
      <c r="AN1351" s="13"/>
      <c r="AO1351" s="5"/>
      <c r="AP1351" s="5"/>
      <c r="AQ1351" s="5"/>
      <c r="AR1351" s="5"/>
      <c r="AS1351" s="5"/>
      <c r="AT1351" s="5"/>
      <c r="AU1351" s="5"/>
      <c r="AV1351" s="5"/>
      <c r="AW1351" s="5"/>
      <c r="AX1351" s="5"/>
      <c r="AY1351" s="5"/>
      <c r="AZ1351" s="5"/>
      <c r="BA1351" s="5"/>
    </row>
    <row r="1352" spans="3:53" s="41" customFormat="1" x14ac:dyDescent="0.2">
      <c r="C1352" s="71"/>
      <c r="D1352" s="58"/>
      <c r="E1352" s="38"/>
      <c r="F1352" s="58"/>
      <c r="G1352" s="5"/>
      <c r="H1352" s="44"/>
      <c r="I1352" s="5"/>
      <c r="J1352" s="43"/>
      <c r="K1352" s="43"/>
      <c r="L1352" s="57"/>
      <c r="M1352" s="56"/>
      <c r="N1352" s="3"/>
      <c r="P1352" s="5"/>
      <c r="Q1352" s="5"/>
      <c r="R1352" s="5"/>
      <c r="T1352" s="56"/>
      <c r="U1352" s="77"/>
      <c r="V1352" s="77"/>
      <c r="AA1352" s="3"/>
      <c r="AF1352" s="5"/>
      <c r="AG1352" s="5"/>
      <c r="AH1352" s="5"/>
      <c r="AI1352" s="5"/>
      <c r="AJ1352" s="5"/>
      <c r="AK1352" s="5"/>
      <c r="AL1352" s="5"/>
      <c r="AM1352" s="13"/>
      <c r="AN1352" s="13"/>
      <c r="AO1352" s="5"/>
      <c r="AP1352" s="5"/>
      <c r="AQ1352" s="5"/>
      <c r="AR1352" s="5"/>
      <c r="AS1352" s="5"/>
      <c r="AT1352" s="5"/>
      <c r="AU1352" s="5"/>
      <c r="AV1352" s="5"/>
      <c r="AW1352" s="5"/>
      <c r="AX1352" s="5"/>
      <c r="AY1352" s="5"/>
      <c r="AZ1352" s="5"/>
      <c r="BA1352" s="5"/>
    </row>
    <row r="1353" spans="3:53" s="41" customFormat="1" x14ac:dyDescent="0.2">
      <c r="C1353" s="71"/>
      <c r="D1353" s="58"/>
      <c r="E1353" s="38"/>
      <c r="F1353" s="58"/>
      <c r="G1353" s="5"/>
      <c r="H1353" s="44"/>
      <c r="I1353" s="5"/>
      <c r="J1353" s="43"/>
      <c r="K1353" s="43"/>
      <c r="L1353" s="57"/>
      <c r="M1353" s="56"/>
      <c r="N1353" s="3"/>
      <c r="P1353" s="5"/>
      <c r="Q1353" s="5"/>
      <c r="R1353" s="5"/>
      <c r="T1353" s="56"/>
      <c r="U1353" s="77"/>
      <c r="V1353" s="77"/>
      <c r="AA1353" s="3"/>
      <c r="AF1353" s="5"/>
      <c r="AG1353" s="5"/>
      <c r="AH1353" s="5"/>
      <c r="AI1353" s="5"/>
      <c r="AJ1353" s="5"/>
      <c r="AK1353" s="5"/>
      <c r="AL1353" s="5"/>
      <c r="AM1353" s="13"/>
      <c r="AN1353" s="13"/>
      <c r="AO1353" s="5"/>
      <c r="AP1353" s="5"/>
      <c r="AQ1353" s="5"/>
      <c r="AR1353" s="5"/>
      <c r="AS1353" s="5"/>
      <c r="AT1353" s="5"/>
      <c r="AU1353" s="5"/>
      <c r="AV1353" s="5"/>
      <c r="AW1353" s="5"/>
      <c r="AX1353" s="5"/>
      <c r="AY1353" s="5"/>
      <c r="AZ1353" s="5"/>
      <c r="BA1353" s="5"/>
    </row>
    <row r="1354" spans="3:53" s="41" customFormat="1" x14ac:dyDescent="0.2">
      <c r="C1354" s="71"/>
      <c r="D1354" s="58"/>
      <c r="E1354" s="38"/>
      <c r="F1354" s="58"/>
      <c r="G1354" s="5"/>
      <c r="H1354" s="44"/>
      <c r="I1354" s="5"/>
      <c r="J1354" s="43"/>
      <c r="K1354" s="43"/>
      <c r="L1354" s="57"/>
      <c r="M1354" s="56"/>
      <c r="N1354" s="3"/>
      <c r="P1354" s="5"/>
      <c r="Q1354" s="5"/>
      <c r="R1354" s="5"/>
      <c r="T1354" s="56"/>
      <c r="U1354" s="77"/>
      <c r="V1354" s="77"/>
      <c r="AA1354" s="3"/>
      <c r="AF1354" s="5"/>
      <c r="AG1354" s="5"/>
      <c r="AH1354" s="5"/>
      <c r="AI1354" s="5"/>
      <c r="AJ1354" s="5"/>
      <c r="AK1354" s="5"/>
      <c r="AL1354" s="5"/>
      <c r="AM1354" s="13"/>
      <c r="AN1354" s="13"/>
      <c r="AO1354" s="5"/>
      <c r="AP1354" s="5"/>
      <c r="AQ1354" s="5"/>
      <c r="AR1354" s="5"/>
      <c r="AS1354" s="5"/>
      <c r="AT1354" s="5"/>
      <c r="AU1354" s="5"/>
      <c r="AV1354" s="5"/>
      <c r="AW1354" s="5"/>
      <c r="AX1354" s="5"/>
      <c r="AY1354" s="5"/>
      <c r="AZ1354" s="5"/>
      <c r="BA1354" s="5"/>
    </row>
    <row r="1355" spans="3:53" s="41" customFormat="1" x14ac:dyDescent="0.2">
      <c r="C1355" s="71"/>
      <c r="D1355" s="58"/>
      <c r="E1355" s="38"/>
      <c r="F1355" s="58"/>
      <c r="G1355" s="5"/>
      <c r="H1355" s="44"/>
      <c r="I1355" s="5"/>
      <c r="J1355" s="43"/>
      <c r="K1355" s="43"/>
      <c r="L1355" s="57"/>
      <c r="M1355" s="56"/>
      <c r="N1355" s="3"/>
      <c r="P1355" s="5"/>
      <c r="Q1355" s="5"/>
      <c r="R1355" s="5"/>
      <c r="T1355" s="56"/>
      <c r="U1355" s="77"/>
      <c r="V1355" s="77"/>
      <c r="AA1355" s="3"/>
      <c r="AF1355" s="5"/>
      <c r="AG1355" s="5"/>
      <c r="AH1355" s="5"/>
      <c r="AI1355" s="5"/>
      <c r="AJ1355" s="5"/>
      <c r="AK1355" s="5"/>
      <c r="AL1355" s="5"/>
      <c r="AM1355" s="13"/>
      <c r="AN1355" s="13"/>
      <c r="AO1355" s="5"/>
      <c r="AP1355" s="5"/>
      <c r="AQ1355" s="5"/>
      <c r="AR1355" s="5"/>
      <c r="AS1355" s="5"/>
      <c r="AT1355" s="5"/>
      <c r="AU1355" s="5"/>
      <c r="AV1355" s="5"/>
      <c r="AW1355" s="5"/>
      <c r="AX1355" s="5"/>
      <c r="AY1355" s="5"/>
      <c r="AZ1355" s="5"/>
      <c r="BA1355" s="5"/>
    </row>
    <row r="1356" spans="3:53" s="41" customFormat="1" x14ac:dyDescent="0.2">
      <c r="C1356" s="71"/>
      <c r="D1356" s="58"/>
      <c r="E1356" s="38"/>
      <c r="F1356" s="58"/>
      <c r="G1356" s="5"/>
      <c r="H1356" s="44"/>
      <c r="I1356" s="5"/>
      <c r="J1356" s="43"/>
      <c r="K1356" s="43"/>
      <c r="L1356" s="57"/>
      <c r="M1356" s="56"/>
      <c r="N1356" s="3"/>
      <c r="P1356" s="5"/>
      <c r="Q1356" s="5"/>
      <c r="R1356" s="5"/>
      <c r="T1356" s="56"/>
      <c r="U1356" s="77"/>
      <c r="V1356" s="77"/>
      <c r="AA1356" s="3"/>
      <c r="AF1356" s="5"/>
      <c r="AG1356" s="5"/>
      <c r="AH1356" s="5"/>
      <c r="AI1356" s="5"/>
      <c r="AJ1356" s="5"/>
      <c r="AK1356" s="5"/>
      <c r="AL1356" s="5"/>
      <c r="AM1356" s="13"/>
      <c r="AN1356" s="13"/>
      <c r="AO1356" s="5"/>
      <c r="AP1356" s="5"/>
      <c r="AQ1356" s="5"/>
      <c r="AR1356" s="5"/>
      <c r="AS1356" s="5"/>
      <c r="AT1356" s="5"/>
      <c r="AU1356" s="5"/>
      <c r="AV1356" s="5"/>
      <c r="AW1356" s="5"/>
      <c r="AX1356" s="5"/>
      <c r="AY1356" s="5"/>
      <c r="AZ1356" s="5"/>
      <c r="BA1356" s="5"/>
    </row>
    <row r="1357" spans="3:53" s="41" customFormat="1" x14ac:dyDescent="0.2">
      <c r="C1357" s="71"/>
      <c r="D1357" s="58"/>
      <c r="E1357" s="38"/>
      <c r="F1357" s="58"/>
      <c r="G1357" s="5"/>
      <c r="H1357" s="44"/>
      <c r="I1357" s="5"/>
      <c r="J1357" s="43"/>
      <c r="K1357" s="43"/>
      <c r="L1357" s="57"/>
      <c r="M1357" s="56"/>
      <c r="N1357" s="3"/>
      <c r="P1357" s="5"/>
      <c r="Q1357" s="5"/>
      <c r="R1357" s="5"/>
      <c r="T1357" s="56"/>
      <c r="U1357" s="77"/>
      <c r="V1357" s="77"/>
      <c r="AA1357" s="3"/>
      <c r="AF1357" s="5"/>
      <c r="AG1357" s="5"/>
      <c r="AH1357" s="5"/>
      <c r="AI1357" s="5"/>
      <c r="AJ1357" s="5"/>
      <c r="AK1357" s="5"/>
      <c r="AL1357" s="5"/>
      <c r="AM1357" s="13"/>
      <c r="AN1357" s="13"/>
      <c r="AO1357" s="5"/>
      <c r="AP1357" s="5"/>
      <c r="AQ1357" s="5"/>
      <c r="AR1357" s="5"/>
      <c r="AS1357" s="5"/>
      <c r="AT1357" s="5"/>
      <c r="AU1357" s="5"/>
      <c r="AV1357" s="5"/>
      <c r="AW1357" s="5"/>
      <c r="AX1357" s="5"/>
      <c r="AY1357" s="5"/>
      <c r="AZ1357" s="5"/>
      <c r="BA1357" s="5"/>
    </row>
    <row r="1358" spans="3:53" s="41" customFormat="1" x14ac:dyDescent="0.2">
      <c r="C1358" s="71"/>
      <c r="D1358" s="58"/>
      <c r="E1358" s="38"/>
      <c r="F1358" s="58"/>
      <c r="G1358" s="5"/>
      <c r="H1358" s="44"/>
      <c r="I1358" s="5"/>
      <c r="J1358" s="43"/>
      <c r="K1358" s="43"/>
      <c r="L1358" s="57"/>
      <c r="M1358" s="56"/>
      <c r="N1358" s="3"/>
      <c r="P1358" s="5"/>
      <c r="Q1358" s="5"/>
      <c r="R1358" s="5"/>
      <c r="T1358" s="56"/>
      <c r="U1358" s="77"/>
      <c r="V1358" s="77"/>
      <c r="AA1358" s="3"/>
      <c r="AF1358" s="5"/>
      <c r="AG1358" s="5"/>
      <c r="AH1358" s="5"/>
      <c r="AI1358" s="5"/>
      <c r="AJ1358" s="5"/>
      <c r="AK1358" s="5"/>
      <c r="AL1358" s="5"/>
      <c r="AM1358" s="13"/>
      <c r="AN1358" s="13"/>
      <c r="AO1358" s="5"/>
      <c r="AP1358" s="5"/>
      <c r="AQ1358" s="5"/>
      <c r="AR1358" s="5"/>
      <c r="AS1358" s="5"/>
      <c r="AT1358" s="5"/>
      <c r="AU1358" s="5"/>
      <c r="AV1358" s="5"/>
      <c r="AW1358" s="5"/>
      <c r="AX1358" s="5"/>
      <c r="AY1358" s="5"/>
      <c r="AZ1358" s="5"/>
      <c r="BA1358" s="5"/>
    </row>
    <row r="1359" spans="3:53" s="41" customFormat="1" x14ac:dyDescent="0.2">
      <c r="C1359" s="71"/>
      <c r="D1359" s="58"/>
      <c r="E1359" s="38"/>
      <c r="F1359" s="58"/>
      <c r="G1359" s="5"/>
      <c r="H1359" s="44"/>
      <c r="I1359" s="5"/>
      <c r="J1359" s="43"/>
      <c r="K1359" s="43"/>
      <c r="L1359" s="57"/>
      <c r="M1359" s="56"/>
      <c r="N1359" s="3"/>
      <c r="P1359" s="5"/>
      <c r="Q1359" s="5"/>
      <c r="R1359" s="5"/>
      <c r="T1359" s="56"/>
      <c r="U1359" s="77"/>
      <c r="V1359" s="77"/>
      <c r="AA1359" s="3"/>
      <c r="AF1359" s="5"/>
      <c r="AG1359" s="5"/>
      <c r="AH1359" s="5"/>
      <c r="AI1359" s="5"/>
      <c r="AJ1359" s="5"/>
      <c r="AK1359" s="5"/>
      <c r="AL1359" s="5"/>
      <c r="AM1359" s="13"/>
      <c r="AN1359" s="13"/>
      <c r="AO1359" s="5"/>
      <c r="AP1359" s="5"/>
      <c r="AQ1359" s="5"/>
      <c r="AR1359" s="5"/>
      <c r="AS1359" s="5"/>
      <c r="AT1359" s="5"/>
      <c r="AU1359" s="5"/>
      <c r="AV1359" s="5"/>
      <c r="AW1359" s="5"/>
      <c r="AX1359" s="5"/>
      <c r="AY1359" s="5"/>
      <c r="AZ1359" s="5"/>
      <c r="BA1359" s="5"/>
    </row>
    <row r="1360" spans="3:53" s="41" customFormat="1" x14ac:dyDescent="0.2">
      <c r="C1360" s="71"/>
      <c r="D1360" s="58"/>
      <c r="E1360" s="38"/>
      <c r="F1360" s="58"/>
      <c r="G1360" s="5"/>
      <c r="H1360" s="44"/>
      <c r="I1360" s="5"/>
      <c r="J1360" s="43"/>
      <c r="K1360" s="43"/>
      <c r="L1360" s="57"/>
      <c r="M1360" s="56"/>
      <c r="N1360" s="3"/>
      <c r="P1360" s="5"/>
      <c r="Q1360" s="5"/>
      <c r="R1360" s="5"/>
      <c r="T1360" s="56"/>
      <c r="U1360" s="77"/>
      <c r="V1360" s="77"/>
      <c r="AA1360" s="3"/>
      <c r="AF1360" s="5"/>
      <c r="AG1360" s="5"/>
      <c r="AH1360" s="5"/>
      <c r="AI1360" s="5"/>
      <c r="AJ1360" s="5"/>
      <c r="AK1360" s="5"/>
      <c r="AL1360" s="5"/>
      <c r="AM1360" s="13"/>
      <c r="AN1360" s="13"/>
      <c r="AO1360" s="5"/>
      <c r="AP1360" s="5"/>
      <c r="AQ1360" s="5"/>
      <c r="AR1360" s="5"/>
      <c r="AS1360" s="5"/>
      <c r="AT1360" s="5"/>
      <c r="AU1360" s="5"/>
      <c r="AV1360" s="5"/>
      <c r="AW1360" s="5"/>
      <c r="AX1360" s="5"/>
      <c r="AY1360" s="5"/>
      <c r="AZ1360" s="5"/>
      <c r="BA1360" s="5"/>
    </row>
    <row r="1361" spans="3:53" s="41" customFormat="1" x14ac:dyDescent="0.2">
      <c r="C1361" s="71"/>
      <c r="D1361" s="58"/>
      <c r="E1361" s="38"/>
      <c r="F1361" s="58"/>
      <c r="G1361" s="5"/>
      <c r="H1361" s="44"/>
      <c r="I1361" s="5"/>
      <c r="J1361" s="43"/>
      <c r="K1361" s="43"/>
      <c r="L1361" s="57"/>
      <c r="M1361" s="56"/>
      <c r="N1361" s="3"/>
      <c r="P1361" s="5"/>
      <c r="Q1361" s="5"/>
      <c r="R1361" s="5"/>
      <c r="T1361" s="56"/>
      <c r="U1361" s="77"/>
      <c r="V1361" s="77"/>
      <c r="AA1361" s="3"/>
      <c r="AF1361" s="5"/>
      <c r="AG1361" s="5"/>
      <c r="AH1361" s="5"/>
      <c r="AI1361" s="5"/>
      <c r="AJ1361" s="5"/>
      <c r="AK1361" s="5"/>
      <c r="AL1361" s="5"/>
      <c r="AM1361" s="13"/>
      <c r="AN1361" s="13"/>
      <c r="AO1361" s="5"/>
      <c r="AP1361" s="5"/>
      <c r="AQ1361" s="5"/>
      <c r="AR1361" s="5"/>
      <c r="AS1361" s="5"/>
      <c r="AT1361" s="5"/>
      <c r="AU1361" s="5"/>
      <c r="AV1361" s="5"/>
      <c r="AW1361" s="5"/>
      <c r="AX1361" s="5"/>
      <c r="AY1361" s="5"/>
      <c r="AZ1361" s="5"/>
      <c r="BA1361" s="5"/>
    </row>
    <row r="1362" spans="3:53" s="41" customFormat="1" x14ac:dyDescent="0.2">
      <c r="C1362" s="71"/>
      <c r="D1362" s="58"/>
      <c r="E1362" s="38"/>
      <c r="F1362" s="58"/>
      <c r="G1362" s="5"/>
      <c r="H1362" s="44"/>
      <c r="I1362" s="5"/>
      <c r="J1362" s="43"/>
      <c r="K1362" s="43"/>
      <c r="L1362" s="57"/>
      <c r="M1362" s="56"/>
      <c r="N1362" s="3"/>
      <c r="P1362" s="5"/>
      <c r="Q1362" s="5"/>
      <c r="R1362" s="5"/>
      <c r="T1362" s="56"/>
      <c r="U1362" s="77"/>
      <c r="V1362" s="77"/>
      <c r="AA1362" s="3"/>
      <c r="AF1362" s="5"/>
      <c r="AG1362" s="5"/>
      <c r="AH1362" s="5"/>
      <c r="AI1362" s="5"/>
      <c r="AJ1362" s="5"/>
      <c r="AK1362" s="5"/>
      <c r="AL1362" s="5"/>
      <c r="AM1362" s="13"/>
      <c r="AN1362" s="13"/>
      <c r="AO1362" s="5"/>
      <c r="AP1362" s="5"/>
      <c r="AQ1362" s="5"/>
      <c r="AR1362" s="5"/>
      <c r="AS1362" s="5"/>
      <c r="AT1362" s="5"/>
      <c r="AU1362" s="5"/>
      <c r="AV1362" s="5"/>
      <c r="AW1362" s="5"/>
      <c r="AX1362" s="5"/>
      <c r="AY1362" s="5"/>
      <c r="AZ1362" s="5"/>
      <c r="BA1362" s="5"/>
    </row>
    <row r="1363" spans="3:53" s="41" customFormat="1" x14ac:dyDescent="0.2">
      <c r="C1363" s="71"/>
      <c r="D1363" s="58"/>
      <c r="E1363" s="38"/>
      <c r="F1363" s="58"/>
      <c r="G1363" s="5"/>
      <c r="H1363" s="44"/>
      <c r="I1363" s="5"/>
      <c r="J1363" s="43"/>
      <c r="K1363" s="43"/>
      <c r="L1363" s="57"/>
      <c r="M1363" s="56"/>
      <c r="N1363" s="3"/>
      <c r="P1363" s="5"/>
      <c r="Q1363" s="5"/>
      <c r="R1363" s="5"/>
      <c r="T1363" s="56"/>
      <c r="U1363" s="77"/>
      <c r="V1363" s="77"/>
      <c r="AA1363" s="3"/>
      <c r="AF1363" s="5"/>
      <c r="AG1363" s="5"/>
      <c r="AH1363" s="5"/>
      <c r="AI1363" s="5"/>
      <c r="AJ1363" s="5"/>
      <c r="AK1363" s="5"/>
      <c r="AL1363" s="5"/>
      <c r="AM1363" s="13"/>
      <c r="AN1363" s="13"/>
      <c r="AO1363" s="5"/>
      <c r="AP1363" s="5"/>
      <c r="AQ1363" s="5"/>
      <c r="AR1363" s="5"/>
      <c r="AS1363" s="5"/>
      <c r="AT1363" s="5"/>
      <c r="AU1363" s="5"/>
      <c r="AV1363" s="5"/>
      <c r="AW1363" s="5"/>
      <c r="AX1363" s="5"/>
      <c r="AY1363" s="5"/>
      <c r="AZ1363" s="5"/>
      <c r="BA1363" s="5"/>
    </row>
    <row r="1364" spans="3:53" s="41" customFormat="1" x14ac:dyDescent="0.2">
      <c r="C1364" s="71"/>
      <c r="D1364" s="58"/>
      <c r="E1364" s="38"/>
      <c r="F1364" s="58"/>
      <c r="G1364" s="5"/>
      <c r="H1364" s="44"/>
      <c r="I1364" s="5"/>
      <c r="J1364" s="43"/>
      <c r="K1364" s="43"/>
      <c r="L1364" s="57"/>
      <c r="M1364" s="56"/>
      <c r="N1364" s="3"/>
      <c r="P1364" s="5"/>
      <c r="Q1364" s="5"/>
      <c r="R1364" s="5"/>
      <c r="T1364" s="56"/>
      <c r="U1364" s="77"/>
      <c r="V1364" s="77"/>
      <c r="AA1364" s="3"/>
      <c r="AF1364" s="5"/>
      <c r="AG1364" s="5"/>
      <c r="AH1364" s="5"/>
      <c r="AI1364" s="5"/>
      <c r="AJ1364" s="5"/>
      <c r="AK1364" s="5"/>
      <c r="AL1364" s="5"/>
      <c r="AM1364" s="13"/>
      <c r="AN1364" s="13"/>
      <c r="AO1364" s="5"/>
      <c r="AP1364" s="5"/>
      <c r="AQ1364" s="5"/>
      <c r="AR1364" s="5"/>
      <c r="AS1364" s="5"/>
      <c r="AT1364" s="5"/>
      <c r="AU1364" s="5"/>
      <c r="AV1364" s="5"/>
      <c r="AW1364" s="5"/>
      <c r="AX1364" s="5"/>
      <c r="AY1364" s="5"/>
      <c r="AZ1364" s="5"/>
      <c r="BA1364" s="5"/>
    </row>
    <row r="1365" spans="3:53" s="41" customFormat="1" x14ac:dyDescent="0.2">
      <c r="C1365" s="71"/>
      <c r="D1365" s="58"/>
      <c r="E1365" s="38"/>
      <c r="F1365" s="58"/>
      <c r="G1365" s="5"/>
      <c r="H1365" s="44"/>
      <c r="I1365" s="5"/>
      <c r="J1365" s="43"/>
      <c r="K1365" s="43"/>
      <c r="L1365" s="57"/>
      <c r="M1365" s="56"/>
      <c r="N1365" s="3"/>
      <c r="P1365" s="5"/>
      <c r="Q1365" s="5"/>
      <c r="R1365" s="5"/>
      <c r="T1365" s="56"/>
      <c r="U1365" s="77"/>
      <c r="V1365" s="77"/>
      <c r="AA1365" s="3"/>
      <c r="AF1365" s="5"/>
      <c r="AG1365" s="5"/>
      <c r="AH1365" s="5"/>
      <c r="AI1365" s="5"/>
      <c r="AJ1365" s="5"/>
      <c r="AK1365" s="5"/>
      <c r="AL1365" s="5"/>
      <c r="AM1365" s="13"/>
      <c r="AN1365" s="13"/>
      <c r="AO1365" s="5"/>
      <c r="AP1365" s="5"/>
      <c r="AQ1365" s="5"/>
      <c r="AR1365" s="5"/>
      <c r="AS1365" s="5"/>
      <c r="AT1365" s="5"/>
      <c r="AU1365" s="5"/>
      <c r="AV1365" s="5"/>
      <c r="AW1365" s="5"/>
      <c r="AX1365" s="5"/>
      <c r="AY1365" s="5"/>
      <c r="AZ1365" s="5"/>
      <c r="BA1365" s="5"/>
    </row>
    <row r="1366" spans="3:53" s="41" customFormat="1" x14ac:dyDescent="0.2">
      <c r="C1366" s="71"/>
      <c r="D1366" s="58"/>
      <c r="E1366" s="38"/>
      <c r="F1366" s="58"/>
      <c r="G1366" s="5"/>
      <c r="H1366" s="44"/>
      <c r="I1366" s="5"/>
      <c r="J1366" s="43"/>
      <c r="K1366" s="43"/>
      <c r="L1366" s="57"/>
      <c r="M1366" s="56"/>
      <c r="N1366" s="3"/>
      <c r="P1366" s="5"/>
      <c r="Q1366" s="5"/>
      <c r="R1366" s="5"/>
      <c r="T1366" s="56"/>
      <c r="U1366" s="77"/>
      <c r="V1366" s="77"/>
      <c r="AA1366" s="3"/>
      <c r="AF1366" s="5"/>
      <c r="AG1366" s="5"/>
      <c r="AH1366" s="5"/>
      <c r="AI1366" s="5"/>
      <c r="AJ1366" s="5"/>
      <c r="AK1366" s="5"/>
      <c r="AL1366" s="5"/>
      <c r="AM1366" s="13"/>
      <c r="AN1366" s="13"/>
      <c r="AO1366" s="5"/>
      <c r="AP1366" s="5"/>
      <c r="AQ1366" s="5"/>
      <c r="AR1366" s="5"/>
      <c r="AS1366" s="5"/>
      <c r="AT1366" s="5"/>
      <c r="AU1366" s="5"/>
      <c r="AV1366" s="5"/>
      <c r="AW1366" s="5"/>
      <c r="AX1366" s="5"/>
      <c r="AY1366" s="5"/>
      <c r="AZ1366" s="5"/>
      <c r="BA1366" s="5"/>
    </row>
    <row r="1367" spans="3:53" s="41" customFormat="1" x14ac:dyDescent="0.2">
      <c r="C1367" s="71"/>
      <c r="D1367" s="58"/>
      <c r="E1367" s="38"/>
      <c r="F1367" s="58"/>
      <c r="G1367" s="5"/>
      <c r="H1367" s="44"/>
      <c r="I1367" s="5"/>
      <c r="J1367" s="43"/>
      <c r="K1367" s="43"/>
      <c r="L1367" s="57"/>
      <c r="M1367" s="56"/>
      <c r="N1367" s="3"/>
      <c r="P1367" s="5"/>
      <c r="Q1367" s="5"/>
      <c r="R1367" s="5"/>
      <c r="T1367" s="56"/>
      <c r="U1367" s="77"/>
      <c r="V1367" s="77"/>
      <c r="AA1367" s="3"/>
      <c r="AF1367" s="5"/>
      <c r="AG1367" s="5"/>
      <c r="AH1367" s="5"/>
      <c r="AI1367" s="5"/>
      <c r="AJ1367" s="5"/>
      <c r="AK1367" s="5"/>
      <c r="AL1367" s="5"/>
      <c r="AM1367" s="13"/>
      <c r="AN1367" s="13"/>
      <c r="AO1367" s="5"/>
      <c r="AP1367" s="5"/>
      <c r="AQ1367" s="5"/>
      <c r="AR1367" s="5"/>
      <c r="AS1367" s="5"/>
      <c r="AT1367" s="5"/>
      <c r="AU1367" s="5"/>
      <c r="AV1367" s="5"/>
      <c r="AW1367" s="5"/>
      <c r="AX1367" s="5"/>
      <c r="AY1367" s="5"/>
      <c r="AZ1367" s="5"/>
      <c r="BA1367" s="5"/>
    </row>
    <row r="1368" spans="3:53" s="41" customFormat="1" x14ac:dyDescent="0.2">
      <c r="C1368" s="71"/>
      <c r="D1368" s="58"/>
      <c r="E1368" s="38"/>
      <c r="F1368" s="58"/>
      <c r="G1368" s="5"/>
      <c r="H1368" s="44"/>
      <c r="I1368" s="5"/>
      <c r="J1368" s="43"/>
      <c r="K1368" s="43"/>
      <c r="L1368" s="57"/>
      <c r="M1368" s="56"/>
      <c r="N1368" s="3"/>
      <c r="P1368" s="5"/>
      <c r="Q1368" s="5"/>
      <c r="R1368" s="5"/>
      <c r="T1368" s="56"/>
      <c r="U1368" s="77"/>
      <c r="V1368" s="77"/>
      <c r="AA1368" s="3"/>
      <c r="AF1368" s="5"/>
      <c r="AG1368" s="5"/>
      <c r="AH1368" s="5"/>
      <c r="AI1368" s="5"/>
      <c r="AJ1368" s="5"/>
      <c r="AK1368" s="5"/>
      <c r="AL1368" s="5"/>
      <c r="AM1368" s="13"/>
      <c r="AN1368" s="13"/>
      <c r="AO1368" s="5"/>
      <c r="AP1368" s="5"/>
      <c r="AQ1368" s="5"/>
      <c r="AR1368" s="5"/>
      <c r="AS1368" s="5"/>
      <c r="AT1368" s="5"/>
      <c r="AU1368" s="5"/>
      <c r="AV1368" s="5"/>
      <c r="AW1368" s="5"/>
      <c r="AX1368" s="5"/>
      <c r="AY1368" s="5"/>
      <c r="AZ1368" s="5"/>
      <c r="BA1368" s="5"/>
    </row>
    <row r="1369" spans="3:53" s="41" customFormat="1" x14ac:dyDescent="0.2">
      <c r="C1369" s="71"/>
      <c r="D1369" s="58"/>
      <c r="E1369" s="38"/>
      <c r="F1369" s="58"/>
      <c r="G1369" s="5"/>
      <c r="H1369" s="44"/>
      <c r="I1369" s="5"/>
      <c r="J1369" s="43"/>
      <c r="K1369" s="43"/>
      <c r="L1369" s="57"/>
      <c r="M1369" s="56"/>
      <c r="N1369" s="3"/>
      <c r="P1369" s="5"/>
      <c r="Q1369" s="5"/>
      <c r="R1369" s="5"/>
      <c r="T1369" s="56"/>
      <c r="U1369" s="77"/>
      <c r="V1369" s="77"/>
      <c r="AA1369" s="3"/>
      <c r="AF1369" s="5"/>
      <c r="AG1369" s="5"/>
      <c r="AH1369" s="5"/>
      <c r="AI1369" s="5"/>
      <c r="AJ1369" s="5"/>
      <c r="AK1369" s="5"/>
      <c r="AL1369" s="5"/>
      <c r="AM1369" s="13"/>
      <c r="AN1369" s="13"/>
      <c r="AO1369" s="5"/>
      <c r="AP1369" s="5"/>
      <c r="AQ1369" s="5"/>
      <c r="AR1369" s="5"/>
      <c r="AS1369" s="5"/>
      <c r="AT1369" s="5"/>
      <c r="AU1369" s="5"/>
      <c r="AV1369" s="5"/>
      <c r="AW1369" s="5"/>
      <c r="AX1369" s="5"/>
      <c r="AY1369" s="5"/>
      <c r="AZ1369" s="5"/>
      <c r="BA1369" s="5"/>
    </row>
    <row r="1370" spans="3:53" s="41" customFormat="1" x14ac:dyDescent="0.2">
      <c r="C1370" s="71"/>
      <c r="D1370" s="58"/>
      <c r="E1370" s="38"/>
      <c r="F1370" s="58"/>
      <c r="G1370" s="5"/>
      <c r="H1370" s="44"/>
      <c r="I1370" s="5"/>
      <c r="J1370" s="43"/>
      <c r="K1370" s="43"/>
      <c r="L1370" s="57"/>
      <c r="M1370" s="56"/>
      <c r="N1370" s="3"/>
      <c r="P1370" s="5"/>
      <c r="Q1370" s="5"/>
      <c r="R1370" s="5"/>
      <c r="T1370" s="56"/>
      <c r="U1370" s="77"/>
      <c r="V1370" s="77"/>
      <c r="AA1370" s="3"/>
      <c r="AF1370" s="5"/>
      <c r="AG1370" s="5"/>
      <c r="AH1370" s="5"/>
      <c r="AI1370" s="5"/>
      <c r="AJ1370" s="5"/>
      <c r="AK1370" s="5"/>
      <c r="AL1370" s="5"/>
      <c r="AM1370" s="13"/>
      <c r="AN1370" s="13"/>
      <c r="AO1370" s="5"/>
      <c r="AP1370" s="5"/>
      <c r="AQ1370" s="5"/>
      <c r="AR1370" s="5"/>
      <c r="AS1370" s="5"/>
      <c r="AT1370" s="5"/>
      <c r="AU1370" s="5"/>
      <c r="AV1370" s="5"/>
      <c r="AW1370" s="5"/>
      <c r="AX1370" s="5"/>
      <c r="AY1370" s="5"/>
      <c r="AZ1370" s="5"/>
      <c r="BA1370" s="5"/>
    </row>
    <row r="1371" spans="3:53" s="41" customFormat="1" x14ac:dyDescent="0.2">
      <c r="C1371" s="71"/>
      <c r="D1371" s="58"/>
      <c r="E1371" s="38"/>
      <c r="F1371" s="58"/>
      <c r="G1371" s="5"/>
      <c r="H1371" s="44"/>
      <c r="I1371" s="5"/>
      <c r="J1371" s="43"/>
      <c r="K1371" s="43"/>
      <c r="L1371" s="57"/>
      <c r="M1371" s="56"/>
      <c r="N1371" s="3"/>
      <c r="P1371" s="5"/>
      <c r="Q1371" s="5"/>
      <c r="R1371" s="5"/>
      <c r="T1371" s="56"/>
      <c r="U1371" s="77"/>
      <c r="V1371" s="77"/>
      <c r="AA1371" s="3"/>
      <c r="AF1371" s="5"/>
      <c r="AG1371" s="5"/>
      <c r="AH1371" s="5"/>
      <c r="AI1371" s="5"/>
      <c r="AJ1371" s="5"/>
      <c r="AK1371" s="5"/>
      <c r="AL1371" s="5"/>
      <c r="AM1371" s="13"/>
      <c r="AN1371" s="13"/>
      <c r="AO1371" s="5"/>
      <c r="AP1371" s="5"/>
      <c r="AQ1371" s="5"/>
      <c r="AR1371" s="5"/>
      <c r="AS1371" s="5"/>
      <c r="AT1371" s="5"/>
      <c r="AU1371" s="5"/>
      <c r="AV1371" s="5"/>
      <c r="AW1371" s="5"/>
      <c r="AX1371" s="5"/>
      <c r="AY1371" s="5"/>
      <c r="AZ1371" s="5"/>
      <c r="BA1371" s="5"/>
    </row>
    <row r="1372" spans="3:53" s="41" customFormat="1" x14ac:dyDescent="0.2">
      <c r="C1372" s="71"/>
      <c r="D1372" s="58"/>
      <c r="E1372" s="38"/>
      <c r="F1372" s="58"/>
      <c r="G1372" s="5"/>
      <c r="H1372" s="44"/>
      <c r="I1372" s="5"/>
      <c r="J1372" s="43"/>
      <c r="K1372" s="43"/>
      <c r="L1372" s="57"/>
      <c r="M1372" s="56"/>
      <c r="N1372" s="3"/>
      <c r="P1372" s="5"/>
      <c r="Q1372" s="5"/>
      <c r="R1372" s="5"/>
      <c r="T1372" s="56"/>
      <c r="U1372" s="77"/>
      <c r="V1372" s="77"/>
      <c r="AA1372" s="3"/>
      <c r="AF1372" s="5"/>
      <c r="AG1372" s="5"/>
      <c r="AH1372" s="5"/>
      <c r="AI1372" s="5"/>
      <c r="AJ1372" s="5"/>
      <c r="AK1372" s="5"/>
      <c r="AL1372" s="5"/>
      <c r="AM1372" s="13"/>
      <c r="AN1372" s="13"/>
      <c r="AO1372" s="5"/>
      <c r="AP1372" s="5"/>
      <c r="AQ1372" s="5"/>
      <c r="AR1372" s="5"/>
      <c r="AS1372" s="5"/>
      <c r="AT1372" s="5"/>
      <c r="AU1372" s="5"/>
      <c r="AV1372" s="5"/>
      <c r="AW1372" s="5"/>
      <c r="AX1372" s="5"/>
      <c r="AY1372" s="5"/>
      <c r="AZ1372" s="5"/>
      <c r="BA1372" s="5"/>
    </row>
    <row r="1373" spans="3:53" s="41" customFormat="1" x14ac:dyDescent="0.2">
      <c r="C1373" s="71"/>
      <c r="D1373" s="58"/>
      <c r="E1373" s="38"/>
      <c r="F1373" s="58"/>
      <c r="G1373" s="5"/>
      <c r="H1373" s="44"/>
      <c r="I1373" s="5"/>
      <c r="J1373" s="43"/>
      <c r="K1373" s="43"/>
      <c r="L1373" s="57"/>
      <c r="M1373" s="56"/>
      <c r="N1373" s="3"/>
      <c r="P1373" s="5"/>
      <c r="Q1373" s="5"/>
      <c r="R1373" s="5"/>
      <c r="T1373" s="56"/>
      <c r="U1373" s="77"/>
      <c r="V1373" s="77"/>
      <c r="AA1373" s="3"/>
      <c r="AF1373" s="5"/>
      <c r="AG1373" s="5"/>
      <c r="AH1373" s="5"/>
      <c r="AI1373" s="5"/>
      <c r="AJ1373" s="5"/>
      <c r="AK1373" s="5"/>
      <c r="AL1373" s="5"/>
      <c r="AM1373" s="13"/>
      <c r="AN1373" s="13"/>
      <c r="AO1373" s="5"/>
      <c r="AP1373" s="5"/>
      <c r="AQ1373" s="5"/>
      <c r="AR1373" s="5"/>
      <c r="AS1373" s="5"/>
      <c r="AT1373" s="5"/>
      <c r="AU1373" s="5"/>
      <c r="AV1373" s="5"/>
      <c r="AW1373" s="5"/>
      <c r="AX1373" s="5"/>
      <c r="AY1373" s="5"/>
      <c r="AZ1373" s="5"/>
      <c r="BA1373" s="5"/>
    </row>
    <row r="1374" spans="3:53" s="41" customFormat="1" x14ac:dyDescent="0.2">
      <c r="C1374" s="71"/>
      <c r="D1374" s="58"/>
      <c r="E1374" s="38"/>
      <c r="F1374" s="58"/>
      <c r="G1374" s="5"/>
      <c r="H1374" s="44"/>
      <c r="I1374" s="5"/>
      <c r="J1374" s="43"/>
      <c r="K1374" s="43"/>
      <c r="L1374" s="57"/>
      <c r="M1374" s="56"/>
      <c r="N1374" s="3"/>
      <c r="P1374" s="5"/>
      <c r="Q1374" s="5"/>
      <c r="R1374" s="5"/>
      <c r="T1374" s="56"/>
      <c r="U1374" s="77"/>
      <c r="V1374" s="77"/>
      <c r="AA1374" s="3"/>
      <c r="AF1374" s="5"/>
      <c r="AG1374" s="5"/>
      <c r="AH1374" s="5"/>
      <c r="AI1374" s="5"/>
      <c r="AJ1374" s="5"/>
      <c r="AK1374" s="5"/>
      <c r="AL1374" s="5"/>
      <c r="AM1374" s="13"/>
      <c r="AN1374" s="13"/>
      <c r="AO1374" s="5"/>
      <c r="AP1374" s="5"/>
      <c r="AQ1374" s="5"/>
      <c r="AR1374" s="5"/>
      <c r="AS1374" s="5"/>
      <c r="AT1374" s="5"/>
      <c r="AU1374" s="5"/>
      <c r="AV1374" s="5"/>
      <c r="AW1374" s="5"/>
      <c r="AX1374" s="5"/>
      <c r="AY1374" s="5"/>
      <c r="AZ1374" s="5"/>
      <c r="BA1374" s="5"/>
    </row>
    <row r="1375" spans="3:53" s="41" customFormat="1" x14ac:dyDescent="0.2">
      <c r="C1375" s="71"/>
      <c r="D1375" s="58"/>
      <c r="E1375" s="38"/>
      <c r="F1375" s="58"/>
      <c r="G1375" s="5"/>
      <c r="H1375" s="44"/>
      <c r="I1375" s="5"/>
      <c r="J1375" s="43"/>
      <c r="K1375" s="43"/>
      <c r="L1375" s="57"/>
      <c r="M1375" s="56"/>
      <c r="N1375" s="3"/>
      <c r="P1375" s="5"/>
      <c r="Q1375" s="5"/>
      <c r="R1375" s="5"/>
      <c r="T1375" s="56"/>
      <c r="U1375" s="77"/>
      <c r="V1375" s="77"/>
      <c r="AA1375" s="3"/>
      <c r="AF1375" s="5"/>
      <c r="AG1375" s="5"/>
      <c r="AH1375" s="5"/>
      <c r="AI1375" s="5"/>
      <c r="AJ1375" s="5"/>
      <c r="AK1375" s="5"/>
      <c r="AL1375" s="5"/>
      <c r="AM1375" s="13"/>
      <c r="AN1375" s="13"/>
      <c r="AO1375" s="5"/>
      <c r="AP1375" s="5"/>
      <c r="AQ1375" s="5"/>
      <c r="AR1375" s="5"/>
      <c r="AS1375" s="5"/>
      <c r="AT1375" s="5"/>
      <c r="AU1375" s="5"/>
      <c r="AV1375" s="5"/>
      <c r="AW1375" s="5"/>
      <c r="AX1375" s="5"/>
      <c r="AY1375" s="5"/>
      <c r="AZ1375" s="5"/>
      <c r="BA1375" s="5"/>
    </row>
    <row r="1376" spans="3:53" s="41" customFormat="1" x14ac:dyDescent="0.2">
      <c r="C1376" s="71"/>
      <c r="D1376" s="58"/>
      <c r="E1376" s="38"/>
      <c r="F1376" s="58"/>
      <c r="G1376" s="5"/>
      <c r="H1376" s="44"/>
      <c r="I1376" s="5"/>
      <c r="J1376" s="43"/>
      <c r="K1376" s="43"/>
      <c r="L1376" s="57"/>
      <c r="M1376" s="56"/>
      <c r="N1376" s="3"/>
      <c r="P1376" s="5"/>
      <c r="Q1376" s="5"/>
      <c r="R1376" s="5"/>
      <c r="T1376" s="56"/>
      <c r="U1376" s="77"/>
      <c r="V1376" s="77"/>
      <c r="AA1376" s="3"/>
      <c r="AF1376" s="5"/>
      <c r="AG1376" s="5"/>
      <c r="AH1376" s="5"/>
      <c r="AI1376" s="5"/>
      <c r="AJ1376" s="5"/>
      <c r="AK1376" s="5"/>
      <c r="AL1376" s="5"/>
      <c r="AM1376" s="13"/>
      <c r="AN1376" s="13"/>
      <c r="AO1376" s="5"/>
      <c r="AP1376" s="5"/>
      <c r="AQ1376" s="5"/>
      <c r="AR1376" s="5"/>
      <c r="AS1376" s="5"/>
      <c r="AT1376" s="5"/>
      <c r="AU1376" s="5"/>
      <c r="AV1376" s="5"/>
      <c r="AW1376" s="5"/>
      <c r="AX1376" s="5"/>
      <c r="AY1376" s="5"/>
      <c r="AZ1376" s="5"/>
      <c r="BA1376" s="5"/>
    </row>
    <row r="1377" spans="3:53" s="41" customFormat="1" x14ac:dyDescent="0.2">
      <c r="C1377" s="71"/>
      <c r="D1377" s="58"/>
      <c r="E1377" s="38"/>
      <c r="F1377" s="58"/>
      <c r="G1377" s="5"/>
      <c r="H1377" s="44"/>
      <c r="I1377" s="5"/>
      <c r="J1377" s="43"/>
      <c r="K1377" s="43"/>
      <c r="L1377" s="57"/>
      <c r="M1377" s="56"/>
      <c r="N1377" s="3"/>
      <c r="P1377" s="5"/>
      <c r="Q1377" s="5"/>
      <c r="R1377" s="5"/>
      <c r="T1377" s="56"/>
      <c r="U1377" s="77"/>
      <c r="V1377" s="77"/>
      <c r="AA1377" s="3"/>
      <c r="AF1377" s="5"/>
      <c r="AG1377" s="5"/>
      <c r="AH1377" s="5"/>
      <c r="AI1377" s="5"/>
      <c r="AJ1377" s="5"/>
      <c r="AK1377" s="5"/>
      <c r="AL1377" s="5"/>
      <c r="AM1377" s="13"/>
      <c r="AN1377" s="13"/>
      <c r="AO1377" s="5"/>
      <c r="AP1377" s="5"/>
      <c r="AQ1377" s="5"/>
      <c r="AR1377" s="5"/>
      <c r="AS1377" s="5"/>
      <c r="AT1377" s="5"/>
      <c r="AU1377" s="5"/>
      <c r="AV1377" s="5"/>
      <c r="AW1377" s="5"/>
      <c r="AX1377" s="5"/>
      <c r="AY1377" s="5"/>
      <c r="AZ1377" s="5"/>
      <c r="BA1377" s="5"/>
    </row>
    <row r="1378" spans="3:53" s="41" customFormat="1" x14ac:dyDescent="0.2">
      <c r="C1378" s="71"/>
      <c r="D1378" s="58"/>
      <c r="E1378" s="38"/>
      <c r="F1378" s="58"/>
      <c r="G1378" s="5"/>
      <c r="H1378" s="44"/>
      <c r="I1378" s="5"/>
      <c r="J1378" s="43"/>
      <c r="K1378" s="43"/>
      <c r="L1378" s="57"/>
      <c r="M1378" s="56"/>
      <c r="N1378" s="3"/>
      <c r="P1378" s="5"/>
      <c r="Q1378" s="5"/>
      <c r="R1378" s="5"/>
      <c r="T1378" s="56"/>
      <c r="U1378" s="77"/>
      <c r="V1378" s="77"/>
      <c r="AA1378" s="3"/>
      <c r="AF1378" s="5"/>
      <c r="AG1378" s="5"/>
      <c r="AH1378" s="5"/>
      <c r="AI1378" s="5"/>
      <c r="AJ1378" s="5"/>
      <c r="AK1378" s="5"/>
      <c r="AL1378" s="5"/>
      <c r="AM1378" s="13"/>
      <c r="AN1378" s="13"/>
      <c r="AO1378" s="5"/>
      <c r="AP1378" s="5"/>
      <c r="AQ1378" s="5"/>
      <c r="AR1378" s="5"/>
      <c r="AS1378" s="5"/>
      <c r="AT1378" s="5"/>
      <c r="AU1378" s="5"/>
      <c r="AV1378" s="5"/>
      <c r="AW1378" s="5"/>
      <c r="AX1378" s="5"/>
      <c r="AY1378" s="5"/>
      <c r="AZ1378" s="5"/>
      <c r="BA1378" s="5"/>
    </row>
    <row r="1379" spans="3:53" s="41" customFormat="1" x14ac:dyDescent="0.2">
      <c r="C1379" s="71"/>
      <c r="D1379" s="58"/>
      <c r="E1379" s="38"/>
      <c r="F1379" s="58"/>
      <c r="G1379" s="5"/>
      <c r="H1379" s="44"/>
      <c r="I1379" s="5"/>
      <c r="J1379" s="43"/>
      <c r="K1379" s="43"/>
      <c r="L1379" s="57"/>
      <c r="M1379" s="56"/>
      <c r="N1379" s="3"/>
      <c r="P1379" s="5"/>
      <c r="Q1379" s="5"/>
      <c r="R1379" s="5"/>
      <c r="T1379" s="56"/>
      <c r="U1379" s="77"/>
      <c r="V1379" s="77"/>
      <c r="AA1379" s="3"/>
      <c r="AF1379" s="5"/>
      <c r="AG1379" s="5"/>
      <c r="AH1379" s="5"/>
      <c r="AI1379" s="5"/>
      <c r="AJ1379" s="5"/>
      <c r="AK1379" s="5"/>
      <c r="AL1379" s="5"/>
      <c r="AM1379" s="13"/>
      <c r="AN1379" s="13"/>
      <c r="AO1379" s="5"/>
      <c r="AP1379" s="5"/>
      <c r="AQ1379" s="5"/>
      <c r="AR1379" s="5"/>
      <c r="AS1379" s="5"/>
      <c r="AT1379" s="5"/>
      <c r="AU1379" s="5"/>
      <c r="AV1379" s="5"/>
      <c r="AW1379" s="5"/>
      <c r="AX1379" s="5"/>
      <c r="AY1379" s="5"/>
      <c r="AZ1379" s="5"/>
      <c r="BA1379" s="5"/>
    </row>
    <row r="1380" spans="3:53" s="41" customFormat="1" x14ac:dyDescent="0.2">
      <c r="C1380" s="71"/>
      <c r="D1380" s="58"/>
      <c r="E1380" s="38"/>
      <c r="F1380" s="58"/>
      <c r="G1380" s="5"/>
      <c r="H1380" s="44"/>
      <c r="I1380" s="5"/>
      <c r="J1380" s="43"/>
      <c r="K1380" s="43"/>
      <c r="L1380" s="57"/>
      <c r="M1380" s="56"/>
      <c r="N1380" s="3"/>
      <c r="P1380" s="5"/>
      <c r="Q1380" s="5"/>
      <c r="R1380" s="5"/>
      <c r="T1380" s="56"/>
      <c r="U1380" s="77"/>
      <c r="V1380" s="77"/>
      <c r="AA1380" s="3"/>
      <c r="AF1380" s="5"/>
      <c r="AG1380" s="5"/>
      <c r="AH1380" s="5"/>
      <c r="AI1380" s="5"/>
      <c r="AJ1380" s="5"/>
      <c r="AK1380" s="5"/>
      <c r="AL1380" s="5"/>
      <c r="AM1380" s="13"/>
      <c r="AN1380" s="13"/>
      <c r="AO1380" s="5"/>
      <c r="AP1380" s="5"/>
      <c r="AQ1380" s="5"/>
      <c r="AR1380" s="5"/>
      <c r="AS1380" s="5"/>
      <c r="AT1380" s="5"/>
      <c r="AU1380" s="5"/>
      <c r="AV1380" s="5"/>
      <c r="AW1380" s="5"/>
      <c r="AX1380" s="5"/>
      <c r="AY1380" s="5"/>
      <c r="AZ1380" s="5"/>
      <c r="BA1380" s="5"/>
    </row>
    <row r="1381" spans="3:53" s="41" customFormat="1" x14ac:dyDescent="0.2">
      <c r="C1381" s="71"/>
      <c r="D1381" s="58"/>
      <c r="E1381" s="38"/>
      <c r="F1381" s="58"/>
      <c r="G1381" s="5"/>
      <c r="H1381" s="44"/>
      <c r="I1381" s="5"/>
      <c r="J1381" s="43"/>
      <c r="K1381" s="43"/>
      <c r="L1381" s="57"/>
      <c r="M1381" s="56"/>
      <c r="N1381" s="3"/>
      <c r="P1381" s="5"/>
      <c r="Q1381" s="5"/>
      <c r="R1381" s="5"/>
      <c r="T1381" s="56"/>
      <c r="U1381" s="77"/>
      <c r="V1381" s="77"/>
      <c r="AA1381" s="3"/>
      <c r="AF1381" s="5"/>
      <c r="AG1381" s="5"/>
      <c r="AH1381" s="5"/>
      <c r="AI1381" s="5"/>
      <c r="AJ1381" s="5"/>
      <c r="AK1381" s="5"/>
      <c r="AL1381" s="5"/>
      <c r="AM1381" s="13"/>
      <c r="AN1381" s="13"/>
      <c r="AO1381" s="5"/>
      <c r="AP1381" s="5"/>
      <c r="AQ1381" s="5"/>
      <c r="AR1381" s="5"/>
      <c r="AS1381" s="5"/>
      <c r="AT1381" s="5"/>
      <c r="AU1381" s="5"/>
      <c r="AV1381" s="5"/>
      <c r="AW1381" s="5"/>
      <c r="AX1381" s="5"/>
      <c r="AY1381" s="5"/>
      <c r="AZ1381" s="5"/>
      <c r="BA1381" s="5"/>
    </row>
    <row r="1382" spans="3:53" s="41" customFormat="1" x14ac:dyDescent="0.2">
      <c r="C1382" s="71"/>
      <c r="D1382" s="58"/>
      <c r="E1382" s="38"/>
      <c r="F1382" s="58"/>
      <c r="G1382" s="5"/>
      <c r="H1382" s="44"/>
      <c r="I1382" s="5"/>
      <c r="J1382" s="43"/>
      <c r="K1382" s="43"/>
      <c r="L1382" s="57"/>
      <c r="M1382" s="56"/>
      <c r="N1382" s="3"/>
      <c r="P1382" s="5"/>
      <c r="Q1382" s="5"/>
      <c r="R1382" s="5"/>
      <c r="T1382" s="56"/>
      <c r="U1382" s="77"/>
      <c r="V1382" s="77"/>
      <c r="AA1382" s="3"/>
      <c r="AF1382" s="5"/>
      <c r="AG1382" s="5"/>
      <c r="AH1382" s="5"/>
      <c r="AI1382" s="5"/>
      <c r="AJ1382" s="5"/>
      <c r="AK1382" s="5"/>
      <c r="AL1382" s="5"/>
      <c r="AM1382" s="13"/>
      <c r="AN1382" s="13"/>
      <c r="AO1382" s="5"/>
      <c r="AP1382" s="5"/>
      <c r="AQ1382" s="5"/>
      <c r="AR1382" s="5"/>
      <c r="AS1382" s="5"/>
      <c r="AT1382" s="5"/>
      <c r="AU1382" s="5"/>
      <c r="AV1382" s="5"/>
      <c r="AW1382" s="5"/>
      <c r="AX1382" s="5"/>
      <c r="AY1382" s="5"/>
      <c r="AZ1382" s="5"/>
      <c r="BA1382" s="5"/>
    </row>
    <row r="1383" spans="3:53" s="41" customFormat="1" x14ac:dyDescent="0.2">
      <c r="C1383" s="71"/>
      <c r="D1383" s="58"/>
      <c r="E1383" s="38"/>
      <c r="F1383" s="58"/>
      <c r="G1383" s="5"/>
      <c r="H1383" s="44"/>
      <c r="I1383" s="5"/>
      <c r="J1383" s="43"/>
      <c r="K1383" s="43"/>
      <c r="L1383" s="57"/>
      <c r="M1383" s="56"/>
      <c r="N1383" s="3"/>
      <c r="P1383" s="5"/>
      <c r="Q1383" s="5"/>
      <c r="R1383" s="5"/>
      <c r="T1383" s="56"/>
      <c r="U1383" s="77"/>
      <c r="V1383" s="77"/>
      <c r="AA1383" s="3"/>
      <c r="AF1383" s="5"/>
      <c r="AG1383" s="5"/>
      <c r="AH1383" s="5"/>
      <c r="AI1383" s="5"/>
      <c r="AJ1383" s="5"/>
      <c r="AK1383" s="5"/>
      <c r="AL1383" s="5"/>
      <c r="AM1383" s="13"/>
      <c r="AN1383" s="13"/>
      <c r="AO1383" s="5"/>
      <c r="AP1383" s="5"/>
      <c r="AQ1383" s="5"/>
      <c r="AR1383" s="5"/>
      <c r="AS1383" s="5"/>
      <c r="AT1383" s="5"/>
      <c r="AU1383" s="5"/>
      <c r="AV1383" s="5"/>
      <c r="AW1383" s="5"/>
      <c r="AX1383" s="5"/>
      <c r="AY1383" s="5"/>
      <c r="AZ1383" s="5"/>
      <c r="BA1383" s="5"/>
    </row>
    <row r="1384" spans="3:53" s="41" customFormat="1" x14ac:dyDescent="0.2">
      <c r="C1384" s="71"/>
      <c r="D1384" s="58"/>
      <c r="E1384" s="38"/>
      <c r="F1384" s="58"/>
      <c r="G1384" s="5"/>
      <c r="H1384" s="44"/>
      <c r="I1384" s="5"/>
      <c r="J1384" s="43"/>
      <c r="K1384" s="43"/>
      <c r="L1384" s="57"/>
      <c r="M1384" s="56"/>
      <c r="N1384" s="3"/>
      <c r="P1384" s="5"/>
      <c r="Q1384" s="5"/>
      <c r="R1384" s="5"/>
      <c r="T1384" s="56"/>
      <c r="U1384" s="77"/>
      <c r="V1384" s="77"/>
      <c r="AA1384" s="3"/>
      <c r="AF1384" s="5"/>
      <c r="AG1384" s="5"/>
      <c r="AH1384" s="5"/>
      <c r="AI1384" s="5"/>
      <c r="AJ1384" s="5"/>
      <c r="AK1384" s="5"/>
      <c r="AL1384" s="5"/>
      <c r="AM1384" s="13"/>
      <c r="AN1384" s="13"/>
      <c r="AO1384" s="5"/>
      <c r="AP1384" s="5"/>
      <c r="AQ1384" s="5"/>
      <c r="AR1384" s="5"/>
      <c r="AS1384" s="5"/>
      <c r="AT1384" s="5"/>
      <c r="AU1384" s="5"/>
      <c r="AV1384" s="5"/>
      <c r="AW1384" s="5"/>
      <c r="AX1384" s="5"/>
      <c r="AY1384" s="5"/>
      <c r="AZ1384" s="5"/>
      <c r="BA1384" s="5"/>
    </row>
    <row r="1385" spans="3:53" s="41" customFormat="1" x14ac:dyDescent="0.2">
      <c r="C1385" s="71"/>
      <c r="D1385" s="58"/>
      <c r="E1385" s="38"/>
      <c r="F1385" s="58"/>
      <c r="G1385" s="5"/>
      <c r="H1385" s="44"/>
      <c r="I1385" s="5"/>
      <c r="J1385" s="43"/>
      <c r="K1385" s="43"/>
      <c r="L1385" s="57"/>
      <c r="M1385" s="56"/>
      <c r="N1385" s="3"/>
      <c r="P1385" s="5"/>
      <c r="Q1385" s="5"/>
      <c r="R1385" s="5"/>
      <c r="T1385" s="56"/>
      <c r="U1385" s="77"/>
      <c r="V1385" s="77"/>
      <c r="AA1385" s="3"/>
      <c r="AF1385" s="5"/>
      <c r="AG1385" s="5"/>
      <c r="AH1385" s="5"/>
      <c r="AI1385" s="5"/>
      <c r="AJ1385" s="5"/>
      <c r="AK1385" s="5"/>
      <c r="AL1385" s="5"/>
      <c r="AM1385" s="13"/>
      <c r="AN1385" s="13"/>
      <c r="AO1385" s="5"/>
      <c r="AP1385" s="5"/>
      <c r="AQ1385" s="5"/>
      <c r="AR1385" s="5"/>
      <c r="AS1385" s="5"/>
      <c r="AT1385" s="5"/>
      <c r="AU1385" s="5"/>
      <c r="AV1385" s="5"/>
      <c r="AW1385" s="5"/>
      <c r="AX1385" s="5"/>
      <c r="AY1385" s="5"/>
      <c r="AZ1385" s="5"/>
      <c r="BA1385" s="5"/>
    </row>
    <row r="1386" spans="3:53" s="41" customFormat="1" x14ac:dyDescent="0.2">
      <c r="C1386" s="71"/>
      <c r="D1386" s="58"/>
      <c r="E1386" s="38"/>
      <c r="F1386" s="58"/>
      <c r="G1386" s="5"/>
      <c r="H1386" s="44"/>
      <c r="I1386" s="5"/>
      <c r="J1386" s="43"/>
      <c r="K1386" s="43"/>
      <c r="L1386" s="57"/>
      <c r="M1386" s="56"/>
      <c r="N1386" s="3"/>
      <c r="P1386" s="5"/>
      <c r="Q1386" s="5"/>
      <c r="R1386" s="5"/>
      <c r="T1386" s="56"/>
      <c r="U1386" s="77"/>
      <c r="V1386" s="77"/>
      <c r="AA1386" s="3"/>
      <c r="AF1386" s="5"/>
      <c r="AG1386" s="5"/>
      <c r="AH1386" s="5"/>
      <c r="AI1386" s="5"/>
      <c r="AJ1386" s="5"/>
      <c r="AK1386" s="5"/>
      <c r="AL1386" s="5"/>
      <c r="AM1386" s="13"/>
      <c r="AN1386" s="13"/>
      <c r="AO1386" s="5"/>
      <c r="AP1386" s="5"/>
      <c r="AQ1386" s="5"/>
      <c r="AR1386" s="5"/>
      <c r="AS1386" s="5"/>
      <c r="AT1386" s="5"/>
      <c r="AU1386" s="5"/>
      <c r="AV1386" s="5"/>
      <c r="AW1386" s="5"/>
      <c r="AX1386" s="5"/>
      <c r="AY1386" s="5"/>
      <c r="AZ1386" s="5"/>
      <c r="BA1386" s="5"/>
    </row>
    <row r="1387" spans="3:53" s="41" customFormat="1" x14ac:dyDescent="0.2">
      <c r="C1387" s="71"/>
      <c r="D1387" s="58"/>
      <c r="E1387" s="38"/>
      <c r="F1387" s="58"/>
      <c r="G1387" s="5"/>
      <c r="H1387" s="44"/>
      <c r="I1387" s="5"/>
      <c r="J1387" s="43"/>
      <c r="K1387" s="43"/>
      <c r="L1387" s="57"/>
      <c r="M1387" s="56"/>
      <c r="N1387" s="3"/>
      <c r="P1387" s="5"/>
      <c r="Q1387" s="5"/>
      <c r="R1387" s="5"/>
      <c r="T1387" s="56"/>
      <c r="U1387" s="77"/>
      <c r="V1387" s="77"/>
      <c r="AA1387" s="3"/>
      <c r="AF1387" s="5"/>
      <c r="AG1387" s="5"/>
      <c r="AH1387" s="5"/>
      <c r="AI1387" s="5"/>
      <c r="AJ1387" s="5"/>
      <c r="AK1387" s="5"/>
      <c r="AL1387" s="5"/>
      <c r="AM1387" s="13"/>
      <c r="AN1387" s="13"/>
      <c r="AO1387" s="5"/>
      <c r="AP1387" s="5"/>
      <c r="AQ1387" s="5"/>
      <c r="AR1387" s="5"/>
      <c r="AS1387" s="5"/>
      <c r="AT1387" s="5"/>
      <c r="AU1387" s="5"/>
      <c r="AV1387" s="5"/>
      <c r="AW1387" s="5"/>
      <c r="AX1387" s="5"/>
      <c r="AY1387" s="5"/>
      <c r="AZ1387" s="5"/>
      <c r="BA1387" s="5"/>
    </row>
    <row r="1388" spans="3:53" s="41" customFormat="1" x14ac:dyDescent="0.2">
      <c r="C1388" s="71"/>
      <c r="D1388" s="58"/>
      <c r="E1388" s="38"/>
      <c r="F1388" s="58"/>
      <c r="G1388" s="5"/>
      <c r="H1388" s="44"/>
      <c r="I1388" s="5"/>
      <c r="J1388" s="43"/>
      <c r="K1388" s="43"/>
      <c r="L1388" s="57"/>
      <c r="M1388" s="56"/>
      <c r="N1388" s="3"/>
      <c r="P1388" s="5"/>
      <c r="Q1388" s="5"/>
      <c r="R1388" s="5"/>
      <c r="T1388" s="56"/>
      <c r="U1388" s="77"/>
      <c r="V1388" s="77"/>
      <c r="AA1388" s="3"/>
      <c r="AF1388" s="5"/>
      <c r="AG1388" s="5"/>
      <c r="AH1388" s="5"/>
      <c r="AI1388" s="5"/>
      <c r="AJ1388" s="5"/>
      <c r="AK1388" s="5"/>
      <c r="AL1388" s="5"/>
      <c r="AM1388" s="13"/>
      <c r="AN1388" s="13"/>
      <c r="AO1388" s="5"/>
      <c r="AP1388" s="5"/>
      <c r="AQ1388" s="5"/>
      <c r="AR1388" s="5"/>
      <c r="AS1388" s="5"/>
      <c r="AT1388" s="5"/>
      <c r="AU1388" s="5"/>
      <c r="AV1388" s="5"/>
      <c r="AW1388" s="5"/>
      <c r="AX1388" s="5"/>
      <c r="AY1388" s="5"/>
      <c r="AZ1388" s="5"/>
      <c r="BA1388" s="5"/>
    </row>
    <row r="1389" spans="3:53" s="41" customFormat="1" x14ac:dyDescent="0.2">
      <c r="C1389" s="71"/>
      <c r="D1389" s="58"/>
      <c r="E1389" s="38"/>
      <c r="F1389" s="58"/>
      <c r="G1389" s="5"/>
      <c r="H1389" s="44"/>
      <c r="I1389" s="5"/>
      <c r="J1389" s="43"/>
      <c r="K1389" s="43"/>
      <c r="L1389" s="57"/>
      <c r="M1389" s="56"/>
      <c r="N1389" s="3"/>
      <c r="P1389" s="5"/>
      <c r="Q1389" s="5"/>
      <c r="R1389" s="5"/>
      <c r="T1389" s="56"/>
      <c r="U1389" s="77"/>
      <c r="V1389" s="77"/>
      <c r="AA1389" s="3"/>
      <c r="AF1389" s="5"/>
      <c r="AG1389" s="5"/>
      <c r="AH1389" s="5"/>
      <c r="AI1389" s="5"/>
      <c r="AJ1389" s="5"/>
      <c r="AK1389" s="5"/>
      <c r="AL1389" s="5"/>
      <c r="AM1389" s="13"/>
      <c r="AN1389" s="13"/>
      <c r="AO1389" s="5"/>
      <c r="AP1389" s="5"/>
      <c r="AQ1389" s="5"/>
      <c r="AR1389" s="5"/>
      <c r="AS1389" s="5"/>
      <c r="AT1389" s="5"/>
      <c r="AU1389" s="5"/>
      <c r="AV1389" s="5"/>
      <c r="AW1389" s="5"/>
      <c r="AX1389" s="5"/>
      <c r="AY1389" s="5"/>
      <c r="AZ1389" s="5"/>
      <c r="BA1389" s="5"/>
    </row>
    <row r="1390" spans="3:53" s="41" customFormat="1" x14ac:dyDescent="0.2">
      <c r="C1390" s="71"/>
      <c r="D1390" s="58"/>
      <c r="E1390" s="38"/>
      <c r="F1390" s="58"/>
      <c r="G1390" s="5"/>
      <c r="H1390" s="44"/>
      <c r="I1390" s="5"/>
      <c r="J1390" s="43"/>
      <c r="K1390" s="43"/>
      <c r="L1390" s="57"/>
      <c r="M1390" s="56"/>
      <c r="N1390" s="3"/>
      <c r="P1390" s="5"/>
      <c r="Q1390" s="5"/>
      <c r="R1390" s="5"/>
      <c r="T1390" s="56"/>
      <c r="U1390" s="77"/>
      <c r="V1390" s="77"/>
      <c r="AA1390" s="3"/>
      <c r="AF1390" s="5"/>
      <c r="AG1390" s="5"/>
      <c r="AH1390" s="5"/>
      <c r="AI1390" s="5"/>
      <c r="AJ1390" s="5"/>
      <c r="AK1390" s="5"/>
      <c r="AL1390" s="5"/>
      <c r="AM1390" s="13"/>
      <c r="AN1390" s="13"/>
      <c r="AO1390" s="5"/>
      <c r="AP1390" s="5"/>
      <c r="AQ1390" s="5"/>
      <c r="AR1390" s="5"/>
      <c r="AS1390" s="5"/>
      <c r="AT1390" s="5"/>
      <c r="AU1390" s="5"/>
      <c r="AV1390" s="5"/>
      <c r="AW1390" s="5"/>
      <c r="AX1390" s="5"/>
      <c r="AY1390" s="5"/>
      <c r="AZ1390" s="5"/>
      <c r="BA1390" s="5"/>
    </row>
    <row r="1391" spans="3:53" s="41" customFormat="1" x14ac:dyDescent="0.2">
      <c r="C1391" s="71"/>
      <c r="D1391" s="58"/>
      <c r="E1391" s="38"/>
      <c r="F1391" s="58"/>
      <c r="G1391" s="5"/>
      <c r="H1391" s="44"/>
      <c r="I1391" s="5"/>
      <c r="J1391" s="43"/>
      <c r="K1391" s="43"/>
      <c r="L1391" s="57"/>
      <c r="M1391" s="56"/>
      <c r="N1391" s="3"/>
      <c r="P1391" s="5"/>
      <c r="Q1391" s="5"/>
      <c r="R1391" s="5"/>
      <c r="T1391" s="56"/>
      <c r="U1391" s="77"/>
      <c r="V1391" s="77"/>
      <c r="AA1391" s="3"/>
      <c r="AF1391" s="5"/>
      <c r="AG1391" s="5"/>
      <c r="AH1391" s="5"/>
      <c r="AI1391" s="5"/>
      <c r="AJ1391" s="5"/>
      <c r="AK1391" s="5"/>
      <c r="AL1391" s="5"/>
      <c r="AM1391" s="13"/>
      <c r="AN1391" s="13"/>
      <c r="AO1391" s="5"/>
      <c r="AP1391" s="5"/>
      <c r="AQ1391" s="5"/>
      <c r="AR1391" s="5"/>
      <c r="AS1391" s="5"/>
      <c r="AT1391" s="5"/>
      <c r="AU1391" s="5"/>
      <c r="AV1391" s="5"/>
      <c r="AW1391" s="5"/>
      <c r="AX1391" s="5"/>
      <c r="AY1391" s="5"/>
      <c r="AZ1391" s="5"/>
      <c r="BA1391" s="5"/>
    </row>
    <row r="1392" spans="3:53" s="41" customFormat="1" x14ac:dyDescent="0.2">
      <c r="C1392" s="71"/>
      <c r="D1392" s="58"/>
      <c r="E1392" s="38"/>
      <c r="F1392" s="58"/>
      <c r="G1392" s="5"/>
      <c r="H1392" s="44"/>
      <c r="I1392" s="5"/>
      <c r="J1392" s="43"/>
      <c r="K1392" s="43"/>
      <c r="L1392" s="57"/>
      <c r="M1392" s="56"/>
      <c r="N1392" s="3"/>
      <c r="P1392" s="5"/>
      <c r="Q1392" s="5"/>
      <c r="R1392" s="5"/>
      <c r="T1392" s="56"/>
      <c r="U1392" s="77"/>
      <c r="V1392" s="77"/>
      <c r="AA1392" s="3"/>
      <c r="AF1392" s="5"/>
      <c r="AG1392" s="5"/>
      <c r="AH1392" s="5"/>
      <c r="AI1392" s="5"/>
      <c r="AJ1392" s="5"/>
      <c r="AK1392" s="5"/>
      <c r="AL1392" s="5"/>
      <c r="AM1392" s="13"/>
      <c r="AN1392" s="13"/>
      <c r="AO1392" s="5"/>
      <c r="AP1392" s="5"/>
      <c r="AQ1392" s="5"/>
      <c r="AR1392" s="5"/>
      <c r="AS1392" s="5"/>
      <c r="AT1392" s="5"/>
      <c r="AU1392" s="5"/>
      <c r="AV1392" s="5"/>
      <c r="AW1392" s="5"/>
      <c r="AX1392" s="5"/>
      <c r="AY1392" s="5"/>
      <c r="AZ1392" s="5"/>
      <c r="BA1392" s="5"/>
    </row>
    <row r="1393" spans="3:53" s="41" customFormat="1" x14ac:dyDescent="0.2">
      <c r="C1393" s="71"/>
      <c r="D1393" s="58"/>
      <c r="E1393" s="38"/>
      <c r="F1393" s="58"/>
      <c r="G1393" s="5"/>
      <c r="H1393" s="44"/>
      <c r="I1393" s="5"/>
      <c r="J1393" s="43"/>
      <c r="K1393" s="43"/>
      <c r="L1393" s="57"/>
      <c r="M1393" s="56"/>
      <c r="N1393" s="3"/>
      <c r="P1393" s="5"/>
      <c r="Q1393" s="5"/>
      <c r="R1393" s="5"/>
      <c r="T1393" s="56"/>
      <c r="U1393" s="77"/>
      <c r="V1393" s="77"/>
      <c r="AA1393" s="3"/>
      <c r="AF1393" s="5"/>
      <c r="AG1393" s="5"/>
      <c r="AH1393" s="5"/>
      <c r="AI1393" s="5"/>
      <c r="AJ1393" s="5"/>
      <c r="AK1393" s="5"/>
      <c r="AL1393" s="5"/>
      <c r="AM1393" s="13"/>
      <c r="AN1393" s="13"/>
      <c r="AO1393" s="5"/>
      <c r="AP1393" s="5"/>
      <c r="AQ1393" s="5"/>
      <c r="AR1393" s="5"/>
      <c r="AS1393" s="5"/>
      <c r="AT1393" s="5"/>
      <c r="AU1393" s="5"/>
      <c r="AV1393" s="5"/>
      <c r="AW1393" s="5"/>
      <c r="AX1393" s="5"/>
      <c r="AY1393" s="5"/>
      <c r="AZ1393" s="5"/>
      <c r="BA1393" s="5"/>
    </row>
    <row r="1394" spans="3:53" s="41" customFormat="1" x14ac:dyDescent="0.2">
      <c r="C1394" s="71"/>
      <c r="D1394" s="58"/>
      <c r="E1394" s="38"/>
      <c r="F1394" s="58"/>
      <c r="G1394" s="5"/>
      <c r="H1394" s="44"/>
      <c r="I1394" s="5"/>
      <c r="J1394" s="43"/>
      <c r="K1394" s="43"/>
      <c r="L1394" s="57"/>
      <c r="M1394" s="56"/>
      <c r="N1394" s="3"/>
      <c r="P1394" s="5"/>
      <c r="Q1394" s="5"/>
      <c r="R1394" s="5"/>
      <c r="T1394" s="56"/>
      <c r="U1394" s="77"/>
      <c r="V1394" s="77"/>
      <c r="AA1394" s="3"/>
      <c r="AF1394" s="5"/>
      <c r="AG1394" s="5"/>
      <c r="AH1394" s="5"/>
      <c r="AI1394" s="5"/>
      <c r="AJ1394" s="5"/>
      <c r="AK1394" s="5"/>
      <c r="AL1394" s="5"/>
      <c r="AM1394" s="13"/>
      <c r="AN1394" s="13"/>
      <c r="AO1394" s="5"/>
      <c r="AP1394" s="5"/>
      <c r="AQ1394" s="5"/>
      <c r="AR1394" s="5"/>
      <c r="AS1394" s="5"/>
      <c r="AT1394" s="5"/>
      <c r="AU1394" s="5"/>
      <c r="AV1394" s="5"/>
      <c r="AW1394" s="5"/>
      <c r="AX1394" s="5"/>
      <c r="AY1394" s="5"/>
      <c r="AZ1394" s="5"/>
      <c r="BA1394" s="5"/>
    </row>
    <row r="1395" spans="3:53" s="41" customFormat="1" x14ac:dyDescent="0.2">
      <c r="C1395" s="71"/>
      <c r="D1395" s="58"/>
      <c r="E1395" s="38"/>
      <c r="F1395" s="58"/>
      <c r="G1395" s="5"/>
      <c r="H1395" s="44"/>
      <c r="I1395" s="5"/>
      <c r="J1395" s="43"/>
      <c r="K1395" s="43"/>
      <c r="L1395" s="57"/>
      <c r="M1395" s="56"/>
      <c r="N1395" s="3"/>
      <c r="P1395" s="5"/>
      <c r="Q1395" s="5"/>
      <c r="R1395" s="5"/>
      <c r="T1395" s="56"/>
      <c r="U1395" s="77"/>
      <c r="V1395" s="77"/>
      <c r="AA1395" s="3"/>
      <c r="AF1395" s="5"/>
      <c r="AG1395" s="5"/>
      <c r="AH1395" s="5"/>
      <c r="AI1395" s="5"/>
      <c r="AJ1395" s="5"/>
      <c r="AK1395" s="5"/>
      <c r="AL1395" s="5"/>
      <c r="AM1395" s="13"/>
      <c r="AN1395" s="13"/>
      <c r="AO1395" s="5"/>
      <c r="AP1395" s="5"/>
      <c r="AQ1395" s="5"/>
      <c r="AR1395" s="5"/>
      <c r="AS1395" s="5"/>
      <c r="AT1395" s="5"/>
      <c r="AU1395" s="5"/>
      <c r="AV1395" s="5"/>
      <c r="AW1395" s="5"/>
      <c r="AX1395" s="5"/>
      <c r="AY1395" s="5"/>
      <c r="AZ1395" s="5"/>
      <c r="BA1395" s="5"/>
    </row>
    <row r="1396" spans="3:53" s="41" customFormat="1" x14ac:dyDescent="0.2">
      <c r="C1396" s="71"/>
      <c r="D1396" s="58"/>
      <c r="E1396" s="38"/>
      <c r="F1396" s="58"/>
      <c r="G1396" s="5"/>
      <c r="H1396" s="44"/>
      <c r="I1396" s="5"/>
      <c r="J1396" s="43"/>
      <c r="K1396" s="43"/>
      <c r="L1396" s="57"/>
      <c r="M1396" s="56"/>
      <c r="N1396" s="3"/>
      <c r="P1396" s="5"/>
      <c r="Q1396" s="5"/>
      <c r="R1396" s="5"/>
      <c r="T1396" s="56"/>
      <c r="U1396" s="77"/>
      <c r="V1396" s="77"/>
      <c r="AA1396" s="3"/>
      <c r="AF1396" s="5"/>
      <c r="AG1396" s="5"/>
      <c r="AH1396" s="5"/>
      <c r="AI1396" s="5"/>
      <c r="AJ1396" s="5"/>
      <c r="AK1396" s="5"/>
      <c r="AL1396" s="5"/>
      <c r="AM1396" s="13"/>
      <c r="AN1396" s="13"/>
      <c r="AO1396" s="5"/>
      <c r="AP1396" s="5"/>
      <c r="AQ1396" s="5"/>
      <c r="AR1396" s="5"/>
      <c r="AS1396" s="5"/>
      <c r="AT1396" s="5"/>
      <c r="AU1396" s="5"/>
      <c r="AV1396" s="5"/>
      <c r="AW1396" s="5"/>
      <c r="AX1396" s="5"/>
      <c r="AY1396" s="5"/>
      <c r="AZ1396" s="5"/>
      <c r="BA1396" s="5"/>
    </row>
    <row r="1397" spans="3:53" s="41" customFormat="1" x14ac:dyDescent="0.2">
      <c r="C1397" s="71"/>
      <c r="D1397" s="58"/>
      <c r="E1397" s="38"/>
      <c r="F1397" s="58"/>
      <c r="G1397" s="5"/>
      <c r="H1397" s="44"/>
      <c r="I1397" s="5"/>
      <c r="J1397" s="43"/>
      <c r="K1397" s="43"/>
      <c r="L1397" s="57"/>
      <c r="M1397" s="56"/>
      <c r="N1397" s="3"/>
      <c r="P1397" s="5"/>
      <c r="Q1397" s="5"/>
      <c r="R1397" s="5"/>
      <c r="T1397" s="56"/>
      <c r="U1397" s="77"/>
      <c r="V1397" s="77"/>
      <c r="AA1397" s="3"/>
      <c r="AF1397" s="5"/>
      <c r="AG1397" s="5"/>
      <c r="AH1397" s="5"/>
      <c r="AI1397" s="5"/>
      <c r="AJ1397" s="5"/>
      <c r="AK1397" s="5"/>
      <c r="AL1397" s="5"/>
      <c r="AM1397" s="13"/>
      <c r="AN1397" s="13"/>
      <c r="AO1397" s="5"/>
      <c r="AP1397" s="5"/>
      <c r="AQ1397" s="5"/>
      <c r="AR1397" s="5"/>
      <c r="AS1397" s="5"/>
      <c r="AT1397" s="5"/>
      <c r="AU1397" s="5"/>
      <c r="AV1397" s="5"/>
      <c r="AW1397" s="5"/>
      <c r="AX1397" s="5"/>
      <c r="AY1397" s="5"/>
      <c r="AZ1397" s="5"/>
      <c r="BA1397" s="5"/>
    </row>
    <row r="1398" spans="3:53" s="41" customFormat="1" x14ac:dyDescent="0.2">
      <c r="C1398" s="71"/>
      <c r="D1398" s="58"/>
      <c r="E1398" s="38"/>
      <c r="F1398" s="58"/>
      <c r="G1398" s="5"/>
      <c r="H1398" s="44"/>
      <c r="I1398" s="5"/>
      <c r="J1398" s="43"/>
      <c r="K1398" s="43"/>
      <c r="L1398" s="57"/>
      <c r="M1398" s="56"/>
      <c r="N1398" s="3"/>
      <c r="P1398" s="5"/>
      <c r="Q1398" s="5"/>
      <c r="R1398" s="5"/>
      <c r="T1398" s="56"/>
      <c r="U1398" s="77"/>
      <c r="V1398" s="77"/>
      <c r="AA1398" s="3"/>
      <c r="AF1398" s="5"/>
      <c r="AG1398" s="5"/>
      <c r="AH1398" s="5"/>
      <c r="AI1398" s="5"/>
      <c r="AJ1398" s="5"/>
      <c r="AK1398" s="5"/>
      <c r="AL1398" s="5"/>
      <c r="AM1398" s="13"/>
      <c r="AN1398" s="13"/>
      <c r="AO1398" s="5"/>
      <c r="AP1398" s="5"/>
      <c r="AQ1398" s="5"/>
      <c r="AR1398" s="5"/>
      <c r="AS1398" s="5"/>
      <c r="AT1398" s="5"/>
      <c r="AU1398" s="5"/>
      <c r="AV1398" s="5"/>
      <c r="AW1398" s="5"/>
      <c r="AX1398" s="5"/>
      <c r="AY1398" s="5"/>
      <c r="AZ1398" s="5"/>
      <c r="BA1398" s="5"/>
    </row>
    <row r="1399" spans="3:53" s="41" customFormat="1" x14ac:dyDescent="0.2">
      <c r="C1399" s="71"/>
      <c r="D1399" s="58"/>
      <c r="E1399" s="38"/>
      <c r="F1399" s="58"/>
      <c r="G1399" s="5"/>
      <c r="H1399" s="44"/>
      <c r="I1399" s="5"/>
      <c r="J1399" s="43"/>
      <c r="K1399" s="43"/>
      <c r="L1399" s="57"/>
      <c r="M1399" s="56"/>
      <c r="N1399" s="3"/>
      <c r="P1399" s="5"/>
      <c r="Q1399" s="5"/>
      <c r="R1399" s="5"/>
      <c r="T1399" s="56"/>
      <c r="U1399" s="77"/>
      <c r="V1399" s="77"/>
      <c r="AA1399" s="3"/>
      <c r="AF1399" s="5"/>
      <c r="AG1399" s="5"/>
      <c r="AH1399" s="5"/>
      <c r="AI1399" s="5"/>
      <c r="AJ1399" s="5"/>
      <c r="AK1399" s="5"/>
      <c r="AL1399" s="5"/>
      <c r="AM1399" s="13"/>
      <c r="AN1399" s="13"/>
      <c r="AO1399" s="5"/>
      <c r="AP1399" s="5"/>
      <c r="AQ1399" s="5"/>
      <c r="AR1399" s="5"/>
      <c r="AS1399" s="5"/>
      <c r="AT1399" s="5"/>
      <c r="AU1399" s="5"/>
      <c r="AV1399" s="5"/>
      <c r="AW1399" s="5"/>
      <c r="AX1399" s="5"/>
      <c r="AY1399" s="5"/>
      <c r="AZ1399" s="5"/>
      <c r="BA1399" s="5"/>
    </row>
    <row r="1400" spans="3:53" s="41" customFormat="1" x14ac:dyDescent="0.2">
      <c r="C1400" s="71"/>
      <c r="D1400" s="58"/>
      <c r="E1400" s="38"/>
      <c r="F1400" s="58"/>
      <c r="G1400" s="5"/>
      <c r="H1400" s="44"/>
      <c r="I1400" s="5"/>
      <c r="J1400" s="43"/>
      <c r="K1400" s="43"/>
      <c r="L1400" s="57"/>
      <c r="M1400" s="56"/>
      <c r="N1400" s="3"/>
      <c r="P1400" s="5"/>
      <c r="Q1400" s="5"/>
      <c r="R1400" s="5"/>
      <c r="T1400" s="56"/>
      <c r="U1400" s="77"/>
      <c r="V1400" s="77"/>
      <c r="AA1400" s="3"/>
      <c r="AF1400" s="5"/>
      <c r="AG1400" s="5"/>
      <c r="AH1400" s="5"/>
      <c r="AI1400" s="5"/>
      <c r="AJ1400" s="5"/>
      <c r="AK1400" s="5"/>
      <c r="AL1400" s="5"/>
      <c r="AM1400" s="13"/>
      <c r="AN1400" s="13"/>
      <c r="AO1400" s="5"/>
      <c r="AP1400" s="5"/>
      <c r="AQ1400" s="5"/>
      <c r="AR1400" s="5"/>
      <c r="AS1400" s="5"/>
      <c r="AT1400" s="5"/>
      <c r="AU1400" s="5"/>
      <c r="AV1400" s="5"/>
      <c r="AW1400" s="5"/>
      <c r="AX1400" s="5"/>
      <c r="AY1400" s="5"/>
      <c r="AZ1400" s="5"/>
      <c r="BA1400" s="5"/>
    </row>
    <row r="1401" spans="3:53" s="41" customFormat="1" x14ac:dyDescent="0.2">
      <c r="C1401" s="71"/>
      <c r="D1401" s="58"/>
      <c r="E1401" s="38"/>
      <c r="F1401" s="58"/>
      <c r="G1401" s="5"/>
      <c r="H1401" s="44"/>
      <c r="I1401" s="5"/>
      <c r="J1401" s="43"/>
      <c r="K1401" s="43"/>
      <c r="L1401" s="57"/>
      <c r="M1401" s="56"/>
      <c r="N1401" s="3"/>
      <c r="P1401" s="5"/>
      <c r="Q1401" s="5"/>
      <c r="R1401" s="5"/>
      <c r="T1401" s="56"/>
      <c r="U1401" s="77"/>
      <c r="V1401" s="77"/>
      <c r="AA1401" s="3"/>
      <c r="AF1401" s="5"/>
      <c r="AG1401" s="5"/>
      <c r="AH1401" s="5"/>
      <c r="AI1401" s="5"/>
      <c r="AJ1401" s="5"/>
      <c r="AK1401" s="5"/>
      <c r="AL1401" s="5"/>
      <c r="AM1401" s="13"/>
      <c r="AN1401" s="13"/>
      <c r="AO1401" s="5"/>
      <c r="AP1401" s="5"/>
      <c r="AQ1401" s="5"/>
      <c r="AR1401" s="5"/>
      <c r="AS1401" s="5"/>
      <c r="AT1401" s="5"/>
      <c r="AU1401" s="5"/>
      <c r="AV1401" s="5"/>
      <c r="AW1401" s="5"/>
      <c r="AX1401" s="5"/>
      <c r="AY1401" s="5"/>
      <c r="AZ1401" s="5"/>
      <c r="BA1401" s="5"/>
    </row>
    <row r="1402" spans="3:53" s="41" customFormat="1" x14ac:dyDescent="0.2">
      <c r="C1402" s="71"/>
      <c r="D1402" s="58"/>
      <c r="E1402" s="38"/>
      <c r="F1402" s="58"/>
      <c r="G1402" s="5"/>
      <c r="H1402" s="44"/>
      <c r="I1402" s="5"/>
      <c r="J1402" s="43"/>
      <c r="K1402" s="43"/>
      <c r="L1402" s="57"/>
      <c r="M1402" s="56"/>
      <c r="N1402" s="3"/>
      <c r="P1402" s="5"/>
      <c r="Q1402" s="5"/>
      <c r="R1402" s="5"/>
      <c r="T1402" s="56"/>
      <c r="U1402" s="77"/>
      <c r="V1402" s="77"/>
      <c r="AA1402" s="3"/>
      <c r="AF1402" s="5"/>
      <c r="AG1402" s="5"/>
      <c r="AH1402" s="5"/>
      <c r="AI1402" s="5"/>
      <c r="AJ1402" s="5"/>
      <c r="AK1402" s="5"/>
      <c r="AL1402" s="5"/>
      <c r="AM1402" s="13"/>
      <c r="AN1402" s="13"/>
      <c r="AO1402" s="5"/>
      <c r="AP1402" s="5"/>
      <c r="AQ1402" s="5"/>
      <c r="AR1402" s="5"/>
      <c r="AS1402" s="5"/>
      <c r="AT1402" s="5"/>
      <c r="AU1402" s="5"/>
      <c r="AV1402" s="5"/>
      <c r="AW1402" s="5"/>
      <c r="AX1402" s="5"/>
      <c r="AY1402" s="5"/>
      <c r="AZ1402" s="5"/>
      <c r="BA1402" s="5"/>
    </row>
    <row r="1403" spans="3:53" s="41" customFormat="1" x14ac:dyDescent="0.2">
      <c r="C1403" s="71"/>
      <c r="D1403" s="58"/>
      <c r="E1403" s="38"/>
      <c r="F1403" s="58"/>
      <c r="G1403" s="5"/>
      <c r="H1403" s="44"/>
      <c r="I1403" s="5"/>
      <c r="J1403" s="43"/>
      <c r="K1403" s="43"/>
      <c r="L1403" s="57"/>
      <c r="M1403" s="56"/>
      <c r="N1403" s="3"/>
      <c r="P1403" s="5"/>
      <c r="Q1403" s="5"/>
      <c r="R1403" s="5"/>
      <c r="T1403" s="56"/>
      <c r="U1403" s="77"/>
      <c r="V1403" s="77"/>
      <c r="AA1403" s="3"/>
      <c r="AF1403" s="5"/>
      <c r="AG1403" s="5"/>
      <c r="AH1403" s="5"/>
      <c r="AI1403" s="5"/>
      <c r="AJ1403" s="5"/>
      <c r="AK1403" s="5"/>
      <c r="AL1403" s="5"/>
      <c r="AM1403" s="13"/>
      <c r="AN1403" s="13"/>
      <c r="AO1403" s="5"/>
      <c r="AP1403" s="5"/>
      <c r="AQ1403" s="5"/>
      <c r="AR1403" s="5"/>
      <c r="AS1403" s="5"/>
      <c r="AT1403" s="5"/>
      <c r="AU1403" s="5"/>
      <c r="AV1403" s="5"/>
      <c r="AW1403" s="5"/>
      <c r="AX1403" s="5"/>
      <c r="AY1403" s="5"/>
      <c r="AZ1403" s="5"/>
      <c r="BA1403" s="5"/>
    </row>
    <row r="1404" spans="3:53" s="41" customFormat="1" x14ac:dyDescent="0.2">
      <c r="C1404" s="71"/>
      <c r="D1404" s="58"/>
      <c r="E1404" s="38"/>
      <c r="F1404" s="58"/>
      <c r="G1404" s="5"/>
      <c r="H1404" s="44"/>
      <c r="I1404" s="5"/>
      <c r="J1404" s="43"/>
      <c r="K1404" s="43"/>
      <c r="L1404" s="57"/>
      <c r="M1404" s="56"/>
      <c r="N1404" s="3"/>
      <c r="P1404" s="5"/>
      <c r="Q1404" s="5"/>
      <c r="R1404" s="5"/>
      <c r="T1404" s="56"/>
      <c r="U1404" s="77"/>
      <c r="V1404" s="77"/>
      <c r="AA1404" s="3"/>
      <c r="AF1404" s="5"/>
      <c r="AG1404" s="5"/>
      <c r="AH1404" s="5"/>
      <c r="AI1404" s="5"/>
      <c r="AJ1404" s="5"/>
      <c r="AK1404" s="5"/>
      <c r="AL1404" s="5"/>
      <c r="AM1404" s="13"/>
      <c r="AN1404" s="13"/>
      <c r="AO1404" s="5"/>
      <c r="AP1404" s="5"/>
      <c r="AQ1404" s="5"/>
      <c r="AR1404" s="5"/>
      <c r="AS1404" s="5"/>
      <c r="AT1404" s="5"/>
      <c r="AU1404" s="5"/>
      <c r="AV1404" s="5"/>
      <c r="AW1404" s="5"/>
      <c r="AX1404" s="5"/>
      <c r="AY1404" s="5"/>
      <c r="AZ1404" s="5"/>
      <c r="BA1404" s="5"/>
    </row>
    <row r="1405" spans="3:53" s="41" customFormat="1" x14ac:dyDescent="0.2">
      <c r="C1405" s="71"/>
      <c r="D1405" s="58"/>
      <c r="E1405" s="38"/>
      <c r="F1405" s="58"/>
      <c r="G1405" s="5"/>
      <c r="H1405" s="44"/>
      <c r="I1405" s="5"/>
      <c r="J1405" s="43"/>
      <c r="K1405" s="43"/>
      <c r="L1405" s="57"/>
      <c r="M1405" s="56"/>
      <c r="N1405" s="3"/>
      <c r="P1405" s="5"/>
      <c r="Q1405" s="5"/>
      <c r="R1405" s="5"/>
      <c r="T1405" s="56"/>
      <c r="U1405" s="77"/>
      <c r="V1405" s="77"/>
      <c r="AA1405" s="3"/>
      <c r="AF1405" s="5"/>
      <c r="AG1405" s="5"/>
      <c r="AH1405" s="5"/>
      <c r="AI1405" s="5"/>
      <c r="AJ1405" s="5"/>
      <c r="AK1405" s="5"/>
      <c r="AL1405" s="5"/>
      <c r="AM1405" s="13"/>
      <c r="AN1405" s="13"/>
      <c r="AO1405" s="5"/>
      <c r="AP1405" s="5"/>
      <c r="AQ1405" s="5"/>
      <c r="AR1405" s="5"/>
      <c r="AS1405" s="5"/>
      <c r="AT1405" s="5"/>
      <c r="AU1405" s="5"/>
      <c r="AV1405" s="5"/>
      <c r="AW1405" s="5"/>
      <c r="AX1405" s="5"/>
      <c r="AY1405" s="5"/>
      <c r="AZ1405" s="5"/>
      <c r="BA1405" s="5"/>
    </row>
    <row r="1406" spans="3:53" s="41" customFormat="1" x14ac:dyDescent="0.2">
      <c r="C1406" s="71"/>
      <c r="D1406" s="58"/>
      <c r="E1406" s="38"/>
      <c r="F1406" s="58"/>
      <c r="G1406" s="5"/>
      <c r="H1406" s="44"/>
      <c r="I1406" s="5"/>
      <c r="J1406" s="43"/>
      <c r="K1406" s="43"/>
      <c r="L1406" s="57"/>
      <c r="M1406" s="56"/>
      <c r="N1406" s="3"/>
      <c r="P1406" s="5"/>
      <c r="Q1406" s="5"/>
      <c r="R1406" s="5"/>
      <c r="T1406" s="56"/>
      <c r="U1406" s="77"/>
      <c r="V1406" s="77"/>
      <c r="AA1406" s="3"/>
      <c r="AF1406" s="5"/>
      <c r="AG1406" s="5"/>
      <c r="AH1406" s="5"/>
      <c r="AI1406" s="5"/>
      <c r="AJ1406" s="5"/>
      <c r="AK1406" s="5"/>
      <c r="AL1406" s="5"/>
      <c r="AM1406" s="13"/>
      <c r="AN1406" s="13"/>
      <c r="AO1406" s="5"/>
      <c r="AP1406" s="5"/>
      <c r="AQ1406" s="5"/>
      <c r="AR1406" s="5"/>
      <c r="AS1406" s="5"/>
      <c r="AT1406" s="5"/>
      <c r="AU1406" s="5"/>
      <c r="AV1406" s="5"/>
      <c r="AW1406" s="5"/>
      <c r="AX1406" s="5"/>
      <c r="AY1406" s="5"/>
      <c r="AZ1406" s="5"/>
      <c r="BA1406" s="5"/>
    </row>
    <row r="1407" spans="3:53" s="41" customFormat="1" x14ac:dyDescent="0.2">
      <c r="C1407" s="71"/>
      <c r="D1407" s="58"/>
      <c r="E1407" s="38"/>
      <c r="F1407" s="58"/>
      <c r="G1407" s="5"/>
      <c r="H1407" s="44"/>
      <c r="I1407" s="5"/>
      <c r="J1407" s="43"/>
      <c r="K1407" s="43"/>
      <c r="L1407" s="57"/>
      <c r="M1407" s="56"/>
      <c r="N1407" s="3"/>
      <c r="P1407" s="5"/>
      <c r="Q1407" s="5"/>
      <c r="R1407" s="5"/>
      <c r="T1407" s="56"/>
      <c r="U1407" s="77"/>
      <c r="V1407" s="77"/>
      <c r="AA1407" s="3"/>
      <c r="AF1407" s="5"/>
      <c r="AG1407" s="5"/>
      <c r="AH1407" s="5"/>
      <c r="AI1407" s="5"/>
      <c r="AJ1407" s="5"/>
      <c r="AK1407" s="5"/>
      <c r="AL1407" s="5"/>
      <c r="AM1407" s="13"/>
      <c r="AN1407" s="13"/>
      <c r="AO1407" s="5"/>
      <c r="AP1407" s="5"/>
      <c r="AQ1407" s="5"/>
      <c r="AR1407" s="5"/>
      <c r="AS1407" s="5"/>
      <c r="AT1407" s="5"/>
      <c r="AU1407" s="5"/>
      <c r="AV1407" s="5"/>
      <c r="AW1407" s="5"/>
      <c r="AX1407" s="5"/>
      <c r="AY1407" s="5"/>
      <c r="AZ1407" s="5"/>
      <c r="BA1407" s="5"/>
    </row>
    <row r="1408" spans="3:53" s="41" customFormat="1" x14ac:dyDescent="0.2">
      <c r="C1408" s="71"/>
      <c r="D1408" s="58"/>
      <c r="E1408" s="38"/>
      <c r="F1408" s="58"/>
      <c r="G1408" s="5"/>
      <c r="H1408" s="44"/>
      <c r="I1408" s="5"/>
      <c r="J1408" s="43"/>
      <c r="K1408" s="43"/>
      <c r="L1408" s="57"/>
      <c r="M1408" s="56"/>
      <c r="N1408" s="3"/>
      <c r="P1408" s="5"/>
      <c r="Q1408" s="5"/>
      <c r="R1408" s="5"/>
      <c r="T1408" s="56"/>
      <c r="U1408" s="77"/>
      <c r="V1408" s="77"/>
      <c r="AA1408" s="3"/>
      <c r="AF1408" s="5"/>
      <c r="AG1408" s="5"/>
      <c r="AH1408" s="5"/>
      <c r="AI1408" s="5"/>
      <c r="AJ1408" s="5"/>
      <c r="AK1408" s="5"/>
      <c r="AL1408" s="5"/>
      <c r="AM1408" s="13"/>
      <c r="AN1408" s="13"/>
      <c r="AO1408" s="5"/>
      <c r="AP1408" s="5"/>
      <c r="AQ1408" s="5"/>
      <c r="AR1408" s="5"/>
      <c r="AS1408" s="5"/>
      <c r="AT1408" s="5"/>
      <c r="AU1408" s="5"/>
      <c r="AV1408" s="5"/>
      <c r="AW1408" s="5"/>
      <c r="AX1408" s="5"/>
      <c r="AY1408" s="5"/>
      <c r="AZ1408" s="5"/>
      <c r="BA1408" s="5"/>
    </row>
    <row r="1409" spans="3:53" s="41" customFormat="1" x14ac:dyDescent="0.2">
      <c r="C1409" s="71"/>
      <c r="D1409" s="58"/>
      <c r="E1409" s="38"/>
      <c r="F1409" s="58"/>
      <c r="G1409" s="5"/>
      <c r="H1409" s="44"/>
      <c r="I1409" s="5"/>
      <c r="J1409" s="43"/>
      <c r="K1409" s="43"/>
      <c r="L1409" s="57"/>
      <c r="M1409" s="56"/>
      <c r="N1409" s="3"/>
      <c r="P1409" s="5"/>
      <c r="Q1409" s="5"/>
      <c r="R1409" s="5"/>
      <c r="T1409" s="56"/>
      <c r="U1409" s="77"/>
      <c r="V1409" s="77"/>
      <c r="AA1409" s="3"/>
      <c r="AF1409" s="5"/>
      <c r="AG1409" s="5"/>
      <c r="AH1409" s="5"/>
      <c r="AI1409" s="5"/>
      <c r="AJ1409" s="5"/>
      <c r="AK1409" s="5"/>
      <c r="AL1409" s="5"/>
      <c r="AM1409" s="13"/>
      <c r="AN1409" s="13"/>
      <c r="AO1409" s="5"/>
      <c r="AP1409" s="5"/>
      <c r="AQ1409" s="5"/>
      <c r="AR1409" s="5"/>
      <c r="AS1409" s="5"/>
      <c r="AT1409" s="5"/>
      <c r="AU1409" s="5"/>
      <c r="AV1409" s="5"/>
      <c r="AW1409" s="5"/>
      <c r="AX1409" s="5"/>
      <c r="AY1409" s="5"/>
      <c r="AZ1409" s="5"/>
      <c r="BA1409" s="5"/>
    </row>
    <row r="1410" spans="3:53" s="41" customFormat="1" x14ac:dyDescent="0.2">
      <c r="C1410" s="71"/>
      <c r="D1410" s="58"/>
      <c r="E1410" s="38"/>
      <c r="F1410" s="58"/>
      <c r="G1410" s="5"/>
      <c r="H1410" s="44"/>
      <c r="I1410" s="5"/>
      <c r="J1410" s="43"/>
      <c r="K1410" s="43"/>
      <c r="L1410" s="57"/>
      <c r="M1410" s="56"/>
      <c r="N1410" s="3"/>
      <c r="P1410" s="5"/>
      <c r="Q1410" s="5"/>
      <c r="R1410" s="5"/>
      <c r="T1410" s="56"/>
      <c r="U1410" s="77"/>
      <c r="V1410" s="77"/>
      <c r="AA1410" s="3"/>
      <c r="AF1410" s="5"/>
      <c r="AG1410" s="5"/>
      <c r="AH1410" s="5"/>
      <c r="AI1410" s="5"/>
      <c r="AJ1410" s="5"/>
      <c r="AK1410" s="5"/>
      <c r="AL1410" s="5"/>
      <c r="AM1410" s="13"/>
      <c r="AN1410" s="13"/>
      <c r="AO1410" s="5"/>
      <c r="AP1410" s="5"/>
      <c r="AQ1410" s="5"/>
      <c r="AR1410" s="5"/>
      <c r="AS1410" s="5"/>
      <c r="AT1410" s="5"/>
      <c r="AU1410" s="5"/>
      <c r="AV1410" s="5"/>
      <c r="AW1410" s="5"/>
      <c r="AX1410" s="5"/>
      <c r="AY1410" s="5"/>
      <c r="AZ1410" s="5"/>
      <c r="BA1410" s="5"/>
    </row>
    <row r="1411" spans="3:53" s="41" customFormat="1" x14ac:dyDescent="0.2">
      <c r="C1411" s="71"/>
      <c r="D1411" s="58"/>
      <c r="E1411" s="38"/>
      <c r="F1411" s="58"/>
      <c r="G1411" s="5"/>
      <c r="H1411" s="44"/>
      <c r="I1411" s="5"/>
      <c r="J1411" s="43"/>
      <c r="K1411" s="43"/>
      <c r="L1411" s="57"/>
      <c r="M1411" s="56"/>
      <c r="N1411" s="3"/>
      <c r="P1411" s="5"/>
      <c r="Q1411" s="5"/>
      <c r="R1411" s="5"/>
      <c r="T1411" s="56"/>
      <c r="U1411" s="77"/>
      <c r="V1411" s="77"/>
      <c r="AA1411" s="3"/>
      <c r="AF1411" s="5"/>
      <c r="AG1411" s="5"/>
      <c r="AH1411" s="5"/>
      <c r="AI1411" s="5"/>
      <c r="AJ1411" s="5"/>
      <c r="AK1411" s="5"/>
      <c r="AL1411" s="5"/>
      <c r="AM1411" s="13"/>
      <c r="AN1411" s="13"/>
      <c r="AO1411" s="5"/>
      <c r="AP1411" s="5"/>
      <c r="AQ1411" s="5"/>
      <c r="AR1411" s="5"/>
      <c r="AS1411" s="5"/>
      <c r="AT1411" s="5"/>
      <c r="AU1411" s="5"/>
      <c r="AV1411" s="5"/>
      <c r="AW1411" s="5"/>
      <c r="AX1411" s="5"/>
      <c r="AY1411" s="5"/>
      <c r="AZ1411" s="5"/>
      <c r="BA1411" s="5"/>
    </row>
    <row r="1412" spans="3:53" s="41" customFormat="1" x14ac:dyDescent="0.2">
      <c r="C1412" s="71"/>
      <c r="D1412" s="58"/>
      <c r="E1412" s="38"/>
      <c r="F1412" s="58"/>
      <c r="G1412" s="5"/>
      <c r="H1412" s="44"/>
      <c r="I1412" s="5"/>
      <c r="J1412" s="43"/>
      <c r="K1412" s="43"/>
      <c r="L1412" s="57"/>
      <c r="M1412" s="56"/>
      <c r="N1412" s="3"/>
      <c r="P1412" s="5"/>
      <c r="Q1412" s="5"/>
      <c r="R1412" s="5"/>
      <c r="T1412" s="56"/>
      <c r="U1412" s="77"/>
      <c r="V1412" s="77"/>
      <c r="AA1412" s="3"/>
      <c r="AF1412" s="5"/>
      <c r="AG1412" s="5"/>
      <c r="AH1412" s="5"/>
      <c r="AI1412" s="5"/>
      <c r="AJ1412" s="5"/>
      <c r="AK1412" s="5"/>
      <c r="AL1412" s="5"/>
      <c r="AM1412" s="13"/>
      <c r="AN1412" s="13"/>
      <c r="AO1412" s="5"/>
      <c r="AP1412" s="5"/>
      <c r="AQ1412" s="5"/>
      <c r="AR1412" s="5"/>
      <c r="AS1412" s="5"/>
      <c r="AT1412" s="5"/>
      <c r="AU1412" s="5"/>
      <c r="AV1412" s="5"/>
      <c r="AW1412" s="5"/>
      <c r="AX1412" s="5"/>
      <c r="AY1412" s="5"/>
      <c r="AZ1412" s="5"/>
      <c r="BA1412" s="5"/>
    </row>
    <row r="1413" spans="3:53" s="41" customFormat="1" x14ac:dyDescent="0.2">
      <c r="C1413" s="71"/>
      <c r="D1413" s="58"/>
      <c r="E1413" s="38"/>
      <c r="F1413" s="58"/>
      <c r="G1413" s="5"/>
      <c r="H1413" s="44"/>
      <c r="I1413" s="5"/>
      <c r="J1413" s="43"/>
      <c r="K1413" s="43"/>
      <c r="L1413" s="57"/>
      <c r="M1413" s="56"/>
      <c r="N1413" s="3"/>
      <c r="P1413" s="5"/>
      <c r="Q1413" s="5"/>
      <c r="R1413" s="5"/>
      <c r="T1413" s="56"/>
      <c r="U1413" s="77"/>
      <c r="V1413" s="77"/>
      <c r="AA1413" s="3"/>
      <c r="AF1413" s="5"/>
      <c r="AG1413" s="5"/>
      <c r="AH1413" s="5"/>
      <c r="AI1413" s="5"/>
      <c r="AJ1413" s="5"/>
      <c r="AK1413" s="5"/>
      <c r="AL1413" s="5"/>
      <c r="AM1413" s="13"/>
      <c r="AN1413" s="13"/>
      <c r="AO1413" s="5"/>
      <c r="AP1413" s="5"/>
      <c r="AQ1413" s="5"/>
      <c r="AR1413" s="5"/>
      <c r="AS1413" s="5"/>
      <c r="AT1413" s="5"/>
      <c r="AU1413" s="5"/>
      <c r="AV1413" s="5"/>
      <c r="AW1413" s="5"/>
      <c r="AX1413" s="5"/>
      <c r="AY1413" s="5"/>
      <c r="AZ1413" s="5"/>
      <c r="BA1413" s="5"/>
    </row>
    <row r="1414" spans="3:53" s="41" customFormat="1" x14ac:dyDescent="0.2">
      <c r="C1414" s="71"/>
      <c r="D1414" s="58"/>
      <c r="E1414" s="38"/>
      <c r="F1414" s="58"/>
      <c r="G1414" s="5"/>
      <c r="H1414" s="44"/>
      <c r="I1414" s="5"/>
      <c r="J1414" s="43"/>
      <c r="K1414" s="43"/>
      <c r="L1414" s="57"/>
      <c r="M1414" s="56"/>
      <c r="N1414" s="3"/>
      <c r="P1414" s="5"/>
      <c r="Q1414" s="5"/>
      <c r="R1414" s="5"/>
      <c r="T1414" s="56"/>
      <c r="U1414" s="77"/>
      <c r="V1414" s="77"/>
      <c r="AA1414" s="3"/>
      <c r="AF1414" s="5"/>
      <c r="AG1414" s="5"/>
      <c r="AH1414" s="5"/>
      <c r="AI1414" s="5"/>
      <c r="AJ1414" s="5"/>
      <c r="AK1414" s="5"/>
      <c r="AL1414" s="5"/>
      <c r="AM1414" s="13"/>
      <c r="AN1414" s="13"/>
      <c r="AO1414" s="5"/>
      <c r="AP1414" s="5"/>
      <c r="AQ1414" s="5"/>
      <c r="AR1414" s="5"/>
      <c r="AS1414" s="5"/>
      <c r="AT1414" s="5"/>
      <c r="AU1414" s="5"/>
      <c r="AV1414" s="5"/>
      <c r="AW1414" s="5"/>
      <c r="AX1414" s="5"/>
      <c r="AY1414" s="5"/>
      <c r="AZ1414" s="5"/>
      <c r="BA1414" s="5"/>
    </row>
    <row r="1415" spans="3:53" s="41" customFormat="1" x14ac:dyDescent="0.2">
      <c r="C1415" s="71"/>
      <c r="D1415" s="58"/>
      <c r="E1415" s="38"/>
      <c r="F1415" s="58"/>
      <c r="G1415" s="5"/>
      <c r="H1415" s="44"/>
      <c r="I1415" s="5"/>
      <c r="J1415" s="43"/>
      <c r="K1415" s="43"/>
      <c r="L1415" s="57"/>
      <c r="M1415" s="56"/>
      <c r="N1415" s="3"/>
      <c r="P1415" s="5"/>
      <c r="Q1415" s="5"/>
      <c r="R1415" s="5"/>
      <c r="T1415" s="56"/>
      <c r="U1415" s="77"/>
      <c r="V1415" s="77"/>
      <c r="AA1415" s="3"/>
      <c r="AF1415" s="5"/>
      <c r="AG1415" s="5"/>
      <c r="AH1415" s="5"/>
      <c r="AI1415" s="5"/>
      <c r="AJ1415" s="5"/>
      <c r="AK1415" s="5"/>
      <c r="AL1415" s="5"/>
      <c r="AM1415" s="13"/>
      <c r="AN1415" s="13"/>
      <c r="AO1415" s="5"/>
      <c r="AP1415" s="5"/>
      <c r="AQ1415" s="5"/>
      <c r="AR1415" s="5"/>
      <c r="AS1415" s="5"/>
      <c r="AT1415" s="5"/>
      <c r="AU1415" s="5"/>
      <c r="AV1415" s="5"/>
      <c r="AW1415" s="5"/>
      <c r="AX1415" s="5"/>
      <c r="AY1415" s="5"/>
      <c r="AZ1415" s="5"/>
      <c r="BA1415" s="5"/>
    </row>
    <row r="1416" spans="3:53" s="41" customFormat="1" x14ac:dyDescent="0.2">
      <c r="C1416" s="71"/>
      <c r="D1416" s="58"/>
      <c r="E1416" s="38"/>
      <c r="F1416" s="58"/>
      <c r="G1416" s="5"/>
      <c r="H1416" s="44"/>
      <c r="I1416" s="5"/>
      <c r="J1416" s="43"/>
      <c r="K1416" s="43"/>
      <c r="L1416" s="57"/>
      <c r="M1416" s="56"/>
      <c r="N1416" s="3"/>
      <c r="P1416" s="5"/>
      <c r="Q1416" s="5"/>
      <c r="R1416" s="5"/>
      <c r="T1416" s="56"/>
      <c r="U1416" s="77"/>
      <c r="V1416" s="77"/>
      <c r="AA1416" s="3"/>
      <c r="AF1416" s="5"/>
      <c r="AG1416" s="5"/>
      <c r="AH1416" s="5"/>
      <c r="AI1416" s="5"/>
      <c r="AJ1416" s="5"/>
      <c r="AK1416" s="5"/>
      <c r="AL1416" s="5"/>
      <c r="AM1416" s="13"/>
      <c r="AN1416" s="13"/>
      <c r="AO1416" s="5"/>
      <c r="AP1416" s="5"/>
      <c r="AQ1416" s="5"/>
      <c r="AR1416" s="5"/>
      <c r="AS1416" s="5"/>
      <c r="AT1416" s="5"/>
      <c r="AU1416" s="5"/>
      <c r="AV1416" s="5"/>
      <c r="AW1416" s="5"/>
      <c r="AX1416" s="5"/>
      <c r="AY1416" s="5"/>
      <c r="AZ1416" s="5"/>
      <c r="BA1416" s="5"/>
    </row>
    <row r="1417" spans="3:53" s="41" customFormat="1" x14ac:dyDescent="0.2">
      <c r="C1417" s="71"/>
      <c r="D1417" s="58"/>
      <c r="E1417" s="38"/>
      <c r="F1417" s="58"/>
      <c r="G1417" s="5"/>
      <c r="H1417" s="44"/>
      <c r="I1417" s="5"/>
      <c r="J1417" s="43"/>
      <c r="K1417" s="43"/>
      <c r="L1417" s="57"/>
      <c r="M1417" s="56"/>
      <c r="N1417" s="3"/>
      <c r="P1417" s="5"/>
      <c r="Q1417" s="5"/>
      <c r="R1417" s="5"/>
      <c r="T1417" s="56"/>
      <c r="U1417" s="77"/>
      <c r="V1417" s="77"/>
      <c r="AA1417" s="3"/>
      <c r="AF1417" s="5"/>
      <c r="AG1417" s="5"/>
      <c r="AH1417" s="5"/>
      <c r="AI1417" s="5"/>
      <c r="AJ1417" s="5"/>
      <c r="AK1417" s="5"/>
      <c r="AL1417" s="5"/>
      <c r="AM1417" s="13"/>
      <c r="AN1417" s="13"/>
      <c r="AO1417" s="5"/>
      <c r="AP1417" s="5"/>
      <c r="AQ1417" s="5"/>
      <c r="AR1417" s="5"/>
      <c r="AS1417" s="5"/>
      <c r="AT1417" s="5"/>
      <c r="AU1417" s="5"/>
      <c r="AV1417" s="5"/>
      <c r="AW1417" s="5"/>
      <c r="AX1417" s="5"/>
      <c r="AY1417" s="5"/>
      <c r="AZ1417" s="5"/>
      <c r="BA1417" s="5"/>
    </row>
    <row r="1418" spans="3:53" s="41" customFormat="1" x14ac:dyDescent="0.2">
      <c r="C1418" s="71"/>
      <c r="D1418" s="58"/>
      <c r="E1418" s="38"/>
      <c r="F1418" s="58"/>
      <c r="G1418" s="5"/>
      <c r="H1418" s="44"/>
      <c r="I1418" s="5"/>
      <c r="J1418" s="43"/>
      <c r="K1418" s="43"/>
      <c r="L1418" s="57"/>
      <c r="M1418" s="56"/>
      <c r="N1418" s="3"/>
      <c r="P1418" s="5"/>
      <c r="Q1418" s="5"/>
      <c r="R1418" s="5"/>
      <c r="T1418" s="56"/>
      <c r="U1418" s="77"/>
      <c r="V1418" s="77"/>
      <c r="AA1418" s="3"/>
      <c r="AF1418" s="5"/>
      <c r="AG1418" s="5"/>
      <c r="AH1418" s="5"/>
      <c r="AI1418" s="5"/>
      <c r="AJ1418" s="5"/>
      <c r="AK1418" s="5"/>
      <c r="AL1418" s="5"/>
      <c r="AM1418" s="13"/>
      <c r="AN1418" s="13"/>
      <c r="AO1418" s="5"/>
      <c r="AP1418" s="5"/>
      <c r="AQ1418" s="5"/>
      <c r="AR1418" s="5"/>
      <c r="AS1418" s="5"/>
      <c r="AT1418" s="5"/>
      <c r="AU1418" s="5"/>
      <c r="AV1418" s="5"/>
      <c r="AW1418" s="5"/>
      <c r="AX1418" s="5"/>
      <c r="AY1418" s="5"/>
      <c r="AZ1418" s="5"/>
      <c r="BA1418" s="5"/>
    </row>
    <row r="1419" spans="3:53" s="41" customFormat="1" x14ac:dyDescent="0.2">
      <c r="C1419" s="71"/>
      <c r="D1419" s="58"/>
      <c r="E1419" s="38"/>
      <c r="F1419" s="58"/>
      <c r="G1419" s="5"/>
      <c r="H1419" s="44"/>
      <c r="I1419" s="5"/>
      <c r="J1419" s="43"/>
      <c r="K1419" s="43"/>
      <c r="L1419" s="57"/>
      <c r="M1419" s="56"/>
      <c r="N1419" s="3"/>
      <c r="P1419" s="5"/>
      <c r="Q1419" s="5"/>
      <c r="R1419" s="5"/>
      <c r="T1419" s="56"/>
      <c r="U1419" s="77"/>
      <c r="V1419" s="77"/>
      <c r="AA1419" s="3"/>
      <c r="AF1419" s="5"/>
      <c r="AG1419" s="5"/>
      <c r="AH1419" s="5"/>
      <c r="AI1419" s="5"/>
      <c r="AJ1419" s="5"/>
      <c r="AK1419" s="5"/>
      <c r="AL1419" s="5"/>
      <c r="AM1419" s="13"/>
      <c r="AN1419" s="13"/>
      <c r="AO1419" s="5"/>
      <c r="AP1419" s="5"/>
      <c r="AQ1419" s="5"/>
      <c r="AR1419" s="5"/>
      <c r="AS1419" s="5"/>
      <c r="AT1419" s="5"/>
      <c r="AU1419" s="5"/>
      <c r="AV1419" s="5"/>
      <c r="AW1419" s="5"/>
      <c r="AX1419" s="5"/>
      <c r="AY1419" s="5"/>
      <c r="AZ1419" s="5"/>
      <c r="BA1419" s="5"/>
    </row>
    <row r="1420" spans="3:53" s="41" customFormat="1" x14ac:dyDescent="0.2">
      <c r="C1420" s="71"/>
      <c r="D1420" s="58"/>
      <c r="E1420" s="38"/>
      <c r="F1420" s="58"/>
      <c r="G1420" s="5"/>
      <c r="H1420" s="44"/>
      <c r="I1420" s="5"/>
      <c r="J1420" s="43"/>
      <c r="K1420" s="43"/>
      <c r="L1420" s="57"/>
      <c r="M1420" s="56"/>
      <c r="N1420" s="3"/>
      <c r="P1420" s="5"/>
      <c r="Q1420" s="5"/>
      <c r="R1420" s="5"/>
      <c r="T1420" s="56"/>
      <c r="U1420" s="77"/>
      <c r="V1420" s="77"/>
      <c r="AA1420" s="3"/>
      <c r="AF1420" s="5"/>
      <c r="AG1420" s="5"/>
      <c r="AH1420" s="5"/>
      <c r="AI1420" s="5"/>
      <c r="AJ1420" s="5"/>
      <c r="AK1420" s="5"/>
      <c r="AL1420" s="5"/>
      <c r="AM1420" s="13"/>
      <c r="AN1420" s="13"/>
      <c r="AO1420" s="5"/>
      <c r="AP1420" s="5"/>
      <c r="AQ1420" s="5"/>
      <c r="AR1420" s="5"/>
      <c r="AS1420" s="5"/>
      <c r="AT1420" s="5"/>
      <c r="AU1420" s="5"/>
      <c r="AV1420" s="5"/>
      <c r="AW1420" s="5"/>
      <c r="AX1420" s="5"/>
      <c r="AY1420" s="5"/>
      <c r="AZ1420" s="5"/>
      <c r="BA1420" s="5"/>
    </row>
    <row r="1421" spans="3:53" s="41" customFormat="1" x14ac:dyDescent="0.2">
      <c r="C1421" s="71"/>
      <c r="D1421" s="58"/>
      <c r="E1421" s="38"/>
      <c r="F1421" s="58"/>
      <c r="G1421" s="5"/>
      <c r="H1421" s="44"/>
      <c r="I1421" s="5"/>
      <c r="J1421" s="43"/>
      <c r="K1421" s="43"/>
      <c r="L1421" s="57"/>
      <c r="M1421" s="56"/>
      <c r="N1421" s="3"/>
      <c r="P1421" s="5"/>
      <c r="Q1421" s="5"/>
      <c r="R1421" s="5"/>
      <c r="T1421" s="56"/>
      <c r="U1421" s="77"/>
      <c r="V1421" s="77"/>
      <c r="AA1421" s="3"/>
      <c r="AF1421" s="5"/>
      <c r="AG1421" s="5"/>
      <c r="AH1421" s="5"/>
      <c r="AI1421" s="5"/>
      <c r="AJ1421" s="5"/>
      <c r="AK1421" s="5"/>
      <c r="AL1421" s="5"/>
      <c r="AM1421" s="13"/>
      <c r="AN1421" s="13"/>
      <c r="AO1421" s="5"/>
      <c r="AP1421" s="5"/>
      <c r="AQ1421" s="5"/>
      <c r="AR1421" s="5"/>
      <c r="AS1421" s="5"/>
      <c r="AT1421" s="5"/>
      <c r="AU1421" s="5"/>
      <c r="AV1421" s="5"/>
      <c r="AW1421" s="5"/>
      <c r="AX1421" s="5"/>
      <c r="AY1421" s="5"/>
      <c r="AZ1421" s="5"/>
      <c r="BA1421" s="5"/>
    </row>
    <row r="1422" spans="3:53" s="41" customFormat="1" x14ac:dyDescent="0.2">
      <c r="C1422" s="71"/>
      <c r="D1422" s="58"/>
      <c r="E1422" s="38"/>
      <c r="F1422" s="58"/>
      <c r="G1422" s="5"/>
      <c r="H1422" s="44"/>
      <c r="I1422" s="5"/>
      <c r="J1422" s="43"/>
      <c r="K1422" s="43"/>
      <c r="L1422" s="57"/>
      <c r="M1422" s="56"/>
      <c r="N1422" s="3"/>
      <c r="P1422" s="5"/>
      <c r="Q1422" s="5"/>
      <c r="R1422" s="5"/>
      <c r="T1422" s="56"/>
      <c r="U1422" s="77"/>
      <c r="V1422" s="77"/>
      <c r="AA1422" s="3"/>
      <c r="AF1422" s="5"/>
      <c r="AG1422" s="5"/>
      <c r="AH1422" s="5"/>
      <c r="AI1422" s="5"/>
      <c r="AJ1422" s="5"/>
      <c r="AK1422" s="5"/>
      <c r="AL1422" s="5"/>
      <c r="AM1422" s="13"/>
      <c r="AN1422" s="13"/>
      <c r="AO1422" s="5"/>
      <c r="AP1422" s="5"/>
      <c r="AQ1422" s="5"/>
      <c r="AR1422" s="5"/>
      <c r="AS1422" s="5"/>
      <c r="AT1422" s="5"/>
      <c r="AU1422" s="5"/>
      <c r="AV1422" s="5"/>
      <c r="AW1422" s="5"/>
      <c r="AX1422" s="5"/>
      <c r="AY1422" s="5"/>
      <c r="AZ1422" s="5"/>
      <c r="BA1422" s="5"/>
    </row>
    <row r="1423" spans="3:53" s="41" customFormat="1" x14ac:dyDescent="0.2">
      <c r="C1423" s="71"/>
      <c r="D1423" s="58"/>
      <c r="E1423" s="38"/>
      <c r="F1423" s="58"/>
      <c r="G1423" s="5"/>
      <c r="H1423" s="44"/>
      <c r="I1423" s="5"/>
      <c r="J1423" s="43"/>
      <c r="K1423" s="43"/>
      <c r="L1423" s="57"/>
      <c r="M1423" s="56"/>
      <c r="N1423" s="3"/>
      <c r="P1423" s="5"/>
      <c r="Q1423" s="5"/>
      <c r="R1423" s="5"/>
      <c r="T1423" s="56"/>
      <c r="U1423" s="77"/>
      <c r="V1423" s="77"/>
      <c r="AA1423" s="3"/>
      <c r="AF1423" s="5"/>
      <c r="AG1423" s="5"/>
      <c r="AH1423" s="5"/>
      <c r="AI1423" s="5"/>
      <c r="AJ1423" s="5"/>
      <c r="AK1423" s="5"/>
      <c r="AL1423" s="5"/>
      <c r="AM1423" s="13"/>
      <c r="AN1423" s="13"/>
      <c r="AO1423" s="5"/>
      <c r="AP1423" s="5"/>
      <c r="AQ1423" s="5"/>
      <c r="AR1423" s="5"/>
      <c r="AS1423" s="5"/>
      <c r="AT1423" s="5"/>
      <c r="AU1423" s="5"/>
      <c r="AV1423" s="5"/>
      <c r="AW1423" s="5"/>
      <c r="AX1423" s="5"/>
      <c r="AY1423" s="5"/>
      <c r="AZ1423" s="5"/>
      <c r="BA1423" s="5"/>
    </row>
    <row r="1424" spans="3:53" s="41" customFormat="1" x14ac:dyDescent="0.2">
      <c r="C1424" s="71"/>
      <c r="D1424" s="58"/>
      <c r="E1424" s="38"/>
      <c r="F1424" s="58"/>
      <c r="G1424" s="5"/>
      <c r="H1424" s="44"/>
      <c r="I1424" s="5"/>
      <c r="J1424" s="43"/>
      <c r="K1424" s="43"/>
      <c r="L1424" s="57"/>
      <c r="M1424" s="56"/>
      <c r="N1424" s="3"/>
      <c r="P1424" s="5"/>
      <c r="Q1424" s="5"/>
      <c r="R1424" s="5"/>
      <c r="T1424" s="56"/>
      <c r="U1424" s="77"/>
      <c r="V1424" s="77"/>
      <c r="AA1424" s="3"/>
      <c r="AF1424" s="5"/>
      <c r="AG1424" s="5"/>
      <c r="AH1424" s="5"/>
      <c r="AI1424" s="5"/>
      <c r="AJ1424" s="5"/>
      <c r="AK1424" s="5"/>
      <c r="AL1424" s="5"/>
      <c r="AM1424" s="13"/>
      <c r="AN1424" s="13"/>
      <c r="AO1424" s="5"/>
      <c r="AP1424" s="5"/>
      <c r="AQ1424" s="5"/>
      <c r="AR1424" s="5"/>
      <c r="AS1424" s="5"/>
      <c r="AT1424" s="5"/>
      <c r="AU1424" s="5"/>
      <c r="AV1424" s="5"/>
      <c r="AW1424" s="5"/>
      <c r="AX1424" s="5"/>
      <c r="AY1424" s="5"/>
      <c r="AZ1424" s="5"/>
      <c r="BA1424" s="5"/>
    </row>
    <row r="1425" spans="3:53" s="41" customFormat="1" x14ac:dyDescent="0.2">
      <c r="C1425" s="71"/>
      <c r="D1425" s="58"/>
      <c r="E1425" s="38"/>
      <c r="F1425" s="58"/>
      <c r="G1425" s="5"/>
      <c r="H1425" s="44"/>
      <c r="I1425" s="5"/>
      <c r="J1425" s="43"/>
      <c r="K1425" s="43"/>
      <c r="L1425" s="57"/>
      <c r="M1425" s="56"/>
      <c r="N1425" s="3"/>
      <c r="P1425" s="5"/>
      <c r="Q1425" s="5"/>
      <c r="R1425" s="5"/>
      <c r="T1425" s="56"/>
      <c r="U1425" s="77"/>
      <c r="V1425" s="77"/>
      <c r="AA1425" s="3"/>
      <c r="AF1425" s="5"/>
      <c r="AG1425" s="5"/>
      <c r="AH1425" s="5"/>
      <c r="AI1425" s="5"/>
      <c r="AJ1425" s="5"/>
      <c r="AK1425" s="5"/>
      <c r="AL1425" s="5"/>
      <c r="AM1425" s="13"/>
      <c r="AN1425" s="13"/>
      <c r="AO1425" s="5"/>
      <c r="AP1425" s="5"/>
      <c r="AQ1425" s="5"/>
      <c r="AR1425" s="5"/>
      <c r="AS1425" s="5"/>
      <c r="AT1425" s="5"/>
      <c r="AU1425" s="5"/>
      <c r="AV1425" s="5"/>
      <c r="AW1425" s="5"/>
      <c r="AX1425" s="5"/>
      <c r="AY1425" s="5"/>
      <c r="AZ1425" s="5"/>
      <c r="BA1425" s="5"/>
    </row>
    <row r="1426" spans="3:53" s="41" customFormat="1" x14ac:dyDescent="0.2">
      <c r="C1426" s="71"/>
      <c r="D1426" s="58"/>
      <c r="E1426" s="38"/>
      <c r="F1426" s="58"/>
      <c r="G1426" s="5"/>
      <c r="H1426" s="44"/>
      <c r="I1426" s="5"/>
      <c r="J1426" s="43"/>
      <c r="K1426" s="43"/>
      <c r="L1426" s="57"/>
      <c r="M1426" s="56"/>
      <c r="N1426" s="3"/>
      <c r="P1426" s="5"/>
      <c r="Q1426" s="5"/>
      <c r="R1426" s="5"/>
      <c r="T1426" s="56"/>
      <c r="U1426" s="77"/>
      <c r="V1426" s="77"/>
      <c r="AA1426" s="3"/>
      <c r="AF1426" s="5"/>
      <c r="AG1426" s="5"/>
      <c r="AH1426" s="5"/>
      <c r="AI1426" s="5"/>
      <c r="AJ1426" s="5"/>
      <c r="AK1426" s="5"/>
      <c r="AL1426" s="5"/>
      <c r="AM1426" s="13"/>
      <c r="AN1426" s="13"/>
      <c r="AO1426" s="5"/>
      <c r="AP1426" s="5"/>
      <c r="AQ1426" s="5"/>
      <c r="AR1426" s="5"/>
      <c r="AS1426" s="5"/>
      <c r="AT1426" s="5"/>
      <c r="AU1426" s="5"/>
      <c r="AV1426" s="5"/>
      <c r="AW1426" s="5"/>
      <c r="AX1426" s="5"/>
      <c r="AY1426" s="5"/>
      <c r="AZ1426" s="5"/>
      <c r="BA1426" s="5"/>
    </row>
    <row r="1427" spans="3:53" s="41" customFormat="1" x14ac:dyDescent="0.2">
      <c r="C1427" s="71"/>
      <c r="D1427" s="58"/>
      <c r="E1427" s="38"/>
      <c r="F1427" s="58"/>
      <c r="G1427" s="5"/>
      <c r="H1427" s="44"/>
      <c r="I1427" s="5"/>
      <c r="J1427" s="43"/>
      <c r="K1427" s="43"/>
      <c r="L1427" s="57"/>
      <c r="M1427" s="56"/>
      <c r="N1427" s="3"/>
      <c r="P1427" s="5"/>
      <c r="Q1427" s="5"/>
      <c r="R1427" s="5"/>
      <c r="T1427" s="56"/>
      <c r="U1427" s="77"/>
      <c r="V1427" s="77"/>
      <c r="AA1427" s="3"/>
      <c r="AF1427" s="5"/>
      <c r="AG1427" s="5"/>
      <c r="AH1427" s="5"/>
      <c r="AI1427" s="5"/>
      <c r="AJ1427" s="5"/>
      <c r="AK1427" s="5"/>
      <c r="AL1427" s="5"/>
      <c r="AM1427" s="13"/>
      <c r="AN1427" s="13"/>
      <c r="AO1427" s="5"/>
      <c r="AP1427" s="5"/>
      <c r="AQ1427" s="5"/>
      <c r="AR1427" s="5"/>
      <c r="AS1427" s="5"/>
      <c r="AT1427" s="5"/>
      <c r="AU1427" s="5"/>
      <c r="AV1427" s="5"/>
      <c r="AW1427" s="5"/>
      <c r="AX1427" s="5"/>
      <c r="AY1427" s="5"/>
      <c r="AZ1427" s="5"/>
      <c r="BA1427" s="5"/>
    </row>
    <row r="1428" spans="3:53" s="41" customFormat="1" x14ac:dyDescent="0.2">
      <c r="C1428" s="71"/>
      <c r="D1428" s="58"/>
      <c r="E1428" s="38"/>
      <c r="F1428" s="58"/>
      <c r="G1428" s="5"/>
      <c r="H1428" s="44"/>
      <c r="I1428" s="5"/>
      <c r="J1428" s="43"/>
      <c r="K1428" s="43"/>
      <c r="L1428" s="57"/>
      <c r="M1428" s="56"/>
      <c r="N1428" s="3"/>
      <c r="P1428" s="5"/>
      <c r="Q1428" s="5"/>
      <c r="R1428" s="5"/>
      <c r="T1428" s="56"/>
      <c r="U1428" s="77"/>
      <c r="V1428" s="77"/>
      <c r="AA1428" s="3"/>
      <c r="AF1428" s="5"/>
      <c r="AG1428" s="5"/>
      <c r="AH1428" s="5"/>
      <c r="AI1428" s="5"/>
      <c r="AJ1428" s="5"/>
      <c r="AK1428" s="5"/>
      <c r="AL1428" s="5"/>
      <c r="AM1428" s="13"/>
      <c r="AN1428" s="13"/>
      <c r="AO1428" s="5"/>
      <c r="AP1428" s="5"/>
      <c r="AQ1428" s="5"/>
      <c r="AR1428" s="5"/>
      <c r="AS1428" s="5"/>
      <c r="AT1428" s="5"/>
      <c r="AU1428" s="5"/>
      <c r="AV1428" s="5"/>
      <c r="AW1428" s="5"/>
      <c r="AX1428" s="5"/>
      <c r="AY1428" s="5"/>
      <c r="AZ1428" s="5"/>
      <c r="BA1428" s="5"/>
    </row>
    <row r="1429" spans="3:53" s="41" customFormat="1" x14ac:dyDescent="0.2">
      <c r="C1429" s="71"/>
      <c r="D1429" s="58"/>
      <c r="E1429" s="38"/>
      <c r="F1429" s="58"/>
      <c r="G1429" s="5"/>
      <c r="H1429" s="44"/>
      <c r="I1429" s="5"/>
      <c r="J1429" s="43"/>
      <c r="K1429" s="43"/>
      <c r="L1429" s="57"/>
      <c r="M1429" s="56"/>
      <c r="N1429" s="3"/>
      <c r="P1429" s="5"/>
      <c r="Q1429" s="5"/>
      <c r="R1429" s="5"/>
      <c r="T1429" s="56"/>
      <c r="U1429" s="77"/>
      <c r="V1429" s="77"/>
      <c r="AA1429" s="3"/>
      <c r="AF1429" s="5"/>
      <c r="AG1429" s="5"/>
      <c r="AH1429" s="5"/>
      <c r="AI1429" s="5"/>
      <c r="AJ1429" s="5"/>
      <c r="AK1429" s="5"/>
      <c r="AL1429" s="5"/>
      <c r="AM1429" s="13"/>
      <c r="AN1429" s="13"/>
      <c r="AO1429" s="5"/>
      <c r="AP1429" s="5"/>
      <c r="AQ1429" s="5"/>
      <c r="AR1429" s="5"/>
      <c r="AS1429" s="5"/>
      <c r="AT1429" s="5"/>
      <c r="AU1429" s="5"/>
      <c r="AV1429" s="5"/>
      <c r="AW1429" s="5"/>
      <c r="AX1429" s="5"/>
      <c r="AY1429" s="5"/>
      <c r="AZ1429" s="5"/>
      <c r="BA1429" s="5"/>
    </row>
    <row r="1430" spans="3:53" s="41" customFormat="1" x14ac:dyDescent="0.2">
      <c r="C1430" s="71"/>
      <c r="D1430" s="58"/>
      <c r="E1430" s="38"/>
      <c r="F1430" s="58"/>
      <c r="G1430" s="5"/>
      <c r="H1430" s="44"/>
      <c r="I1430" s="5"/>
      <c r="J1430" s="43"/>
      <c r="K1430" s="43"/>
      <c r="L1430" s="57"/>
      <c r="M1430" s="56"/>
      <c r="N1430" s="3"/>
      <c r="P1430" s="5"/>
      <c r="Q1430" s="5"/>
      <c r="R1430" s="5"/>
      <c r="T1430" s="56"/>
      <c r="U1430" s="77"/>
      <c r="V1430" s="77"/>
      <c r="AA1430" s="3"/>
      <c r="AF1430" s="5"/>
      <c r="AG1430" s="5"/>
      <c r="AH1430" s="5"/>
      <c r="AI1430" s="5"/>
      <c r="AJ1430" s="5"/>
      <c r="AK1430" s="5"/>
      <c r="AL1430" s="5"/>
      <c r="AM1430" s="13"/>
      <c r="AN1430" s="13"/>
      <c r="AO1430" s="5"/>
      <c r="AP1430" s="5"/>
      <c r="AQ1430" s="5"/>
      <c r="AR1430" s="5"/>
      <c r="AS1430" s="5"/>
      <c r="AT1430" s="5"/>
      <c r="AU1430" s="5"/>
      <c r="AV1430" s="5"/>
      <c r="AW1430" s="5"/>
      <c r="AX1430" s="5"/>
      <c r="AY1430" s="5"/>
      <c r="AZ1430" s="5"/>
      <c r="BA1430" s="5"/>
    </row>
    <row r="1431" spans="3:53" s="41" customFormat="1" x14ac:dyDescent="0.2">
      <c r="C1431" s="71"/>
      <c r="D1431" s="58"/>
      <c r="E1431" s="38"/>
      <c r="F1431" s="58"/>
      <c r="G1431" s="5"/>
      <c r="H1431" s="44"/>
      <c r="I1431" s="5"/>
      <c r="J1431" s="43"/>
      <c r="K1431" s="43"/>
      <c r="L1431" s="57"/>
      <c r="M1431" s="56"/>
      <c r="N1431" s="3"/>
      <c r="P1431" s="5"/>
      <c r="Q1431" s="5"/>
      <c r="R1431" s="5"/>
      <c r="T1431" s="56"/>
      <c r="U1431" s="77"/>
      <c r="V1431" s="77"/>
      <c r="AA1431" s="3"/>
      <c r="AF1431" s="5"/>
      <c r="AG1431" s="5"/>
      <c r="AH1431" s="5"/>
      <c r="AI1431" s="5"/>
      <c r="AJ1431" s="5"/>
      <c r="AK1431" s="5"/>
      <c r="AL1431" s="5"/>
      <c r="AM1431" s="13"/>
      <c r="AN1431" s="13"/>
      <c r="AO1431" s="5"/>
      <c r="AP1431" s="5"/>
      <c r="AQ1431" s="5"/>
      <c r="AR1431" s="5"/>
      <c r="AS1431" s="5"/>
      <c r="AT1431" s="5"/>
      <c r="AU1431" s="5"/>
      <c r="AV1431" s="5"/>
      <c r="AW1431" s="5"/>
      <c r="AX1431" s="5"/>
      <c r="AY1431" s="5"/>
      <c r="AZ1431" s="5"/>
      <c r="BA1431" s="5"/>
    </row>
    <row r="1432" spans="3:53" s="41" customFormat="1" x14ac:dyDescent="0.2">
      <c r="C1432" s="71"/>
      <c r="D1432" s="58"/>
      <c r="E1432" s="38"/>
      <c r="F1432" s="58"/>
      <c r="G1432" s="5"/>
      <c r="H1432" s="44"/>
      <c r="I1432" s="5"/>
      <c r="J1432" s="43"/>
      <c r="K1432" s="43"/>
      <c r="L1432" s="57"/>
      <c r="M1432" s="56"/>
      <c r="N1432" s="3"/>
      <c r="P1432" s="5"/>
      <c r="Q1432" s="5"/>
      <c r="R1432" s="5"/>
      <c r="T1432" s="56"/>
      <c r="U1432" s="77"/>
      <c r="V1432" s="77"/>
      <c r="AA1432" s="3"/>
      <c r="AF1432" s="5"/>
      <c r="AG1432" s="5"/>
      <c r="AH1432" s="5"/>
      <c r="AI1432" s="5"/>
      <c r="AJ1432" s="5"/>
      <c r="AK1432" s="5"/>
      <c r="AL1432" s="5"/>
      <c r="AM1432" s="13"/>
      <c r="AN1432" s="13"/>
      <c r="AO1432" s="5"/>
      <c r="AP1432" s="5"/>
      <c r="AQ1432" s="5"/>
      <c r="AR1432" s="5"/>
      <c r="AS1432" s="5"/>
      <c r="AT1432" s="5"/>
      <c r="AU1432" s="5"/>
      <c r="AV1432" s="5"/>
      <c r="AW1432" s="5"/>
      <c r="AX1432" s="5"/>
      <c r="AY1432" s="5"/>
      <c r="AZ1432" s="5"/>
      <c r="BA1432" s="5"/>
    </row>
    <row r="1433" spans="3:53" s="41" customFormat="1" x14ac:dyDescent="0.2">
      <c r="C1433" s="71"/>
      <c r="D1433" s="58"/>
      <c r="E1433" s="38"/>
      <c r="F1433" s="58"/>
      <c r="G1433" s="5"/>
      <c r="H1433" s="44"/>
      <c r="I1433" s="5"/>
      <c r="J1433" s="43"/>
      <c r="K1433" s="43"/>
      <c r="L1433" s="57"/>
      <c r="M1433" s="56"/>
      <c r="N1433" s="3"/>
      <c r="P1433" s="5"/>
      <c r="Q1433" s="5"/>
      <c r="R1433" s="5"/>
      <c r="T1433" s="56"/>
      <c r="U1433" s="77"/>
      <c r="V1433" s="77"/>
      <c r="AA1433" s="3"/>
      <c r="AF1433" s="5"/>
      <c r="AG1433" s="5"/>
      <c r="AH1433" s="5"/>
      <c r="AI1433" s="5"/>
      <c r="AJ1433" s="5"/>
      <c r="AK1433" s="5"/>
      <c r="AL1433" s="5"/>
      <c r="AM1433" s="13"/>
      <c r="AN1433" s="13"/>
      <c r="AO1433" s="5"/>
      <c r="AP1433" s="5"/>
      <c r="AQ1433" s="5"/>
      <c r="AR1433" s="5"/>
      <c r="AS1433" s="5"/>
      <c r="AT1433" s="5"/>
      <c r="AU1433" s="5"/>
      <c r="AV1433" s="5"/>
      <c r="AW1433" s="5"/>
      <c r="AX1433" s="5"/>
      <c r="AY1433" s="5"/>
      <c r="AZ1433" s="5"/>
      <c r="BA1433" s="5"/>
    </row>
    <row r="1434" spans="3:53" s="41" customFormat="1" x14ac:dyDescent="0.2">
      <c r="C1434" s="71"/>
      <c r="D1434" s="58"/>
      <c r="E1434" s="38"/>
      <c r="F1434" s="58"/>
      <c r="G1434" s="5"/>
      <c r="H1434" s="44"/>
      <c r="I1434" s="5"/>
      <c r="J1434" s="43"/>
      <c r="K1434" s="43"/>
      <c r="L1434" s="57"/>
      <c r="M1434" s="56"/>
      <c r="N1434" s="3"/>
      <c r="P1434" s="5"/>
      <c r="Q1434" s="5"/>
      <c r="R1434" s="5"/>
      <c r="T1434" s="56"/>
      <c r="U1434" s="77"/>
      <c r="V1434" s="77"/>
      <c r="AA1434" s="3"/>
      <c r="AF1434" s="5"/>
      <c r="AG1434" s="5"/>
      <c r="AH1434" s="5"/>
      <c r="AI1434" s="5"/>
      <c r="AJ1434" s="5"/>
      <c r="AK1434" s="5"/>
      <c r="AL1434" s="5"/>
      <c r="AM1434" s="13"/>
      <c r="AN1434" s="13"/>
      <c r="AO1434" s="5"/>
      <c r="AP1434" s="5"/>
      <c r="AQ1434" s="5"/>
      <c r="AR1434" s="5"/>
      <c r="AS1434" s="5"/>
      <c r="AT1434" s="5"/>
      <c r="AU1434" s="5"/>
      <c r="AV1434" s="5"/>
      <c r="AW1434" s="5"/>
      <c r="AX1434" s="5"/>
      <c r="AY1434" s="5"/>
      <c r="AZ1434" s="5"/>
      <c r="BA1434" s="5"/>
    </row>
    <row r="1435" spans="3:53" s="41" customFormat="1" x14ac:dyDescent="0.2">
      <c r="C1435" s="71"/>
      <c r="D1435" s="58"/>
      <c r="E1435" s="38"/>
      <c r="F1435" s="58"/>
      <c r="G1435" s="5"/>
      <c r="H1435" s="44"/>
      <c r="I1435" s="5"/>
      <c r="J1435" s="43"/>
      <c r="K1435" s="43"/>
      <c r="L1435" s="57"/>
      <c r="M1435" s="56"/>
      <c r="N1435" s="3"/>
      <c r="P1435" s="5"/>
      <c r="Q1435" s="5"/>
      <c r="R1435" s="5"/>
      <c r="T1435" s="56"/>
      <c r="U1435" s="77"/>
      <c r="V1435" s="77"/>
      <c r="AA1435" s="3"/>
      <c r="AF1435" s="5"/>
      <c r="AG1435" s="5"/>
      <c r="AH1435" s="5"/>
      <c r="AI1435" s="5"/>
      <c r="AJ1435" s="5"/>
      <c r="AK1435" s="5"/>
      <c r="AL1435" s="5"/>
      <c r="AM1435" s="13"/>
      <c r="AN1435" s="13"/>
      <c r="AO1435" s="5"/>
      <c r="AP1435" s="5"/>
      <c r="AQ1435" s="5"/>
      <c r="AR1435" s="5"/>
      <c r="AS1435" s="5"/>
      <c r="AT1435" s="5"/>
      <c r="AU1435" s="5"/>
      <c r="AV1435" s="5"/>
      <c r="AW1435" s="5"/>
      <c r="AX1435" s="5"/>
      <c r="AY1435" s="5"/>
      <c r="AZ1435" s="5"/>
      <c r="BA1435" s="5"/>
    </row>
    <row r="1436" spans="3:53" s="41" customFormat="1" x14ac:dyDescent="0.2">
      <c r="C1436" s="71"/>
      <c r="D1436" s="58"/>
      <c r="E1436" s="38"/>
      <c r="F1436" s="58"/>
      <c r="G1436" s="5"/>
      <c r="H1436" s="44"/>
      <c r="I1436" s="5"/>
      <c r="J1436" s="43"/>
      <c r="K1436" s="43"/>
      <c r="L1436" s="57"/>
      <c r="M1436" s="56"/>
      <c r="N1436" s="3"/>
      <c r="P1436" s="5"/>
      <c r="Q1436" s="5"/>
      <c r="R1436" s="5"/>
      <c r="T1436" s="56"/>
      <c r="U1436" s="77"/>
      <c r="V1436" s="77"/>
      <c r="AA1436" s="3"/>
      <c r="AF1436" s="5"/>
      <c r="AG1436" s="5"/>
      <c r="AH1436" s="5"/>
      <c r="AI1436" s="5"/>
      <c r="AJ1436" s="5"/>
      <c r="AK1436" s="5"/>
      <c r="AL1436" s="5"/>
      <c r="AM1436" s="13"/>
      <c r="AN1436" s="13"/>
      <c r="AO1436" s="5"/>
      <c r="AP1436" s="5"/>
      <c r="AQ1436" s="5"/>
      <c r="AR1436" s="5"/>
      <c r="AS1436" s="5"/>
      <c r="AT1436" s="5"/>
      <c r="AU1436" s="5"/>
      <c r="AV1436" s="5"/>
      <c r="AW1436" s="5"/>
      <c r="AX1436" s="5"/>
      <c r="AY1436" s="5"/>
      <c r="AZ1436" s="5"/>
      <c r="BA1436" s="5"/>
    </row>
    <row r="1437" spans="3:53" s="41" customFormat="1" x14ac:dyDescent="0.2">
      <c r="C1437" s="71"/>
      <c r="D1437" s="58"/>
      <c r="E1437" s="38"/>
      <c r="F1437" s="58"/>
      <c r="G1437" s="5"/>
      <c r="H1437" s="44"/>
      <c r="I1437" s="5"/>
      <c r="J1437" s="43"/>
      <c r="K1437" s="43"/>
      <c r="L1437" s="57"/>
      <c r="M1437" s="56"/>
      <c r="N1437" s="3"/>
      <c r="P1437" s="5"/>
      <c r="Q1437" s="5"/>
      <c r="R1437" s="5"/>
      <c r="T1437" s="56"/>
      <c r="U1437" s="77"/>
      <c r="V1437" s="77"/>
      <c r="AA1437" s="3"/>
      <c r="AF1437" s="5"/>
      <c r="AG1437" s="5"/>
      <c r="AH1437" s="5"/>
      <c r="AI1437" s="5"/>
      <c r="AJ1437" s="5"/>
      <c r="AK1437" s="5"/>
      <c r="AL1437" s="5"/>
      <c r="AM1437" s="13"/>
      <c r="AN1437" s="13"/>
      <c r="AO1437" s="5"/>
      <c r="AP1437" s="5"/>
      <c r="AQ1437" s="5"/>
      <c r="AR1437" s="5"/>
      <c r="AS1437" s="5"/>
      <c r="AT1437" s="5"/>
      <c r="AU1437" s="5"/>
      <c r="AV1437" s="5"/>
      <c r="AW1437" s="5"/>
      <c r="AX1437" s="5"/>
      <c r="AY1437" s="5"/>
      <c r="AZ1437" s="5"/>
      <c r="BA1437" s="5"/>
    </row>
    <row r="1438" spans="3:53" s="41" customFormat="1" x14ac:dyDescent="0.2">
      <c r="C1438" s="71"/>
      <c r="D1438" s="58"/>
      <c r="E1438" s="38"/>
      <c r="F1438" s="58"/>
      <c r="G1438" s="5"/>
      <c r="H1438" s="44"/>
      <c r="I1438" s="5"/>
      <c r="J1438" s="43"/>
      <c r="K1438" s="43"/>
      <c r="L1438" s="57"/>
      <c r="M1438" s="56"/>
      <c r="N1438" s="3"/>
      <c r="P1438" s="5"/>
      <c r="Q1438" s="5"/>
      <c r="R1438" s="5"/>
      <c r="T1438" s="56"/>
      <c r="U1438" s="77"/>
      <c r="V1438" s="77"/>
      <c r="AA1438" s="3"/>
      <c r="AF1438" s="5"/>
      <c r="AG1438" s="5"/>
      <c r="AH1438" s="5"/>
      <c r="AI1438" s="5"/>
      <c r="AJ1438" s="5"/>
      <c r="AK1438" s="5"/>
      <c r="AL1438" s="5"/>
      <c r="AM1438" s="13"/>
      <c r="AN1438" s="13"/>
      <c r="AO1438" s="5"/>
      <c r="AP1438" s="5"/>
      <c r="AQ1438" s="5"/>
      <c r="AR1438" s="5"/>
      <c r="AS1438" s="5"/>
      <c r="AT1438" s="5"/>
      <c r="AU1438" s="5"/>
      <c r="AV1438" s="5"/>
      <c r="AW1438" s="5"/>
      <c r="AX1438" s="5"/>
      <c r="AY1438" s="5"/>
      <c r="AZ1438" s="5"/>
      <c r="BA1438" s="5"/>
    </row>
    <row r="1439" spans="3:53" s="41" customFormat="1" x14ac:dyDescent="0.2">
      <c r="C1439" s="71"/>
      <c r="D1439" s="58"/>
      <c r="E1439" s="38"/>
      <c r="F1439" s="58"/>
      <c r="G1439" s="5"/>
      <c r="H1439" s="44"/>
      <c r="I1439" s="5"/>
      <c r="J1439" s="43"/>
      <c r="K1439" s="43"/>
      <c r="L1439" s="57"/>
      <c r="M1439" s="56"/>
      <c r="N1439" s="3"/>
      <c r="P1439" s="5"/>
      <c r="Q1439" s="5"/>
      <c r="R1439" s="5"/>
      <c r="T1439" s="56"/>
      <c r="U1439" s="77"/>
      <c r="V1439" s="77"/>
      <c r="AA1439" s="3"/>
      <c r="AF1439" s="5"/>
      <c r="AG1439" s="5"/>
      <c r="AH1439" s="5"/>
      <c r="AI1439" s="5"/>
      <c r="AJ1439" s="5"/>
      <c r="AK1439" s="5"/>
      <c r="AL1439" s="5"/>
      <c r="AM1439" s="13"/>
      <c r="AN1439" s="13"/>
      <c r="AO1439" s="5"/>
      <c r="AP1439" s="5"/>
      <c r="AQ1439" s="5"/>
      <c r="AR1439" s="5"/>
      <c r="AS1439" s="5"/>
      <c r="AT1439" s="5"/>
      <c r="AU1439" s="5"/>
      <c r="AV1439" s="5"/>
      <c r="AW1439" s="5"/>
      <c r="AX1439" s="5"/>
      <c r="AY1439" s="5"/>
      <c r="AZ1439" s="5"/>
      <c r="BA1439" s="5"/>
    </row>
    <row r="1440" spans="3:53" s="41" customFormat="1" x14ac:dyDescent="0.2">
      <c r="C1440" s="71"/>
      <c r="D1440" s="58"/>
      <c r="E1440" s="38"/>
      <c r="F1440" s="58"/>
      <c r="G1440" s="5"/>
      <c r="H1440" s="44"/>
      <c r="I1440" s="5"/>
      <c r="J1440" s="43"/>
      <c r="K1440" s="43"/>
      <c r="L1440" s="57"/>
      <c r="M1440" s="56"/>
      <c r="N1440" s="3"/>
      <c r="P1440" s="5"/>
      <c r="Q1440" s="5"/>
      <c r="R1440" s="5"/>
      <c r="T1440" s="56"/>
      <c r="U1440" s="77"/>
      <c r="V1440" s="77"/>
      <c r="AA1440" s="3"/>
      <c r="AF1440" s="5"/>
      <c r="AG1440" s="5"/>
      <c r="AH1440" s="5"/>
      <c r="AI1440" s="5"/>
      <c r="AJ1440" s="5"/>
      <c r="AK1440" s="5"/>
      <c r="AL1440" s="5"/>
      <c r="AM1440" s="13"/>
      <c r="AN1440" s="13"/>
      <c r="AO1440" s="5"/>
      <c r="AP1440" s="5"/>
      <c r="AQ1440" s="5"/>
      <c r="AR1440" s="5"/>
      <c r="AS1440" s="5"/>
      <c r="AT1440" s="5"/>
      <c r="AU1440" s="5"/>
      <c r="AV1440" s="5"/>
      <c r="AW1440" s="5"/>
      <c r="AX1440" s="5"/>
      <c r="AY1440" s="5"/>
      <c r="AZ1440" s="5"/>
      <c r="BA1440" s="5"/>
    </row>
    <row r="1441" spans="3:53" s="41" customFormat="1" x14ac:dyDescent="0.2">
      <c r="C1441" s="71"/>
      <c r="D1441" s="58"/>
      <c r="E1441" s="38"/>
      <c r="F1441" s="58"/>
      <c r="G1441" s="5"/>
      <c r="H1441" s="44"/>
      <c r="I1441" s="5"/>
      <c r="J1441" s="43"/>
      <c r="K1441" s="43"/>
      <c r="L1441" s="57"/>
      <c r="M1441" s="56"/>
      <c r="N1441" s="3"/>
      <c r="P1441" s="5"/>
      <c r="Q1441" s="5"/>
      <c r="R1441" s="5"/>
      <c r="T1441" s="56"/>
      <c r="U1441" s="77"/>
      <c r="V1441" s="77"/>
      <c r="AA1441" s="3"/>
      <c r="AF1441" s="5"/>
      <c r="AG1441" s="5"/>
      <c r="AH1441" s="5"/>
      <c r="AI1441" s="5"/>
      <c r="AJ1441" s="5"/>
      <c r="AK1441" s="5"/>
      <c r="AL1441" s="5"/>
      <c r="AM1441" s="13"/>
      <c r="AN1441" s="13"/>
      <c r="AO1441" s="5"/>
      <c r="AP1441" s="5"/>
      <c r="AQ1441" s="5"/>
      <c r="AR1441" s="5"/>
      <c r="AS1441" s="5"/>
      <c r="AT1441" s="5"/>
      <c r="AU1441" s="5"/>
      <c r="AV1441" s="5"/>
      <c r="AW1441" s="5"/>
      <c r="AX1441" s="5"/>
      <c r="AY1441" s="5"/>
      <c r="AZ1441" s="5"/>
      <c r="BA1441" s="5"/>
    </row>
    <row r="1442" spans="3:53" s="41" customFormat="1" x14ac:dyDescent="0.2">
      <c r="C1442" s="71"/>
      <c r="D1442" s="58"/>
      <c r="E1442" s="38"/>
      <c r="F1442" s="58"/>
      <c r="G1442" s="5"/>
      <c r="H1442" s="44"/>
      <c r="I1442" s="5"/>
      <c r="J1442" s="43"/>
      <c r="K1442" s="43"/>
      <c r="L1442" s="57"/>
      <c r="M1442" s="56"/>
      <c r="N1442" s="3"/>
      <c r="P1442" s="5"/>
      <c r="Q1442" s="5"/>
      <c r="R1442" s="5"/>
      <c r="T1442" s="56"/>
      <c r="U1442" s="77"/>
      <c r="V1442" s="77"/>
      <c r="AA1442" s="3"/>
      <c r="AF1442" s="5"/>
      <c r="AG1442" s="5"/>
      <c r="AH1442" s="5"/>
      <c r="AI1442" s="5"/>
      <c r="AJ1442" s="5"/>
      <c r="AK1442" s="5"/>
      <c r="AL1442" s="5"/>
      <c r="AM1442" s="13"/>
      <c r="AN1442" s="13"/>
      <c r="AO1442" s="5"/>
      <c r="AP1442" s="5"/>
      <c r="AQ1442" s="5"/>
      <c r="AR1442" s="5"/>
      <c r="AS1442" s="5"/>
      <c r="AT1442" s="5"/>
      <c r="AU1442" s="5"/>
      <c r="AV1442" s="5"/>
      <c r="AW1442" s="5"/>
      <c r="AX1442" s="5"/>
      <c r="AY1442" s="5"/>
      <c r="AZ1442" s="5"/>
      <c r="BA1442" s="5"/>
    </row>
    <row r="1443" spans="3:53" s="41" customFormat="1" x14ac:dyDescent="0.2">
      <c r="C1443" s="71"/>
      <c r="D1443" s="58"/>
      <c r="E1443" s="38"/>
      <c r="F1443" s="58"/>
      <c r="G1443" s="5"/>
      <c r="H1443" s="44"/>
      <c r="I1443" s="5"/>
      <c r="J1443" s="43"/>
      <c r="K1443" s="43"/>
      <c r="L1443" s="57"/>
      <c r="M1443" s="56"/>
      <c r="N1443" s="3"/>
      <c r="P1443" s="5"/>
      <c r="Q1443" s="5"/>
      <c r="R1443" s="5"/>
      <c r="T1443" s="56"/>
      <c r="U1443" s="77"/>
      <c r="V1443" s="77"/>
      <c r="AA1443" s="3"/>
      <c r="AF1443" s="5"/>
      <c r="AG1443" s="5"/>
      <c r="AH1443" s="5"/>
      <c r="AI1443" s="5"/>
      <c r="AJ1443" s="5"/>
      <c r="AK1443" s="5"/>
      <c r="AL1443" s="5"/>
      <c r="AM1443" s="13"/>
      <c r="AN1443" s="13"/>
      <c r="AO1443" s="5"/>
      <c r="AP1443" s="5"/>
      <c r="AQ1443" s="5"/>
      <c r="AR1443" s="5"/>
      <c r="AS1443" s="5"/>
      <c r="AT1443" s="5"/>
      <c r="AU1443" s="5"/>
      <c r="AV1443" s="5"/>
      <c r="AW1443" s="5"/>
      <c r="AX1443" s="5"/>
      <c r="AY1443" s="5"/>
      <c r="AZ1443" s="5"/>
      <c r="BA1443" s="5"/>
    </row>
    <row r="1444" spans="3:53" s="41" customFormat="1" x14ac:dyDescent="0.2">
      <c r="C1444" s="71"/>
      <c r="D1444" s="58"/>
      <c r="E1444" s="38"/>
      <c r="F1444" s="58"/>
      <c r="G1444" s="5"/>
      <c r="H1444" s="44"/>
      <c r="I1444" s="5"/>
      <c r="J1444" s="43"/>
      <c r="K1444" s="43"/>
      <c r="L1444" s="57"/>
      <c r="M1444" s="56"/>
      <c r="N1444" s="3"/>
      <c r="P1444" s="5"/>
      <c r="Q1444" s="5"/>
      <c r="R1444" s="5"/>
      <c r="T1444" s="56"/>
      <c r="U1444" s="77"/>
      <c r="V1444" s="77"/>
      <c r="AA1444" s="3"/>
      <c r="AF1444" s="5"/>
      <c r="AG1444" s="5"/>
      <c r="AH1444" s="5"/>
      <c r="AI1444" s="5"/>
      <c r="AJ1444" s="5"/>
      <c r="AK1444" s="5"/>
      <c r="AL1444" s="5"/>
      <c r="AM1444" s="13"/>
      <c r="AN1444" s="13"/>
      <c r="AO1444" s="5"/>
      <c r="AP1444" s="5"/>
      <c r="AQ1444" s="5"/>
      <c r="AR1444" s="5"/>
      <c r="AS1444" s="5"/>
      <c r="AT1444" s="5"/>
      <c r="AU1444" s="5"/>
      <c r="AV1444" s="5"/>
      <c r="AW1444" s="5"/>
      <c r="AX1444" s="5"/>
      <c r="AY1444" s="5"/>
      <c r="AZ1444" s="5"/>
      <c r="BA1444" s="5"/>
    </row>
    <row r="1445" spans="3:53" s="41" customFormat="1" x14ac:dyDescent="0.2">
      <c r="C1445" s="71"/>
      <c r="D1445" s="58"/>
      <c r="E1445" s="38"/>
      <c r="F1445" s="58"/>
      <c r="G1445" s="5"/>
      <c r="H1445" s="44"/>
      <c r="I1445" s="5"/>
      <c r="J1445" s="43"/>
      <c r="K1445" s="43"/>
      <c r="L1445" s="57"/>
      <c r="M1445" s="56"/>
      <c r="N1445" s="3"/>
      <c r="P1445" s="5"/>
      <c r="Q1445" s="5"/>
      <c r="R1445" s="5"/>
      <c r="T1445" s="56"/>
      <c r="U1445" s="77"/>
      <c r="V1445" s="77"/>
      <c r="AA1445" s="3"/>
      <c r="AF1445" s="5"/>
      <c r="AG1445" s="5"/>
      <c r="AH1445" s="5"/>
      <c r="AI1445" s="5"/>
      <c r="AJ1445" s="5"/>
      <c r="AK1445" s="5"/>
      <c r="AL1445" s="5"/>
      <c r="AM1445" s="13"/>
      <c r="AN1445" s="13"/>
      <c r="AO1445" s="5"/>
      <c r="AP1445" s="5"/>
      <c r="AQ1445" s="5"/>
      <c r="AR1445" s="5"/>
      <c r="AS1445" s="5"/>
      <c r="AT1445" s="5"/>
      <c r="AU1445" s="5"/>
      <c r="AV1445" s="5"/>
      <c r="AW1445" s="5"/>
      <c r="AX1445" s="5"/>
      <c r="AY1445" s="5"/>
      <c r="AZ1445" s="5"/>
      <c r="BA1445" s="5"/>
    </row>
    <row r="1446" spans="3:53" s="41" customFormat="1" x14ac:dyDescent="0.2">
      <c r="C1446" s="71"/>
      <c r="D1446" s="58"/>
      <c r="E1446" s="38"/>
      <c r="F1446" s="58"/>
      <c r="G1446" s="5"/>
      <c r="H1446" s="44"/>
      <c r="I1446" s="5"/>
      <c r="J1446" s="43"/>
      <c r="K1446" s="43"/>
      <c r="L1446" s="57"/>
      <c r="M1446" s="56"/>
      <c r="N1446" s="3"/>
      <c r="P1446" s="5"/>
      <c r="Q1446" s="5"/>
      <c r="R1446" s="5"/>
      <c r="T1446" s="56"/>
      <c r="U1446" s="77"/>
      <c r="V1446" s="77"/>
      <c r="AA1446" s="3"/>
      <c r="AF1446" s="5"/>
      <c r="AG1446" s="5"/>
      <c r="AH1446" s="5"/>
      <c r="AI1446" s="5"/>
      <c r="AJ1446" s="5"/>
      <c r="AK1446" s="5"/>
      <c r="AL1446" s="5"/>
      <c r="AM1446" s="13"/>
      <c r="AN1446" s="13"/>
      <c r="AO1446" s="5"/>
      <c r="AP1446" s="5"/>
      <c r="AQ1446" s="5"/>
      <c r="AR1446" s="5"/>
      <c r="AS1446" s="5"/>
      <c r="AT1446" s="5"/>
      <c r="AU1446" s="5"/>
      <c r="AV1446" s="5"/>
      <c r="AW1446" s="5"/>
      <c r="AX1446" s="5"/>
      <c r="AY1446" s="5"/>
      <c r="AZ1446" s="5"/>
      <c r="BA1446" s="5"/>
    </row>
    <row r="1447" spans="3:53" s="41" customFormat="1" x14ac:dyDescent="0.2">
      <c r="C1447" s="71"/>
      <c r="D1447" s="58"/>
      <c r="E1447" s="38"/>
      <c r="F1447" s="58"/>
      <c r="G1447" s="5"/>
      <c r="H1447" s="44"/>
      <c r="I1447" s="5"/>
      <c r="J1447" s="43"/>
      <c r="K1447" s="43"/>
      <c r="L1447" s="57"/>
      <c r="M1447" s="56"/>
      <c r="N1447" s="3"/>
      <c r="P1447" s="5"/>
      <c r="Q1447" s="5"/>
      <c r="R1447" s="5"/>
      <c r="T1447" s="56"/>
      <c r="U1447" s="77"/>
      <c r="V1447" s="77"/>
      <c r="AA1447" s="3"/>
      <c r="AF1447" s="5"/>
      <c r="AG1447" s="5"/>
      <c r="AH1447" s="5"/>
      <c r="AI1447" s="5"/>
      <c r="AJ1447" s="5"/>
      <c r="AK1447" s="5"/>
      <c r="AL1447" s="5"/>
      <c r="AM1447" s="13"/>
      <c r="AN1447" s="13"/>
      <c r="AO1447" s="5"/>
      <c r="AP1447" s="5"/>
      <c r="AQ1447" s="5"/>
      <c r="AR1447" s="5"/>
      <c r="AS1447" s="5"/>
      <c r="AT1447" s="5"/>
      <c r="AU1447" s="5"/>
      <c r="AV1447" s="5"/>
      <c r="AW1447" s="5"/>
      <c r="AX1447" s="5"/>
      <c r="AY1447" s="5"/>
      <c r="AZ1447" s="5"/>
      <c r="BA1447" s="5"/>
    </row>
    <row r="1448" spans="3:53" s="41" customFormat="1" x14ac:dyDescent="0.2">
      <c r="C1448" s="71"/>
      <c r="D1448" s="58"/>
      <c r="E1448" s="38"/>
      <c r="F1448" s="58"/>
      <c r="G1448" s="5"/>
      <c r="H1448" s="44"/>
      <c r="I1448" s="5"/>
      <c r="J1448" s="43"/>
      <c r="K1448" s="43"/>
      <c r="L1448" s="57"/>
      <c r="M1448" s="56"/>
      <c r="N1448" s="3"/>
      <c r="P1448" s="5"/>
      <c r="Q1448" s="5"/>
      <c r="R1448" s="5"/>
      <c r="T1448" s="56"/>
      <c r="U1448" s="77"/>
      <c r="V1448" s="77"/>
      <c r="AA1448" s="3"/>
      <c r="AF1448" s="5"/>
      <c r="AG1448" s="5"/>
      <c r="AH1448" s="5"/>
      <c r="AI1448" s="5"/>
      <c r="AJ1448" s="5"/>
      <c r="AK1448" s="5"/>
      <c r="AL1448" s="5"/>
      <c r="AM1448" s="13"/>
      <c r="AN1448" s="13"/>
      <c r="AO1448" s="5"/>
      <c r="AP1448" s="5"/>
      <c r="AQ1448" s="5"/>
      <c r="AR1448" s="5"/>
      <c r="AS1448" s="5"/>
      <c r="AT1448" s="5"/>
      <c r="AU1448" s="5"/>
      <c r="AV1448" s="5"/>
      <c r="AW1448" s="5"/>
      <c r="AX1448" s="5"/>
      <c r="AY1448" s="5"/>
      <c r="AZ1448" s="5"/>
      <c r="BA1448" s="5"/>
    </row>
    <row r="1449" spans="3:53" s="41" customFormat="1" x14ac:dyDescent="0.2">
      <c r="C1449" s="71"/>
      <c r="D1449" s="58"/>
      <c r="E1449" s="38"/>
      <c r="F1449" s="58"/>
      <c r="G1449" s="5"/>
      <c r="H1449" s="44"/>
      <c r="I1449" s="5"/>
      <c r="J1449" s="43"/>
      <c r="K1449" s="43"/>
      <c r="L1449" s="57"/>
      <c r="M1449" s="56"/>
      <c r="N1449" s="3"/>
      <c r="P1449" s="5"/>
      <c r="Q1449" s="5"/>
      <c r="R1449" s="5"/>
      <c r="T1449" s="56"/>
      <c r="U1449" s="77"/>
      <c r="V1449" s="77"/>
      <c r="AA1449" s="3"/>
      <c r="AF1449" s="5"/>
      <c r="AG1449" s="5"/>
      <c r="AH1449" s="5"/>
      <c r="AI1449" s="5"/>
      <c r="AJ1449" s="5"/>
      <c r="AK1449" s="5"/>
      <c r="AL1449" s="5"/>
      <c r="AM1449" s="13"/>
      <c r="AN1449" s="13"/>
      <c r="AO1449" s="5"/>
      <c r="AP1449" s="5"/>
      <c r="AQ1449" s="5"/>
      <c r="AR1449" s="5"/>
      <c r="AS1449" s="5"/>
      <c r="AT1449" s="5"/>
      <c r="AU1449" s="5"/>
      <c r="AV1449" s="5"/>
      <c r="AW1449" s="5"/>
      <c r="AX1449" s="5"/>
      <c r="AY1449" s="5"/>
      <c r="AZ1449" s="5"/>
      <c r="BA1449" s="5"/>
    </row>
    <row r="1450" spans="3:53" s="41" customFormat="1" x14ac:dyDescent="0.2">
      <c r="C1450" s="71"/>
      <c r="D1450" s="58"/>
      <c r="E1450" s="38"/>
      <c r="F1450" s="58"/>
      <c r="G1450" s="5"/>
      <c r="H1450" s="44"/>
      <c r="I1450" s="5"/>
      <c r="J1450" s="43"/>
      <c r="K1450" s="43"/>
      <c r="L1450" s="57"/>
      <c r="M1450" s="56"/>
      <c r="N1450" s="3"/>
      <c r="P1450" s="5"/>
      <c r="Q1450" s="5"/>
      <c r="R1450" s="5"/>
      <c r="T1450" s="56"/>
      <c r="U1450" s="77"/>
      <c r="V1450" s="77"/>
      <c r="AA1450" s="3"/>
      <c r="AF1450" s="5"/>
      <c r="AG1450" s="5"/>
      <c r="AH1450" s="5"/>
      <c r="AI1450" s="5"/>
      <c r="AJ1450" s="5"/>
      <c r="AK1450" s="5"/>
      <c r="AL1450" s="5"/>
      <c r="AM1450" s="13"/>
      <c r="AN1450" s="13"/>
      <c r="AO1450" s="5"/>
      <c r="AP1450" s="5"/>
      <c r="AQ1450" s="5"/>
      <c r="AR1450" s="5"/>
      <c r="AS1450" s="5"/>
      <c r="AT1450" s="5"/>
      <c r="AU1450" s="5"/>
      <c r="AV1450" s="5"/>
      <c r="AW1450" s="5"/>
      <c r="AX1450" s="5"/>
      <c r="AY1450" s="5"/>
      <c r="AZ1450" s="5"/>
      <c r="BA1450" s="5"/>
    </row>
    <row r="1451" spans="3:53" s="41" customFormat="1" x14ac:dyDescent="0.2">
      <c r="C1451" s="71"/>
      <c r="D1451" s="58"/>
      <c r="E1451" s="38"/>
      <c r="F1451" s="58"/>
      <c r="G1451" s="5"/>
      <c r="H1451" s="44"/>
      <c r="I1451" s="5"/>
      <c r="J1451" s="43"/>
      <c r="K1451" s="43"/>
      <c r="L1451" s="57"/>
      <c r="M1451" s="56"/>
      <c r="N1451" s="3"/>
      <c r="P1451" s="5"/>
      <c r="Q1451" s="5"/>
      <c r="R1451" s="5"/>
      <c r="T1451" s="56"/>
      <c r="U1451" s="77"/>
      <c r="V1451" s="77"/>
      <c r="AA1451" s="3"/>
      <c r="AF1451" s="5"/>
      <c r="AG1451" s="5"/>
      <c r="AH1451" s="5"/>
      <c r="AI1451" s="5"/>
      <c r="AJ1451" s="5"/>
      <c r="AK1451" s="5"/>
      <c r="AL1451" s="5"/>
      <c r="AM1451" s="13"/>
      <c r="AN1451" s="13"/>
      <c r="AO1451" s="5"/>
      <c r="AP1451" s="5"/>
      <c r="AQ1451" s="5"/>
      <c r="AR1451" s="5"/>
      <c r="AS1451" s="5"/>
      <c r="AT1451" s="5"/>
      <c r="AU1451" s="5"/>
      <c r="AV1451" s="5"/>
      <c r="AW1451" s="5"/>
      <c r="AX1451" s="5"/>
      <c r="AY1451" s="5"/>
      <c r="AZ1451" s="5"/>
      <c r="BA1451" s="5"/>
    </row>
    <row r="1452" spans="3:53" s="41" customFormat="1" x14ac:dyDescent="0.2">
      <c r="C1452" s="71"/>
      <c r="D1452" s="58"/>
      <c r="E1452" s="38"/>
      <c r="F1452" s="58"/>
      <c r="G1452" s="5"/>
      <c r="H1452" s="44"/>
      <c r="I1452" s="5"/>
      <c r="J1452" s="43"/>
      <c r="K1452" s="43"/>
      <c r="L1452" s="57"/>
      <c r="M1452" s="56"/>
      <c r="N1452" s="3"/>
      <c r="P1452" s="5"/>
      <c r="Q1452" s="5"/>
      <c r="R1452" s="5"/>
      <c r="T1452" s="56"/>
      <c r="U1452" s="77"/>
      <c r="V1452" s="77"/>
      <c r="AA1452" s="3"/>
      <c r="AF1452" s="5"/>
      <c r="AG1452" s="5"/>
      <c r="AH1452" s="5"/>
      <c r="AI1452" s="5"/>
      <c r="AJ1452" s="5"/>
      <c r="AK1452" s="5"/>
      <c r="AL1452" s="5"/>
      <c r="AM1452" s="13"/>
      <c r="AN1452" s="13"/>
      <c r="AO1452" s="5"/>
      <c r="AP1452" s="5"/>
      <c r="AQ1452" s="5"/>
      <c r="AR1452" s="5"/>
      <c r="AS1452" s="5"/>
      <c r="AT1452" s="5"/>
      <c r="AU1452" s="5"/>
      <c r="AV1452" s="5"/>
      <c r="AW1452" s="5"/>
      <c r="AX1452" s="5"/>
      <c r="AY1452" s="5"/>
      <c r="AZ1452" s="5"/>
      <c r="BA1452" s="5"/>
    </row>
    <row r="1453" spans="3:53" s="41" customFormat="1" x14ac:dyDescent="0.2">
      <c r="C1453" s="71"/>
      <c r="D1453" s="58"/>
      <c r="E1453" s="38"/>
      <c r="F1453" s="58"/>
      <c r="G1453" s="5"/>
      <c r="H1453" s="44"/>
      <c r="I1453" s="5"/>
      <c r="J1453" s="43"/>
      <c r="K1453" s="43"/>
      <c r="L1453" s="57"/>
      <c r="M1453" s="56"/>
      <c r="N1453" s="3"/>
      <c r="P1453" s="5"/>
      <c r="Q1453" s="5"/>
      <c r="R1453" s="5"/>
      <c r="T1453" s="56"/>
      <c r="U1453" s="77"/>
      <c r="V1453" s="77"/>
      <c r="AA1453" s="3"/>
      <c r="AF1453" s="5"/>
      <c r="AG1453" s="5"/>
      <c r="AH1453" s="5"/>
      <c r="AI1453" s="5"/>
      <c r="AJ1453" s="5"/>
      <c r="AK1453" s="5"/>
      <c r="AL1453" s="5"/>
      <c r="AM1453" s="13"/>
      <c r="AN1453" s="13"/>
      <c r="AO1453" s="5"/>
      <c r="AP1453" s="5"/>
      <c r="AQ1453" s="5"/>
      <c r="AR1453" s="5"/>
      <c r="AS1453" s="5"/>
      <c r="AT1453" s="5"/>
      <c r="AU1453" s="5"/>
      <c r="AV1453" s="5"/>
      <c r="AW1453" s="5"/>
      <c r="AX1453" s="5"/>
      <c r="AY1453" s="5"/>
      <c r="AZ1453" s="5"/>
      <c r="BA1453" s="5"/>
    </row>
    <row r="1454" spans="3:53" s="41" customFormat="1" x14ac:dyDescent="0.2">
      <c r="C1454" s="71"/>
      <c r="D1454" s="58"/>
      <c r="E1454" s="38"/>
      <c r="F1454" s="58"/>
      <c r="G1454" s="5"/>
      <c r="H1454" s="44"/>
      <c r="I1454" s="5"/>
      <c r="J1454" s="43"/>
      <c r="K1454" s="43"/>
      <c r="L1454" s="57"/>
      <c r="M1454" s="56"/>
      <c r="N1454" s="3"/>
      <c r="P1454" s="5"/>
      <c r="Q1454" s="5"/>
      <c r="R1454" s="5"/>
      <c r="T1454" s="56"/>
      <c r="U1454" s="77"/>
      <c r="V1454" s="77"/>
      <c r="AA1454" s="3"/>
      <c r="AF1454" s="5"/>
      <c r="AG1454" s="5"/>
      <c r="AH1454" s="5"/>
      <c r="AI1454" s="5"/>
      <c r="AJ1454" s="5"/>
      <c r="AK1454" s="5"/>
      <c r="AL1454" s="5"/>
      <c r="AM1454" s="13"/>
      <c r="AN1454" s="13"/>
      <c r="AO1454" s="5"/>
      <c r="AP1454" s="5"/>
      <c r="AQ1454" s="5"/>
      <c r="AR1454" s="5"/>
      <c r="AS1454" s="5"/>
      <c r="AT1454" s="5"/>
      <c r="AU1454" s="5"/>
      <c r="AV1454" s="5"/>
      <c r="AW1454" s="5"/>
      <c r="AX1454" s="5"/>
      <c r="AY1454" s="5"/>
      <c r="AZ1454" s="5"/>
      <c r="BA1454" s="5"/>
    </row>
    <row r="1455" spans="3:53" s="41" customFormat="1" x14ac:dyDescent="0.2">
      <c r="C1455" s="71"/>
      <c r="D1455" s="58"/>
      <c r="E1455" s="38"/>
      <c r="F1455" s="58"/>
      <c r="G1455" s="5"/>
      <c r="H1455" s="44"/>
      <c r="I1455" s="5"/>
      <c r="J1455" s="43"/>
      <c r="K1455" s="43"/>
      <c r="L1455" s="57"/>
      <c r="M1455" s="56"/>
      <c r="N1455" s="3"/>
      <c r="P1455" s="5"/>
      <c r="Q1455" s="5"/>
      <c r="R1455" s="5"/>
      <c r="T1455" s="56"/>
      <c r="U1455" s="77"/>
      <c r="V1455" s="77"/>
      <c r="AA1455" s="3"/>
      <c r="AF1455" s="5"/>
      <c r="AG1455" s="5"/>
      <c r="AH1455" s="5"/>
      <c r="AI1455" s="5"/>
      <c r="AJ1455" s="5"/>
      <c r="AK1455" s="5"/>
      <c r="AL1455" s="5"/>
      <c r="AM1455" s="13"/>
      <c r="AN1455" s="13"/>
      <c r="AO1455" s="5"/>
      <c r="AP1455" s="5"/>
      <c r="AQ1455" s="5"/>
      <c r="AR1455" s="5"/>
      <c r="AS1455" s="5"/>
      <c r="AT1455" s="5"/>
      <c r="AU1455" s="5"/>
      <c r="AV1455" s="5"/>
      <c r="AW1455" s="5"/>
      <c r="AX1455" s="5"/>
      <c r="AY1455" s="5"/>
      <c r="AZ1455" s="5"/>
      <c r="BA1455" s="5"/>
    </row>
    <row r="1456" spans="3:53" s="41" customFormat="1" x14ac:dyDescent="0.2">
      <c r="C1456" s="71"/>
      <c r="D1456" s="58"/>
      <c r="E1456" s="38"/>
      <c r="F1456" s="58"/>
      <c r="G1456" s="5"/>
      <c r="H1456" s="44"/>
      <c r="I1456" s="5"/>
      <c r="J1456" s="43"/>
      <c r="K1456" s="43"/>
      <c r="L1456" s="57"/>
      <c r="M1456" s="56"/>
      <c r="N1456" s="3"/>
      <c r="P1456" s="5"/>
      <c r="Q1456" s="5"/>
      <c r="R1456" s="5"/>
      <c r="T1456" s="56"/>
      <c r="U1456" s="77"/>
      <c r="V1456" s="77"/>
      <c r="AA1456" s="3"/>
      <c r="AF1456" s="5"/>
      <c r="AG1456" s="5"/>
      <c r="AH1456" s="5"/>
      <c r="AI1456" s="5"/>
      <c r="AJ1456" s="5"/>
      <c r="AK1456" s="5"/>
      <c r="AL1456" s="5"/>
      <c r="AM1456" s="13"/>
      <c r="AN1456" s="13"/>
      <c r="AO1456" s="5"/>
      <c r="AP1456" s="5"/>
      <c r="AQ1456" s="5"/>
      <c r="AR1456" s="5"/>
      <c r="AS1456" s="5"/>
      <c r="AT1456" s="5"/>
      <c r="AU1456" s="5"/>
      <c r="AV1456" s="5"/>
      <c r="AW1456" s="5"/>
      <c r="AX1456" s="5"/>
      <c r="AY1456" s="5"/>
      <c r="AZ1456" s="5"/>
      <c r="BA1456" s="5"/>
    </row>
    <row r="1457" spans="3:53" s="41" customFormat="1" x14ac:dyDescent="0.2">
      <c r="C1457" s="71"/>
      <c r="D1457" s="58"/>
      <c r="E1457" s="38"/>
      <c r="F1457" s="58"/>
      <c r="G1457" s="5"/>
      <c r="H1457" s="44"/>
      <c r="I1457" s="5"/>
      <c r="J1457" s="43"/>
      <c r="K1457" s="43"/>
      <c r="L1457" s="57"/>
      <c r="M1457" s="56"/>
      <c r="N1457" s="3"/>
      <c r="P1457" s="5"/>
      <c r="Q1457" s="5"/>
      <c r="R1457" s="5"/>
      <c r="T1457" s="56"/>
      <c r="U1457" s="77"/>
      <c r="V1457" s="77"/>
      <c r="AA1457" s="3"/>
      <c r="AF1457" s="5"/>
      <c r="AG1457" s="5"/>
      <c r="AH1457" s="5"/>
      <c r="AI1457" s="5"/>
      <c r="AJ1457" s="5"/>
      <c r="AK1457" s="5"/>
      <c r="AL1457" s="5"/>
      <c r="AM1457" s="13"/>
      <c r="AN1457" s="13"/>
      <c r="AO1457" s="5"/>
      <c r="AP1457" s="5"/>
      <c r="AQ1457" s="5"/>
      <c r="AR1457" s="5"/>
      <c r="AS1457" s="5"/>
      <c r="AT1457" s="5"/>
      <c r="AU1457" s="5"/>
      <c r="AV1457" s="5"/>
      <c r="AW1457" s="5"/>
      <c r="AX1457" s="5"/>
      <c r="AY1457" s="5"/>
      <c r="AZ1457" s="5"/>
      <c r="BA1457" s="5"/>
    </row>
    <row r="1458" spans="3:53" s="41" customFormat="1" x14ac:dyDescent="0.2">
      <c r="C1458" s="71"/>
      <c r="D1458" s="58"/>
      <c r="E1458" s="38"/>
      <c r="F1458" s="58"/>
      <c r="G1458" s="5"/>
      <c r="H1458" s="44"/>
      <c r="I1458" s="5"/>
      <c r="J1458" s="43"/>
      <c r="K1458" s="43"/>
      <c r="L1458" s="57"/>
      <c r="M1458" s="56"/>
      <c r="N1458" s="3"/>
      <c r="P1458" s="5"/>
      <c r="Q1458" s="5"/>
      <c r="R1458" s="5"/>
      <c r="T1458" s="56"/>
      <c r="U1458" s="77"/>
      <c r="V1458" s="77"/>
      <c r="AA1458" s="3"/>
      <c r="AF1458" s="5"/>
      <c r="AG1458" s="5"/>
      <c r="AH1458" s="5"/>
      <c r="AI1458" s="5"/>
      <c r="AJ1458" s="5"/>
      <c r="AK1458" s="5"/>
      <c r="AL1458" s="5"/>
      <c r="AM1458" s="13"/>
      <c r="AN1458" s="13"/>
      <c r="AO1458" s="5"/>
      <c r="AP1458" s="5"/>
      <c r="AQ1458" s="5"/>
      <c r="AR1458" s="5"/>
      <c r="AS1458" s="5"/>
      <c r="AT1458" s="5"/>
      <c r="AU1458" s="5"/>
      <c r="AV1458" s="5"/>
      <c r="AW1458" s="5"/>
      <c r="AX1458" s="5"/>
      <c r="AY1458" s="5"/>
      <c r="AZ1458" s="5"/>
      <c r="BA1458" s="5"/>
    </row>
    <row r="1459" spans="3:53" s="41" customFormat="1" x14ac:dyDescent="0.2">
      <c r="C1459" s="71"/>
      <c r="D1459" s="58"/>
      <c r="E1459" s="38"/>
      <c r="F1459" s="58"/>
      <c r="G1459" s="5"/>
      <c r="H1459" s="44"/>
      <c r="I1459" s="5"/>
      <c r="J1459" s="43"/>
      <c r="K1459" s="43"/>
      <c r="L1459" s="57"/>
      <c r="M1459" s="56"/>
      <c r="N1459" s="3"/>
      <c r="P1459" s="5"/>
      <c r="Q1459" s="5"/>
      <c r="R1459" s="5"/>
      <c r="T1459" s="56"/>
      <c r="U1459" s="77"/>
      <c r="V1459" s="77"/>
      <c r="AA1459" s="3"/>
      <c r="AF1459" s="5"/>
      <c r="AG1459" s="5"/>
      <c r="AH1459" s="5"/>
      <c r="AI1459" s="5"/>
      <c r="AJ1459" s="5"/>
      <c r="AK1459" s="5"/>
      <c r="AL1459" s="5"/>
      <c r="AM1459" s="13"/>
      <c r="AN1459" s="13"/>
      <c r="AO1459" s="5"/>
      <c r="AP1459" s="5"/>
      <c r="AQ1459" s="5"/>
      <c r="AR1459" s="5"/>
      <c r="AS1459" s="5"/>
      <c r="AT1459" s="5"/>
      <c r="AU1459" s="5"/>
      <c r="AV1459" s="5"/>
      <c r="AW1459" s="5"/>
      <c r="AX1459" s="5"/>
      <c r="AY1459" s="5"/>
      <c r="AZ1459" s="5"/>
      <c r="BA1459" s="5"/>
    </row>
    <row r="1460" spans="3:53" s="41" customFormat="1" x14ac:dyDescent="0.2">
      <c r="C1460" s="71"/>
      <c r="D1460" s="58"/>
      <c r="E1460" s="38"/>
      <c r="F1460" s="58"/>
      <c r="G1460" s="5"/>
      <c r="H1460" s="44"/>
      <c r="I1460" s="5"/>
      <c r="J1460" s="43"/>
      <c r="K1460" s="43"/>
      <c r="L1460" s="57"/>
      <c r="M1460" s="56"/>
      <c r="N1460" s="3"/>
      <c r="P1460" s="5"/>
      <c r="Q1460" s="5"/>
      <c r="R1460" s="5"/>
      <c r="T1460" s="56"/>
      <c r="U1460" s="77"/>
      <c r="V1460" s="77"/>
      <c r="AA1460" s="3"/>
      <c r="AF1460" s="5"/>
      <c r="AG1460" s="5"/>
      <c r="AH1460" s="5"/>
      <c r="AI1460" s="5"/>
      <c r="AJ1460" s="5"/>
      <c r="AK1460" s="5"/>
      <c r="AL1460" s="5"/>
      <c r="AM1460" s="13"/>
      <c r="AN1460" s="13"/>
      <c r="AO1460" s="5"/>
      <c r="AP1460" s="5"/>
      <c r="AQ1460" s="5"/>
      <c r="AR1460" s="5"/>
      <c r="AS1460" s="5"/>
      <c r="AT1460" s="5"/>
      <c r="AU1460" s="5"/>
      <c r="AV1460" s="5"/>
      <c r="AW1460" s="5"/>
      <c r="AX1460" s="5"/>
      <c r="AY1460" s="5"/>
      <c r="AZ1460" s="5"/>
      <c r="BA1460" s="5"/>
    </row>
    <row r="1461" spans="3:53" s="41" customFormat="1" x14ac:dyDescent="0.2">
      <c r="C1461" s="71"/>
      <c r="D1461" s="58"/>
      <c r="E1461" s="38"/>
      <c r="F1461" s="58"/>
      <c r="G1461" s="5"/>
      <c r="H1461" s="44"/>
      <c r="I1461" s="5"/>
      <c r="J1461" s="43"/>
      <c r="K1461" s="43"/>
      <c r="L1461" s="57"/>
      <c r="M1461" s="56"/>
      <c r="N1461" s="3"/>
      <c r="P1461" s="5"/>
      <c r="Q1461" s="5"/>
      <c r="R1461" s="5"/>
      <c r="T1461" s="56"/>
      <c r="U1461" s="77"/>
      <c r="V1461" s="77"/>
      <c r="AA1461" s="3"/>
      <c r="AF1461" s="5"/>
      <c r="AG1461" s="5"/>
      <c r="AH1461" s="5"/>
      <c r="AI1461" s="5"/>
      <c r="AJ1461" s="5"/>
      <c r="AK1461" s="5"/>
      <c r="AL1461" s="5"/>
      <c r="AM1461" s="13"/>
      <c r="AN1461" s="13"/>
      <c r="AO1461" s="5"/>
      <c r="AP1461" s="5"/>
      <c r="AQ1461" s="5"/>
      <c r="AR1461" s="5"/>
      <c r="AS1461" s="5"/>
      <c r="AT1461" s="5"/>
      <c r="AU1461" s="5"/>
      <c r="AV1461" s="5"/>
      <c r="AW1461" s="5"/>
      <c r="AX1461" s="5"/>
      <c r="AY1461" s="5"/>
      <c r="AZ1461" s="5"/>
      <c r="BA1461" s="5"/>
    </row>
    <row r="1462" spans="3:53" s="41" customFormat="1" x14ac:dyDescent="0.2">
      <c r="C1462" s="71"/>
      <c r="D1462" s="58"/>
      <c r="E1462" s="38"/>
      <c r="F1462" s="58"/>
      <c r="G1462" s="5"/>
      <c r="H1462" s="44"/>
      <c r="I1462" s="5"/>
      <c r="J1462" s="43"/>
      <c r="K1462" s="43"/>
      <c r="L1462" s="57"/>
      <c r="M1462" s="56"/>
      <c r="N1462" s="3"/>
      <c r="P1462" s="5"/>
      <c r="Q1462" s="5"/>
      <c r="R1462" s="5"/>
      <c r="T1462" s="56"/>
      <c r="U1462" s="77"/>
      <c r="V1462" s="77"/>
      <c r="AA1462" s="3"/>
      <c r="AF1462" s="5"/>
      <c r="AG1462" s="5"/>
      <c r="AH1462" s="5"/>
      <c r="AI1462" s="5"/>
      <c r="AJ1462" s="5"/>
      <c r="AK1462" s="5"/>
      <c r="AL1462" s="5"/>
      <c r="AM1462" s="13"/>
      <c r="AN1462" s="13"/>
      <c r="AO1462" s="5"/>
      <c r="AP1462" s="5"/>
      <c r="AQ1462" s="5"/>
      <c r="AR1462" s="5"/>
      <c r="AS1462" s="5"/>
      <c r="AT1462" s="5"/>
      <c r="AU1462" s="5"/>
      <c r="AV1462" s="5"/>
      <c r="AW1462" s="5"/>
      <c r="AX1462" s="5"/>
      <c r="AY1462" s="5"/>
      <c r="AZ1462" s="5"/>
      <c r="BA1462" s="5"/>
    </row>
    <row r="1463" spans="3:53" s="41" customFormat="1" x14ac:dyDescent="0.2">
      <c r="C1463" s="71"/>
      <c r="D1463" s="58"/>
      <c r="E1463" s="38"/>
      <c r="F1463" s="58"/>
      <c r="G1463" s="5"/>
      <c r="H1463" s="44"/>
      <c r="I1463" s="5"/>
      <c r="J1463" s="43"/>
      <c r="K1463" s="43"/>
      <c r="L1463" s="57"/>
      <c r="M1463" s="56"/>
      <c r="N1463" s="3"/>
      <c r="P1463" s="5"/>
      <c r="Q1463" s="5"/>
      <c r="R1463" s="5"/>
      <c r="T1463" s="56"/>
      <c r="U1463" s="77"/>
      <c r="V1463" s="77"/>
      <c r="AA1463" s="3"/>
      <c r="AF1463" s="5"/>
      <c r="AG1463" s="5"/>
      <c r="AH1463" s="5"/>
      <c r="AI1463" s="5"/>
      <c r="AJ1463" s="5"/>
      <c r="AK1463" s="5"/>
      <c r="AL1463" s="5"/>
      <c r="AM1463" s="13"/>
      <c r="AN1463" s="13"/>
      <c r="AO1463" s="5"/>
      <c r="AP1463" s="5"/>
      <c r="AQ1463" s="5"/>
      <c r="AR1463" s="5"/>
      <c r="AS1463" s="5"/>
      <c r="AT1463" s="5"/>
      <c r="AU1463" s="5"/>
      <c r="AV1463" s="5"/>
      <c r="AW1463" s="5"/>
      <c r="AX1463" s="5"/>
      <c r="AY1463" s="5"/>
      <c r="AZ1463" s="5"/>
      <c r="BA1463" s="5"/>
    </row>
    <row r="1464" spans="3:53" s="41" customFormat="1" x14ac:dyDescent="0.2">
      <c r="C1464" s="71"/>
      <c r="D1464" s="58"/>
      <c r="E1464" s="38"/>
      <c r="F1464" s="58"/>
      <c r="G1464" s="5"/>
      <c r="H1464" s="44"/>
      <c r="I1464" s="5"/>
      <c r="J1464" s="43"/>
      <c r="K1464" s="43"/>
      <c r="L1464" s="57"/>
      <c r="M1464" s="56"/>
      <c r="N1464" s="3"/>
      <c r="P1464" s="5"/>
      <c r="Q1464" s="5"/>
      <c r="R1464" s="5"/>
      <c r="T1464" s="56"/>
      <c r="U1464" s="77"/>
      <c r="V1464" s="77"/>
      <c r="AA1464" s="3"/>
      <c r="AF1464" s="5"/>
      <c r="AG1464" s="5"/>
      <c r="AH1464" s="5"/>
      <c r="AI1464" s="5"/>
      <c r="AJ1464" s="5"/>
      <c r="AK1464" s="5"/>
      <c r="AL1464" s="5"/>
      <c r="AM1464" s="13"/>
      <c r="AN1464" s="13"/>
      <c r="AO1464" s="5"/>
      <c r="AP1464" s="5"/>
      <c r="AQ1464" s="5"/>
      <c r="AR1464" s="5"/>
      <c r="AS1464" s="5"/>
      <c r="AT1464" s="5"/>
      <c r="AU1464" s="5"/>
      <c r="AV1464" s="5"/>
      <c r="AW1464" s="5"/>
      <c r="AX1464" s="5"/>
      <c r="AY1464" s="5"/>
      <c r="AZ1464" s="5"/>
      <c r="BA1464" s="5"/>
    </row>
    <row r="1465" spans="3:53" s="41" customFormat="1" x14ac:dyDescent="0.2">
      <c r="C1465" s="71"/>
      <c r="D1465" s="58"/>
      <c r="E1465" s="38"/>
      <c r="F1465" s="58"/>
      <c r="G1465" s="5"/>
      <c r="H1465" s="44"/>
      <c r="I1465" s="5"/>
      <c r="J1465" s="43"/>
      <c r="K1465" s="43"/>
      <c r="L1465" s="57"/>
      <c r="M1465" s="56"/>
      <c r="N1465" s="3"/>
      <c r="P1465" s="5"/>
      <c r="Q1465" s="5"/>
      <c r="R1465" s="5"/>
      <c r="T1465" s="56"/>
      <c r="U1465" s="77"/>
      <c r="V1465" s="77"/>
      <c r="AA1465" s="3"/>
      <c r="AF1465" s="5"/>
      <c r="AG1465" s="5"/>
      <c r="AH1465" s="5"/>
      <c r="AI1465" s="5"/>
      <c r="AJ1465" s="5"/>
      <c r="AK1465" s="5"/>
      <c r="AL1465" s="5"/>
      <c r="AM1465" s="13"/>
      <c r="AN1465" s="13"/>
      <c r="AO1465" s="5"/>
      <c r="AP1465" s="5"/>
      <c r="AQ1465" s="5"/>
      <c r="AR1465" s="5"/>
      <c r="AS1465" s="5"/>
      <c r="AT1465" s="5"/>
      <c r="AU1465" s="5"/>
      <c r="AV1465" s="5"/>
      <c r="AW1465" s="5"/>
      <c r="AX1465" s="5"/>
      <c r="AY1465" s="5"/>
      <c r="AZ1465" s="5"/>
      <c r="BA1465" s="5"/>
    </row>
    <row r="1466" spans="3:53" s="41" customFormat="1" x14ac:dyDescent="0.2">
      <c r="C1466" s="71"/>
      <c r="D1466" s="58"/>
      <c r="E1466" s="38"/>
      <c r="F1466" s="58"/>
      <c r="G1466" s="5"/>
      <c r="H1466" s="44"/>
      <c r="I1466" s="5"/>
      <c r="J1466" s="43"/>
      <c r="K1466" s="43"/>
      <c r="L1466" s="57"/>
      <c r="M1466" s="56"/>
      <c r="N1466" s="3"/>
      <c r="P1466" s="5"/>
      <c r="Q1466" s="5"/>
      <c r="R1466" s="5"/>
      <c r="T1466" s="56"/>
      <c r="U1466" s="77"/>
      <c r="V1466" s="77"/>
      <c r="AA1466" s="3"/>
      <c r="AF1466" s="5"/>
      <c r="AG1466" s="5"/>
      <c r="AH1466" s="5"/>
      <c r="AI1466" s="5"/>
      <c r="AJ1466" s="5"/>
      <c r="AK1466" s="5"/>
      <c r="AL1466" s="5"/>
      <c r="AM1466" s="13"/>
      <c r="AN1466" s="13"/>
      <c r="AO1466" s="5"/>
      <c r="AP1466" s="5"/>
      <c r="AQ1466" s="5"/>
      <c r="AR1466" s="5"/>
      <c r="AS1466" s="5"/>
      <c r="AT1466" s="5"/>
      <c r="AU1466" s="5"/>
      <c r="AV1466" s="5"/>
      <c r="AW1466" s="5"/>
      <c r="AX1466" s="5"/>
      <c r="AY1466" s="5"/>
      <c r="AZ1466" s="5"/>
      <c r="BA1466" s="5"/>
    </row>
    <row r="1467" spans="3:53" s="41" customFormat="1" x14ac:dyDescent="0.2">
      <c r="C1467" s="71"/>
      <c r="D1467" s="58"/>
      <c r="E1467" s="38"/>
      <c r="F1467" s="58"/>
      <c r="G1467" s="5"/>
      <c r="H1467" s="44"/>
      <c r="I1467" s="5"/>
      <c r="J1467" s="43"/>
      <c r="K1467" s="43"/>
      <c r="L1467" s="57"/>
      <c r="M1467" s="56"/>
      <c r="N1467" s="3"/>
      <c r="P1467" s="5"/>
      <c r="Q1467" s="5"/>
      <c r="R1467" s="5"/>
      <c r="T1467" s="56"/>
      <c r="U1467" s="77"/>
      <c r="V1467" s="77"/>
      <c r="AA1467" s="3"/>
      <c r="AF1467" s="5"/>
      <c r="AG1467" s="5"/>
      <c r="AH1467" s="5"/>
      <c r="AI1467" s="5"/>
      <c r="AJ1467" s="5"/>
      <c r="AK1467" s="5"/>
      <c r="AL1467" s="5"/>
      <c r="AM1467" s="13"/>
      <c r="AN1467" s="13"/>
      <c r="AO1467" s="5"/>
      <c r="AP1467" s="5"/>
      <c r="AQ1467" s="5"/>
      <c r="AR1467" s="5"/>
      <c r="AS1467" s="5"/>
      <c r="AT1467" s="5"/>
      <c r="AU1467" s="5"/>
      <c r="AV1467" s="5"/>
      <c r="AW1467" s="5"/>
      <c r="AX1467" s="5"/>
      <c r="AY1467" s="5"/>
      <c r="AZ1467" s="5"/>
      <c r="BA1467" s="5"/>
    </row>
    <row r="1468" spans="3:53" s="41" customFormat="1" x14ac:dyDescent="0.2">
      <c r="C1468" s="71"/>
      <c r="D1468" s="58"/>
      <c r="E1468" s="38"/>
      <c r="F1468" s="58"/>
      <c r="G1468" s="5"/>
      <c r="H1468" s="44"/>
      <c r="I1468" s="5"/>
      <c r="J1468" s="43"/>
      <c r="K1468" s="43"/>
      <c r="L1468" s="57"/>
      <c r="M1468" s="56"/>
      <c r="N1468" s="3"/>
      <c r="P1468" s="5"/>
      <c r="Q1468" s="5"/>
      <c r="R1468" s="5"/>
      <c r="T1468" s="56"/>
      <c r="U1468" s="77"/>
      <c r="V1468" s="77"/>
      <c r="AA1468" s="3"/>
      <c r="AF1468" s="5"/>
      <c r="AG1468" s="5"/>
      <c r="AH1468" s="5"/>
      <c r="AI1468" s="5"/>
      <c r="AJ1468" s="5"/>
      <c r="AK1468" s="5"/>
      <c r="AL1468" s="5"/>
      <c r="AM1468" s="13"/>
      <c r="AN1468" s="13"/>
      <c r="AO1468" s="5"/>
      <c r="AP1468" s="5"/>
      <c r="AQ1468" s="5"/>
      <c r="AR1468" s="5"/>
      <c r="AS1468" s="5"/>
      <c r="AT1468" s="5"/>
      <c r="AU1468" s="5"/>
      <c r="AV1468" s="5"/>
      <c r="AW1468" s="5"/>
      <c r="AX1468" s="5"/>
      <c r="AY1468" s="5"/>
      <c r="AZ1468" s="5"/>
      <c r="BA1468" s="5"/>
    </row>
    <row r="1469" spans="3:53" s="41" customFormat="1" x14ac:dyDescent="0.2">
      <c r="C1469" s="71"/>
      <c r="D1469" s="58"/>
      <c r="E1469" s="38"/>
      <c r="F1469" s="58"/>
      <c r="G1469" s="5"/>
      <c r="H1469" s="44"/>
      <c r="I1469" s="5"/>
      <c r="J1469" s="43"/>
      <c r="K1469" s="43"/>
      <c r="L1469" s="57"/>
      <c r="M1469" s="56"/>
      <c r="N1469" s="3"/>
      <c r="P1469" s="5"/>
      <c r="Q1469" s="5"/>
      <c r="R1469" s="5"/>
      <c r="T1469" s="56"/>
      <c r="U1469" s="77"/>
      <c r="V1469" s="77"/>
      <c r="AA1469" s="3"/>
      <c r="AF1469" s="5"/>
      <c r="AG1469" s="5"/>
      <c r="AH1469" s="5"/>
      <c r="AI1469" s="5"/>
      <c r="AJ1469" s="5"/>
      <c r="AK1469" s="5"/>
      <c r="AL1469" s="5"/>
      <c r="AM1469" s="13"/>
      <c r="AN1469" s="13"/>
      <c r="AO1469" s="5"/>
      <c r="AP1469" s="5"/>
      <c r="AQ1469" s="5"/>
      <c r="AR1469" s="5"/>
      <c r="AS1469" s="5"/>
      <c r="AT1469" s="5"/>
      <c r="AU1469" s="5"/>
      <c r="AV1469" s="5"/>
      <c r="AW1469" s="5"/>
      <c r="AX1469" s="5"/>
      <c r="AY1469" s="5"/>
      <c r="AZ1469" s="5"/>
      <c r="BA1469" s="5"/>
    </row>
    <row r="1470" spans="3:53" s="41" customFormat="1" x14ac:dyDescent="0.2">
      <c r="C1470" s="71"/>
      <c r="D1470" s="58"/>
      <c r="E1470" s="38"/>
      <c r="F1470" s="58"/>
      <c r="G1470" s="5"/>
      <c r="H1470" s="44"/>
      <c r="I1470" s="5"/>
      <c r="J1470" s="43"/>
      <c r="K1470" s="43"/>
      <c r="L1470" s="57"/>
      <c r="M1470" s="56"/>
      <c r="N1470" s="3"/>
      <c r="P1470" s="5"/>
      <c r="Q1470" s="5"/>
      <c r="R1470" s="5"/>
      <c r="T1470" s="56"/>
      <c r="U1470" s="77"/>
      <c r="V1470" s="77"/>
      <c r="AA1470" s="3"/>
      <c r="AF1470" s="5"/>
      <c r="AG1470" s="5"/>
      <c r="AH1470" s="5"/>
      <c r="AI1470" s="5"/>
      <c r="AJ1470" s="5"/>
      <c r="AK1470" s="5"/>
      <c r="AL1470" s="5"/>
      <c r="AM1470" s="13"/>
      <c r="AN1470" s="13"/>
      <c r="AO1470" s="5"/>
      <c r="AP1470" s="5"/>
      <c r="AQ1470" s="5"/>
      <c r="AR1470" s="5"/>
      <c r="AS1470" s="5"/>
      <c r="AT1470" s="5"/>
      <c r="AU1470" s="5"/>
      <c r="AV1470" s="5"/>
      <c r="AW1470" s="5"/>
      <c r="AX1470" s="5"/>
      <c r="AY1470" s="5"/>
      <c r="AZ1470" s="5"/>
      <c r="BA1470" s="5"/>
    </row>
    <row r="1471" spans="3:53" s="41" customFormat="1" x14ac:dyDescent="0.2">
      <c r="C1471" s="71"/>
      <c r="D1471" s="58"/>
      <c r="E1471" s="38"/>
      <c r="F1471" s="58"/>
      <c r="G1471" s="5"/>
      <c r="H1471" s="44"/>
      <c r="I1471" s="5"/>
      <c r="J1471" s="43"/>
      <c r="K1471" s="43"/>
      <c r="L1471" s="57"/>
      <c r="M1471" s="56"/>
      <c r="N1471" s="3"/>
      <c r="P1471" s="5"/>
      <c r="Q1471" s="5"/>
      <c r="R1471" s="5"/>
      <c r="T1471" s="56"/>
      <c r="U1471" s="77"/>
      <c r="V1471" s="77"/>
      <c r="AA1471" s="3"/>
      <c r="AF1471" s="5"/>
      <c r="AG1471" s="5"/>
      <c r="AH1471" s="5"/>
      <c r="AI1471" s="5"/>
      <c r="AJ1471" s="5"/>
      <c r="AK1471" s="5"/>
      <c r="AL1471" s="5"/>
      <c r="AM1471" s="13"/>
      <c r="AN1471" s="13"/>
      <c r="AO1471" s="5"/>
      <c r="AP1471" s="5"/>
      <c r="AQ1471" s="5"/>
      <c r="AR1471" s="5"/>
      <c r="AS1471" s="5"/>
      <c r="AT1471" s="5"/>
      <c r="AU1471" s="5"/>
      <c r="AV1471" s="5"/>
      <c r="AW1471" s="5"/>
      <c r="AX1471" s="5"/>
      <c r="AY1471" s="5"/>
      <c r="AZ1471" s="5"/>
      <c r="BA1471" s="5"/>
    </row>
    <row r="1472" spans="3:53" s="41" customFormat="1" x14ac:dyDescent="0.2">
      <c r="C1472" s="71"/>
      <c r="D1472" s="58"/>
      <c r="E1472" s="38"/>
      <c r="F1472" s="58"/>
      <c r="G1472" s="5"/>
      <c r="H1472" s="44"/>
      <c r="I1472" s="5"/>
      <c r="J1472" s="43"/>
      <c r="K1472" s="43"/>
      <c r="L1472" s="57"/>
      <c r="M1472" s="56"/>
      <c r="N1472" s="3"/>
      <c r="P1472" s="5"/>
      <c r="Q1472" s="5"/>
      <c r="R1472" s="5"/>
      <c r="T1472" s="56"/>
      <c r="U1472" s="77"/>
      <c r="V1472" s="77"/>
      <c r="AA1472" s="3"/>
      <c r="AF1472" s="5"/>
      <c r="AG1472" s="5"/>
      <c r="AH1472" s="5"/>
      <c r="AI1472" s="5"/>
      <c r="AJ1472" s="5"/>
      <c r="AK1472" s="5"/>
      <c r="AL1472" s="5"/>
      <c r="AM1472" s="13"/>
      <c r="AN1472" s="13"/>
      <c r="AO1472" s="5"/>
      <c r="AP1472" s="5"/>
      <c r="AQ1472" s="5"/>
      <c r="AR1472" s="5"/>
      <c r="AS1472" s="5"/>
      <c r="AT1472" s="5"/>
      <c r="AU1472" s="5"/>
      <c r="AV1472" s="5"/>
      <c r="AW1472" s="5"/>
      <c r="AX1472" s="5"/>
      <c r="AY1472" s="5"/>
      <c r="AZ1472" s="5"/>
      <c r="BA1472" s="5"/>
    </row>
    <row r="1473" spans="3:53" s="41" customFormat="1" x14ac:dyDescent="0.2">
      <c r="C1473" s="71"/>
      <c r="D1473" s="58"/>
      <c r="E1473" s="38"/>
      <c r="F1473" s="58"/>
      <c r="G1473" s="5"/>
      <c r="H1473" s="44"/>
      <c r="I1473" s="5"/>
      <c r="J1473" s="43"/>
      <c r="K1473" s="43"/>
      <c r="L1473" s="57"/>
      <c r="M1473" s="56"/>
      <c r="N1473" s="3"/>
      <c r="P1473" s="5"/>
      <c r="Q1473" s="5"/>
      <c r="R1473" s="5"/>
      <c r="T1473" s="56"/>
      <c r="U1473" s="77"/>
      <c r="V1473" s="77"/>
      <c r="AA1473" s="3"/>
      <c r="AF1473" s="5"/>
      <c r="AG1473" s="5"/>
      <c r="AH1473" s="5"/>
      <c r="AI1473" s="5"/>
      <c r="AJ1473" s="5"/>
      <c r="AK1473" s="5"/>
      <c r="AL1473" s="5"/>
      <c r="AM1473" s="13"/>
      <c r="AN1473" s="13"/>
      <c r="AO1473" s="5"/>
      <c r="AP1473" s="5"/>
      <c r="AQ1473" s="5"/>
      <c r="AR1473" s="5"/>
      <c r="AS1473" s="5"/>
      <c r="AT1473" s="5"/>
      <c r="AU1473" s="5"/>
      <c r="AV1473" s="5"/>
      <c r="AW1473" s="5"/>
      <c r="AX1473" s="5"/>
      <c r="AY1473" s="5"/>
      <c r="AZ1473" s="5"/>
      <c r="BA1473" s="5"/>
    </row>
    <row r="1474" spans="3:53" s="41" customFormat="1" x14ac:dyDescent="0.2">
      <c r="C1474" s="71"/>
      <c r="D1474" s="58"/>
      <c r="E1474" s="38"/>
      <c r="F1474" s="58"/>
      <c r="G1474" s="5"/>
      <c r="H1474" s="44"/>
      <c r="I1474" s="5"/>
      <c r="J1474" s="43"/>
      <c r="K1474" s="43"/>
      <c r="L1474" s="57"/>
      <c r="M1474" s="56"/>
      <c r="N1474" s="3"/>
      <c r="P1474" s="5"/>
      <c r="Q1474" s="5"/>
      <c r="R1474" s="5"/>
      <c r="T1474" s="56"/>
      <c r="U1474" s="77"/>
      <c r="V1474" s="77"/>
      <c r="AA1474" s="3"/>
      <c r="AF1474" s="5"/>
      <c r="AG1474" s="5"/>
      <c r="AH1474" s="5"/>
      <c r="AI1474" s="5"/>
      <c r="AJ1474" s="5"/>
      <c r="AK1474" s="5"/>
      <c r="AL1474" s="5"/>
      <c r="AM1474" s="13"/>
      <c r="AN1474" s="13"/>
      <c r="AO1474" s="5"/>
      <c r="AP1474" s="5"/>
      <c r="AQ1474" s="5"/>
      <c r="AR1474" s="5"/>
      <c r="AS1474" s="5"/>
      <c r="AT1474" s="5"/>
      <c r="AU1474" s="5"/>
      <c r="AV1474" s="5"/>
      <c r="AW1474" s="5"/>
      <c r="AX1474" s="5"/>
      <c r="AY1474" s="5"/>
      <c r="AZ1474" s="5"/>
      <c r="BA1474" s="5"/>
    </row>
    <row r="1475" spans="3:53" s="41" customFormat="1" x14ac:dyDescent="0.2">
      <c r="C1475" s="71"/>
      <c r="D1475" s="58"/>
      <c r="E1475" s="38"/>
      <c r="F1475" s="58"/>
      <c r="G1475" s="5"/>
      <c r="H1475" s="44"/>
      <c r="I1475" s="5"/>
      <c r="J1475" s="43"/>
      <c r="K1475" s="43"/>
      <c r="L1475" s="57"/>
      <c r="M1475" s="56"/>
      <c r="N1475" s="3"/>
      <c r="P1475" s="5"/>
      <c r="Q1475" s="5"/>
      <c r="R1475" s="5"/>
      <c r="T1475" s="56"/>
      <c r="U1475" s="77"/>
      <c r="V1475" s="77"/>
      <c r="AA1475" s="3"/>
      <c r="AF1475" s="5"/>
      <c r="AG1475" s="5"/>
      <c r="AH1475" s="5"/>
      <c r="AI1475" s="5"/>
      <c r="AJ1475" s="5"/>
      <c r="AK1475" s="5"/>
      <c r="AL1475" s="5"/>
      <c r="AM1475" s="13"/>
      <c r="AN1475" s="13"/>
      <c r="AO1475" s="5"/>
      <c r="AP1475" s="5"/>
      <c r="AQ1475" s="5"/>
      <c r="AR1475" s="5"/>
      <c r="AS1475" s="5"/>
      <c r="AT1475" s="5"/>
      <c r="AU1475" s="5"/>
      <c r="AV1475" s="5"/>
      <c r="AW1475" s="5"/>
      <c r="AX1475" s="5"/>
      <c r="AY1475" s="5"/>
      <c r="AZ1475" s="5"/>
      <c r="BA1475" s="5"/>
    </row>
    <row r="1476" spans="3:53" s="41" customFormat="1" x14ac:dyDescent="0.2">
      <c r="C1476" s="71"/>
      <c r="D1476" s="58"/>
      <c r="E1476" s="38"/>
      <c r="F1476" s="58"/>
      <c r="G1476" s="5"/>
      <c r="H1476" s="44"/>
      <c r="I1476" s="5"/>
      <c r="J1476" s="43"/>
      <c r="K1476" s="43"/>
      <c r="L1476" s="57"/>
      <c r="M1476" s="56"/>
      <c r="N1476" s="3"/>
      <c r="P1476" s="5"/>
      <c r="Q1476" s="5"/>
      <c r="R1476" s="5"/>
      <c r="T1476" s="56"/>
      <c r="U1476" s="77"/>
      <c r="V1476" s="77"/>
      <c r="AA1476" s="3"/>
      <c r="AF1476" s="5"/>
      <c r="AG1476" s="5"/>
      <c r="AH1476" s="5"/>
      <c r="AI1476" s="5"/>
      <c r="AJ1476" s="5"/>
      <c r="AK1476" s="5"/>
      <c r="AL1476" s="5"/>
      <c r="AM1476" s="13"/>
      <c r="AN1476" s="13"/>
      <c r="AO1476" s="5"/>
      <c r="AP1476" s="5"/>
      <c r="AQ1476" s="5"/>
      <c r="AR1476" s="5"/>
      <c r="AS1476" s="5"/>
      <c r="AT1476" s="5"/>
      <c r="AU1476" s="5"/>
      <c r="AV1476" s="5"/>
      <c r="AW1476" s="5"/>
      <c r="AX1476" s="5"/>
      <c r="AY1476" s="5"/>
      <c r="AZ1476" s="5"/>
      <c r="BA1476" s="5"/>
    </row>
    <row r="1477" spans="3:53" s="41" customFormat="1" x14ac:dyDescent="0.2">
      <c r="C1477" s="71"/>
      <c r="D1477" s="58"/>
      <c r="E1477" s="38"/>
      <c r="F1477" s="58"/>
      <c r="G1477" s="5"/>
      <c r="H1477" s="44"/>
      <c r="I1477" s="5"/>
      <c r="J1477" s="43"/>
      <c r="K1477" s="43"/>
      <c r="L1477" s="57"/>
      <c r="M1477" s="56"/>
      <c r="N1477" s="3"/>
      <c r="P1477" s="5"/>
      <c r="Q1477" s="5"/>
      <c r="R1477" s="5"/>
      <c r="T1477" s="56"/>
      <c r="U1477" s="77"/>
      <c r="V1477" s="77"/>
      <c r="AA1477" s="3"/>
      <c r="AF1477" s="5"/>
      <c r="AG1477" s="5"/>
      <c r="AH1477" s="5"/>
      <c r="AI1477" s="5"/>
      <c r="AJ1477" s="5"/>
      <c r="AK1477" s="5"/>
      <c r="AL1477" s="5"/>
      <c r="AM1477" s="13"/>
      <c r="AN1477" s="13"/>
      <c r="AO1477" s="5"/>
      <c r="AP1477" s="5"/>
      <c r="AQ1477" s="5"/>
      <c r="AR1477" s="5"/>
      <c r="AS1477" s="5"/>
      <c r="AT1477" s="5"/>
      <c r="AU1477" s="5"/>
      <c r="AV1477" s="5"/>
      <c r="AW1477" s="5"/>
      <c r="AX1477" s="5"/>
      <c r="AY1477" s="5"/>
      <c r="AZ1477" s="5"/>
      <c r="BA1477" s="5"/>
    </row>
    <row r="1478" spans="3:53" s="41" customFormat="1" x14ac:dyDescent="0.2">
      <c r="C1478" s="71"/>
      <c r="D1478" s="58"/>
      <c r="E1478" s="38"/>
      <c r="F1478" s="58"/>
      <c r="G1478" s="5"/>
      <c r="H1478" s="44"/>
      <c r="I1478" s="5"/>
      <c r="J1478" s="43"/>
      <c r="K1478" s="43"/>
      <c r="L1478" s="57"/>
      <c r="M1478" s="56"/>
      <c r="N1478" s="3"/>
      <c r="P1478" s="5"/>
      <c r="Q1478" s="5"/>
      <c r="R1478" s="5"/>
      <c r="T1478" s="56"/>
      <c r="U1478" s="77"/>
      <c r="V1478" s="77"/>
      <c r="AA1478" s="3"/>
      <c r="AF1478" s="5"/>
      <c r="AG1478" s="5"/>
      <c r="AH1478" s="5"/>
      <c r="AI1478" s="5"/>
      <c r="AJ1478" s="5"/>
      <c r="AK1478" s="5"/>
      <c r="AL1478" s="5"/>
      <c r="AM1478" s="13"/>
      <c r="AN1478" s="13"/>
      <c r="AO1478" s="5"/>
      <c r="AP1478" s="5"/>
      <c r="AQ1478" s="5"/>
      <c r="AR1478" s="5"/>
      <c r="AS1478" s="5"/>
      <c r="AT1478" s="5"/>
      <c r="AU1478" s="5"/>
      <c r="AV1478" s="5"/>
      <c r="AW1478" s="5"/>
      <c r="AX1478" s="5"/>
      <c r="AY1478" s="5"/>
      <c r="AZ1478" s="5"/>
      <c r="BA1478" s="5"/>
    </row>
    <row r="1479" spans="3:53" s="41" customFormat="1" x14ac:dyDescent="0.2">
      <c r="C1479" s="71"/>
      <c r="D1479" s="58"/>
      <c r="E1479" s="38"/>
      <c r="F1479" s="58"/>
      <c r="G1479" s="5"/>
      <c r="H1479" s="44"/>
      <c r="I1479" s="5"/>
      <c r="J1479" s="43"/>
      <c r="K1479" s="43"/>
      <c r="L1479" s="57"/>
      <c r="M1479" s="56"/>
      <c r="N1479" s="3"/>
      <c r="P1479" s="5"/>
      <c r="Q1479" s="5"/>
      <c r="R1479" s="5"/>
      <c r="T1479" s="56"/>
      <c r="U1479" s="77"/>
      <c r="V1479" s="77"/>
      <c r="AA1479" s="3"/>
      <c r="AF1479" s="5"/>
      <c r="AG1479" s="5"/>
      <c r="AH1479" s="5"/>
      <c r="AI1479" s="5"/>
      <c r="AJ1479" s="5"/>
      <c r="AK1479" s="5"/>
      <c r="AL1479" s="5"/>
      <c r="AM1479" s="13"/>
      <c r="AN1479" s="13"/>
      <c r="AO1479" s="5"/>
      <c r="AP1479" s="5"/>
      <c r="AQ1479" s="5"/>
      <c r="AR1479" s="5"/>
      <c r="AS1479" s="5"/>
      <c r="AT1479" s="5"/>
      <c r="AU1479" s="5"/>
      <c r="AV1479" s="5"/>
      <c r="AW1479" s="5"/>
      <c r="AX1479" s="5"/>
      <c r="AY1479" s="5"/>
      <c r="AZ1479" s="5"/>
      <c r="BA1479" s="5"/>
    </row>
    <row r="1480" spans="3:53" s="41" customFormat="1" x14ac:dyDescent="0.2">
      <c r="C1480" s="71"/>
      <c r="D1480" s="58"/>
      <c r="E1480" s="38"/>
      <c r="F1480" s="58"/>
      <c r="G1480" s="5"/>
      <c r="H1480" s="44"/>
      <c r="I1480" s="5"/>
      <c r="J1480" s="43"/>
      <c r="K1480" s="43"/>
      <c r="L1480" s="57"/>
      <c r="M1480" s="56"/>
      <c r="N1480" s="3"/>
      <c r="P1480" s="5"/>
      <c r="Q1480" s="5"/>
      <c r="R1480" s="5"/>
      <c r="T1480" s="56"/>
      <c r="U1480" s="77"/>
      <c r="V1480" s="77"/>
      <c r="AA1480" s="3"/>
      <c r="AF1480" s="5"/>
      <c r="AG1480" s="5"/>
      <c r="AH1480" s="5"/>
      <c r="AI1480" s="5"/>
      <c r="AJ1480" s="5"/>
      <c r="AK1480" s="5"/>
      <c r="AL1480" s="5"/>
      <c r="AM1480" s="13"/>
      <c r="AN1480" s="13"/>
      <c r="AO1480" s="5"/>
      <c r="AP1480" s="5"/>
      <c r="AQ1480" s="5"/>
      <c r="AR1480" s="5"/>
      <c r="AS1480" s="5"/>
      <c r="AT1480" s="5"/>
      <c r="AU1480" s="5"/>
      <c r="AV1480" s="5"/>
      <c r="AW1480" s="5"/>
      <c r="AX1480" s="5"/>
      <c r="AY1480" s="5"/>
      <c r="AZ1480" s="5"/>
      <c r="BA1480" s="5"/>
    </row>
    <row r="1481" spans="3:53" s="41" customFormat="1" x14ac:dyDescent="0.2">
      <c r="C1481" s="71"/>
      <c r="D1481" s="58"/>
      <c r="E1481" s="38"/>
      <c r="F1481" s="58"/>
      <c r="G1481" s="5"/>
      <c r="H1481" s="44"/>
      <c r="I1481" s="5"/>
      <c r="J1481" s="43"/>
      <c r="K1481" s="43"/>
      <c r="L1481" s="57"/>
      <c r="M1481" s="56"/>
      <c r="N1481" s="3"/>
      <c r="P1481" s="5"/>
      <c r="Q1481" s="5"/>
      <c r="R1481" s="5"/>
      <c r="T1481" s="56"/>
      <c r="U1481" s="77"/>
      <c r="V1481" s="77"/>
      <c r="AA1481" s="3"/>
      <c r="AF1481" s="5"/>
      <c r="AG1481" s="5"/>
      <c r="AH1481" s="5"/>
      <c r="AI1481" s="5"/>
      <c r="AJ1481" s="5"/>
      <c r="AK1481" s="5"/>
      <c r="AL1481" s="5"/>
      <c r="AM1481" s="13"/>
      <c r="AN1481" s="13"/>
      <c r="AO1481" s="5"/>
      <c r="AP1481" s="5"/>
      <c r="AQ1481" s="5"/>
      <c r="AR1481" s="5"/>
      <c r="AS1481" s="5"/>
      <c r="AT1481" s="5"/>
      <c r="AU1481" s="5"/>
      <c r="AV1481" s="5"/>
      <c r="AW1481" s="5"/>
      <c r="AX1481" s="5"/>
      <c r="AY1481" s="5"/>
      <c r="AZ1481" s="5"/>
      <c r="BA1481" s="5"/>
    </row>
    <row r="1482" spans="3:53" s="41" customFormat="1" x14ac:dyDescent="0.2">
      <c r="C1482" s="71"/>
      <c r="D1482" s="58"/>
      <c r="E1482" s="38"/>
      <c r="F1482" s="58"/>
      <c r="G1482" s="5"/>
      <c r="H1482" s="44"/>
      <c r="I1482" s="5"/>
      <c r="J1482" s="43"/>
      <c r="K1482" s="43"/>
      <c r="L1482" s="57"/>
      <c r="M1482" s="56"/>
      <c r="N1482" s="3"/>
      <c r="P1482" s="5"/>
      <c r="Q1482" s="5"/>
      <c r="R1482" s="5"/>
      <c r="T1482" s="56"/>
      <c r="U1482" s="77"/>
      <c r="V1482" s="77"/>
      <c r="AA1482" s="3"/>
      <c r="AF1482" s="5"/>
      <c r="AG1482" s="5"/>
      <c r="AH1482" s="5"/>
      <c r="AI1482" s="5"/>
      <c r="AJ1482" s="5"/>
      <c r="AK1482" s="5"/>
      <c r="AL1482" s="5"/>
      <c r="AM1482" s="13"/>
      <c r="AN1482" s="13"/>
      <c r="AO1482" s="5"/>
      <c r="AP1482" s="5"/>
      <c r="AQ1482" s="5"/>
      <c r="AR1482" s="5"/>
      <c r="AS1482" s="5"/>
      <c r="AT1482" s="5"/>
      <c r="AU1482" s="5"/>
      <c r="AV1482" s="5"/>
      <c r="AW1482" s="5"/>
      <c r="AX1482" s="5"/>
      <c r="AY1482" s="5"/>
      <c r="AZ1482" s="5"/>
      <c r="BA1482" s="5"/>
    </row>
    <row r="1483" spans="3:53" s="41" customFormat="1" x14ac:dyDescent="0.2">
      <c r="C1483" s="71"/>
      <c r="D1483" s="58"/>
      <c r="E1483" s="38"/>
      <c r="F1483" s="58"/>
      <c r="G1483" s="5"/>
      <c r="H1483" s="44"/>
      <c r="I1483" s="5"/>
      <c r="J1483" s="43"/>
      <c r="K1483" s="43"/>
      <c r="L1483" s="57"/>
      <c r="M1483" s="56"/>
      <c r="N1483" s="3"/>
      <c r="P1483" s="5"/>
      <c r="Q1483" s="5"/>
      <c r="R1483" s="5"/>
      <c r="T1483" s="56"/>
      <c r="U1483" s="77"/>
      <c r="V1483" s="77"/>
      <c r="AA1483" s="3"/>
      <c r="AF1483" s="5"/>
      <c r="AG1483" s="5"/>
      <c r="AH1483" s="5"/>
      <c r="AI1483" s="5"/>
      <c r="AJ1483" s="5"/>
      <c r="AK1483" s="5"/>
      <c r="AL1483" s="5"/>
      <c r="AM1483" s="13"/>
      <c r="AN1483" s="13"/>
      <c r="AO1483" s="5"/>
      <c r="AP1483" s="5"/>
      <c r="AQ1483" s="5"/>
      <c r="AR1483" s="5"/>
      <c r="AS1483" s="5"/>
      <c r="AT1483" s="5"/>
      <c r="AU1483" s="5"/>
      <c r="AV1483" s="5"/>
      <c r="AW1483" s="5"/>
      <c r="AX1483" s="5"/>
      <c r="AY1483" s="5"/>
      <c r="AZ1483" s="5"/>
      <c r="BA1483" s="5"/>
    </row>
    <row r="1484" spans="3:53" s="41" customFormat="1" x14ac:dyDescent="0.2">
      <c r="C1484" s="71"/>
      <c r="D1484" s="58"/>
      <c r="E1484" s="38"/>
      <c r="F1484" s="58"/>
      <c r="G1484" s="5"/>
      <c r="H1484" s="44"/>
      <c r="I1484" s="5"/>
      <c r="J1484" s="43"/>
      <c r="K1484" s="43"/>
      <c r="L1484" s="57"/>
      <c r="M1484" s="56"/>
      <c r="N1484" s="3"/>
      <c r="P1484" s="5"/>
      <c r="Q1484" s="5"/>
      <c r="R1484" s="5"/>
      <c r="T1484" s="56"/>
      <c r="U1484" s="77"/>
      <c r="V1484" s="77"/>
      <c r="AA1484" s="3"/>
      <c r="AF1484" s="5"/>
      <c r="AG1484" s="5"/>
      <c r="AH1484" s="5"/>
      <c r="AI1484" s="5"/>
      <c r="AJ1484" s="5"/>
      <c r="AK1484" s="5"/>
      <c r="AL1484" s="5"/>
      <c r="AM1484" s="13"/>
      <c r="AN1484" s="13"/>
      <c r="AO1484" s="5"/>
      <c r="AP1484" s="5"/>
      <c r="AQ1484" s="5"/>
      <c r="AR1484" s="5"/>
      <c r="AS1484" s="5"/>
      <c r="AT1484" s="5"/>
      <c r="AU1484" s="5"/>
      <c r="AV1484" s="5"/>
      <c r="AW1484" s="5"/>
      <c r="AX1484" s="5"/>
      <c r="AY1484" s="5"/>
      <c r="AZ1484" s="5"/>
      <c r="BA1484" s="5"/>
    </row>
    <row r="1485" spans="3:53" s="41" customFormat="1" x14ac:dyDescent="0.2">
      <c r="C1485" s="71"/>
      <c r="D1485" s="58"/>
      <c r="E1485" s="38"/>
      <c r="F1485" s="58"/>
      <c r="G1485" s="5"/>
      <c r="H1485" s="44"/>
      <c r="I1485" s="5"/>
      <c r="J1485" s="43"/>
      <c r="K1485" s="43"/>
      <c r="L1485" s="57"/>
      <c r="M1485" s="56"/>
      <c r="N1485" s="3"/>
      <c r="P1485" s="5"/>
      <c r="Q1485" s="5"/>
      <c r="R1485" s="5"/>
      <c r="T1485" s="56"/>
      <c r="U1485" s="77"/>
      <c r="V1485" s="77"/>
      <c r="AA1485" s="3"/>
      <c r="AF1485" s="5"/>
      <c r="AG1485" s="5"/>
      <c r="AH1485" s="5"/>
      <c r="AI1485" s="5"/>
      <c r="AJ1485" s="5"/>
      <c r="AK1485" s="5"/>
      <c r="AL1485" s="5"/>
      <c r="AM1485" s="13"/>
      <c r="AN1485" s="13"/>
      <c r="AO1485" s="5"/>
      <c r="AP1485" s="5"/>
      <c r="AQ1485" s="5"/>
      <c r="AR1485" s="5"/>
      <c r="AS1485" s="5"/>
      <c r="AT1485" s="5"/>
      <c r="AU1485" s="5"/>
      <c r="AV1485" s="5"/>
      <c r="AW1485" s="5"/>
      <c r="AX1485" s="5"/>
      <c r="AY1485" s="5"/>
      <c r="AZ1485" s="5"/>
      <c r="BA1485" s="5"/>
    </row>
    <row r="1486" spans="3:53" s="41" customFormat="1" x14ac:dyDescent="0.2">
      <c r="C1486" s="71"/>
      <c r="D1486" s="58"/>
      <c r="E1486" s="38"/>
      <c r="F1486" s="58"/>
      <c r="G1486" s="5"/>
      <c r="H1486" s="44"/>
      <c r="I1486" s="5"/>
      <c r="J1486" s="43"/>
      <c r="K1486" s="43"/>
      <c r="L1486" s="57"/>
      <c r="M1486" s="56"/>
      <c r="N1486" s="3"/>
      <c r="P1486" s="5"/>
      <c r="Q1486" s="5"/>
      <c r="R1486" s="5"/>
      <c r="T1486" s="56"/>
      <c r="U1486" s="77"/>
      <c r="V1486" s="77"/>
      <c r="AA1486" s="3"/>
      <c r="AF1486" s="5"/>
      <c r="AG1486" s="5"/>
      <c r="AH1486" s="5"/>
      <c r="AI1486" s="5"/>
      <c r="AJ1486" s="5"/>
      <c r="AK1486" s="5"/>
      <c r="AL1486" s="5"/>
      <c r="AM1486" s="13"/>
      <c r="AN1486" s="13"/>
      <c r="AO1486" s="5"/>
      <c r="AP1486" s="5"/>
      <c r="AQ1486" s="5"/>
      <c r="AR1486" s="5"/>
      <c r="AS1486" s="5"/>
      <c r="AT1486" s="5"/>
      <c r="AU1486" s="5"/>
      <c r="AV1486" s="5"/>
      <c r="AW1486" s="5"/>
      <c r="AX1486" s="5"/>
      <c r="AY1486" s="5"/>
      <c r="AZ1486" s="5"/>
      <c r="BA1486" s="5"/>
    </row>
    <row r="1487" spans="3:53" s="41" customFormat="1" x14ac:dyDescent="0.2">
      <c r="C1487" s="71"/>
      <c r="D1487" s="58"/>
      <c r="E1487" s="38"/>
      <c r="F1487" s="58"/>
      <c r="G1487" s="5"/>
      <c r="H1487" s="44"/>
      <c r="I1487" s="5"/>
      <c r="J1487" s="43"/>
      <c r="K1487" s="43"/>
      <c r="L1487" s="57"/>
      <c r="M1487" s="56"/>
      <c r="N1487" s="3"/>
      <c r="P1487" s="5"/>
      <c r="Q1487" s="5"/>
      <c r="R1487" s="5"/>
      <c r="T1487" s="56"/>
      <c r="U1487" s="77"/>
      <c r="V1487" s="77"/>
      <c r="AA1487" s="3"/>
      <c r="AF1487" s="5"/>
      <c r="AG1487" s="5"/>
      <c r="AH1487" s="5"/>
      <c r="AI1487" s="5"/>
      <c r="AJ1487" s="5"/>
      <c r="AK1487" s="5"/>
      <c r="AL1487" s="5"/>
      <c r="AM1487" s="13"/>
      <c r="AN1487" s="13"/>
      <c r="AO1487" s="5"/>
      <c r="AP1487" s="5"/>
      <c r="AQ1487" s="5"/>
      <c r="AR1487" s="5"/>
      <c r="AS1487" s="5"/>
      <c r="AT1487" s="5"/>
      <c r="AU1487" s="5"/>
      <c r="AV1487" s="5"/>
      <c r="AW1487" s="5"/>
      <c r="AX1487" s="5"/>
      <c r="AY1487" s="5"/>
      <c r="AZ1487" s="5"/>
      <c r="BA1487" s="5"/>
    </row>
    <row r="1488" spans="3:53" s="41" customFormat="1" x14ac:dyDescent="0.2">
      <c r="C1488" s="71"/>
      <c r="D1488" s="58"/>
      <c r="E1488" s="38"/>
      <c r="F1488" s="58"/>
      <c r="G1488" s="5"/>
      <c r="H1488" s="44"/>
      <c r="I1488" s="5"/>
      <c r="J1488" s="43"/>
      <c r="K1488" s="43"/>
      <c r="L1488" s="57"/>
      <c r="M1488" s="56"/>
      <c r="N1488" s="3"/>
      <c r="P1488" s="5"/>
      <c r="Q1488" s="5"/>
      <c r="R1488" s="5"/>
      <c r="T1488" s="56"/>
      <c r="U1488" s="77"/>
      <c r="V1488" s="77"/>
      <c r="AA1488" s="3"/>
      <c r="AF1488" s="5"/>
      <c r="AG1488" s="5"/>
      <c r="AH1488" s="5"/>
      <c r="AI1488" s="5"/>
      <c r="AJ1488" s="5"/>
      <c r="AK1488" s="5"/>
      <c r="AL1488" s="5"/>
      <c r="AM1488" s="13"/>
      <c r="AN1488" s="13"/>
      <c r="AO1488" s="5"/>
      <c r="AP1488" s="5"/>
      <c r="AQ1488" s="5"/>
      <c r="AR1488" s="5"/>
      <c r="AS1488" s="5"/>
      <c r="AT1488" s="5"/>
      <c r="AU1488" s="5"/>
      <c r="AV1488" s="5"/>
      <c r="AW1488" s="5"/>
      <c r="AX1488" s="5"/>
      <c r="AY1488" s="5"/>
      <c r="AZ1488" s="5"/>
      <c r="BA1488" s="5"/>
    </row>
    <row r="1489" spans="3:53" s="41" customFormat="1" x14ac:dyDescent="0.2">
      <c r="C1489" s="71"/>
      <c r="D1489" s="58"/>
      <c r="E1489" s="38"/>
      <c r="F1489" s="58"/>
      <c r="G1489" s="5"/>
      <c r="H1489" s="44"/>
      <c r="I1489" s="5"/>
      <c r="J1489" s="43"/>
      <c r="K1489" s="43"/>
      <c r="L1489" s="57"/>
      <c r="M1489" s="56"/>
      <c r="N1489" s="3"/>
      <c r="P1489" s="5"/>
      <c r="Q1489" s="5"/>
      <c r="R1489" s="5"/>
      <c r="T1489" s="56"/>
      <c r="U1489" s="77"/>
      <c r="V1489" s="77"/>
      <c r="AA1489" s="3"/>
      <c r="AF1489" s="5"/>
      <c r="AG1489" s="5"/>
      <c r="AH1489" s="5"/>
      <c r="AI1489" s="5"/>
      <c r="AJ1489" s="5"/>
      <c r="AK1489" s="5"/>
      <c r="AL1489" s="5"/>
      <c r="AM1489" s="13"/>
      <c r="AN1489" s="13"/>
      <c r="AO1489" s="5"/>
      <c r="AP1489" s="5"/>
      <c r="AQ1489" s="5"/>
      <c r="AR1489" s="5"/>
      <c r="AS1489" s="5"/>
      <c r="AT1489" s="5"/>
      <c r="AU1489" s="5"/>
      <c r="AV1489" s="5"/>
      <c r="AW1489" s="5"/>
      <c r="AX1489" s="5"/>
      <c r="AY1489" s="5"/>
      <c r="AZ1489" s="5"/>
      <c r="BA1489" s="5"/>
    </row>
    <row r="1490" spans="3:53" s="41" customFormat="1" x14ac:dyDescent="0.2">
      <c r="C1490" s="71"/>
      <c r="D1490" s="58"/>
      <c r="E1490" s="38"/>
      <c r="F1490" s="58"/>
      <c r="G1490" s="5"/>
      <c r="H1490" s="44"/>
      <c r="I1490" s="5"/>
      <c r="J1490" s="43"/>
      <c r="K1490" s="43"/>
      <c r="L1490" s="57"/>
      <c r="M1490" s="56"/>
      <c r="N1490" s="3"/>
      <c r="P1490" s="5"/>
      <c r="Q1490" s="5"/>
      <c r="R1490" s="5"/>
      <c r="T1490" s="56"/>
      <c r="U1490" s="77"/>
      <c r="V1490" s="77"/>
      <c r="AA1490" s="3"/>
      <c r="AF1490" s="5"/>
      <c r="AG1490" s="5"/>
      <c r="AH1490" s="5"/>
      <c r="AI1490" s="5"/>
      <c r="AJ1490" s="5"/>
      <c r="AK1490" s="5"/>
      <c r="AL1490" s="5"/>
      <c r="AM1490" s="13"/>
      <c r="AN1490" s="13"/>
      <c r="AO1490" s="5"/>
      <c r="AP1490" s="5"/>
      <c r="AQ1490" s="5"/>
      <c r="AR1490" s="5"/>
      <c r="AS1490" s="5"/>
      <c r="AT1490" s="5"/>
      <c r="AU1490" s="5"/>
      <c r="AV1490" s="5"/>
      <c r="AW1490" s="5"/>
      <c r="AX1490" s="5"/>
      <c r="AY1490" s="5"/>
      <c r="AZ1490" s="5"/>
      <c r="BA1490" s="5"/>
    </row>
    <row r="1491" spans="3:53" s="41" customFormat="1" x14ac:dyDescent="0.2">
      <c r="C1491" s="71"/>
      <c r="D1491" s="58"/>
      <c r="E1491" s="38"/>
      <c r="F1491" s="58"/>
      <c r="G1491" s="5"/>
      <c r="H1491" s="44"/>
      <c r="I1491" s="5"/>
      <c r="J1491" s="43"/>
      <c r="K1491" s="43"/>
      <c r="L1491" s="57"/>
      <c r="M1491" s="56"/>
      <c r="N1491" s="3"/>
      <c r="P1491" s="5"/>
      <c r="Q1491" s="5"/>
      <c r="R1491" s="5"/>
      <c r="T1491" s="56"/>
      <c r="U1491" s="77"/>
      <c r="V1491" s="77"/>
      <c r="AA1491" s="3"/>
      <c r="AF1491" s="5"/>
      <c r="AG1491" s="5"/>
      <c r="AH1491" s="5"/>
      <c r="AI1491" s="5"/>
      <c r="AJ1491" s="5"/>
      <c r="AK1491" s="5"/>
      <c r="AL1491" s="5"/>
      <c r="AM1491" s="13"/>
      <c r="AN1491" s="13"/>
      <c r="AO1491" s="5"/>
      <c r="AP1491" s="5"/>
      <c r="AQ1491" s="5"/>
      <c r="AR1491" s="5"/>
      <c r="AS1491" s="5"/>
      <c r="AT1491" s="5"/>
      <c r="AU1491" s="5"/>
      <c r="AV1491" s="5"/>
      <c r="AW1491" s="5"/>
      <c r="AX1491" s="5"/>
      <c r="AY1491" s="5"/>
      <c r="AZ1491" s="5"/>
      <c r="BA1491" s="5"/>
    </row>
    <row r="1492" spans="3:53" s="41" customFormat="1" x14ac:dyDescent="0.2">
      <c r="C1492" s="71"/>
      <c r="D1492" s="58"/>
      <c r="E1492" s="38"/>
      <c r="F1492" s="58"/>
      <c r="G1492" s="5"/>
      <c r="H1492" s="44"/>
      <c r="I1492" s="5"/>
      <c r="J1492" s="43"/>
      <c r="K1492" s="43"/>
      <c r="L1492" s="57"/>
      <c r="M1492" s="56"/>
      <c r="N1492" s="3"/>
      <c r="P1492" s="5"/>
      <c r="Q1492" s="5"/>
      <c r="R1492" s="5"/>
      <c r="T1492" s="56"/>
      <c r="U1492" s="77"/>
      <c r="V1492" s="77"/>
      <c r="AA1492" s="3"/>
      <c r="AF1492" s="5"/>
      <c r="AG1492" s="5"/>
      <c r="AH1492" s="5"/>
      <c r="AI1492" s="5"/>
      <c r="AJ1492" s="5"/>
      <c r="AK1492" s="5"/>
      <c r="AL1492" s="5"/>
      <c r="AM1492" s="13"/>
      <c r="AN1492" s="13"/>
      <c r="AO1492" s="5"/>
      <c r="AP1492" s="5"/>
      <c r="AQ1492" s="5"/>
      <c r="AR1492" s="5"/>
      <c r="AS1492" s="5"/>
      <c r="AT1492" s="5"/>
      <c r="AU1492" s="5"/>
      <c r="AV1492" s="5"/>
      <c r="AW1492" s="5"/>
      <c r="AX1492" s="5"/>
      <c r="AY1492" s="5"/>
      <c r="AZ1492" s="5"/>
      <c r="BA1492" s="5"/>
    </row>
    <row r="1493" spans="3:53" s="41" customFormat="1" x14ac:dyDescent="0.2">
      <c r="C1493" s="71"/>
      <c r="D1493" s="58"/>
      <c r="E1493" s="38"/>
      <c r="F1493" s="58"/>
      <c r="G1493" s="5"/>
      <c r="H1493" s="44"/>
      <c r="I1493" s="5"/>
      <c r="J1493" s="43"/>
      <c r="K1493" s="43"/>
      <c r="L1493" s="57"/>
      <c r="M1493" s="56"/>
      <c r="N1493" s="3"/>
      <c r="P1493" s="5"/>
      <c r="Q1493" s="5"/>
      <c r="R1493" s="5"/>
      <c r="T1493" s="56"/>
      <c r="U1493" s="77"/>
      <c r="V1493" s="77"/>
      <c r="AA1493" s="3"/>
      <c r="AF1493" s="5"/>
      <c r="AG1493" s="5"/>
      <c r="AH1493" s="5"/>
      <c r="AI1493" s="5"/>
      <c r="AJ1493" s="5"/>
      <c r="AK1493" s="5"/>
      <c r="AL1493" s="5"/>
      <c r="AM1493" s="13"/>
      <c r="AN1493" s="13"/>
      <c r="AO1493" s="5"/>
      <c r="AP1493" s="5"/>
      <c r="AQ1493" s="5"/>
      <c r="AR1493" s="5"/>
      <c r="AS1493" s="5"/>
      <c r="AT1493" s="5"/>
      <c r="AU1493" s="5"/>
      <c r="AV1493" s="5"/>
      <c r="AW1493" s="5"/>
      <c r="AX1493" s="5"/>
      <c r="AY1493" s="5"/>
      <c r="AZ1493" s="5"/>
      <c r="BA1493" s="5"/>
    </row>
    <row r="1494" spans="3:53" s="41" customFormat="1" x14ac:dyDescent="0.2">
      <c r="C1494" s="71"/>
      <c r="D1494" s="58"/>
      <c r="E1494" s="38"/>
      <c r="F1494" s="58"/>
      <c r="G1494" s="5"/>
      <c r="H1494" s="44"/>
      <c r="I1494" s="5"/>
      <c r="J1494" s="43"/>
      <c r="K1494" s="43"/>
      <c r="L1494" s="57"/>
      <c r="M1494" s="56"/>
      <c r="N1494" s="3"/>
      <c r="P1494" s="5"/>
      <c r="Q1494" s="5"/>
      <c r="R1494" s="5"/>
      <c r="T1494" s="56"/>
      <c r="U1494" s="77"/>
      <c r="V1494" s="77"/>
      <c r="AA1494" s="3"/>
      <c r="AF1494" s="5"/>
      <c r="AG1494" s="5"/>
      <c r="AH1494" s="5"/>
      <c r="AI1494" s="5"/>
      <c r="AJ1494" s="5"/>
      <c r="AK1494" s="5"/>
      <c r="AL1494" s="5"/>
      <c r="AM1494" s="13"/>
      <c r="AN1494" s="13"/>
      <c r="AO1494" s="5"/>
      <c r="AP1494" s="5"/>
      <c r="AQ1494" s="5"/>
      <c r="AR1494" s="5"/>
      <c r="AS1494" s="5"/>
      <c r="AT1494" s="5"/>
      <c r="AU1494" s="5"/>
      <c r="AV1494" s="5"/>
      <c r="AW1494" s="5"/>
      <c r="AX1494" s="5"/>
      <c r="AY1494" s="5"/>
      <c r="AZ1494" s="5"/>
      <c r="BA1494" s="5"/>
    </row>
    <row r="1495" spans="3:53" s="41" customFormat="1" x14ac:dyDescent="0.2">
      <c r="C1495" s="71"/>
      <c r="D1495" s="58"/>
      <c r="E1495" s="38"/>
      <c r="F1495" s="58"/>
      <c r="G1495" s="5"/>
      <c r="H1495" s="44"/>
      <c r="I1495" s="5"/>
      <c r="J1495" s="43"/>
      <c r="K1495" s="43"/>
      <c r="L1495" s="57"/>
      <c r="M1495" s="56"/>
      <c r="N1495" s="3"/>
      <c r="P1495" s="5"/>
      <c r="Q1495" s="5"/>
      <c r="R1495" s="5"/>
      <c r="T1495" s="56"/>
      <c r="U1495" s="77"/>
      <c r="V1495" s="77"/>
      <c r="AA1495" s="3"/>
      <c r="AF1495" s="5"/>
      <c r="AG1495" s="5"/>
      <c r="AH1495" s="5"/>
      <c r="AI1495" s="5"/>
      <c r="AJ1495" s="5"/>
      <c r="AK1495" s="5"/>
      <c r="AL1495" s="5"/>
      <c r="AM1495" s="13"/>
      <c r="AN1495" s="13"/>
      <c r="AO1495" s="5"/>
      <c r="AP1495" s="5"/>
      <c r="AQ1495" s="5"/>
      <c r="AR1495" s="5"/>
      <c r="AS1495" s="5"/>
      <c r="AT1495" s="5"/>
      <c r="AU1495" s="5"/>
      <c r="AV1495" s="5"/>
      <c r="AW1495" s="5"/>
      <c r="AX1495" s="5"/>
      <c r="AY1495" s="5"/>
      <c r="AZ1495" s="5"/>
      <c r="BA1495" s="5"/>
    </row>
    <row r="1496" spans="3:53" s="41" customFormat="1" x14ac:dyDescent="0.2">
      <c r="C1496" s="71"/>
      <c r="D1496" s="58"/>
      <c r="E1496" s="38"/>
      <c r="F1496" s="58"/>
      <c r="G1496" s="5"/>
      <c r="H1496" s="44"/>
      <c r="I1496" s="5"/>
      <c r="J1496" s="43"/>
      <c r="K1496" s="43"/>
      <c r="L1496" s="57"/>
      <c r="M1496" s="56"/>
      <c r="N1496" s="3"/>
      <c r="P1496" s="5"/>
      <c r="Q1496" s="5"/>
      <c r="R1496" s="5"/>
      <c r="T1496" s="56"/>
      <c r="U1496" s="77"/>
      <c r="V1496" s="77"/>
      <c r="AA1496" s="3"/>
      <c r="AF1496" s="5"/>
      <c r="AG1496" s="5"/>
      <c r="AH1496" s="5"/>
      <c r="AI1496" s="5"/>
      <c r="AJ1496" s="5"/>
      <c r="AK1496" s="5"/>
      <c r="AL1496" s="5"/>
      <c r="AM1496" s="13"/>
      <c r="AN1496" s="13"/>
      <c r="AO1496" s="5"/>
      <c r="AP1496" s="5"/>
      <c r="AQ1496" s="5"/>
      <c r="AR1496" s="5"/>
      <c r="AS1496" s="5"/>
      <c r="AT1496" s="5"/>
      <c r="AU1496" s="5"/>
      <c r="AV1496" s="5"/>
      <c r="AW1496" s="5"/>
      <c r="AX1496" s="5"/>
      <c r="AY1496" s="5"/>
      <c r="AZ1496" s="5"/>
      <c r="BA1496" s="5"/>
    </row>
    <row r="1497" spans="3:53" s="41" customFormat="1" x14ac:dyDescent="0.2">
      <c r="C1497" s="71"/>
      <c r="D1497" s="58"/>
      <c r="E1497" s="38"/>
      <c r="F1497" s="58"/>
      <c r="G1497" s="5"/>
      <c r="H1497" s="44"/>
      <c r="I1497" s="5"/>
      <c r="J1497" s="43"/>
      <c r="K1497" s="43"/>
      <c r="L1497" s="57"/>
      <c r="M1497" s="56"/>
      <c r="N1497" s="3"/>
      <c r="P1497" s="5"/>
      <c r="Q1497" s="5"/>
      <c r="R1497" s="5"/>
      <c r="T1497" s="56"/>
      <c r="U1497" s="77"/>
      <c r="V1497" s="77"/>
      <c r="AA1497" s="3"/>
      <c r="AF1497" s="5"/>
      <c r="AG1497" s="5"/>
      <c r="AH1497" s="5"/>
      <c r="AI1497" s="5"/>
      <c r="AJ1497" s="5"/>
      <c r="AK1497" s="5"/>
      <c r="AL1497" s="5"/>
      <c r="AM1497" s="13"/>
      <c r="AN1497" s="13"/>
      <c r="AO1497" s="5"/>
      <c r="AP1497" s="5"/>
      <c r="AQ1497" s="5"/>
      <c r="AR1497" s="5"/>
      <c r="AS1497" s="5"/>
      <c r="AT1497" s="5"/>
      <c r="AU1497" s="5"/>
      <c r="AV1497" s="5"/>
      <c r="AW1497" s="5"/>
      <c r="AX1497" s="5"/>
      <c r="AY1497" s="5"/>
      <c r="AZ1497" s="5"/>
      <c r="BA1497" s="5"/>
    </row>
    <row r="1498" spans="3:53" s="41" customFormat="1" x14ac:dyDescent="0.2">
      <c r="C1498" s="71"/>
      <c r="D1498" s="58"/>
      <c r="E1498" s="38"/>
      <c r="F1498" s="58"/>
      <c r="G1498" s="5"/>
      <c r="H1498" s="44"/>
      <c r="I1498" s="5"/>
      <c r="J1498" s="43"/>
      <c r="K1498" s="43"/>
      <c r="L1498" s="57"/>
      <c r="M1498" s="56"/>
      <c r="N1498" s="3"/>
      <c r="P1498" s="5"/>
      <c r="Q1498" s="5"/>
      <c r="R1498" s="5"/>
      <c r="T1498" s="56"/>
      <c r="U1498" s="77"/>
      <c r="V1498" s="77"/>
      <c r="AA1498" s="3"/>
      <c r="AF1498" s="5"/>
      <c r="AG1498" s="5"/>
      <c r="AH1498" s="5"/>
      <c r="AI1498" s="5"/>
      <c r="AJ1498" s="5"/>
      <c r="AK1498" s="5"/>
      <c r="AL1498" s="5"/>
      <c r="AM1498" s="13"/>
      <c r="AN1498" s="13"/>
      <c r="AO1498" s="5"/>
      <c r="AP1498" s="5"/>
      <c r="AQ1498" s="5"/>
      <c r="AR1498" s="5"/>
      <c r="AS1498" s="5"/>
      <c r="AT1498" s="5"/>
      <c r="AU1498" s="5"/>
      <c r="AV1498" s="5"/>
      <c r="AW1498" s="5"/>
      <c r="AX1498" s="5"/>
      <c r="AY1498" s="5"/>
      <c r="AZ1498" s="5"/>
      <c r="BA1498" s="5"/>
    </row>
    <row r="1499" spans="3:53" s="41" customFormat="1" x14ac:dyDescent="0.2">
      <c r="C1499" s="71"/>
      <c r="D1499" s="58"/>
      <c r="E1499" s="38"/>
      <c r="F1499" s="58"/>
      <c r="G1499" s="5"/>
      <c r="H1499" s="44"/>
      <c r="I1499" s="5"/>
      <c r="J1499" s="43"/>
      <c r="K1499" s="43"/>
      <c r="L1499" s="57"/>
      <c r="M1499" s="56"/>
      <c r="N1499" s="3"/>
      <c r="P1499" s="5"/>
      <c r="Q1499" s="5"/>
      <c r="R1499" s="5"/>
      <c r="T1499" s="56"/>
      <c r="U1499" s="77"/>
      <c r="V1499" s="77"/>
      <c r="AA1499" s="3"/>
      <c r="AF1499" s="5"/>
      <c r="AG1499" s="5"/>
      <c r="AH1499" s="5"/>
      <c r="AI1499" s="5"/>
      <c r="AJ1499" s="5"/>
      <c r="AK1499" s="5"/>
      <c r="AL1499" s="5"/>
      <c r="AM1499" s="13"/>
      <c r="AN1499" s="13"/>
      <c r="AO1499" s="5"/>
      <c r="AP1499" s="5"/>
      <c r="AQ1499" s="5"/>
      <c r="AR1499" s="5"/>
      <c r="AS1499" s="5"/>
      <c r="AT1499" s="5"/>
      <c r="AU1499" s="5"/>
      <c r="AV1499" s="5"/>
      <c r="AW1499" s="5"/>
      <c r="AX1499" s="5"/>
      <c r="AY1499" s="5"/>
      <c r="AZ1499" s="5"/>
      <c r="BA1499" s="5"/>
    </row>
    <row r="1500" spans="3:53" s="41" customFormat="1" x14ac:dyDescent="0.2">
      <c r="C1500" s="71"/>
      <c r="D1500" s="58"/>
      <c r="E1500" s="38"/>
      <c r="F1500" s="58"/>
      <c r="G1500" s="5"/>
      <c r="H1500" s="44"/>
      <c r="I1500" s="5"/>
      <c r="J1500" s="43"/>
      <c r="K1500" s="43"/>
      <c r="L1500" s="57"/>
      <c r="M1500" s="56"/>
      <c r="N1500" s="3"/>
      <c r="P1500" s="5"/>
      <c r="Q1500" s="5"/>
      <c r="R1500" s="5"/>
      <c r="T1500" s="56"/>
      <c r="U1500" s="77"/>
      <c r="V1500" s="77"/>
      <c r="AA1500" s="3"/>
      <c r="AF1500" s="5"/>
      <c r="AG1500" s="5"/>
      <c r="AH1500" s="5"/>
      <c r="AI1500" s="5"/>
      <c r="AJ1500" s="5"/>
      <c r="AK1500" s="5"/>
      <c r="AL1500" s="5"/>
      <c r="AM1500" s="13"/>
      <c r="AN1500" s="13"/>
      <c r="AO1500" s="5"/>
      <c r="AP1500" s="5"/>
      <c r="AQ1500" s="5"/>
      <c r="AR1500" s="5"/>
      <c r="AS1500" s="5"/>
      <c r="AT1500" s="5"/>
      <c r="AU1500" s="5"/>
      <c r="AV1500" s="5"/>
      <c r="AW1500" s="5"/>
      <c r="AX1500" s="5"/>
      <c r="AY1500" s="5"/>
      <c r="AZ1500" s="5"/>
      <c r="BA1500" s="5"/>
    </row>
    <row r="1501" spans="3:53" s="41" customFormat="1" x14ac:dyDescent="0.2">
      <c r="C1501" s="71"/>
      <c r="D1501" s="58"/>
      <c r="E1501" s="38"/>
      <c r="F1501" s="58"/>
      <c r="G1501" s="5"/>
      <c r="H1501" s="44"/>
      <c r="I1501" s="5"/>
      <c r="J1501" s="43"/>
      <c r="K1501" s="43"/>
      <c r="L1501" s="57"/>
      <c r="M1501" s="56"/>
      <c r="N1501" s="3"/>
      <c r="P1501" s="5"/>
      <c r="Q1501" s="5"/>
      <c r="R1501" s="5"/>
      <c r="T1501" s="56"/>
      <c r="U1501" s="77"/>
      <c r="V1501" s="77"/>
      <c r="AA1501" s="3"/>
      <c r="AF1501" s="5"/>
      <c r="AG1501" s="5"/>
      <c r="AH1501" s="5"/>
      <c r="AI1501" s="5"/>
      <c r="AJ1501" s="5"/>
      <c r="AK1501" s="5"/>
      <c r="AL1501" s="5"/>
      <c r="AM1501" s="13"/>
      <c r="AN1501" s="13"/>
      <c r="AO1501" s="5"/>
      <c r="AP1501" s="5"/>
      <c r="AQ1501" s="5"/>
      <c r="AR1501" s="5"/>
      <c r="AS1501" s="5"/>
      <c r="AT1501" s="5"/>
      <c r="AU1501" s="5"/>
      <c r="AV1501" s="5"/>
      <c r="AW1501" s="5"/>
      <c r="AX1501" s="5"/>
      <c r="AY1501" s="5"/>
      <c r="AZ1501" s="5"/>
      <c r="BA1501" s="5"/>
    </row>
    <row r="1502" spans="3:53" s="41" customFormat="1" x14ac:dyDescent="0.2">
      <c r="C1502" s="71"/>
      <c r="D1502" s="58"/>
      <c r="E1502" s="38"/>
      <c r="F1502" s="58"/>
      <c r="G1502" s="5"/>
      <c r="H1502" s="44"/>
      <c r="I1502" s="5"/>
      <c r="J1502" s="43"/>
      <c r="K1502" s="43"/>
      <c r="L1502" s="57"/>
      <c r="M1502" s="56"/>
      <c r="N1502" s="3"/>
      <c r="P1502" s="5"/>
      <c r="Q1502" s="5"/>
      <c r="R1502" s="5"/>
      <c r="T1502" s="56"/>
      <c r="U1502" s="77"/>
      <c r="V1502" s="77"/>
      <c r="AA1502" s="3"/>
      <c r="AF1502" s="5"/>
      <c r="AG1502" s="5"/>
      <c r="AH1502" s="5"/>
      <c r="AI1502" s="5"/>
      <c r="AJ1502" s="5"/>
      <c r="AK1502" s="5"/>
      <c r="AL1502" s="5"/>
      <c r="AM1502" s="13"/>
      <c r="AN1502" s="13"/>
      <c r="AO1502" s="5"/>
      <c r="AP1502" s="5"/>
      <c r="AQ1502" s="5"/>
      <c r="AR1502" s="5"/>
      <c r="AS1502" s="5"/>
      <c r="AT1502" s="5"/>
      <c r="AU1502" s="5"/>
      <c r="AV1502" s="5"/>
      <c r="AW1502" s="5"/>
      <c r="AX1502" s="5"/>
      <c r="AY1502" s="5"/>
      <c r="AZ1502" s="5"/>
      <c r="BA1502" s="5"/>
    </row>
    <row r="1503" spans="3:53" s="41" customFormat="1" x14ac:dyDescent="0.2">
      <c r="C1503" s="71"/>
      <c r="D1503" s="58"/>
      <c r="E1503" s="38"/>
      <c r="F1503" s="58"/>
      <c r="G1503" s="5"/>
      <c r="H1503" s="44"/>
      <c r="I1503" s="5"/>
      <c r="J1503" s="43"/>
      <c r="K1503" s="43"/>
      <c r="L1503" s="57"/>
      <c r="M1503" s="56"/>
      <c r="N1503" s="3"/>
      <c r="P1503" s="5"/>
      <c r="Q1503" s="5"/>
      <c r="R1503" s="5"/>
      <c r="T1503" s="56"/>
      <c r="U1503" s="77"/>
      <c r="V1503" s="77"/>
      <c r="AA1503" s="3"/>
      <c r="AF1503" s="5"/>
      <c r="AG1503" s="5"/>
      <c r="AH1503" s="5"/>
      <c r="AI1503" s="5"/>
      <c r="AJ1503" s="5"/>
      <c r="AK1503" s="5"/>
      <c r="AL1503" s="5"/>
      <c r="AM1503" s="13"/>
      <c r="AN1503" s="13"/>
      <c r="AO1503" s="5"/>
      <c r="AP1503" s="5"/>
      <c r="AQ1503" s="5"/>
      <c r="AR1503" s="5"/>
      <c r="AS1503" s="5"/>
      <c r="AT1503" s="5"/>
      <c r="AU1503" s="5"/>
      <c r="AV1503" s="5"/>
      <c r="AW1503" s="5"/>
      <c r="AX1503" s="5"/>
      <c r="AY1503" s="5"/>
      <c r="AZ1503" s="5"/>
      <c r="BA1503" s="5"/>
    </row>
    <row r="1504" spans="3:53" s="41" customFormat="1" x14ac:dyDescent="0.2">
      <c r="C1504" s="71"/>
      <c r="D1504" s="58"/>
      <c r="E1504" s="38"/>
      <c r="F1504" s="58"/>
      <c r="G1504" s="5"/>
      <c r="H1504" s="44"/>
      <c r="I1504" s="5"/>
      <c r="J1504" s="43"/>
      <c r="K1504" s="43"/>
      <c r="L1504" s="57"/>
      <c r="M1504" s="56"/>
      <c r="N1504" s="3"/>
      <c r="P1504" s="5"/>
      <c r="Q1504" s="5"/>
      <c r="R1504" s="5"/>
      <c r="T1504" s="56"/>
      <c r="U1504" s="77"/>
      <c r="V1504" s="77"/>
      <c r="AA1504" s="3"/>
      <c r="AF1504" s="5"/>
      <c r="AG1504" s="5"/>
      <c r="AH1504" s="5"/>
      <c r="AI1504" s="5"/>
      <c r="AJ1504" s="5"/>
      <c r="AK1504" s="5"/>
      <c r="AL1504" s="5"/>
      <c r="AM1504" s="13"/>
      <c r="AN1504" s="13"/>
      <c r="AO1504" s="5"/>
      <c r="AP1504" s="5"/>
      <c r="AQ1504" s="5"/>
      <c r="AR1504" s="5"/>
      <c r="AS1504" s="5"/>
      <c r="AT1504" s="5"/>
      <c r="AU1504" s="5"/>
      <c r="AV1504" s="5"/>
      <c r="AW1504" s="5"/>
      <c r="AX1504" s="5"/>
      <c r="AY1504" s="5"/>
      <c r="AZ1504" s="5"/>
      <c r="BA1504" s="5"/>
    </row>
    <row r="1505" spans="3:53" s="41" customFormat="1" x14ac:dyDescent="0.2">
      <c r="C1505" s="71"/>
      <c r="D1505" s="58"/>
      <c r="E1505" s="38"/>
      <c r="F1505" s="58"/>
      <c r="G1505" s="5"/>
      <c r="H1505" s="44"/>
      <c r="I1505" s="5"/>
      <c r="J1505" s="43"/>
      <c r="K1505" s="43"/>
      <c r="L1505" s="57"/>
      <c r="M1505" s="56"/>
      <c r="N1505" s="3"/>
      <c r="P1505" s="5"/>
      <c r="Q1505" s="5"/>
      <c r="R1505" s="5"/>
      <c r="T1505" s="56"/>
      <c r="U1505" s="77"/>
      <c r="V1505" s="77"/>
      <c r="AA1505" s="3"/>
      <c r="AF1505" s="5"/>
      <c r="AG1505" s="5"/>
      <c r="AH1505" s="5"/>
      <c r="AI1505" s="5"/>
      <c r="AJ1505" s="5"/>
      <c r="AK1505" s="5"/>
      <c r="AL1505" s="5"/>
      <c r="AM1505" s="13"/>
      <c r="AN1505" s="13"/>
      <c r="AO1505" s="5"/>
      <c r="AP1505" s="5"/>
      <c r="AQ1505" s="5"/>
      <c r="AR1505" s="5"/>
      <c r="AS1505" s="5"/>
      <c r="AT1505" s="5"/>
      <c r="AU1505" s="5"/>
      <c r="AV1505" s="5"/>
      <c r="AW1505" s="5"/>
      <c r="AX1505" s="5"/>
      <c r="AY1505" s="5"/>
      <c r="AZ1505" s="5"/>
      <c r="BA1505" s="5"/>
    </row>
    <row r="1506" spans="3:53" s="41" customFormat="1" x14ac:dyDescent="0.2">
      <c r="C1506" s="71"/>
      <c r="D1506" s="58"/>
      <c r="E1506" s="38"/>
      <c r="F1506" s="58"/>
      <c r="G1506" s="5"/>
      <c r="H1506" s="44"/>
      <c r="I1506" s="5"/>
      <c r="J1506" s="43"/>
      <c r="K1506" s="43"/>
      <c r="L1506" s="57"/>
      <c r="M1506" s="56"/>
      <c r="N1506" s="3"/>
      <c r="P1506" s="5"/>
      <c r="Q1506" s="5"/>
      <c r="R1506" s="5"/>
      <c r="T1506" s="56"/>
      <c r="U1506" s="77"/>
      <c r="V1506" s="77"/>
      <c r="AA1506" s="3"/>
      <c r="AF1506" s="5"/>
      <c r="AG1506" s="5"/>
      <c r="AH1506" s="5"/>
      <c r="AI1506" s="5"/>
      <c r="AJ1506" s="5"/>
      <c r="AK1506" s="5"/>
      <c r="AL1506" s="5"/>
      <c r="AM1506" s="13"/>
      <c r="AN1506" s="13"/>
      <c r="AO1506" s="5"/>
      <c r="AP1506" s="5"/>
      <c r="AQ1506" s="5"/>
      <c r="AR1506" s="5"/>
      <c r="AS1506" s="5"/>
      <c r="AT1506" s="5"/>
      <c r="AU1506" s="5"/>
      <c r="AV1506" s="5"/>
      <c r="AW1506" s="5"/>
      <c r="AX1506" s="5"/>
      <c r="AY1506" s="5"/>
      <c r="AZ1506" s="5"/>
      <c r="BA1506" s="5"/>
    </row>
    <row r="1507" spans="3:53" s="41" customFormat="1" x14ac:dyDescent="0.2">
      <c r="C1507" s="71"/>
      <c r="D1507" s="58"/>
      <c r="E1507" s="38"/>
      <c r="F1507" s="58"/>
      <c r="G1507" s="5"/>
      <c r="H1507" s="44"/>
      <c r="I1507" s="5"/>
      <c r="J1507" s="43"/>
      <c r="K1507" s="43"/>
      <c r="L1507" s="57"/>
      <c r="M1507" s="56"/>
      <c r="N1507" s="3"/>
      <c r="P1507" s="5"/>
      <c r="Q1507" s="5"/>
      <c r="R1507" s="5"/>
      <c r="T1507" s="56"/>
      <c r="U1507" s="77"/>
      <c r="V1507" s="77"/>
      <c r="AA1507" s="3"/>
      <c r="AF1507" s="5"/>
      <c r="AG1507" s="5"/>
      <c r="AH1507" s="5"/>
      <c r="AI1507" s="5"/>
      <c r="AJ1507" s="5"/>
      <c r="AK1507" s="5"/>
      <c r="AL1507" s="5"/>
      <c r="AM1507" s="13"/>
      <c r="AN1507" s="13"/>
      <c r="AO1507" s="5"/>
      <c r="AP1507" s="5"/>
      <c r="AQ1507" s="5"/>
      <c r="AR1507" s="5"/>
      <c r="AS1507" s="5"/>
      <c r="AT1507" s="5"/>
      <c r="AU1507" s="5"/>
      <c r="AV1507" s="5"/>
      <c r="AW1507" s="5"/>
      <c r="AX1507" s="5"/>
      <c r="AY1507" s="5"/>
      <c r="AZ1507" s="5"/>
      <c r="BA1507" s="5"/>
    </row>
    <row r="1508" spans="3:53" s="41" customFormat="1" x14ac:dyDescent="0.2">
      <c r="C1508" s="71"/>
      <c r="D1508" s="58"/>
      <c r="E1508" s="38"/>
      <c r="F1508" s="58"/>
      <c r="G1508" s="5"/>
      <c r="H1508" s="44"/>
      <c r="I1508" s="5"/>
      <c r="J1508" s="43"/>
      <c r="K1508" s="43"/>
      <c r="L1508" s="57"/>
      <c r="M1508" s="56"/>
      <c r="N1508" s="3"/>
      <c r="P1508" s="5"/>
      <c r="Q1508" s="5"/>
      <c r="R1508" s="5"/>
      <c r="T1508" s="56"/>
      <c r="U1508" s="77"/>
      <c r="V1508" s="77"/>
      <c r="AA1508" s="3"/>
      <c r="AF1508" s="5"/>
      <c r="AG1508" s="5"/>
      <c r="AH1508" s="5"/>
      <c r="AI1508" s="5"/>
      <c r="AJ1508" s="5"/>
      <c r="AK1508" s="5"/>
      <c r="AL1508" s="5"/>
      <c r="AM1508" s="13"/>
      <c r="AN1508" s="13"/>
      <c r="AO1508" s="5"/>
      <c r="AP1508" s="5"/>
      <c r="AQ1508" s="5"/>
      <c r="AR1508" s="5"/>
      <c r="AS1508" s="5"/>
      <c r="AT1508" s="5"/>
      <c r="AU1508" s="5"/>
      <c r="AV1508" s="5"/>
      <c r="AW1508" s="5"/>
      <c r="AX1508" s="5"/>
      <c r="AY1508" s="5"/>
      <c r="AZ1508" s="5"/>
      <c r="BA1508" s="5"/>
    </row>
    <row r="1509" spans="3:53" s="41" customFormat="1" x14ac:dyDescent="0.2">
      <c r="C1509" s="71"/>
      <c r="D1509" s="58"/>
      <c r="E1509" s="38"/>
      <c r="F1509" s="58"/>
      <c r="G1509" s="5"/>
      <c r="H1509" s="44"/>
      <c r="I1509" s="5"/>
      <c r="J1509" s="43"/>
      <c r="K1509" s="43"/>
      <c r="L1509" s="57"/>
      <c r="M1509" s="56"/>
      <c r="N1509" s="3"/>
      <c r="P1509" s="5"/>
      <c r="Q1509" s="5"/>
      <c r="R1509" s="5"/>
      <c r="T1509" s="56"/>
      <c r="U1509" s="77"/>
      <c r="V1509" s="77"/>
      <c r="AA1509" s="3"/>
      <c r="AF1509" s="5"/>
      <c r="AG1509" s="5"/>
      <c r="AH1509" s="5"/>
      <c r="AI1509" s="5"/>
      <c r="AJ1509" s="5"/>
      <c r="AK1509" s="5"/>
      <c r="AL1509" s="5"/>
      <c r="AM1509" s="13"/>
      <c r="AN1509" s="13"/>
      <c r="AO1509" s="5"/>
      <c r="AP1509" s="5"/>
      <c r="AQ1509" s="5"/>
      <c r="AR1509" s="5"/>
      <c r="AS1509" s="5"/>
      <c r="AT1509" s="5"/>
      <c r="AU1509" s="5"/>
      <c r="AV1509" s="5"/>
      <c r="AW1509" s="5"/>
      <c r="AX1509" s="5"/>
      <c r="AY1509" s="5"/>
      <c r="AZ1509" s="5"/>
      <c r="BA1509" s="5"/>
    </row>
    <row r="1510" spans="3:53" s="41" customFormat="1" x14ac:dyDescent="0.2">
      <c r="C1510" s="71"/>
      <c r="D1510" s="58"/>
      <c r="E1510" s="38"/>
      <c r="F1510" s="58"/>
      <c r="G1510" s="5"/>
      <c r="H1510" s="44"/>
      <c r="I1510" s="5"/>
      <c r="J1510" s="43"/>
      <c r="K1510" s="43"/>
      <c r="L1510" s="57"/>
      <c r="M1510" s="56"/>
      <c r="N1510" s="3"/>
      <c r="P1510" s="5"/>
      <c r="Q1510" s="5"/>
      <c r="R1510" s="5"/>
      <c r="T1510" s="56"/>
      <c r="U1510" s="77"/>
      <c r="V1510" s="77"/>
      <c r="AA1510" s="3"/>
      <c r="AF1510" s="5"/>
      <c r="AG1510" s="5"/>
      <c r="AH1510" s="5"/>
      <c r="AI1510" s="5"/>
      <c r="AJ1510" s="5"/>
      <c r="AK1510" s="5"/>
      <c r="AL1510" s="5"/>
      <c r="AM1510" s="13"/>
      <c r="AN1510" s="13"/>
      <c r="AO1510" s="5"/>
      <c r="AP1510" s="5"/>
      <c r="AQ1510" s="5"/>
      <c r="AR1510" s="5"/>
      <c r="AS1510" s="5"/>
      <c r="AT1510" s="5"/>
      <c r="AU1510" s="5"/>
      <c r="AV1510" s="5"/>
      <c r="AW1510" s="5"/>
      <c r="AX1510" s="5"/>
      <c r="AY1510" s="5"/>
      <c r="AZ1510" s="5"/>
      <c r="BA1510" s="5"/>
    </row>
    <row r="1511" spans="3:53" s="41" customFormat="1" x14ac:dyDescent="0.2">
      <c r="C1511" s="71"/>
      <c r="D1511" s="58"/>
      <c r="E1511" s="38"/>
      <c r="F1511" s="58"/>
      <c r="G1511" s="5"/>
      <c r="H1511" s="44"/>
      <c r="I1511" s="5"/>
      <c r="J1511" s="43"/>
      <c r="K1511" s="43"/>
      <c r="L1511" s="57"/>
      <c r="M1511" s="56"/>
      <c r="N1511" s="3"/>
      <c r="P1511" s="5"/>
      <c r="Q1511" s="5"/>
      <c r="R1511" s="5"/>
      <c r="T1511" s="56"/>
      <c r="U1511" s="77"/>
      <c r="V1511" s="77"/>
      <c r="AA1511" s="3"/>
      <c r="AF1511" s="5"/>
      <c r="AG1511" s="5"/>
      <c r="AH1511" s="5"/>
      <c r="AI1511" s="5"/>
      <c r="AJ1511" s="5"/>
      <c r="AK1511" s="5"/>
      <c r="AL1511" s="5"/>
      <c r="AM1511" s="13"/>
      <c r="AN1511" s="13"/>
      <c r="AO1511" s="5"/>
      <c r="AP1511" s="5"/>
      <c r="AQ1511" s="5"/>
      <c r="AR1511" s="5"/>
      <c r="AS1511" s="5"/>
      <c r="AT1511" s="5"/>
      <c r="AU1511" s="5"/>
      <c r="AV1511" s="5"/>
      <c r="AW1511" s="5"/>
      <c r="AX1511" s="5"/>
      <c r="AY1511" s="5"/>
      <c r="AZ1511" s="5"/>
      <c r="BA1511" s="5"/>
    </row>
    <row r="1512" spans="3:53" s="41" customFormat="1" x14ac:dyDescent="0.2">
      <c r="C1512" s="71"/>
      <c r="D1512" s="58"/>
      <c r="E1512" s="38"/>
      <c r="F1512" s="58"/>
      <c r="G1512" s="5"/>
      <c r="H1512" s="44"/>
      <c r="I1512" s="5"/>
      <c r="J1512" s="43"/>
      <c r="K1512" s="43"/>
      <c r="L1512" s="57"/>
      <c r="M1512" s="56"/>
      <c r="N1512" s="3"/>
      <c r="P1512" s="5"/>
      <c r="Q1512" s="5"/>
      <c r="R1512" s="5"/>
      <c r="T1512" s="56"/>
      <c r="U1512" s="77"/>
      <c r="V1512" s="77"/>
      <c r="AA1512" s="3"/>
      <c r="AF1512" s="5"/>
      <c r="AG1512" s="5"/>
      <c r="AH1512" s="5"/>
      <c r="AI1512" s="5"/>
      <c r="AJ1512" s="5"/>
      <c r="AK1512" s="5"/>
      <c r="AL1512" s="5"/>
      <c r="AM1512" s="13"/>
      <c r="AN1512" s="13"/>
      <c r="AO1512" s="5"/>
      <c r="AP1512" s="5"/>
      <c r="AQ1512" s="5"/>
      <c r="AR1512" s="5"/>
      <c r="AS1512" s="5"/>
      <c r="AT1512" s="5"/>
      <c r="AU1512" s="5"/>
      <c r="AV1512" s="5"/>
      <c r="AW1512" s="5"/>
      <c r="AX1512" s="5"/>
      <c r="AY1512" s="5"/>
      <c r="AZ1512" s="5"/>
      <c r="BA1512" s="5"/>
    </row>
    <row r="1513" spans="3:53" s="41" customFormat="1" x14ac:dyDescent="0.2">
      <c r="C1513" s="71"/>
      <c r="D1513" s="58"/>
      <c r="E1513" s="38"/>
      <c r="F1513" s="58"/>
      <c r="G1513" s="5"/>
      <c r="H1513" s="44"/>
      <c r="I1513" s="5"/>
      <c r="J1513" s="43"/>
      <c r="K1513" s="43"/>
      <c r="L1513" s="57"/>
      <c r="M1513" s="56"/>
      <c r="N1513" s="3"/>
      <c r="P1513" s="5"/>
      <c r="Q1513" s="5"/>
      <c r="R1513" s="5"/>
      <c r="T1513" s="56"/>
      <c r="U1513" s="77"/>
      <c r="V1513" s="77"/>
      <c r="AA1513" s="3"/>
      <c r="AF1513" s="5"/>
      <c r="AG1513" s="5"/>
      <c r="AH1513" s="5"/>
      <c r="AI1513" s="5"/>
      <c r="AJ1513" s="5"/>
      <c r="AK1513" s="5"/>
      <c r="AL1513" s="5"/>
      <c r="AM1513" s="13"/>
      <c r="AN1513" s="13"/>
      <c r="AO1513" s="5"/>
      <c r="AP1513" s="5"/>
      <c r="AQ1513" s="5"/>
      <c r="AR1513" s="5"/>
      <c r="AS1513" s="5"/>
      <c r="AT1513" s="5"/>
      <c r="AU1513" s="5"/>
      <c r="AV1513" s="5"/>
      <c r="AW1513" s="5"/>
      <c r="AX1513" s="5"/>
      <c r="AY1513" s="5"/>
      <c r="AZ1513" s="5"/>
      <c r="BA1513" s="5"/>
    </row>
    <row r="1514" spans="3:53" s="41" customFormat="1" x14ac:dyDescent="0.2">
      <c r="C1514" s="71"/>
      <c r="D1514" s="58"/>
      <c r="E1514" s="38"/>
      <c r="F1514" s="58"/>
      <c r="G1514" s="5"/>
      <c r="H1514" s="44"/>
      <c r="I1514" s="5"/>
      <c r="J1514" s="43"/>
      <c r="K1514" s="43"/>
      <c r="L1514" s="57"/>
      <c r="M1514" s="56"/>
      <c r="N1514" s="3"/>
      <c r="P1514" s="5"/>
      <c r="Q1514" s="5"/>
      <c r="R1514" s="5"/>
      <c r="T1514" s="56"/>
      <c r="U1514" s="77"/>
      <c r="V1514" s="77"/>
      <c r="AA1514" s="3"/>
      <c r="AF1514" s="5"/>
      <c r="AG1514" s="5"/>
      <c r="AH1514" s="5"/>
      <c r="AI1514" s="5"/>
      <c r="AJ1514" s="5"/>
      <c r="AK1514" s="5"/>
      <c r="AL1514" s="5"/>
      <c r="AM1514" s="13"/>
      <c r="AN1514" s="13"/>
      <c r="AO1514" s="5"/>
      <c r="AP1514" s="5"/>
      <c r="AQ1514" s="5"/>
      <c r="AR1514" s="5"/>
      <c r="AS1514" s="5"/>
      <c r="AT1514" s="5"/>
      <c r="AU1514" s="5"/>
      <c r="AV1514" s="5"/>
      <c r="AW1514" s="5"/>
      <c r="AX1514" s="5"/>
      <c r="AY1514" s="5"/>
      <c r="AZ1514" s="5"/>
      <c r="BA1514" s="5"/>
    </row>
    <row r="1515" spans="3:53" s="41" customFormat="1" x14ac:dyDescent="0.2">
      <c r="C1515" s="71"/>
      <c r="D1515" s="58"/>
      <c r="E1515" s="38"/>
      <c r="F1515" s="58"/>
      <c r="G1515" s="5"/>
      <c r="H1515" s="44"/>
      <c r="I1515" s="5"/>
      <c r="J1515" s="43"/>
      <c r="K1515" s="43"/>
      <c r="L1515" s="57"/>
      <c r="M1515" s="56"/>
      <c r="N1515" s="3"/>
      <c r="P1515" s="5"/>
      <c r="Q1515" s="5"/>
      <c r="R1515" s="5"/>
      <c r="T1515" s="56"/>
      <c r="U1515" s="77"/>
      <c r="V1515" s="77"/>
      <c r="AA1515" s="3"/>
      <c r="AF1515" s="5"/>
      <c r="AG1515" s="5"/>
      <c r="AH1515" s="5"/>
      <c r="AI1515" s="5"/>
      <c r="AJ1515" s="5"/>
      <c r="AK1515" s="5"/>
      <c r="AL1515" s="5"/>
      <c r="AM1515" s="13"/>
      <c r="AN1515" s="13"/>
      <c r="AO1515" s="5"/>
      <c r="AP1515" s="5"/>
      <c r="AQ1515" s="5"/>
      <c r="AR1515" s="5"/>
      <c r="AS1515" s="5"/>
      <c r="AT1515" s="5"/>
      <c r="AU1515" s="5"/>
      <c r="AV1515" s="5"/>
      <c r="AW1515" s="5"/>
      <c r="AX1515" s="5"/>
      <c r="AY1515" s="5"/>
      <c r="AZ1515" s="5"/>
      <c r="BA1515" s="5"/>
    </row>
    <row r="1516" spans="3:53" s="41" customFormat="1" x14ac:dyDescent="0.2">
      <c r="C1516" s="71"/>
      <c r="D1516" s="58"/>
      <c r="E1516" s="38"/>
      <c r="F1516" s="58"/>
      <c r="G1516" s="5"/>
      <c r="H1516" s="44"/>
      <c r="I1516" s="5"/>
      <c r="J1516" s="43"/>
      <c r="K1516" s="43"/>
      <c r="L1516" s="57"/>
      <c r="M1516" s="56"/>
      <c r="N1516" s="3"/>
      <c r="P1516" s="5"/>
      <c r="Q1516" s="5"/>
      <c r="R1516" s="5"/>
      <c r="T1516" s="56"/>
      <c r="U1516" s="77"/>
      <c r="V1516" s="77"/>
      <c r="AA1516" s="3"/>
      <c r="AF1516" s="5"/>
      <c r="AG1516" s="5"/>
      <c r="AH1516" s="5"/>
      <c r="AI1516" s="5"/>
      <c r="AJ1516" s="5"/>
      <c r="AK1516" s="5"/>
      <c r="AL1516" s="5"/>
      <c r="AM1516" s="13"/>
      <c r="AN1516" s="13"/>
      <c r="AO1516" s="5"/>
      <c r="AP1516" s="5"/>
      <c r="AQ1516" s="5"/>
      <c r="AR1516" s="5"/>
      <c r="AS1516" s="5"/>
      <c r="AT1516" s="5"/>
      <c r="AU1516" s="5"/>
      <c r="AV1516" s="5"/>
      <c r="AW1516" s="5"/>
      <c r="AX1516" s="5"/>
      <c r="AY1516" s="5"/>
      <c r="AZ1516" s="5"/>
      <c r="BA1516" s="5"/>
    </row>
    <row r="1517" spans="3:53" s="41" customFormat="1" x14ac:dyDescent="0.2">
      <c r="C1517" s="71"/>
      <c r="D1517" s="58"/>
      <c r="E1517" s="38"/>
      <c r="F1517" s="58"/>
      <c r="G1517" s="5"/>
      <c r="H1517" s="44"/>
      <c r="I1517" s="5"/>
      <c r="J1517" s="43"/>
      <c r="K1517" s="43"/>
      <c r="L1517" s="57"/>
      <c r="M1517" s="56"/>
      <c r="N1517" s="3"/>
      <c r="P1517" s="5"/>
      <c r="Q1517" s="5"/>
      <c r="R1517" s="5"/>
      <c r="T1517" s="56"/>
      <c r="U1517" s="77"/>
      <c r="V1517" s="77"/>
      <c r="AA1517" s="3"/>
      <c r="AF1517" s="5"/>
      <c r="AG1517" s="5"/>
      <c r="AH1517" s="5"/>
      <c r="AI1517" s="5"/>
      <c r="AJ1517" s="5"/>
      <c r="AK1517" s="5"/>
      <c r="AL1517" s="5"/>
      <c r="AM1517" s="13"/>
      <c r="AN1517" s="13"/>
      <c r="AO1517" s="5"/>
      <c r="AP1517" s="5"/>
      <c r="AQ1517" s="5"/>
      <c r="AR1517" s="5"/>
      <c r="AS1517" s="5"/>
      <c r="AT1517" s="5"/>
      <c r="AU1517" s="5"/>
      <c r="AV1517" s="5"/>
      <c r="AW1517" s="5"/>
      <c r="AX1517" s="5"/>
      <c r="AY1517" s="5"/>
      <c r="AZ1517" s="5"/>
      <c r="BA1517" s="5"/>
    </row>
    <row r="1518" spans="3:53" s="41" customFormat="1" x14ac:dyDescent="0.2">
      <c r="C1518" s="71"/>
      <c r="D1518" s="58"/>
      <c r="E1518" s="38"/>
      <c r="F1518" s="58"/>
      <c r="G1518" s="5"/>
      <c r="H1518" s="44"/>
      <c r="I1518" s="5"/>
      <c r="J1518" s="43"/>
      <c r="K1518" s="43"/>
      <c r="L1518" s="57"/>
      <c r="M1518" s="56"/>
      <c r="N1518" s="3"/>
      <c r="P1518" s="5"/>
      <c r="Q1518" s="5"/>
      <c r="R1518" s="5"/>
      <c r="T1518" s="56"/>
      <c r="U1518" s="77"/>
      <c r="V1518" s="77"/>
      <c r="AA1518" s="3"/>
      <c r="AF1518" s="5"/>
      <c r="AG1518" s="5"/>
      <c r="AH1518" s="5"/>
      <c r="AI1518" s="5"/>
      <c r="AJ1518" s="5"/>
      <c r="AK1518" s="5"/>
      <c r="AL1518" s="5"/>
      <c r="AM1518" s="13"/>
      <c r="AN1518" s="13"/>
      <c r="AO1518" s="5"/>
      <c r="AP1518" s="5"/>
      <c r="AQ1518" s="5"/>
      <c r="AR1518" s="5"/>
      <c r="AS1518" s="5"/>
      <c r="AT1518" s="5"/>
      <c r="AU1518" s="5"/>
      <c r="AV1518" s="5"/>
      <c r="AW1518" s="5"/>
      <c r="AX1518" s="5"/>
      <c r="AY1518" s="5"/>
      <c r="AZ1518" s="5"/>
      <c r="BA1518" s="5"/>
    </row>
    <row r="1519" spans="3:53" s="41" customFormat="1" x14ac:dyDescent="0.2">
      <c r="C1519" s="71"/>
      <c r="D1519" s="58"/>
      <c r="E1519" s="38"/>
      <c r="F1519" s="58"/>
      <c r="G1519" s="5"/>
      <c r="H1519" s="44"/>
      <c r="I1519" s="5"/>
      <c r="J1519" s="43"/>
      <c r="K1519" s="43"/>
      <c r="L1519" s="57"/>
      <c r="M1519" s="56"/>
      <c r="N1519" s="3"/>
      <c r="P1519" s="5"/>
      <c r="Q1519" s="5"/>
      <c r="R1519" s="5"/>
      <c r="T1519" s="56"/>
      <c r="U1519" s="77"/>
      <c r="V1519" s="77"/>
      <c r="AA1519" s="3"/>
      <c r="AF1519" s="5"/>
      <c r="AG1519" s="5"/>
      <c r="AH1519" s="5"/>
      <c r="AI1519" s="5"/>
      <c r="AJ1519" s="5"/>
      <c r="AK1519" s="5"/>
      <c r="AL1519" s="5"/>
      <c r="AM1519" s="13"/>
      <c r="AN1519" s="13"/>
      <c r="AO1519" s="5"/>
      <c r="AP1519" s="5"/>
      <c r="AQ1519" s="5"/>
      <c r="AR1519" s="5"/>
      <c r="AS1519" s="5"/>
      <c r="AT1519" s="5"/>
      <c r="AU1519" s="5"/>
      <c r="AV1519" s="5"/>
      <c r="AW1519" s="5"/>
      <c r="AX1519" s="5"/>
      <c r="AY1519" s="5"/>
      <c r="AZ1519" s="5"/>
      <c r="BA1519" s="5"/>
    </row>
    <row r="1520" spans="3:53" s="41" customFormat="1" x14ac:dyDescent="0.2">
      <c r="C1520" s="71"/>
      <c r="D1520" s="58"/>
      <c r="E1520" s="38"/>
      <c r="F1520" s="58"/>
      <c r="G1520" s="5"/>
      <c r="H1520" s="44"/>
      <c r="I1520" s="5"/>
      <c r="J1520" s="43"/>
      <c r="K1520" s="43"/>
      <c r="L1520" s="57"/>
      <c r="M1520" s="56"/>
      <c r="N1520" s="3"/>
      <c r="P1520" s="5"/>
      <c r="Q1520" s="5"/>
      <c r="R1520" s="5"/>
      <c r="T1520" s="56"/>
      <c r="U1520" s="77"/>
      <c r="V1520" s="77"/>
      <c r="AA1520" s="3"/>
      <c r="AF1520" s="5"/>
      <c r="AG1520" s="5"/>
      <c r="AH1520" s="5"/>
      <c r="AI1520" s="5"/>
      <c r="AJ1520" s="5"/>
      <c r="AK1520" s="5"/>
      <c r="AL1520" s="5"/>
      <c r="AM1520" s="13"/>
      <c r="AN1520" s="13"/>
      <c r="AO1520" s="5"/>
      <c r="AP1520" s="5"/>
      <c r="AQ1520" s="5"/>
      <c r="AR1520" s="5"/>
      <c r="AS1520" s="5"/>
      <c r="AT1520" s="5"/>
      <c r="AU1520" s="5"/>
      <c r="AV1520" s="5"/>
      <c r="AW1520" s="5"/>
      <c r="AX1520" s="5"/>
      <c r="AY1520" s="5"/>
      <c r="AZ1520" s="5"/>
      <c r="BA1520" s="5"/>
    </row>
    <row r="1521" spans="3:53" s="41" customFormat="1" x14ac:dyDescent="0.2">
      <c r="C1521" s="71"/>
      <c r="D1521" s="58"/>
      <c r="E1521" s="38"/>
      <c r="F1521" s="58"/>
      <c r="G1521" s="5"/>
      <c r="H1521" s="44"/>
      <c r="I1521" s="5"/>
      <c r="J1521" s="43"/>
      <c r="K1521" s="43"/>
      <c r="L1521" s="57"/>
      <c r="M1521" s="56"/>
      <c r="N1521" s="3"/>
      <c r="P1521" s="5"/>
      <c r="Q1521" s="5"/>
      <c r="R1521" s="5"/>
      <c r="T1521" s="56"/>
      <c r="U1521" s="77"/>
      <c r="V1521" s="77"/>
      <c r="AA1521" s="3"/>
      <c r="AF1521" s="5"/>
      <c r="AG1521" s="5"/>
      <c r="AH1521" s="5"/>
      <c r="AI1521" s="5"/>
      <c r="AJ1521" s="5"/>
      <c r="AK1521" s="5"/>
      <c r="AL1521" s="5"/>
      <c r="AM1521" s="13"/>
      <c r="AN1521" s="13"/>
      <c r="AO1521" s="5"/>
      <c r="AP1521" s="5"/>
      <c r="AQ1521" s="5"/>
      <c r="AR1521" s="5"/>
      <c r="AS1521" s="5"/>
      <c r="AT1521" s="5"/>
      <c r="AU1521" s="5"/>
      <c r="AV1521" s="5"/>
      <c r="AW1521" s="5"/>
      <c r="AX1521" s="5"/>
      <c r="AY1521" s="5"/>
      <c r="AZ1521" s="5"/>
      <c r="BA1521" s="5"/>
    </row>
    <row r="1522" spans="3:53" s="41" customFormat="1" x14ac:dyDescent="0.2">
      <c r="C1522" s="71"/>
      <c r="D1522" s="58"/>
      <c r="E1522" s="38"/>
      <c r="F1522" s="58"/>
      <c r="G1522" s="5"/>
      <c r="H1522" s="44"/>
      <c r="I1522" s="5"/>
      <c r="J1522" s="43"/>
      <c r="K1522" s="43"/>
      <c r="L1522" s="57"/>
      <c r="M1522" s="56"/>
      <c r="N1522" s="3"/>
      <c r="P1522" s="5"/>
      <c r="Q1522" s="5"/>
      <c r="R1522" s="5"/>
      <c r="T1522" s="56"/>
      <c r="U1522" s="77"/>
      <c r="V1522" s="77"/>
      <c r="AA1522" s="3"/>
      <c r="AF1522" s="5"/>
      <c r="AG1522" s="5"/>
      <c r="AH1522" s="5"/>
      <c r="AI1522" s="5"/>
      <c r="AJ1522" s="5"/>
      <c r="AK1522" s="5"/>
      <c r="AL1522" s="5"/>
      <c r="AM1522" s="13"/>
      <c r="AN1522" s="13"/>
      <c r="AO1522" s="5"/>
      <c r="AP1522" s="5"/>
      <c r="AQ1522" s="5"/>
      <c r="AR1522" s="5"/>
      <c r="AS1522" s="5"/>
      <c r="AT1522" s="5"/>
      <c r="AU1522" s="5"/>
      <c r="AV1522" s="5"/>
      <c r="AW1522" s="5"/>
      <c r="AX1522" s="5"/>
      <c r="AY1522" s="5"/>
      <c r="AZ1522" s="5"/>
      <c r="BA1522" s="5"/>
    </row>
    <row r="1523" spans="3:53" s="41" customFormat="1" x14ac:dyDescent="0.2">
      <c r="C1523" s="71"/>
      <c r="D1523" s="58"/>
      <c r="E1523" s="38"/>
      <c r="F1523" s="58"/>
      <c r="G1523" s="5"/>
      <c r="H1523" s="44"/>
      <c r="I1523" s="5"/>
      <c r="J1523" s="43"/>
      <c r="K1523" s="43"/>
      <c r="L1523" s="57"/>
      <c r="M1523" s="56"/>
      <c r="N1523" s="3"/>
      <c r="P1523" s="5"/>
      <c r="Q1523" s="5"/>
      <c r="R1523" s="5"/>
      <c r="T1523" s="56"/>
      <c r="U1523" s="77"/>
      <c r="V1523" s="77"/>
      <c r="AA1523" s="3"/>
      <c r="AF1523" s="5"/>
      <c r="AG1523" s="5"/>
      <c r="AH1523" s="5"/>
      <c r="AI1523" s="5"/>
      <c r="AJ1523" s="5"/>
      <c r="AK1523" s="5"/>
      <c r="AL1523" s="5"/>
      <c r="AM1523" s="13"/>
      <c r="AN1523" s="13"/>
      <c r="AO1523" s="5"/>
      <c r="AP1523" s="5"/>
      <c r="AQ1523" s="5"/>
      <c r="AR1523" s="5"/>
      <c r="AS1523" s="5"/>
      <c r="AT1523" s="5"/>
      <c r="AU1523" s="5"/>
      <c r="AV1523" s="5"/>
      <c r="AW1523" s="5"/>
      <c r="AX1523" s="5"/>
      <c r="AY1523" s="5"/>
      <c r="AZ1523" s="5"/>
      <c r="BA1523" s="5"/>
    </row>
    <row r="1524" spans="3:53" s="41" customFormat="1" x14ac:dyDescent="0.2">
      <c r="C1524" s="71"/>
      <c r="D1524" s="58"/>
      <c r="E1524" s="38"/>
      <c r="F1524" s="58"/>
      <c r="G1524" s="5"/>
      <c r="H1524" s="44"/>
      <c r="I1524" s="5"/>
      <c r="J1524" s="43"/>
      <c r="K1524" s="43"/>
      <c r="L1524" s="57"/>
      <c r="M1524" s="56"/>
      <c r="N1524" s="3"/>
      <c r="P1524" s="5"/>
      <c r="Q1524" s="5"/>
      <c r="R1524" s="5"/>
      <c r="T1524" s="56"/>
      <c r="U1524" s="77"/>
      <c r="V1524" s="77"/>
      <c r="AA1524" s="3"/>
      <c r="AF1524" s="5"/>
      <c r="AG1524" s="5"/>
      <c r="AH1524" s="5"/>
      <c r="AI1524" s="5"/>
      <c r="AJ1524" s="5"/>
      <c r="AK1524" s="5"/>
      <c r="AL1524" s="5"/>
      <c r="AM1524" s="13"/>
      <c r="AN1524" s="13"/>
      <c r="AO1524" s="5"/>
      <c r="AP1524" s="5"/>
      <c r="AQ1524" s="5"/>
      <c r="AR1524" s="5"/>
      <c r="AS1524" s="5"/>
      <c r="AT1524" s="5"/>
      <c r="AU1524" s="5"/>
      <c r="AV1524" s="5"/>
      <c r="AW1524" s="5"/>
      <c r="AX1524" s="5"/>
      <c r="AY1524" s="5"/>
      <c r="AZ1524" s="5"/>
      <c r="BA1524" s="5"/>
    </row>
    <row r="1525" spans="3:53" s="41" customFormat="1" x14ac:dyDescent="0.2">
      <c r="C1525" s="71"/>
      <c r="D1525" s="58"/>
      <c r="E1525" s="38"/>
      <c r="F1525" s="58"/>
      <c r="G1525" s="5"/>
      <c r="H1525" s="44"/>
      <c r="I1525" s="5"/>
      <c r="J1525" s="43"/>
      <c r="K1525" s="43"/>
      <c r="L1525" s="57"/>
      <c r="M1525" s="56"/>
      <c r="N1525" s="3"/>
      <c r="P1525" s="5"/>
      <c r="Q1525" s="5"/>
      <c r="R1525" s="5"/>
      <c r="T1525" s="56"/>
      <c r="U1525" s="77"/>
      <c r="V1525" s="77"/>
      <c r="AA1525" s="3"/>
      <c r="AF1525" s="5"/>
      <c r="AG1525" s="5"/>
      <c r="AH1525" s="5"/>
      <c r="AI1525" s="5"/>
      <c r="AJ1525" s="5"/>
      <c r="AK1525" s="5"/>
      <c r="AL1525" s="5"/>
      <c r="AM1525" s="13"/>
      <c r="AN1525" s="13"/>
      <c r="AO1525" s="5"/>
      <c r="AP1525" s="5"/>
      <c r="AQ1525" s="5"/>
      <c r="AR1525" s="5"/>
      <c r="AS1525" s="5"/>
      <c r="AT1525" s="5"/>
      <c r="AU1525" s="5"/>
      <c r="AV1525" s="5"/>
      <c r="AW1525" s="5"/>
      <c r="AX1525" s="5"/>
      <c r="AY1525" s="5"/>
      <c r="AZ1525" s="5"/>
      <c r="BA1525" s="5"/>
    </row>
    <row r="1526" spans="3:53" s="41" customFormat="1" x14ac:dyDescent="0.2">
      <c r="C1526" s="71"/>
      <c r="D1526" s="58"/>
      <c r="E1526" s="38"/>
      <c r="F1526" s="58"/>
      <c r="G1526" s="5"/>
      <c r="H1526" s="44"/>
      <c r="I1526" s="5"/>
      <c r="J1526" s="43"/>
      <c r="K1526" s="43"/>
      <c r="L1526" s="57"/>
      <c r="M1526" s="56"/>
      <c r="N1526" s="3"/>
      <c r="P1526" s="5"/>
      <c r="Q1526" s="5"/>
      <c r="R1526" s="5"/>
      <c r="T1526" s="56"/>
      <c r="U1526" s="77"/>
      <c r="V1526" s="77"/>
      <c r="AA1526" s="3"/>
      <c r="AF1526" s="5"/>
      <c r="AG1526" s="5"/>
      <c r="AH1526" s="5"/>
      <c r="AI1526" s="5"/>
      <c r="AJ1526" s="5"/>
      <c r="AK1526" s="5"/>
      <c r="AL1526" s="5"/>
      <c r="AM1526" s="13"/>
      <c r="AN1526" s="13"/>
      <c r="AO1526" s="5"/>
      <c r="AP1526" s="5"/>
      <c r="AQ1526" s="5"/>
      <c r="AR1526" s="5"/>
      <c r="AS1526" s="5"/>
      <c r="AT1526" s="5"/>
      <c r="AU1526" s="5"/>
      <c r="AV1526" s="5"/>
      <c r="AW1526" s="5"/>
      <c r="AX1526" s="5"/>
      <c r="AY1526" s="5"/>
      <c r="AZ1526" s="5"/>
      <c r="BA1526" s="5"/>
    </row>
    <row r="1527" spans="3:53" s="41" customFormat="1" x14ac:dyDescent="0.2">
      <c r="C1527" s="71"/>
      <c r="D1527" s="58"/>
      <c r="E1527" s="38"/>
      <c r="F1527" s="58"/>
      <c r="G1527" s="5"/>
      <c r="H1527" s="44"/>
      <c r="I1527" s="5"/>
      <c r="J1527" s="43"/>
      <c r="K1527" s="43"/>
      <c r="L1527" s="57"/>
      <c r="M1527" s="56"/>
      <c r="N1527" s="3"/>
      <c r="P1527" s="5"/>
      <c r="Q1527" s="5"/>
      <c r="R1527" s="5"/>
      <c r="T1527" s="56"/>
      <c r="U1527" s="77"/>
      <c r="V1527" s="77"/>
      <c r="AA1527" s="3"/>
      <c r="AF1527" s="5"/>
      <c r="AG1527" s="5"/>
      <c r="AH1527" s="5"/>
      <c r="AI1527" s="5"/>
      <c r="AJ1527" s="5"/>
      <c r="AK1527" s="5"/>
      <c r="AL1527" s="5"/>
      <c r="AM1527" s="13"/>
      <c r="AN1527" s="13"/>
      <c r="AO1527" s="5"/>
      <c r="AP1527" s="5"/>
      <c r="AQ1527" s="5"/>
      <c r="AR1527" s="5"/>
      <c r="AS1527" s="5"/>
      <c r="AT1527" s="5"/>
      <c r="AU1527" s="5"/>
      <c r="AV1527" s="5"/>
      <c r="AW1527" s="5"/>
      <c r="AX1527" s="5"/>
      <c r="AY1527" s="5"/>
      <c r="AZ1527" s="5"/>
      <c r="BA1527" s="5"/>
    </row>
    <row r="1528" spans="3:53" s="41" customFormat="1" x14ac:dyDescent="0.2">
      <c r="C1528" s="71"/>
      <c r="D1528" s="58"/>
      <c r="E1528" s="38"/>
      <c r="F1528" s="58"/>
      <c r="G1528" s="5"/>
      <c r="H1528" s="44"/>
      <c r="I1528" s="5"/>
      <c r="J1528" s="43"/>
      <c r="K1528" s="43"/>
      <c r="L1528" s="57"/>
      <c r="M1528" s="56"/>
      <c r="N1528" s="3"/>
      <c r="P1528" s="5"/>
      <c r="Q1528" s="5"/>
      <c r="R1528" s="5"/>
      <c r="T1528" s="56"/>
      <c r="U1528" s="77"/>
      <c r="V1528" s="77"/>
      <c r="AA1528" s="3"/>
      <c r="AF1528" s="5"/>
      <c r="AG1528" s="5"/>
      <c r="AH1528" s="5"/>
      <c r="AI1528" s="5"/>
      <c r="AJ1528" s="5"/>
      <c r="AK1528" s="5"/>
      <c r="AL1528" s="5"/>
      <c r="AM1528" s="13"/>
      <c r="AN1528" s="13"/>
      <c r="AO1528" s="5"/>
      <c r="AP1528" s="5"/>
      <c r="AQ1528" s="5"/>
      <c r="AR1528" s="5"/>
      <c r="AS1528" s="5"/>
      <c r="AT1528" s="5"/>
      <c r="AU1528" s="5"/>
      <c r="AV1528" s="5"/>
      <c r="AW1528" s="5"/>
      <c r="AX1528" s="5"/>
      <c r="AY1528" s="5"/>
      <c r="AZ1528" s="5"/>
      <c r="BA1528" s="5"/>
    </row>
    <row r="1529" spans="3:53" s="41" customFormat="1" x14ac:dyDescent="0.2">
      <c r="C1529" s="71"/>
      <c r="D1529" s="58"/>
      <c r="E1529" s="38"/>
      <c r="F1529" s="58"/>
      <c r="G1529" s="5"/>
      <c r="H1529" s="44"/>
      <c r="I1529" s="5"/>
      <c r="J1529" s="43"/>
      <c r="K1529" s="43"/>
      <c r="L1529" s="57"/>
      <c r="M1529" s="56"/>
      <c r="N1529" s="3"/>
      <c r="P1529" s="5"/>
      <c r="Q1529" s="5"/>
      <c r="R1529" s="5"/>
      <c r="T1529" s="56"/>
      <c r="U1529" s="77"/>
      <c r="V1529" s="77"/>
      <c r="AA1529" s="3"/>
      <c r="AF1529" s="5"/>
      <c r="AG1529" s="5"/>
      <c r="AH1529" s="5"/>
      <c r="AI1529" s="5"/>
      <c r="AJ1529" s="5"/>
      <c r="AK1529" s="5"/>
      <c r="AL1529" s="5"/>
      <c r="AM1529" s="13"/>
      <c r="AN1529" s="13"/>
      <c r="AO1529" s="5"/>
      <c r="AP1529" s="5"/>
      <c r="AQ1529" s="5"/>
      <c r="AR1529" s="5"/>
      <c r="AS1529" s="5"/>
      <c r="AT1529" s="5"/>
      <c r="AU1529" s="5"/>
      <c r="AV1529" s="5"/>
      <c r="AW1529" s="5"/>
      <c r="AX1529" s="5"/>
      <c r="AY1529" s="5"/>
      <c r="AZ1529" s="5"/>
      <c r="BA1529" s="5"/>
    </row>
    <row r="1530" spans="3:53" s="41" customFormat="1" x14ac:dyDescent="0.2">
      <c r="C1530" s="71"/>
      <c r="D1530" s="58"/>
      <c r="E1530" s="38"/>
      <c r="F1530" s="58"/>
      <c r="G1530" s="5"/>
      <c r="H1530" s="44"/>
      <c r="I1530" s="5"/>
      <c r="J1530" s="43"/>
      <c r="K1530" s="43"/>
      <c r="L1530" s="57"/>
      <c r="M1530" s="56"/>
      <c r="N1530" s="3"/>
      <c r="P1530" s="5"/>
      <c r="Q1530" s="5"/>
      <c r="R1530" s="5"/>
      <c r="T1530" s="56"/>
      <c r="U1530" s="77"/>
      <c r="V1530" s="77"/>
      <c r="AA1530" s="3"/>
      <c r="AF1530" s="5"/>
      <c r="AG1530" s="5"/>
      <c r="AH1530" s="5"/>
      <c r="AI1530" s="5"/>
      <c r="AJ1530" s="5"/>
      <c r="AK1530" s="5"/>
      <c r="AL1530" s="5"/>
      <c r="AM1530" s="13"/>
      <c r="AN1530" s="13"/>
      <c r="AO1530" s="5"/>
      <c r="AP1530" s="5"/>
      <c r="AQ1530" s="5"/>
      <c r="AR1530" s="5"/>
      <c r="AS1530" s="5"/>
      <c r="AT1530" s="5"/>
      <c r="AU1530" s="5"/>
      <c r="AV1530" s="5"/>
      <c r="AW1530" s="5"/>
      <c r="AX1530" s="5"/>
      <c r="AY1530" s="5"/>
      <c r="AZ1530" s="5"/>
      <c r="BA1530" s="5"/>
    </row>
    <row r="1531" spans="3:53" s="41" customFormat="1" x14ac:dyDescent="0.2">
      <c r="C1531" s="71"/>
      <c r="D1531" s="58"/>
      <c r="E1531" s="38"/>
      <c r="F1531" s="58"/>
      <c r="G1531" s="5"/>
      <c r="H1531" s="44"/>
      <c r="I1531" s="5"/>
      <c r="J1531" s="43"/>
      <c r="K1531" s="43"/>
      <c r="L1531" s="57"/>
      <c r="M1531" s="56"/>
      <c r="N1531" s="3"/>
      <c r="P1531" s="5"/>
      <c r="Q1531" s="5"/>
      <c r="R1531" s="5"/>
      <c r="T1531" s="56"/>
      <c r="U1531" s="77"/>
      <c r="V1531" s="77"/>
      <c r="AA1531" s="3"/>
      <c r="AF1531" s="5"/>
      <c r="AG1531" s="5"/>
      <c r="AH1531" s="5"/>
      <c r="AI1531" s="5"/>
      <c r="AJ1531" s="5"/>
      <c r="AK1531" s="5"/>
      <c r="AL1531" s="5"/>
      <c r="AM1531" s="13"/>
      <c r="AN1531" s="13"/>
      <c r="AO1531" s="5"/>
      <c r="AP1531" s="5"/>
      <c r="AQ1531" s="5"/>
      <c r="AR1531" s="5"/>
      <c r="AS1531" s="5"/>
      <c r="AT1531" s="5"/>
      <c r="AU1531" s="5"/>
      <c r="AV1531" s="5"/>
      <c r="AW1531" s="5"/>
      <c r="AX1531" s="5"/>
      <c r="AY1531" s="5"/>
      <c r="AZ1531" s="5"/>
      <c r="BA1531" s="5"/>
    </row>
    <row r="1532" spans="3:53" s="41" customFormat="1" x14ac:dyDescent="0.2">
      <c r="C1532" s="71"/>
      <c r="D1532" s="58"/>
      <c r="E1532" s="38"/>
      <c r="F1532" s="58"/>
      <c r="G1532" s="5"/>
      <c r="H1532" s="44"/>
      <c r="I1532" s="5"/>
      <c r="J1532" s="43"/>
      <c r="K1532" s="43"/>
      <c r="L1532" s="57"/>
      <c r="M1532" s="56"/>
      <c r="N1532" s="3"/>
      <c r="P1532" s="5"/>
      <c r="Q1532" s="5"/>
      <c r="R1532" s="5"/>
      <c r="T1532" s="56"/>
      <c r="U1532" s="77"/>
      <c r="V1532" s="77"/>
      <c r="AA1532" s="3"/>
      <c r="AF1532" s="5"/>
      <c r="AG1532" s="5"/>
      <c r="AH1532" s="5"/>
      <c r="AI1532" s="5"/>
      <c r="AJ1532" s="5"/>
      <c r="AK1532" s="5"/>
      <c r="AL1532" s="5"/>
      <c r="AM1532" s="13"/>
      <c r="AN1532" s="13"/>
      <c r="AO1532" s="5"/>
      <c r="AP1532" s="5"/>
      <c r="AQ1532" s="5"/>
      <c r="AR1532" s="5"/>
      <c r="AS1532" s="5"/>
      <c r="AT1532" s="5"/>
      <c r="AU1532" s="5"/>
      <c r="AV1532" s="5"/>
      <c r="AW1532" s="5"/>
      <c r="AX1532" s="5"/>
      <c r="AY1532" s="5"/>
      <c r="AZ1532" s="5"/>
      <c r="BA1532" s="5"/>
    </row>
    <row r="1533" spans="3:53" s="41" customFormat="1" x14ac:dyDescent="0.2">
      <c r="C1533" s="71"/>
      <c r="D1533" s="58"/>
      <c r="E1533" s="38"/>
      <c r="F1533" s="58"/>
      <c r="G1533" s="5"/>
      <c r="H1533" s="44"/>
      <c r="I1533" s="5"/>
      <c r="J1533" s="43"/>
      <c r="K1533" s="43"/>
      <c r="L1533" s="57"/>
      <c r="M1533" s="56"/>
      <c r="N1533" s="3"/>
      <c r="P1533" s="5"/>
      <c r="Q1533" s="5"/>
      <c r="R1533" s="5"/>
      <c r="T1533" s="56"/>
      <c r="U1533" s="77"/>
      <c r="V1533" s="77"/>
      <c r="AA1533" s="3"/>
      <c r="AF1533" s="5"/>
      <c r="AG1533" s="5"/>
      <c r="AH1533" s="5"/>
      <c r="AI1533" s="5"/>
      <c r="AJ1533" s="5"/>
      <c r="AK1533" s="5"/>
      <c r="AL1533" s="5"/>
      <c r="AM1533" s="13"/>
      <c r="AN1533" s="13"/>
      <c r="AO1533" s="5"/>
      <c r="AP1533" s="5"/>
      <c r="AQ1533" s="5"/>
      <c r="AR1533" s="5"/>
      <c r="AS1533" s="5"/>
      <c r="AT1533" s="5"/>
      <c r="AU1533" s="5"/>
      <c r="AV1533" s="5"/>
      <c r="AW1533" s="5"/>
      <c r="AX1533" s="5"/>
      <c r="AY1533" s="5"/>
      <c r="AZ1533" s="5"/>
      <c r="BA1533" s="5"/>
    </row>
    <row r="1534" spans="3:53" s="41" customFormat="1" x14ac:dyDescent="0.2">
      <c r="C1534" s="71"/>
      <c r="D1534" s="58"/>
      <c r="E1534" s="38"/>
      <c r="F1534" s="58"/>
      <c r="G1534" s="5"/>
      <c r="H1534" s="44"/>
      <c r="I1534" s="5"/>
      <c r="J1534" s="43"/>
      <c r="K1534" s="43"/>
      <c r="L1534" s="57"/>
      <c r="M1534" s="56"/>
      <c r="N1534" s="3"/>
      <c r="P1534" s="5"/>
      <c r="Q1534" s="5"/>
      <c r="R1534" s="5"/>
      <c r="T1534" s="56"/>
      <c r="U1534" s="77"/>
      <c r="V1534" s="77"/>
      <c r="AA1534" s="3"/>
      <c r="AF1534" s="5"/>
      <c r="AG1534" s="5"/>
      <c r="AH1534" s="5"/>
      <c r="AI1534" s="5"/>
      <c r="AJ1534" s="5"/>
      <c r="AK1534" s="5"/>
      <c r="AL1534" s="5"/>
      <c r="AM1534" s="13"/>
      <c r="AN1534" s="13"/>
      <c r="AO1534" s="5"/>
      <c r="AP1534" s="5"/>
      <c r="AQ1534" s="5"/>
      <c r="AR1534" s="5"/>
      <c r="AS1534" s="5"/>
      <c r="AT1534" s="5"/>
      <c r="AU1534" s="5"/>
      <c r="AV1534" s="5"/>
      <c r="AW1534" s="5"/>
      <c r="AX1534" s="5"/>
      <c r="AY1534" s="5"/>
      <c r="AZ1534" s="5"/>
      <c r="BA1534" s="5"/>
    </row>
    <row r="1535" spans="3:53" s="41" customFormat="1" x14ac:dyDescent="0.2">
      <c r="C1535" s="71"/>
      <c r="D1535" s="58"/>
      <c r="E1535" s="38"/>
      <c r="F1535" s="58"/>
      <c r="G1535" s="5"/>
      <c r="H1535" s="44"/>
      <c r="I1535" s="5"/>
      <c r="J1535" s="43"/>
      <c r="K1535" s="43"/>
      <c r="L1535" s="57"/>
      <c r="M1535" s="56"/>
      <c r="N1535" s="3"/>
      <c r="P1535" s="5"/>
      <c r="Q1535" s="5"/>
      <c r="R1535" s="5"/>
      <c r="T1535" s="56"/>
      <c r="U1535" s="77"/>
      <c r="V1535" s="77"/>
      <c r="AA1535" s="3"/>
      <c r="AF1535" s="5"/>
      <c r="AG1535" s="5"/>
      <c r="AH1535" s="5"/>
      <c r="AI1535" s="5"/>
      <c r="AJ1535" s="5"/>
      <c r="AK1535" s="5"/>
      <c r="AL1535" s="5"/>
      <c r="AM1535" s="13"/>
      <c r="AN1535" s="13"/>
      <c r="AO1535" s="5"/>
      <c r="AP1535" s="5"/>
      <c r="AQ1535" s="5"/>
      <c r="AR1535" s="5"/>
      <c r="AS1535" s="5"/>
      <c r="AT1535" s="5"/>
      <c r="AU1535" s="5"/>
      <c r="AV1535" s="5"/>
      <c r="AW1535" s="5"/>
      <c r="AX1535" s="5"/>
      <c r="AY1535" s="5"/>
      <c r="AZ1535" s="5"/>
      <c r="BA1535" s="5"/>
    </row>
    <row r="1536" spans="3:53" s="41" customFormat="1" x14ac:dyDescent="0.2">
      <c r="C1536" s="71"/>
      <c r="D1536" s="58"/>
      <c r="E1536" s="38"/>
      <c r="F1536" s="58"/>
      <c r="G1536" s="5"/>
      <c r="H1536" s="44"/>
      <c r="I1536" s="5"/>
      <c r="J1536" s="43"/>
      <c r="K1536" s="43"/>
      <c r="L1536" s="57"/>
      <c r="M1536" s="56"/>
      <c r="N1536" s="3"/>
      <c r="P1536" s="5"/>
      <c r="Q1536" s="5"/>
      <c r="R1536" s="5"/>
      <c r="T1536" s="56"/>
      <c r="U1536" s="77"/>
      <c r="V1536" s="77"/>
      <c r="AA1536" s="3"/>
      <c r="AF1536" s="5"/>
      <c r="AG1536" s="5"/>
      <c r="AH1536" s="5"/>
      <c r="AI1536" s="5"/>
      <c r="AJ1536" s="5"/>
      <c r="AK1536" s="5"/>
      <c r="AL1536" s="5"/>
      <c r="AM1536" s="13"/>
      <c r="AN1536" s="13"/>
      <c r="AO1536" s="5"/>
      <c r="AP1536" s="5"/>
      <c r="AQ1536" s="5"/>
      <c r="AR1536" s="5"/>
      <c r="AS1536" s="5"/>
      <c r="AT1536" s="5"/>
      <c r="AU1536" s="5"/>
      <c r="AV1536" s="5"/>
      <c r="AW1536" s="5"/>
      <c r="AX1536" s="5"/>
      <c r="AY1536" s="5"/>
      <c r="AZ1536" s="5"/>
      <c r="BA1536" s="5"/>
    </row>
    <row r="1537" spans="3:53" s="41" customFormat="1" x14ac:dyDescent="0.2">
      <c r="C1537" s="71"/>
      <c r="D1537" s="58"/>
      <c r="E1537" s="38"/>
      <c r="F1537" s="58"/>
      <c r="G1537" s="5"/>
      <c r="H1537" s="44"/>
      <c r="I1537" s="5"/>
      <c r="J1537" s="43"/>
      <c r="K1537" s="43"/>
      <c r="L1537" s="57"/>
      <c r="M1537" s="56"/>
      <c r="N1537" s="3"/>
      <c r="P1537" s="5"/>
      <c r="Q1537" s="5"/>
      <c r="R1537" s="5"/>
      <c r="T1537" s="56"/>
      <c r="U1537" s="77"/>
      <c r="V1537" s="77"/>
      <c r="AA1537" s="3"/>
      <c r="AF1537" s="5"/>
      <c r="AG1537" s="5"/>
      <c r="AH1537" s="5"/>
      <c r="AI1537" s="5"/>
      <c r="AJ1537" s="5"/>
      <c r="AK1537" s="5"/>
      <c r="AL1537" s="5"/>
      <c r="AM1537" s="13"/>
      <c r="AN1537" s="13"/>
      <c r="AO1537" s="5"/>
      <c r="AP1537" s="5"/>
      <c r="AQ1537" s="5"/>
      <c r="AR1537" s="5"/>
      <c r="AS1537" s="5"/>
      <c r="AT1537" s="5"/>
      <c r="AU1537" s="5"/>
      <c r="AV1537" s="5"/>
      <c r="AW1537" s="5"/>
      <c r="AX1537" s="5"/>
      <c r="AY1537" s="5"/>
      <c r="AZ1537" s="5"/>
      <c r="BA1537" s="5"/>
    </row>
    <row r="1538" spans="3:53" s="41" customFormat="1" x14ac:dyDescent="0.2">
      <c r="C1538" s="71"/>
      <c r="D1538" s="58"/>
      <c r="E1538" s="38"/>
      <c r="F1538" s="58"/>
      <c r="G1538" s="5"/>
      <c r="H1538" s="44"/>
      <c r="I1538" s="5"/>
      <c r="J1538" s="43"/>
      <c r="K1538" s="43"/>
      <c r="L1538" s="57"/>
      <c r="M1538" s="56"/>
      <c r="N1538" s="3"/>
      <c r="P1538" s="5"/>
      <c r="Q1538" s="5"/>
      <c r="R1538" s="5"/>
      <c r="T1538" s="56"/>
      <c r="U1538" s="77"/>
      <c r="V1538" s="77"/>
      <c r="AA1538" s="3"/>
      <c r="AF1538" s="5"/>
      <c r="AG1538" s="5"/>
      <c r="AH1538" s="5"/>
      <c r="AI1538" s="5"/>
      <c r="AJ1538" s="5"/>
      <c r="AK1538" s="5"/>
      <c r="AL1538" s="5"/>
      <c r="AM1538" s="13"/>
      <c r="AN1538" s="13"/>
      <c r="AO1538" s="5"/>
      <c r="AP1538" s="5"/>
      <c r="AQ1538" s="5"/>
      <c r="AR1538" s="5"/>
      <c r="AS1538" s="5"/>
      <c r="AT1538" s="5"/>
      <c r="AU1538" s="5"/>
      <c r="AV1538" s="5"/>
      <c r="AW1538" s="5"/>
      <c r="AX1538" s="5"/>
      <c r="AY1538" s="5"/>
      <c r="AZ1538" s="5"/>
      <c r="BA1538" s="5"/>
    </row>
    <row r="1539" spans="3:53" s="41" customFormat="1" x14ac:dyDescent="0.2">
      <c r="C1539" s="71"/>
      <c r="D1539" s="58"/>
      <c r="E1539" s="38"/>
      <c r="F1539" s="58"/>
      <c r="G1539" s="5"/>
      <c r="H1539" s="44"/>
      <c r="I1539" s="5"/>
      <c r="J1539" s="43"/>
      <c r="K1539" s="43"/>
      <c r="L1539" s="57"/>
      <c r="M1539" s="56"/>
      <c r="N1539" s="3"/>
      <c r="P1539" s="5"/>
      <c r="Q1539" s="5"/>
      <c r="R1539" s="5"/>
      <c r="T1539" s="56"/>
      <c r="U1539" s="77"/>
      <c r="V1539" s="77"/>
      <c r="AA1539" s="3"/>
      <c r="AF1539" s="5"/>
      <c r="AG1539" s="5"/>
      <c r="AH1539" s="5"/>
      <c r="AI1539" s="5"/>
      <c r="AJ1539" s="5"/>
      <c r="AK1539" s="5"/>
      <c r="AL1539" s="5"/>
      <c r="AM1539" s="13"/>
      <c r="AN1539" s="13"/>
      <c r="AO1539" s="5"/>
      <c r="AP1539" s="5"/>
      <c r="AQ1539" s="5"/>
      <c r="AR1539" s="5"/>
      <c r="AS1539" s="5"/>
      <c r="AT1539" s="5"/>
      <c r="AU1539" s="5"/>
      <c r="AV1539" s="5"/>
      <c r="AW1539" s="5"/>
      <c r="AX1539" s="5"/>
      <c r="AY1539" s="5"/>
      <c r="AZ1539" s="5"/>
      <c r="BA1539" s="5"/>
    </row>
    <row r="1540" spans="3:53" s="41" customFormat="1" x14ac:dyDescent="0.2">
      <c r="C1540" s="71"/>
      <c r="D1540" s="58"/>
      <c r="E1540" s="38"/>
      <c r="F1540" s="58"/>
      <c r="G1540" s="5"/>
      <c r="H1540" s="44"/>
      <c r="I1540" s="5"/>
      <c r="J1540" s="43"/>
      <c r="K1540" s="43"/>
      <c r="L1540" s="57"/>
      <c r="M1540" s="56"/>
      <c r="N1540" s="3"/>
      <c r="P1540" s="5"/>
      <c r="Q1540" s="5"/>
      <c r="R1540" s="5"/>
      <c r="T1540" s="56"/>
      <c r="U1540" s="77"/>
      <c r="V1540" s="77"/>
      <c r="AA1540" s="3"/>
      <c r="AF1540" s="5"/>
      <c r="AG1540" s="5"/>
      <c r="AH1540" s="5"/>
      <c r="AI1540" s="5"/>
      <c r="AJ1540" s="5"/>
      <c r="AK1540" s="5"/>
      <c r="AL1540" s="5"/>
      <c r="AM1540" s="13"/>
      <c r="AN1540" s="13"/>
      <c r="AO1540" s="5"/>
      <c r="AP1540" s="5"/>
      <c r="AQ1540" s="5"/>
      <c r="AR1540" s="5"/>
      <c r="AS1540" s="5"/>
      <c r="AT1540" s="5"/>
      <c r="AU1540" s="5"/>
      <c r="AV1540" s="5"/>
      <c r="AW1540" s="5"/>
      <c r="AX1540" s="5"/>
      <c r="AY1540" s="5"/>
      <c r="AZ1540" s="5"/>
      <c r="BA1540" s="5"/>
    </row>
    <row r="1541" spans="3:53" s="41" customFormat="1" x14ac:dyDescent="0.2">
      <c r="C1541" s="71"/>
      <c r="D1541" s="58"/>
      <c r="E1541" s="38"/>
      <c r="F1541" s="58"/>
      <c r="G1541" s="5"/>
      <c r="H1541" s="44"/>
      <c r="I1541" s="5"/>
      <c r="J1541" s="43"/>
      <c r="K1541" s="43"/>
      <c r="L1541" s="57"/>
      <c r="M1541" s="56"/>
      <c r="N1541" s="3"/>
      <c r="P1541" s="5"/>
      <c r="Q1541" s="5"/>
      <c r="R1541" s="5"/>
      <c r="T1541" s="56"/>
      <c r="U1541" s="77"/>
      <c r="V1541" s="77"/>
      <c r="AA1541" s="3"/>
      <c r="AF1541" s="5"/>
      <c r="AG1541" s="5"/>
      <c r="AH1541" s="5"/>
      <c r="AI1541" s="5"/>
      <c r="AJ1541" s="5"/>
      <c r="AK1541" s="5"/>
      <c r="AL1541" s="5"/>
      <c r="AM1541" s="13"/>
      <c r="AN1541" s="13"/>
      <c r="AO1541" s="5"/>
      <c r="AP1541" s="5"/>
      <c r="AQ1541" s="5"/>
      <c r="AR1541" s="5"/>
      <c r="AS1541" s="5"/>
      <c r="AT1541" s="5"/>
      <c r="AU1541" s="5"/>
      <c r="AV1541" s="5"/>
      <c r="AW1541" s="5"/>
      <c r="AX1541" s="5"/>
      <c r="AY1541" s="5"/>
      <c r="AZ1541" s="5"/>
      <c r="BA1541" s="5"/>
    </row>
    <row r="1542" spans="3:53" s="41" customFormat="1" x14ac:dyDescent="0.2">
      <c r="C1542" s="71"/>
      <c r="D1542" s="58"/>
      <c r="E1542" s="38"/>
      <c r="F1542" s="58"/>
      <c r="G1542" s="5"/>
      <c r="H1542" s="44"/>
      <c r="I1542" s="5"/>
      <c r="J1542" s="43"/>
      <c r="K1542" s="43"/>
      <c r="L1542" s="57"/>
      <c r="M1542" s="56"/>
      <c r="N1542" s="3"/>
      <c r="P1542" s="5"/>
      <c r="Q1542" s="5"/>
      <c r="R1542" s="5"/>
      <c r="T1542" s="56"/>
      <c r="U1542" s="77"/>
      <c r="V1542" s="77"/>
      <c r="AA1542" s="3"/>
      <c r="AF1542" s="5"/>
      <c r="AG1542" s="5"/>
      <c r="AH1542" s="5"/>
      <c r="AI1542" s="5"/>
      <c r="AJ1542" s="5"/>
      <c r="AK1542" s="5"/>
      <c r="AL1542" s="5"/>
      <c r="AM1542" s="13"/>
      <c r="AN1542" s="13"/>
      <c r="AO1542" s="5"/>
      <c r="AP1542" s="5"/>
      <c r="AQ1542" s="5"/>
      <c r="AR1542" s="5"/>
      <c r="AS1542" s="5"/>
      <c r="AT1542" s="5"/>
      <c r="AU1542" s="5"/>
      <c r="AV1542" s="5"/>
      <c r="AW1542" s="5"/>
      <c r="AX1542" s="5"/>
      <c r="AY1542" s="5"/>
      <c r="AZ1542" s="5"/>
      <c r="BA1542" s="5"/>
    </row>
    <row r="1543" spans="3:53" s="41" customFormat="1" x14ac:dyDescent="0.2">
      <c r="C1543" s="71"/>
      <c r="D1543" s="58"/>
      <c r="E1543" s="38"/>
      <c r="F1543" s="58"/>
      <c r="G1543" s="5"/>
      <c r="H1543" s="44"/>
      <c r="I1543" s="5"/>
      <c r="J1543" s="43"/>
      <c r="K1543" s="43"/>
      <c r="L1543" s="57"/>
      <c r="M1543" s="56"/>
      <c r="N1543" s="3"/>
      <c r="P1543" s="5"/>
      <c r="Q1543" s="5"/>
      <c r="R1543" s="5"/>
      <c r="T1543" s="56"/>
      <c r="U1543" s="77"/>
      <c r="V1543" s="77"/>
      <c r="AA1543" s="3"/>
      <c r="AF1543" s="5"/>
      <c r="AG1543" s="5"/>
      <c r="AH1543" s="5"/>
      <c r="AI1543" s="5"/>
      <c r="AJ1543" s="5"/>
      <c r="AK1543" s="5"/>
      <c r="AL1543" s="5"/>
      <c r="AM1543" s="13"/>
      <c r="AN1543" s="13"/>
      <c r="AO1543" s="5"/>
      <c r="AP1543" s="5"/>
      <c r="AQ1543" s="5"/>
      <c r="AR1543" s="5"/>
      <c r="AS1543" s="5"/>
      <c r="AT1543" s="5"/>
      <c r="AU1543" s="5"/>
      <c r="AV1543" s="5"/>
      <c r="AW1543" s="5"/>
      <c r="AX1543" s="5"/>
      <c r="AY1543" s="5"/>
      <c r="AZ1543" s="5"/>
      <c r="BA1543" s="5"/>
    </row>
    <row r="1544" spans="3:53" s="41" customFormat="1" x14ac:dyDescent="0.2">
      <c r="C1544" s="71"/>
      <c r="D1544" s="58"/>
      <c r="E1544" s="38"/>
      <c r="F1544" s="58"/>
      <c r="G1544" s="5"/>
      <c r="H1544" s="44"/>
      <c r="I1544" s="5"/>
      <c r="J1544" s="43"/>
      <c r="K1544" s="43"/>
      <c r="L1544" s="57"/>
      <c r="M1544" s="56"/>
      <c r="N1544" s="3"/>
      <c r="P1544" s="5"/>
      <c r="Q1544" s="5"/>
      <c r="R1544" s="5"/>
      <c r="T1544" s="56"/>
      <c r="U1544" s="77"/>
      <c r="V1544" s="77"/>
      <c r="AA1544" s="3"/>
      <c r="AF1544" s="5"/>
      <c r="AG1544" s="5"/>
      <c r="AH1544" s="5"/>
      <c r="AI1544" s="5"/>
      <c r="AJ1544" s="5"/>
      <c r="AK1544" s="5"/>
      <c r="AL1544" s="5"/>
      <c r="AM1544" s="13"/>
      <c r="AN1544" s="13"/>
      <c r="AO1544" s="5"/>
      <c r="AP1544" s="5"/>
      <c r="AQ1544" s="5"/>
      <c r="AR1544" s="5"/>
      <c r="AS1544" s="5"/>
      <c r="AT1544" s="5"/>
      <c r="AU1544" s="5"/>
      <c r="AV1544" s="5"/>
      <c r="AW1544" s="5"/>
      <c r="AX1544" s="5"/>
      <c r="AY1544" s="5"/>
      <c r="AZ1544" s="5"/>
      <c r="BA1544" s="5"/>
    </row>
    <row r="1545" spans="3:53" s="41" customFormat="1" x14ac:dyDescent="0.2">
      <c r="C1545" s="71"/>
      <c r="D1545" s="58"/>
      <c r="E1545" s="38"/>
      <c r="F1545" s="58"/>
      <c r="G1545" s="5"/>
      <c r="H1545" s="44"/>
      <c r="I1545" s="5"/>
      <c r="J1545" s="43"/>
      <c r="K1545" s="43"/>
      <c r="L1545" s="57"/>
      <c r="M1545" s="56"/>
      <c r="N1545" s="3"/>
      <c r="P1545" s="5"/>
      <c r="Q1545" s="5"/>
      <c r="R1545" s="5"/>
      <c r="T1545" s="56"/>
      <c r="U1545" s="77"/>
      <c r="V1545" s="77"/>
      <c r="AA1545" s="3"/>
      <c r="AF1545" s="5"/>
      <c r="AG1545" s="5"/>
      <c r="AH1545" s="5"/>
      <c r="AI1545" s="5"/>
      <c r="AJ1545" s="5"/>
      <c r="AK1545" s="5"/>
      <c r="AL1545" s="5"/>
      <c r="AM1545" s="13"/>
      <c r="AN1545" s="13"/>
      <c r="AO1545" s="5"/>
      <c r="AP1545" s="5"/>
      <c r="AQ1545" s="5"/>
      <c r="AR1545" s="5"/>
      <c r="AS1545" s="5"/>
      <c r="AT1545" s="5"/>
      <c r="AU1545" s="5"/>
      <c r="AV1545" s="5"/>
      <c r="AW1545" s="5"/>
      <c r="AX1545" s="5"/>
      <c r="AY1545" s="5"/>
      <c r="AZ1545" s="5"/>
      <c r="BA1545" s="5"/>
    </row>
    <row r="1546" spans="3:53" s="41" customFormat="1" x14ac:dyDescent="0.2">
      <c r="C1546" s="71"/>
      <c r="D1546" s="58"/>
      <c r="E1546" s="38"/>
      <c r="F1546" s="58"/>
      <c r="G1546" s="5"/>
      <c r="H1546" s="44"/>
      <c r="I1546" s="5"/>
      <c r="J1546" s="43"/>
      <c r="K1546" s="43"/>
      <c r="L1546" s="57"/>
      <c r="M1546" s="56"/>
      <c r="N1546" s="3"/>
      <c r="P1546" s="5"/>
      <c r="Q1546" s="5"/>
      <c r="R1546" s="5"/>
      <c r="T1546" s="56"/>
      <c r="U1546" s="77"/>
      <c r="V1546" s="77"/>
      <c r="AA1546" s="3"/>
      <c r="AF1546" s="5"/>
      <c r="AG1546" s="5"/>
      <c r="AH1546" s="5"/>
      <c r="AI1546" s="5"/>
      <c r="AJ1546" s="5"/>
      <c r="AK1546" s="5"/>
      <c r="AL1546" s="5"/>
      <c r="AM1546" s="13"/>
      <c r="AN1546" s="13"/>
      <c r="AO1546" s="5"/>
      <c r="AP1546" s="5"/>
      <c r="AQ1546" s="5"/>
      <c r="AR1546" s="5"/>
      <c r="AS1546" s="5"/>
      <c r="AT1546" s="5"/>
      <c r="AU1546" s="5"/>
      <c r="AV1546" s="5"/>
      <c r="AW1546" s="5"/>
      <c r="AX1546" s="5"/>
      <c r="AY1546" s="5"/>
      <c r="AZ1546" s="5"/>
      <c r="BA1546" s="5"/>
    </row>
    <row r="1547" spans="3:53" s="41" customFormat="1" x14ac:dyDescent="0.2">
      <c r="C1547" s="71"/>
      <c r="D1547" s="58"/>
      <c r="E1547" s="38"/>
      <c r="F1547" s="58"/>
      <c r="G1547" s="5"/>
      <c r="H1547" s="44"/>
      <c r="I1547" s="5"/>
      <c r="J1547" s="43"/>
      <c r="K1547" s="43"/>
      <c r="L1547" s="57"/>
      <c r="M1547" s="56"/>
      <c r="N1547" s="3"/>
      <c r="P1547" s="5"/>
      <c r="Q1547" s="5"/>
      <c r="R1547" s="5"/>
      <c r="T1547" s="56"/>
      <c r="U1547" s="77"/>
      <c r="V1547" s="77"/>
      <c r="AA1547" s="3"/>
      <c r="AF1547" s="5"/>
      <c r="AG1547" s="5"/>
      <c r="AH1547" s="5"/>
      <c r="AI1547" s="5"/>
      <c r="AJ1547" s="5"/>
      <c r="AK1547" s="5"/>
      <c r="AL1547" s="5"/>
      <c r="AM1547" s="13"/>
      <c r="AN1547" s="13"/>
      <c r="AO1547" s="5"/>
      <c r="AP1547" s="5"/>
      <c r="AQ1547" s="5"/>
      <c r="AR1547" s="5"/>
      <c r="AS1547" s="5"/>
      <c r="AT1547" s="5"/>
      <c r="AU1547" s="5"/>
      <c r="AV1547" s="5"/>
      <c r="AW1547" s="5"/>
      <c r="AX1547" s="5"/>
      <c r="AY1547" s="5"/>
      <c r="AZ1547" s="5"/>
      <c r="BA1547" s="5"/>
    </row>
    <row r="1548" spans="3:53" s="41" customFormat="1" x14ac:dyDescent="0.2">
      <c r="C1548" s="71"/>
      <c r="D1548" s="58"/>
      <c r="E1548" s="38"/>
      <c r="F1548" s="58"/>
      <c r="G1548" s="5"/>
      <c r="H1548" s="44"/>
      <c r="I1548" s="5"/>
      <c r="J1548" s="43"/>
      <c r="K1548" s="43"/>
      <c r="L1548" s="57"/>
      <c r="M1548" s="56"/>
      <c r="N1548" s="3"/>
      <c r="P1548" s="5"/>
      <c r="Q1548" s="5"/>
      <c r="R1548" s="5"/>
      <c r="T1548" s="56"/>
      <c r="U1548" s="77"/>
      <c r="V1548" s="77"/>
      <c r="AA1548" s="3"/>
      <c r="AF1548" s="5"/>
      <c r="AG1548" s="5"/>
      <c r="AH1548" s="5"/>
      <c r="AI1548" s="5"/>
      <c r="AJ1548" s="5"/>
      <c r="AK1548" s="5"/>
      <c r="AL1548" s="5"/>
      <c r="AM1548" s="13"/>
      <c r="AN1548" s="13"/>
      <c r="AO1548" s="5"/>
      <c r="AP1548" s="5"/>
      <c r="AQ1548" s="5"/>
      <c r="AR1548" s="5"/>
      <c r="AS1548" s="5"/>
      <c r="AT1548" s="5"/>
      <c r="AU1548" s="5"/>
      <c r="AV1548" s="5"/>
      <c r="AW1548" s="5"/>
      <c r="AX1548" s="5"/>
      <c r="AY1548" s="5"/>
      <c r="AZ1548" s="5"/>
      <c r="BA1548" s="5"/>
    </row>
    <row r="1549" spans="3:53" s="41" customFormat="1" x14ac:dyDescent="0.2">
      <c r="C1549" s="71"/>
      <c r="D1549" s="58"/>
      <c r="E1549" s="38"/>
      <c r="F1549" s="58"/>
      <c r="G1549" s="5"/>
      <c r="H1549" s="44"/>
      <c r="I1549" s="5"/>
      <c r="J1549" s="43"/>
      <c r="K1549" s="43"/>
      <c r="L1549" s="57"/>
      <c r="M1549" s="56"/>
      <c r="N1549" s="3"/>
      <c r="P1549" s="5"/>
      <c r="Q1549" s="5"/>
      <c r="R1549" s="5"/>
      <c r="T1549" s="56"/>
      <c r="U1549" s="77"/>
      <c r="V1549" s="77"/>
      <c r="AA1549" s="3"/>
      <c r="AF1549" s="5"/>
      <c r="AG1549" s="5"/>
      <c r="AH1549" s="5"/>
      <c r="AI1549" s="5"/>
      <c r="AJ1549" s="5"/>
      <c r="AK1549" s="5"/>
      <c r="AL1549" s="5"/>
      <c r="AM1549" s="13"/>
      <c r="AN1549" s="13"/>
      <c r="AO1549" s="5"/>
      <c r="AP1549" s="5"/>
      <c r="AQ1549" s="5"/>
      <c r="AR1549" s="5"/>
      <c r="AS1549" s="5"/>
      <c r="AT1549" s="5"/>
      <c r="AU1549" s="5"/>
      <c r="AV1549" s="5"/>
      <c r="AW1549" s="5"/>
      <c r="AX1549" s="5"/>
      <c r="AY1549" s="5"/>
      <c r="AZ1549" s="5"/>
      <c r="BA1549" s="5"/>
    </row>
    <row r="1550" spans="3:53" s="41" customFormat="1" x14ac:dyDescent="0.2">
      <c r="C1550" s="71"/>
      <c r="D1550" s="58"/>
      <c r="E1550" s="38"/>
      <c r="F1550" s="58"/>
      <c r="G1550" s="5"/>
      <c r="H1550" s="44"/>
      <c r="I1550" s="5"/>
      <c r="J1550" s="43"/>
      <c r="K1550" s="43"/>
      <c r="L1550" s="57"/>
      <c r="M1550" s="56"/>
      <c r="N1550" s="3"/>
      <c r="P1550" s="5"/>
      <c r="Q1550" s="5"/>
      <c r="R1550" s="5"/>
      <c r="T1550" s="56"/>
      <c r="U1550" s="77"/>
      <c r="V1550" s="77"/>
      <c r="AA1550" s="3"/>
      <c r="AF1550" s="5"/>
      <c r="AG1550" s="5"/>
      <c r="AH1550" s="5"/>
      <c r="AI1550" s="5"/>
      <c r="AJ1550" s="5"/>
      <c r="AK1550" s="5"/>
      <c r="AL1550" s="5"/>
      <c r="AM1550" s="13"/>
      <c r="AN1550" s="13"/>
      <c r="AO1550" s="5"/>
      <c r="AP1550" s="5"/>
      <c r="AQ1550" s="5"/>
      <c r="AR1550" s="5"/>
      <c r="AS1550" s="5"/>
      <c r="AT1550" s="5"/>
      <c r="AU1550" s="5"/>
      <c r="AV1550" s="5"/>
      <c r="AW1550" s="5"/>
      <c r="AX1550" s="5"/>
      <c r="AY1550" s="5"/>
      <c r="AZ1550" s="5"/>
      <c r="BA1550" s="5"/>
    </row>
    <row r="1551" spans="3:53" s="41" customFormat="1" x14ac:dyDescent="0.2">
      <c r="C1551" s="71"/>
      <c r="D1551" s="58"/>
      <c r="E1551" s="38"/>
      <c r="F1551" s="58"/>
      <c r="G1551" s="5"/>
      <c r="H1551" s="44"/>
      <c r="I1551" s="5"/>
      <c r="J1551" s="43"/>
      <c r="K1551" s="43"/>
      <c r="L1551" s="57"/>
      <c r="M1551" s="56"/>
      <c r="N1551" s="3"/>
      <c r="P1551" s="5"/>
      <c r="Q1551" s="5"/>
      <c r="R1551" s="5"/>
      <c r="T1551" s="56"/>
      <c r="U1551" s="77"/>
      <c r="V1551" s="77"/>
      <c r="AA1551" s="3"/>
      <c r="AF1551" s="5"/>
      <c r="AG1551" s="5"/>
      <c r="AH1551" s="5"/>
      <c r="AI1551" s="5"/>
      <c r="AJ1551" s="5"/>
      <c r="AK1551" s="5"/>
      <c r="AL1551" s="5"/>
      <c r="AM1551" s="13"/>
      <c r="AN1551" s="13"/>
      <c r="AO1551" s="5"/>
      <c r="AP1551" s="5"/>
      <c r="AQ1551" s="5"/>
      <c r="AR1551" s="5"/>
      <c r="AS1551" s="5"/>
      <c r="AT1551" s="5"/>
      <c r="AU1551" s="5"/>
      <c r="AV1551" s="5"/>
      <c r="AW1551" s="5"/>
      <c r="AX1551" s="5"/>
      <c r="AY1551" s="5"/>
      <c r="AZ1551" s="5"/>
      <c r="BA1551" s="5"/>
    </row>
    <row r="1552" spans="3:53" s="41" customFormat="1" x14ac:dyDescent="0.2">
      <c r="C1552" s="71"/>
      <c r="D1552" s="58"/>
      <c r="E1552" s="38"/>
      <c r="F1552" s="58"/>
      <c r="G1552" s="5"/>
      <c r="H1552" s="44"/>
      <c r="I1552" s="5"/>
      <c r="J1552" s="43"/>
      <c r="K1552" s="43"/>
      <c r="L1552" s="57"/>
      <c r="M1552" s="56"/>
      <c r="N1552" s="3"/>
      <c r="P1552" s="5"/>
      <c r="Q1552" s="5"/>
      <c r="R1552" s="5"/>
      <c r="T1552" s="56"/>
      <c r="U1552" s="77"/>
      <c r="V1552" s="77"/>
      <c r="AA1552" s="3"/>
      <c r="AF1552" s="5"/>
      <c r="AG1552" s="5"/>
      <c r="AH1552" s="5"/>
      <c r="AI1552" s="5"/>
      <c r="AJ1552" s="5"/>
      <c r="AK1552" s="5"/>
      <c r="AL1552" s="5"/>
      <c r="AM1552" s="13"/>
      <c r="AN1552" s="13"/>
      <c r="AO1552" s="5"/>
      <c r="AP1552" s="5"/>
      <c r="AQ1552" s="5"/>
      <c r="AR1552" s="5"/>
      <c r="AS1552" s="5"/>
      <c r="AT1552" s="5"/>
      <c r="AU1552" s="5"/>
      <c r="AV1552" s="5"/>
      <c r="AW1552" s="5"/>
      <c r="AX1552" s="5"/>
      <c r="AY1552" s="5"/>
      <c r="AZ1552" s="5"/>
      <c r="BA1552" s="5"/>
    </row>
    <row r="1553" spans="3:53" s="41" customFormat="1" x14ac:dyDescent="0.2">
      <c r="C1553" s="71"/>
      <c r="D1553" s="58"/>
      <c r="E1553" s="38"/>
      <c r="F1553" s="58"/>
      <c r="G1553" s="5"/>
      <c r="H1553" s="44"/>
      <c r="I1553" s="5"/>
      <c r="J1553" s="43"/>
      <c r="K1553" s="43"/>
      <c r="L1553" s="57"/>
      <c r="M1553" s="56"/>
      <c r="N1553" s="3"/>
      <c r="P1553" s="5"/>
      <c r="Q1553" s="5"/>
      <c r="R1553" s="5"/>
      <c r="T1553" s="56"/>
      <c r="U1553" s="77"/>
      <c r="V1553" s="77"/>
      <c r="AA1553" s="3"/>
      <c r="AF1553" s="5"/>
      <c r="AG1553" s="5"/>
      <c r="AH1553" s="5"/>
      <c r="AI1553" s="5"/>
      <c r="AJ1553" s="5"/>
      <c r="AK1553" s="5"/>
      <c r="AL1553" s="5"/>
      <c r="AM1553" s="13"/>
      <c r="AN1553" s="13"/>
      <c r="AO1553" s="5"/>
      <c r="AP1553" s="5"/>
      <c r="AQ1553" s="5"/>
      <c r="AR1553" s="5"/>
      <c r="AS1553" s="5"/>
      <c r="AT1553" s="5"/>
      <c r="AU1553" s="5"/>
      <c r="AV1553" s="5"/>
      <c r="AW1553" s="5"/>
      <c r="AX1553" s="5"/>
      <c r="AY1553" s="5"/>
      <c r="AZ1553" s="5"/>
      <c r="BA1553" s="5"/>
    </row>
    <row r="1554" spans="3:53" s="41" customFormat="1" x14ac:dyDescent="0.2">
      <c r="C1554" s="71"/>
      <c r="D1554" s="58"/>
      <c r="E1554" s="38"/>
      <c r="F1554" s="58"/>
      <c r="G1554" s="5"/>
      <c r="H1554" s="44"/>
      <c r="I1554" s="5"/>
      <c r="J1554" s="43"/>
      <c r="K1554" s="43"/>
      <c r="L1554" s="57"/>
      <c r="M1554" s="56"/>
      <c r="N1554" s="3"/>
      <c r="P1554" s="5"/>
      <c r="Q1554" s="5"/>
      <c r="R1554" s="5"/>
      <c r="T1554" s="56"/>
      <c r="U1554" s="77"/>
      <c r="V1554" s="77"/>
      <c r="AA1554" s="3"/>
      <c r="AF1554" s="5"/>
      <c r="AG1554" s="5"/>
      <c r="AH1554" s="5"/>
      <c r="AI1554" s="5"/>
      <c r="AJ1554" s="5"/>
      <c r="AK1554" s="5"/>
      <c r="AL1554" s="5"/>
      <c r="AM1554" s="13"/>
      <c r="AN1554" s="13"/>
      <c r="AO1554" s="5"/>
      <c r="AP1554" s="5"/>
      <c r="AQ1554" s="5"/>
      <c r="AR1554" s="5"/>
      <c r="AS1554" s="5"/>
      <c r="AT1554" s="5"/>
      <c r="AU1554" s="5"/>
      <c r="AV1554" s="5"/>
      <c r="AW1554" s="5"/>
      <c r="AX1554" s="5"/>
      <c r="AY1554" s="5"/>
      <c r="AZ1554" s="5"/>
      <c r="BA1554" s="5"/>
    </row>
    <row r="1555" spans="3:53" s="41" customFormat="1" x14ac:dyDescent="0.2">
      <c r="C1555" s="71"/>
      <c r="D1555" s="58"/>
      <c r="E1555" s="38"/>
      <c r="F1555" s="58"/>
      <c r="G1555" s="5"/>
      <c r="H1555" s="44"/>
      <c r="I1555" s="5"/>
      <c r="J1555" s="43"/>
      <c r="K1555" s="43"/>
      <c r="L1555" s="57"/>
      <c r="M1555" s="56"/>
      <c r="N1555" s="3"/>
      <c r="P1555" s="5"/>
      <c r="Q1555" s="5"/>
      <c r="R1555" s="5"/>
      <c r="T1555" s="56"/>
      <c r="U1555" s="77"/>
      <c r="V1555" s="77"/>
      <c r="AA1555" s="3"/>
      <c r="AF1555" s="5"/>
      <c r="AG1555" s="5"/>
      <c r="AH1555" s="5"/>
      <c r="AI1555" s="5"/>
      <c r="AJ1555" s="5"/>
      <c r="AK1555" s="5"/>
      <c r="AL1555" s="5"/>
      <c r="AM1555" s="13"/>
      <c r="AN1555" s="13"/>
      <c r="AO1555" s="5"/>
      <c r="AP1555" s="5"/>
      <c r="AQ1555" s="5"/>
      <c r="AR1555" s="5"/>
      <c r="AS1555" s="5"/>
      <c r="AT1555" s="5"/>
      <c r="AU1555" s="5"/>
      <c r="AV1555" s="5"/>
      <c r="AW1555" s="5"/>
      <c r="AX1555" s="5"/>
      <c r="AY1555" s="5"/>
      <c r="AZ1555" s="5"/>
      <c r="BA1555" s="5"/>
    </row>
    <row r="1556" spans="3:53" s="41" customFormat="1" x14ac:dyDescent="0.2">
      <c r="C1556" s="71"/>
      <c r="D1556" s="58"/>
      <c r="E1556" s="38"/>
      <c r="F1556" s="58"/>
      <c r="G1556" s="5"/>
      <c r="H1556" s="44"/>
      <c r="I1556" s="5"/>
      <c r="J1556" s="43"/>
      <c r="K1556" s="43"/>
      <c r="L1556" s="57"/>
      <c r="M1556" s="56"/>
      <c r="N1556" s="3"/>
      <c r="P1556" s="5"/>
      <c r="Q1556" s="5"/>
      <c r="R1556" s="5"/>
      <c r="T1556" s="56"/>
      <c r="U1556" s="77"/>
      <c r="V1556" s="77"/>
      <c r="AA1556" s="3"/>
      <c r="AF1556" s="5"/>
      <c r="AG1556" s="5"/>
      <c r="AH1556" s="5"/>
      <c r="AI1556" s="5"/>
      <c r="AJ1556" s="5"/>
      <c r="AK1556" s="5"/>
      <c r="AL1556" s="5"/>
      <c r="AM1556" s="13"/>
      <c r="AN1556" s="13"/>
      <c r="AO1556" s="5"/>
      <c r="AP1556" s="5"/>
      <c r="AQ1556" s="5"/>
      <c r="AR1556" s="5"/>
      <c r="AS1556" s="5"/>
      <c r="AT1556" s="5"/>
      <c r="AU1556" s="5"/>
      <c r="AV1556" s="5"/>
      <c r="AW1556" s="5"/>
      <c r="AX1556" s="5"/>
      <c r="AY1556" s="5"/>
      <c r="AZ1556" s="5"/>
      <c r="BA1556" s="5"/>
    </row>
    <row r="1557" spans="3:53" s="41" customFormat="1" x14ac:dyDescent="0.2">
      <c r="C1557" s="71"/>
      <c r="D1557" s="58"/>
      <c r="E1557" s="38"/>
      <c r="F1557" s="58"/>
      <c r="G1557" s="5"/>
      <c r="H1557" s="44"/>
      <c r="I1557" s="5"/>
      <c r="J1557" s="43"/>
      <c r="K1557" s="43"/>
      <c r="L1557" s="57"/>
      <c r="M1557" s="56"/>
      <c r="N1557" s="3"/>
      <c r="P1557" s="5"/>
      <c r="Q1557" s="5"/>
      <c r="R1557" s="5"/>
      <c r="T1557" s="56"/>
      <c r="U1557" s="77"/>
      <c r="V1557" s="77"/>
      <c r="AA1557" s="3"/>
      <c r="AF1557" s="5"/>
      <c r="AG1557" s="5"/>
      <c r="AH1557" s="5"/>
      <c r="AI1557" s="5"/>
      <c r="AJ1557" s="5"/>
      <c r="AK1557" s="5"/>
      <c r="AL1557" s="5"/>
      <c r="AM1557" s="13"/>
      <c r="AN1557" s="13"/>
      <c r="AO1557" s="5"/>
      <c r="AP1557" s="5"/>
      <c r="AQ1557" s="5"/>
      <c r="AR1557" s="5"/>
      <c r="AS1557" s="5"/>
      <c r="AT1557" s="5"/>
      <c r="AU1557" s="5"/>
      <c r="AV1557" s="5"/>
      <c r="AW1557" s="5"/>
      <c r="AX1557" s="5"/>
      <c r="AY1557" s="5"/>
      <c r="AZ1557" s="5"/>
      <c r="BA1557" s="5"/>
    </row>
    <row r="1558" spans="3:53" s="41" customFormat="1" x14ac:dyDescent="0.2">
      <c r="C1558" s="71"/>
      <c r="D1558" s="58"/>
      <c r="E1558" s="38"/>
      <c r="F1558" s="58"/>
      <c r="G1558" s="5"/>
      <c r="H1558" s="44"/>
      <c r="I1558" s="5"/>
      <c r="J1558" s="43"/>
      <c r="K1558" s="43"/>
      <c r="L1558" s="57"/>
      <c r="M1558" s="56"/>
      <c r="N1558" s="3"/>
      <c r="P1558" s="5"/>
      <c r="Q1558" s="5"/>
      <c r="R1558" s="5"/>
      <c r="T1558" s="56"/>
      <c r="U1558" s="77"/>
      <c r="V1558" s="77"/>
      <c r="AA1558" s="3"/>
      <c r="AF1558" s="5"/>
      <c r="AG1558" s="5"/>
      <c r="AH1558" s="5"/>
      <c r="AI1558" s="5"/>
      <c r="AJ1558" s="5"/>
      <c r="AK1558" s="5"/>
      <c r="AL1558" s="5"/>
      <c r="AM1558" s="13"/>
      <c r="AN1558" s="13"/>
      <c r="AO1558" s="5"/>
      <c r="AP1558" s="5"/>
      <c r="AQ1558" s="5"/>
      <c r="AR1558" s="5"/>
      <c r="AS1558" s="5"/>
      <c r="AT1558" s="5"/>
      <c r="AU1558" s="5"/>
      <c r="AV1558" s="5"/>
      <c r="AW1558" s="5"/>
      <c r="AX1558" s="5"/>
      <c r="AY1558" s="5"/>
      <c r="AZ1558" s="5"/>
      <c r="BA1558" s="5"/>
    </row>
    <row r="1559" spans="3:53" s="41" customFormat="1" x14ac:dyDescent="0.2">
      <c r="C1559" s="71"/>
      <c r="D1559" s="58"/>
      <c r="E1559" s="38"/>
      <c r="F1559" s="58"/>
      <c r="G1559" s="5"/>
      <c r="H1559" s="44"/>
      <c r="I1559" s="5"/>
      <c r="J1559" s="43"/>
      <c r="K1559" s="43"/>
      <c r="L1559" s="57"/>
      <c r="M1559" s="56"/>
      <c r="N1559" s="3"/>
      <c r="P1559" s="5"/>
      <c r="Q1559" s="5"/>
      <c r="R1559" s="5"/>
      <c r="T1559" s="56"/>
      <c r="U1559" s="77"/>
      <c r="V1559" s="77"/>
      <c r="AA1559" s="3"/>
      <c r="AF1559" s="5"/>
      <c r="AG1559" s="5"/>
      <c r="AH1559" s="5"/>
      <c r="AI1559" s="5"/>
      <c r="AJ1559" s="5"/>
      <c r="AK1559" s="5"/>
      <c r="AL1559" s="5"/>
      <c r="AM1559" s="13"/>
      <c r="AN1559" s="13"/>
      <c r="AO1559" s="5"/>
      <c r="AP1559" s="5"/>
      <c r="AQ1559" s="5"/>
      <c r="AR1559" s="5"/>
      <c r="AS1559" s="5"/>
      <c r="AT1559" s="5"/>
      <c r="AU1559" s="5"/>
      <c r="AV1559" s="5"/>
      <c r="AW1559" s="5"/>
      <c r="AX1559" s="5"/>
      <c r="AY1559" s="5"/>
      <c r="AZ1559" s="5"/>
      <c r="BA1559" s="5"/>
    </row>
    <row r="1560" spans="3:53" s="41" customFormat="1" x14ac:dyDescent="0.2">
      <c r="C1560" s="71"/>
      <c r="D1560" s="58"/>
      <c r="E1560" s="38"/>
      <c r="F1560" s="58"/>
      <c r="G1560" s="5"/>
      <c r="H1560" s="44"/>
      <c r="I1560" s="5"/>
      <c r="J1560" s="43"/>
      <c r="K1560" s="43"/>
      <c r="L1560" s="57"/>
      <c r="M1560" s="56"/>
      <c r="N1560" s="3"/>
      <c r="P1560" s="5"/>
      <c r="Q1560" s="5"/>
      <c r="R1560" s="5"/>
      <c r="T1560" s="56"/>
      <c r="U1560" s="77"/>
      <c r="V1560" s="77"/>
      <c r="AA1560" s="3"/>
      <c r="AF1560" s="5"/>
      <c r="AG1560" s="5"/>
      <c r="AH1560" s="5"/>
      <c r="AI1560" s="5"/>
      <c r="AJ1560" s="5"/>
      <c r="AK1560" s="5"/>
      <c r="AL1560" s="5"/>
      <c r="AM1560" s="13"/>
      <c r="AN1560" s="13"/>
      <c r="AO1560" s="5"/>
      <c r="AP1560" s="5"/>
      <c r="AQ1560" s="5"/>
      <c r="AR1560" s="5"/>
      <c r="AS1560" s="5"/>
      <c r="AT1560" s="5"/>
      <c r="AU1560" s="5"/>
      <c r="AV1560" s="5"/>
      <c r="AW1560" s="5"/>
      <c r="AX1560" s="5"/>
      <c r="AY1560" s="5"/>
      <c r="AZ1560" s="5"/>
      <c r="BA1560" s="5"/>
    </row>
    <row r="1561" spans="3:53" s="41" customFormat="1" x14ac:dyDescent="0.2">
      <c r="C1561" s="71"/>
      <c r="D1561" s="58"/>
      <c r="E1561" s="38"/>
      <c r="F1561" s="58"/>
      <c r="G1561" s="5"/>
      <c r="H1561" s="44"/>
      <c r="I1561" s="5"/>
      <c r="J1561" s="43"/>
      <c r="K1561" s="43"/>
      <c r="L1561" s="57"/>
      <c r="M1561" s="56"/>
      <c r="N1561" s="3"/>
      <c r="P1561" s="5"/>
      <c r="Q1561" s="5"/>
      <c r="R1561" s="5"/>
      <c r="T1561" s="56"/>
      <c r="U1561" s="77"/>
      <c r="V1561" s="77"/>
      <c r="AA1561" s="3"/>
      <c r="AF1561" s="5"/>
      <c r="AG1561" s="5"/>
      <c r="AH1561" s="5"/>
      <c r="AI1561" s="5"/>
      <c r="AJ1561" s="5"/>
      <c r="AK1561" s="5"/>
      <c r="AL1561" s="5"/>
      <c r="AM1561" s="13"/>
      <c r="AN1561" s="13"/>
      <c r="AO1561" s="5"/>
      <c r="AP1561" s="5"/>
      <c r="AQ1561" s="5"/>
      <c r="AR1561" s="5"/>
      <c r="AS1561" s="5"/>
      <c r="AT1561" s="5"/>
      <c r="AU1561" s="5"/>
      <c r="AV1561" s="5"/>
      <c r="AW1561" s="5"/>
      <c r="AX1561" s="5"/>
      <c r="AY1561" s="5"/>
      <c r="AZ1561" s="5"/>
      <c r="BA1561" s="5"/>
    </row>
    <row r="1562" spans="3:53" s="41" customFormat="1" x14ac:dyDescent="0.2">
      <c r="C1562" s="71"/>
      <c r="D1562" s="58"/>
      <c r="E1562" s="38"/>
      <c r="F1562" s="58"/>
      <c r="G1562" s="5"/>
      <c r="H1562" s="44"/>
      <c r="I1562" s="5"/>
      <c r="J1562" s="43"/>
      <c r="K1562" s="43"/>
      <c r="L1562" s="57"/>
      <c r="M1562" s="56"/>
      <c r="N1562" s="3"/>
      <c r="P1562" s="5"/>
      <c r="Q1562" s="5"/>
      <c r="R1562" s="5"/>
      <c r="T1562" s="56"/>
      <c r="U1562" s="77"/>
      <c r="V1562" s="77"/>
      <c r="AA1562" s="3"/>
      <c r="AF1562" s="5"/>
      <c r="AG1562" s="5"/>
      <c r="AH1562" s="5"/>
      <c r="AI1562" s="5"/>
      <c r="AJ1562" s="5"/>
      <c r="AK1562" s="5"/>
      <c r="AL1562" s="5"/>
      <c r="AM1562" s="13"/>
      <c r="AN1562" s="13"/>
      <c r="AO1562" s="5"/>
      <c r="AP1562" s="5"/>
      <c r="AQ1562" s="5"/>
      <c r="AR1562" s="5"/>
      <c r="AS1562" s="5"/>
      <c r="AT1562" s="5"/>
      <c r="AU1562" s="5"/>
      <c r="AV1562" s="5"/>
      <c r="AW1562" s="5"/>
      <c r="AX1562" s="5"/>
      <c r="AY1562" s="5"/>
      <c r="AZ1562" s="5"/>
      <c r="BA1562" s="5"/>
    </row>
    <row r="1563" spans="3:53" s="41" customFormat="1" x14ac:dyDescent="0.2">
      <c r="C1563" s="71"/>
      <c r="D1563" s="58"/>
      <c r="E1563" s="38"/>
      <c r="F1563" s="58"/>
      <c r="G1563" s="5"/>
      <c r="H1563" s="44"/>
      <c r="I1563" s="5"/>
      <c r="J1563" s="43"/>
      <c r="K1563" s="43"/>
      <c r="L1563" s="57"/>
      <c r="M1563" s="56"/>
      <c r="N1563" s="3"/>
      <c r="P1563" s="5"/>
      <c r="Q1563" s="5"/>
      <c r="R1563" s="5"/>
      <c r="T1563" s="56"/>
      <c r="U1563" s="77"/>
      <c r="V1563" s="77"/>
      <c r="AA1563" s="3"/>
      <c r="AF1563" s="5"/>
      <c r="AG1563" s="5"/>
      <c r="AH1563" s="5"/>
      <c r="AI1563" s="5"/>
      <c r="AJ1563" s="5"/>
      <c r="AK1563" s="5"/>
      <c r="AL1563" s="5"/>
      <c r="AM1563" s="13"/>
      <c r="AN1563" s="13"/>
      <c r="AO1563" s="5"/>
      <c r="AP1563" s="5"/>
      <c r="AQ1563" s="5"/>
      <c r="AR1563" s="5"/>
      <c r="AS1563" s="5"/>
      <c r="AT1563" s="5"/>
      <c r="AU1563" s="5"/>
      <c r="AV1563" s="5"/>
      <c r="AW1563" s="5"/>
      <c r="AX1563" s="5"/>
      <c r="AY1563" s="5"/>
      <c r="AZ1563" s="5"/>
      <c r="BA1563" s="5"/>
    </row>
    <row r="1564" spans="3:53" s="41" customFormat="1" x14ac:dyDescent="0.2">
      <c r="C1564" s="71"/>
      <c r="D1564" s="58"/>
      <c r="E1564" s="38"/>
      <c r="F1564" s="58"/>
      <c r="G1564" s="5"/>
      <c r="H1564" s="44"/>
      <c r="I1564" s="5"/>
      <c r="J1564" s="43"/>
      <c r="K1564" s="43"/>
      <c r="L1564" s="57"/>
      <c r="M1564" s="56"/>
      <c r="N1564" s="3"/>
      <c r="P1564" s="5"/>
      <c r="Q1564" s="5"/>
      <c r="R1564" s="5"/>
      <c r="T1564" s="56"/>
      <c r="U1564" s="77"/>
      <c r="V1564" s="77"/>
      <c r="AA1564" s="3"/>
      <c r="AF1564" s="5"/>
      <c r="AG1564" s="5"/>
      <c r="AH1564" s="5"/>
      <c r="AI1564" s="5"/>
      <c r="AJ1564" s="5"/>
      <c r="AK1564" s="5"/>
      <c r="AL1564" s="5"/>
      <c r="AM1564" s="13"/>
      <c r="AN1564" s="13"/>
      <c r="AO1564" s="5"/>
      <c r="AP1564" s="5"/>
      <c r="AQ1564" s="5"/>
      <c r="AR1564" s="5"/>
      <c r="AS1564" s="5"/>
      <c r="AT1564" s="5"/>
      <c r="AU1564" s="5"/>
      <c r="AV1564" s="5"/>
      <c r="AW1564" s="5"/>
      <c r="AX1564" s="5"/>
      <c r="AY1564" s="5"/>
      <c r="AZ1564" s="5"/>
      <c r="BA1564" s="5"/>
    </row>
    <row r="1565" spans="3:53" s="41" customFormat="1" x14ac:dyDescent="0.2">
      <c r="C1565" s="71"/>
      <c r="D1565" s="58"/>
      <c r="E1565" s="38"/>
      <c r="F1565" s="58"/>
      <c r="G1565" s="5"/>
      <c r="H1565" s="44"/>
      <c r="I1565" s="5"/>
      <c r="J1565" s="43"/>
      <c r="K1565" s="43"/>
      <c r="L1565" s="57"/>
      <c r="M1565" s="56"/>
      <c r="N1565" s="3"/>
      <c r="P1565" s="5"/>
      <c r="Q1565" s="5"/>
      <c r="R1565" s="5"/>
      <c r="T1565" s="56"/>
      <c r="U1565" s="77"/>
      <c r="V1565" s="77"/>
      <c r="AA1565" s="3"/>
      <c r="AF1565" s="5"/>
      <c r="AG1565" s="5"/>
      <c r="AH1565" s="5"/>
      <c r="AI1565" s="5"/>
      <c r="AJ1565" s="5"/>
      <c r="AK1565" s="5"/>
      <c r="AL1565" s="5"/>
      <c r="AM1565" s="13"/>
      <c r="AN1565" s="13"/>
      <c r="AO1565" s="5"/>
      <c r="AP1565" s="5"/>
      <c r="AQ1565" s="5"/>
      <c r="AR1565" s="5"/>
      <c r="AS1565" s="5"/>
      <c r="AT1565" s="5"/>
      <c r="AU1565" s="5"/>
      <c r="AV1565" s="5"/>
      <c r="AW1565" s="5"/>
      <c r="AX1565" s="5"/>
      <c r="AY1565" s="5"/>
      <c r="AZ1565" s="5"/>
      <c r="BA1565" s="5"/>
    </row>
    <row r="1566" spans="3:53" s="41" customFormat="1" x14ac:dyDescent="0.2">
      <c r="C1566" s="71"/>
      <c r="D1566" s="58"/>
      <c r="E1566" s="38"/>
      <c r="F1566" s="58"/>
      <c r="G1566" s="5"/>
      <c r="H1566" s="44"/>
      <c r="I1566" s="5"/>
      <c r="J1566" s="43"/>
      <c r="K1566" s="43"/>
      <c r="L1566" s="57"/>
      <c r="M1566" s="56"/>
      <c r="N1566" s="3"/>
      <c r="P1566" s="5"/>
      <c r="Q1566" s="5"/>
      <c r="R1566" s="5"/>
      <c r="T1566" s="56"/>
      <c r="U1566" s="77"/>
      <c r="V1566" s="77"/>
      <c r="AA1566" s="3"/>
      <c r="AF1566" s="5"/>
      <c r="AG1566" s="5"/>
      <c r="AH1566" s="5"/>
      <c r="AI1566" s="5"/>
      <c r="AJ1566" s="5"/>
      <c r="AK1566" s="5"/>
      <c r="AL1566" s="5"/>
      <c r="AM1566" s="13"/>
      <c r="AN1566" s="13"/>
      <c r="AO1566" s="5"/>
      <c r="AP1566" s="5"/>
      <c r="AQ1566" s="5"/>
      <c r="AR1566" s="5"/>
      <c r="AS1566" s="5"/>
      <c r="AT1566" s="5"/>
      <c r="AU1566" s="5"/>
      <c r="AV1566" s="5"/>
      <c r="AW1566" s="5"/>
      <c r="AX1566" s="5"/>
      <c r="AY1566" s="5"/>
      <c r="AZ1566" s="5"/>
      <c r="BA1566" s="5"/>
    </row>
    <row r="1567" spans="3:53" s="41" customFormat="1" x14ac:dyDescent="0.2">
      <c r="C1567" s="71"/>
      <c r="D1567" s="58"/>
      <c r="E1567" s="38"/>
      <c r="F1567" s="58"/>
      <c r="G1567" s="5"/>
      <c r="H1567" s="44"/>
      <c r="I1567" s="5"/>
      <c r="J1567" s="43"/>
      <c r="K1567" s="43"/>
      <c r="L1567" s="57"/>
      <c r="M1567" s="56"/>
      <c r="N1567" s="3"/>
      <c r="P1567" s="5"/>
      <c r="Q1567" s="5"/>
      <c r="R1567" s="5"/>
      <c r="T1567" s="56"/>
      <c r="U1567" s="77"/>
      <c r="V1567" s="77"/>
      <c r="AA1567" s="3"/>
      <c r="AF1567" s="5"/>
      <c r="AG1567" s="5"/>
      <c r="AH1567" s="5"/>
      <c r="AI1567" s="5"/>
      <c r="AJ1567" s="5"/>
      <c r="AK1567" s="5"/>
      <c r="AL1567" s="5"/>
      <c r="AM1567" s="13"/>
      <c r="AN1567" s="13"/>
      <c r="AO1567" s="5"/>
      <c r="AP1567" s="5"/>
      <c r="AQ1567" s="5"/>
      <c r="AR1567" s="5"/>
      <c r="AS1567" s="5"/>
      <c r="AT1567" s="5"/>
      <c r="AU1567" s="5"/>
      <c r="AV1567" s="5"/>
      <c r="AW1567" s="5"/>
      <c r="AX1567" s="5"/>
      <c r="AY1567" s="5"/>
      <c r="AZ1567" s="5"/>
      <c r="BA1567" s="5"/>
    </row>
    <row r="1568" spans="3:53" s="41" customFormat="1" x14ac:dyDescent="0.2">
      <c r="C1568" s="71"/>
      <c r="D1568" s="58"/>
      <c r="E1568" s="38"/>
      <c r="F1568" s="58"/>
      <c r="G1568" s="5"/>
      <c r="H1568" s="44"/>
      <c r="I1568" s="5"/>
      <c r="J1568" s="43"/>
      <c r="K1568" s="43"/>
      <c r="L1568" s="57"/>
      <c r="M1568" s="56"/>
      <c r="N1568" s="3"/>
      <c r="P1568" s="5"/>
      <c r="Q1568" s="5"/>
      <c r="R1568" s="5"/>
      <c r="T1568" s="56"/>
      <c r="U1568" s="77"/>
      <c r="V1568" s="77"/>
      <c r="AA1568" s="3"/>
      <c r="AF1568" s="5"/>
      <c r="AG1568" s="5"/>
      <c r="AH1568" s="5"/>
      <c r="AI1568" s="5"/>
      <c r="AJ1568" s="5"/>
      <c r="AK1568" s="5"/>
      <c r="AL1568" s="5"/>
      <c r="AM1568" s="13"/>
      <c r="AN1568" s="13"/>
      <c r="AO1568" s="5"/>
      <c r="AP1568" s="5"/>
      <c r="AQ1568" s="5"/>
      <c r="AR1568" s="5"/>
      <c r="AS1568" s="5"/>
      <c r="AT1568" s="5"/>
      <c r="AU1568" s="5"/>
      <c r="AV1568" s="5"/>
      <c r="AW1568" s="5"/>
      <c r="AX1568" s="5"/>
      <c r="AY1568" s="5"/>
      <c r="AZ1568" s="5"/>
      <c r="BA1568" s="5"/>
    </row>
    <row r="1569" spans="3:53" s="41" customFormat="1" x14ac:dyDescent="0.2">
      <c r="C1569" s="71"/>
      <c r="D1569" s="58"/>
      <c r="E1569" s="38"/>
      <c r="F1569" s="58"/>
      <c r="G1569" s="5"/>
      <c r="H1569" s="44"/>
      <c r="I1569" s="5"/>
      <c r="J1569" s="43"/>
      <c r="K1569" s="43"/>
      <c r="L1569" s="57"/>
      <c r="M1569" s="56"/>
      <c r="N1569" s="3"/>
      <c r="P1569" s="5"/>
      <c r="Q1569" s="5"/>
      <c r="R1569" s="5"/>
      <c r="T1569" s="56"/>
      <c r="U1569" s="77"/>
      <c r="V1569" s="77"/>
      <c r="AA1569" s="3"/>
      <c r="AF1569" s="5"/>
      <c r="AG1569" s="5"/>
      <c r="AH1569" s="5"/>
      <c r="AI1569" s="5"/>
      <c r="AJ1569" s="5"/>
      <c r="AK1569" s="5"/>
      <c r="AL1569" s="5"/>
      <c r="AM1569" s="13"/>
      <c r="AN1569" s="13"/>
      <c r="AO1569" s="5"/>
      <c r="AP1569" s="5"/>
      <c r="AQ1569" s="5"/>
      <c r="AR1569" s="5"/>
      <c r="AS1569" s="5"/>
      <c r="AT1569" s="5"/>
      <c r="AU1569" s="5"/>
      <c r="AV1569" s="5"/>
      <c r="AW1569" s="5"/>
      <c r="AX1569" s="5"/>
      <c r="AY1569" s="5"/>
      <c r="AZ1569" s="5"/>
      <c r="BA1569" s="5"/>
    </row>
    <row r="1570" spans="3:53" s="41" customFormat="1" x14ac:dyDescent="0.2">
      <c r="C1570" s="71"/>
      <c r="D1570" s="58"/>
      <c r="E1570" s="38"/>
      <c r="F1570" s="58"/>
      <c r="G1570" s="5"/>
      <c r="H1570" s="44"/>
      <c r="I1570" s="5"/>
      <c r="J1570" s="43"/>
      <c r="K1570" s="43"/>
      <c r="L1570" s="57"/>
      <c r="M1570" s="56"/>
      <c r="N1570" s="3"/>
      <c r="P1570" s="5"/>
      <c r="Q1570" s="5"/>
      <c r="R1570" s="5"/>
      <c r="T1570" s="56"/>
      <c r="U1570" s="77"/>
      <c r="V1570" s="77"/>
      <c r="AA1570" s="3"/>
      <c r="AF1570" s="5"/>
      <c r="AG1570" s="5"/>
      <c r="AH1570" s="5"/>
      <c r="AI1570" s="5"/>
      <c r="AJ1570" s="5"/>
      <c r="AK1570" s="5"/>
      <c r="AL1570" s="5"/>
      <c r="AM1570" s="13"/>
      <c r="AN1570" s="13"/>
      <c r="AO1570" s="5"/>
      <c r="AP1570" s="5"/>
      <c r="AQ1570" s="5"/>
      <c r="AR1570" s="5"/>
      <c r="AS1570" s="5"/>
      <c r="AT1570" s="5"/>
      <c r="AU1570" s="5"/>
      <c r="AV1570" s="5"/>
      <c r="AW1570" s="5"/>
      <c r="AX1570" s="5"/>
      <c r="AY1570" s="5"/>
      <c r="AZ1570" s="5"/>
      <c r="BA1570" s="5"/>
    </row>
    <row r="1571" spans="3:53" s="41" customFormat="1" x14ac:dyDescent="0.2">
      <c r="C1571" s="71"/>
      <c r="D1571" s="58"/>
      <c r="E1571" s="38"/>
      <c r="F1571" s="58"/>
      <c r="G1571" s="5"/>
      <c r="H1571" s="44"/>
      <c r="I1571" s="5"/>
      <c r="J1571" s="43"/>
      <c r="K1571" s="43"/>
      <c r="L1571" s="57"/>
      <c r="M1571" s="56"/>
      <c r="N1571" s="3"/>
      <c r="P1571" s="5"/>
      <c r="Q1571" s="5"/>
      <c r="R1571" s="5"/>
      <c r="T1571" s="56"/>
      <c r="U1571" s="77"/>
      <c r="V1571" s="77"/>
      <c r="AA1571" s="3"/>
      <c r="AF1571" s="5"/>
      <c r="AG1571" s="5"/>
      <c r="AH1571" s="5"/>
      <c r="AI1571" s="5"/>
      <c r="AJ1571" s="5"/>
      <c r="AK1571" s="5"/>
      <c r="AL1571" s="5"/>
      <c r="AM1571" s="13"/>
      <c r="AN1571" s="13"/>
      <c r="AO1571" s="5"/>
      <c r="AP1571" s="5"/>
      <c r="AQ1571" s="5"/>
      <c r="AR1571" s="5"/>
      <c r="AS1571" s="5"/>
      <c r="AT1571" s="5"/>
      <c r="AU1571" s="5"/>
      <c r="AV1571" s="5"/>
      <c r="AW1571" s="5"/>
      <c r="AX1571" s="5"/>
      <c r="AY1571" s="5"/>
      <c r="AZ1571" s="5"/>
      <c r="BA1571" s="5"/>
    </row>
    <row r="1572" spans="3:53" s="41" customFormat="1" x14ac:dyDescent="0.2">
      <c r="C1572" s="71"/>
      <c r="D1572" s="58"/>
      <c r="E1572" s="38"/>
      <c r="F1572" s="58"/>
      <c r="G1572" s="5"/>
      <c r="H1572" s="44"/>
      <c r="I1572" s="5"/>
      <c r="J1572" s="43"/>
      <c r="K1572" s="43"/>
      <c r="L1572" s="57"/>
      <c r="M1572" s="56"/>
      <c r="N1572" s="3"/>
      <c r="P1572" s="5"/>
      <c r="Q1572" s="5"/>
      <c r="R1572" s="5"/>
      <c r="T1572" s="56"/>
      <c r="U1572" s="77"/>
      <c r="V1572" s="77"/>
      <c r="AA1572" s="3"/>
      <c r="AF1572" s="5"/>
      <c r="AG1572" s="5"/>
      <c r="AH1572" s="5"/>
      <c r="AI1572" s="5"/>
      <c r="AJ1572" s="5"/>
      <c r="AK1572" s="5"/>
      <c r="AL1572" s="5"/>
      <c r="AM1572" s="13"/>
      <c r="AN1572" s="13"/>
      <c r="AO1572" s="5"/>
      <c r="AP1572" s="5"/>
      <c r="AQ1572" s="5"/>
      <c r="AR1572" s="5"/>
      <c r="AS1572" s="5"/>
      <c r="AT1572" s="5"/>
      <c r="AU1572" s="5"/>
      <c r="AV1572" s="5"/>
      <c r="AW1572" s="5"/>
      <c r="AX1572" s="5"/>
      <c r="AY1572" s="5"/>
      <c r="AZ1572" s="5"/>
      <c r="BA1572" s="5"/>
    </row>
    <row r="1573" spans="3:53" s="41" customFormat="1" x14ac:dyDescent="0.2">
      <c r="C1573" s="71"/>
      <c r="D1573" s="58"/>
      <c r="E1573" s="38"/>
      <c r="F1573" s="58"/>
      <c r="G1573" s="5"/>
      <c r="H1573" s="44"/>
      <c r="I1573" s="5"/>
      <c r="J1573" s="43"/>
      <c r="K1573" s="43"/>
      <c r="L1573" s="57"/>
      <c r="M1573" s="56"/>
      <c r="N1573" s="3"/>
      <c r="P1573" s="5"/>
      <c r="Q1573" s="5"/>
      <c r="R1573" s="5"/>
      <c r="T1573" s="56"/>
      <c r="U1573" s="77"/>
      <c r="V1573" s="77"/>
      <c r="AA1573" s="3"/>
      <c r="AF1573" s="5"/>
      <c r="AG1573" s="5"/>
      <c r="AH1573" s="5"/>
      <c r="AI1573" s="5"/>
      <c r="AJ1573" s="5"/>
      <c r="AK1573" s="5"/>
      <c r="AL1573" s="5"/>
      <c r="AM1573" s="13"/>
      <c r="AN1573" s="13"/>
      <c r="AO1573" s="5"/>
      <c r="AP1573" s="5"/>
      <c r="AQ1573" s="5"/>
      <c r="AR1573" s="5"/>
      <c r="AS1573" s="5"/>
      <c r="AT1573" s="5"/>
      <c r="AU1573" s="5"/>
      <c r="AV1573" s="5"/>
      <c r="AW1573" s="5"/>
      <c r="AX1573" s="5"/>
      <c r="AY1573" s="5"/>
      <c r="AZ1573" s="5"/>
      <c r="BA1573" s="5"/>
    </row>
    <row r="1574" spans="3:53" s="41" customFormat="1" x14ac:dyDescent="0.2">
      <c r="C1574" s="71"/>
      <c r="D1574" s="58"/>
      <c r="E1574" s="38"/>
      <c r="F1574" s="58"/>
      <c r="G1574" s="5"/>
      <c r="H1574" s="44"/>
      <c r="I1574" s="5"/>
      <c r="J1574" s="43"/>
      <c r="K1574" s="43"/>
      <c r="L1574" s="57"/>
      <c r="M1574" s="56"/>
      <c r="N1574" s="3"/>
      <c r="P1574" s="5"/>
      <c r="Q1574" s="5"/>
      <c r="R1574" s="5"/>
      <c r="T1574" s="56"/>
      <c r="U1574" s="77"/>
      <c r="V1574" s="77"/>
      <c r="AA1574" s="3"/>
      <c r="AF1574" s="5"/>
      <c r="AG1574" s="5"/>
      <c r="AH1574" s="5"/>
      <c r="AI1574" s="5"/>
      <c r="AJ1574" s="5"/>
      <c r="AK1574" s="5"/>
      <c r="AL1574" s="5"/>
      <c r="AM1574" s="13"/>
      <c r="AN1574" s="13"/>
      <c r="AO1574" s="5"/>
      <c r="AP1574" s="5"/>
      <c r="AQ1574" s="5"/>
      <c r="AR1574" s="5"/>
      <c r="AS1574" s="5"/>
      <c r="AT1574" s="5"/>
      <c r="AU1574" s="5"/>
      <c r="AV1574" s="5"/>
      <c r="AW1574" s="5"/>
      <c r="AX1574" s="5"/>
      <c r="AY1574" s="5"/>
      <c r="AZ1574" s="5"/>
      <c r="BA1574" s="5"/>
    </row>
    <row r="1575" spans="3:53" s="41" customFormat="1" x14ac:dyDescent="0.2">
      <c r="C1575" s="71"/>
      <c r="D1575" s="58"/>
      <c r="E1575" s="38"/>
      <c r="F1575" s="58"/>
      <c r="G1575" s="5"/>
      <c r="H1575" s="44"/>
      <c r="I1575" s="5"/>
      <c r="J1575" s="43"/>
      <c r="K1575" s="43"/>
      <c r="L1575" s="57"/>
      <c r="M1575" s="56"/>
      <c r="N1575" s="3"/>
      <c r="P1575" s="5"/>
      <c r="Q1575" s="5"/>
      <c r="R1575" s="5"/>
      <c r="T1575" s="56"/>
      <c r="U1575" s="77"/>
      <c r="V1575" s="77"/>
      <c r="AA1575" s="3"/>
      <c r="AF1575" s="5"/>
      <c r="AG1575" s="5"/>
      <c r="AH1575" s="5"/>
      <c r="AI1575" s="5"/>
      <c r="AJ1575" s="5"/>
      <c r="AK1575" s="5"/>
      <c r="AL1575" s="5"/>
      <c r="AM1575" s="13"/>
      <c r="AN1575" s="13"/>
      <c r="AO1575" s="5"/>
      <c r="AP1575" s="5"/>
      <c r="AQ1575" s="5"/>
      <c r="AR1575" s="5"/>
      <c r="AS1575" s="5"/>
      <c r="AT1575" s="5"/>
      <c r="AU1575" s="5"/>
      <c r="AV1575" s="5"/>
      <c r="AW1575" s="5"/>
      <c r="AX1575" s="5"/>
      <c r="AY1575" s="5"/>
      <c r="AZ1575" s="5"/>
      <c r="BA1575" s="5"/>
    </row>
    <row r="1576" spans="3:53" s="41" customFormat="1" x14ac:dyDescent="0.2">
      <c r="C1576" s="71"/>
      <c r="D1576" s="58"/>
      <c r="E1576" s="38"/>
      <c r="F1576" s="58"/>
      <c r="G1576" s="5"/>
      <c r="H1576" s="44"/>
      <c r="I1576" s="5"/>
      <c r="J1576" s="43"/>
      <c r="K1576" s="43"/>
      <c r="L1576" s="57"/>
      <c r="M1576" s="56"/>
      <c r="N1576" s="3"/>
      <c r="P1576" s="5"/>
      <c r="Q1576" s="5"/>
      <c r="R1576" s="5"/>
      <c r="T1576" s="56"/>
      <c r="U1576" s="77"/>
      <c r="V1576" s="77"/>
      <c r="AA1576" s="3"/>
      <c r="AF1576" s="5"/>
      <c r="AG1576" s="5"/>
      <c r="AH1576" s="5"/>
      <c r="AI1576" s="5"/>
      <c r="AJ1576" s="5"/>
      <c r="AK1576" s="5"/>
      <c r="AL1576" s="5"/>
      <c r="AM1576" s="13"/>
      <c r="AN1576" s="13"/>
      <c r="AO1576" s="5"/>
      <c r="AP1576" s="5"/>
      <c r="AQ1576" s="5"/>
      <c r="AR1576" s="5"/>
      <c r="AS1576" s="5"/>
      <c r="AT1576" s="5"/>
      <c r="AU1576" s="5"/>
      <c r="AV1576" s="5"/>
      <c r="AW1576" s="5"/>
      <c r="AX1576" s="5"/>
      <c r="AY1576" s="5"/>
      <c r="AZ1576" s="5"/>
      <c r="BA1576" s="5"/>
    </row>
    <row r="1577" spans="3:53" s="41" customFormat="1" x14ac:dyDescent="0.2">
      <c r="C1577" s="71"/>
      <c r="D1577" s="58"/>
      <c r="E1577" s="38"/>
      <c r="F1577" s="58"/>
      <c r="G1577" s="5"/>
      <c r="H1577" s="44"/>
      <c r="I1577" s="5"/>
      <c r="J1577" s="43"/>
      <c r="K1577" s="43"/>
      <c r="L1577" s="57"/>
      <c r="M1577" s="56"/>
      <c r="N1577" s="3"/>
      <c r="P1577" s="5"/>
      <c r="Q1577" s="5"/>
      <c r="R1577" s="5"/>
      <c r="T1577" s="56"/>
      <c r="U1577" s="77"/>
      <c r="V1577" s="77"/>
      <c r="AA1577" s="3"/>
      <c r="AF1577" s="5"/>
      <c r="AG1577" s="5"/>
      <c r="AH1577" s="5"/>
      <c r="AI1577" s="5"/>
      <c r="AJ1577" s="5"/>
      <c r="AK1577" s="5"/>
      <c r="AL1577" s="5"/>
      <c r="AM1577" s="13"/>
      <c r="AN1577" s="13"/>
      <c r="AO1577" s="5"/>
      <c r="AP1577" s="5"/>
      <c r="AQ1577" s="5"/>
      <c r="AR1577" s="5"/>
      <c r="AS1577" s="5"/>
      <c r="AT1577" s="5"/>
      <c r="AU1577" s="5"/>
      <c r="AV1577" s="5"/>
      <c r="AW1577" s="5"/>
      <c r="AX1577" s="5"/>
      <c r="AY1577" s="5"/>
      <c r="AZ1577" s="5"/>
      <c r="BA1577" s="5"/>
    </row>
    <row r="1578" spans="3:53" s="41" customFormat="1" x14ac:dyDescent="0.2">
      <c r="C1578" s="71"/>
      <c r="D1578" s="58"/>
      <c r="E1578" s="38"/>
      <c r="F1578" s="58"/>
      <c r="G1578" s="5"/>
      <c r="H1578" s="44"/>
      <c r="I1578" s="5"/>
      <c r="J1578" s="43"/>
      <c r="K1578" s="43"/>
      <c r="L1578" s="57"/>
      <c r="M1578" s="56"/>
      <c r="N1578" s="3"/>
      <c r="P1578" s="5"/>
      <c r="Q1578" s="5"/>
      <c r="R1578" s="5"/>
      <c r="T1578" s="56"/>
      <c r="U1578" s="77"/>
      <c r="V1578" s="77"/>
      <c r="AA1578" s="3"/>
      <c r="AF1578" s="5"/>
      <c r="AG1578" s="5"/>
      <c r="AH1578" s="5"/>
      <c r="AI1578" s="5"/>
      <c r="AJ1578" s="5"/>
      <c r="AK1578" s="5"/>
      <c r="AL1578" s="5"/>
      <c r="AM1578" s="13"/>
      <c r="AN1578" s="13"/>
      <c r="AO1578" s="5"/>
      <c r="AP1578" s="5"/>
      <c r="AQ1578" s="5"/>
      <c r="AR1578" s="5"/>
      <c r="AS1578" s="5"/>
      <c r="AT1578" s="5"/>
      <c r="AU1578" s="5"/>
      <c r="AV1578" s="5"/>
      <c r="AW1578" s="5"/>
      <c r="AX1578" s="5"/>
      <c r="AY1578" s="5"/>
      <c r="AZ1578" s="5"/>
      <c r="BA1578" s="5"/>
    </row>
    <row r="1579" spans="3:53" s="41" customFormat="1" x14ac:dyDescent="0.2">
      <c r="C1579" s="71"/>
      <c r="D1579" s="58"/>
      <c r="E1579" s="38"/>
      <c r="F1579" s="58"/>
      <c r="G1579" s="5"/>
      <c r="H1579" s="44"/>
      <c r="I1579" s="5"/>
      <c r="J1579" s="43"/>
      <c r="K1579" s="43"/>
      <c r="L1579" s="57"/>
      <c r="M1579" s="56"/>
      <c r="N1579" s="3"/>
      <c r="P1579" s="5"/>
      <c r="Q1579" s="5"/>
      <c r="R1579" s="5"/>
      <c r="T1579" s="56"/>
      <c r="U1579" s="77"/>
      <c r="V1579" s="77"/>
      <c r="AA1579" s="3"/>
      <c r="AF1579" s="5"/>
      <c r="AG1579" s="5"/>
      <c r="AH1579" s="5"/>
      <c r="AI1579" s="5"/>
      <c r="AJ1579" s="5"/>
      <c r="AK1579" s="5"/>
      <c r="AL1579" s="5"/>
      <c r="AM1579" s="13"/>
      <c r="AN1579" s="13"/>
      <c r="AO1579" s="5"/>
      <c r="AP1579" s="5"/>
      <c r="AQ1579" s="5"/>
      <c r="AR1579" s="5"/>
      <c r="AS1579" s="5"/>
      <c r="AT1579" s="5"/>
      <c r="AU1579" s="5"/>
      <c r="AV1579" s="5"/>
      <c r="AW1579" s="5"/>
      <c r="AX1579" s="5"/>
      <c r="AY1579" s="5"/>
      <c r="AZ1579" s="5"/>
      <c r="BA1579" s="5"/>
    </row>
    <row r="1580" spans="3:53" s="41" customFormat="1" x14ac:dyDescent="0.2">
      <c r="C1580" s="71"/>
      <c r="D1580" s="58"/>
      <c r="E1580" s="38"/>
      <c r="F1580" s="58"/>
      <c r="G1580" s="5"/>
      <c r="H1580" s="44"/>
      <c r="I1580" s="5"/>
      <c r="J1580" s="43"/>
      <c r="K1580" s="43"/>
      <c r="L1580" s="57"/>
      <c r="M1580" s="56"/>
      <c r="N1580" s="3"/>
      <c r="P1580" s="5"/>
      <c r="Q1580" s="5"/>
      <c r="R1580" s="5"/>
      <c r="T1580" s="56"/>
      <c r="U1580" s="77"/>
      <c r="V1580" s="77"/>
      <c r="AA1580" s="3"/>
      <c r="AF1580" s="5"/>
      <c r="AG1580" s="5"/>
      <c r="AH1580" s="5"/>
      <c r="AI1580" s="5"/>
      <c r="AJ1580" s="5"/>
      <c r="AK1580" s="5"/>
      <c r="AL1580" s="5"/>
      <c r="AM1580" s="13"/>
      <c r="AN1580" s="13"/>
      <c r="AO1580" s="5"/>
      <c r="AP1580" s="5"/>
      <c r="AQ1580" s="5"/>
      <c r="AR1580" s="5"/>
      <c r="AS1580" s="5"/>
      <c r="AT1580" s="5"/>
      <c r="AU1580" s="5"/>
      <c r="AV1580" s="5"/>
      <c r="AW1580" s="5"/>
      <c r="AX1580" s="5"/>
      <c r="AY1580" s="5"/>
      <c r="AZ1580" s="5"/>
      <c r="BA1580" s="5"/>
    </row>
    <row r="1581" spans="3:53" s="41" customFormat="1" x14ac:dyDescent="0.2">
      <c r="C1581" s="71"/>
      <c r="D1581" s="58"/>
      <c r="E1581" s="38"/>
      <c r="F1581" s="58"/>
      <c r="G1581" s="5"/>
      <c r="H1581" s="44"/>
      <c r="I1581" s="5"/>
      <c r="J1581" s="43"/>
      <c r="K1581" s="43"/>
      <c r="L1581" s="57"/>
      <c r="M1581" s="56"/>
      <c r="N1581" s="3"/>
      <c r="P1581" s="5"/>
      <c r="Q1581" s="5"/>
      <c r="R1581" s="5"/>
      <c r="T1581" s="56"/>
      <c r="U1581" s="77"/>
      <c r="V1581" s="77"/>
      <c r="AA1581" s="3"/>
      <c r="AF1581" s="5"/>
      <c r="AG1581" s="5"/>
      <c r="AH1581" s="5"/>
      <c r="AI1581" s="5"/>
      <c r="AJ1581" s="5"/>
      <c r="AK1581" s="5"/>
      <c r="AL1581" s="5"/>
      <c r="AM1581" s="13"/>
      <c r="AN1581" s="13"/>
      <c r="AO1581" s="5"/>
      <c r="AP1581" s="5"/>
      <c r="AQ1581" s="5"/>
      <c r="AR1581" s="5"/>
      <c r="AS1581" s="5"/>
      <c r="AT1581" s="5"/>
      <c r="AU1581" s="5"/>
      <c r="AV1581" s="5"/>
      <c r="AW1581" s="5"/>
      <c r="AX1581" s="5"/>
      <c r="AY1581" s="5"/>
      <c r="AZ1581" s="5"/>
      <c r="BA1581" s="5"/>
    </row>
    <row r="1582" spans="3:53" s="41" customFormat="1" x14ac:dyDescent="0.2">
      <c r="C1582" s="71"/>
      <c r="D1582" s="58"/>
      <c r="E1582" s="38"/>
      <c r="F1582" s="58"/>
      <c r="G1582" s="5"/>
      <c r="H1582" s="44"/>
      <c r="I1582" s="5"/>
      <c r="J1582" s="43"/>
      <c r="K1582" s="43"/>
      <c r="L1582" s="57"/>
      <c r="M1582" s="56"/>
      <c r="N1582" s="3"/>
      <c r="P1582" s="5"/>
      <c r="Q1582" s="5"/>
      <c r="R1582" s="5"/>
      <c r="T1582" s="56"/>
      <c r="U1582" s="77"/>
      <c r="V1582" s="77"/>
      <c r="AA1582" s="3"/>
      <c r="AF1582" s="5"/>
      <c r="AG1582" s="5"/>
      <c r="AH1582" s="5"/>
      <c r="AI1582" s="5"/>
      <c r="AJ1582" s="5"/>
      <c r="AK1582" s="5"/>
      <c r="AL1582" s="5"/>
      <c r="AM1582" s="13"/>
      <c r="AN1582" s="13"/>
      <c r="AO1582" s="5"/>
      <c r="AP1582" s="5"/>
      <c r="AQ1582" s="5"/>
      <c r="AR1582" s="5"/>
      <c r="AS1582" s="5"/>
      <c r="AT1582" s="5"/>
      <c r="AU1582" s="5"/>
      <c r="AV1582" s="5"/>
      <c r="AW1582" s="5"/>
      <c r="AX1582" s="5"/>
      <c r="AY1582" s="5"/>
      <c r="AZ1582" s="5"/>
      <c r="BA1582" s="5"/>
    </row>
    <row r="1583" spans="3:53" s="41" customFormat="1" x14ac:dyDescent="0.2">
      <c r="C1583" s="71"/>
      <c r="D1583" s="58"/>
      <c r="E1583" s="38"/>
      <c r="F1583" s="58"/>
      <c r="G1583" s="5"/>
      <c r="H1583" s="44"/>
      <c r="I1583" s="5"/>
      <c r="J1583" s="43"/>
      <c r="K1583" s="43"/>
      <c r="L1583" s="57"/>
      <c r="M1583" s="56"/>
      <c r="N1583" s="3"/>
      <c r="P1583" s="5"/>
      <c r="Q1583" s="5"/>
      <c r="R1583" s="5"/>
      <c r="T1583" s="56"/>
      <c r="U1583" s="77"/>
      <c r="V1583" s="77"/>
      <c r="AA1583" s="3"/>
      <c r="AF1583" s="5"/>
      <c r="AG1583" s="5"/>
      <c r="AH1583" s="5"/>
      <c r="AI1583" s="5"/>
      <c r="AJ1583" s="5"/>
      <c r="AK1583" s="5"/>
      <c r="AL1583" s="5"/>
      <c r="AM1583" s="13"/>
      <c r="AN1583" s="13"/>
      <c r="AO1583" s="5"/>
      <c r="AP1583" s="5"/>
      <c r="AQ1583" s="5"/>
      <c r="AR1583" s="5"/>
      <c r="AS1583" s="5"/>
      <c r="AT1583" s="5"/>
      <c r="AU1583" s="5"/>
      <c r="AV1583" s="5"/>
      <c r="AW1583" s="5"/>
      <c r="AX1583" s="5"/>
      <c r="AY1583" s="5"/>
      <c r="AZ1583" s="5"/>
      <c r="BA1583" s="5"/>
    </row>
    <row r="1584" spans="3:53" s="41" customFormat="1" x14ac:dyDescent="0.2">
      <c r="C1584" s="71"/>
      <c r="D1584" s="58"/>
      <c r="E1584" s="38"/>
      <c r="F1584" s="58"/>
      <c r="G1584" s="5"/>
      <c r="H1584" s="44"/>
      <c r="I1584" s="5"/>
      <c r="J1584" s="43"/>
      <c r="K1584" s="43"/>
      <c r="L1584" s="57"/>
      <c r="M1584" s="56"/>
      <c r="N1584" s="3"/>
      <c r="P1584" s="5"/>
      <c r="Q1584" s="5"/>
      <c r="R1584" s="5"/>
      <c r="T1584" s="56"/>
      <c r="U1584" s="77"/>
      <c r="V1584" s="77"/>
      <c r="AA1584" s="3"/>
      <c r="AF1584" s="5"/>
      <c r="AG1584" s="5"/>
      <c r="AH1584" s="5"/>
      <c r="AI1584" s="5"/>
      <c r="AJ1584" s="5"/>
      <c r="AK1584" s="5"/>
      <c r="AL1584" s="5"/>
      <c r="AM1584" s="13"/>
      <c r="AN1584" s="13"/>
      <c r="AO1584" s="5"/>
      <c r="AP1584" s="5"/>
      <c r="AQ1584" s="5"/>
      <c r="AR1584" s="5"/>
      <c r="AS1584" s="5"/>
      <c r="AT1584" s="5"/>
      <c r="AU1584" s="5"/>
      <c r="AV1584" s="5"/>
      <c r="AW1584" s="5"/>
      <c r="AX1584" s="5"/>
      <c r="AY1584" s="5"/>
      <c r="AZ1584" s="5"/>
      <c r="BA1584" s="5"/>
    </row>
    <row r="1585" spans="3:53" s="41" customFormat="1" x14ac:dyDescent="0.2">
      <c r="C1585" s="71"/>
      <c r="D1585" s="58"/>
      <c r="E1585" s="38"/>
      <c r="F1585" s="58"/>
      <c r="G1585" s="5"/>
      <c r="H1585" s="44"/>
      <c r="I1585" s="5"/>
      <c r="J1585" s="43"/>
      <c r="K1585" s="43"/>
      <c r="L1585" s="57"/>
      <c r="M1585" s="56"/>
      <c r="N1585" s="3"/>
      <c r="P1585" s="5"/>
      <c r="Q1585" s="5"/>
      <c r="R1585" s="5"/>
      <c r="T1585" s="56"/>
      <c r="U1585" s="77"/>
      <c r="V1585" s="77"/>
      <c r="AA1585" s="3"/>
      <c r="AF1585" s="5"/>
      <c r="AG1585" s="5"/>
      <c r="AH1585" s="5"/>
      <c r="AI1585" s="5"/>
      <c r="AJ1585" s="5"/>
      <c r="AK1585" s="5"/>
      <c r="AL1585" s="5"/>
      <c r="AM1585" s="13"/>
      <c r="AN1585" s="13"/>
      <c r="AO1585" s="5"/>
      <c r="AP1585" s="5"/>
      <c r="AQ1585" s="5"/>
      <c r="AR1585" s="5"/>
      <c r="AS1585" s="5"/>
      <c r="AT1585" s="5"/>
      <c r="AU1585" s="5"/>
      <c r="AV1585" s="5"/>
      <c r="AW1585" s="5"/>
      <c r="AX1585" s="5"/>
      <c r="AY1585" s="5"/>
      <c r="AZ1585" s="5"/>
      <c r="BA1585" s="5"/>
    </row>
    <row r="1586" spans="3:53" s="41" customFormat="1" x14ac:dyDescent="0.2">
      <c r="C1586" s="71"/>
      <c r="D1586" s="58"/>
      <c r="E1586" s="38"/>
      <c r="F1586" s="58"/>
      <c r="G1586" s="5"/>
      <c r="H1586" s="44"/>
      <c r="I1586" s="5"/>
      <c r="J1586" s="43"/>
      <c r="K1586" s="43"/>
      <c r="L1586" s="57"/>
      <c r="M1586" s="56"/>
      <c r="N1586" s="3"/>
      <c r="P1586" s="5"/>
      <c r="Q1586" s="5"/>
      <c r="R1586" s="5"/>
      <c r="T1586" s="56"/>
      <c r="U1586" s="77"/>
      <c r="V1586" s="77"/>
      <c r="AA1586" s="3"/>
      <c r="AF1586" s="5"/>
      <c r="AG1586" s="5"/>
      <c r="AH1586" s="5"/>
      <c r="AI1586" s="5"/>
      <c r="AJ1586" s="5"/>
      <c r="AK1586" s="5"/>
      <c r="AL1586" s="5"/>
      <c r="AM1586" s="13"/>
      <c r="AN1586" s="13"/>
      <c r="AO1586" s="5"/>
      <c r="AP1586" s="5"/>
      <c r="AQ1586" s="5"/>
      <c r="AR1586" s="5"/>
      <c r="AS1586" s="5"/>
      <c r="AT1586" s="5"/>
      <c r="AU1586" s="5"/>
      <c r="AV1586" s="5"/>
      <c r="AW1586" s="5"/>
      <c r="AX1586" s="5"/>
      <c r="AY1586" s="5"/>
      <c r="AZ1586" s="5"/>
      <c r="BA1586" s="5"/>
    </row>
    <row r="1587" spans="3:53" s="41" customFormat="1" x14ac:dyDescent="0.2">
      <c r="C1587" s="71"/>
      <c r="D1587" s="58"/>
      <c r="E1587" s="38"/>
      <c r="F1587" s="58"/>
      <c r="G1587" s="5"/>
      <c r="H1587" s="44"/>
      <c r="I1587" s="5"/>
      <c r="J1587" s="43"/>
      <c r="K1587" s="43"/>
      <c r="L1587" s="57"/>
      <c r="M1587" s="56"/>
      <c r="N1587" s="3"/>
      <c r="P1587" s="5"/>
      <c r="Q1587" s="5"/>
      <c r="R1587" s="5"/>
      <c r="T1587" s="56"/>
      <c r="U1587" s="77"/>
      <c r="V1587" s="77"/>
      <c r="AA1587" s="3"/>
      <c r="AF1587" s="5"/>
      <c r="AG1587" s="5"/>
      <c r="AH1587" s="5"/>
      <c r="AI1587" s="5"/>
      <c r="AJ1587" s="5"/>
      <c r="AK1587" s="5"/>
      <c r="AL1587" s="5"/>
      <c r="AM1587" s="13"/>
      <c r="AN1587" s="13"/>
      <c r="AO1587" s="5"/>
      <c r="AP1587" s="5"/>
      <c r="AQ1587" s="5"/>
      <c r="AR1587" s="5"/>
      <c r="AS1587" s="5"/>
      <c r="AT1587" s="5"/>
      <c r="AU1587" s="5"/>
      <c r="AV1587" s="5"/>
      <c r="AW1587" s="5"/>
      <c r="AX1587" s="5"/>
      <c r="AY1587" s="5"/>
      <c r="AZ1587" s="5"/>
      <c r="BA1587" s="5"/>
    </row>
    <row r="1588" spans="3:53" s="41" customFormat="1" x14ac:dyDescent="0.2">
      <c r="C1588" s="71"/>
      <c r="D1588" s="58"/>
      <c r="E1588" s="38"/>
      <c r="F1588" s="58"/>
      <c r="G1588" s="5"/>
      <c r="H1588" s="44"/>
      <c r="I1588" s="5"/>
      <c r="J1588" s="43"/>
      <c r="K1588" s="43"/>
      <c r="L1588" s="57"/>
      <c r="M1588" s="56"/>
      <c r="N1588" s="3"/>
      <c r="P1588" s="5"/>
      <c r="Q1588" s="5"/>
      <c r="R1588" s="5"/>
      <c r="T1588" s="56"/>
      <c r="U1588" s="77"/>
      <c r="V1588" s="77"/>
      <c r="AA1588" s="3"/>
      <c r="AF1588" s="5"/>
      <c r="AG1588" s="5"/>
      <c r="AH1588" s="5"/>
      <c r="AI1588" s="5"/>
      <c r="AJ1588" s="5"/>
      <c r="AK1588" s="5"/>
      <c r="AL1588" s="5"/>
      <c r="AM1588" s="13"/>
      <c r="AN1588" s="13"/>
      <c r="AO1588" s="5"/>
      <c r="AP1588" s="5"/>
      <c r="AQ1588" s="5"/>
      <c r="AR1588" s="5"/>
      <c r="AS1588" s="5"/>
      <c r="AT1588" s="5"/>
      <c r="AU1588" s="5"/>
      <c r="AV1588" s="5"/>
      <c r="AW1588" s="5"/>
      <c r="AX1588" s="5"/>
      <c r="AY1588" s="5"/>
      <c r="AZ1588" s="5"/>
      <c r="BA1588" s="5"/>
    </row>
    <row r="1589" spans="3:53" s="41" customFormat="1" x14ac:dyDescent="0.2">
      <c r="C1589" s="71"/>
      <c r="D1589" s="58"/>
      <c r="E1589" s="38"/>
      <c r="F1589" s="58"/>
      <c r="G1589" s="5"/>
      <c r="H1589" s="44"/>
      <c r="I1589" s="5"/>
      <c r="J1589" s="43"/>
      <c r="K1589" s="43"/>
      <c r="L1589" s="57"/>
      <c r="M1589" s="56"/>
      <c r="N1589" s="3"/>
      <c r="P1589" s="5"/>
      <c r="Q1589" s="5"/>
      <c r="R1589" s="5"/>
      <c r="T1589" s="56"/>
      <c r="U1589" s="77"/>
      <c r="V1589" s="77"/>
      <c r="AA1589" s="3"/>
      <c r="AF1589" s="5"/>
      <c r="AG1589" s="5"/>
      <c r="AH1589" s="5"/>
      <c r="AI1589" s="5"/>
      <c r="AJ1589" s="5"/>
      <c r="AK1589" s="5"/>
      <c r="AL1589" s="5"/>
      <c r="AM1589" s="13"/>
      <c r="AN1589" s="13"/>
      <c r="AO1589" s="5"/>
      <c r="AP1589" s="5"/>
      <c r="AQ1589" s="5"/>
      <c r="AR1589" s="5"/>
      <c r="AS1589" s="5"/>
      <c r="AT1589" s="5"/>
      <c r="AU1589" s="5"/>
      <c r="AV1589" s="5"/>
      <c r="AW1589" s="5"/>
      <c r="AX1589" s="5"/>
      <c r="AY1589" s="5"/>
      <c r="AZ1589" s="5"/>
      <c r="BA1589" s="5"/>
    </row>
    <row r="1590" spans="3:53" s="41" customFormat="1" x14ac:dyDescent="0.2">
      <c r="C1590" s="71"/>
      <c r="D1590" s="58"/>
      <c r="E1590" s="38"/>
      <c r="F1590" s="58"/>
      <c r="G1590" s="5"/>
      <c r="H1590" s="44"/>
      <c r="I1590" s="5"/>
      <c r="J1590" s="43"/>
      <c r="K1590" s="43"/>
      <c r="L1590" s="57"/>
      <c r="M1590" s="56"/>
      <c r="N1590" s="3"/>
      <c r="P1590" s="5"/>
      <c r="Q1590" s="5"/>
      <c r="R1590" s="5"/>
      <c r="T1590" s="56"/>
      <c r="U1590" s="77"/>
      <c r="V1590" s="77"/>
      <c r="AA1590" s="3"/>
      <c r="AF1590" s="5"/>
      <c r="AG1590" s="5"/>
      <c r="AH1590" s="5"/>
      <c r="AI1590" s="5"/>
      <c r="AJ1590" s="5"/>
      <c r="AK1590" s="5"/>
      <c r="AL1590" s="5"/>
      <c r="AM1590" s="13"/>
      <c r="AN1590" s="13"/>
      <c r="AO1590" s="5"/>
      <c r="AP1590" s="5"/>
      <c r="AQ1590" s="5"/>
      <c r="AR1590" s="5"/>
      <c r="AS1590" s="5"/>
      <c r="AT1590" s="5"/>
      <c r="AU1590" s="5"/>
      <c r="AV1590" s="5"/>
      <c r="AW1590" s="5"/>
      <c r="AX1590" s="5"/>
      <c r="AY1590" s="5"/>
      <c r="AZ1590" s="5"/>
      <c r="BA1590" s="5"/>
    </row>
    <row r="1591" spans="3:53" s="41" customFormat="1" x14ac:dyDescent="0.2">
      <c r="C1591" s="71"/>
      <c r="D1591" s="58"/>
      <c r="E1591" s="38"/>
      <c r="F1591" s="58"/>
      <c r="G1591" s="5"/>
      <c r="H1591" s="44"/>
      <c r="I1591" s="5"/>
      <c r="J1591" s="43"/>
      <c r="K1591" s="43"/>
      <c r="L1591" s="57"/>
      <c r="M1591" s="56"/>
      <c r="N1591" s="3"/>
      <c r="P1591" s="5"/>
      <c r="Q1591" s="5"/>
      <c r="R1591" s="5"/>
      <c r="T1591" s="56"/>
      <c r="U1591" s="77"/>
      <c r="V1591" s="77"/>
      <c r="AA1591" s="3"/>
      <c r="AF1591" s="5"/>
      <c r="AG1591" s="5"/>
      <c r="AH1591" s="5"/>
      <c r="AI1591" s="5"/>
      <c r="AJ1591" s="5"/>
      <c r="AK1591" s="5"/>
      <c r="AL1591" s="5"/>
      <c r="AM1591" s="13"/>
      <c r="AN1591" s="13"/>
      <c r="AO1591" s="5"/>
      <c r="AP1591" s="5"/>
      <c r="AQ1591" s="5"/>
      <c r="AR1591" s="5"/>
      <c r="AS1591" s="5"/>
      <c r="AT1591" s="5"/>
      <c r="AU1591" s="5"/>
      <c r="AV1591" s="5"/>
      <c r="AW1591" s="5"/>
      <c r="AX1591" s="5"/>
      <c r="AY1591" s="5"/>
      <c r="AZ1591" s="5"/>
      <c r="BA1591" s="5"/>
    </row>
    <row r="1592" spans="3:53" s="41" customFormat="1" x14ac:dyDescent="0.2">
      <c r="C1592" s="71"/>
      <c r="D1592" s="58"/>
      <c r="E1592" s="38"/>
      <c r="F1592" s="58"/>
      <c r="G1592" s="5"/>
      <c r="H1592" s="44"/>
      <c r="I1592" s="5"/>
      <c r="J1592" s="43"/>
      <c r="K1592" s="43"/>
      <c r="L1592" s="57"/>
      <c r="M1592" s="56"/>
      <c r="N1592" s="3"/>
      <c r="P1592" s="5"/>
      <c r="Q1592" s="5"/>
      <c r="R1592" s="5"/>
      <c r="T1592" s="56"/>
      <c r="U1592" s="77"/>
      <c r="V1592" s="77"/>
      <c r="AA1592" s="3"/>
      <c r="AF1592" s="5"/>
      <c r="AG1592" s="5"/>
      <c r="AH1592" s="5"/>
      <c r="AI1592" s="5"/>
      <c r="AJ1592" s="5"/>
      <c r="AK1592" s="5"/>
      <c r="AL1592" s="5"/>
      <c r="AM1592" s="13"/>
      <c r="AN1592" s="13"/>
      <c r="AO1592" s="5"/>
      <c r="AP1592" s="5"/>
      <c r="AQ1592" s="5"/>
      <c r="AR1592" s="5"/>
      <c r="AS1592" s="5"/>
      <c r="AT1592" s="5"/>
      <c r="AU1592" s="5"/>
      <c r="AV1592" s="5"/>
      <c r="AW1592" s="5"/>
      <c r="AX1592" s="5"/>
      <c r="AY1592" s="5"/>
      <c r="AZ1592" s="5"/>
      <c r="BA1592" s="5"/>
    </row>
    <row r="1593" spans="3:53" s="41" customFormat="1" x14ac:dyDescent="0.2">
      <c r="C1593" s="71"/>
      <c r="D1593" s="58"/>
      <c r="E1593" s="38"/>
      <c r="F1593" s="58"/>
      <c r="G1593" s="5"/>
      <c r="H1593" s="44"/>
      <c r="I1593" s="5"/>
      <c r="J1593" s="43"/>
      <c r="K1593" s="43"/>
      <c r="L1593" s="57"/>
      <c r="M1593" s="56"/>
      <c r="N1593" s="3"/>
      <c r="P1593" s="5"/>
      <c r="Q1593" s="5"/>
      <c r="R1593" s="5"/>
      <c r="T1593" s="56"/>
      <c r="U1593" s="77"/>
      <c r="V1593" s="77"/>
      <c r="AA1593" s="3"/>
      <c r="AF1593" s="5"/>
      <c r="AG1593" s="5"/>
      <c r="AH1593" s="5"/>
      <c r="AI1593" s="5"/>
      <c r="AJ1593" s="5"/>
      <c r="AK1593" s="5"/>
      <c r="AL1593" s="5"/>
      <c r="AM1593" s="13"/>
      <c r="AN1593" s="13"/>
      <c r="AO1593" s="5"/>
      <c r="AP1593" s="5"/>
      <c r="AQ1593" s="5"/>
      <c r="AR1593" s="5"/>
      <c r="AS1593" s="5"/>
      <c r="AT1593" s="5"/>
      <c r="AU1593" s="5"/>
      <c r="AV1593" s="5"/>
      <c r="AW1593" s="5"/>
      <c r="AX1593" s="5"/>
      <c r="AY1593" s="5"/>
      <c r="AZ1593" s="5"/>
      <c r="BA1593" s="5"/>
    </row>
    <row r="1594" spans="3:53" s="41" customFormat="1" x14ac:dyDescent="0.2">
      <c r="C1594" s="71"/>
      <c r="D1594" s="58"/>
      <c r="E1594" s="38"/>
      <c r="F1594" s="58"/>
      <c r="G1594" s="5"/>
      <c r="H1594" s="44"/>
      <c r="I1594" s="5"/>
      <c r="J1594" s="43"/>
      <c r="K1594" s="43"/>
      <c r="L1594" s="57"/>
      <c r="M1594" s="56"/>
      <c r="N1594" s="3"/>
      <c r="P1594" s="5"/>
      <c r="Q1594" s="5"/>
      <c r="R1594" s="5"/>
      <c r="T1594" s="56"/>
      <c r="U1594" s="77"/>
      <c r="V1594" s="77"/>
      <c r="AA1594" s="3"/>
      <c r="AF1594" s="5"/>
      <c r="AG1594" s="5"/>
      <c r="AH1594" s="5"/>
      <c r="AI1594" s="5"/>
      <c r="AJ1594" s="5"/>
      <c r="AK1594" s="5"/>
      <c r="AL1594" s="5"/>
      <c r="AM1594" s="13"/>
      <c r="AN1594" s="13"/>
      <c r="AO1594" s="5"/>
      <c r="AP1594" s="5"/>
      <c r="AQ1594" s="5"/>
      <c r="AR1594" s="5"/>
      <c r="AS1594" s="5"/>
      <c r="AT1594" s="5"/>
      <c r="AU1594" s="5"/>
      <c r="AV1594" s="5"/>
      <c r="AW1594" s="5"/>
      <c r="AX1594" s="5"/>
      <c r="AY1594" s="5"/>
      <c r="AZ1594" s="5"/>
      <c r="BA1594" s="5"/>
    </row>
    <row r="1595" spans="3:53" s="41" customFormat="1" x14ac:dyDescent="0.2">
      <c r="C1595" s="71"/>
      <c r="D1595" s="58"/>
      <c r="E1595" s="38"/>
      <c r="F1595" s="58"/>
      <c r="G1595" s="5"/>
      <c r="H1595" s="44"/>
      <c r="I1595" s="5"/>
      <c r="J1595" s="43"/>
      <c r="K1595" s="43"/>
      <c r="L1595" s="57"/>
      <c r="M1595" s="56"/>
      <c r="N1595" s="3"/>
      <c r="P1595" s="5"/>
      <c r="Q1595" s="5"/>
      <c r="R1595" s="5"/>
      <c r="T1595" s="56"/>
      <c r="U1595" s="77"/>
      <c r="V1595" s="77"/>
      <c r="AA1595" s="3"/>
      <c r="AF1595" s="5"/>
      <c r="AG1595" s="5"/>
      <c r="AH1595" s="5"/>
      <c r="AI1595" s="5"/>
      <c r="AJ1595" s="5"/>
      <c r="AK1595" s="5"/>
      <c r="AL1595" s="5"/>
      <c r="AM1595" s="13"/>
      <c r="AN1595" s="13"/>
      <c r="AO1595" s="5"/>
      <c r="AP1595" s="5"/>
      <c r="AQ1595" s="5"/>
      <c r="AR1595" s="5"/>
      <c r="AS1595" s="5"/>
      <c r="AT1595" s="5"/>
      <c r="AU1595" s="5"/>
      <c r="AV1595" s="5"/>
      <c r="AW1595" s="5"/>
      <c r="AX1595" s="5"/>
      <c r="AY1595" s="5"/>
      <c r="AZ1595" s="5"/>
      <c r="BA1595" s="5"/>
    </row>
    <row r="1596" spans="3:53" s="41" customFormat="1" x14ac:dyDescent="0.2">
      <c r="C1596" s="71"/>
      <c r="D1596" s="58"/>
      <c r="E1596" s="38"/>
      <c r="F1596" s="58"/>
      <c r="G1596" s="5"/>
      <c r="H1596" s="44"/>
      <c r="I1596" s="5"/>
      <c r="J1596" s="43"/>
      <c r="K1596" s="43"/>
      <c r="L1596" s="57"/>
      <c r="M1596" s="56"/>
      <c r="N1596" s="3"/>
      <c r="P1596" s="5"/>
      <c r="Q1596" s="5"/>
      <c r="R1596" s="5"/>
      <c r="T1596" s="56"/>
      <c r="U1596" s="77"/>
      <c r="V1596" s="77"/>
      <c r="AA1596" s="3"/>
      <c r="AF1596" s="5"/>
      <c r="AG1596" s="5"/>
      <c r="AH1596" s="5"/>
      <c r="AI1596" s="5"/>
      <c r="AJ1596" s="5"/>
      <c r="AK1596" s="5"/>
      <c r="AL1596" s="5"/>
      <c r="AM1596" s="13"/>
      <c r="AN1596" s="13"/>
      <c r="AO1596" s="5"/>
      <c r="AP1596" s="5"/>
      <c r="AQ1596" s="5"/>
      <c r="AR1596" s="5"/>
      <c r="AS1596" s="5"/>
      <c r="AT1596" s="5"/>
      <c r="AU1596" s="5"/>
      <c r="AV1596" s="5"/>
      <c r="AW1596" s="5"/>
      <c r="AX1596" s="5"/>
      <c r="AY1596" s="5"/>
      <c r="AZ1596" s="5"/>
      <c r="BA1596" s="5"/>
    </row>
    <row r="1597" spans="3:53" s="41" customFormat="1" x14ac:dyDescent="0.2">
      <c r="C1597" s="71"/>
      <c r="D1597" s="58"/>
      <c r="E1597" s="38"/>
      <c r="F1597" s="58"/>
      <c r="G1597" s="5"/>
      <c r="H1597" s="44"/>
      <c r="I1597" s="5"/>
      <c r="J1597" s="43"/>
      <c r="K1597" s="43"/>
      <c r="L1597" s="57"/>
      <c r="M1597" s="56"/>
      <c r="N1597" s="3"/>
      <c r="P1597" s="5"/>
      <c r="Q1597" s="5"/>
      <c r="R1597" s="5"/>
      <c r="T1597" s="56"/>
      <c r="U1597" s="77"/>
      <c r="V1597" s="77"/>
      <c r="AA1597" s="3"/>
      <c r="AF1597" s="5"/>
      <c r="AG1597" s="5"/>
      <c r="AH1597" s="5"/>
      <c r="AI1597" s="5"/>
      <c r="AJ1597" s="5"/>
      <c r="AK1597" s="5"/>
      <c r="AL1597" s="5"/>
      <c r="AM1597" s="13"/>
      <c r="AN1597" s="13"/>
      <c r="AO1597" s="5"/>
      <c r="AP1597" s="5"/>
      <c r="AQ1597" s="5"/>
      <c r="AR1597" s="5"/>
      <c r="AS1597" s="5"/>
      <c r="AT1597" s="5"/>
      <c r="AU1597" s="5"/>
      <c r="AV1597" s="5"/>
      <c r="AW1597" s="5"/>
      <c r="AX1597" s="5"/>
      <c r="AY1597" s="5"/>
      <c r="AZ1597" s="5"/>
      <c r="BA1597" s="5"/>
    </row>
    <row r="1598" spans="3:53" s="41" customFormat="1" x14ac:dyDescent="0.2">
      <c r="C1598" s="71"/>
      <c r="D1598" s="58"/>
      <c r="E1598" s="38"/>
      <c r="F1598" s="58"/>
      <c r="G1598" s="5"/>
      <c r="H1598" s="44"/>
      <c r="I1598" s="5"/>
      <c r="J1598" s="43"/>
      <c r="K1598" s="43"/>
      <c r="L1598" s="57"/>
      <c r="M1598" s="56"/>
      <c r="N1598" s="3"/>
      <c r="P1598" s="5"/>
      <c r="Q1598" s="5"/>
      <c r="R1598" s="5"/>
      <c r="T1598" s="56"/>
      <c r="U1598" s="77"/>
      <c r="V1598" s="77"/>
      <c r="AA1598" s="3"/>
      <c r="AF1598" s="5"/>
      <c r="AG1598" s="5"/>
      <c r="AH1598" s="5"/>
      <c r="AI1598" s="5"/>
      <c r="AJ1598" s="5"/>
      <c r="AK1598" s="5"/>
      <c r="AL1598" s="5"/>
      <c r="AM1598" s="13"/>
      <c r="AN1598" s="13"/>
      <c r="AO1598" s="5"/>
      <c r="AP1598" s="5"/>
      <c r="AQ1598" s="5"/>
      <c r="AR1598" s="5"/>
      <c r="AS1598" s="5"/>
      <c r="AT1598" s="5"/>
      <c r="AU1598" s="5"/>
      <c r="AV1598" s="5"/>
      <c r="AW1598" s="5"/>
      <c r="AX1598" s="5"/>
      <c r="AY1598" s="5"/>
      <c r="AZ1598" s="5"/>
      <c r="BA1598" s="5"/>
    </row>
  </sheetData>
  <mergeCells count="12">
    <mergeCell ref="BA1:BA2"/>
    <mergeCell ref="AX1:AZ1"/>
    <mergeCell ref="AV1:AW1"/>
    <mergeCell ref="D1:D2"/>
    <mergeCell ref="W1:AE1"/>
    <mergeCell ref="O1:O2"/>
    <mergeCell ref="N1:N2"/>
    <mergeCell ref="S1:S2"/>
    <mergeCell ref="AF1:AI1"/>
    <mergeCell ref="M1:M2"/>
    <mergeCell ref="J1:K1"/>
    <mergeCell ref="T1:T2"/>
  </mergeCells>
  <phoneticPr fontId="0" type="noConversion"/>
  <pageMargins left="0.75" right="0.75" top="1" bottom="1" header="0.4921259845" footer="0.4921259845"/>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
  <sheetViews>
    <sheetView zoomScale="70" zoomScaleNormal="70" workbookViewId="0"/>
  </sheetViews>
  <sheetFormatPr defaultRowHeight="12.75" x14ac:dyDescent="0.2"/>
  <sheetData>
    <row r="1" spans="1:15" x14ac:dyDescent="0.2">
      <c r="A1" t="s">
        <v>39</v>
      </c>
      <c r="B1" t="s">
        <v>40</v>
      </c>
      <c r="C1" t="s">
        <v>41</v>
      </c>
      <c r="D1" t="s">
        <v>42</v>
      </c>
      <c r="E1" t="s">
        <v>43</v>
      </c>
      <c r="F1" t="s">
        <v>44</v>
      </c>
      <c r="G1" t="s">
        <v>45</v>
      </c>
      <c r="H1" t="s">
        <v>46</v>
      </c>
      <c r="I1" t="s">
        <v>47</v>
      </c>
      <c r="J1" t="s">
        <v>48</v>
      </c>
      <c r="K1" t="s">
        <v>49</v>
      </c>
      <c r="L1" t="s">
        <v>50</v>
      </c>
      <c r="M1" t="s">
        <v>51</v>
      </c>
      <c r="N1" t="s">
        <v>52</v>
      </c>
    </row>
    <row r="2" spans="1:15" x14ac:dyDescent="0.2">
      <c r="A2">
        <v>1913</v>
      </c>
      <c r="B2">
        <v>9.8000000000000007</v>
      </c>
      <c r="C2">
        <v>9.8000000000000007</v>
      </c>
      <c r="D2">
        <v>9.8000000000000007</v>
      </c>
      <c r="E2">
        <v>9.8000000000000007</v>
      </c>
      <c r="F2">
        <v>9.6999999999999993</v>
      </c>
      <c r="G2">
        <v>9.8000000000000007</v>
      </c>
      <c r="H2">
        <v>9.9</v>
      </c>
      <c r="I2">
        <v>9.9</v>
      </c>
      <c r="J2">
        <v>10</v>
      </c>
      <c r="K2">
        <v>10</v>
      </c>
      <c r="L2">
        <v>10.1</v>
      </c>
      <c r="M2">
        <v>10</v>
      </c>
      <c r="N2">
        <v>9.9</v>
      </c>
      <c r="O2">
        <f t="shared" ref="O2:O33" si="0">N$99/N2</f>
        <v>22.025858585858586</v>
      </c>
    </row>
    <row r="3" spans="1:15" x14ac:dyDescent="0.2">
      <c r="A3">
        <v>1914</v>
      </c>
      <c r="B3">
        <v>10</v>
      </c>
      <c r="C3">
        <v>9.9</v>
      </c>
      <c r="D3">
        <v>9.9</v>
      </c>
      <c r="E3">
        <v>9.8000000000000007</v>
      </c>
      <c r="F3">
        <v>9.9</v>
      </c>
      <c r="G3">
        <v>9.9</v>
      </c>
      <c r="H3">
        <v>10</v>
      </c>
      <c r="I3">
        <v>10.199999999999999</v>
      </c>
      <c r="J3">
        <v>10.199999999999999</v>
      </c>
      <c r="K3">
        <v>10.1</v>
      </c>
      <c r="L3">
        <v>10.199999999999999</v>
      </c>
      <c r="M3">
        <v>10.1</v>
      </c>
      <c r="N3">
        <v>10</v>
      </c>
      <c r="O3">
        <f t="shared" si="0"/>
        <v>21.805600000000002</v>
      </c>
    </row>
    <row r="4" spans="1:15" x14ac:dyDescent="0.2">
      <c r="A4">
        <v>1915</v>
      </c>
      <c r="B4">
        <v>10.1</v>
      </c>
      <c r="C4">
        <v>10</v>
      </c>
      <c r="D4">
        <v>9.9</v>
      </c>
      <c r="E4">
        <v>10</v>
      </c>
      <c r="F4">
        <v>10.1</v>
      </c>
      <c r="G4">
        <v>10.1</v>
      </c>
      <c r="H4">
        <v>10.1</v>
      </c>
      <c r="I4">
        <v>10.1</v>
      </c>
      <c r="J4">
        <v>10.1</v>
      </c>
      <c r="K4">
        <v>10.199999999999999</v>
      </c>
      <c r="L4">
        <v>10.3</v>
      </c>
      <c r="M4">
        <v>10.3</v>
      </c>
      <c r="N4">
        <v>10.1</v>
      </c>
      <c r="O4">
        <f t="shared" si="0"/>
        <v>21.589702970297033</v>
      </c>
    </row>
    <row r="5" spans="1:15" x14ac:dyDescent="0.2">
      <c r="A5">
        <v>1916</v>
      </c>
      <c r="B5">
        <v>10.4</v>
      </c>
      <c r="C5">
        <v>10.4</v>
      </c>
      <c r="D5">
        <v>10.5</v>
      </c>
      <c r="E5">
        <v>10.6</v>
      </c>
      <c r="F5">
        <v>10.7</v>
      </c>
      <c r="G5">
        <v>10.8</v>
      </c>
      <c r="H5">
        <v>10.8</v>
      </c>
      <c r="I5">
        <v>10.9</v>
      </c>
      <c r="J5">
        <v>11.1</v>
      </c>
      <c r="K5">
        <v>11.3</v>
      </c>
      <c r="L5">
        <v>11.5</v>
      </c>
      <c r="M5">
        <v>11.6</v>
      </c>
      <c r="N5">
        <v>10.9</v>
      </c>
      <c r="O5">
        <f t="shared" si="0"/>
        <v>20.005137614678901</v>
      </c>
    </row>
    <row r="6" spans="1:15" x14ac:dyDescent="0.2">
      <c r="A6">
        <v>1917</v>
      </c>
      <c r="B6">
        <v>11.7</v>
      </c>
      <c r="C6">
        <v>12</v>
      </c>
      <c r="D6">
        <v>12</v>
      </c>
      <c r="E6">
        <v>12.6</v>
      </c>
      <c r="F6">
        <v>12.8</v>
      </c>
      <c r="G6">
        <v>13</v>
      </c>
      <c r="H6">
        <v>12.8</v>
      </c>
      <c r="I6">
        <v>13</v>
      </c>
      <c r="J6">
        <v>13.3</v>
      </c>
      <c r="K6">
        <v>13.5</v>
      </c>
      <c r="L6">
        <v>13.5</v>
      </c>
      <c r="M6">
        <v>13.7</v>
      </c>
      <c r="N6">
        <v>12.8</v>
      </c>
      <c r="O6">
        <f t="shared" si="0"/>
        <v>17.035625</v>
      </c>
    </row>
    <row r="7" spans="1:15" x14ac:dyDescent="0.2">
      <c r="A7">
        <v>1918</v>
      </c>
      <c r="B7">
        <v>14</v>
      </c>
      <c r="C7">
        <v>14.1</v>
      </c>
      <c r="D7">
        <v>14</v>
      </c>
      <c r="E7">
        <v>14.2</v>
      </c>
      <c r="F7">
        <v>14.5</v>
      </c>
      <c r="G7">
        <v>14.7</v>
      </c>
      <c r="H7">
        <v>15.1</v>
      </c>
      <c r="I7">
        <v>15.4</v>
      </c>
      <c r="J7">
        <v>15.7</v>
      </c>
      <c r="K7">
        <v>16</v>
      </c>
      <c r="L7">
        <v>16.3</v>
      </c>
      <c r="M7">
        <v>16.5</v>
      </c>
      <c r="N7">
        <v>15.1</v>
      </c>
      <c r="O7">
        <f t="shared" si="0"/>
        <v>14.440794701986755</v>
      </c>
    </row>
    <row r="8" spans="1:15" x14ac:dyDescent="0.2">
      <c r="A8">
        <v>1919</v>
      </c>
      <c r="B8">
        <v>16.5</v>
      </c>
      <c r="C8">
        <v>16.2</v>
      </c>
      <c r="D8">
        <v>16.399999999999999</v>
      </c>
      <c r="E8">
        <v>16.7</v>
      </c>
      <c r="F8">
        <v>16.899999999999999</v>
      </c>
      <c r="G8">
        <v>16.899999999999999</v>
      </c>
      <c r="H8">
        <v>17.399999999999999</v>
      </c>
      <c r="I8">
        <v>17.7</v>
      </c>
      <c r="J8">
        <v>17.8</v>
      </c>
      <c r="K8">
        <v>18.100000000000001</v>
      </c>
      <c r="L8">
        <v>18.5</v>
      </c>
      <c r="M8">
        <v>18.899999999999999</v>
      </c>
      <c r="N8">
        <v>17.3</v>
      </c>
      <c r="O8">
        <f t="shared" si="0"/>
        <v>12.604393063583816</v>
      </c>
    </row>
    <row r="9" spans="1:15" x14ac:dyDescent="0.2">
      <c r="A9">
        <v>1920</v>
      </c>
      <c r="B9">
        <v>19.3</v>
      </c>
      <c r="C9">
        <v>19.5</v>
      </c>
      <c r="D9">
        <v>19.7</v>
      </c>
      <c r="E9">
        <v>20.3</v>
      </c>
      <c r="F9">
        <v>20.6</v>
      </c>
      <c r="G9">
        <v>20.9</v>
      </c>
      <c r="H9">
        <v>20.8</v>
      </c>
      <c r="I9">
        <v>20.3</v>
      </c>
      <c r="J9">
        <v>20</v>
      </c>
      <c r="K9">
        <v>19.899999999999999</v>
      </c>
      <c r="L9">
        <v>19.8</v>
      </c>
      <c r="M9">
        <v>19.399999999999999</v>
      </c>
      <c r="N9">
        <v>20</v>
      </c>
      <c r="O9">
        <f t="shared" si="0"/>
        <v>10.902800000000001</v>
      </c>
    </row>
    <row r="10" spans="1:15" x14ac:dyDescent="0.2">
      <c r="A10">
        <v>1921</v>
      </c>
      <c r="B10">
        <v>19</v>
      </c>
      <c r="C10">
        <v>18.399999999999999</v>
      </c>
      <c r="D10">
        <v>18.3</v>
      </c>
      <c r="E10">
        <v>18.100000000000001</v>
      </c>
      <c r="F10">
        <v>17.7</v>
      </c>
      <c r="G10">
        <v>17.600000000000001</v>
      </c>
      <c r="H10">
        <v>17.7</v>
      </c>
      <c r="I10">
        <v>17.7</v>
      </c>
      <c r="J10">
        <v>17.5</v>
      </c>
      <c r="K10">
        <v>17.5</v>
      </c>
      <c r="L10">
        <v>17.399999999999999</v>
      </c>
      <c r="M10">
        <v>17.3</v>
      </c>
      <c r="N10">
        <v>17.899999999999999</v>
      </c>
      <c r="O10">
        <f t="shared" si="0"/>
        <v>12.181899441340784</v>
      </c>
    </row>
    <row r="11" spans="1:15" x14ac:dyDescent="0.2">
      <c r="A11">
        <v>1922</v>
      </c>
      <c r="B11">
        <v>16.899999999999999</v>
      </c>
      <c r="C11">
        <v>16.899999999999999</v>
      </c>
      <c r="D11">
        <v>16.7</v>
      </c>
      <c r="E11">
        <v>16.7</v>
      </c>
      <c r="F11">
        <v>16.7</v>
      </c>
      <c r="G11">
        <v>16.7</v>
      </c>
      <c r="H11">
        <v>16.8</v>
      </c>
      <c r="I11">
        <v>16.600000000000001</v>
      </c>
      <c r="J11">
        <v>16.600000000000001</v>
      </c>
      <c r="K11">
        <v>16.7</v>
      </c>
      <c r="L11">
        <v>16.8</v>
      </c>
      <c r="M11">
        <v>16.899999999999999</v>
      </c>
      <c r="N11">
        <v>16.8</v>
      </c>
      <c r="O11">
        <f t="shared" si="0"/>
        <v>12.97952380952381</v>
      </c>
    </row>
    <row r="12" spans="1:15" x14ac:dyDescent="0.2">
      <c r="A12">
        <v>1923</v>
      </c>
      <c r="B12">
        <v>16.8</v>
      </c>
      <c r="C12">
        <v>16.8</v>
      </c>
      <c r="D12">
        <v>16.8</v>
      </c>
      <c r="E12">
        <v>16.899999999999999</v>
      </c>
      <c r="F12">
        <v>16.899999999999999</v>
      </c>
      <c r="G12">
        <v>17</v>
      </c>
      <c r="H12">
        <v>17.2</v>
      </c>
      <c r="I12">
        <v>17.100000000000001</v>
      </c>
      <c r="J12">
        <v>17.2</v>
      </c>
      <c r="K12">
        <v>17.3</v>
      </c>
      <c r="L12">
        <v>17.3</v>
      </c>
      <c r="M12">
        <v>17.3</v>
      </c>
      <c r="N12">
        <v>17.100000000000001</v>
      </c>
      <c r="O12">
        <f t="shared" si="0"/>
        <v>12.751812865497076</v>
      </c>
    </row>
    <row r="13" spans="1:15" x14ac:dyDescent="0.2">
      <c r="A13">
        <v>1924</v>
      </c>
      <c r="B13">
        <v>17.3</v>
      </c>
      <c r="C13">
        <v>17.2</v>
      </c>
      <c r="D13">
        <v>17.100000000000001</v>
      </c>
      <c r="E13">
        <v>17</v>
      </c>
      <c r="F13">
        <v>17</v>
      </c>
      <c r="G13">
        <v>17</v>
      </c>
      <c r="H13">
        <v>17.100000000000001</v>
      </c>
      <c r="I13">
        <v>17</v>
      </c>
      <c r="J13">
        <v>17.100000000000001</v>
      </c>
      <c r="K13">
        <v>17.2</v>
      </c>
      <c r="L13">
        <v>17.2</v>
      </c>
      <c r="M13">
        <v>17.3</v>
      </c>
      <c r="N13">
        <v>17.100000000000001</v>
      </c>
      <c r="O13">
        <f t="shared" si="0"/>
        <v>12.751812865497076</v>
      </c>
    </row>
    <row r="14" spans="1:15" x14ac:dyDescent="0.2">
      <c r="A14">
        <v>1925</v>
      </c>
      <c r="B14">
        <v>17.3</v>
      </c>
      <c r="C14">
        <v>17.2</v>
      </c>
      <c r="D14">
        <v>17.3</v>
      </c>
      <c r="E14">
        <v>17.2</v>
      </c>
      <c r="F14">
        <v>17.3</v>
      </c>
      <c r="G14">
        <v>17.5</v>
      </c>
      <c r="H14">
        <v>17.7</v>
      </c>
      <c r="I14">
        <v>17.7</v>
      </c>
      <c r="J14">
        <v>17.7</v>
      </c>
      <c r="K14">
        <v>17.7</v>
      </c>
      <c r="L14">
        <v>18</v>
      </c>
      <c r="M14">
        <v>17.899999999999999</v>
      </c>
      <c r="N14">
        <v>17.5</v>
      </c>
      <c r="O14">
        <f t="shared" si="0"/>
        <v>12.460342857142857</v>
      </c>
    </row>
    <row r="15" spans="1:15" x14ac:dyDescent="0.2">
      <c r="A15">
        <v>1926</v>
      </c>
      <c r="B15">
        <v>17.899999999999999</v>
      </c>
      <c r="C15">
        <v>17.899999999999999</v>
      </c>
      <c r="D15">
        <v>17.8</v>
      </c>
      <c r="E15">
        <v>17.899999999999999</v>
      </c>
      <c r="F15">
        <v>17.8</v>
      </c>
      <c r="G15">
        <v>17.7</v>
      </c>
      <c r="H15">
        <v>17.5</v>
      </c>
      <c r="I15">
        <v>17.399999999999999</v>
      </c>
      <c r="J15">
        <v>17.5</v>
      </c>
      <c r="K15">
        <v>17.600000000000001</v>
      </c>
      <c r="L15">
        <v>17.7</v>
      </c>
      <c r="M15">
        <v>17.7</v>
      </c>
      <c r="N15">
        <v>17.7</v>
      </c>
      <c r="O15">
        <f t="shared" si="0"/>
        <v>12.319548022598871</v>
      </c>
    </row>
    <row r="16" spans="1:15" x14ac:dyDescent="0.2">
      <c r="A16">
        <v>1927</v>
      </c>
      <c r="B16">
        <v>17.5</v>
      </c>
      <c r="C16">
        <v>17.399999999999999</v>
      </c>
      <c r="D16">
        <v>17.3</v>
      </c>
      <c r="E16">
        <v>17.3</v>
      </c>
      <c r="F16">
        <v>17.399999999999999</v>
      </c>
      <c r="G16">
        <v>17.600000000000001</v>
      </c>
      <c r="H16">
        <v>17.3</v>
      </c>
      <c r="I16">
        <v>17.2</v>
      </c>
      <c r="J16">
        <v>17.3</v>
      </c>
      <c r="K16">
        <v>17.399999999999999</v>
      </c>
      <c r="L16">
        <v>17.3</v>
      </c>
      <c r="M16">
        <v>17.3</v>
      </c>
      <c r="N16">
        <v>17.399999999999999</v>
      </c>
      <c r="O16">
        <f t="shared" si="0"/>
        <v>12.531954022988508</v>
      </c>
    </row>
    <row r="17" spans="1:15" x14ac:dyDescent="0.2">
      <c r="A17">
        <v>1928</v>
      </c>
      <c r="B17">
        <v>17.3</v>
      </c>
      <c r="C17">
        <v>17.100000000000001</v>
      </c>
      <c r="D17">
        <v>17.100000000000001</v>
      </c>
      <c r="E17">
        <v>17.100000000000001</v>
      </c>
      <c r="F17">
        <v>17.2</v>
      </c>
      <c r="G17">
        <v>17.100000000000001</v>
      </c>
      <c r="H17">
        <v>17.100000000000001</v>
      </c>
      <c r="I17">
        <v>17.100000000000001</v>
      </c>
      <c r="J17">
        <v>17.3</v>
      </c>
      <c r="K17">
        <v>17.2</v>
      </c>
      <c r="L17">
        <v>17.2</v>
      </c>
      <c r="M17">
        <v>17.100000000000001</v>
      </c>
      <c r="N17">
        <v>17.100000000000001</v>
      </c>
      <c r="O17">
        <f t="shared" si="0"/>
        <v>12.751812865497076</v>
      </c>
    </row>
    <row r="18" spans="1:15" x14ac:dyDescent="0.2">
      <c r="A18">
        <v>1929</v>
      </c>
      <c r="B18">
        <v>17.100000000000001</v>
      </c>
      <c r="C18">
        <v>17.100000000000001</v>
      </c>
      <c r="D18">
        <v>17</v>
      </c>
      <c r="E18">
        <v>16.899999999999999</v>
      </c>
      <c r="F18">
        <v>17</v>
      </c>
      <c r="G18">
        <v>17.100000000000001</v>
      </c>
      <c r="H18">
        <v>17.3</v>
      </c>
      <c r="I18">
        <v>17.3</v>
      </c>
      <c r="J18">
        <v>17.3</v>
      </c>
      <c r="K18">
        <v>17.3</v>
      </c>
      <c r="L18">
        <v>17.3</v>
      </c>
      <c r="M18">
        <v>17.2</v>
      </c>
      <c r="N18">
        <v>17.100000000000001</v>
      </c>
      <c r="O18">
        <f t="shared" si="0"/>
        <v>12.751812865497076</v>
      </c>
    </row>
    <row r="19" spans="1:15" x14ac:dyDescent="0.2">
      <c r="A19">
        <v>1930</v>
      </c>
      <c r="B19">
        <v>17.100000000000001</v>
      </c>
      <c r="C19">
        <v>17</v>
      </c>
      <c r="D19">
        <v>16.899999999999999</v>
      </c>
      <c r="E19">
        <v>17</v>
      </c>
      <c r="F19">
        <v>16.899999999999999</v>
      </c>
      <c r="G19">
        <v>16.8</v>
      </c>
      <c r="H19">
        <v>16.600000000000001</v>
      </c>
      <c r="I19">
        <v>16.5</v>
      </c>
      <c r="J19">
        <v>16.600000000000001</v>
      </c>
      <c r="K19">
        <v>16.5</v>
      </c>
      <c r="L19">
        <v>16.399999999999999</v>
      </c>
      <c r="M19">
        <v>16.100000000000001</v>
      </c>
      <c r="N19">
        <v>16.7</v>
      </c>
      <c r="O19">
        <f t="shared" si="0"/>
        <v>13.057245508982037</v>
      </c>
    </row>
    <row r="20" spans="1:15" x14ac:dyDescent="0.2">
      <c r="A20">
        <v>1931</v>
      </c>
      <c r="B20">
        <v>15.9</v>
      </c>
      <c r="C20">
        <v>15.7</v>
      </c>
      <c r="D20">
        <v>15.6</v>
      </c>
      <c r="E20">
        <v>15.5</v>
      </c>
      <c r="F20">
        <v>15.3</v>
      </c>
      <c r="G20">
        <v>15.1</v>
      </c>
      <c r="H20">
        <v>15.1</v>
      </c>
      <c r="I20">
        <v>15.1</v>
      </c>
      <c r="J20">
        <v>15</v>
      </c>
      <c r="K20">
        <v>14.9</v>
      </c>
      <c r="L20">
        <v>14.7</v>
      </c>
      <c r="M20">
        <v>14.6</v>
      </c>
      <c r="N20">
        <v>15.2</v>
      </c>
      <c r="O20">
        <f t="shared" si="0"/>
        <v>14.345789473684212</v>
      </c>
    </row>
    <row r="21" spans="1:15" x14ac:dyDescent="0.2">
      <c r="A21">
        <v>1932</v>
      </c>
      <c r="B21">
        <v>14.3</v>
      </c>
      <c r="C21">
        <v>14.1</v>
      </c>
      <c r="D21">
        <v>14</v>
      </c>
      <c r="E21">
        <v>13.9</v>
      </c>
      <c r="F21">
        <v>13.7</v>
      </c>
      <c r="G21">
        <v>13.6</v>
      </c>
      <c r="H21">
        <v>13.6</v>
      </c>
      <c r="I21">
        <v>13.5</v>
      </c>
      <c r="J21">
        <v>13.4</v>
      </c>
      <c r="K21">
        <v>13.3</v>
      </c>
      <c r="L21">
        <v>13.2</v>
      </c>
      <c r="M21">
        <v>13.1</v>
      </c>
      <c r="N21">
        <v>13.7</v>
      </c>
      <c r="O21">
        <f t="shared" si="0"/>
        <v>15.916496350364966</v>
      </c>
    </row>
    <row r="22" spans="1:15" x14ac:dyDescent="0.2">
      <c r="A22">
        <v>1933</v>
      </c>
      <c r="B22">
        <v>12.9</v>
      </c>
      <c r="C22">
        <v>12.7</v>
      </c>
      <c r="D22">
        <v>12.6</v>
      </c>
      <c r="E22">
        <v>12.6</v>
      </c>
      <c r="F22">
        <v>12.6</v>
      </c>
      <c r="G22">
        <v>12.7</v>
      </c>
      <c r="H22">
        <v>13.1</v>
      </c>
      <c r="I22">
        <v>13.2</v>
      </c>
      <c r="J22">
        <v>13.2</v>
      </c>
      <c r="K22">
        <v>13.2</v>
      </c>
      <c r="L22">
        <v>13.2</v>
      </c>
      <c r="M22">
        <v>13.2</v>
      </c>
      <c r="N22">
        <v>13</v>
      </c>
      <c r="O22">
        <f t="shared" si="0"/>
        <v>16.773538461538461</v>
      </c>
    </row>
    <row r="23" spans="1:15" x14ac:dyDescent="0.2">
      <c r="A23">
        <v>1934</v>
      </c>
      <c r="B23">
        <v>13.2</v>
      </c>
      <c r="C23">
        <v>13.3</v>
      </c>
      <c r="D23">
        <v>13.3</v>
      </c>
      <c r="E23">
        <v>13.3</v>
      </c>
      <c r="F23">
        <v>13.3</v>
      </c>
      <c r="G23">
        <v>13.4</v>
      </c>
      <c r="H23">
        <v>13.4</v>
      </c>
      <c r="I23">
        <v>13.4</v>
      </c>
      <c r="J23">
        <v>13.6</v>
      </c>
      <c r="K23">
        <v>13.5</v>
      </c>
      <c r="L23">
        <v>13.5</v>
      </c>
      <c r="M23">
        <v>13.4</v>
      </c>
      <c r="N23">
        <v>13.4</v>
      </c>
      <c r="O23">
        <f t="shared" si="0"/>
        <v>16.272835820895523</v>
      </c>
    </row>
    <row r="24" spans="1:15" x14ac:dyDescent="0.2">
      <c r="A24">
        <v>1935</v>
      </c>
      <c r="B24">
        <v>13.6</v>
      </c>
      <c r="C24">
        <v>13.7</v>
      </c>
      <c r="D24">
        <v>13.7</v>
      </c>
      <c r="E24">
        <v>13.8</v>
      </c>
      <c r="F24">
        <v>13.8</v>
      </c>
      <c r="G24">
        <v>13.7</v>
      </c>
      <c r="H24">
        <v>13.7</v>
      </c>
      <c r="I24">
        <v>13.7</v>
      </c>
      <c r="J24">
        <v>13.7</v>
      </c>
      <c r="K24">
        <v>13.7</v>
      </c>
      <c r="L24">
        <v>13.8</v>
      </c>
      <c r="M24">
        <v>13.8</v>
      </c>
      <c r="N24">
        <v>13.7</v>
      </c>
      <c r="O24">
        <f t="shared" si="0"/>
        <v>15.916496350364966</v>
      </c>
    </row>
    <row r="25" spans="1:15" x14ac:dyDescent="0.2">
      <c r="A25">
        <v>1936</v>
      </c>
      <c r="B25">
        <v>13.8</v>
      </c>
      <c r="C25">
        <v>13.8</v>
      </c>
      <c r="D25">
        <v>13.7</v>
      </c>
      <c r="E25">
        <v>13.7</v>
      </c>
      <c r="F25">
        <v>13.7</v>
      </c>
      <c r="G25">
        <v>13.8</v>
      </c>
      <c r="H25">
        <v>13.9</v>
      </c>
      <c r="I25">
        <v>14</v>
      </c>
      <c r="J25">
        <v>14</v>
      </c>
      <c r="K25">
        <v>14</v>
      </c>
      <c r="L25">
        <v>14</v>
      </c>
      <c r="M25">
        <v>14</v>
      </c>
      <c r="N25">
        <v>13.9</v>
      </c>
      <c r="O25">
        <f t="shared" si="0"/>
        <v>15.68748201438849</v>
      </c>
    </row>
    <row r="26" spans="1:15" x14ac:dyDescent="0.2">
      <c r="A26">
        <v>1937</v>
      </c>
      <c r="B26">
        <v>14.1</v>
      </c>
      <c r="C26">
        <v>14.1</v>
      </c>
      <c r="D26">
        <v>14.2</v>
      </c>
      <c r="E26">
        <v>14.3</v>
      </c>
      <c r="F26">
        <v>14.4</v>
      </c>
      <c r="G26">
        <v>14.4</v>
      </c>
      <c r="H26">
        <v>14.5</v>
      </c>
      <c r="I26">
        <v>14.5</v>
      </c>
      <c r="J26">
        <v>14.6</v>
      </c>
      <c r="K26">
        <v>14.6</v>
      </c>
      <c r="L26">
        <v>14.5</v>
      </c>
      <c r="M26">
        <v>14.4</v>
      </c>
      <c r="N26">
        <v>14.4</v>
      </c>
      <c r="O26">
        <f t="shared" si="0"/>
        <v>15.142777777777779</v>
      </c>
    </row>
    <row r="27" spans="1:15" x14ac:dyDescent="0.2">
      <c r="A27">
        <v>1938</v>
      </c>
      <c r="B27">
        <v>14.2</v>
      </c>
      <c r="C27">
        <v>14.1</v>
      </c>
      <c r="D27">
        <v>14.1</v>
      </c>
      <c r="E27">
        <v>14.2</v>
      </c>
      <c r="F27">
        <v>14.1</v>
      </c>
      <c r="G27">
        <v>14.1</v>
      </c>
      <c r="H27">
        <v>14.1</v>
      </c>
      <c r="I27">
        <v>14.1</v>
      </c>
      <c r="J27">
        <v>14.1</v>
      </c>
      <c r="K27">
        <v>14</v>
      </c>
      <c r="L27">
        <v>14</v>
      </c>
      <c r="M27">
        <v>14</v>
      </c>
      <c r="N27">
        <v>14.1</v>
      </c>
      <c r="O27">
        <f t="shared" si="0"/>
        <v>15.464964539007093</v>
      </c>
    </row>
    <row r="28" spans="1:15" x14ac:dyDescent="0.2">
      <c r="A28">
        <v>1939</v>
      </c>
      <c r="B28">
        <v>14</v>
      </c>
      <c r="C28">
        <v>13.9</v>
      </c>
      <c r="D28">
        <v>13.9</v>
      </c>
      <c r="E28">
        <v>13.8</v>
      </c>
      <c r="F28">
        <v>13.8</v>
      </c>
      <c r="G28">
        <v>13.8</v>
      </c>
      <c r="H28">
        <v>13.8</v>
      </c>
      <c r="I28">
        <v>13.8</v>
      </c>
      <c r="J28">
        <v>14.1</v>
      </c>
      <c r="K28">
        <v>14</v>
      </c>
      <c r="L28">
        <v>14</v>
      </c>
      <c r="M28">
        <v>14</v>
      </c>
      <c r="N28">
        <v>13.9</v>
      </c>
      <c r="O28">
        <f t="shared" si="0"/>
        <v>15.68748201438849</v>
      </c>
    </row>
    <row r="29" spans="1:15" x14ac:dyDescent="0.2">
      <c r="A29">
        <v>1940</v>
      </c>
      <c r="B29">
        <v>13.9</v>
      </c>
      <c r="C29">
        <v>14</v>
      </c>
      <c r="D29">
        <v>14</v>
      </c>
      <c r="E29">
        <v>14</v>
      </c>
      <c r="F29">
        <v>14</v>
      </c>
      <c r="G29">
        <v>14.1</v>
      </c>
      <c r="H29">
        <v>14</v>
      </c>
      <c r="I29">
        <v>14</v>
      </c>
      <c r="J29">
        <v>14</v>
      </c>
      <c r="K29">
        <v>14</v>
      </c>
      <c r="L29">
        <v>14</v>
      </c>
      <c r="M29">
        <v>14.1</v>
      </c>
      <c r="N29">
        <v>14</v>
      </c>
      <c r="O29">
        <f t="shared" si="0"/>
        <v>15.575428571428573</v>
      </c>
    </row>
    <row r="30" spans="1:15" x14ac:dyDescent="0.2">
      <c r="A30">
        <v>1941</v>
      </c>
      <c r="B30">
        <v>14.1</v>
      </c>
      <c r="C30">
        <v>14.1</v>
      </c>
      <c r="D30">
        <v>14.2</v>
      </c>
      <c r="E30">
        <v>14.3</v>
      </c>
      <c r="F30">
        <v>14.4</v>
      </c>
      <c r="G30">
        <v>14.7</v>
      </c>
      <c r="H30">
        <v>14.7</v>
      </c>
      <c r="I30">
        <v>14.9</v>
      </c>
      <c r="J30">
        <v>15.1</v>
      </c>
      <c r="K30">
        <v>15.3</v>
      </c>
      <c r="L30">
        <v>15.4</v>
      </c>
      <c r="M30">
        <v>15.5</v>
      </c>
      <c r="N30">
        <v>14.7</v>
      </c>
      <c r="O30">
        <f t="shared" si="0"/>
        <v>14.833741496598641</v>
      </c>
    </row>
    <row r="31" spans="1:15" x14ac:dyDescent="0.2">
      <c r="A31">
        <v>1942</v>
      </c>
      <c r="B31">
        <v>15.7</v>
      </c>
      <c r="C31">
        <v>15.8</v>
      </c>
      <c r="D31">
        <v>16</v>
      </c>
      <c r="E31">
        <v>16.100000000000001</v>
      </c>
      <c r="F31">
        <v>16.3</v>
      </c>
      <c r="G31">
        <v>16.3</v>
      </c>
      <c r="H31">
        <v>16.399999999999999</v>
      </c>
      <c r="I31">
        <v>16.5</v>
      </c>
      <c r="J31">
        <v>16.5</v>
      </c>
      <c r="K31">
        <v>16.7</v>
      </c>
      <c r="L31">
        <v>16.8</v>
      </c>
      <c r="M31">
        <v>16.899999999999999</v>
      </c>
      <c r="N31">
        <v>16.3</v>
      </c>
      <c r="O31">
        <f t="shared" si="0"/>
        <v>13.377668711656442</v>
      </c>
    </row>
    <row r="32" spans="1:15" x14ac:dyDescent="0.2">
      <c r="A32">
        <v>1943</v>
      </c>
      <c r="B32">
        <v>16.899999999999999</v>
      </c>
      <c r="C32">
        <v>16.899999999999999</v>
      </c>
      <c r="D32">
        <v>17.2</v>
      </c>
      <c r="E32">
        <v>17.399999999999999</v>
      </c>
      <c r="F32">
        <v>17.5</v>
      </c>
      <c r="G32">
        <v>17.5</v>
      </c>
      <c r="H32">
        <v>17.399999999999999</v>
      </c>
      <c r="I32">
        <v>17.3</v>
      </c>
      <c r="J32">
        <v>17.399999999999999</v>
      </c>
      <c r="K32">
        <v>17.399999999999999</v>
      </c>
      <c r="L32">
        <v>17.399999999999999</v>
      </c>
      <c r="M32">
        <v>17.399999999999999</v>
      </c>
      <c r="N32">
        <v>17.3</v>
      </c>
      <c r="O32">
        <f t="shared" si="0"/>
        <v>12.604393063583816</v>
      </c>
    </row>
    <row r="33" spans="1:15" x14ac:dyDescent="0.2">
      <c r="A33">
        <v>1944</v>
      </c>
      <c r="B33">
        <v>17.399999999999999</v>
      </c>
      <c r="C33">
        <v>17.399999999999999</v>
      </c>
      <c r="D33">
        <v>17.399999999999999</v>
      </c>
      <c r="E33">
        <v>17.5</v>
      </c>
      <c r="F33">
        <v>17.5</v>
      </c>
      <c r="G33">
        <v>17.600000000000001</v>
      </c>
      <c r="H33">
        <v>17.7</v>
      </c>
      <c r="I33">
        <v>17.7</v>
      </c>
      <c r="J33">
        <v>17.7</v>
      </c>
      <c r="K33">
        <v>17.7</v>
      </c>
      <c r="L33">
        <v>17.7</v>
      </c>
      <c r="M33">
        <v>17.8</v>
      </c>
      <c r="N33">
        <v>17.600000000000001</v>
      </c>
      <c r="O33">
        <f t="shared" si="0"/>
        <v>12.389545454545454</v>
      </c>
    </row>
    <row r="34" spans="1:15" x14ac:dyDescent="0.2">
      <c r="A34">
        <v>1945</v>
      </c>
      <c r="B34">
        <v>17.8</v>
      </c>
      <c r="C34">
        <v>17.8</v>
      </c>
      <c r="D34">
        <v>17.8</v>
      </c>
      <c r="E34">
        <v>17.8</v>
      </c>
      <c r="F34">
        <v>17.899999999999999</v>
      </c>
      <c r="G34">
        <v>18.100000000000001</v>
      </c>
      <c r="H34">
        <v>18.100000000000001</v>
      </c>
      <c r="I34">
        <v>18.100000000000001</v>
      </c>
      <c r="J34">
        <v>18.100000000000001</v>
      </c>
      <c r="K34">
        <v>18.100000000000001</v>
      </c>
      <c r="L34">
        <v>18.100000000000001</v>
      </c>
      <c r="M34">
        <v>18.2</v>
      </c>
      <c r="N34">
        <v>18</v>
      </c>
      <c r="O34">
        <f t="shared" ref="O34:O65" si="1">N$99/N34</f>
        <v>12.114222222222223</v>
      </c>
    </row>
    <row r="35" spans="1:15" x14ac:dyDescent="0.2">
      <c r="A35">
        <v>1946</v>
      </c>
      <c r="B35">
        <v>18.2</v>
      </c>
      <c r="C35">
        <v>18.100000000000001</v>
      </c>
      <c r="D35">
        <v>18.3</v>
      </c>
      <c r="E35">
        <v>18.399999999999999</v>
      </c>
      <c r="F35">
        <v>18.5</v>
      </c>
      <c r="G35">
        <v>18.7</v>
      </c>
      <c r="H35">
        <v>19.8</v>
      </c>
      <c r="I35">
        <v>20.2</v>
      </c>
      <c r="J35">
        <v>20.399999999999999</v>
      </c>
      <c r="K35">
        <v>20.8</v>
      </c>
      <c r="L35">
        <v>21.3</v>
      </c>
      <c r="M35">
        <v>21.5</v>
      </c>
      <c r="N35">
        <v>19.5</v>
      </c>
      <c r="O35">
        <f t="shared" si="1"/>
        <v>11.182358974358975</v>
      </c>
    </row>
    <row r="36" spans="1:15" x14ac:dyDescent="0.2">
      <c r="A36">
        <v>1947</v>
      </c>
      <c r="B36">
        <v>21.5</v>
      </c>
      <c r="C36">
        <v>21.5</v>
      </c>
      <c r="D36">
        <v>21.9</v>
      </c>
      <c r="E36">
        <v>21.9</v>
      </c>
      <c r="F36">
        <v>21.9</v>
      </c>
      <c r="G36">
        <v>22</v>
      </c>
      <c r="H36">
        <v>22.2</v>
      </c>
      <c r="I36">
        <v>22.5</v>
      </c>
      <c r="J36">
        <v>23</v>
      </c>
      <c r="K36">
        <v>23</v>
      </c>
      <c r="L36">
        <v>23.1</v>
      </c>
      <c r="M36">
        <v>23.4</v>
      </c>
      <c r="N36">
        <v>22.3</v>
      </c>
      <c r="O36">
        <f t="shared" si="1"/>
        <v>9.7782959641255616</v>
      </c>
    </row>
    <row r="37" spans="1:15" x14ac:dyDescent="0.2">
      <c r="A37">
        <v>1948</v>
      </c>
      <c r="B37">
        <v>23.7</v>
      </c>
      <c r="C37">
        <v>23.5</v>
      </c>
      <c r="D37">
        <v>23.4</v>
      </c>
      <c r="E37">
        <v>23.8</v>
      </c>
      <c r="F37">
        <v>23.9</v>
      </c>
      <c r="G37">
        <v>24.1</v>
      </c>
      <c r="H37">
        <v>24.4</v>
      </c>
      <c r="I37">
        <v>24.5</v>
      </c>
      <c r="J37">
        <v>24.5</v>
      </c>
      <c r="K37">
        <v>24.4</v>
      </c>
      <c r="L37">
        <v>24.2</v>
      </c>
      <c r="M37">
        <v>24.1</v>
      </c>
      <c r="N37">
        <v>24.1</v>
      </c>
      <c r="O37">
        <f t="shared" si="1"/>
        <v>9.0479668049792537</v>
      </c>
    </row>
    <row r="38" spans="1:15" x14ac:dyDescent="0.2">
      <c r="A38">
        <v>1949</v>
      </c>
      <c r="B38">
        <v>24</v>
      </c>
      <c r="C38">
        <v>23.8</v>
      </c>
      <c r="D38">
        <v>23.8</v>
      </c>
      <c r="E38">
        <v>23.9</v>
      </c>
      <c r="F38">
        <v>23.8</v>
      </c>
      <c r="G38">
        <v>23.9</v>
      </c>
      <c r="H38">
        <v>23.7</v>
      </c>
      <c r="I38">
        <v>23.8</v>
      </c>
      <c r="J38">
        <v>23.9</v>
      </c>
      <c r="K38">
        <v>23.7</v>
      </c>
      <c r="L38">
        <v>23.8</v>
      </c>
      <c r="M38">
        <v>23.6</v>
      </c>
      <c r="N38">
        <v>23.8</v>
      </c>
      <c r="O38">
        <f t="shared" si="1"/>
        <v>9.1620168067226899</v>
      </c>
    </row>
    <row r="39" spans="1:15" x14ac:dyDescent="0.2">
      <c r="A39">
        <v>1950</v>
      </c>
      <c r="B39">
        <v>23.5</v>
      </c>
      <c r="C39">
        <v>23.5</v>
      </c>
      <c r="D39">
        <v>23.6</v>
      </c>
      <c r="E39">
        <v>23.6</v>
      </c>
      <c r="F39">
        <v>23.7</v>
      </c>
      <c r="G39">
        <v>23.8</v>
      </c>
      <c r="H39">
        <v>24.1</v>
      </c>
      <c r="I39">
        <v>24.3</v>
      </c>
      <c r="J39">
        <v>24.4</v>
      </c>
      <c r="K39">
        <v>24.6</v>
      </c>
      <c r="L39">
        <v>24.7</v>
      </c>
      <c r="M39">
        <v>25</v>
      </c>
      <c r="N39">
        <v>24.1</v>
      </c>
      <c r="O39">
        <f t="shared" si="1"/>
        <v>9.0479668049792537</v>
      </c>
    </row>
    <row r="40" spans="1:15" x14ac:dyDescent="0.2">
      <c r="A40">
        <v>1951</v>
      </c>
      <c r="B40">
        <v>25.4</v>
      </c>
      <c r="C40">
        <v>25.7</v>
      </c>
      <c r="D40">
        <v>25.8</v>
      </c>
      <c r="E40">
        <v>25.8</v>
      </c>
      <c r="F40">
        <v>25.9</v>
      </c>
      <c r="G40">
        <v>25.9</v>
      </c>
      <c r="H40">
        <v>25.9</v>
      </c>
      <c r="I40">
        <v>25.9</v>
      </c>
      <c r="J40">
        <v>26.1</v>
      </c>
      <c r="K40">
        <v>26.2</v>
      </c>
      <c r="L40">
        <v>26.4</v>
      </c>
      <c r="M40">
        <v>26.5</v>
      </c>
      <c r="N40">
        <v>26</v>
      </c>
      <c r="O40">
        <f t="shared" si="1"/>
        <v>8.3867692307692305</v>
      </c>
    </row>
    <row r="41" spans="1:15" x14ac:dyDescent="0.2">
      <c r="A41">
        <v>1952</v>
      </c>
      <c r="B41">
        <v>26.5</v>
      </c>
      <c r="C41">
        <v>26.3</v>
      </c>
      <c r="D41">
        <v>26.3</v>
      </c>
      <c r="E41">
        <v>26.4</v>
      </c>
      <c r="F41">
        <v>26.4</v>
      </c>
      <c r="G41">
        <v>26.5</v>
      </c>
      <c r="H41">
        <v>26.7</v>
      </c>
      <c r="I41">
        <v>26.7</v>
      </c>
      <c r="J41">
        <v>26.7</v>
      </c>
      <c r="K41">
        <v>26.7</v>
      </c>
      <c r="L41">
        <v>26.7</v>
      </c>
      <c r="M41">
        <v>26.7</v>
      </c>
      <c r="N41">
        <v>26.5</v>
      </c>
      <c r="O41">
        <f t="shared" si="1"/>
        <v>8.2285283018867936</v>
      </c>
    </row>
    <row r="42" spans="1:15" x14ac:dyDescent="0.2">
      <c r="A42">
        <v>1953</v>
      </c>
      <c r="B42">
        <v>26.6</v>
      </c>
      <c r="C42">
        <v>26.5</v>
      </c>
      <c r="D42">
        <v>26.6</v>
      </c>
      <c r="E42">
        <v>26.6</v>
      </c>
      <c r="F42">
        <v>26.7</v>
      </c>
      <c r="G42">
        <v>26.8</v>
      </c>
      <c r="H42">
        <v>26.8</v>
      </c>
      <c r="I42">
        <v>26.9</v>
      </c>
      <c r="J42">
        <v>26.9</v>
      </c>
      <c r="K42">
        <v>27</v>
      </c>
      <c r="L42">
        <v>26.9</v>
      </c>
      <c r="M42">
        <v>26.9</v>
      </c>
      <c r="N42">
        <v>26.7</v>
      </c>
      <c r="O42">
        <f t="shared" si="1"/>
        <v>8.1668913857677907</v>
      </c>
    </row>
    <row r="43" spans="1:15" x14ac:dyDescent="0.2">
      <c r="A43">
        <v>1954</v>
      </c>
      <c r="B43">
        <v>26.9</v>
      </c>
      <c r="C43">
        <v>26.9</v>
      </c>
      <c r="D43">
        <v>26.9</v>
      </c>
      <c r="E43">
        <v>26.8</v>
      </c>
      <c r="F43">
        <v>26.9</v>
      </c>
      <c r="G43">
        <v>26.9</v>
      </c>
      <c r="H43">
        <v>26.9</v>
      </c>
      <c r="I43">
        <v>26.9</v>
      </c>
      <c r="J43">
        <v>26.8</v>
      </c>
      <c r="K43">
        <v>26.8</v>
      </c>
      <c r="L43">
        <v>26.8</v>
      </c>
      <c r="M43">
        <v>26.7</v>
      </c>
      <c r="N43">
        <v>26.9</v>
      </c>
      <c r="O43">
        <f t="shared" si="1"/>
        <v>8.1061710037174723</v>
      </c>
    </row>
    <row r="44" spans="1:15" x14ac:dyDescent="0.2">
      <c r="A44">
        <v>1955</v>
      </c>
      <c r="B44">
        <v>26.7</v>
      </c>
      <c r="C44">
        <v>26.7</v>
      </c>
      <c r="D44">
        <v>26.7</v>
      </c>
      <c r="E44">
        <v>26.7</v>
      </c>
      <c r="F44">
        <v>26.7</v>
      </c>
      <c r="G44">
        <v>26.7</v>
      </c>
      <c r="H44">
        <v>26.8</v>
      </c>
      <c r="I44">
        <v>26.8</v>
      </c>
      <c r="J44">
        <v>26.9</v>
      </c>
      <c r="K44">
        <v>26.9</v>
      </c>
      <c r="L44">
        <v>26.9</v>
      </c>
      <c r="M44">
        <v>26.8</v>
      </c>
      <c r="N44">
        <v>26.8</v>
      </c>
      <c r="O44">
        <f t="shared" si="1"/>
        <v>8.1364179104477614</v>
      </c>
    </row>
    <row r="45" spans="1:15" x14ac:dyDescent="0.2">
      <c r="A45">
        <v>1956</v>
      </c>
      <c r="B45">
        <v>26.8</v>
      </c>
      <c r="C45">
        <v>26.8</v>
      </c>
      <c r="D45">
        <v>26.8</v>
      </c>
      <c r="E45">
        <v>26.9</v>
      </c>
      <c r="F45">
        <v>27</v>
      </c>
      <c r="G45">
        <v>27.2</v>
      </c>
      <c r="H45">
        <v>27.4</v>
      </c>
      <c r="I45">
        <v>27.3</v>
      </c>
      <c r="J45">
        <v>27.4</v>
      </c>
      <c r="K45">
        <v>27.5</v>
      </c>
      <c r="L45">
        <v>27.5</v>
      </c>
      <c r="M45">
        <v>27.6</v>
      </c>
      <c r="N45">
        <v>27.2</v>
      </c>
      <c r="O45">
        <f t="shared" si="1"/>
        <v>8.0167647058823537</v>
      </c>
    </row>
    <row r="46" spans="1:15" x14ac:dyDescent="0.2">
      <c r="A46">
        <v>1957</v>
      </c>
      <c r="B46">
        <v>27.6</v>
      </c>
      <c r="C46">
        <v>27.7</v>
      </c>
      <c r="D46">
        <v>27.8</v>
      </c>
      <c r="E46">
        <v>27.9</v>
      </c>
      <c r="F46">
        <v>28</v>
      </c>
      <c r="G46">
        <v>28.1</v>
      </c>
      <c r="H46">
        <v>28.3</v>
      </c>
      <c r="I46">
        <v>28.3</v>
      </c>
      <c r="J46">
        <v>28.3</v>
      </c>
      <c r="K46">
        <v>28.3</v>
      </c>
      <c r="L46">
        <v>28.4</v>
      </c>
      <c r="M46">
        <v>28.4</v>
      </c>
      <c r="N46">
        <v>28.1</v>
      </c>
      <c r="O46">
        <f t="shared" si="1"/>
        <v>7.76</v>
      </c>
    </row>
    <row r="47" spans="1:15" x14ac:dyDescent="0.2">
      <c r="A47">
        <v>1958</v>
      </c>
      <c r="B47">
        <v>28.6</v>
      </c>
      <c r="C47">
        <v>28.6</v>
      </c>
      <c r="D47">
        <v>28.8</v>
      </c>
      <c r="E47">
        <v>28.9</v>
      </c>
      <c r="F47">
        <v>28.9</v>
      </c>
      <c r="G47">
        <v>28.9</v>
      </c>
      <c r="H47">
        <v>29</v>
      </c>
      <c r="I47">
        <v>28.9</v>
      </c>
      <c r="J47">
        <v>28.9</v>
      </c>
      <c r="K47">
        <v>28.9</v>
      </c>
      <c r="L47">
        <v>29</v>
      </c>
      <c r="M47">
        <v>28.9</v>
      </c>
      <c r="N47">
        <v>28.9</v>
      </c>
      <c r="O47">
        <f t="shared" si="1"/>
        <v>7.5451903114186862</v>
      </c>
    </row>
    <row r="48" spans="1:15" x14ac:dyDescent="0.2">
      <c r="A48">
        <v>1959</v>
      </c>
      <c r="B48">
        <v>29</v>
      </c>
      <c r="C48">
        <v>28.9</v>
      </c>
      <c r="D48">
        <v>28.9</v>
      </c>
      <c r="E48">
        <v>29</v>
      </c>
      <c r="F48">
        <v>29</v>
      </c>
      <c r="G48">
        <v>29.1</v>
      </c>
      <c r="H48">
        <v>29.2</v>
      </c>
      <c r="I48">
        <v>29.2</v>
      </c>
      <c r="J48">
        <v>29.3</v>
      </c>
      <c r="K48">
        <v>29.4</v>
      </c>
      <c r="L48">
        <v>29.4</v>
      </c>
      <c r="M48">
        <v>29.4</v>
      </c>
      <c r="N48">
        <v>29.1</v>
      </c>
      <c r="O48">
        <f t="shared" si="1"/>
        <v>7.4933333333333332</v>
      </c>
    </row>
    <row r="49" spans="1:15" x14ac:dyDescent="0.2">
      <c r="A49">
        <v>1960</v>
      </c>
      <c r="B49">
        <v>29.3</v>
      </c>
      <c r="C49">
        <v>29.4</v>
      </c>
      <c r="D49">
        <v>29.4</v>
      </c>
      <c r="E49">
        <v>29.5</v>
      </c>
      <c r="F49">
        <v>29.5</v>
      </c>
      <c r="G49">
        <v>29.6</v>
      </c>
      <c r="H49">
        <v>29.6</v>
      </c>
      <c r="I49">
        <v>29.6</v>
      </c>
      <c r="J49">
        <v>29.6</v>
      </c>
      <c r="K49">
        <v>29.8</v>
      </c>
      <c r="L49">
        <v>29.8</v>
      </c>
      <c r="M49">
        <v>29.8</v>
      </c>
      <c r="N49">
        <v>29.6</v>
      </c>
      <c r="O49">
        <f t="shared" si="1"/>
        <v>7.3667567567567565</v>
      </c>
    </row>
    <row r="50" spans="1:15" x14ac:dyDescent="0.2">
      <c r="A50">
        <v>1961</v>
      </c>
      <c r="B50">
        <v>29.8</v>
      </c>
      <c r="C50">
        <v>29.8</v>
      </c>
      <c r="D50">
        <v>29.8</v>
      </c>
      <c r="E50">
        <v>29.8</v>
      </c>
      <c r="F50">
        <v>29.8</v>
      </c>
      <c r="G50">
        <v>29.8</v>
      </c>
      <c r="H50">
        <v>30</v>
      </c>
      <c r="I50">
        <v>29.9</v>
      </c>
      <c r="J50">
        <v>30</v>
      </c>
      <c r="K50">
        <v>30</v>
      </c>
      <c r="L50">
        <v>30</v>
      </c>
      <c r="M50">
        <v>30</v>
      </c>
      <c r="N50">
        <v>29.9</v>
      </c>
      <c r="O50">
        <f t="shared" si="1"/>
        <v>7.292842809364549</v>
      </c>
    </row>
    <row r="51" spans="1:15" x14ac:dyDescent="0.2">
      <c r="A51">
        <v>1962</v>
      </c>
      <c r="B51">
        <v>30</v>
      </c>
      <c r="C51">
        <v>30.1</v>
      </c>
      <c r="D51">
        <v>30.1</v>
      </c>
      <c r="E51">
        <v>30.2</v>
      </c>
      <c r="F51">
        <v>30.2</v>
      </c>
      <c r="G51">
        <v>30.2</v>
      </c>
      <c r="H51">
        <v>30.3</v>
      </c>
      <c r="I51">
        <v>30.3</v>
      </c>
      <c r="J51">
        <v>30.4</v>
      </c>
      <c r="K51">
        <v>30.4</v>
      </c>
      <c r="L51">
        <v>30.4</v>
      </c>
      <c r="M51">
        <v>30.4</v>
      </c>
      <c r="N51">
        <v>30.2</v>
      </c>
      <c r="O51">
        <f t="shared" si="1"/>
        <v>7.2203973509933776</v>
      </c>
    </row>
    <row r="52" spans="1:15" x14ac:dyDescent="0.2">
      <c r="A52">
        <v>1963</v>
      </c>
      <c r="B52">
        <v>30.4</v>
      </c>
      <c r="C52">
        <v>30.4</v>
      </c>
      <c r="D52">
        <v>30.5</v>
      </c>
      <c r="E52">
        <v>30.5</v>
      </c>
      <c r="F52">
        <v>30.5</v>
      </c>
      <c r="G52">
        <v>30.6</v>
      </c>
      <c r="H52">
        <v>30.7</v>
      </c>
      <c r="I52">
        <v>30.7</v>
      </c>
      <c r="J52">
        <v>30.7</v>
      </c>
      <c r="K52">
        <v>30.8</v>
      </c>
      <c r="L52">
        <v>30.8</v>
      </c>
      <c r="M52">
        <v>30.9</v>
      </c>
      <c r="N52">
        <v>30.6</v>
      </c>
      <c r="O52">
        <f t="shared" si="1"/>
        <v>7.1260130718954251</v>
      </c>
    </row>
    <row r="53" spans="1:15" x14ac:dyDescent="0.2">
      <c r="A53">
        <v>1964</v>
      </c>
      <c r="B53">
        <v>30.9</v>
      </c>
      <c r="C53">
        <v>30.9</v>
      </c>
      <c r="D53">
        <v>30.9</v>
      </c>
      <c r="E53">
        <v>30.9</v>
      </c>
      <c r="F53">
        <v>30.9</v>
      </c>
      <c r="G53">
        <v>31</v>
      </c>
      <c r="H53">
        <v>31.1</v>
      </c>
      <c r="I53">
        <v>31</v>
      </c>
      <c r="J53">
        <v>31.1</v>
      </c>
      <c r="K53">
        <v>31.1</v>
      </c>
      <c r="L53">
        <v>31.2</v>
      </c>
      <c r="M53">
        <v>31.2</v>
      </c>
      <c r="N53">
        <v>31</v>
      </c>
      <c r="O53">
        <f t="shared" si="1"/>
        <v>7.0340645161290327</v>
      </c>
    </row>
    <row r="54" spans="1:15" x14ac:dyDescent="0.2">
      <c r="A54">
        <v>1965</v>
      </c>
      <c r="B54">
        <v>31.2</v>
      </c>
      <c r="C54">
        <v>31.2</v>
      </c>
      <c r="D54">
        <v>31.3</v>
      </c>
      <c r="E54">
        <v>31.4</v>
      </c>
      <c r="F54">
        <v>31.4</v>
      </c>
      <c r="G54">
        <v>31.6</v>
      </c>
      <c r="H54">
        <v>31.6</v>
      </c>
      <c r="I54">
        <v>31.6</v>
      </c>
      <c r="J54">
        <v>31.6</v>
      </c>
      <c r="K54">
        <v>31.7</v>
      </c>
      <c r="L54">
        <v>31.7</v>
      </c>
      <c r="M54">
        <v>31.8</v>
      </c>
      <c r="N54">
        <v>31.5</v>
      </c>
      <c r="O54">
        <f t="shared" si="1"/>
        <v>6.9224126984126988</v>
      </c>
    </row>
    <row r="55" spans="1:15" x14ac:dyDescent="0.2">
      <c r="A55">
        <v>1966</v>
      </c>
      <c r="B55">
        <v>31.8</v>
      </c>
      <c r="C55">
        <v>32</v>
      </c>
      <c r="D55">
        <v>32.1</v>
      </c>
      <c r="E55">
        <v>32.299999999999997</v>
      </c>
      <c r="F55">
        <v>32.299999999999997</v>
      </c>
      <c r="G55">
        <v>32.4</v>
      </c>
      <c r="H55">
        <v>32.5</v>
      </c>
      <c r="I55">
        <v>32.700000000000003</v>
      </c>
      <c r="J55">
        <v>32.700000000000003</v>
      </c>
      <c r="K55">
        <v>32.9</v>
      </c>
      <c r="L55">
        <v>32.9</v>
      </c>
      <c r="M55">
        <v>32.9</v>
      </c>
      <c r="N55">
        <v>32.4</v>
      </c>
      <c r="O55">
        <f t="shared" si="1"/>
        <v>6.7301234567901238</v>
      </c>
    </row>
    <row r="56" spans="1:15" x14ac:dyDescent="0.2">
      <c r="A56">
        <v>1967</v>
      </c>
      <c r="B56">
        <v>32.9</v>
      </c>
      <c r="C56">
        <v>32.9</v>
      </c>
      <c r="D56">
        <v>33</v>
      </c>
      <c r="E56">
        <v>33.1</v>
      </c>
      <c r="F56">
        <v>33.200000000000003</v>
      </c>
      <c r="G56">
        <v>33.299999999999997</v>
      </c>
      <c r="H56">
        <v>33.4</v>
      </c>
      <c r="I56">
        <v>33.5</v>
      </c>
      <c r="J56">
        <v>33.6</v>
      </c>
      <c r="K56">
        <v>33.700000000000003</v>
      </c>
      <c r="L56">
        <v>33.799999999999997</v>
      </c>
      <c r="M56">
        <v>33.9</v>
      </c>
      <c r="N56">
        <v>33.4</v>
      </c>
      <c r="O56">
        <f t="shared" si="1"/>
        <v>6.5286227544910185</v>
      </c>
    </row>
    <row r="57" spans="1:15" x14ac:dyDescent="0.2">
      <c r="A57">
        <v>1968</v>
      </c>
      <c r="B57">
        <v>34.1</v>
      </c>
      <c r="C57">
        <v>34.200000000000003</v>
      </c>
      <c r="D57">
        <v>34.299999999999997</v>
      </c>
      <c r="E57">
        <v>34.4</v>
      </c>
      <c r="F57">
        <v>34.5</v>
      </c>
      <c r="G57">
        <v>34.700000000000003</v>
      </c>
      <c r="H57">
        <v>34.9</v>
      </c>
      <c r="I57">
        <v>35</v>
      </c>
      <c r="J57">
        <v>35.1</v>
      </c>
      <c r="K57">
        <v>35.299999999999997</v>
      </c>
      <c r="L57">
        <v>35.4</v>
      </c>
      <c r="M57">
        <v>35.5</v>
      </c>
      <c r="N57">
        <v>34.799999999999997</v>
      </c>
      <c r="O57">
        <f t="shared" si="1"/>
        <v>6.2659770114942539</v>
      </c>
    </row>
    <row r="58" spans="1:15" x14ac:dyDescent="0.2">
      <c r="A58">
        <v>1969</v>
      </c>
      <c r="B58">
        <v>35.6</v>
      </c>
      <c r="C58">
        <v>35.799999999999997</v>
      </c>
      <c r="D58">
        <v>36.1</v>
      </c>
      <c r="E58">
        <v>36.299999999999997</v>
      </c>
      <c r="F58">
        <v>36.4</v>
      </c>
      <c r="G58">
        <v>36.6</v>
      </c>
      <c r="H58">
        <v>36.799999999999997</v>
      </c>
      <c r="I58">
        <v>37</v>
      </c>
      <c r="J58">
        <v>37.1</v>
      </c>
      <c r="K58">
        <v>37.299999999999997</v>
      </c>
      <c r="L58">
        <v>37.5</v>
      </c>
      <c r="M58">
        <v>37.700000000000003</v>
      </c>
      <c r="N58">
        <v>36.700000000000003</v>
      </c>
      <c r="O58">
        <f t="shared" si="1"/>
        <v>5.9415803814713897</v>
      </c>
    </row>
    <row r="59" spans="1:15" x14ac:dyDescent="0.2">
      <c r="A59">
        <v>1970</v>
      </c>
      <c r="B59">
        <v>37.799999999999997</v>
      </c>
      <c r="C59">
        <v>38</v>
      </c>
      <c r="D59">
        <v>38.200000000000003</v>
      </c>
      <c r="E59">
        <v>38.5</v>
      </c>
      <c r="F59">
        <v>38.6</v>
      </c>
      <c r="G59">
        <v>38.799999999999997</v>
      </c>
      <c r="H59">
        <v>39</v>
      </c>
      <c r="I59">
        <v>39</v>
      </c>
      <c r="J59">
        <v>39.200000000000003</v>
      </c>
      <c r="K59">
        <v>39.4</v>
      </c>
      <c r="L59">
        <v>39.6</v>
      </c>
      <c r="M59">
        <v>39.799999999999997</v>
      </c>
      <c r="N59">
        <v>38.799999999999997</v>
      </c>
      <c r="O59">
        <f t="shared" si="1"/>
        <v>5.620000000000001</v>
      </c>
    </row>
    <row r="60" spans="1:15" x14ac:dyDescent="0.2">
      <c r="A60">
        <v>1971</v>
      </c>
      <c r="B60">
        <v>39.799999999999997</v>
      </c>
      <c r="C60">
        <v>39.9</v>
      </c>
      <c r="D60">
        <v>40</v>
      </c>
      <c r="E60">
        <v>40.1</v>
      </c>
      <c r="F60">
        <v>40.299999999999997</v>
      </c>
      <c r="G60">
        <v>40.6</v>
      </c>
      <c r="H60">
        <v>40.700000000000003</v>
      </c>
      <c r="I60">
        <v>40.799999999999997</v>
      </c>
      <c r="J60">
        <v>40.799999999999997</v>
      </c>
      <c r="K60">
        <v>40.9</v>
      </c>
      <c r="L60">
        <v>40.9</v>
      </c>
      <c r="M60">
        <v>41.1</v>
      </c>
      <c r="N60">
        <v>40.5</v>
      </c>
      <c r="O60">
        <f t="shared" si="1"/>
        <v>5.3840987654320989</v>
      </c>
    </row>
    <row r="61" spans="1:15" x14ac:dyDescent="0.2">
      <c r="A61">
        <v>1972</v>
      </c>
      <c r="B61">
        <v>41.1</v>
      </c>
      <c r="C61">
        <v>41.3</v>
      </c>
      <c r="D61">
        <v>41.4</v>
      </c>
      <c r="E61">
        <v>41.5</v>
      </c>
      <c r="F61">
        <v>41.6</v>
      </c>
      <c r="G61">
        <v>41.7</v>
      </c>
      <c r="H61">
        <v>41.9</v>
      </c>
      <c r="I61">
        <v>42</v>
      </c>
      <c r="J61">
        <v>42.1</v>
      </c>
      <c r="K61">
        <v>42.3</v>
      </c>
      <c r="L61">
        <v>42.4</v>
      </c>
      <c r="M61">
        <v>42.5</v>
      </c>
      <c r="N61">
        <v>41.8</v>
      </c>
      <c r="O61">
        <f t="shared" si="1"/>
        <v>5.2166507177033496</v>
      </c>
    </row>
    <row r="62" spans="1:15" x14ac:dyDescent="0.2">
      <c r="A62">
        <v>1973</v>
      </c>
      <c r="B62">
        <v>42.6</v>
      </c>
      <c r="C62">
        <v>42.9</v>
      </c>
      <c r="D62">
        <v>43.3</v>
      </c>
      <c r="E62">
        <v>43.6</v>
      </c>
      <c r="F62">
        <v>43.9</v>
      </c>
      <c r="G62">
        <v>44.2</v>
      </c>
      <c r="H62">
        <v>44.3</v>
      </c>
      <c r="I62">
        <v>45.1</v>
      </c>
      <c r="J62">
        <v>45.2</v>
      </c>
      <c r="K62">
        <v>45.6</v>
      </c>
      <c r="L62">
        <v>45.9</v>
      </c>
      <c r="M62">
        <v>46.2</v>
      </c>
      <c r="N62">
        <v>44.4</v>
      </c>
      <c r="O62">
        <f t="shared" si="1"/>
        <v>4.9111711711711719</v>
      </c>
    </row>
    <row r="63" spans="1:15" x14ac:dyDescent="0.2">
      <c r="A63">
        <v>1974</v>
      </c>
      <c r="B63">
        <v>46.6</v>
      </c>
      <c r="C63">
        <v>47.2</v>
      </c>
      <c r="D63">
        <v>47.8</v>
      </c>
      <c r="E63">
        <v>48</v>
      </c>
      <c r="F63">
        <v>48.6</v>
      </c>
      <c r="G63">
        <v>49</v>
      </c>
      <c r="H63">
        <v>49.4</v>
      </c>
      <c r="I63">
        <v>50</v>
      </c>
      <c r="J63">
        <v>50.6</v>
      </c>
      <c r="K63">
        <v>51.1</v>
      </c>
      <c r="L63">
        <v>51.5</v>
      </c>
      <c r="M63">
        <v>51.9</v>
      </c>
      <c r="N63">
        <v>49.3</v>
      </c>
      <c r="O63">
        <f t="shared" si="1"/>
        <v>4.4230425963488846</v>
      </c>
    </row>
    <row r="64" spans="1:15" x14ac:dyDescent="0.2">
      <c r="A64">
        <v>1975</v>
      </c>
      <c r="B64">
        <v>52.1</v>
      </c>
      <c r="C64">
        <v>52.5</v>
      </c>
      <c r="D64">
        <v>52.7</v>
      </c>
      <c r="E64">
        <v>52.9</v>
      </c>
      <c r="F64">
        <v>53.2</v>
      </c>
      <c r="G64">
        <v>53.6</v>
      </c>
      <c r="H64">
        <v>54.2</v>
      </c>
      <c r="I64">
        <v>54.3</v>
      </c>
      <c r="J64">
        <v>54.6</v>
      </c>
      <c r="K64">
        <v>54.9</v>
      </c>
      <c r="L64">
        <v>55.3</v>
      </c>
      <c r="M64">
        <v>55.5</v>
      </c>
      <c r="N64">
        <v>53.8</v>
      </c>
      <c r="O64">
        <f t="shared" si="1"/>
        <v>4.0530855018587362</v>
      </c>
    </row>
    <row r="65" spans="1:15" x14ac:dyDescent="0.2">
      <c r="A65">
        <v>1976</v>
      </c>
      <c r="B65">
        <v>55.6</v>
      </c>
      <c r="C65">
        <v>55.8</v>
      </c>
      <c r="D65">
        <v>55.9</v>
      </c>
      <c r="E65">
        <v>56.1</v>
      </c>
      <c r="F65">
        <v>56.5</v>
      </c>
      <c r="G65">
        <v>56.8</v>
      </c>
      <c r="H65">
        <v>57.1</v>
      </c>
      <c r="I65">
        <v>57.4</v>
      </c>
      <c r="J65">
        <v>57.6</v>
      </c>
      <c r="K65">
        <v>57.9</v>
      </c>
      <c r="L65">
        <v>58</v>
      </c>
      <c r="M65">
        <v>58.2</v>
      </c>
      <c r="N65">
        <v>56.9</v>
      </c>
      <c r="O65">
        <f t="shared" si="1"/>
        <v>3.8322671353251323</v>
      </c>
    </row>
    <row r="66" spans="1:15" x14ac:dyDescent="0.2">
      <c r="A66">
        <v>1977</v>
      </c>
      <c r="B66">
        <v>58.5</v>
      </c>
      <c r="C66">
        <v>59.1</v>
      </c>
      <c r="D66">
        <v>59.5</v>
      </c>
      <c r="E66">
        <v>60</v>
      </c>
      <c r="F66">
        <v>60.3</v>
      </c>
      <c r="G66">
        <v>60.7</v>
      </c>
      <c r="H66">
        <v>61</v>
      </c>
      <c r="I66">
        <v>61.2</v>
      </c>
      <c r="J66">
        <v>61.4</v>
      </c>
      <c r="K66">
        <v>61.6</v>
      </c>
      <c r="L66">
        <v>61.9</v>
      </c>
      <c r="M66">
        <v>62.1</v>
      </c>
      <c r="N66">
        <v>60.6</v>
      </c>
      <c r="O66">
        <f t="shared" ref="O66:O97" si="2">N$99/N66</f>
        <v>3.5982838283828382</v>
      </c>
    </row>
    <row r="67" spans="1:15" x14ac:dyDescent="0.2">
      <c r="A67">
        <v>1978</v>
      </c>
      <c r="B67">
        <v>62.5</v>
      </c>
      <c r="C67">
        <v>62.9</v>
      </c>
      <c r="D67">
        <v>63.4</v>
      </c>
      <c r="E67">
        <v>63.9</v>
      </c>
      <c r="F67">
        <v>64.5</v>
      </c>
      <c r="G67">
        <v>65.2</v>
      </c>
      <c r="H67">
        <v>65.7</v>
      </c>
      <c r="I67">
        <v>66</v>
      </c>
      <c r="J67">
        <v>66.5</v>
      </c>
      <c r="K67">
        <v>67.099999999999994</v>
      </c>
      <c r="L67">
        <v>67.400000000000006</v>
      </c>
      <c r="M67">
        <v>67.7</v>
      </c>
      <c r="N67">
        <v>65.2</v>
      </c>
      <c r="O67">
        <f t="shared" si="2"/>
        <v>3.3444171779141105</v>
      </c>
    </row>
    <row r="68" spans="1:15" x14ac:dyDescent="0.2">
      <c r="A68">
        <v>1979</v>
      </c>
      <c r="B68">
        <v>68.3</v>
      </c>
      <c r="C68">
        <v>69.099999999999994</v>
      </c>
      <c r="D68">
        <v>69.8</v>
      </c>
      <c r="E68">
        <v>70.599999999999994</v>
      </c>
      <c r="F68">
        <v>71.5</v>
      </c>
      <c r="G68">
        <v>72.3</v>
      </c>
      <c r="H68">
        <v>73.099999999999994</v>
      </c>
      <c r="I68">
        <v>73.8</v>
      </c>
      <c r="J68">
        <v>74.599999999999994</v>
      </c>
      <c r="K68">
        <v>75.2</v>
      </c>
      <c r="L68">
        <v>75.900000000000006</v>
      </c>
      <c r="M68">
        <v>76.7</v>
      </c>
      <c r="N68">
        <v>72.599999999999994</v>
      </c>
      <c r="O68">
        <f t="shared" si="2"/>
        <v>3.0035261707988985</v>
      </c>
    </row>
    <row r="69" spans="1:15" x14ac:dyDescent="0.2">
      <c r="A69">
        <v>1980</v>
      </c>
      <c r="B69">
        <v>77.8</v>
      </c>
      <c r="C69">
        <v>78.900000000000006</v>
      </c>
      <c r="D69">
        <v>80.099999999999994</v>
      </c>
      <c r="E69">
        <v>81</v>
      </c>
      <c r="F69">
        <v>81.8</v>
      </c>
      <c r="G69">
        <v>82.7</v>
      </c>
      <c r="H69">
        <v>82.7</v>
      </c>
      <c r="I69">
        <v>83.3</v>
      </c>
      <c r="J69">
        <v>84</v>
      </c>
      <c r="K69">
        <v>84.8</v>
      </c>
      <c r="L69">
        <v>85.5</v>
      </c>
      <c r="M69">
        <v>86.3</v>
      </c>
      <c r="N69">
        <v>82.4</v>
      </c>
      <c r="O69">
        <f t="shared" si="2"/>
        <v>2.6463106796116502</v>
      </c>
    </row>
    <row r="70" spans="1:15" x14ac:dyDescent="0.2">
      <c r="A70">
        <v>1981</v>
      </c>
      <c r="B70">
        <v>87</v>
      </c>
      <c r="C70">
        <v>87.9</v>
      </c>
      <c r="D70">
        <v>88.5</v>
      </c>
      <c r="E70">
        <v>89.1</v>
      </c>
      <c r="F70">
        <v>89.8</v>
      </c>
      <c r="G70">
        <v>90.6</v>
      </c>
      <c r="H70">
        <v>91.6</v>
      </c>
      <c r="I70">
        <v>92.3</v>
      </c>
      <c r="J70">
        <v>93.2</v>
      </c>
      <c r="K70">
        <v>93.4</v>
      </c>
      <c r="L70">
        <v>93.7</v>
      </c>
      <c r="M70">
        <v>94</v>
      </c>
      <c r="N70">
        <v>90.9</v>
      </c>
      <c r="O70">
        <f t="shared" si="2"/>
        <v>2.3988558855885587</v>
      </c>
    </row>
    <row r="71" spans="1:15" x14ac:dyDescent="0.2">
      <c r="A71">
        <v>1982</v>
      </c>
      <c r="B71">
        <v>94.3</v>
      </c>
      <c r="C71">
        <v>94.6</v>
      </c>
      <c r="D71">
        <v>94.5</v>
      </c>
      <c r="E71">
        <v>94.9</v>
      </c>
      <c r="F71">
        <v>95.8</v>
      </c>
      <c r="G71">
        <v>97</v>
      </c>
      <c r="H71">
        <v>97.5</v>
      </c>
      <c r="I71">
        <v>97.7</v>
      </c>
      <c r="J71">
        <v>97.9</v>
      </c>
      <c r="K71">
        <v>98.2</v>
      </c>
      <c r="L71">
        <v>98</v>
      </c>
      <c r="M71">
        <v>97.6</v>
      </c>
      <c r="N71">
        <v>96.5</v>
      </c>
      <c r="O71">
        <f t="shared" si="2"/>
        <v>2.2596476683937823</v>
      </c>
    </row>
    <row r="72" spans="1:15" x14ac:dyDescent="0.2">
      <c r="A72">
        <v>1983</v>
      </c>
      <c r="B72">
        <v>97.8</v>
      </c>
      <c r="C72">
        <v>97.9</v>
      </c>
      <c r="D72">
        <v>97.9</v>
      </c>
      <c r="E72">
        <v>98.6</v>
      </c>
      <c r="F72">
        <v>99.2</v>
      </c>
      <c r="G72">
        <v>99.5</v>
      </c>
      <c r="H72">
        <v>99.9</v>
      </c>
      <c r="I72">
        <v>100.2</v>
      </c>
      <c r="J72">
        <v>100.7</v>
      </c>
      <c r="K72">
        <v>101</v>
      </c>
      <c r="L72">
        <v>101.2</v>
      </c>
      <c r="M72">
        <v>101.3</v>
      </c>
      <c r="N72">
        <v>99.6</v>
      </c>
      <c r="O72">
        <f t="shared" si="2"/>
        <v>2.1893172690763056</v>
      </c>
    </row>
    <row r="73" spans="1:15" x14ac:dyDescent="0.2">
      <c r="A73">
        <v>1984</v>
      </c>
      <c r="B73">
        <v>101.9</v>
      </c>
      <c r="C73">
        <v>102.4</v>
      </c>
      <c r="D73">
        <v>102.6</v>
      </c>
      <c r="E73">
        <v>103.1</v>
      </c>
      <c r="F73">
        <v>103.4</v>
      </c>
      <c r="G73">
        <v>103.7</v>
      </c>
      <c r="H73">
        <v>104.1</v>
      </c>
      <c r="I73">
        <v>104.5</v>
      </c>
      <c r="J73">
        <v>105</v>
      </c>
      <c r="K73">
        <v>105.3</v>
      </c>
      <c r="L73">
        <v>105.3</v>
      </c>
      <c r="M73">
        <v>105.3</v>
      </c>
      <c r="N73">
        <v>103.9</v>
      </c>
      <c r="O73">
        <f t="shared" si="2"/>
        <v>2.0987102983638115</v>
      </c>
    </row>
    <row r="74" spans="1:15" x14ac:dyDescent="0.2">
      <c r="A74">
        <v>1985</v>
      </c>
      <c r="B74">
        <v>105.5</v>
      </c>
      <c r="C74">
        <v>106</v>
      </c>
      <c r="D74">
        <v>106.4</v>
      </c>
      <c r="E74">
        <v>106.9</v>
      </c>
      <c r="F74">
        <v>107.3</v>
      </c>
      <c r="G74">
        <v>107.6</v>
      </c>
      <c r="H74">
        <v>107.8</v>
      </c>
      <c r="I74">
        <v>108</v>
      </c>
      <c r="J74">
        <v>108.3</v>
      </c>
      <c r="K74">
        <v>108.7</v>
      </c>
      <c r="L74">
        <v>109</v>
      </c>
      <c r="M74">
        <v>109.3</v>
      </c>
      <c r="N74">
        <v>107.6</v>
      </c>
      <c r="O74">
        <f t="shared" si="2"/>
        <v>2.0265427509293681</v>
      </c>
    </row>
    <row r="75" spans="1:15" x14ac:dyDescent="0.2">
      <c r="A75">
        <v>1986</v>
      </c>
      <c r="B75">
        <v>109.6</v>
      </c>
      <c r="C75">
        <v>109.3</v>
      </c>
      <c r="D75">
        <v>108.8</v>
      </c>
      <c r="E75">
        <v>108.6</v>
      </c>
      <c r="F75">
        <v>108.9</v>
      </c>
      <c r="G75">
        <v>109.5</v>
      </c>
      <c r="H75">
        <v>109.5</v>
      </c>
      <c r="I75">
        <v>109.7</v>
      </c>
      <c r="J75">
        <v>110.2</v>
      </c>
      <c r="K75">
        <v>110.3</v>
      </c>
      <c r="L75">
        <v>110.4</v>
      </c>
      <c r="M75">
        <v>110.5</v>
      </c>
      <c r="N75">
        <v>109.6</v>
      </c>
      <c r="O75">
        <f t="shared" si="2"/>
        <v>1.9895620437956207</v>
      </c>
    </row>
    <row r="76" spans="1:15" x14ac:dyDescent="0.2">
      <c r="A76">
        <v>1987</v>
      </c>
      <c r="B76">
        <v>111.2</v>
      </c>
      <c r="C76">
        <v>111.6</v>
      </c>
      <c r="D76">
        <v>112.1</v>
      </c>
      <c r="E76">
        <v>112.7</v>
      </c>
      <c r="F76">
        <v>113.1</v>
      </c>
      <c r="G76">
        <v>113.5</v>
      </c>
      <c r="H76">
        <v>113.8</v>
      </c>
      <c r="I76">
        <v>114.4</v>
      </c>
      <c r="J76">
        <v>115</v>
      </c>
      <c r="K76">
        <v>115.3</v>
      </c>
      <c r="L76">
        <v>115.4</v>
      </c>
      <c r="M76">
        <v>115.4</v>
      </c>
      <c r="N76">
        <v>113.6</v>
      </c>
      <c r="O76">
        <f t="shared" si="2"/>
        <v>1.9195070422535214</v>
      </c>
    </row>
    <row r="77" spans="1:15" x14ac:dyDescent="0.2">
      <c r="A77">
        <v>1988</v>
      </c>
      <c r="B77">
        <v>115.7</v>
      </c>
      <c r="C77">
        <v>116</v>
      </c>
      <c r="D77">
        <v>116.5</v>
      </c>
      <c r="E77">
        <v>117.1</v>
      </c>
      <c r="F77">
        <v>117.5</v>
      </c>
      <c r="G77">
        <v>118</v>
      </c>
      <c r="H77">
        <v>118.5</v>
      </c>
      <c r="I77">
        <v>119</v>
      </c>
      <c r="J77">
        <v>119.8</v>
      </c>
      <c r="K77">
        <v>120.2</v>
      </c>
      <c r="L77">
        <v>120.3</v>
      </c>
      <c r="M77">
        <v>120.5</v>
      </c>
      <c r="N77">
        <v>118.3</v>
      </c>
      <c r="O77">
        <f t="shared" si="2"/>
        <v>1.8432459847844465</v>
      </c>
    </row>
    <row r="78" spans="1:15" x14ac:dyDescent="0.2">
      <c r="A78">
        <v>1989</v>
      </c>
      <c r="B78">
        <v>121.1</v>
      </c>
      <c r="C78">
        <v>121.6</v>
      </c>
      <c r="D78">
        <v>122.3</v>
      </c>
      <c r="E78">
        <v>123.1</v>
      </c>
      <c r="F78">
        <v>123.8</v>
      </c>
      <c r="G78">
        <v>124.1</v>
      </c>
      <c r="H78">
        <v>124.4</v>
      </c>
      <c r="I78">
        <v>124.6</v>
      </c>
      <c r="J78">
        <v>125</v>
      </c>
      <c r="K78">
        <v>125.6</v>
      </c>
      <c r="L78">
        <v>125.9</v>
      </c>
      <c r="M78">
        <v>126.1</v>
      </c>
      <c r="N78">
        <v>124</v>
      </c>
      <c r="O78">
        <f t="shared" si="2"/>
        <v>1.7585161290322582</v>
      </c>
    </row>
    <row r="79" spans="1:15" x14ac:dyDescent="0.2">
      <c r="A79">
        <v>1990</v>
      </c>
      <c r="B79">
        <v>127.4</v>
      </c>
      <c r="C79">
        <v>128</v>
      </c>
      <c r="D79">
        <v>128.69999999999999</v>
      </c>
      <c r="E79">
        <v>128.9</v>
      </c>
      <c r="F79">
        <v>129.19999999999999</v>
      </c>
      <c r="G79">
        <v>129.9</v>
      </c>
      <c r="H79">
        <v>130.4</v>
      </c>
      <c r="I79">
        <v>131.6</v>
      </c>
      <c r="J79">
        <v>132.69999999999999</v>
      </c>
      <c r="K79">
        <v>133.5</v>
      </c>
      <c r="L79">
        <v>133.80000000000001</v>
      </c>
      <c r="M79">
        <v>133.80000000000001</v>
      </c>
      <c r="N79">
        <v>130.69999999999999</v>
      </c>
      <c r="O79">
        <f t="shared" si="2"/>
        <v>1.6683703136954862</v>
      </c>
    </row>
    <row r="80" spans="1:15" x14ac:dyDescent="0.2">
      <c r="A80">
        <v>1991</v>
      </c>
      <c r="B80">
        <v>134.6</v>
      </c>
      <c r="C80">
        <v>134.80000000000001</v>
      </c>
      <c r="D80">
        <v>135</v>
      </c>
      <c r="E80">
        <v>135.19999999999999</v>
      </c>
      <c r="F80">
        <v>135.6</v>
      </c>
      <c r="G80">
        <v>136</v>
      </c>
      <c r="H80">
        <v>136.19999999999999</v>
      </c>
      <c r="I80">
        <v>136.6</v>
      </c>
      <c r="J80">
        <v>137.19999999999999</v>
      </c>
      <c r="K80">
        <v>137.4</v>
      </c>
      <c r="L80">
        <v>137.80000000000001</v>
      </c>
      <c r="M80">
        <v>137.9</v>
      </c>
      <c r="N80">
        <v>136.19999999999999</v>
      </c>
      <c r="O80">
        <f t="shared" si="2"/>
        <v>1.600998531571219</v>
      </c>
    </row>
    <row r="81" spans="1:15" x14ac:dyDescent="0.2">
      <c r="A81">
        <v>1992</v>
      </c>
      <c r="B81">
        <v>138.1</v>
      </c>
      <c r="C81">
        <v>138.6</v>
      </c>
      <c r="D81">
        <v>139.30000000000001</v>
      </c>
      <c r="E81">
        <v>139.5</v>
      </c>
      <c r="F81">
        <v>139.69999999999999</v>
      </c>
      <c r="G81">
        <v>140.19999999999999</v>
      </c>
      <c r="H81">
        <v>140.5</v>
      </c>
      <c r="I81">
        <v>140.9</v>
      </c>
      <c r="J81">
        <v>141.30000000000001</v>
      </c>
      <c r="K81">
        <v>141.80000000000001</v>
      </c>
      <c r="L81">
        <v>142</v>
      </c>
      <c r="M81">
        <v>141.9</v>
      </c>
      <c r="N81">
        <v>140.30000000000001</v>
      </c>
      <c r="O81">
        <f t="shared" si="2"/>
        <v>1.5542124019957233</v>
      </c>
    </row>
    <row r="82" spans="1:15" x14ac:dyDescent="0.2">
      <c r="A82">
        <v>1993</v>
      </c>
      <c r="B82">
        <v>142.6</v>
      </c>
      <c r="C82">
        <v>143.1</v>
      </c>
      <c r="D82">
        <v>143.6</v>
      </c>
      <c r="E82">
        <v>144</v>
      </c>
      <c r="F82">
        <v>144.19999999999999</v>
      </c>
      <c r="G82">
        <v>144.4</v>
      </c>
      <c r="H82">
        <v>144.4</v>
      </c>
      <c r="I82">
        <v>144.80000000000001</v>
      </c>
      <c r="J82">
        <v>145.1</v>
      </c>
      <c r="K82">
        <v>145.69999999999999</v>
      </c>
      <c r="L82">
        <v>145.80000000000001</v>
      </c>
      <c r="M82">
        <v>145.80000000000001</v>
      </c>
      <c r="N82">
        <v>144.5</v>
      </c>
      <c r="O82">
        <f t="shared" si="2"/>
        <v>1.5090380622837372</v>
      </c>
    </row>
    <row r="83" spans="1:15" x14ac:dyDescent="0.2">
      <c r="A83">
        <v>1994</v>
      </c>
      <c r="B83">
        <v>146.19999999999999</v>
      </c>
      <c r="C83">
        <v>146.69999999999999</v>
      </c>
      <c r="D83">
        <v>147.19999999999999</v>
      </c>
      <c r="E83">
        <v>147.4</v>
      </c>
      <c r="F83">
        <v>147.5</v>
      </c>
      <c r="G83">
        <v>148</v>
      </c>
      <c r="H83">
        <v>148.4</v>
      </c>
      <c r="I83">
        <v>149</v>
      </c>
      <c r="J83">
        <v>149.4</v>
      </c>
      <c r="K83">
        <v>149.5</v>
      </c>
      <c r="L83">
        <v>149.69999999999999</v>
      </c>
      <c r="M83">
        <v>149.69999999999999</v>
      </c>
      <c r="N83">
        <v>148.19999999999999</v>
      </c>
      <c r="O83">
        <f t="shared" si="2"/>
        <v>1.4713630229419705</v>
      </c>
    </row>
    <row r="84" spans="1:15" x14ac:dyDescent="0.2">
      <c r="A84">
        <v>1995</v>
      </c>
      <c r="B84">
        <v>150.30000000000001</v>
      </c>
      <c r="C84">
        <v>150.9</v>
      </c>
      <c r="D84">
        <v>151.4</v>
      </c>
      <c r="E84">
        <v>151.9</v>
      </c>
      <c r="F84">
        <v>152.19999999999999</v>
      </c>
      <c r="G84">
        <v>152.5</v>
      </c>
      <c r="H84">
        <v>152.5</v>
      </c>
      <c r="I84">
        <v>152.9</v>
      </c>
      <c r="J84">
        <v>153.19999999999999</v>
      </c>
      <c r="K84">
        <v>153.69999999999999</v>
      </c>
      <c r="L84">
        <v>153.6</v>
      </c>
      <c r="M84">
        <v>153.5</v>
      </c>
      <c r="N84">
        <v>152.4</v>
      </c>
      <c r="O84">
        <f t="shared" si="2"/>
        <v>1.4308136482939633</v>
      </c>
    </row>
    <row r="85" spans="1:15" x14ac:dyDescent="0.2">
      <c r="A85">
        <v>1996</v>
      </c>
      <c r="B85">
        <v>154.4</v>
      </c>
      <c r="C85">
        <v>154.9</v>
      </c>
      <c r="D85">
        <v>155.69999999999999</v>
      </c>
      <c r="E85">
        <v>156.30000000000001</v>
      </c>
      <c r="F85">
        <v>156.6</v>
      </c>
      <c r="G85">
        <v>156.69999999999999</v>
      </c>
      <c r="H85">
        <v>157</v>
      </c>
      <c r="I85">
        <v>157.30000000000001</v>
      </c>
      <c r="J85">
        <v>157.80000000000001</v>
      </c>
      <c r="K85">
        <v>158.30000000000001</v>
      </c>
      <c r="L85">
        <v>158.6</v>
      </c>
      <c r="M85">
        <v>158.6</v>
      </c>
      <c r="N85">
        <v>156.9</v>
      </c>
      <c r="O85">
        <f t="shared" si="2"/>
        <v>1.3897769279796048</v>
      </c>
    </row>
    <row r="86" spans="1:15" x14ac:dyDescent="0.2">
      <c r="A86">
        <v>1997</v>
      </c>
      <c r="B86">
        <v>159.1</v>
      </c>
      <c r="C86">
        <v>159.6</v>
      </c>
      <c r="D86">
        <v>160</v>
      </c>
      <c r="E86">
        <v>160.19999999999999</v>
      </c>
      <c r="F86">
        <v>160.1</v>
      </c>
      <c r="G86">
        <v>160.30000000000001</v>
      </c>
      <c r="H86">
        <v>160.5</v>
      </c>
      <c r="I86">
        <v>160.80000000000001</v>
      </c>
      <c r="J86">
        <v>161.19999999999999</v>
      </c>
      <c r="K86">
        <v>161.6</v>
      </c>
      <c r="L86">
        <v>161.5</v>
      </c>
      <c r="M86">
        <v>161.30000000000001</v>
      </c>
      <c r="N86">
        <v>160.5</v>
      </c>
      <c r="O86">
        <f t="shared" si="2"/>
        <v>1.3586043613707166</v>
      </c>
    </row>
    <row r="87" spans="1:15" x14ac:dyDescent="0.2">
      <c r="A87">
        <v>1998</v>
      </c>
      <c r="B87">
        <v>161.6</v>
      </c>
      <c r="C87">
        <v>161.9</v>
      </c>
      <c r="D87">
        <v>162.19999999999999</v>
      </c>
      <c r="E87">
        <v>162.5</v>
      </c>
      <c r="F87">
        <v>162.80000000000001</v>
      </c>
      <c r="G87">
        <v>163</v>
      </c>
      <c r="H87">
        <v>163.19999999999999</v>
      </c>
      <c r="I87">
        <v>163.4</v>
      </c>
      <c r="J87">
        <v>163.6</v>
      </c>
      <c r="K87">
        <v>164</v>
      </c>
      <c r="L87">
        <v>164</v>
      </c>
      <c r="M87">
        <v>163.9</v>
      </c>
      <c r="N87">
        <v>163</v>
      </c>
      <c r="O87">
        <f t="shared" si="2"/>
        <v>1.3377668711656443</v>
      </c>
    </row>
    <row r="88" spans="1:15" x14ac:dyDescent="0.2">
      <c r="A88">
        <v>1999</v>
      </c>
      <c r="B88">
        <v>164.3</v>
      </c>
      <c r="C88">
        <v>164.5</v>
      </c>
      <c r="D88">
        <v>165</v>
      </c>
      <c r="E88">
        <v>166.2</v>
      </c>
      <c r="F88">
        <v>166.2</v>
      </c>
      <c r="G88">
        <v>166.2</v>
      </c>
      <c r="H88">
        <v>166.7</v>
      </c>
      <c r="I88">
        <v>167.1</v>
      </c>
      <c r="J88">
        <v>167.9</v>
      </c>
      <c r="K88">
        <v>168.2</v>
      </c>
      <c r="L88">
        <v>168.3</v>
      </c>
      <c r="M88">
        <v>168.3</v>
      </c>
      <c r="N88">
        <v>166.6</v>
      </c>
      <c r="O88">
        <f t="shared" si="2"/>
        <v>1.3088595438175272</v>
      </c>
    </row>
    <row r="89" spans="1:15" x14ac:dyDescent="0.2">
      <c r="A89">
        <v>2000</v>
      </c>
      <c r="B89">
        <v>168.8</v>
      </c>
      <c r="C89">
        <v>169.8</v>
      </c>
      <c r="D89">
        <v>171.2</v>
      </c>
      <c r="E89">
        <v>171.3</v>
      </c>
      <c r="F89">
        <v>171.5</v>
      </c>
      <c r="G89">
        <v>172.4</v>
      </c>
      <c r="H89">
        <v>172.8</v>
      </c>
      <c r="I89">
        <v>172.8</v>
      </c>
      <c r="J89">
        <v>173.7</v>
      </c>
      <c r="K89">
        <v>174</v>
      </c>
      <c r="L89">
        <v>174.1</v>
      </c>
      <c r="M89">
        <v>174</v>
      </c>
      <c r="N89">
        <v>172.2</v>
      </c>
      <c r="O89">
        <f t="shared" si="2"/>
        <v>1.2662950058072011</v>
      </c>
    </row>
    <row r="90" spans="1:15" x14ac:dyDescent="0.2">
      <c r="A90">
        <v>2001</v>
      </c>
      <c r="B90">
        <v>175.1</v>
      </c>
      <c r="C90">
        <v>175.8</v>
      </c>
      <c r="D90">
        <v>176.2</v>
      </c>
      <c r="E90">
        <v>176.9</v>
      </c>
      <c r="F90">
        <v>177.7</v>
      </c>
      <c r="G90">
        <v>178</v>
      </c>
      <c r="H90">
        <v>177.5</v>
      </c>
      <c r="I90">
        <v>177.5</v>
      </c>
      <c r="J90">
        <v>178.3</v>
      </c>
      <c r="K90">
        <v>177.7</v>
      </c>
      <c r="L90">
        <v>177.4</v>
      </c>
      <c r="M90">
        <v>176.7</v>
      </c>
      <c r="N90">
        <v>177.1</v>
      </c>
      <c r="O90">
        <f t="shared" si="2"/>
        <v>1.2312591756070017</v>
      </c>
    </row>
    <row r="91" spans="1:15" x14ac:dyDescent="0.2">
      <c r="A91">
        <v>2002</v>
      </c>
      <c r="B91">
        <v>177.1</v>
      </c>
      <c r="C91">
        <v>177.8</v>
      </c>
      <c r="D91">
        <v>178.8</v>
      </c>
      <c r="E91">
        <v>179.8</v>
      </c>
      <c r="F91">
        <v>179.8</v>
      </c>
      <c r="G91">
        <v>179.9</v>
      </c>
      <c r="H91">
        <v>180.1</v>
      </c>
      <c r="I91">
        <v>180.7</v>
      </c>
      <c r="J91">
        <v>181</v>
      </c>
      <c r="K91">
        <v>181.3</v>
      </c>
      <c r="L91">
        <v>181.3</v>
      </c>
      <c r="M91">
        <v>180.9</v>
      </c>
      <c r="N91">
        <v>179.9</v>
      </c>
      <c r="O91">
        <f t="shared" si="2"/>
        <v>1.2120956086714842</v>
      </c>
    </row>
    <row r="92" spans="1:15" x14ac:dyDescent="0.2">
      <c r="A92">
        <v>2003</v>
      </c>
      <c r="B92">
        <v>181.7</v>
      </c>
      <c r="C92">
        <v>183.1</v>
      </c>
      <c r="D92">
        <v>184.2</v>
      </c>
      <c r="E92">
        <v>183.8</v>
      </c>
      <c r="F92">
        <v>183.5</v>
      </c>
      <c r="G92">
        <v>183.7</v>
      </c>
      <c r="H92">
        <v>183.9</v>
      </c>
      <c r="I92">
        <v>184.6</v>
      </c>
      <c r="J92">
        <v>185.2</v>
      </c>
      <c r="K92">
        <v>185</v>
      </c>
      <c r="L92">
        <v>184.5</v>
      </c>
      <c r="M92">
        <v>184.3</v>
      </c>
      <c r="N92">
        <v>184</v>
      </c>
      <c r="O92">
        <f t="shared" si="2"/>
        <v>1.1850869565217392</v>
      </c>
    </row>
    <row r="93" spans="1:15" x14ac:dyDescent="0.2">
      <c r="A93">
        <v>2004</v>
      </c>
      <c r="B93">
        <v>185.2</v>
      </c>
      <c r="C93">
        <v>186.2</v>
      </c>
      <c r="D93">
        <v>187.4</v>
      </c>
      <c r="E93">
        <v>188</v>
      </c>
      <c r="F93">
        <v>189.1</v>
      </c>
      <c r="G93">
        <v>189.7</v>
      </c>
      <c r="H93">
        <v>189.4</v>
      </c>
      <c r="I93">
        <v>189.5</v>
      </c>
      <c r="J93">
        <v>189.9</v>
      </c>
      <c r="K93">
        <v>190.9</v>
      </c>
      <c r="L93">
        <v>191</v>
      </c>
      <c r="M93">
        <v>190.3</v>
      </c>
      <c r="N93">
        <v>188.9</v>
      </c>
      <c r="O93">
        <f t="shared" si="2"/>
        <v>1.1543462149285337</v>
      </c>
    </row>
    <row r="94" spans="1:15" x14ac:dyDescent="0.2">
      <c r="A94">
        <v>2005</v>
      </c>
      <c r="B94">
        <v>190.7</v>
      </c>
      <c r="C94">
        <v>191.8</v>
      </c>
      <c r="D94">
        <v>193.3</v>
      </c>
      <c r="E94">
        <v>194.6</v>
      </c>
      <c r="F94">
        <v>194.4</v>
      </c>
      <c r="G94">
        <v>194.5</v>
      </c>
      <c r="H94">
        <v>195.4</v>
      </c>
      <c r="I94">
        <v>196.4</v>
      </c>
      <c r="J94">
        <v>198.8</v>
      </c>
      <c r="K94">
        <v>199.2</v>
      </c>
      <c r="L94">
        <v>197.6</v>
      </c>
      <c r="M94">
        <v>196.8</v>
      </c>
      <c r="N94">
        <v>195.3</v>
      </c>
      <c r="O94">
        <f t="shared" si="2"/>
        <v>1.1165181771633383</v>
      </c>
    </row>
    <row r="95" spans="1:15" x14ac:dyDescent="0.2">
      <c r="A95">
        <v>2006</v>
      </c>
      <c r="B95">
        <v>198.3</v>
      </c>
      <c r="C95">
        <v>198.7</v>
      </c>
      <c r="D95">
        <v>199.8</v>
      </c>
      <c r="E95">
        <v>201.5</v>
      </c>
      <c r="F95">
        <v>202.5</v>
      </c>
      <c r="G95">
        <v>202.9</v>
      </c>
      <c r="H95">
        <v>203.5</v>
      </c>
      <c r="I95">
        <v>203.9</v>
      </c>
      <c r="J95">
        <v>202.9</v>
      </c>
      <c r="K95">
        <v>201.8</v>
      </c>
      <c r="L95">
        <v>201.5</v>
      </c>
      <c r="M95">
        <v>201.8</v>
      </c>
      <c r="N95">
        <v>201.6</v>
      </c>
      <c r="O95">
        <f t="shared" si="2"/>
        <v>1.0816269841269843</v>
      </c>
    </row>
    <row r="96" spans="1:15" x14ac:dyDescent="0.2">
      <c r="A96">
        <v>2007</v>
      </c>
      <c r="B96">
        <v>202.416</v>
      </c>
      <c r="C96">
        <v>203.499</v>
      </c>
      <c r="D96">
        <v>205.352</v>
      </c>
      <c r="E96">
        <v>206.68600000000001</v>
      </c>
      <c r="F96">
        <v>207.94900000000001</v>
      </c>
      <c r="G96">
        <v>208.352</v>
      </c>
      <c r="H96">
        <v>208.29900000000001</v>
      </c>
      <c r="I96">
        <v>207.917</v>
      </c>
      <c r="J96">
        <v>208.49</v>
      </c>
      <c r="K96">
        <v>208.93600000000001</v>
      </c>
      <c r="L96">
        <v>210.17699999999999</v>
      </c>
      <c r="M96">
        <v>210.036</v>
      </c>
      <c r="N96">
        <v>207.34200000000001</v>
      </c>
      <c r="O96">
        <f t="shared" si="2"/>
        <v>1.0516730811895323</v>
      </c>
    </row>
    <row r="97" spans="1:15" x14ac:dyDescent="0.2">
      <c r="A97">
        <v>2008</v>
      </c>
      <c r="B97">
        <v>211.08</v>
      </c>
      <c r="C97">
        <v>211.69300000000001</v>
      </c>
      <c r="D97">
        <v>213.52799999999999</v>
      </c>
      <c r="E97">
        <v>214.82300000000001</v>
      </c>
      <c r="F97">
        <v>216.63200000000001</v>
      </c>
      <c r="G97">
        <v>218.815</v>
      </c>
      <c r="H97">
        <v>219.964</v>
      </c>
      <c r="I97">
        <v>219.08600000000001</v>
      </c>
      <c r="J97">
        <v>218.78299999999999</v>
      </c>
      <c r="K97">
        <v>216.57300000000001</v>
      </c>
      <c r="L97">
        <v>212.42500000000001</v>
      </c>
      <c r="M97">
        <v>210.22800000000001</v>
      </c>
      <c r="N97">
        <v>215.303</v>
      </c>
      <c r="O97">
        <f t="shared" si="2"/>
        <v>1.0127866309340789</v>
      </c>
    </row>
    <row r="98" spans="1:15" x14ac:dyDescent="0.2">
      <c r="A98">
        <v>2009</v>
      </c>
      <c r="B98">
        <v>211.143</v>
      </c>
      <c r="C98">
        <v>212.19300000000001</v>
      </c>
      <c r="D98">
        <v>212.709</v>
      </c>
      <c r="E98">
        <v>213.24</v>
      </c>
      <c r="F98">
        <v>213.85599999999999</v>
      </c>
      <c r="G98">
        <v>215.69300000000001</v>
      </c>
      <c r="H98">
        <v>215.351</v>
      </c>
      <c r="I98">
        <v>215.834</v>
      </c>
      <c r="J98">
        <v>215.96899999999999</v>
      </c>
      <c r="K98">
        <v>216.17699999999999</v>
      </c>
      <c r="L98">
        <v>216.33</v>
      </c>
      <c r="M98">
        <v>215.94900000000001</v>
      </c>
      <c r="N98">
        <v>214.53700000000001</v>
      </c>
      <c r="O98">
        <f t="shared" ref="O98:O100" si="3">N$99/N98</f>
        <v>1.0164027650242149</v>
      </c>
    </row>
    <row r="99" spans="1:15" x14ac:dyDescent="0.2">
      <c r="A99">
        <v>2010</v>
      </c>
      <c r="B99">
        <v>216.68700000000001</v>
      </c>
      <c r="C99">
        <v>216.74100000000001</v>
      </c>
      <c r="D99">
        <v>217.631</v>
      </c>
      <c r="E99">
        <v>218.00899999999999</v>
      </c>
      <c r="F99">
        <v>218.178</v>
      </c>
      <c r="G99">
        <v>217.965</v>
      </c>
      <c r="H99">
        <v>218.011</v>
      </c>
      <c r="I99">
        <v>218.31200000000001</v>
      </c>
      <c r="J99">
        <v>218.43899999999999</v>
      </c>
      <c r="K99">
        <v>218.71100000000001</v>
      </c>
      <c r="L99">
        <v>218.803</v>
      </c>
      <c r="M99">
        <v>219.179</v>
      </c>
      <c r="N99">
        <v>218.05600000000001</v>
      </c>
      <c r="O99">
        <f t="shared" si="3"/>
        <v>1</v>
      </c>
    </row>
    <row r="100" spans="1:15" x14ac:dyDescent="0.2">
      <c r="A100">
        <v>2011</v>
      </c>
      <c r="B100">
        <v>220.22300000000001</v>
      </c>
      <c r="C100">
        <v>221.309</v>
      </c>
      <c r="D100">
        <v>223.46700000000001</v>
      </c>
      <c r="E100">
        <v>224.90600000000001</v>
      </c>
      <c r="F100">
        <v>225.964</v>
      </c>
      <c r="G100">
        <v>225.72200000000001</v>
      </c>
      <c r="H100">
        <v>225.922</v>
      </c>
      <c r="I100">
        <v>226.54499999999999</v>
      </c>
      <c r="J100">
        <v>226.88900000000001</v>
      </c>
      <c r="K100">
        <v>226.42099999999999</v>
      </c>
      <c r="L100">
        <v>226.23</v>
      </c>
      <c r="M100">
        <v>225.672</v>
      </c>
      <c r="N100">
        <f>+ROUND(AVERAGE(B100:M100),3)</f>
        <v>224.93899999999999</v>
      </c>
      <c r="O100">
        <f t="shared" si="3"/>
        <v>0.9694005930496713</v>
      </c>
    </row>
    <row r="101" spans="1:15" x14ac:dyDescent="0.2">
      <c r="A101">
        <v>2012</v>
      </c>
      <c r="B101">
        <v>226.66499999999999</v>
      </c>
      <c r="C101">
        <v>227.66300000000001</v>
      </c>
      <c r="D101">
        <v>229.392</v>
      </c>
      <c r="E101">
        <v>230.08500000000001</v>
      </c>
      <c r="F101">
        <v>229.815</v>
      </c>
      <c r="G101">
        <v>229.47800000000001</v>
      </c>
      <c r="H101">
        <v>229.10400000000001</v>
      </c>
      <c r="I101">
        <v>230.37899999999999</v>
      </c>
      <c r="J101">
        <v>231.40700000000001</v>
      </c>
      <c r="K101">
        <v>231.31700000000001</v>
      </c>
      <c r="L101">
        <v>230.221</v>
      </c>
      <c r="M101">
        <v>229.601</v>
      </c>
      <c r="N101">
        <f t="shared" ref="N101:N102" si="4">+ROUND(AVERAGE(B101:M101),3)</f>
        <v>229.59399999999999</v>
      </c>
      <c r="O101">
        <f t="shared" ref="O101:O103" si="5">N$99/N101</f>
        <v>0.94974607350366302</v>
      </c>
    </row>
    <row r="102" spans="1:15" x14ac:dyDescent="0.2">
      <c r="A102">
        <v>2013</v>
      </c>
      <c r="B102">
        <v>230.28</v>
      </c>
      <c r="C102">
        <v>232.166</v>
      </c>
      <c r="D102">
        <v>232.773</v>
      </c>
      <c r="E102">
        <v>232.53100000000001</v>
      </c>
      <c r="F102">
        <v>232.94499999999999</v>
      </c>
      <c r="G102">
        <v>233.50399999999999</v>
      </c>
      <c r="H102">
        <v>233.596</v>
      </c>
      <c r="I102">
        <v>233.87700000000001</v>
      </c>
      <c r="J102">
        <v>234.149</v>
      </c>
      <c r="K102">
        <v>233.54599999999999</v>
      </c>
      <c r="L102">
        <v>233.06899999999999</v>
      </c>
      <c r="M102">
        <v>233.04900000000001</v>
      </c>
      <c r="N102">
        <f t="shared" si="4"/>
        <v>232.95699999999999</v>
      </c>
      <c r="O102">
        <f t="shared" si="5"/>
        <v>0.93603540567572563</v>
      </c>
    </row>
    <row r="103" spans="1:15" x14ac:dyDescent="0.2">
      <c r="A103">
        <v>2014</v>
      </c>
      <c r="B103">
        <v>233.916</v>
      </c>
      <c r="C103">
        <v>234.78100000000001</v>
      </c>
      <c r="D103">
        <v>236.29300000000001</v>
      </c>
      <c r="E103">
        <v>237.072</v>
      </c>
      <c r="F103">
        <v>237.9</v>
      </c>
      <c r="N103">
        <f>+ROUND(AVERAGE(B103:M103),3)</f>
        <v>235.99199999999999</v>
      </c>
      <c r="O103">
        <f t="shared" si="5"/>
        <v>0.92399742364147941</v>
      </c>
    </row>
    <row r="107" spans="1:15" x14ac:dyDescent="0.2">
      <c r="B107" s="82"/>
      <c r="C107" s="83"/>
    </row>
    <row r="108" spans="1:15" x14ac:dyDescent="0.2">
      <c r="B108" s="82"/>
      <c r="C108" s="83"/>
    </row>
    <row r="109" spans="1:15" x14ac:dyDescent="0.2">
      <c r="B109" s="82"/>
      <c r="C109" s="83"/>
    </row>
    <row r="110" spans="1:15" x14ac:dyDescent="0.2">
      <c r="B110" s="82"/>
      <c r="C110" s="83"/>
    </row>
    <row r="111" spans="1:15" x14ac:dyDescent="0.2">
      <c r="B111" s="82"/>
      <c r="C111" s="83"/>
    </row>
    <row r="112" spans="1:15" x14ac:dyDescent="0.2">
      <c r="B112" s="82"/>
      <c r="C112" s="83"/>
    </row>
    <row r="113" spans="2:3" x14ac:dyDescent="0.2">
      <c r="B113" s="82"/>
      <c r="C113" s="83"/>
    </row>
    <row r="114" spans="2:3" x14ac:dyDescent="0.2">
      <c r="B114" s="82"/>
      <c r="C114" s="83"/>
    </row>
    <row r="115" spans="2:3" x14ac:dyDescent="0.2">
      <c r="B115" s="82"/>
      <c r="C115" s="83"/>
    </row>
    <row r="116" spans="2:3" x14ac:dyDescent="0.2">
      <c r="B116" s="82"/>
      <c r="C116" s="83"/>
    </row>
    <row r="117" spans="2:3" x14ac:dyDescent="0.2">
      <c r="B117" s="82"/>
      <c r="C117" s="83"/>
    </row>
    <row r="118" spans="2:3" x14ac:dyDescent="0.2">
      <c r="B118" s="82"/>
      <c r="C118" s="83"/>
    </row>
    <row r="119" spans="2:3" x14ac:dyDescent="0.2">
      <c r="B119" s="82"/>
      <c r="C119" s="83"/>
    </row>
    <row r="120" spans="2:3" x14ac:dyDescent="0.2">
      <c r="B120" s="82"/>
      <c r="C120" s="83"/>
    </row>
    <row r="121" spans="2:3" x14ac:dyDescent="0.2">
      <c r="B121" s="82"/>
      <c r="C121" s="83"/>
    </row>
    <row r="122" spans="2:3" x14ac:dyDescent="0.2">
      <c r="B122" s="82"/>
      <c r="C122" s="83"/>
    </row>
    <row r="123" spans="2:3" x14ac:dyDescent="0.2">
      <c r="B123" s="82"/>
      <c r="C123" s="83"/>
    </row>
    <row r="124" spans="2:3" x14ac:dyDescent="0.2">
      <c r="B124" s="82"/>
      <c r="C124" s="83"/>
    </row>
    <row r="125" spans="2:3" x14ac:dyDescent="0.2">
      <c r="B125" s="82"/>
      <c r="C125" s="83"/>
    </row>
    <row r="126" spans="2:3" x14ac:dyDescent="0.2">
      <c r="B126" s="82"/>
      <c r="C126" s="83"/>
    </row>
    <row r="127" spans="2:3" x14ac:dyDescent="0.2">
      <c r="B127" s="82"/>
      <c r="C127" s="83"/>
    </row>
    <row r="128" spans="2:3" x14ac:dyDescent="0.2">
      <c r="B128" s="82"/>
      <c r="C128" s="83"/>
    </row>
    <row r="129" spans="2:3" x14ac:dyDescent="0.2">
      <c r="B129" s="82"/>
      <c r="C129" s="83"/>
    </row>
    <row r="130" spans="2:3" x14ac:dyDescent="0.2">
      <c r="B130" s="82"/>
      <c r="C130" s="83"/>
    </row>
    <row r="131" spans="2:3" x14ac:dyDescent="0.2">
      <c r="B131" s="82"/>
      <c r="C131" s="83"/>
    </row>
    <row r="132" spans="2:3" x14ac:dyDescent="0.2">
      <c r="B132" s="82"/>
      <c r="C132" s="83"/>
    </row>
    <row r="133" spans="2:3" x14ac:dyDescent="0.2">
      <c r="B133" s="82"/>
      <c r="C133" s="83"/>
    </row>
    <row r="134" spans="2:3" x14ac:dyDescent="0.2">
      <c r="B134" s="82"/>
      <c r="C134" s="83"/>
    </row>
    <row r="135" spans="2:3" x14ac:dyDescent="0.2">
      <c r="B135" s="82"/>
      <c r="C135" s="83"/>
    </row>
    <row r="136" spans="2:3" x14ac:dyDescent="0.2">
      <c r="B136" s="82"/>
      <c r="C136" s="83"/>
    </row>
    <row r="137" spans="2:3" x14ac:dyDescent="0.2">
      <c r="B137" s="82"/>
      <c r="C137" s="83"/>
    </row>
    <row r="138" spans="2:3" x14ac:dyDescent="0.2">
      <c r="B138" s="82"/>
      <c r="C138" s="83"/>
    </row>
    <row r="139" spans="2:3" x14ac:dyDescent="0.2">
      <c r="B139" s="82"/>
      <c r="C139" s="83"/>
    </row>
    <row r="140" spans="2:3" x14ac:dyDescent="0.2">
      <c r="B140" s="82"/>
      <c r="C140" s="83"/>
    </row>
    <row r="141" spans="2:3" x14ac:dyDescent="0.2">
      <c r="B141" s="82"/>
      <c r="C141" s="83"/>
    </row>
    <row r="142" spans="2:3" x14ac:dyDescent="0.2">
      <c r="B142" s="82"/>
      <c r="C142" s="83"/>
    </row>
    <row r="143" spans="2:3" x14ac:dyDescent="0.2">
      <c r="B143" s="82"/>
      <c r="C143" s="83"/>
    </row>
    <row r="144" spans="2:3" x14ac:dyDescent="0.2">
      <c r="B144" s="82"/>
      <c r="C144" s="83"/>
    </row>
    <row r="145" spans="2:3" x14ac:dyDescent="0.2">
      <c r="B145" s="82"/>
      <c r="C145" s="83"/>
    </row>
    <row r="146" spans="2:3" x14ac:dyDescent="0.2">
      <c r="B146" s="82"/>
      <c r="C146" s="83"/>
    </row>
    <row r="147" spans="2:3" x14ac:dyDescent="0.2">
      <c r="B147" s="82"/>
      <c r="C147" s="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stata</vt:lpstr>
      <vt:lpstr>notes</vt:lpstr>
      <vt:lpstr>studies</vt:lpstr>
      <vt:lpstr>Dataset0</vt:lpstr>
      <vt:lpstr>Dataset1</vt:lpstr>
      <vt:lpstr>Dataset2</vt:lpstr>
      <vt:lpstr>Dataset2 ad</vt:lpstr>
      <vt:lpstr>SCC</vt:lpstr>
      <vt:lpstr>CPI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dc:creator>
  <cp:lastModifiedBy>Zuzana</cp:lastModifiedBy>
  <dcterms:created xsi:type="dcterms:W3CDTF">2003-02-08T10:38:02Z</dcterms:created>
  <dcterms:modified xsi:type="dcterms:W3CDTF">2014-08-14T16:31:59Z</dcterms:modified>
</cp:coreProperties>
</file>